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eacca887af5ee08e/Desktop/"/>
    </mc:Choice>
  </mc:AlternateContent>
  <xr:revisionPtr revIDLastSave="11" documentId="8_{2CB9C312-66D5-4B48-9458-7C6865AFA73F}" xr6:coauthVersionLast="47" xr6:coauthVersionMax="47" xr10:uidLastSave="{9558A3DA-AB00-482A-9BA1-ADBAABCD8DCD}"/>
  <bookViews>
    <workbookView xWindow="-108" yWindow="-108" windowWidth="23256" windowHeight="12456" xr2:uid="{00000000-000D-0000-FFFF-FFFF00000000}"/>
  </bookViews>
  <sheets>
    <sheet name="Tat ca de tai" sheetId="1" r:id="rId1"/>
    <sheet name="Tom tat 35 linh vuc" sheetId="2" r:id="rId2"/>
    <sheet name="Huong dan giao do a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2" l="1"/>
  <c r="J18" i="2"/>
  <c r="J17" i="2"/>
  <c r="J15" i="2"/>
  <c r="J14" i="2"/>
  <c r="J13" i="2"/>
  <c r="J12" i="2"/>
  <c r="H20" i="2"/>
  <c r="H18" i="2"/>
  <c r="H17" i="2"/>
  <c r="H15" i="2"/>
  <c r="H14" i="2"/>
  <c r="H13" i="2"/>
  <c r="H12" i="2"/>
  <c r="P3501" i="1"/>
  <c r="P3500" i="1"/>
  <c r="P3499" i="1"/>
  <c r="P3498" i="1"/>
  <c r="P3497" i="1"/>
  <c r="P3496" i="1"/>
  <c r="P3495" i="1"/>
  <c r="P3494" i="1"/>
  <c r="P3493" i="1"/>
  <c r="P3492" i="1"/>
  <c r="P3491" i="1"/>
  <c r="P3490" i="1"/>
  <c r="P3489" i="1"/>
  <c r="P3488" i="1"/>
  <c r="P3487" i="1"/>
  <c r="P3486" i="1"/>
  <c r="P3485" i="1"/>
  <c r="P3484" i="1"/>
  <c r="P3483" i="1"/>
  <c r="P3482" i="1"/>
  <c r="P3481" i="1"/>
  <c r="P3480" i="1"/>
  <c r="P3479" i="1"/>
  <c r="P3478" i="1"/>
  <c r="P3477" i="1"/>
  <c r="P3476" i="1"/>
  <c r="P3475" i="1"/>
  <c r="P3474" i="1"/>
  <c r="P3473" i="1"/>
  <c r="P3472" i="1"/>
  <c r="P3471" i="1"/>
  <c r="P3470" i="1"/>
  <c r="P3469" i="1"/>
  <c r="P3468" i="1"/>
  <c r="P3467" i="1"/>
  <c r="P3466" i="1"/>
  <c r="P3465" i="1"/>
  <c r="P3464" i="1"/>
  <c r="P3463" i="1"/>
  <c r="P3462" i="1"/>
  <c r="P3461" i="1"/>
  <c r="P3460" i="1"/>
  <c r="P3459" i="1"/>
  <c r="P3458" i="1"/>
  <c r="P3457" i="1"/>
  <c r="P3456" i="1"/>
  <c r="P3455" i="1"/>
  <c r="P3454" i="1"/>
  <c r="P3453" i="1"/>
  <c r="P3452" i="1"/>
  <c r="P3451" i="1"/>
  <c r="P3450" i="1"/>
  <c r="P3449" i="1"/>
  <c r="P3448" i="1"/>
  <c r="P3447" i="1"/>
  <c r="P3446" i="1"/>
  <c r="P3445" i="1"/>
  <c r="P3444" i="1"/>
  <c r="P3443" i="1"/>
  <c r="P3442" i="1"/>
  <c r="P3441" i="1"/>
  <c r="P3440" i="1"/>
  <c r="P3439" i="1"/>
  <c r="P3438" i="1"/>
  <c r="P3437" i="1"/>
  <c r="P3436" i="1"/>
  <c r="P3435" i="1"/>
  <c r="P3434" i="1"/>
  <c r="P3433" i="1"/>
  <c r="P3432" i="1"/>
  <c r="P3431" i="1"/>
  <c r="P3430" i="1"/>
  <c r="P3429" i="1"/>
  <c r="P3428" i="1"/>
  <c r="P3427" i="1"/>
  <c r="P3426" i="1"/>
  <c r="P3425" i="1"/>
  <c r="P3424" i="1"/>
  <c r="P3423" i="1"/>
  <c r="P3422" i="1"/>
  <c r="P3421" i="1"/>
  <c r="P3420" i="1"/>
  <c r="P3419" i="1"/>
  <c r="P3418" i="1"/>
  <c r="P3417" i="1"/>
  <c r="P3416" i="1"/>
  <c r="P3415" i="1"/>
  <c r="P3414" i="1"/>
  <c r="P3413" i="1"/>
  <c r="P3412" i="1"/>
  <c r="P3411" i="1"/>
  <c r="P3410" i="1"/>
  <c r="P3409" i="1"/>
  <c r="P3408" i="1"/>
  <c r="P3407" i="1"/>
  <c r="P3406" i="1"/>
  <c r="P3405" i="1"/>
  <c r="P3404" i="1"/>
  <c r="P3403" i="1"/>
  <c r="P3402" i="1"/>
  <c r="P3401" i="1"/>
  <c r="P3400" i="1"/>
  <c r="P3399" i="1"/>
  <c r="P3398" i="1"/>
  <c r="P3397" i="1"/>
  <c r="P3396" i="1"/>
  <c r="P3395" i="1"/>
  <c r="P3394" i="1"/>
  <c r="P3393" i="1"/>
  <c r="P3392" i="1"/>
  <c r="P3391" i="1"/>
  <c r="P3390" i="1"/>
  <c r="P3389" i="1"/>
  <c r="P3388" i="1"/>
  <c r="P3387" i="1"/>
  <c r="P3386" i="1"/>
  <c r="P3385" i="1"/>
  <c r="P3384" i="1"/>
  <c r="P3383" i="1"/>
  <c r="P3382" i="1"/>
  <c r="P3381" i="1"/>
  <c r="P3380" i="1"/>
  <c r="P3379" i="1"/>
  <c r="P3378" i="1"/>
  <c r="P3377" i="1"/>
  <c r="P3376" i="1"/>
  <c r="P3375" i="1"/>
  <c r="P3374" i="1"/>
  <c r="P3373" i="1"/>
  <c r="P3372" i="1"/>
  <c r="P3371" i="1"/>
  <c r="P3370" i="1"/>
  <c r="P3369" i="1"/>
  <c r="P3368" i="1"/>
  <c r="P3367" i="1"/>
  <c r="P3366" i="1"/>
  <c r="P3365" i="1"/>
  <c r="P3364" i="1"/>
  <c r="P3363" i="1"/>
  <c r="P3362" i="1"/>
  <c r="P3361" i="1"/>
  <c r="P3360" i="1"/>
  <c r="P3359" i="1"/>
  <c r="P3358" i="1"/>
  <c r="P3357" i="1"/>
  <c r="P3356" i="1"/>
  <c r="P3355" i="1"/>
  <c r="P3354" i="1"/>
  <c r="P3353" i="1"/>
  <c r="P3352" i="1"/>
  <c r="P3351" i="1"/>
  <c r="P3350" i="1"/>
  <c r="P3349" i="1"/>
  <c r="P3348" i="1"/>
  <c r="P3347" i="1"/>
  <c r="P3346" i="1"/>
  <c r="P3345" i="1"/>
  <c r="P3344" i="1"/>
  <c r="P3343" i="1"/>
  <c r="P3342" i="1"/>
  <c r="P3341" i="1"/>
  <c r="P3340" i="1"/>
  <c r="P3339" i="1"/>
  <c r="P3338" i="1"/>
  <c r="P3337" i="1"/>
  <c r="P3336" i="1"/>
  <c r="P3335" i="1"/>
  <c r="P3334" i="1"/>
  <c r="P3333" i="1"/>
  <c r="P3332" i="1"/>
  <c r="P3331" i="1"/>
  <c r="P3330" i="1"/>
  <c r="P3329" i="1"/>
  <c r="P3328" i="1"/>
  <c r="P3327" i="1"/>
  <c r="P3326" i="1"/>
  <c r="P3325" i="1"/>
  <c r="P3324" i="1"/>
  <c r="P3323" i="1"/>
  <c r="P3322" i="1"/>
  <c r="P3321" i="1"/>
  <c r="P3320" i="1"/>
  <c r="P3319" i="1"/>
  <c r="P3318" i="1"/>
  <c r="P3317" i="1"/>
  <c r="P3316" i="1"/>
  <c r="P3315" i="1"/>
  <c r="P3314" i="1"/>
  <c r="P3313" i="1"/>
  <c r="P3312" i="1"/>
  <c r="P3311" i="1"/>
  <c r="P3310" i="1"/>
  <c r="P3309" i="1"/>
  <c r="P3308" i="1"/>
  <c r="P3307" i="1"/>
  <c r="P3306" i="1"/>
  <c r="P3305" i="1"/>
  <c r="P3304" i="1"/>
  <c r="P3303" i="1"/>
  <c r="P3302" i="1"/>
  <c r="P3301" i="1"/>
  <c r="P3300" i="1"/>
  <c r="P3299" i="1"/>
  <c r="P3298" i="1"/>
  <c r="P3297" i="1"/>
  <c r="P3296" i="1"/>
  <c r="P3295" i="1"/>
  <c r="P3294" i="1"/>
  <c r="P3293" i="1"/>
  <c r="P3292" i="1"/>
  <c r="P3291" i="1"/>
  <c r="P3290" i="1"/>
  <c r="P3289" i="1"/>
  <c r="P3288" i="1"/>
  <c r="P3287" i="1"/>
  <c r="P3286" i="1"/>
  <c r="P3285" i="1"/>
  <c r="P3284" i="1"/>
  <c r="P3283" i="1"/>
  <c r="P3282" i="1"/>
  <c r="P3281" i="1"/>
  <c r="P3280" i="1"/>
  <c r="P3279" i="1"/>
  <c r="P3278" i="1"/>
  <c r="P3277" i="1"/>
  <c r="P3276" i="1"/>
  <c r="P3275" i="1"/>
  <c r="P3274" i="1"/>
  <c r="P3273" i="1"/>
  <c r="P3272" i="1"/>
  <c r="P3271" i="1"/>
  <c r="P3270" i="1"/>
  <c r="P3269" i="1"/>
  <c r="P3268" i="1"/>
  <c r="P3267" i="1"/>
  <c r="P3266" i="1"/>
  <c r="P3265" i="1"/>
  <c r="P3264" i="1"/>
  <c r="P3263" i="1"/>
  <c r="P3262" i="1"/>
  <c r="P3261" i="1"/>
  <c r="P3260" i="1"/>
  <c r="P3259" i="1"/>
  <c r="P3258" i="1"/>
  <c r="P3257" i="1"/>
  <c r="P3256" i="1"/>
  <c r="P3255" i="1"/>
  <c r="P3254" i="1"/>
  <c r="P3253" i="1"/>
  <c r="P3252" i="1"/>
  <c r="P3251" i="1"/>
  <c r="P3250" i="1"/>
  <c r="P3249" i="1"/>
  <c r="P3248" i="1"/>
  <c r="P3247" i="1"/>
  <c r="P3246" i="1"/>
  <c r="P3245" i="1"/>
  <c r="P3244" i="1"/>
  <c r="P3243" i="1"/>
  <c r="P3242" i="1"/>
  <c r="P3241" i="1"/>
  <c r="P3240" i="1"/>
  <c r="P3239" i="1"/>
  <c r="P3238" i="1"/>
  <c r="P3237" i="1"/>
  <c r="P3236" i="1"/>
  <c r="P3235" i="1"/>
  <c r="P3234" i="1"/>
  <c r="P3233" i="1"/>
  <c r="P3232" i="1"/>
  <c r="P3231" i="1"/>
  <c r="P3230" i="1"/>
  <c r="P3229" i="1"/>
  <c r="P3228" i="1"/>
  <c r="P3227" i="1"/>
  <c r="P3226" i="1"/>
  <c r="P3225" i="1"/>
  <c r="P3224" i="1"/>
  <c r="P3223" i="1"/>
  <c r="P3222" i="1"/>
  <c r="P3221" i="1"/>
  <c r="P3220" i="1"/>
  <c r="P3219" i="1"/>
  <c r="P3218" i="1"/>
  <c r="P3217" i="1"/>
  <c r="P3216" i="1"/>
  <c r="P3215" i="1"/>
  <c r="P3214" i="1"/>
  <c r="P3213" i="1"/>
  <c r="P3212" i="1"/>
  <c r="P3211" i="1"/>
  <c r="P3210" i="1"/>
  <c r="P3209" i="1"/>
  <c r="P3208" i="1"/>
  <c r="P3207" i="1"/>
  <c r="P3206" i="1"/>
  <c r="P3205" i="1"/>
  <c r="P3204" i="1"/>
  <c r="P3203" i="1"/>
  <c r="P3202" i="1"/>
  <c r="P3201" i="1"/>
  <c r="P3200" i="1"/>
  <c r="P3199" i="1"/>
  <c r="P3198" i="1"/>
  <c r="P3197" i="1"/>
  <c r="P3196" i="1"/>
  <c r="P3195" i="1"/>
  <c r="P3194" i="1"/>
  <c r="P3193" i="1"/>
  <c r="P3192" i="1"/>
  <c r="P3191" i="1"/>
  <c r="P3190" i="1"/>
  <c r="P3189" i="1"/>
  <c r="P3188" i="1"/>
  <c r="P3187" i="1"/>
  <c r="P3186" i="1"/>
  <c r="P3185" i="1"/>
  <c r="P3184" i="1"/>
  <c r="P3183" i="1"/>
  <c r="P3182" i="1"/>
  <c r="P3181" i="1"/>
  <c r="P3180" i="1"/>
  <c r="P3179" i="1"/>
  <c r="P3178" i="1"/>
  <c r="P3177" i="1"/>
  <c r="P3176" i="1"/>
  <c r="P3175" i="1"/>
  <c r="P3174" i="1"/>
  <c r="P3173" i="1"/>
  <c r="P3172" i="1"/>
  <c r="P3171" i="1"/>
  <c r="P3170" i="1"/>
  <c r="P3169" i="1"/>
  <c r="P3168" i="1"/>
  <c r="P3167" i="1"/>
  <c r="P3166" i="1"/>
  <c r="P3165" i="1"/>
  <c r="P3164" i="1"/>
  <c r="P3163" i="1"/>
  <c r="P3162" i="1"/>
  <c r="P3161" i="1"/>
  <c r="P3160" i="1"/>
  <c r="P3159" i="1"/>
  <c r="P3158" i="1"/>
  <c r="P3157" i="1"/>
  <c r="P3156" i="1"/>
  <c r="P3155" i="1"/>
  <c r="P3154" i="1"/>
  <c r="P3153" i="1"/>
  <c r="P3152" i="1"/>
  <c r="P3151" i="1"/>
  <c r="P3150" i="1"/>
  <c r="P3149" i="1"/>
  <c r="P3148" i="1"/>
  <c r="P3147" i="1"/>
  <c r="P3146" i="1"/>
  <c r="P3145" i="1"/>
  <c r="P3144" i="1"/>
  <c r="P3143" i="1"/>
  <c r="P3142" i="1"/>
  <c r="P3141" i="1"/>
  <c r="P3140" i="1"/>
  <c r="P3139" i="1"/>
  <c r="P3138" i="1"/>
  <c r="P3137" i="1"/>
  <c r="P3136" i="1"/>
  <c r="P3135" i="1"/>
  <c r="P3134" i="1"/>
  <c r="P3133" i="1"/>
  <c r="P3132" i="1"/>
  <c r="P3131" i="1"/>
  <c r="P3130" i="1"/>
  <c r="P3129" i="1"/>
  <c r="P3128" i="1"/>
  <c r="P3127" i="1"/>
  <c r="P3126" i="1"/>
  <c r="P3125" i="1"/>
  <c r="P3124" i="1"/>
  <c r="P3123" i="1"/>
  <c r="P3122" i="1"/>
  <c r="P3121" i="1"/>
  <c r="P3120" i="1"/>
  <c r="P3119" i="1"/>
  <c r="P3118" i="1"/>
  <c r="P3117" i="1"/>
  <c r="P3116" i="1"/>
  <c r="P3115" i="1"/>
  <c r="P3114" i="1"/>
  <c r="P3113" i="1"/>
  <c r="P3112" i="1"/>
  <c r="P3111" i="1"/>
  <c r="P3110" i="1"/>
  <c r="P3109" i="1"/>
  <c r="P3108" i="1"/>
  <c r="P3107" i="1"/>
  <c r="P3106" i="1"/>
  <c r="P3105" i="1"/>
  <c r="P3104" i="1"/>
  <c r="P3103" i="1"/>
  <c r="P3102" i="1"/>
  <c r="P3101" i="1"/>
  <c r="P3100" i="1"/>
  <c r="P3099" i="1"/>
  <c r="P3098" i="1"/>
  <c r="P3097" i="1"/>
  <c r="P3096" i="1"/>
  <c r="P3095" i="1"/>
  <c r="P3094" i="1"/>
  <c r="P3093" i="1"/>
  <c r="P3092" i="1"/>
  <c r="P3091" i="1"/>
  <c r="P3090" i="1"/>
  <c r="P3089" i="1"/>
  <c r="P3088" i="1"/>
  <c r="P3087" i="1"/>
  <c r="P3086" i="1"/>
  <c r="P3085" i="1"/>
  <c r="P3084" i="1"/>
  <c r="P3083" i="1"/>
  <c r="P3082" i="1"/>
  <c r="P3081" i="1"/>
  <c r="P3080" i="1"/>
  <c r="P3079" i="1"/>
  <c r="P3078" i="1"/>
  <c r="P3077" i="1"/>
  <c r="P3076" i="1"/>
  <c r="P3075" i="1"/>
  <c r="P3074" i="1"/>
  <c r="P3073" i="1"/>
  <c r="P3072" i="1"/>
  <c r="P3071" i="1"/>
  <c r="P3070" i="1"/>
  <c r="P3069" i="1"/>
  <c r="P3068" i="1"/>
  <c r="P3067" i="1"/>
  <c r="P3066" i="1"/>
  <c r="P3065" i="1"/>
  <c r="P3064" i="1"/>
  <c r="P3063" i="1"/>
  <c r="P3062" i="1"/>
  <c r="P3061" i="1"/>
  <c r="P3060" i="1"/>
  <c r="P3059" i="1"/>
  <c r="P3058" i="1"/>
  <c r="P3057" i="1"/>
  <c r="P3056" i="1"/>
  <c r="P3055" i="1"/>
  <c r="P3054" i="1"/>
  <c r="P3053" i="1"/>
  <c r="P3052" i="1"/>
  <c r="P3051" i="1"/>
  <c r="P3050" i="1"/>
  <c r="P3049" i="1"/>
  <c r="P3048" i="1"/>
  <c r="P3047" i="1"/>
  <c r="P3046" i="1"/>
  <c r="P3045" i="1"/>
  <c r="P3044" i="1"/>
  <c r="P3043" i="1"/>
  <c r="P3042" i="1"/>
  <c r="P3041" i="1"/>
  <c r="P3040" i="1"/>
  <c r="P3039" i="1"/>
  <c r="P3038" i="1"/>
  <c r="P3037" i="1"/>
  <c r="P3036" i="1"/>
  <c r="P3035" i="1"/>
  <c r="P3034" i="1"/>
  <c r="P3033" i="1"/>
  <c r="P3032" i="1"/>
  <c r="P3031" i="1"/>
  <c r="P3030" i="1"/>
  <c r="P3029" i="1"/>
  <c r="P3028" i="1"/>
  <c r="P3027" i="1"/>
  <c r="P3026" i="1"/>
  <c r="P3025" i="1"/>
  <c r="P3024" i="1"/>
  <c r="P3023" i="1"/>
  <c r="P3022" i="1"/>
  <c r="P3021" i="1"/>
  <c r="P3020" i="1"/>
  <c r="P3019" i="1"/>
  <c r="P3018" i="1"/>
  <c r="P3017" i="1"/>
  <c r="P3016" i="1"/>
  <c r="P3015" i="1"/>
  <c r="P3014" i="1"/>
  <c r="P3013" i="1"/>
  <c r="P3012" i="1"/>
  <c r="P3011" i="1"/>
  <c r="P3010" i="1"/>
  <c r="P3009" i="1"/>
  <c r="P3008" i="1"/>
  <c r="P3007" i="1"/>
  <c r="P3006" i="1"/>
  <c r="P3005" i="1"/>
  <c r="P3004" i="1"/>
  <c r="P3003" i="1"/>
  <c r="P3002" i="1"/>
  <c r="P3001" i="1"/>
  <c r="P3000" i="1"/>
  <c r="P2999" i="1"/>
  <c r="P2998" i="1"/>
  <c r="P2997" i="1"/>
  <c r="P2996" i="1"/>
  <c r="P2995" i="1"/>
  <c r="P2994" i="1"/>
  <c r="P2993" i="1"/>
  <c r="P2992" i="1"/>
  <c r="P2991" i="1"/>
  <c r="P2990" i="1"/>
  <c r="P2989" i="1"/>
  <c r="P2988" i="1"/>
  <c r="P2987" i="1"/>
  <c r="P2986" i="1"/>
  <c r="P2985" i="1"/>
  <c r="P2984" i="1"/>
  <c r="P2983" i="1"/>
  <c r="P2982" i="1"/>
  <c r="P2981" i="1"/>
  <c r="P2980" i="1"/>
  <c r="P2979" i="1"/>
  <c r="P2978" i="1"/>
  <c r="P2977" i="1"/>
  <c r="P2976" i="1"/>
  <c r="P2975" i="1"/>
  <c r="P2974" i="1"/>
  <c r="P2973" i="1"/>
  <c r="P2972" i="1"/>
  <c r="P2971" i="1"/>
  <c r="P2970" i="1"/>
  <c r="P2969" i="1"/>
  <c r="P2968" i="1"/>
  <c r="P2967" i="1"/>
  <c r="P2966" i="1"/>
  <c r="P2965" i="1"/>
  <c r="P2964" i="1"/>
  <c r="P2963" i="1"/>
  <c r="P2962" i="1"/>
  <c r="P2961" i="1"/>
  <c r="P2960" i="1"/>
  <c r="P2959" i="1"/>
  <c r="P2958" i="1"/>
  <c r="P2957" i="1"/>
  <c r="P2956" i="1"/>
  <c r="P2955" i="1"/>
  <c r="P2954" i="1"/>
  <c r="P2953" i="1"/>
  <c r="P2952" i="1"/>
  <c r="P2951" i="1"/>
  <c r="P2950" i="1"/>
  <c r="P2949" i="1"/>
  <c r="P2948" i="1"/>
  <c r="P2947" i="1"/>
  <c r="P2946" i="1"/>
  <c r="P2945" i="1"/>
  <c r="P2944" i="1"/>
  <c r="P2943" i="1"/>
  <c r="P2942" i="1"/>
  <c r="P2941" i="1"/>
  <c r="P2940" i="1"/>
  <c r="P2939" i="1"/>
  <c r="P2938" i="1"/>
  <c r="P2937" i="1"/>
  <c r="P2936" i="1"/>
  <c r="P2935" i="1"/>
  <c r="P2934" i="1"/>
  <c r="P2933" i="1"/>
  <c r="P2932" i="1"/>
  <c r="P2931" i="1"/>
  <c r="P2930" i="1"/>
  <c r="P2929" i="1"/>
  <c r="P2928" i="1"/>
  <c r="P2927" i="1"/>
  <c r="P2926" i="1"/>
  <c r="P2925" i="1"/>
  <c r="P2924" i="1"/>
  <c r="P2923" i="1"/>
  <c r="P2922" i="1"/>
  <c r="P2921" i="1"/>
  <c r="P2920" i="1"/>
  <c r="P2919" i="1"/>
  <c r="P2918" i="1"/>
  <c r="P2917" i="1"/>
  <c r="P2916" i="1"/>
  <c r="P2915" i="1"/>
  <c r="P2914" i="1"/>
  <c r="P2913" i="1"/>
  <c r="P2912" i="1"/>
  <c r="P2911" i="1"/>
  <c r="P2910" i="1"/>
  <c r="P2909" i="1"/>
  <c r="P2908" i="1"/>
  <c r="P2907" i="1"/>
  <c r="P2906" i="1"/>
  <c r="P2905" i="1"/>
  <c r="P2904" i="1"/>
  <c r="P2903" i="1"/>
  <c r="P2902" i="1"/>
  <c r="P2901" i="1"/>
  <c r="P2900" i="1"/>
  <c r="P2899" i="1"/>
  <c r="P2898" i="1"/>
  <c r="P2897" i="1"/>
  <c r="P2896" i="1"/>
  <c r="P2895" i="1"/>
  <c r="P2894" i="1"/>
  <c r="P2893" i="1"/>
  <c r="P2892" i="1"/>
  <c r="P2891" i="1"/>
  <c r="P2890" i="1"/>
  <c r="P2889" i="1"/>
  <c r="P2888" i="1"/>
  <c r="P2887" i="1"/>
  <c r="P2886" i="1"/>
  <c r="P2885" i="1"/>
  <c r="P2884" i="1"/>
  <c r="P2883" i="1"/>
  <c r="P2882" i="1"/>
  <c r="P2881" i="1"/>
  <c r="P2880" i="1"/>
  <c r="P2879" i="1"/>
  <c r="P2878" i="1"/>
  <c r="P2877" i="1"/>
  <c r="P2876" i="1"/>
  <c r="P2875" i="1"/>
  <c r="P2874" i="1"/>
  <c r="P2873" i="1"/>
  <c r="P2872" i="1"/>
  <c r="P2871" i="1"/>
  <c r="P2870" i="1"/>
  <c r="P2869" i="1"/>
  <c r="P2868" i="1"/>
  <c r="P2867" i="1"/>
  <c r="P2866" i="1"/>
  <c r="P2865" i="1"/>
  <c r="P2864" i="1"/>
  <c r="P2863" i="1"/>
  <c r="P2862" i="1"/>
  <c r="P2861" i="1"/>
  <c r="P2860" i="1"/>
  <c r="P2859"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4" i="1"/>
  <c r="P2803"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P2679" i="1"/>
  <c r="P2678" i="1"/>
  <c r="P2677" i="1"/>
  <c r="P2676" i="1"/>
  <c r="P2675" i="1"/>
  <c r="P2674" i="1"/>
  <c r="P2673" i="1"/>
  <c r="P2672" i="1"/>
  <c r="P2671" i="1"/>
  <c r="P2670" i="1"/>
  <c r="P2669" i="1"/>
  <c r="P2668" i="1"/>
  <c r="P2667" i="1"/>
  <c r="P2666" i="1"/>
  <c r="P2665" i="1"/>
  <c r="P2664" i="1"/>
  <c r="P2663" i="1"/>
  <c r="P2662" i="1"/>
  <c r="P2661" i="1"/>
  <c r="P2660" i="1"/>
  <c r="P2659" i="1"/>
  <c r="P2658" i="1"/>
  <c r="P2657" i="1"/>
  <c r="P2656" i="1"/>
  <c r="P2655" i="1"/>
  <c r="P2654" i="1"/>
  <c r="P2653" i="1"/>
  <c r="P2652" i="1"/>
  <c r="P2651" i="1"/>
  <c r="P2650" i="1"/>
  <c r="P2649" i="1"/>
  <c r="P2648" i="1"/>
  <c r="P2647" i="1"/>
  <c r="P2646" i="1"/>
  <c r="P2645" i="1"/>
  <c r="P2644" i="1"/>
  <c r="P2643" i="1"/>
  <c r="P2642" i="1"/>
  <c r="P2641" i="1"/>
  <c r="P2640" i="1"/>
  <c r="P2639" i="1"/>
  <c r="P2638" i="1"/>
  <c r="P2637" i="1"/>
  <c r="P2636" i="1"/>
  <c r="P2635" i="1"/>
  <c r="P2634" i="1"/>
  <c r="P2633" i="1"/>
  <c r="P2632" i="1"/>
  <c r="P2631" i="1"/>
  <c r="P2630" i="1"/>
  <c r="P2629" i="1"/>
  <c r="P2628" i="1"/>
  <c r="P2627" i="1"/>
  <c r="P2626" i="1"/>
  <c r="P2625" i="1"/>
  <c r="P2624" i="1"/>
  <c r="P2623" i="1"/>
  <c r="P2622" i="1"/>
  <c r="P2621" i="1"/>
  <c r="P2620" i="1"/>
  <c r="P2619" i="1"/>
  <c r="P2618" i="1"/>
  <c r="P2617" i="1"/>
  <c r="P2616" i="1"/>
  <c r="P2615" i="1"/>
  <c r="P2614" i="1"/>
  <c r="P2613" i="1"/>
  <c r="P2612" i="1"/>
  <c r="P2611" i="1"/>
  <c r="P2610" i="1"/>
  <c r="P2609" i="1"/>
  <c r="P2608" i="1"/>
  <c r="P2607" i="1"/>
  <c r="P2606" i="1"/>
  <c r="P2605" i="1"/>
  <c r="P2604" i="1"/>
  <c r="P2603" i="1"/>
  <c r="P2602" i="1"/>
  <c r="P2601" i="1"/>
  <c r="P2600" i="1"/>
  <c r="P2599" i="1"/>
  <c r="P2598" i="1"/>
  <c r="P2597" i="1"/>
  <c r="P2596" i="1"/>
  <c r="P2595" i="1"/>
  <c r="P2594" i="1"/>
  <c r="P2593" i="1"/>
  <c r="P2592" i="1"/>
  <c r="P2591" i="1"/>
  <c r="P2590" i="1"/>
  <c r="P2589" i="1"/>
  <c r="P2588" i="1"/>
  <c r="P2587" i="1"/>
  <c r="P2586" i="1"/>
  <c r="P2585" i="1"/>
  <c r="P2584" i="1"/>
  <c r="P2583" i="1"/>
  <c r="P2582" i="1"/>
  <c r="P2581" i="1"/>
  <c r="P2580" i="1"/>
  <c r="P2579" i="1"/>
  <c r="P2578" i="1"/>
  <c r="P2577" i="1"/>
  <c r="P2576" i="1"/>
  <c r="P2575" i="1"/>
  <c r="P2574" i="1"/>
  <c r="P2573" i="1"/>
  <c r="P2572" i="1"/>
  <c r="P2571" i="1"/>
  <c r="P2570" i="1"/>
  <c r="P2569" i="1"/>
  <c r="P2568" i="1"/>
  <c r="P2567" i="1"/>
  <c r="P2566" i="1"/>
  <c r="P2565" i="1"/>
  <c r="P2564" i="1"/>
  <c r="P2563" i="1"/>
  <c r="P2562" i="1"/>
  <c r="P2561" i="1"/>
  <c r="P2560" i="1"/>
  <c r="P2559" i="1"/>
  <c r="P2558" i="1"/>
  <c r="P2557" i="1"/>
  <c r="P2556" i="1"/>
  <c r="P2555" i="1"/>
  <c r="P2554" i="1"/>
  <c r="P2553" i="1"/>
  <c r="P2552" i="1"/>
  <c r="P2551" i="1"/>
  <c r="P2550" i="1"/>
  <c r="P2549" i="1"/>
  <c r="P2548" i="1"/>
  <c r="P2547" i="1"/>
  <c r="P2546" i="1"/>
  <c r="P2545" i="1"/>
  <c r="P2544" i="1"/>
  <c r="P2543" i="1"/>
  <c r="P2542" i="1"/>
  <c r="P2541" i="1"/>
  <c r="P2540" i="1"/>
  <c r="P2539" i="1"/>
  <c r="P2538" i="1"/>
  <c r="P2537" i="1"/>
  <c r="P2536" i="1"/>
  <c r="P2535" i="1"/>
  <c r="P2534" i="1"/>
  <c r="P2533" i="1"/>
  <c r="P2532" i="1"/>
  <c r="P2531" i="1"/>
  <c r="P2530" i="1"/>
  <c r="P2529" i="1"/>
  <c r="P2528" i="1"/>
  <c r="P2527" i="1"/>
  <c r="P2526" i="1"/>
  <c r="P2525" i="1"/>
  <c r="P2524" i="1"/>
  <c r="P2523" i="1"/>
  <c r="P2522" i="1"/>
  <c r="P2521" i="1"/>
  <c r="P2520" i="1"/>
  <c r="P2519" i="1"/>
  <c r="P2518" i="1"/>
  <c r="P2517" i="1"/>
  <c r="P2516" i="1"/>
  <c r="P2515" i="1"/>
  <c r="P2514"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56" i="1"/>
  <c r="P2455" i="1"/>
  <c r="P2454" i="1"/>
  <c r="P2453" i="1"/>
  <c r="P2452" i="1"/>
  <c r="P2451" i="1"/>
  <c r="P2450" i="1"/>
  <c r="P2449" i="1"/>
  <c r="P2448" i="1"/>
  <c r="P2447" i="1"/>
  <c r="P2446" i="1"/>
  <c r="P2445" i="1"/>
  <c r="P2444" i="1"/>
  <c r="P2443" i="1"/>
  <c r="P2442" i="1"/>
  <c r="P2441" i="1"/>
  <c r="P2440" i="1"/>
  <c r="P2439" i="1"/>
  <c r="P2438" i="1"/>
  <c r="P2437" i="1"/>
  <c r="P2436" i="1"/>
  <c r="P2435" i="1"/>
  <c r="P2434" i="1"/>
  <c r="P2433" i="1"/>
  <c r="P2432" i="1"/>
  <c r="P2431" i="1"/>
  <c r="P2430" i="1"/>
  <c r="P2429" i="1"/>
  <c r="P2428" i="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P2394" i="1"/>
  <c r="P2393" i="1"/>
  <c r="P2392" i="1"/>
  <c r="P2391" i="1"/>
  <c r="P2390" i="1"/>
  <c r="P2389" i="1"/>
  <c r="P2388" i="1"/>
  <c r="P2387" i="1"/>
  <c r="P2386" i="1"/>
  <c r="P2385" i="1"/>
  <c r="P2384" i="1"/>
  <c r="P2383" i="1"/>
  <c r="P2382" i="1"/>
  <c r="P2381" i="1"/>
  <c r="P2380" i="1"/>
  <c r="P2379" i="1"/>
  <c r="P2378" i="1"/>
  <c r="P2377" i="1"/>
  <c r="P2376" i="1"/>
  <c r="P2375" i="1"/>
  <c r="P2374" i="1"/>
  <c r="P2373" i="1"/>
  <c r="P2372" i="1"/>
  <c r="P2371" i="1"/>
  <c r="P2370" i="1"/>
  <c r="P2369" i="1"/>
  <c r="P2368" i="1"/>
  <c r="P2367" i="1"/>
  <c r="P2366" i="1"/>
  <c r="P2365" i="1"/>
  <c r="P2364" i="1"/>
  <c r="P2363" i="1"/>
  <c r="P2362" i="1"/>
  <c r="P2361" i="1"/>
  <c r="P2360" i="1"/>
  <c r="P2359" i="1"/>
  <c r="P2358" i="1"/>
  <c r="P2357" i="1"/>
  <c r="P2356" i="1"/>
  <c r="P2355" i="1"/>
  <c r="P2354" i="1"/>
  <c r="P2353" i="1"/>
  <c r="P2352" i="1"/>
  <c r="P2351" i="1"/>
  <c r="P2350" i="1"/>
  <c r="P2349" i="1"/>
  <c r="P2348" i="1"/>
  <c r="P2347" i="1"/>
  <c r="P2346" i="1"/>
  <c r="P2345" i="1"/>
  <c r="P2344" i="1"/>
  <c r="P2343"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5"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49" i="1"/>
  <c r="P2248" i="1"/>
  <c r="P2247" i="1"/>
  <c r="P2246" i="1"/>
  <c r="P2245" i="1"/>
  <c r="P2244" i="1"/>
  <c r="P2243" i="1"/>
  <c r="P2242" i="1"/>
  <c r="P2241" i="1"/>
  <c r="P2240" i="1"/>
  <c r="P2239" i="1"/>
  <c r="P2238" i="1"/>
  <c r="P2237" i="1"/>
  <c r="P2236" i="1"/>
  <c r="P2235" i="1"/>
  <c r="P2234" i="1"/>
  <c r="P2233" i="1"/>
  <c r="P2232" i="1"/>
  <c r="P2231" i="1"/>
  <c r="P2230" i="1"/>
  <c r="P2229" i="1"/>
  <c r="P2228" i="1"/>
  <c r="P2227" i="1"/>
  <c r="P2226" i="1"/>
  <c r="P2225" i="1"/>
  <c r="P2224" i="1"/>
  <c r="P2223" i="1"/>
  <c r="P2222" i="1"/>
  <c r="P2221" i="1"/>
  <c r="P2220" i="1"/>
  <c r="P2219" i="1"/>
  <c r="P2218" i="1"/>
  <c r="P2217" i="1"/>
  <c r="P2216" i="1"/>
  <c r="P2215" i="1"/>
  <c r="P2214" i="1"/>
  <c r="P2213" i="1"/>
  <c r="P2212" i="1"/>
  <c r="P2211" i="1"/>
  <c r="P2210" i="1"/>
  <c r="P2209" i="1"/>
  <c r="P2208" i="1"/>
  <c r="P2207" i="1"/>
  <c r="P2206" i="1"/>
  <c r="P2205" i="1"/>
  <c r="P2204" i="1"/>
  <c r="P2203" i="1"/>
  <c r="P2202" i="1"/>
  <c r="P2201" i="1"/>
  <c r="P2200" i="1"/>
  <c r="P2199" i="1"/>
  <c r="P2198" i="1"/>
  <c r="P2197" i="1"/>
  <c r="P2196" i="1"/>
  <c r="P2195" i="1"/>
  <c r="P2194" i="1"/>
  <c r="P2193" i="1"/>
  <c r="P2192" i="1"/>
  <c r="P2191" i="1"/>
  <c r="P2190" i="1"/>
  <c r="P2189" i="1"/>
  <c r="P2188" i="1"/>
  <c r="P2187" i="1"/>
  <c r="P2186" i="1"/>
  <c r="P2185" i="1"/>
  <c r="P2184" i="1"/>
  <c r="P2183" i="1"/>
  <c r="P2182" i="1"/>
  <c r="P2181" i="1"/>
  <c r="P2180" i="1"/>
  <c r="P2179" i="1"/>
  <c r="P2178" i="1"/>
  <c r="P2177" i="1"/>
  <c r="P2176" i="1"/>
  <c r="P2175" i="1"/>
  <c r="P2174" i="1"/>
  <c r="P2173" i="1"/>
  <c r="P2172" i="1"/>
  <c r="P2171" i="1"/>
  <c r="P2170" i="1"/>
  <c r="P2169" i="1"/>
  <c r="P2168" i="1"/>
  <c r="P2167" i="1"/>
  <c r="P2166" i="1"/>
  <c r="P2165" i="1"/>
  <c r="P2164" i="1"/>
  <c r="P2163" i="1"/>
  <c r="P2162" i="1"/>
  <c r="P2161" i="1"/>
  <c r="P2160" i="1"/>
  <c r="P2159" i="1"/>
  <c r="P2158" i="1"/>
  <c r="P2157" i="1"/>
  <c r="P2156" i="1"/>
  <c r="P2155" i="1"/>
  <c r="P2154" i="1"/>
  <c r="P2153" i="1"/>
  <c r="P2152" i="1"/>
  <c r="P2151" i="1"/>
  <c r="P2150" i="1"/>
  <c r="P2149" i="1"/>
  <c r="P2148" i="1"/>
  <c r="P2147" i="1"/>
  <c r="P2146" i="1"/>
  <c r="P2145" i="1"/>
  <c r="P2144" i="1"/>
  <c r="P2143" i="1"/>
  <c r="P2142" i="1"/>
  <c r="P2141" i="1"/>
  <c r="P2140" i="1"/>
  <c r="P2139" i="1"/>
  <c r="P2138" i="1"/>
  <c r="P2137" i="1"/>
  <c r="P2136" i="1"/>
  <c r="P2135" i="1"/>
  <c r="P2134" i="1"/>
  <c r="P2133" i="1"/>
  <c r="P2132" i="1"/>
  <c r="P2131" i="1"/>
  <c r="P2130" i="1"/>
  <c r="P2129" i="1"/>
  <c r="P2128" i="1"/>
  <c r="P2127" i="1"/>
  <c r="P2126" i="1"/>
  <c r="P2125" i="1"/>
  <c r="P2124" i="1"/>
  <c r="P2123" i="1"/>
  <c r="P2122" i="1"/>
  <c r="P2121" i="1"/>
  <c r="P2120" i="1"/>
  <c r="P2119" i="1"/>
  <c r="P2118" i="1"/>
  <c r="P2117" i="1"/>
  <c r="P2116" i="1"/>
  <c r="P2115" i="1"/>
  <c r="P2114" i="1"/>
  <c r="P2113" i="1"/>
  <c r="P2112" i="1"/>
  <c r="P2111" i="1"/>
  <c r="P2110" i="1"/>
  <c r="P2109" i="1"/>
  <c r="P2108" i="1"/>
  <c r="P2107" i="1"/>
  <c r="P2106" i="1"/>
  <c r="P2105" i="1"/>
  <c r="P2104" i="1"/>
  <c r="P2103" i="1"/>
  <c r="P2102" i="1"/>
  <c r="P2101" i="1"/>
  <c r="P2100" i="1"/>
  <c r="P2099" i="1"/>
  <c r="P2098" i="1"/>
  <c r="P2097" i="1"/>
  <c r="P2096" i="1"/>
  <c r="P2095" i="1"/>
  <c r="P2094" i="1"/>
  <c r="P2093" i="1"/>
  <c r="P2092" i="1"/>
  <c r="P2091" i="1"/>
  <c r="P2090" i="1"/>
  <c r="P2089" i="1"/>
  <c r="P2088" i="1"/>
  <c r="P2087" i="1"/>
  <c r="P2086" i="1"/>
  <c r="P2085" i="1"/>
  <c r="P2084" i="1"/>
  <c r="P2083" i="1"/>
  <c r="P2082" i="1"/>
  <c r="P2081" i="1"/>
  <c r="P2080" i="1"/>
  <c r="P2079" i="1"/>
  <c r="P2078" i="1"/>
  <c r="P2077" i="1"/>
  <c r="P2076" i="1"/>
  <c r="P2075" i="1"/>
  <c r="P2074" i="1"/>
  <c r="P2073" i="1"/>
  <c r="P2072" i="1"/>
  <c r="P2071" i="1"/>
  <c r="P2070" i="1"/>
  <c r="P2069" i="1"/>
  <c r="P2068" i="1"/>
  <c r="P2067" i="1"/>
  <c r="P2066" i="1"/>
  <c r="P2065" i="1"/>
  <c r="P2064" i="1"/>
  <c r="P2063" i="1"/>
  <c r="P2062" i="1"/>
  <c r="P2061" i="1"/>
  <c r="P2060" i="1"/>
  <c r="P2059" i="1"/>
  <c r="P2058" i="1"/>
  <c r="P2057" i="1"/>
  <c r="P2056" i="1"/>
  <c r="P2055" i="1"/>
  <c r="P2054" i="1"/>
  <c r="P2053" i="1"/>
  <c r="P2052" i="1"/>
  <c r="P2051" i="1"/>
  <c r="P2050" i="1"/>
  <c r="P2049" i="1"/>
  <c r="P2048" i="1"/>
  <c r="P2047" i="1"/>
  <c r="P2046" i="1"/>
  <c r="P2045" i="1"/>
  <c r="P2044" i="1"/>
  <c r="P2043" i="1"/>
  <c r="P2042" i="1"/>
  <c r="P2041" i="1"/>
  <c r="P2040" i="1"/>
  <c r="P2039" i="1"/>
  <c r="P2038" i="1"/>
  <c r="P2037" i="1"/>
  <c r="P2036" i="1"/>
  <c r="P2035" i="1"/>
  <c r="P2034" i="1"/>
  <c r="P2033" i="1"/>
  <c r="P2032" i="1"/>
  <c r="P2031" i="1"/>
  <c r="P2030" i="1"/>
  <c r="P2029" i="1"/>
  <c r="P2028" i="1"/>
  <c r="P2027" i="1"/>
  <c r="P2026" i="1"/>
  <c r="P2025" i="1"/>
  <c r="P2024" i="1"/>
  <c r="P2023" i="1"/>
  <c r="P2022" i="1"/>
  <c r="P2021" i="1"/>
  <c r="P2020" i="1"/>
  <c r="P2019" i="1"/>
  <c r="P2018" i="1"/>
  <c r="P2017" i="1"/>
  <c r="P2016" i="1"/>
  <c r="P2015" i="1"/>
  <c r="P2014" i="1"/>
  <c r="P2013" i="1"/>
  <c r="P2012" i="1"/>
  <c r="P2011" i="1"/>
  <c r="P2010" i="1"/>
  <c r="P2009" i="1"/>
  <c r="P2008" i="1"/>
  <c r="P2007" i="1"/>
  <c r="P2006" i="1"/>
  <c r="P2005" i="1"/>
  <c r="P2004" i="1"/>
  <c r="P2003" i="1"/>
  <c r="P2002" i="1"/>
  <c r="P2001" i="1"/>
  <c r="P2000" i="1"/>
  <c r="P1999" i="1"/>
  <c r="P1998" i="1"/>
  <c r="P1997" i="1"/>
  <c r="P1996" i="1"/>
  <c r="P1995" i="1"/>
  <c r="P1994" i="1"/>
  <c r="P1993" i="1"/>
  <c r="P1992" i="1"/>
  <c r="P1991" i="1"/>
  <c r="P1990" i="1"/>
  <c r="P1989" i="1"/>
  <c r="P1988" i="1"/>
  <c r="P1987" i="1"/>
  <c r="P1986" i="1"/>
  <c r="P1985" i="1"/>
  <c r="P1984" i="1"/>
  <c r="P1983" i="1"/>
  <c r="P1982" i="1"/>
  <c r="P1981" i="1"/>
  <c r="P1980" i="1"/>
  <c r="P1979" i="1"/>
  <c r="P1978" i="1"/>
  <c r="P1977" i="1"/>
  <c r="P1976" i="1"/>
  <c r="P1975" i="1"/>
  <c r="P1974" i="1"/>
  <c r="P1973" i="1"/>
  <c r="P1972" i="1"/>
  <c r="P1971" i="1"/>
  <c r="P1970" i="1"/>
  <c r="P1969" i="1"/>
  <c r="P1968" i="1"/>
  <c r="P1967" i="1"/>
  <c r="P1966" i="1"/>
  <c r="P1965" i="1"/>
  <c r="P1964" i="1"/>
  <c r="P1963" i="1"/>
  <c r="P1962" i="1"/>
  <c r="P1961" i="1"/>
  <c r="P1960" i="1"/>
  <c r="P1959" i="1"/>
  <c r="P1958" i="1"/>
  <c r="P1957" i="1"/>
  <c r="P1956" i="1"/>
  <c r="P1955" i="1"/>
  <c r="P1954" i="1"/>
  <c r="P1953" i="1"/>
  <c r="P1952" i="1"/>
  <c r="P1951" i="1"/>
  <c r="P1950" i="1"/>
  <c r="P1949" i="1"/>
  <c r="P1948" i="1"/>
  <c r="P1947" i="1"/>
  <c r="P1946" i="1"/>
  <c r="P1945" i="1"/>
  <c r="P1944" i="1"/>
  <c r="P1943" i="1"/>
  <c r="P1942" i="1"/>
  <c r="P1941" i="1"/>
  <c r="P1940" i="1"/>
  <c r="P1939" i="1"/>
  <c r="P1938" i="1"/>
  <c r="P1937" i="1"/>
  <c r="P1936" i="1"/>
  <c r="P1935" i="1"/>
  <c r="P1934" i="1"/>
  <c r="P1933" i="1"/>
  <c r="P1932" i="1"/>
  <c r="P1931" i="1"/>
  <c r="P1930" i="1"/>
  <c r="P1929" i="1"/>
  <c r="P1928" i="1"/>
  <c r="P1927" i="1"/>
  <c r="P1926" i="1"/>
  <c r="P1925" i="1"/>
  <c r="P1924" i="1"/>
  <c r="P1923" i="1"/>
  <c r="P1922" i="1"/>
  <c r="P1921" i="1"/>
  <c r="P1920" i="1"/>
  <c r="P1919" i="1"/>
  <c r="P1918" i="1"/>
  <c r="P1917" i="1"/>
  <c r="P1916" i="1"/>
  <c r="P1915" i="1"/>
  <c r="P1914" i="1"/>
  <c r="P1913" i="1"/>
  <c r="P1912" i="1"/>
  <c r="P1911" i="1"/>
  <c r="P1910" i="1"/>
  <c r="P1909" i="1"/>
  <c r="P1908" i="1"/>
  <c r="P1907" i="1"/>
  <c r="P1906" i="1"/>
  <c r="P1905" i="1"/>
  <c r="P1904" i="1"/>
  <c r="P1903" i="1"/>
  <c r="P1902" i="1"/>
  <c r="P1901" i="1"/>
  <c r="P1900" i="1"/>
  <c r="P1899" i="1"/>
  <c r="P1898" i="1"/>
  <c r="P1897" i="1"/>
  <c r="P1896" i="1"/>
  <c r="P1895" i="1"/>
  <c r="P1894" i="1"/>
  <c r="P1893" i="1"/>
  <c r="P1892" i="1"/>
  <c r="P1891" i="1"/>
  <c r="P1890" i="1"/>
  <c r="P1889" i="1"/>
  <c r="P1888" i="1"/>
  <c r="P1887" i="1"/>
  <c r="P1886" i="1"/>
  <c r="P1885" i="1"/>
  <c r="P1884" i="1"/>
  <c r="P1883" i="1"/>
  <c r="P1882" i="1"/>
  <c r="P1881" i="1"/>
  <c r="P1880" i="1"/>
  <c r="P1879" i="1"/>
  <c r="P1878" i="1"/>
  <c r="P1877" i="1"/>
  <c r="P1876" i="1"/>
  <c r="P1875" i="1"/>
  <c r="P1874" i="1"/>
  <c r="P1873" i="1"/>
  <c r="P1872" i="1"/>
  <c r="P1871" i="1"/>
  <c r="P1870" i="1"/>
  <c r="P1869" i="1"/>
  <c r="P1868" i="1"/>
  <c r="P1867" i="1"/>
  <c r="P1866" i="1"/>
  <c r="P1865" i="1"/>
  <c r="P1864" i="1"/>
  <c r="P1863" i="1"/>
  <c r="P1862" i="1"/>
  <c r="P1861" i="1"/>
  <c r="P1860" i="1"/>
  <c r="P1859" i="1"/>
  <c r="P1858" i="1"/>
  <c r="P1857" i="1"/>
  <c r="P1856" i="1"/>
  <c r="P1855" i="1"/>
  <c r="P1854" i="1"/>
  <c r="P1853" i="1"/>
  <c r="P1852" i="1"/>
  <c r="P1851" i="1"/>
  <c r="P1850" i="1"/>
  <c r="P1849" i="1"/>
  <c r="P1848" i="1"/>
  <c r="P1847" i="1"/>
  <c r="P1846" i="1"/>
  <c r="P1845" i="1"/>
  <c r="P1844" i="1"/>
  <c r="P1843" i="1"/>
  <c r="P1842" i="1"/>
  <c r="P1841" i="1"/>
  <c r="P1840" i="1"/>
  <c r="P1839" i="1"/>
  <c r="P1838" i="1"/>
  <c r="P1837" i="1"/>
  <c r="P1836" i="1"/>
  <c r="P1835" i="1"/>
  <c r="P1834" i="1"/>
  <c r="P1833" i="1"/>
  <c r="P1832" i="1"/>
  <c r="P1831" i="1"/>
  <c r="P1830" i="1"/>
  <c r="P1829" i="1"/>
  <c r="P1828" i="1"/>
  <c r="P1827" i="1"/>
  <c r="P1826" i="1"/>
  <c r="P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P1732" i="1"/>
  <c r="P1731" i="1"/>
  <c r="P1730" i="1"/>
  <c r="P1729" i="1"/>
  <c r="P1728" i="1"/>
  <c r="P1727" i="1"/>
  <c r="P1726" i="1"/>
  <c r="P1725" i="1"/>
  <c r="P1724" i="1"/>
  <c r="P1723" i="1"/>
  <c r="P1722" i="1"/>
  <c r="P1721" i="1"/>
  <c r="P1720" i="1"/>
  <c r="P1719" i="1"/>
  <c r="P1718" i="1"/>
  <c r="P1717" i="1"/>
  <c r="P1716" i="1"/>
  <c r="P1715" i="1"/>
  <c r="P1714" i="1"/>
  <c r="P1713" i="1"/>
  <c r="P1712" i="1"/>
  <c r="P1711" i="1"/>
  <c r="P1710" i="1"/>
  <c r="P1709" i="1"/>
  <c r="P1708" i="1"/>
  <c r="P1707" i="1"/>
  <c r="P1706" i="1"/>
  <c r="P1705" i="1"/>
  <c r="P1704" i="1"/>
  <c r="P1703" i="1"/>
  <c r="P1702" i="1"/>
  <c r="P1701" i="1"/>
  <c r="P1700" i="1"/>
  <c r="P1699" i="1"/>
  <c r="P1698" i="1"/>
  <c r="P1697" i="1"/>
  <c r="P1696" i="1"/>
  <c r="P1695" i="1"/>
  <c r="P1694" i="1"/>
  <c r="P1693" i="1"/>
  <c r="P1692" i="1"/>
  <c r="P1691" i="1"/>
  <c r="P1690" i="1"/>
  <c r="P1689" i="1"/>
  <c r="P1688" i="1"/>
  <c r="P1687" i="1"/>
  <c r="P1686" i="1"/>
  <c r="P1685" i="1"/>
  <c r="P1684" i="1"/>
  <c r="P1683" i="1"/>
  <c r="P1682" i="1"/>
  <c r="P1681" i="1"/>
  <c r="P1680" i="1"/>
  <c r="P1679" i="1"/>
  <c r="P1678" i="1"/>
  <c r="P1677" i="1"/>
  <c r="P1676" i="1"/>
  <c r="P1675" i="1"/>
  <c r="P1674" i="1"/>
  <c r="P1673" i="1"/>
  <c r="P1672" i="1"/>
  <c r="P1671" i="1"/>
  <c r="P1670" i="1"/>
  <c r="P1669" i="1"/>
  <c r="P1668" i="1"/>
  <c r="P1667" i="1"/>
  <c r="P1666" i="1"/>
  <c r="P1665" i="1"/>
  <c r="P1664" i="1"/>
  <c r="P1663" i="1"/>
  <c r="P1662" i="1"/>
  <c r="P1661" i="1"/>
  <c r="P1660" i="1"/>
  <c r="P1659"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30" i="1"/>
  <c r="P1629" i="1"/>
  <c r="P1628" i="1"/>
  <c r="P1627"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P1538" i="1"/>
  <c r="P1537" i="1"/>
  <c r="P1536" i="1"/>
  <c r="P1535" i="1"/>
  <c r="P1534" i="1"/>
  <c r="P1533" i="1"/>
  <c r="P1532" i="1"/>
  <c r="P1531" i="1"/>
  <c r="P1530" i="1"/>
  <c r="P1529" i="1"/>
  <c r="P1528" i="1"/>
  <c r="P1527" i="1"/>
  <c r="P1526" i="1"/>
  <c r="P1525" i="1"/>
  <c r="P1524" i="1"/>
  <c r="P1523" i="1"/>
  <c r="P1522" i="1"/>
  <c r="P1521" i="1"/>
  <c r="P1520" i="1"/>
  <c r="P1519" i="1"/>
  <c r="P1518" i="1"/>
  <c r="P1517" i="1"/>
  <c r="P1516" i="1"/>
  <c r="P1515" i="1"/>
  <c r="P1514" i="1"/>
  <c r="P1513" i="1"/>
  <c r="P1512" i="1"/>
  <c r="P1511" i="1"/>
  <c r="P1510" i="1"/>
  <c r="P1509" i="1"/>
  <c r="P1508" i="1"/>
  <c r="P1507" i="1"/>
  <c r="P1506" i="1"/>
  <c r="P1505" i="1"/>
  <c r="P1504" i="1"/>
  <c r="P1503" i="1"/>
  <c r="P1502" i="1"/>
  <c r="P1501" i="1"/>
  <c r="P1500" i="1"/>
  <c r="P1499" i="1"/>
  <c r="P1498" i="1"/>
  <c r="P1497" i="1"/>
  <c r="P1496" i="1"/>
  <c r="P1495" i="1"/>
  <c r="P1494" i="1"/>
  <c r="P1493" i="1"/>
  <c r="P1492" i="1"/>
  <c r="P1491" i="1"/>
  <c r="P1490" i="1"/>
  <c r="P1489" i="1"/>
  <c r="P1488" i="1"/>
  <c r="P1487" i="1"/>
  <c r="P1486" i="1"/>
  <c r="P1485" i="1"/>
  <c r="P1484" i="1"/>
  <c r="P1483" i="1"/>
  <c r="P1482" i="1"/>
  <c r="P1481" i="1"/>
  <c r="P1480" i="1"/>
  <c r="P1479" i="1"/>
  <c r="P1478" i="1"/>
  <c r="P1477" i="1"/>
  <c r="P1476" i="1"/>
  <c r="P1475" i="1"/>
  <c r="P1474" i="1"/>
  <c r="P1473" i="1"/>
  <c r="P1472" i="1"/>
  <c r="P1471" i="1"/>
  <c r="P1470" i="1"/>
  <c r="P1469" i="1"/>
  <c r="P1468" i="1"/>
  <c r="P1467" i="1"/>
  <c r="P1466" i="1"/>
  <c r="P1465" i="1"/>
  <c r="P1464" i="1"/>
  <c r="P1463" i="1"/>
  <c r="P1462" i="1"/>
  <c r="P1461" i="1"/>
  <c r="P1460" i="1"/>
  <c r="P1459" i="1"/>
  <c r="P1458" i="1"/>
  <c r="P1457" i="1"/>
  <c r="P1456" i="1"/>
  <c r="P1455" i="1"/>
  <c r="P1454" i="1"/>
  <c r="P1453" i="1"/>
  <c r="P1452" i="1"/>
  <c r="P1451" i="1"/>
  <c r="P1450" i="1"/>
  <c r="P1449" i="1"/>
  <c r="P1448" i="1"/>
  <c r="P1447" i="1"/>
  <c r="P1446" i="1"/>
  <c r="P1445" i="1"/>
  <c r="P1444" i="1"/>
  <c r="P1443" i="1"/>
  <c r="P1442" i="1"/>
  <c r="P1441" i="1"/>
  <c r="P1440" i="1"/>
  <c r="P1439" i="1"/>
  <c r="P1438" i="1"/>
  <c r="P1437" i="1"/>
  <c r="P1436" i="1"/>
  <c r="P1435" i="1"/>
  <c r="P1434" i="1"/>
  <c r="P1433" i="1"/>
  <c r="P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86" i="1"/>
  <c r="P1385" i="1"/>
  <c r="P1384" i="1"/>
  <c r="P1383" i="1"/>
  <c r="P1382" i="1"/>
  <c r="P1381" i="1"/>
  <c r="P1380" i="1"/>
  <c r="P1379" i="1"/>
  <c r="P1378" i="1"/>
  <c r="P1377" i="1"/>
  <c r="P1376" i="1"/>
  <c r="P1375" i="1"/>
  <c r="P1374" i="1"/>
  <c r="P1373" i="1"/>
  <c r="P1372" i="1"/>
  <c r="P1371" i="1"/>
  <c r="P1370" i="1"/>
  <c r="P1369" i="1"/>
  <c r="P1368" i="1"/>
  <c r="P1367" i="1"/>
  <c r="P1366" i="1"/>
  <c r="P1365" i="1"/>
  <c r="P1364" i="1"/>
  <c r="P1363" i="1"/>
  <c r="P1362" i="1"/>
  <c r="P1361" i="1"/>
  <c r="P1360" i="1"/>
  <c r="P1359" i="1"/>
  <c r="P1358" i="1"/>
  <c r="P1357" i="1"/>
  <c r="P1356" i="1"/>
  <c r="P1355" i="1"/>
  <c r="P1354" i="1"/>
  <c r="P1353" i="1"/>
  <c r="P1352" i="1"/>
  <c r="P1351" i="1"/>
  <c r="P1350" i="1"/>
  <c r="P1349" i="1"/>
  <c r="P1348" i="1"/>
  <c r="P1347" i="1"/>
  <c r="P1346" i="1"/>
  <c r="P1345" i="1"/>
  <c r="P1344" i="1"/>
  <c r="P1343" i="1"/>
  <c r="P1342" i="1"/>
  <c r="P1341" i="1"/>
  <c r="P1340" i="1"/>
  <c r="P1339" i="1"/>
  <c r="P1338" i="1"/>
  <c r="P1337" i="1"/>
  <c r="P1336" i="1"/>
  <c r="P1335" i="1"/>
  <c r="P1334" i="1"/>
  <c r="P1333" i="1"/>
  <c r="P1332" i="1"/>
  <c r="P1331" i="1"/>
  <c r="P1330" i="1"/>
  <c r="P1329" i="1"/>
  <c r="P1328" i="1"/>
  <c r="P1327" i="1"/>
  <c r="P1326" i="1"/>
  <c r="P1325" i="1"/>
  <c r="P1324" i="1"/>
  <c r="P1323" i="1"/>
  <c r="P1322" i="1"/>
  <c r="P1321" i="1"/>
  <c r="P1320" i="1"/>
  <c r="P1319" i="1"/>
  <c r="P1318" i="1"/>
  <c r="P1317" i="1"/>
  <c r="P1316" i="1"/>
  <c r="P1315" i="1"/>
  <c r="P1314" i="1"/>
  <c r="P1313" i="1"/>
  <c r="P1312" i="1"/>
  <c r="P1311" i="1"/>
  <c r="P1310" i="1"/>
  <c r="P1309" i="1"/>
  <c r="P1308" i="1"/>
  <c r="P1307" i="1"/>
  <c r="P1306" i="1"/>
  <c r="P1305" i="1"/>
  <c r="P1304" i="1"/>
  <c r="P1303" i="1"/>
  <c r="P1302" i="1"/>
  <c r="P1301" i="1"/>
  <c r="P1300" i="1"/>
  <c r="P1299" i="1"/>
  <c r="P1298" i="1"/>
  <c r="P1297" i="1"/>
  <c r="P1296" i="1"/>
  <c r="P1295" i="1"/>
  <c r="P1294" i="1"/>
  <c r="P1293" i="1"/>
  <c r="P1292" i="1"/>
  <c r="P1291" i="1"/>
  <c r="P1290" i="1"/>
  <c r="P1289" i="1"/>
  <c r="P1288" i="1"/>
  <c r="P1287" i="1"/>
  <c r="P1286" i="1"/>
  <c r="P1285" i="1"/>
  <c r="P1284" i="1"/>
  <c r="P1283" i="1"/>
  <c r="P1282" i="1"/>
  <c r="P1281" i="1"/>
  <c r="P1280" i="1"/>
  <c r="P1279" i="1"/>
  <c r="P1278" i="1"/>
  <c r="P1277" i="1"/>
  <c r="P1276" i="1"/>
  <c r="P1275" i="1"/>
  <c r="P1274" i="1"/>
  <c r="P1273" i="1"/>
  <c r="P1272" i="1"/>
  <c r="P1271" i="1"/>
  <c r="P1270" i="1"/>
  <c r="P1269" i="1"/>
  <c r="P1268" i="1"/>
  <c r="P1267" i="1"/>
  <c r="P1266" i="1"/>
  <c r="P1265" i="1"/>
  <c r="P1264" i="1"/>
  <c r="P1263" i="1"/>
  <c r="P1262" i="1"/>
  <c r="P1261" i="1"/>
  <c r="P1260" i="1"/>
  <c r="P1259" i="1"/>
  <c r="P1258" i="1"/>
  <c r="P1257" i="1"/>
  <c r="P1256" i="1"/>
  <c r="P1255" i="1"/>
  <c r="P1254" i="1"/>
  <c r="P1253" i="1"/>
  <c r="P1252" i="1"/>
  <c r="P1251" i="1"/>
  <c r="P1250" i="1"/>
  <c r="P1249" i="1"/>
  <c r="P1248" i="1"/>
  <c r="P1247" i="1"/>
  <c r="P1246" i="1"/>
  <c r="P1245" i="1"/>
  <c r="P1244" i="1"/>
  <c r="P1243" i="1"/>
  <c r="P1242" i="1"/>
  <c r="P1241" i="1"/>
  <c r="P1240" i="1"/>
  <c r="P1239" i="1"/>
  <c r="P1238" i="1"/>
  <c r="P1237" i="1"/>
  <c r="P1236" i="1"/>
  <c r="P1235" i="1"/>
  <c r="P1234" i="1"/>
  <c r="P1233" i="1"/>
  <c r="P1232" i="1"/>
  <c r="P1231" i="1"/>
  <c r="P1230" i="1"/>
  <c r="P1229" i="1"/>
  <c r="P1228" i="1"/>
  <c r="P1227" i="1"/>
  <c r="P1226" i="1"/>
  <c r="P1225" i="1"/>
  <c r="P1224" i="1"/>
  <c r="P1223" i="1"/>
  <c r="P1222" i="1"/>
  <c r="P1221" i="1"/>
  <c r="P1220" i="1"/>
  <c r="P1219" i="1"/>
  <c r="P1218" i="1"/>
  <c r="P1217" i="1"/>
  <c r="P1216" i="1"/>
  <c r="P1215" i="1"/>
  <c r="P1214" i="1"/>
  <c r="P1213" i="1"/>
  <c r="P1212" i="1"/>
  <c r="P1211" i="1"/>
  <c r="P1210" i="1"/>
  <c r="P1209" i="1"/>
  <c r="P1208" i="1"/>
  <c r="P1207" i="1"/>
  <c r="P1206" i="1"/>
  <c r="P1205" i="1"/>
  <c r="P1204" i="1"/>
  <c r="P1203" i="1"/>
  <c r="P1202" i="1"/>
  <c r="P1201" i="1"/>
  <c r="P1200" i="1"/>
  <c r="P1199" i="1"/>
  <c r="P1198" i="1"/>
  <c r="P1197" i="1"/>
  <c r="P1196" i="1"/>
  <c r="P1195" i="1"/>
  <c r="P1194" i="1"/>
  <c r="P1193" i="1"/>
  <c r="P1192" i="1"/>
  <c r="P1191" i="1"/>
  <c r="P1190" i="1"/>
  <c r="P1189" i="1"/>
  <c r="P1188" i="1"/>
  <c r="P1187" i="1"/>
  <c r="P1186" i="1"/>
  <c r="P1185" i="1"/>
  <c r="P1184" i="1"/>
  <c r="P1183" i="1"/>
  <c r="P1182" i="1"/>
  <c r="P1181" i="1"/>
  <c r="P1180" i="1"/>
  <c r="P1179" i="1"/>
  <c r="P1178" i="1"/>
  <c r="P1177" i="1"/>
  <c r="P1176" i="1"/>
  <c r="P1175" i="1"/>
  <c r="P1174" i="1"/>
  <c r="P1173" i="1"/>
  <c r="P1172" i="1"/>
  <c r="P1171" i="1"/>
  <c r="P1170" i="1"/>
  <c r="P1169" i="1"/>
  <c r="P1168" i="1"/>
  <c r="P1167" i="1"/>
  <c r="P1166" i="1"/>
  <c r="P1165" i="1"/>
  <c r="P1164" i="1"/>
  <c r="P1163" i="1"/>
  <c r="P1162" i="1"/>
  <c r="P1161" i="1"/>
  <c r="P1160" i="1"/>
  <c r="P1159" i="1"/>
  <c r="P1158" i="1"/>
  <c r="P1157" i="1"/>
  <c r="P1156" i="1"/>
  <c r="P1155" i="1"/>
  <c r="P1154" i="1"/>
  <c r="P1153" i="1"/>
  <c r="P1152" i="1"/>
  <c r="P1151" i="1"/>
  <c r="P1150" i="1"/>
  <c r="P1149" i="1"/>
  <c r="P1148" i="1"/>
  <c r="P1147" i="1"/>
  <c r="P1146" i="1"/>
  <c r="P1145" i="1"/>
  <c r="P1144" i="1"/>
  <c r="P1143" i="1"/>
  <c r="P1142" i="1"/>
  <c r="P1141" i="1"/>
  <c r="P1140" i="1"/>
  <c r="P1139" i="1"/>
  <c r="P1138" i="1"/>
  <c r="P1137" i="1"/>
  <c r="P1136" i="1"/>
  <c r="P1135" i="1"/>
  <c r="P1134" i="1"/>
  <c r="P1133" i="1"/>
  <c r="P1132" i="1"/>
  <c r="P1131" i="1"/>
  <c r="P1130" i="1"/>
  <c r="P1129" i="1"/>
  <c r="P1128" i="1"/>
  <c r="P1127" i="1"/>
  <c r="P1126" i="1"/>
  <c r="P1125" i="1"/>
  <c r="P1124" i="1"/>
  <c r="P1123" i="1"/>
  <c r="P1122" i="1"/>
  <c r="P1121" i="1"/>
  <c r="P1120" i="1"/>
  <c r="P1119" i="1"/>
  <c r="P1118" i="1"/>
  <c r="P1117" i="1"/>
  <c r="P1116" i="1"/>
  <c r="P1115" i="1"/>
  <c r="P1114" i="1"/>
  <c r="P1113" i="1"/>
  <c r="P1112" i="1"/>
  <c r="P1111" i="1"/>
  <c r="P1110" i="1"/>
  <c r="P1109" i="1"/>
  <c r="P1108" i="1"/>
  <c r="P1107" i="1"/>
  <c r="P1106" i="1"/>
  <c r="P1105" i="1"/>
  <c r="P1104" i="1"/>
  <c r="P1103" i="1"/>
  <c r="P1102" i="1"/>
  <c r="P1101" i="1"/>
  <c r="P1100" i="1"/>
  <c r="P1099" i="1"/>
  <c r="P1098" i="1"/>
  <c r="P1097" i="1"/>
  <c r="P1096" i="1"/>
  <c r="P1095" i="1"/>
  <c r="P1094" i="1"/>
  <c r="P1093" i="1"/>
  <c r="P1092" i="1"/>
  <c r="P1091" i="1"/>
  <c r="P1090" i="1"/>
  <c r="P1089" i="1"/>
  <c r="P1088" i="1"/>
  <c r="P1087" i="1"/>
  <c r="P1086" i="1"/>
  <c r="P1085" i="1"/>
  <c r="P1084" i="1"/>
  <c r="P1083" i="1"/>
  <c r="P1082" i="1"/>
  <c r="P1081" i="1"/>
  <c r="P1080" i="1"/>
  <c r="P1079" i="1"/>
  <c r="P1078" i="1"/>
  <c r="P1077" i="1"/>
  <c r="P1076" i="1"/>
  <c r="P1075" i="1"/>
  <c r="P1074" i="1"/>
  <c r="P1073" i="1"/>
  <c r="P1072" i="1"/>
  <c r="P1071" i="1"/>
  <c r="P1070" i="1"/>
  <c r="P1069" i="1"/>
  <c r="P1068" i="1"/>
  <c r="P1067" i="1"/>
  <c r="P1066" i="1"/>
  <c r="P1065" i="1"/>
  <c r="P1064" i="1"/>
  <c r="P1063" i="1"/>
  <c r="P1062" i="1"/>
  <c r="P1061" i="1"/>
  <c r="P1060" i="1"/>
  <c r="P1059" i="1"/>
  <c r="P1058" i="1"/>
  <c r="P1057" i="1"/>
  <c r="P1056" i="1"/>
  <c r="P1055" i="1"/>
  <c r="P1054" i="1"/>
  <c r="P1053" i="1"/>
  <c r="P1052" i="1"/>
  <c r="P1051" i="1"/>
  <c r="P1050" i="1"/>
  <c r="P1049" i="1"/>
  <c r="P1048" i="1"/>
  <c r="P1047" i="1"/>
  <c r="P1046" i="1"/>
  <c r="P1045" i="1"/>
  <c r="P1044" i="1"/>
  <c r="P1043" i="1"/>
  <c r="P1042" i="1"/>
  <c r="P1041" i="1"/>
  <c r="P1040" i="1"/>
  <c r="P1039" i="1"/>
  <c r="P1038" i="1"/>
  <c r="P1037" i="1"/>
  <c r="P1036" i="1"/>
  <c r="P1035" i="1"/>
  <c r="P1034" i="1"/>
  <c r="P1033" i="1"/>
  <c r="P1032" i="1"/>
  <c r="P1031" i="1"/>
  <c r="P1030" i="1"/>
  <c r="P1029" i="1"/>
  <c r="P1028" i="1"/>
  <c r="P1027" i="1"/>
  <c r="P1026" i="1"/>
  <c r="P1025" i="1"/>
  <c r="P1024" i="1"/>
  <c r="P1023" i="1"/>
  <c r="P1022" i="1"/>
  <c r="P1021" i="1"/>
  <c r="P1020" i="1"/>
  <c r="P1019" i="1"/>
  <c r="P1018" i="1"/>
  <c r="P1017" i="1"/>
  <c r="P1016" i="1"/>
  <c r="P1015" i="1"/>
  <c r="P1014" i="1"/>
  <c r="P1013" i="1"/>
  <c r="P1012" i="1"/>
  <c r="P1011" i="1"/>
  <c r="P1010" i="1"/>
  <c r="P1009" i="1"/>
  <c r="P1008" i="1"/>
  <c r="P1007" i="1"/>
  <c r="P1006" i="1"/>
  <c r="P1005" i="1"/>
  <c r="P1004" i="1"/>
  <c r="P1003" i="1"/>
  <c r="P1002" i="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H5" i="2" s="1"/>
  <c r="P11" i="1"/>
  <c r="P10" i="1"/>
  <c r="P9" i="1"/>
  <c r="P8" i="1"/>
  <c r="P7" i="1"/>
  <c r="P6" i="1"/>
  <c r="P5" i="1"/>
  <c r="P4" i="1"/>
  <c r="P3" i="1"/>
  <c r="N3501" i="1"/>
  <c r="M3501" i="1"/>
  <c r="L3501" i="1"/>
  <c r="K3501" i="1"/>
  <c r="N3500" i="1"/>
  <c r="M3500" i="1"/>
  <c r="L3500" i="1"/>
  <c r="K3500" i="1"/>
  <c r="N3499" i="1"/>
  <c r="M3499" i="1"/>
  <c r="L3499" i="1"/>
  <c r="K3499" i="1"/>
  <c r="N3498" i="1"/>
  <c r="M3498" i="1"/>
  <c r="L3498" i="1"/>
  <c r="K3498" i="1"/>
  <c r="N3497" i="1"/>
  <c r="M3497" i="1"/>
  <c r="L3497" i="1"/>
  <c r="K3497" i="1"/>
  <c r="N3496" i="1"/>
  <c r="M3496" i="1"/>
  <c r="L3496" i="1"/>
  <c r="K3496" i="1"/>
  <c r="N3495" i="1"/>
  <c r="M3495" i="1"/>
  <c r="L3495" i="1"/>
  <c r="K3495" i="1"/>
  <c r="N3494" i="1"/>
  <c r="M3494" i="1"/>
  <c r="L3494" i="1"/>
  <c r="K3494" i="1"/>
  <c r="N3493" i="1"/>
  <c r="M3493" i="1"/>
  <c r="L3493" i="1"/>
  <c r="K3493" i="1"/>
  <c r="N3492" i="1"/>
  <c r="M3492" i="1"/>
  <c r="L3492" i="1"/>
  <c r="K3492" i="1"/>
  <c r="N3491" i="1"/>
  <c r="M3491" i="1"/>
  <c r="L3491" i="1"/>
  <c r="K3491" i="1"/>
  <c r="N3490" i="1"/>
  <c r="M3490" i="1"/>
  <c r="L3490" i="1"/>
  <c r="K3490" i="1"/>
  <c r="N3489" i="1"/>
  <c r="M3489" i="1"/>
  <c r="L3489" i="1"/>
  <c r="K3489" i="1"/>
  <c r="N3488" i="1"/>
  <c r="M3488" i="1"/>
  <c r="L3488" i="1"/>
  <c r="K3488" i="1"/>
  <c r="N3487" i="1"/>
  <c r="M3487" i="1"/>
  <c r="L3487" i="1"/>
  <c r="K3487" i="1"/>
  <c r="N3486" i="1"/>
  <c r="M3486" i="1"/>
  <c r="L3486" i="1"/>
  <c r="K3486" i="1"/>
  <c r="N3485" i="1"/>
  <c r="M3485" i="1"/>
  <c r="L3485" i="1"/>
  <c r="K3485" i="1"/>
  <c r="N3484" i="1"/>
  <c r="M3484" i="1"/>
  <c r="L3484" i="1"/>
  <c r="K3484" i="1"/>
  <c r="N3483" i="1"/>
  <c r="M3483" i="1"/>
  <c r="L3483" i="1"/>
  <c r="K3483" i="1"/>
  <c r="N3482" i="1"/>
  <c r="M3482" i="1"/>
  <c r="L3482" i="1"/>
  <c r="K3482" i="1"/>
  <c r="N3481" i="1"/>
  <c r="M3481" i="1"/>
  <c r="L3481" i="1"/>
  <c r="K3481" i="1"/>
  <c r="N3480" i="1"/>
  <c r="M3480" i="1"/>
  <c r="L3480" i="1"/>
  <c r="K3480" i="1"/>
  <c r="N3479" i="1"/>
  <c r="M3479" i="1"/>
  <c r="L3479" i="1"/>
  <c r="K3479" i="1"/>
  <c r="N3478" i="1"/>
  <c r="M3478" i="1"/>
  <c r="L3478" i="1"/>
  <c r="K3478" i="1"/>
  <c r="N3477" i="1"/>
  <c r="M3477" i="1"/>
  <c r="L3477" i="1"/>
  <c r="K3477" i="1"/>
  <c r="N3476" i="1"/>
  <c r="M3476" i="1"/>
  <c r="L3476" i="1"/>
  <c r="K3476" i="1"/>
  <c r="N3475" i="1"/>
  <c r="M3475" i="1"/>
  <c r="L3475" i="1"/>
  <c r="K3475" i="1"/>
  <c r="N3474" i="1"/>
  <c r="M3474" i="1"/>
  <c r="L3474" i="1"/>
  <c r="K3474" i="1"/>
  <c r="N3473" i="1"/>
  <c r="M3473" i="1"/>
  <c r="L3473" i="1"/>
  <c r="K3473" i="1"/>
  <c r="N3472" i="1"/>
  <c r="M3472" i="1"/>
  <c r="L3472" i="1"/>
  <c r="K3472" i="1"/>
  <c r="N3471" i="1"/>
  <c r="M3471" i="1"/>
  <c r="L3471" i="1"/>
  <c r="K3471" i="1"/>
  <c r="N3470" i="1"/>
  <c r="M3470" i="1"/>
  <c r="L3470" i="1"/>
  <c r="K3470" i="1"/>
  <c r="N3469" i="1"/>
  <c r="M3469" i="1"/>
  <c r="L3469" i="1"/>
  <c r="K3469" i="1"/>
  <c r="N3468" i="1"/>
  <c r="M3468" i="1"/>
  <c r="L3468" i="1"/>
  <c r="K3468" i="1"/>
  <c r="N3467" i="1"/>
  <c r="M3467" i="1"/>
  <c r="L3467" i="1"/>
  <c r="K3467" i="1"/>
  <c r="N3466" i="1"/>
  <c r="M3466" i="1"/>
  <c r="L3466" i="1"/>
  <c r="K3466" i="1"/>
  <c r="N3465" i="1"/>
  <c r="M3465" i="1"/>
  <c r="L3465" i="1"/>
  <c r="K3465" i="1"/>
  <c r="N3464" i="1"/>
  <c r="M3464" i="1"/>
  <c r="L3464" i="1"/>
  <c r="K3464" i="1"/>
  <c r="N3463" i="1"/>
  <c r="M3463" i="1"/>
  <c r="L3463" i="1"/>
  <c r="K3463" i="1"/>
  <c r="N3462" i="1"/>
  <c r="M3462" i="1"/>
  <c r="L3462" i="1"/>
  <c r="K3462" i="1"/>
  <c r="N3461" i="1"/>
  <c r="M3461" i="1"/>
  <c r="L3461" i="1"/>
  <c r="K3461" i="1"/>
  <c r="N3460" i="1"/>
  <c r="M3460" i="1"/>
  <c r="L3460" i="1"/>
  <c r="K3460" i="1"/>
  <c r="N3459" i="1"/>
  <c r="M3459" i="1"/>
  <c r="L3459" i="1"/>
  <c r="K3459" i="1"/>
  <c r="N3458" i="1"/>
  <c r="M3458" i="1"/>
  <c r="L3458" i="1"/>
  <c r="K3458" i="1"/>
  <c r="N3457" i="1"/>
  <c r="M3457" i="1"/>
  <c r="L3457" i="1"/>
  <c r="K3457" i="1"/>
  <c r="N3456" i="1"/>
  <c r="M3456" i="1"/>
  <c r="L3456" i="1"/>
  <c r="K3456" i="1"/>
  <c r="N3455" i="1"/>
  <c r="M3455" i="1"/>
  <c r="L3455" i="1"/>
  <c r="K3455" i="1"/>
  <c r="N3454" i="1"/>
  <c r="M3454" i="1"/>
  <c r="L3454" i="1"/>
  <c r="K3454" i="1"/>
  <c r="N3453" i="1"/>
  <c r="M3453" i="1"/>
  <c r="L3453" i="1"/>
  <c r="K3453" i="1"/>
  <c r="N3452" i="1"/>
  <c r="M3452" i="1"/>
  <c r="L3452" i="1"/>
  <c r="K3452" i="1"/>
  <c r="N3451" i="1"/>
  <c r="M3451" i="1"/>
  <c r="L3451" i="1"/>
  <c r="K3451" i="1"/>
  <c r="N3450" i="1"/>
  <c r="M3450" i="1"/>
  <c r="L3450" i="1"/>
  <c r="K3450" i="1"/>
  <c r="N3449" i="1"/>
  <c r="M3449" i="1"/>
  <c r="L3449" i="1"/>
  <c r="K3449" i="1"/>
  <c r="N3448" i="1"/>
  <c r="M3448" i="1"/>
  <c r="L3448" i="1"/>
  <c r="K3448" i="1"/>
  <c r="N3447" i="1"/>
  <c r="M3447" i="1"/>
  <c r="L3447" i="1"/>
  <c r="K3447" i="1"/>
  <c r="N3446" i="1"/>
  <c r="M3446" i="1"/>
  <c r="L3446" i="1"/>
  <c r="K3446" i="1"/>
  <c r="N3445" i="1"/>
  <c r="M3445" i="1"/>
  <c r="L3445" i="1"/>
  <c r="K3445" i="1"/>
  <c r="N3444" i="1"/>
  <c r="M3444" i="1"/>
  <c r="L3444" i="1"/>
  <c r="K3444" i="1"/>
  <c r="N3443" i="1"/>
  <c r="M3443" i="1"/>
  <c r="L3443" i="1"/>
  <c r="K3443" i="1"/>
  <c r="N3442" i="1"/>
  <c r="M3442" i="1"/>
  <c r="L3442" i="1"/>
  <c r="K3442" i="1"/>
  <c r="N3441" i="1"/>
  <c r="M3441" i="1"/>
  <c r="L3441" i="1"/>
  <c r="K3441" i="1"/>
  <c r="N3440" i="1"/>
  <c r="M3440" i="1"/>
  <c r="L3440" i="1"/>
  <c r="K3440" i="1"/>
  <c r="N3439" i="1"/>
  <c r="M3439" i="1"/>
  <c r="L3439" i="1"/>
  <c r="K3439" i="1"/>
  <c r="N3438" i="1"/>
  <c r="M3438" i="1"/>
  <c r="L3438" i="1"/>
  <c r="K3438" i="1"/>
  <c r="N3437" i="1"/>
  <c r="M3437" i="1"/>
  <c r="L3437" i="1"/>
  <c r="K3437" i="1"/>
  <c r="N3436" i="1"/>
  <c r="M3436" i="1"/>
  <c r="L3436" i="1"/>
  <c r="K3436" i="1"/>
  <c r="N3435" i="1"/>
  <c r="M3435" i="1"/>
  <c r="L3435" i="1"/>
  <c r="K3435" i="1"/>
  <c r="N3434" i="1"/>
  <c r="M3434" i="1"/>
  <c r="L3434" i="1"/>
  <c r="K3434" i="1"/>
  <c r="N3433" i="1"/>
  <c r="M3433" i="1"/>
  <c r="L3433" i="1"/>
  <c r="K3433" i="1"/>
  <c r="N3432" i="1"/>
  <c r="M3432" i="1"/>
  <c r="L3432" i="1"/>
  <c r="K3432" i="1"/>
  <c r="N3431" i="1"/>
  <c r="M3431" i="1"/>
  <c r="L3431" i="1"/>
  <c r="K3431" i="1"/>
  <c r="N3430" i="1"/>
  <c r="M3430" i="1"/>
  <c r="L3430" i="1"/>
  <c r="K3430" i="1"/>
  <c r="N3429" i="1"/>
  <c r="M3429" i="1"/>
  <c r="L3429" i="1"/>
  <c r="K3429" i="1"/>
  <c r="N3428" i="1"/>
  <c r="M3428" i="1"/>
  <c r="L3428" i="1"/>
  <c r="K3428" i="1"/>
  <c r="N3427" i="1"/>
  <c r="M3427" i="1"/>
  <c r="L3427" i="1"/>
  <c r="K3427" i="1"/>
  <c r="N3426" i="1"/>
  <c r="M3426" i="1"/>
  <c r="L3426" i="1"/>
  <c r="K3426" i="1"/>
  <c r="N3425" i="1"/>
  <c r="M3425" i="1"/>
  <c r="L3425" i="1"/>
  <c r="K3425" i="1"/>
  <c r="N3424" i="1"/>
  <c r="M3424" i="1"/>
  <c r="L3424" i="1"/>
  <c r="K3424" i="1"/>
  <c r="N3423" i="1"/>
  <c r="M3423" i="1"/>
  <c r="L3423" i="1"/>
  <c r="K3423" i="1"/>
  <c r="N3422" i="1"/>
  <c r="M3422" i="1"/>
  <c r="L3422" i="1"/>
  <c r="K3422" i="1"/>
  <c r="N3421" i="1"/>
  <c r="M3421" i="1"/>
  <c r="L3421" i="1"/>
  <c r="K3421" i="1"/>
  <c r="N3420" i="1"/>
  <c r="M3420" i="1"/>
  <c r="L3420" i="1"/>
  <c r="K3420" i="1"/>
  <c r="N3419" i="1"/>
  <c r="M3419" i="1"/>
  <c r="L3419" i="1"/>
  <c r="K3419" i="1"/>
  <c r="N3418" i="1"/>
  <c r="M3418" i="1"/>
  <c r="L3418" i="1"/>
  <c r="K3418" i="1"/>
  <c r="N3417" i="1"/>
  <c r="M3417" i="1"/>
  <c r="L3417" i="1"/>
  <c r="K3417" i="1"/>
  <c r="N3416" i="1"/>
  <c r="M3416" i="1"/>
  <c r="L3416" i="1"/>
  <c r="K3416" i="1"/>
  <c r="N3415" i="1"/>
  <c r="M3415" i="1"/>
  <c r="L3415" i="1"/>
  <c r="K3415" i="1"/>
  <c r="N3414" i="1"/>
  <c r="M3414" i="1"/>
  <c r="L3414" i="1"/>
  <c r="K3414" i="1"/>
  <c r="N3413" i="1"/>
  <c r="M3413" i="1"/>
  <c r="L3413" i="1"/>
  <c r="K3413" i="1"/>
  <c r="N3412" i="1"/>
  <c r="M3412" i="1"/>
  <c r="L3412" i="1"/>
  <c r="K3412" i="1"/>
  <c r="N3411" i="1"/>
  <c r="M3411" i="1"/>
  <c r="L3411" i="1"/>
  <c r="K3411" i="1"/>
  <c r="N3410" i="1"/>
  <c r="M3410" i="1"/>
  <c r="L3410" i="1"/>
  <c r="K3410" i="1"/>
  <c r="N3409" i="1"/>
  <c r="M3409" i="1"/>
  <c r="L3409" i="1"/>
  <c r="K3409" i="1"/>
  <c r="N3408" i="1"/>
  <c r="M3408" i="1"/>
  <c r="L3408" i="1"/>
  <c r="K3408" i="1"/>
  <c r="N3407" i="1"/>
  <c r="M3407" i="1"/>
  <c r="L3407" i="1"/>
  <c r="K3407" i="1"/>
  <c r="N3406" i="1"/>
  <c r="M3406" i="1"/>
  <c r="L3406" i="1"/>
  <c r="K3406" i="1"/>
  <c r="N3405" i="1"/>
  <c r="M3405" i="1"/>
  <c r="L3405" i="1"/>
  <c r="K3405" i="1"/>
  <c r="N3404" i="1"/>
  <c r="M3404" i="1"/>
  <c r="L3404" i="1"/>
  <c r="K3404" i="1"/>
  <c r="N3403" i="1"/>
  <c r="M3403" i="1"/>
  <c r="L3403" i="1"/>
  <c r="K3403" i="1"/>
  <c r="N3402" i="1"/>
  <c r="M3402" i="1"/>
  <c r="L3402" i="1"/>
  <c r="K3402" i="1"/>
  <c r="N3401" i="1"/>
  <c r="M3401" i="1"/>
  <c r="L3401" i="1"/>
  <c r="K3401" i="1"/>
  <c r="N3400" i="1"/>
  <c r="M3400" i="1"/>
  <c r="L3400" i="1"/>
  <c r="K3400" i="1"/>
  <c r="N3399" i="1"/>
  <c r="M3399" i="1"/>
  <c r="L3399" i="1"/>
  <c r="K3399" i="1"/>
  <c r="N3398" i="1"/>
  <c r="M3398" i="1"/>
  <c r="L3398" i="1"/>
  <c r="K3398" i="1"/>
  <c r="N3397" i="1"/>
  <c r="M3397" i="1"/>
  <c r="L3397" i="1"/>
  <c r="K3397" i="1"/>
  <c r="N3396" i="1"/>
  <c r="M3396" i="1"/>
  <c r="L3396" i="1"/>
  <c r="K3396" i="1"/>
  <c r="N3395" i="1"/>
  <c r="M3395" i="1"/>
  <c r="L3395" i="1"/>
  <c r="K3395" i="1"/>
  <c r="N3394" i="1"/>
  <c r="M3394" i="1"/>
  <c r="L3394" i="1"/>
  <c r="K3394" i="1"/>
  <c r="N3393" i="1"/>
  <c r="M3393" i="1"/>
  <c r="L3393" i="1"/>
  <c r="K3393" i="1"/>
  <c r="N3392" i="1"/>
  <c r="M3392" i="1"/>
  <c r="L3392" i="1"/>
  <c r="K3392" i="1"/>
  <c r="N3391" i="1"/>
  <c r="M3391" i="1"/>
  <c r="L3391" i="1"/>
  <c r="K3391" i="1"/>
  <c r="N3390" i="1"/>
  <c r="M3390" i="1"/>
  <c r="L3390" i="1"/>
  <c r="K3390" i="1"/>
  <c r="N3389" i="1"/>
  <c r="M3389" i="1"/>
  <c r="L3389" i="1"/>
  <c r="K3389" i="1"/>
  <c r="N3388" i="1"/>
  <c r="M3388" i="1"/>
  <c r="L3388" i="1"/>
  <c r="K3388" i="1"/>
  <c r="N3387" i="1"/>
  <c r="M3387" i="1"/>
  <c r="L3387" i="1"/>
  <c r="K3387" i="1"/>
  <c r="N3386" i="1"/>
  <c r="M3386" i="1"/>
  <c r="L3386" i="1"/>
  <c r="K3386" i="1"/>
  <c r="N3385" i="1"/>
  <c r="M3385" i="1"/>
  <c r="L3385" i="1"/>
  <c r="K3385" i="1"/>
  <c r="N3384" i="1"/>
  <c r="M3384" i="1"/>
  <c r="L3384" i="1"/>
  <c r="K3384" i="1"/>
  <c r="N3383" i="1"/>
  <c r="M3383" i="1"/>
  <c r="L3383" i="1"/>
  <c r="K3383" i="1"/>
  <c r="N3382" i="1"/>
  <c r="M3382" i="1"/>
  <c r="L3382" i="1"/>
  <c r="K3382" i="1"/>
  <c r="N3381" i="1"/>
  <c r="M3381" i="1"/>
  <c r="L3381" i="1"/>
  <c r="K3381" i="1"/>
  <c r="N3380" i="1"/>
  <c r="M3380" i="1"/>
  <c r="L3380" i="1"/>
  <c r="K3380" i="1"/>
  <c r="N3379" i="1"/>
  <c r="M3379" i="1"/>
  <c r="L3379" i="1"/>
  <c r="K3379" i="1"/>
  <c r="N3378" i="1"/>
  <c r="M3378" i="1"/>
  <c r="L3378" i="1"/>
  <c r="K3378" i="1"/>
  <c r="N3377" i="1"/>
  <c r="M3377" i="1"/>
  <c r="L3377" i="1"/>
  <c r="K3377" i="1"/>
  <c r="N3376" i="1"/>
  <c r="M3376" i="1"/>
  <c r="L3376" i="1"/>
  <c r="K3376" i="1"/>
  <c r="N3375" i="1"/>
  <c r="M3375" i="1"/>
  <c r="L3375" i="1"/>
  <c r="K3375" i="1"/>
  <c r="N3374" i="1"/>
  <c r="M3374" i="1"/>
  <c r="L3374" i="1"/>
  <c r="K3374" i="1"/>
  <c r="N3373" i="1"/>
  <c r="M3373" i="1"/>
  <c r="L3373" i="1"/>
  <c r="K3373" i="1"/>
  <c r="N3372" i="1"/>
  <c r="M3372" i="1"/>
  <c r="L3372" i="1"/>
  <c r="K3372" i="1"/>
  <c r="N3371" i="1"/>
  <c r="M3371" i="1"/>
  <c r="L3371" i="1"/>
  <c r="K3371" i="1"/>
  <c r="N3370" i="1"/>
  <c r="M3370" i="1"/>
  <c r="L3370" i="1"/>
  <c r="K3370" i="1"/>
  <c r="N3369" i="1"/>
  <c r="M3369" i="1"/>
  <c r="L3369" i="1"/>
  <c r="K3369" i="1"/>
  <c r="N3368" i="1"/>
  <c r="M3368" i="1"/>
  <c r="L3368" i="1"/>
  <c r="K3368" i="1"/>
  <c r="N3367" i="1"/>
  <c r="M3367" i="1"/>
  <c r="L3367" i="1"/>
  <c r="K3367" i="1"/>
  <c r="N3366" i="1"/>
  <c r="M3366" i="1"/>
  <c r="L3366" i="1"/>
  <c r="K3366" i="1"/>
  <c r="N3365" i="1"/>
  <c r="M3365" i="1"/>
  <c r="L3365" i="1"/>
  <c r="K3365" i="1"/>
  <c r="N3364" i="1"/>
  <c r="M3364" i="1"/>
  <c r="L3364" i="1"/>
  <c r="K3364" i="1"/>
  <c r="N3363" i="1"/>
  <c r="M3363" i="1"/>
  <c r="L3363" i="1"/>
  <c r="K3363" i="1"/>
  <c r="N3362" i="1"/>
  <c r="M3362" i="1"/>
  <c r="L3362" i="1"/>
  <c r="K3362" i="1"/>
  <c r="N3361" i="1"/>
  <c r="M3361" i="1"/>
  <c r="L3361" i="1"/>
  <c r="K3361" i="1"/>
  <c r="N3360" i="1"/>
  <c r="M3360" i="1"/>
  <c r="L3360" i="1"/>
  <c r="K3360" i="1"/>
  <c r="N3359" i="1"/>
  <c r="M3359" i="1"/>
  <c r="L3359" i="1"/>
  <c r="K3359" i="1"/>
  <c r="N3358" i="1"/>
  <c r="M3358" i="1"/>
  <c r="L3358" i="1"/>
  <c r="K3358" i="1"/>
  <c r="N3357" i="1"/>
  <c r="M3357" i="1"/>
  <c r="L3357" i="1"/>
  <c r="K3357" i="1"/>
  <c r="N3356" i="1"/>
  <c r="M3356" i="1"/>
  <c r="L3356" i="1"/>
  <c r="K3356" i="1"/>
  <c r="N3355" i="1"/>
  <c r="M3355" i="1"/>
  <c r="L3355" i="1"/>
  <c r="K3355" i="1"/>
  <c r="N3354" i="1"/>
  <c r="M3354" i="1"/>
  <c r="L3354" i="1"/>
  <c r="K3354" i="1"/>
  <c r="N3353" i="1"/>
  <c r="M3353" i="1"/>
  <c r="L3353" i="1"/>
  <c r="K3353" i="1"/>
  <c r="N3352" i="1"/>
  <c r="M3352" i="1"/>
  <c r="L3352" i="1"/>
  <c r="K3352" i="1"/>
  <c r="N3351" i="1"/>
  <c r="M3351" i="1"/>
  <c r="L3351" i="1"/>
  <c r="K3351" i="1"/>
  <c r="N3350" i="1"/>
  <c r="M3350" i="1"/>
  <c r="L3350" i="1"/>
  <c r="K3350" i="1"/>
  <c r="N3349" i="1"/>
  <c r="M3349" i="1"/>
  <c r="L3349" i="1"/>
  <c r="K3349" i="1"/>
  <c r="N3348" i="1"/>
  <c r="M3348" i="1"/>
  <c r="L3348" i="1"/>
  <c r="K3348" i="1"/>
  <c r="N3347" i="1"/>
  <c r="M3347" i="1"/>
  <c r="L3347" i="1"/>
  <c r="K3347" i="1"/>
  <c r="N3346" i="1"/>
  <c r="M3346" i="1"/>
  <c r="L3346" i="1"/>
  <c r="K3346" i="1"/>
  <c r="N3345" i="1"/>
  <c r="M3345" i="1"/>
  <c r="L3345" i="1"/>
  <c r="K3345" i="1"/>
  <c r="N3344" i="1"/>
  <c r="M3344" i="1"/>
  <c r="L3344" i="1"/>
  <c r="K3344" i="1"/>
  <c r="N3343" i="1"/>
  <c r="M3343" i="1"/>
  <c r="L3343" i="1"/>
  <c r="K3343" i="1"/>
  <c r="N3342" i="1"/>
  <c r="M3342" i="1"/>
  <c r="L3342" i="1"/>
  <c r="K3342" i="1"/>
  <c r="N3341" i="1"/>
  <c r="M3341" i="1"/>
  <c r="L3341" i="1"/>
  <c r="K3341" i="1"/>
  <c r="N3340" i="1"/>
  <c r="M3340" i="1"/>
  <c r="L3340" i="1"/>
  <c r="K3340" i="1"/>
  <c r="N3339" i="1"/>
  <c r="M3339" i="1"/>
  <c r="L3339" i="1"/>
  <c r="K3339" i="1"/>
  <c r="N3338" i="1"/>
  <c r="M3338" i="1"/>
  <c r="L3338" i="1"/>
  <c r="K3338" i="1"/>
  <c r="N3337" i="1"/>
  <c r="M3337" i="1"/>
  <c r="L3337" i="1"/>
  <c r="K3337" i="1"/>
  <c r="N3336" i="1"/>
  <c r="M3336" i="1"/>
  <c r="L3336" i="1"/>
  <c r="K3336" i="1"/>
  <c r="N3335" i="1"/>
  <c r="M3335" i="1"/>
  <c r="L3335" i="1"/>
  <c r="K3335" i="1"/>
  <c r="N3334" i="1"/>
  <c r="M3334" i="1"/>
  <c r="L3334" i="1"/>
  <c r="K3334" i="1"/>
  <c r="N3333" i="1"/>
  <c r="M3333" i="1"/>
  <c r="L3333" i="1"/>
  <c r="K3333" i="1"/>
  <c r="N3332" i="1"/>
  <c r="M3332" i="1"/>
  <c r="L3332" i="1"/>
  <c r="K3332" i="1"/>
  <c r="N3331" i="1"/>
  <c r="M3331" i="1"/>
  <c r="L3331" i="1"/>
  <c r="K3331" i="1"/>
  <c r="N3330" i="1"/>
  <c r="M3330" i="1"/>
  <c r="L3330" i="1"/>
  <c r="K3330" i="1"/>
  <c r="N3329" i="1"/>
  <c r="M3329" i="1"/>
  <c r="L3329" i="1"/>
  <c r="K3329" i="1"/>
  <c r="N3328" i="1"/>
  <c r="M3328" i="1"/>
  <c r="L3328" i="1"/>
  <c r="K3328" i="1"/>
  <c r="N3327" i="1"/>
  <c r="M3327" i="1"/>
  <c r="L3327" i="1"/>
  <c r="K3327" i="1"/>
  <c r="N3326" i="1"/>
  <c r="M3326" i="1"/>
  <c r="L3326" i="1"/>
  <c r="K3326" i="1"/>
  <c r="N3325" i="1"/>
  <c r="M3325" i="1"/>
  <c r="L3325" i="1"/>
  <c r="K3325" i="1"/>
  <c r="N3324" i="1"/>
  <c r="M3324" i="1"/>
  <c r="L3324" i="1"/>
  <c r="K3324" i="1"/>
  <c r="N3323" i="1"/>
  <c r="M3323" i="1"/>
  <c r="L3323" i="1"/>
  <c r="K3323" i="1"/>
  <c r="N3322" i="1"/>
  <c r="M3322" i="1"/>
  <c r="L3322" i="1"/>
  <c r="K3322" i="1"/>
  <c r="N3321" i="1"/>
  <c r="M3321" i="1"/>
  <c r="L3321" i="1"/>
  <c r="K3321" i="1"/>
  <c r="N3320" i="1"/>
  <c r="M3320" i="1"/>
  <c r="L3320" i="1"/>
  <c r="K3320" i="1"/>
  <c r="N3319" i="1"/>
  <c r="M3319" i="1"/>
  <c r="L3319" i="1"/>
  <c r="K3319" i="1"/>
  <c r="N3318" i="1"/>
  <c r="M3318" i="1"/>
  <c r="L3318" i="1"/>
  <c r="K3318" i="1"/>
  <c r="N3317" i="1"/>
  <c r="M3317" i="1"/>
  <c r="L3317" i="1"/>
  <c r="K3317" i="1"/>
  <c r="N3316" i="1"/>
  <c r="M3316" i="1"/>
  <c r="L3316" i="1"/>
  <c r="K3316" i="1"/>
  <c r="N3315" i="1"/>
  <c r="M3315" i="1"/>
  <c r="L3315" i="1"/>
  <c r="K3315" i="1"/>
  <c r="N3314" i="1"/>
  <c r="M3314" i="1"/>
  <c r="L3314" i="1"/>
  <c r="K3314" i="1"/>
  <c r="N3313" i="1"/>
  <c r="M3313" i="1"/>
  <c r="L3313" i="1"/>
  <c r="K3313" i="1"/>
  <c r="N3312" i="1"/>
  <c r="M3312" i="1"/>
  <c r="L3312" i="1"/>
  <c r="K3312" i="1"/>
  <c r="N3311" i="1"/>
  <c r="M3311" i="1"/>
  <c r="L3311" i="1"/>
  <c r="K3311" i="1"/>
  <c r="N3310" i="1"/>
  <c r="M3310" i="1"/>
  <c r="L3310" i="1"/>
  <c r="K3310" i="1"/>
  <c r="N3309" i="1"/>
  <c r="M3309" i="1"/>
  <c r="L3309" i="1"/>
  <c r="K3309" i="1"/>
  <c r="N3308" i="1"/>
  <c r="M3308" i="1"/>
  <c r="L3308" i="1"/>
  <c r="K3308" i="1"/>
  <c r="N3307" i="1"/>
  <c r="M3307" i="1"/>
  <c r="L3307" i="1"/>
  <c r="K3307" i="1"/>
  <c r="N3306" i="1"/>
  <c r="M3306" i="1"/>
  <c r="L3306" i="1"/>
  <c r="K3306" i="1"/>
  <c r="N3305" i="1"/>
  <c r="M3305" i="1"/>
  <c r="L3305" i="1"/>
  <c r="K3305" i="1"/>
  <c r="N3304" i="1"/>
  <c r="M3304" i="1"/>
  <c r="L3304" i="1"/>
  <c r="K3304" i="1"/>
  <c r="N3303" i="1"/>
  <c r="M3303" i="1"/>
  <c r="L3303" i="1"/>
  <c r="K3303" i="1"/>
  <c r="N3302" i="1"/>
  <c r="M3302" i="1"/>
  <c r="L3302" i="1"/>
  <c r="K3302" i="1"/>
  <c r="N3301" i="1"/>
  <c r="M3301" i="1"/>
  <c r="L3301" i="1"/>
  <c r="K3301" i="1"/>
  <c r="N3300" i="1"/>
  <c r="M3300" i="1"/>
  <c r="L3300" i="1"/>
  <c r="K3300" i="1"/>
  <c r="N3299" i="1"/>
  <c r="M3299" i="1"/>
  <c r="L3299" i="1"/>
  <c r="K3299" i="1"/>
  <c r="N3298" i="1"/>
  <c r="M3298" i="1"/>
  <c r="L3298" i="1"/>
  <c r="K3298" i="1"/>
  <c r="N3297" i="1"/>
  <c r="M3297" i="1"/>
  <c r="L3297" i="1"/>
  <c r="K3297" i="1"/>
  <c r="N3296" i="1"/>
  <c r="M3296" i="1"/>
  <c r="L3296" i="1"/>
  <c r="K3296" i="1"/>
  <c r="N3295" i="1"/>
  <c r="M3295" i="1"/>
  <c r="L3295" i="1"/>
  <c r="K3295" i="1"/>
  <c r="N3294" i="1"/>
  <c r="M3294" i="1"/>
  <c r="L3294" i="1"/>
  <c r="K3294" i="1"/>
  <c r="N3293" i="1"/>
  <c r="M3293" i="1"/>
  <c r="L3293" i="1"/>
  <c r="K3293" i="1"/>
  <c r="N3292" i="1"/>
  <c r="M3292" i="1"/>
  <c r="L3292" i="1"/>
  <c r="K3292" i="1"/>
  <c r="N3291" i="1"/>
  <c r="M3291" i="1"/>
  <c r="L3291" i="1"/>
  <c r="K3291" i="1"/>
  <c r="N3290" i="1"/>
  <c r="M3290" i="1"/>
  <c r="L3290" i="1"/>
  <c r="K3290" i="1"/>
  <c r="N3289" i="1"/>
  <c r="M3289" i="1"/>
  <c r="L3289" i="1"/>
  <c r="K3289" i="1"/>
  <c r="N3288" i="1"/>
  <c r="M3288" i="1"/>
  <c r="L3288" i="1"/>
  <c r="K3288" i="1"/>
  <c r="N3287" i="1"/>
  <c r="M3287" i="1"/>
  <c r="L3287" i="1"/>
  <c r="K3287" i="1"/>
  <c r="N3286" i="1"/>
  <c r="M3286" i="1"/>
  <c r="L3286" i="1"/>
  <c r="K3286" i="1"/>
  <c r="N3285" i="1"/>
  <c r="M3285" i="1"/>
  <c r="L3285" i="1"/>
  <c r="K3285" i="1"/>
  <c r="N3284" i="1"/>
  <c r="M3284" i="1"/>
  <c r="L3284" i="1"/>
  <c r="K3284" i="1"/>
  <c r="N3283" i="1"/>
  <c r="M3283" i="1"/>
  <c r="L3283" i="1"/>
  <c r="K3283" i="1"/>
  <c r="N3282" i="1"/>
  <c r="M3282" i="1"/>
  <c r="L3282" i="1"/>
  <c r="K3282" i="1"/>
  <c r="N3281" i="1"/>
  <c r="M3281" i="1"/>
  <c r="L3281" i="1"/>
  <c r="K3281" i="1"/>
  <c r="N3280" i="1"/>
  <c r="M3280" i="1"/>
  <c r="L3280" i="1"/>
  <c r="K3280" i="1"/>
  <c r="N3279" i="1"/>
  <c r="M3279" i="1"/>
  <c r="L3279" i="1"/>
  <c r="K3279" i="1"/>
  <c r="N3278" i="1"/>
  <c r="M3278" i="1"/>
  <c r="L3278" i="1"/>
  <c r="K3278" i="1"/>
  <c r="N3277" i="1"/>
  <c r="M3277" i="1"/>
  <c r="L3277" i="1"/>
  <c r="K3277" i="1"/>
  <c r="N3276" i="1"/>
  <c r="M3276" i="1"/>
  <c r="L3276" i="1"/>
  <c r="K3276" i="1"/>
  <c r="N3275" i="1"/>
  <c r="M3275" i="1"/>
  <c r="L3275" i="1"/>
  <c r="K3275" i="1"/>
  <c r="N3274" i="1"/>
  <c r="M3274" i="1"/>
  <c r="L3274" i="1"/>
  <c r="K3274" i="1"/>
  <c r="N3273" i="1"/>
  <c r="M3273" i="1"/>
  <c r="L3273" i="1"/>
  <c r="K3273" i="1"/>
  <c r="N3272" i="1"/>
  <c r="M3272" i="1"/>
  <c r="L3272" i="1"/>
  <c r="K3272" i="1"/>
  <c r="N3271" i="1"/>
  <c r="M3271" i="1"/>
  <c r="L3271" i="1"/>
  <c r="K3271" i="1"/>
  <c r="N3270" i="1"/>
  <c r="M3270" i="1"/>
  <c r="L3270" i="1"/>
  <c r="K3270" i="1"/>
  <c r="N3269" i="1"/>
  <c r="M3269" i="1"/>
  <c r="L3269" i="1"/>
  <c r="K3269" i="1"/>
  <c r="N3268" i="1"/>
  <c r="M3268" i="1"/>
  <c r="L3268" i="1"/>
  <c r="K3268" i="1"/>
  <c r="N3267" i="1"/>
  <c r="M3267" i="1"/>
  <c r="L3267" i="1"/>
  <c r="K3267" i="1"/>
  <c r="N3266" i="1"/>
  <c r="M3266" i="1"/>
  <c r="L3266" i="1"/>
  <c r="K3266" i="1"/>
  <c r="N3265" i="1"/>
  <c r="M3265" i="1"/>
  <c r="L3265" i="1"/>
  <c r="K3265" i="1"/>
  <c r="N3264" i="1"/>
  <c r="M3264" i="1"/>
  <c r="L3264" i="1"/>
  <c r="K3264" i="1"/>
  <c r="N3263" i="1"/>
  <c r="M3263" i="1"/>
  <c r="L3263" i="1"/>
  <c r="K3263" i="1"/>
  <c r="N3262" i="1"/>
  <c r="M3262" i="1"/>
  <c r="L3262" i="1"/>
  <c r="K3262" i="1"/>
  <c r="N3261" i="1"/>
  <c r="M3261" i="1"/>
  <c r="L3261" i="1"/>
  <c r="K3261" i="1"/>
  <c r="N3260" i="1"/>
  <c r="M3260" i="1"/>
  <c r="L3260" i="1"/>
  <c r="K3260" i="1"/>
  <c r="N3259" i="1"/>
  <c r="M3259" i="1"/>
  <c r="L3259" i="1"/>
  <c r="K3259" i="1"/>
  <c r="N3258" i="1"/>
  <c r="M3258" i="1"/>
  <c r="L3258" i="1"/>
  <c r="K3258" i="1"/>
  <c r="N3257" i="1"/>
  <c r="M3257" i="1"/>
  <c r="L3257" i="1"/>
  <c r="K3257" i="1"/>
  <c r="N3256" i="1"/>
  <c r="M3256" i="1"/>
  <c r="L3256" i="1"/>
  <c r="K3256" i="1"/>
  <c r="N3255" i="1"/>
  <c r="M3255" i="1"/>
  <c r="L3255" i="1"/>
  <c r="K3255" i="1"/>
  <c r="N3254" i="1"/>
  <c r="M3254" i="1"/>
  <c r="L3254" i="1"/>
  <c r="K3254" i="1"/>
  <c r="N3253" i="1"/>
  <c r="M3253" i="1"/>
  <c r="L3253" i="1"/>
  <c r="K3253" i="1"/>
  <c r="N3252" i="1"/>
  <c r="M3252" i="1"/>
  <c r="L3252" i="1"/>
  <c r="K3252" i="1"/>
  <c r="N3251" i="1"/>
  <c r="M3251" i="1"/>
  <c r="L3251" i="1"/>
  <c r="K3251" i="1"/>
  <c r="N3250" i="1"/>
  <c r="M3250" i="1"/>
  <c r="L3250" i="1"/>
  <c r="K3250" i="1"/>
  <c r="N3249" i="1"/>
  <c r="M3249" i="1"/>
  <c r="L3249" i="1"/>
  <c r="K3249" i="1"/>
  <c r="N3248" i="1"/>
  <c r="M3248" i="1"/>
  <c r="L3248" i="1"/>
  <c r="K3248" i="1"/>
  <c r="N3247" i="1"/>
  <c r="M3247" i="1"/>
  <c r="L3247" i="1"/>
  <c r="K3247" i="1"/>
  <c r="N3246" i="1"/>
  <c r="M3246" i="1"/>
  <c r="L3246" i="1"/>
  <c r="K3246" i="1"/>
  <c r="N3245" i="1"/>
  <c r="M3245" i="1"/>
  <c r="L3245" i="1"/>
  <c r="K3245" i="1"/>
  <c r="N3244" i="1"/>
  <c r="M3244" i="1"/>
  <c r="L3244" i="1"/>
  <c r="K3244" i="1"/>
  <c r="N3243" i="1"/>
  <c r="M3243" i="1"/>
  <c r="L3243" i="1"/>
  <c r="K3243" i="1"/>
  <c r="N3242" i="1"/>
  <c r="M3242" i="1"/>
  <c r="L3242" i="1"/>
  <c r="K3242" i="1"/>
  <c r="N3241" i="1"/>
  <c r="M3241" i="1"/>
  <c r="L3241" i="1"/>
  <c r="K3241" i="1"/>
  <c r="N3240" i="1"/>
  <c r="M3240" i="1"/>
  <c r="L3240" i="1"/>
  <c r="K3240" i="1"/>
  <c r="N3239" i="1"/>
  <c r="M3239" i="1"/>
  <c r="L3239" i="1"/>
  <c r="K3239" i="1"/>
  <c r="N3238" i="1"/>
  <c r="M3238" i="1"/>
  <c r="L3238" i="1"/>
  <c r="K3238" i="1"/>
  <c r="N3237" i="1"/>
  <c r="M3237" i="1"/>
  <c r="L3237" i="1"/>
  <c r="K3237" i="1"/>
  <c r="N3236" i="1"/>
  <c r="M3236" i="1"/>
  <c r="L3236" i="1"/>
  <c r="K3236" i="1"/>
  <c r="N3235" i="1"/>
  <c r="M3235" i="1"/>
  <c r="L3235" i="1"/>
  <c r="K3235" i="1"/>
  <c r="N3234" i="1"/>
  <c r="M3234" i="1"/>
  <c r="L3234" i="1"/>
  <c r="K3234" i="1"/>
  <c r="N3233" i="1"/>
  <c r="M3233" i="1"/>
  <c r="L3233" i="1"/>
  <c r="K3233" i="1"/>
  <c r="N3232" i="1"/>
  <c r="M3232" i="1"/>
  <c r="L3232" i="1"/>
  <c r="K3232" i="1"/>
  <c r="N3231" i="1"/>
  <c r="M3231" i="1"/>
  <c r="L3231" i="1"/>
  <c r="K3231" i="1"/>
  <c r="N3230" i="1"/>
  <c r="M3230" i="1"/>
  <c r="L3230" i="1"/>
  <c r="K3230" i="1"/>
  <c r="N3229" i="1"/>
  <c r="M3229" i="1"/>
  <c r="L3229" i="1"/>
  <c r="K3229" i="1"/>
  <c r="N3228" i="1"/>
  <c r="M3228" i="1"/>
  <c r="L3228" i="1"/>
  <c r="K3228" i="1"/>
  <c r="N3227" i="1"/>
  <c r="M3227" i="1"/>
  <c r="L3227" i="1"/>
  <c r="K3227" i="1"/>
  <c r="N3226" i="1"/>
  <c r="M3226" i="1"/>
  <c r="L3226" i="1"/>
  <c r="K3226" i="1"/>
  <c r="N3225" i="1"/>
  <c r="M3225" i="1"/>
  <c r="L3225" i="1"/>
  <c r="K3225" i="1"/>
  <c r="N3224" i="1"/>
  <c r="M3224" i="1"/>
  <c r="L3224" i="1"/>
  <c r="K3224" i="1"/>
  <c r="N3223" i="1"/>
  <c r="M3223" i="1"/>
  <c r="L3223" i="1"/>
  <c r="K3223" i="1"/>
  <c r="N3222" i="1"/>
  <c r="M3222" i="1"/>
  <c r="L3222" i="1"/>
  <c r="K3222" i="1"/>
  <c r="N3221" i="1"/>
  <c r="M3221" i="1"/>
  <c r="L3221" i="1"/>
  <c r="K3221" i="1"/>
  <c r="N3220" i="1"/>
  <c r="M3220" i="1"/>
  <c r="L3220" i="1"/>
  <c r="K3220" i="1"/>
  <c r="N3219" i="1"/>
  <c r="M3219" i="1"/>
  <c r="L3219" i="1"/>
  <c r="K3219" i="1"/>
  <c r="N3218" i="1"/>
  <c r="M3218" i="1"/>
  <c r="L3218" i="1"/>
  <c r="K3218" i="1"/>
  <c r="N3217" i="1"/>
  <c r="M3217" i="1"/>
  <c r="L3217" i="1"/>
  <c r="K3217" i="1"/>
  <c r="N3216" i="1"/>
  <c r="M3216" i="1"/>
  <c r="L3216" i="1"/>
  <c r="K3216" i="1"/>
  <c r="N3215" i="1"/>
  <c r="M3215" i="1"/>
  <c r="L3215" i="1"/>
  <c r="K3215" i="1"/>
  <c r="N3214" i="1"/>
  <c r="M3214" i="1"/>
  <c r="L3214" i="1"/>
  <c r="K3214" i="1"/>
  <c r="N3213" i="1"/>
  <c r="M3213" i="1"/>
  <c r="L3213" i="1"/>
  <c r="K3213" i="1"/>
  <c r="N3212" i="1"/>
  <c r="M3212" i="1"/>
  <c r="L3212" i="1"/>
  <c r="K3212" i="1"/>
  <c r="N3211" i="1"/>
  <c r="M3211" i="1"/>
  <c r="L3211" i="1"/>
  <c r="K3211" i="1"/>
  <c r="N3210" i="1"/>
  <c r="M3210" i="1"/>
  <c r="L3210" i="1"/>
  <c r="K3210" i="1"/>
  <c r="N3209" i="1"/>
  <c r="M3209" i="1"/>
  <c r="L3209" i="1"/>
  <c r="K3209" i="1"/>
  <c r="N3208" i="1"/>
  <c r="M3208" i="1"/>
  <c r="L3208" i="1"/>
  <c r="K3208" i="1"/>
  <c r="N3207" i="1"/>
  <c r="M3207" i="1"/>
  <c r="L3207" i="1"/>
  <c r="K3207" i="1"/>
  <c r="N3206" i="1"/>
  <c r="M3206" i="1"/>
  <c r="L3206" i="1"/>
  <c r="K3206" i="1"/>
  <c r="N3205" i="1"/>
  <c r="M3205" i="1"/>
  <c r="L3205" i="1"/>
  <c r="K3205" i="1"/>
  <c r="N3204" i="1"/>
  <c r="M3204" i="1"/>
  <c r="L3204" i="1"/>
  <c r="K3204" i="1"/>
  <c r="N3203" i="1"/>
  <c r="M3203" i="1"/>
  <c r="L3203" i="1"/>
  <c r="K3203" i="1"/>
  <c r="N3202" i="1"/>
  <c r="M3202" i="1"/>
  <c r="L3202" i="1"/>
  <c r="K3202" i="1"/>
  <c r="N3201" i="1"/>
  <c r="M3201" i="1"/>
  <c r="L3201" i="1"/>
  <c r="K3201" i="1"/>
  <c r="N3200" i="1"/>
  <c r="M3200" i="1"/>
  <c r="L3200" i="1"/>
  <c r="K3200" i="1"/>
  <c r="N3199" i="1"/>
  <c r="M3199" i="1"/>
  <c r="L3199" i="1"/>
  <c r="K3199" i="1"/>
  <c r="N3198" i="1"/>
  <c r="M3198" i="1"/>
  <c r="L3198" i="1"/>
  <c r="K3198" i="1"/>
  <c r="N3197" i="1"/>
  <c r="M3197" i="1"/>
  <c r="L3197" i="1"/>
  <c r="K3197" i="1"/>
  <c r="N3196" i="1"/>
  <c r="M3196" i="1"/>
  <c r="L3196" i="1"/>
  <c r="K3196" i="1"/>
  <c r="N3195" i="1"/>
  <c r="M3195" i="1"/>
  <c r="L3195" i="1"/>
  <c r="K3195" i="1"/>
  <c r="N3194" i="1"/>
  <c r="M3194" i="1"/>
  <c r="L3194" i="1"/>
  <c r="K3194" i="1"/>
  <c r="N3193" i="1"/>
  <c r="M3193" i="1"/>
  <c r="L3193" i="1"/>
  <c r="K3193" i="1"/>
  <c r="N3192" i="1"/>
  <c r="M3192" i="1"/>
  <c r="L3192" i="1"/>
  <c r="K3192" i="1"/>
  <c r="N3191" i="1"/>
  <c r="M3191" i="1"/>
  <c r="L3191" i="1"/>
  <c r="K3191" i="1"/>
  <c r="N3190" i="1"/>
  <c r="M3190" i="1"/>
  <c r="L3190" i="1"/>
  <c r="K3190" i="1"/>
  <c r="N3189" i="1"/>
  <c r="M3189" i="1"/>
  <c r="L3189" i="1"/>
  <c r="K3189" i="1"/>
  <c r="N3188" i="1"/>
  <c r="M3188" i="1"/>
  <c r="L3188" i="1"/>
  <c r="K3188" i="1"/>
  <c r="N3187" i="1"/>
  <c r="M3187" i="1"/>
  <c r="L3187" i="1"/>
  <c r="K3187" i="1"/>
  <c r="N3186" i="1"/>
  <c r="M3186" i="1"/>
  <c r="L3186" i="1"/>
  <c r="K3186" i="1"/>
  <c r="N3185" i="1"/>
  <c r="M3185" i="1"/>
  <c r="L3185" i="1"/>
  <c r="K3185" i="1"/>
  <c r="N3184" i="1"/>
  <c r="M3184" i="1"/>
  <c r="L3184" i="1"/>
  <c r="K3184" i="1"/>
  <c r="N3183" i="1"/>
  <c r="M3183" i="1"/>
  <c r="L3183" i="1"/>
  <c r="K3183" i="1"/>
  <c r="N3182" i="1"/>
  <c r="M3182" i="1"/>
  <c r="L3182" i="1"/>
  <c r="K3182" i="1"/>
  <c r="N3181" i="1"/>
  <c r="M3181" i="1"/>
  <c r="L3181" i="1"/>
  <c r="K3181" i="1"/>
  <c r="N3180" i="1"/>
  <c r="M3180" i="1"/>
  <c r="L3180" i="1"/>
  <c r="K3180" i="1"/>
  <c r="N3179" i="1"/>
  <c r="M3179" i="1"/>
  <c r="L3179" i="1"/>
  <c r="K3179" i="1"/>
  <c r="N3178" i="1"/>
  <c r="M3178" i="1"/>
  <c r="L3178" i="1"/>
  <c r="K3178" i="1"/>
  <c r="N3177" i="1"/>
  <c r="M3177" i="1"/>
  <c r="L3177" i="1"/>
  <c r="K3177" i="1"/>
  <c r="N3176" i="1"/>
  <c r="M3176" i="1"/>
  <c r="L3176" i="1"/>
  <c r="K3176" i="1"/>
  <c r="N3175" i="1"/>
  <c r="M3175" i="1"/>
  <c r="L3175" i="1"/>
  <c r="K3175" i="1"/>
  <c r="N3174" i="1"/>
  <c r="M3174" i="1"/>
  <c r="L3174" i="1"/>
  <c r="K3174" i="1"/>
  <c r="N3173" i="1"/>
  <c r="M3173" i="1"/>
  <c r="L3173" i="1"/>
  <c r="K3173" i="1"/>
  <c r="N3172" i="1"/>
  <c r="M3172" i="1"/>
  <c r="L3172" i="1"/>
  <c r="K3172" i="1"/>
  <c r="N3171" i="1"/>
  <c r="M3171" i="1"/>
  <c r="L3171" i="1"/>
  <c r="K3171" i="1"/>
  <c r="N3170" i="1"/>
  <c r="M3170" i="1"/>
  <c r="L3170" i="1"/>
  <c r="K3170" i="1"/>
  <c r="N3169" i="1"/>
  <c r="M3169" i="1"/>
  <c r="L3169" i="1"/>
  <c r="K3169" i="1"/>
  <c r="N3168" i="1"/>
  <c r="M3168" i="1"/>
  <c r="L3168" i="1"/>
  <c r="K3168" i="1"/>
  <c r="N3167" i="1"/>
  <c r="M3167" i="1"/>
  <c r="L3167" i="1"/>
  <c r="K3167" i="1"/>
  <c r="N3166" i="1"/>
  <c r="M3166" i="1"/>
  <c r="L3166" i="1"/>
  <c r="K3166" i="1"/>
  <c r="N3165" i="1"/>
  <c r="M3165" i="1"/>
  <c r="L3165" i="1"/>
  <c r="K3165" i="1"/>
  <c r="N3164" i="1"/>
  <c r="M3164" i="1"/>
  <c r="L3164" i="1"/>
  <c r="K3164" i="1"/>
  <c r="N3163" i="1"/>
  <c r="M3163" i="1"/>
  <c r="L3163" i="1"/>
  <c r="K3163" i="1"/>
  <c r="N3162" i="1"/>
  <c r="M3162" i="1"/>
  <c r="L3162" i="1"/>
  <c r="K3162" i="1"/>
  <c r="N3161" i="1"/>
  <c r="M3161" i="1"/>
  <c r="L3161" i="1"/>
  <c r="K3161" i="1"/>
  <c r="N3160" i="1"/>
  <c r="M3160" i="1"/>
  <c r="L3160" i="1"/>
  <c r="K3160" i="1"/>
  <c r="N3159" i="1"/>
  <c r="M3159" i="1"/>
  <c r="L3159" i="1"/>
  <c r="K3159" i="1"/>
  <c r="N3158" i="1"/>
  <c r="M3158" i="1"/>
  <c r="L3158" i="1"/>
  <c r="K3158" i="1"/>
  <c r="N3157" i="1"/>
  <c r="M3157" i="1"/>
  <c r="L3157" i="1"/>
  <c r="K3157" i="1"/>
  <c r="N3156" i="1"/>
  <c r="M3156" i="1"/>
  <c r="L3156" i="1"/>
  <c r="K3156" i="1"/>
  <c r="N3155" i="1"/>
  <c r="M3155" i="1"/>
  <c r="L3155" i="1"/>
  <c r="K3155" i="1"/>
  <c r="N3154" i="1"/>
  <c r="M3154" i="1"/>
  <c r="L3154" i="1"/>
  <c r="K3154" i="1"/>
  <c r="N3153" i="1"/>
  <c r="M3153" i="1"/>
  <c r="L3153" i="1"/>
  <c r="K3153" i="1"/>
  <c r="N3152" i="1"/>
  <c r="M3152" i="1"/>
  <c r="L3152" i="1"/>
  <c r="K3152" i="1"/>
  <c r="N3151" i="1"/>
  <c r="M3151" i="1"/>
  <c r="L3151" i="1"/>
  <c r="K3151" i="1"/>
  <c r="N3150" i="1"/>
  <c r="M3150" i="1"/>
  <c r="L3150" i="1"/>
  <c r="K3150" i="1"/>
  <c r="N3149" i="1"/>
  <c r="M3149" i="1"/>
  <c r="L3149" i="1"/>
  <c r="K3149" i="1"/>
  <c r="N3148" i="1"/>
  <c r="M3148" i="1"/>
  <c r="L3148" i="1"/>
  <c r="K3148" i="1"/>
  <c r="N3147" i="1"/>
  <c r="M3147" i="1"/>
  <c r="L3147" i="1"/>
  <c r="K3147" i="1"/>
  <c r="N3146" i="1"/>
  <c r="M3146" i="1"/>
  <c r="L3146" i="1"/>
  <c r="K3146" i="1"/>
  <c r="N3145" i="1"/>
  <c r="M3145" i="1"/>
  <c r="L3145" i="1"/>
  <c r="K3145" i="1"/>
  <c r="N3144" i="1"/>
  <c r="M3144" i="1"/>
  <c r="L3144" i="1"/>
  <c r="K3144" i="1"/>
  <c r="N3143" i="1"/>
  <c r="M3143" i="1"/>
  <c r="L3143" i="1"/>
  <c r="K3143" i="1"/>
  <c r="N3142" i="1"/>
  <c r="M3142" i="1"/>
  <c r="L3142" i="1"/>
  <c r="K3142" i="1"/>
  <c r="N3141" i="1"/>
  <c r="M3141" i="1"/>
  <c r="L3141" i="1"/>
  <c r="K3141" i="1"/>
  <c r="N3140" i="1"/>
  <c r="M3140" i="1"/>
  <c r="L3140" i="1"/>
  <c r="K3140" i="1"/>
  <c r="N3139" i="1"/>
  <c r="M3139" i="1"/>
  <c r="L3139" i="1"/>
  <c r="K3139" i="1"/>
  <c r="N3138" i="1"/>
  <c r="M3138" i="1"/>
  <c r="L3138" i="1"/>
  <c r="K3138" i="1"/>
  <c r="N3137" i="1"/>
  <c r="M3137" i="1"/>
  <c r="L3137" i="1"/>
  <c r="K3137" i="1"/>
  <c r="N3136" i="1"/>
  <c r="M3136" i="1"/>
  <c r="L3136" i="1"/>
  <c r="K3136" i="1"/>
  <c r="N3135" i="1"/>
  <c r="M3135" i="1"/>
  <c r="L3135" i="1"/>
  <c r="K3135" i="1"/>
  <c r="N3134" i="1"/>
  <c r="M3134" i="1"/>
  <c r="L3134" i="1"/>
  <c r="K3134" i="1"/>
  <c r="N3133" i="1"/>
  <c r="M3133" i="1"/>
  <c r="L3133" i="1"/>
  <c r="K3133" i="1"/>
  <c r="N3132" i="1"/>
  <c r="M3132" i="1"/>
  <c r="L3132" i="1"/>
  <c r="K3132" i="1"/>
  <c r="N3131" i="1"/>
  <c r="M3131" i="1"/>
  <c r="L3131" i="1"/>
  <c r="K3131" i="1"/>
  <c r="N3130" i="1"/>
  <c r="M3130" i="1"/>
  <c r="L3130" i="1"/>
  <c r="K3130" i="1"/>
  <c r="N3129" i="1"/>
  <c r="M3129" i="1"/>
  <c r="L3129" i="1"/>
  <c r="K3129" i="1"/>
  <c r="N3128" i="1"/>
  <c r="M3128" i="1"/>
  <c r="L3128" i="1"/>
  <c r="K3128" i="1"/>
  <c r="N3127" i="1"/>
  <c r="M3127" i="1"/>
  <c r="L3127" i="1"/>
  <c r="K3127" i="1"/>
  <c r="N3126" i="1"/>
  <c r="M3126" i="1"/>
  <c r="L3126" i="1"/>
  <c r="K3126" i="1"/>
  <c r="N3125" i="1"/>
  <c r="M3125" i="1"/>
  <c r="L3125" i="1"/>
  <c r="K3125" i="1"/>
  <c r="N3124" i="1"/>
  <c r="M3124" i="1"/>
  <c r="L3124" i="1"/>
  <c r="K3124" i="1"/>
  <c r="N3123" i="1"/>
  <c r="M3123" i="1"/>
  <c r="L3123" i="1"/>
  <c r="K3123" i="1"/>
  <c r="N3122" i="1"/>
  <c r="M3122" i="1"/>
  <c r="L3122" i="1"/>
  <c r="K3122" i="1"/>
  <c r="N3121" i="1"/>
  <c r="M3121" i="1"/>
  <c r="L3121" i="1"/>
  <c r="K3121" i="1"/>
  <c r="N3120" i="1"/>
  <c r="M3120" i="1"/>
  <c r="L3120" i="1"/>
  <c r="K3120" i="1"/>
  <c r="N3119" i="1"/>
  <c r="M3119" i="1"/>
  <c r="L3119" i="1"/>
  <c r="K3119" i="1"/>
  <c r="N3118" i="1"/>
  <c r="M3118" i="1"/>
  <c r="L3118" i="1"/>
  <c r="K3118" i="1"/>
  <c r="N3117" i="1"/>
  <c r="M3117" i="1"/>
  <c r="L3117" i="1"/>
  <c r="K3117" i="1"/>
  <c r="N3116" i="1"/>
  <c r="M3116" i="1"/>
  <c r="L3116" i="1"/>
  <c r="K3116" i="1"/>
  <c r="N3115" i="1"/>
  <c r="M3115" i="1"/>
  <c r="L3115" i="1"/>
  <c r="K3115" i="1"/>
  <c r="N3114" i="1"/>
  <c r="M3114" i="1"/>
  <c r="L3114" i="1"/>
  <c r="K3114" i="1"/>
  <c r="N3113" i="1"/>
  <c r="M3113" i="1"/>
  <c r="L3113" i="1"/>
  <c r="K3113" i="1"/>
  <c r="N3112" i="1"/>
  <c r="M3112" i="1"/>
  <c r="L3112" i="1"/>
  <c r="K3112" i="1"/>
  <c r="N3111" i="1"/>
  <c r="M3111" i="1"/>
  <c r="L3111" i="1"/>
  <c r="K3111" i="1"/>
  <c r="N3110" i="1"/>
  <c r="M3110" i="1"/>
  <c r="L3110" i="1"/>
  <c r="K3110" i="1"/>
  <c r="N3109" i="1"/>
  <c r="M3109" i="1"/>
  <c r="L3109" i="1"/>
  <c r="K3109" i="1"/>
  <c r="N3108" i="1"/>
  <c r="M3108" i="1"/>
  <c r="L3108" i="1"/>
  <c r="K3108" i="1"/>
  <c r="N3107" i="1"/>
  <c r="M3107" i="1"/>
  <c r="L3107" i="1"/>
  <c r="K3107" i="1"/>
  <c r="N3106" i="1"/>
  <c r="M3106" i="1"/>
  <c r="L3106" i="1"/>
  <c r="K3106" i="1"/>
  <c r="N3105" i="1"/>
  <c r="M3105" i="1"/>
  <c r="L3105" i="1"/>
  <c r="K3105" i="1"/>
  <c r="N3104" i="1"/>
  <c r="M3104" i="1"/>
  <c r="L3104" i="1"/>
  <c r="K3104" i="1"/>
  <c r="N3103" i="1"/>
  <c r="M3103" i="1"/>
  <c r="L3103" i="1"/>
  <c r="K3103" i="1"/>
  <c r="N3102" i="1"/>
  <c r="M3102" i="1"/>
  <c r="L3102" i="1"/>
  <c r="K3102" i="1"/>
  <c r="N3101" i="1"/>
  <c r="M3101" i="1"/>
  <c r="L3101" i="1"/>
  <c r="K3101" i="1"/>
  <c r="N3100" i="1"/>
  <c r="M3100" i="1"/>
  <c r="L3100" i="1"/>
  <c r="K3100" i="1"/>
  <c r="N3099" i="1"/>
  <c r="M3099" i="1"/>
  <c r="L3099" i="1"/>
  <c r="K3099" i="1"/>
  <c r="N3098" i="1"/>
  <c r="M3098" i="1"/>
  <c r="L3098" i="1"/>
  <c r="K3098" i="1"/>
  <c r="N3097" i="1"/>
  <c r="M3097" i="1"/>
  <c r="L3097" i="1"/>
  <c r="K3097" i="1"/>
  <c r="N3096" i="1"/>
  <c r="M3096" i="1"/>
  <c r="L3096" i="1"/>
  <c r="K3096" i="1"/>
  <c r="N3095" i="1"/>
  <c r="M3095" i="1"/>
  <c r="L3095" i="1"/>
  <c r="K3095" i="1"/>
  <c r="N3094" i="1"/>
  <c r="M3094" i="1"/>
  <c r="L3094" i="1"/>
  <c r="K3094" i="1"/>
  <c r="N3093" i="1"/>
  <c r="M3093" i="1"/>
  <c r="L3093" i="1"/>
  <c r="K3093" i="1"/>
  <c r="N3092" i="1"/>
  <c r="M3092" i="1"/>
  <c r="L3092" i="1"/>
  <c r="K3092" i="1"/>
  <c r="N3091" i="1"/>
  <c r="M3091" i="1"/>
  <c r="L3091" i="1"/>
  <c r="K3091" i="1"/>
  <c r="N3090" i="1"/>
  <c r="M3090" i="1"/>
  <c r="L3090" i="1"/>
  <c r="K3090" i="1"/>
  <c r="N3089" i="1"/>
  <c r="M3089" i="1"/>
  <c r="L3089" i="1"/>
  <c r="K3089" i="1"/>
  <c r="N3088" i="1"/>
  <c r="M3088" i="1"/>
  <c r="L3088" i="1"/>
  <c r="K3088" i="1"/>
  <c r="N3087" i="1"/>
  <c r="M3087" i="1"/>
  <c r="L3087" i="1"/>
  <c r="K3087" i="1"/>
  <c r="N3086" i="1"/>
  <c r="M3086" i="1"/>
  <c r="L3086" i="1"/>
  <c r="K3086" i="1"/>
  <c r="N3085" i="1"/>
  <c r="M3085" i="1"/>
  <c r="L3085" i="1"/>
  <c r="K3085" i="1"/>
  <c r="N3084" i="1"/>
  <c r="M3084" i="1"/>
  <c r="L3084" i="1"/>
  <c r="K3084" i="1"/>
  <c r="N3083" i="1"/>
  <c r="M3083" i="1"/>
  <c r="L3083" i="1"/>
  <c r="K3083" i="1"/>
  <c r="N3082" i="1"/>
  <c r="M3082" i="1"/>
  <c r="L3082" i="1"/>
  <c r="K3082" i="1"/>
  <c r="N3081" i="1"/>
  <c r="M3081" i="1"/>
  <c r="L3081" i="1"/>
  <c r="K3081" i="1"/>
  <c r="N3080" i="1"/>
  <c r="M3080" i="1"/>
  <c r="L3080" i="1"/>
  <c r="K3080" i="1"/>
  <c r="N3079" i="1"/>
  <c r="M3079" i="1"/>
  <c r="L3079" i="1"/>
  <c r="K3079" i="1"/>
  <c r="N3078" i="1"/>
  <c r="M3078" i="1"/>
  <c r="L3078" i="1"/>
  <c r="K3078" i="1"/>
  <c r="N3077" i="1"/>
  <c r="M3077" i="1"/>
  <c r="L3077" i="1"/>
  <c r="K3077" i="1"/>
  <c r="N3076" i="1"/>
  <c r="M3076" i="1"/>
  <c r="L3076" i="1"/>
  <c r="K3076" i="1"/>
  <c r="N3075" i="1"/>
  <c r="M3075" i="1"/>
  <c r="L3075" i="1"/>
  <c r="K3075" i="1"/>
  <c r="N3074" i="1"/>
  <c r="M3074" i="1"/>
  <c r="L3074" i="1"/>
  <c r="K3074" i="1"/>
  <c r="N3073" i="1"/>
  <c r="M3073" i="1"/>
  <c r="L3073" i="1"/>
  <c r="K3073" i="1"/>
  <c r="N3072" i="1"/>
  <c r="M3072" i="1"/>
  <c r="L3072" i="1"/>
  <c r="K3072" i="1"/>
  <c r="N3071" i="1"/>
  <c r="M3071" i="1"/>
  <c r="L3071" i="1"/>
  <c r="K3071" i="1"/>
  <c r="N3070" i="1"/>
  <c r="M3070" i="1"/>
  <c r="L3070" i="1"/>
  <c r="K3070" i="1"/>
  <c r="N3069" i="1"/>
  <c r="M3069" i="1"/>
  <c r="L3069" i="1"/>
  <c r="K3069" i="1"/>
  <c r="N3068" i="1"/>
  <c r="M3068" i="1"/>
  <c r="L3068" i="1"/>
  <c r="K3068" i="1"/>
  <c r="N3067" i="1"/>
  <c r="M3067" i="1"/>
  <c r="L3067" i="1"/>
  <c r="K3067" i="1"/>
  <c r="N3066" i="1"/>
  <c r="M3066" i="1"/>
  <c r="L3066" i="1"/>
  <c r="K3066" i="1"/>
  <c r="N3065" i="1"/>
  <c r="M3065" i="1"/>
  <c r="L3065" i="1"/>
  <c r="K3065" i="1"/>
  <c r="N3064" i="1"/>
  <c r="M3064" i="1"/>
  <c r="L3064" i="1"/>
  <c r="K3064" i="1"/>
  <c r="N3063" i="1"/>
  <c r="M3063" i="1"/>
  <c r="L3063" i="1"/>
  <c r="K3063" i="1"/>
  <c r="N3062" i="1"/>
  <c r="M3062" i="1"/>
  <c r="L3062" i="1"/>
  <c r="K3062" i="1"/>
  <c r="N3061" i="1"/>
  <c r="M3061" i="1"/>
  <c r="L3061" i="1"/>
  <c r="K3061" i="1"/>
  <c r="N3060" i="1"/>
  <c r="M3060" i="1"/>
  <c r="L3060" i="1"/>
  <c r="K3060" i="1"/>
  <c r="N3059" i="1"/>
  <c r="M3059" i="1"/>
  <c r="L3059" i="1"/>
  <c r="K3059" i="1"/>
  <c r="N3058" i="1"/>
  <c r="M3058" i="1"/>
  <c r="L3058" i="1"/>
  <c r="K3058" i="1"/>
  <c r="N3057" i="1"/>
  <c r="M3057" i="1"/>
  <c r="L3057" i="1"/>
  <c r="K3057" i="1"/>
  <c r="N3056" i="1"/>
  <c r="M3056" i="1"/>
  <c r="L3056" i="1"/>
  <c r="K3056" i="1"/>
  <c r="N3055" i="1"/>
  <c r="M3055" i="1"/>
  <c r="L3055" i="1"/>
  <c r="K3055" i="1"/>
  <c r="N3054" i="1"/>
  <c r="M3054" i="1"/>
  <c r="L3054" i="1"/>
  <c r="K3054" i="1"/>
  <c r="N3053" i="1"/>
  <c r="M3053" i="1"/>
  <c r="L3053" i="1"/>
  <c r="K3053" i="1"/>
  <c r="N3052" i="1"/>
  <c r="M3052" i="1"/>
  <c r="L3052" i="1"/>
  <c r="K3052" i="1"/>
  <c r="N3051" i="1"/>
  <c r="M3051" i="1"/>
  <c r="L3051" i="1"/>
  <c r="K3051" i="1"/>
  <c r="N3050" i="1"/>
  <c r="M3050" i="1"/>
  <c r="L3050" i="1"/>
  <c r="K3050" i="1"/>
  <c r="N3049" i="1"/>
  <c r="M3049" i="1"/>
  <c r="L3049" i="1"/>
  <c r="K3049" i="1"/>
  <c r="N3048" i="1"/>
  <c r="M3048" i="1"/>
  <c r="L3048" i="1"/>
  <c r="K3048" i="1"/>
  <c r="N3047" i="1"/>
  <c r="M3047" i="1"/>
  <c r="L3047" i="1"/>
  <c r="K3047" i="1"/>
  <c r="N3046" i="1"/>
  <c r="M3046" i="1"/>
  <c r="L3046" i="1"/>
  <c r="K3046" i="1"/>
  <c r="N3045" i="1"/>
  <c r="M3045" i="1"/>
  <c r="L3045" i="1"/>
  <c r="K3045" i="1"/>
  <c r="N3044" i="1"/>
  <c r="M3044" i="1"/>
  <c r="L3044" i="1"/>
  <c r="K3044" i="1"/>
  <c r="N3043" i="1"/>
  <c r="M3043" i="1"/>
  <c r="L3043" i="1"/>
  <c r="K3043" i="1"/>
  <c r="N3042" i="1"/>
  <c r="M3042" i="1"/>
  <c r="L3042" i="1"/>
  <c r="K3042" i="1"/>
  <c r="N3041" i="1"/>
  <c r="M3041" i="1"/>
  <c r="L3041" i="1"/>
  <c r="K3041" i="1"/>
  <c r="N3040" i="1"/>
  <c r="M3040" i="1"/>
  <c r="L3040" i="1"/>
  <c r="K3040" i="1"/>
  <c r="N3039" i="1"/>
  <c r="M3039" i="1"/>
  <c r="L3039" i="1"/>
  <c r="K3039" i="1"/>
  <c r="N3038" i="1"/>
  <c r="M3038" i="1"/>
  <c r="L3038" i="1"/>
  <c r="K3038" i="1"/>
  <c r="N3037" i="1"/>
  <c r="M3037" i="1"/>
  <c r="L3037" i="1"/>
  <c r="K3037" i="1"/>
  <c r="N3036" i="1"/>
  <c r="M3036" i="1"/>
  <c r="L3036" i="1"/>
  <c r="K3036" i="1"/>
  <c r="N3035" i="1"/>
  <c r="M3035" i="1"/>
  <c r="L3035" i="1"/>
  <c r="K3035" i="1"/>
  <c r="N3034" i="1"/>
  <c r="M3034" i="1"/>
  <c r="L3034" i="1"/>
  <c r="K3034" i="1"/>
  <c r="N3033" i="1"/>
  <c r="M3033" i="1"/>
  <c r="L3033" i="1"/>
  <c r="K3033" i="1"/>
  <c r="N3032" i="1"/>
  <c r="M3032" i="1"/>
  <c r="L3032" i="1"/>
  <c r="K3032" i="1"/>
  <c r="N3031" i="1"/>
  <c r="M3031" i="1"/>
  <c r="L3031" i="1"/>
  <c r="K3031" i="1"/>
  <c r="N3030" i="1"/>
  <c r="M3030" i="1"/>
  <c r="L3030" i="1"/>
  <c r="K3030" i="1"/>
  <c r="N3029" i="1"/>
  <c r="M3029" i="1"/>
  <c r="L3029" i="1"/>
  <c r="K3029" i="1"/>
  <c r="N3028" i="1"/>
  <c r="M3028" i="1"/>
  <c r="L3028" i="1"/>
  <c r="K3028" i="1"/>
  <c r="N3027" i="1"/>
  <c r="M3027" i="1"/>
  <c r="L3027" i="1"/>
  <c r="K3027" i="1"/>
  <c r="N3026" i="1"/>
  <c r="M3026" i="1"/>
  <c r="L3026" i="1"/>
  <c r="K3026" i="1"/>
  <c r="N3025" i="1"/>
  <c r="M3025" i="1"/>
  <c r="L3025" i="1"/>
  <c r="K3025" i="1"/>
  <c r="N3024" i="1"/>
  <c r="M3024" i="1"/>
  <c r="L3024" i="1"/>
  <c r="K3024" i="1"/>
  <c r="N3023" i="1"/>
  <c r="M3023" i="1"/>
  <c r="L3023" i="1"/>
  <c r="K3023" i="1"/>
  <c r="N3022" i="1"/>
  <c r="M3022" i="1"/>
  <c r="L3022" i="1"/>
  <c r="K3022" i="1"/>
  <c r="N3021" i="1"/>
  <c r="M3021" i="1"/>
  <c r="L3021" i="1"/>
  <c r="K3021" i="1"/>
  <c r="N3020" i="1"/>
  <c r="M3020" i="1"/>
  <c r="L3020" i="1"/>
  <c r="K3020" i="1"/>
  <c r="N3019" i="1"/>
  <c r="M3019" i="1"/>
  <c r="L3019" i="1"/>
  <c r="K3019" i="1"/>
  <c r="N3018" i="1"/>
  <c r="M3018" i="1"/>
  <c r="L3018" i="1"/>
  <c r="K3018" i="1"/>
  <c r="N3017" i="1"/>
  <c r="M3017" i="1"/>
  <c r="L3017" i="1"/>
  <c r="K3017" i="1"/>
  <c r="N3016" i="1"/>
  <c r="M3016" i="1"/>
  <c r="L3016" i="1"/>
  <c r="K3016" i="1"/>
  <c r="N3015" i="1"/>
  <c r="M3015" i="1"/>
  <c r="L3015" i="1"/>
  <c r="K3015" i="1"/>
  <c r="N3014" i="1"/>
  <c r="M3014" i="1"/>
  <c r="L3014" i="1"/>
  <c r="K3014" i="1"/>
  <c r="N3013" i="1"/>
  <c r="M3013" i="1"/>
  <c r="L3013" i="1"/>
  <c r="K3013" i="1"/>
  <c r="N3012" i="1"/>
  <c r="M3012" i="1"/>
  <c r="L3012" i="1"/>
  <c r="K3012" i="1"/>
  <c r="N3011" i="1"/>
  <c r="M3011" i="1"/>
  <c r="L3011" i="1"/>
  <c r="K3011" i="1"/>
  <c r="N3010" i="1"/>
  <c r="M3010" i="1"/>
  <c r="L3010" i="1"/>
  <c r="K3010" i="1"/>
  <c r="N3009" i="1"/>
  <c r="M3009" i="1"/>
  <c r="L3009" i="1"/>
  <c r="K3009" i="1"/>
  <c r="N3008" i="1"/>
  <c r="M3008" i="1"/>
  <c r="L3008" i="1"/>
  <c r="K3008" i="1"/>
  <c r="N3007" i="1"/>
  <c r="M3007" i="1"/>
  <c r="L3007" i="1"/>
  <c r="K3007" i="1"/>
  <c r="N3006" i="1"/>
  <c r="M3006" i="1"/>
  <c r="L3006" i="1"/>
  <c r="K3006" i="1"/>
  <c r="N3005" i="1"/>
  <c r="M3005" i="1"/>
  <c r="L3005" i="1"/>
  <c r="K3005" i="1"/>
  <c r="N3004" i="1"/>
  <c r="M3004" i="1"/>
  <c r="L3004" i="1"/>
  <c r="K3004" i="1"/>
  <c r="N3003" i="1"/>
  <c r="M3003" i="1"/>
  <c r="L3003" i="1"/>
  <c r="K3003" i="1"/>
  <c r="N3002" i="1"/>
  <c r="M3002" i="1"/>
  <c r="L3002" i="1"/>
  <c r="K3002" i="1"/>
  <c r="N3001" i="1"/>
  <c r="M3001" i="1"/>
  <c r="L3001" i="1"/>
  <c r="K3001" i="1"/>
  <c r="N3000" i="1"/>
  <c r="M3000" i="1"/>
  <c r="L3000" i="1"/>
  <c r="K3000" i="1"/>
  <c r="N2999" i="1"/>
  <c r="M2999" i="1"/>
  <c r="L2999" i="1"/>
  <c r="K2999" i="1"/>
  <c r="N2998" i="1"/>
  <c r="M2998" i="1"/>
  <c r="L2998" i="1"/>
  <c r="K2998" i="1"/>
  <c r="N2997" i="1"/>
  <c r="M2997" i="1"/>
  <c r="L2997" i="1"/>
  <c r="K2997" i="1"/>
  <c r="N2996" i="1"/>
  <c r="M2996" i="1"/>
  <c r="L2996" i="1"/>
  <c r="K2996" i="1"/>
  <c r="N2995" i="1"/>
  <c r="M2995" i="1"/>
  <c r="L2995" i="1"/>
  <c r="K2995" i="1"/>
  <c r="N2994" i="1"/>
  <c r="M2994" i="1"/>
  <c r="L2994" i="1"/>
  <c r="K2994" i="1"/>
  <c r="N2993" i="1"/>
  <c r="M2993" i="1"/>
  <c r="L2993" i="1"/>
  <c r="K2993" i="1"/>
  <c r="N2992" i="1"/>
  <c r="M2992" i="1"/>
  <c r="L2992" i="1"/>
  <c r="K2992" i="1"/>
  <c r="N2991" i="1"/>
  <c r="M2991" i="1"/>
  <c r="L2991" i="1"/>
  <c r="K2991" i="1"/>
  <c r="N2990" i="1"/>
  <c r="M2990" i="1"/>
  <c r="L2990" i="1"/>
  <c r="K2990" i="1"/>
  <c r="N2989" i="1"/>
  <c r="M2989" i="1"/>
  <c r="L2989" i="1"/>
  <c r="K2989" i="1"/>
  <c r="N2988" i="1"/>
  <c r="M2988" i="1"/>
  <c r="L2988" i="1"/>
  <c r="K2988" i="1"/>
  <c r="N2987" i="1"/>
  <c r="M2987" i="1"/>
  <c r="L2987" i="1"/>
  <c r="K2987" i="1"/>
  <c r="N2986" i="1"/>
  <c r="M2986" i="1"/>
  <c r="L2986" i="1"/>
  <c r="K2986" i="1"/>
  <c r="N2985" i="1"/>
  <c r="M2985" i="1"/>
  <c r="L2985" i="1"/>
  <c r="K2985" i="1"/>
  <c r="N2984" i="1"/>
  <c r="M2984" i="1"/>
  <c r="L2984" i="1"/>
  <c r="K2984" i="1"/>
  <c r="N2983" i="1"/>
  <c r="M2983" i="1"/>
  <c r="L2983" i="1"/>
  <c r="K2983" i="1"/>
  <c r="N2982" i="1"/>
  <c r="M2982" i="1"/>
  <c r="L2982" i="1"/>
  <c r="K2982" i="1"/>
  <c r="N2981" i="1"/>
  <c r="M2981" i="1"/>
  <c r="L2981" i="1"/>
  <c r="K2981" i="1"/>
  <c r="N2980" i="1"/>
  <c r="M2980" i="1"/>
  <c r="L2980" i="1"/>
  <c r="K2980" i="1"/>
  <c r="N2979" i="1"/>
  <c r="M2979" i="1"/>
  <c r="L2979" i="1"/>
  <c r="K2979" i="1"/>
  <c r="N2978" i="1"/>
  <c r="M2978" i="1"/>
  <c r="L2978" i="1"/>
  <c r="K2978" i="1"/>
  <c r="N2977" i="1"/>
  <c r="M2977" i="1"/>
  <c r="L2977" i="1"/>
  <c r="K2977" i="1"/>
  <c r="N2976" i="1"/>
  <c r="M2976" i="1"/>
  <c r="L2976" i="1"/>
  <c r="K2976" i="1"/>
  <c r="N2975" i="1"/>
  <c r="M2975" i="1"/>
  <c r="L2975" i="1"/>
  <c r="K2975" i="1"/>
  <c r="N2974" i="1"/>
  <c r="M2974" i="1"/>
  <c r="L2974" i="1"/>
  <c r="K2974" i="1"/>
  <c r="N2973" i="1"/>
  <c r="M2973" i="1"/>
  <c r="L2973" i="1"/>
  <c r="K2973" i="1"/>
  <c r="N2972" i="1"/>
  <c r="M2972" i="1"/>
  <c r="L2972" i="1"/>
  <c r="K2972" i="1"/>
  <c r="N2971" i="1"/>
  <c r="M2971" i="1"/>
  <c r="L2971" i="1"/>
  <c r="K2971" i="1"/>
  <c r="N2970" i="1"/>
  <c r="M2970" i="1"/>
  <c r="L2970" i="1"/>
  <c r="K2970" i="1"/>
  <c r="N2969" i="1"/>
  <c r="M2969" i="1"/>
  <c r="L2969" i="1"/>
  <c r="K2969" i="1"/>
  <c r="N2968" i="1"/>
  <c r="M2968" i="1"/>
  <c r="L2968" i="1"/>
  <c r="K2968" i="1"/>
  <c r="N2967" i="1"/>
  <c r="M2967" i="1"/>
  <c r="L2967" i="1"/>
  <c r="K2967" i="1"/>
  <c r="N2966" i="1"/>
  <c r="M2966" i="1"/>
  <c r="L2966" i="1"/>
  <c r="K2966" i="1"/>
  <c r="N2965" i="1"/>
  <c r="M2965" i="1"/>
  <c r="L2965" i="1"/>
  <c r="K2965" i="1"/>
  <c r="N2964" i="1"/>
  <c r="M2964" i="1"/>
  <c r="L2964" i="1"/>
  <c r="K2964" i="1"/>
  <c r="N2963" i="1"/>
  <c r="M2963" i="1"/>
  <c r="L2963" i="1"/>
  <c r="K2963" i="1"/>
  <c r="N2962" i="1"/>
  <c r="M2962" i="1"/>
  <c r="L2962" i="1"/>
  <c r="K2962" i="1"/>
  <c r="N2961" i="1"/>
  <c r="M2961" i="1"/>
  <c r="L2961" i="1"/>
  <c r="K2961" i="1"/>
  <c r="N2960" i="1"/>
  <c r="M2960" i="1"/>
  <c r="L2960" i="1"/>
  <c r="K2960" i="1"/>
  <c r="N2959" i="1"/>
  <c r="M2959" i="1"/>
  <c r="L2959" i="1"/>
  <c r="K2959" i="1"/>
  <c r="N2958" i="1"/>
  <c r="M2958" i="1"/>
  <c r="L2958" i="1"/>
  <c r="K2958" i="1"/>
  <c r="N2957" i="1"/>
  <c r="M2957" i="1"/>
  <c r="L2957" i="1"/>
  <c r="K2957" i="1"/>
  <c r="N2956" i="1"/>
  <c r="M2956" i="1"/>
  <c r="L2956" i="1"/>
  <c r="K2956" i="1"/>
  <c r="N2955" i="1"/>
  <c r="M2955" i="1"/>
  <c r="L2955" i="1"/>
  <c r="K2955" i="1"/>
  <c r="N2954" i="1"/>
  <c r="M2954" i="1"/>
  <c r="L2954" i="1"/>
  <c r="K2954" i="1"/>
  <c r="N2953" i="1"/>
  <c r="M2953" i="1"/>
  <c r="L2953" i="1"/>
  <c r="K2953" i="1"/>
  <c r="N2952" i="1"/>
  <c r="M2952" i="1"/>
  <c r="L2952" i="1"/>
  <c r="K2952" i="1"/>
  <c r="N2951" i="1"/>
  <c r="M2951" i="1"/>
  <c r="L2951" i="1"/>
  <c r="K2951" i="1"/>
  <c r="N2950" i="1"/>
  <c r="M2950" i="1"/>
  <c r="L2950" i="1"/>
  <c r="K2950" i="1"/>
  <c r="N2949" i="1"/>
  <c r="M2949" i="1"/>
  <c r="L2949" i="1"/>
  <c r="K2949" i="1"/>
  <c r="N2948" i="1"/>
  <c r="M2948" i="1"/>
  <c r="L2948" i="1"/>
  <c r="K2948" i="1"/>
  <c r="N2947" i="1"/>
  <c r="M2947" i="1"/>
  <c r="L2947" i="1"/>
  <c r="K2947" i="1"/>
  <c r="N2946" i="1"/>
  <c r="M2946" i="1"/>
  <c r="L2946" i="1"/>
  <c r="K2946" i="1"/>
  <c r="N2945" i="1"/>
  <c r="M2945" i="1"/>
  <c r="L2945" i="1"/>
  <c r="K2945" i="1"/>
  <c r="N2944" i="1"/>
  <c r="M2944" i="1"/>
  <c r="L2944" i="1"/>
  <c r="K2944" i="1"/>
  <c r="N2943" i="1"/>
  <c r="M2943" i="1"/>
  <c r="L2943" i="1"/>
  <c r="K2943" i="1"/>
  <c r="N2942" i="1"/>
  <c r="M2942" i="1"/>
  <c r="L2942" i="1"/>
  <c r="K2942" i="1"/>
  <c r="N2941" i="1"/>
  <c r="M2941" i="1"/>
  <c r="L2941" i="1"/>
  <c r="K2941" i="1"/>
  <c r="N2940" i="1"/>
  <c r="M2940" i="1"/>
  <c r="L2940" i="1"/>
  <c r="K2940" i="1"/>
  <c r="N2939" i="1"/>
  <c r="M2939" i="1"/>
  <c r="L2939" i="1"/>
  <c r="K2939" i="1"/>
  <c r="N2938" i="1"/>
  <c r="M2938" i="1"/>
  <c r="L2938" i="1"/>
  <c r="K2938" i="1"/>
  <c r="N2937" i="1"/>
  <c r="M2937" i="1"/>
  <c r="L2937" i="1"/>
  <c r="K2937" i="1"/>
  <c r="N2936" i="1"/>
  <c r="M2936" i="1"/>
  <c r="L2936" i="1"/>
  <c r="K2936" i="1"/>
  <c r="N2935" i="1"/>
  <c r="M2935" i="1"/>
  <c r="L2935" i="1"/>
  <c r="K2935" i="1"/>
  <c r="N2934" i="1"/>
  <c r="M2934" i="1"/>
  <c r="L2934" i="1"/>
  <c r="K2934" i="1"/>
  <c r="N2933" i="1"/>
  <c r="M2933" i="1"/>
  <c r="L2933" i="1"/>
  <c r="K2933" i="1"/>
  <c r="N2932" i="1"/>
  <c r="M2932" i="1"/>
  <c r="L2932" i="1"/>
  <c r="K2932" i="1"/>
  <c r="N2931" i="1"/>
  <c r="M2931" i="1"/>
  <c r="L2931" i="1"/>
  <c r="K2931" i="1"/>
  <c r="N2930" i="1"/>
  <c r="M2930" i="1"/>
  <c r="L2930" i="1"/>
  <c r="K2930" i="1"/>
  <c r="N2929" i="1"/>
  <c r="M2929" i="1"/>
  <c r="L2929" i="1"/>
  <c r="K2929" i="1"/>
  <c r="N2928" i="1"/>
  <c r="M2928" i="1"/>
  <c r="L2928" i="1"/>
  <c r="K2928" i="1"/>
  <c r="N2927" i="1"/>
  <c r="M2927" i="1"/>
  <c r="L2927" i="1"/>
  <c r="K2927" i="1"/>
  <c r="N2926" i="1"/>
  <c r="M2926" i="1"/>
  <c r="L2926" i="1"/>
  <c r="K2926" i="1"/>
  <c r="N2925" i="1"/>
  <c r="M2925" i="1"/>
  <c r="L2925" i="1"/>
  <c r="K2925" i="1"/>
  <c r="N2924" i="1"/>
  <c r="M2924" i="1"/>
  <c r="L2924" i="1"/>
  <c r="K2924" i="1"/>
  <c r="N2923" i="1"/>
  <c r="M2923" i="1"/>
  <c r="L2923" i="1"/>
  <c r="K2923" i="1"/>
  <c r="N2922" i="1"/>
  <c r="M2922" i="1"/>
  <c r="L2922" i="1"/>
  <c r="K2922" i="1"/>
  <c r="N2921" i="1"/>
  <c r="M2921" i="1"/>
  <c r="L2921" i="1"/>
  <c r="K2921" i="1"/>
  <c r="N2920" i="1"/>
  <c r="M2920" i="1"/>
  <c r="L2920" i="1"/>
  <c r="K2920" i="1"/>
  <c r="N2919" i="1"/>
  <c r="M2919" i="1"/>
  <c r="L2919" i="1"/>
  <c r="K2919" i="1"/>
  <c r="N2918" i="1"/>
  <c r="M2918" i="1"/>
  <c r="L2918" i="1"/>
  <c r="K2918" i="1"/>
  <c r="N2917" i="1"/>
  <c r="M2917" i="1"/>
  <c r="L2917" i="1"/>
  <c r="K2917" i="1"/>
  <c r="N2916" i="1"/>
  <c r="M2916" i="1"/>
  <c r="L2916" i="1"/>
  <c r="K2916" i="1"/>
  <c r="N2915" i="1"/>
  <c r="M2915" i="1"/>
  <c r="L2915" i="1"/>
  <c r="K2915" i="1"/>
  <c r="N2914" i="1"/>
  <c r="M2914" i="1"/>
  <c r="L2914" i="1"/>
  <c r="K2914" i="1"/>
  <c r="N2913" i="1"/>
  <c r="M2913" i="1"/>
  <c r="L2913" i="1"/>
  <c r="K2913" i="1"/>
  <c r="N2912" i="1"/>
  <c r="M2912" i="1"/>
  <c r="L2912" i="1"/>
  <c r="K2912" i="1"/>
  <c r="N2911" i="1"/>
  <c r="M2911" i="1"/>
  <c r="L2911" i="1"/>
  <c r="K2911" i="1"/>
  <c r="N2910" i="1"/>
  <c r="M2910" i="1"/>
  <c r="L2910" i="1"/>
  <c r="K2910" i="1"/>
  <c r="N2909" i="1"/>
  <c r="M2909" i="1"/>
  <c r="L2909" i="1"/>
  <c r="K2909" i="1"/>
  <c r="N2908" i="1"/>
  <c r="M2908" i="1"/>
  <c r="L2908" i="1"/>
  <c r="K2908" i="1"/>
  <c r="N2907" i="1"/>
  <c r="M2907" i="1"/>
  <c r="L2907" i="1"/>
  <c r="K2907" i="1"/>
  <c r="N2906" i="1"/>
  <c r="M2906" i="1"/>
  <c r="L2906" i="1"/>
  <c r="K2906" i="1"/>
  <c r="N2905" i="1"/>
  <c r="M2905" i="1"/>
  <c r="L2905" i="1"/>
  <c r="K2905" i="1"/>
  <c r="N2904" i="1"/>
  <c r="M2904" i="1"/>
  <c r="L2904" i="1"/>
  <c r="K2904" i="1"/>
  <c r="N2903" i="1"/>
  <c r="M2903" i="1"/>
  <c r="L2903" i="1"/>
  <c r="K2903" i="1"/>
  <c r="N2902" i="1"/>
  <c r="M2902" i="1"/>
  <c r="L2902" i="1"/>
  <c r="K2902" i="1"/>
  <c r="N2901" i="1"/>
  <c r="M2901" i="1"/>
  <c r="L2901" i="1"/>
  <c r="K2901" i="1"/>
  <c r="N2900" i="1"/>
  <c r="M2900" i="1"/>
  <c r="L2900" i="1"/>
  <c r="K2900" i="1"/>
  <c r="N2899" i="1"/>
  <c r="M2899" i="1"/>
  <c r="L2899" i="1"/>
  <c r="K2899" i="1"/>
  <c r="N2898" i="1"/>
  <c r="M2898" i="1"/>
  <c r="L2898" i="1"/>
  <c r="K2898" i="1"/>
  <c r="N2897" i="1"/>
  <c r="M2897" i="1"/>
  <c r="L2897" i="1"/>
  <c r="K2897" i="1"/>
  <c r="N2896" i="1"/>
  <c r="M2896" i="1"/>
  <c r="L2896" i="1"/>
  <c r="K2896" i="1"/>
  <c r="N2895" i="1"/>
  <c r="M2895" i="1"/>
  <c r="L2895" i="1"/>
  <c r="K2895" i="1"/>
  <c r="N2894" i="1"/>
  <c r="M2894" i="1"/>
  <c r="L2894" i="1"/>
  <c r="K2894" i="1"/>
  <c r="N2893" i="1"/>
  <c r="M2893" i="1"/>
  <c r="L2893" i="1"/>
  <c r="K2893" i="1"/>
  <c r="N2892" i="1"/>
  <c r="M2892" i="1"/>
  <c r="L2892" i="1"/>
  <c r="K2892" i="1"/>
  <c r="N2891" i="1"/>
  <c r="M2891" i="1"/>
  <c r="L2891" i="1"/>
  <c r="K2891" i="1"/>
  <c r="N2890" i="1"/>
  <c r="M2890" i="1"/>
  <c r="L2890" i="1"/>
  <c r="K2890" i="1"/>
  <c r="N2889" i="1"/>
  <c r="M2889" i="1"/>
  <c r="L2889" i="1"/>
  <c r="K2889" i="1"/>
  <c r="N2888" i="1"/>
  <c r="M2888" i="1"/>
  <c r="L2888" i="1"/>
  <c r="K2888" i="1"/>
  <c r="N2887" i="1"/>
  <c r="M2887" i="1"/>
  <c r="L2887" i="1"/>
  <c r="K2887" i="1"/>
  <c r="N2886" i="1"/>
  <c r="M2886" i="1"/>
  <c r="L2886" i="1"/>
  <c r="K2886" i="1"/>
  <c r="N2885" i="1"/>
  <c r="M2885" i="1"/>
  <c r="L2885" i="1"/>
  <c r="K2885" i="1"/>
  <c r="N2884" i="1"/>
  <c r="M2884" i="1"/>
  <c r="L2884" i="1"/>
  <c r="K2884" i="1"/>
  <c r="N2883" i="1"/>
  <c r="M2883" i="1"/>
  <c r="L2883" i="1"/>
  <c r="K2883" i="1"/>
  <c r="N2882" i="1"/>
  <c r="M2882" i="1"/>
  <c r="L2882" i="1"/>
  <c r="K2882" i="1"/>
  <c r="N2881" i="1"/>
  <c r="M2881" i="1"/>
  <c r="L2881" i="1"/>
  <c r="K2881" i="1"/>
  <c r="N2880" i="1"/>
  <c r="M2880" i="1"/>
  <c r="L2880" i="1"/>
  <c r="K2880" i="1"/>
  <c r="N2879" i="1"/>
  <c r="M2879" i="1"/>
  <c r="L2879" i="1"/>
  <c r="K2879" i="1"/>
  <c r="N2878" i="1"/>
  <c r="M2878" i="1"/>
  <c r="L2878" i="1"/>
  <c r="K2878" i="1"/>
  <c r="N2877" i="1"/>
  <c r="M2877" i="1"/>
  <c r="L2877" i="1"/>
  <c r="K2877" i="1"/>
  <c r="N2876" i="1"/>
  <c r="M2876" i="1"/>
  <c r="L2876" i="1"/>
  <c r="K2876" i="1"/>
  <c r="N2875" i="1"/>
  <c r="M2875" i="1"/>
  <c r="L2875" i="1"/>
  <c r="K2875" i="1"/>
  <c r="N2874" i="1"/>
  <c r="M2874" i="1"/>
  <c r="L2874" i="1"/>
  <c r="K2874" i="1"/>
  <c r="N2873" i="1"/>
  <c r="M2873" i="1"/>
  <c r="L2873" i="1"/>
  <c r="K2873" i="1"/>
  <c r="N2872" i="1"/>
  <c r="M2872" i="1"/>
  <c r="L2872" i="1"/>
  <c r="K2872" i="1"/>
  <c r="N2871" i="1"/>
  <c r="M2871" i="1"/>
  <c r="L2871" i="1"/>
  <c r="K2871" i="1"/>
  <c r="N2870" i="1"/>
  <c r="M2870" i="1"/>
  <c r="L2870" i="1"/>
  <c r="K2870" i="1"/>
  <c r="N2869" i="1"/>
  <c r="M2869" i="1"/>
  <c r="L2869" i="1"/>
  <c r="K2869" i="1"/>
  <c r="N2868" i="1"/>
  <c r="M2868" i="1"/>
  <c r="L2868" i="1"/>
  <c r="K2868" i="1"/>
  <c r="N2867" i="1"/>
  <c r="M2867" i="1"/>
  <c r="L2867" i="1"/>
  <c r="K2867" i="1"/>
  <c r="N2866" i="1"/>
  <c r="M2866" i="1"/>
  <c r="L2866" i="1"/>
  <c r="K2866" i="1"/>
  <c r="N2865" i="1"/>
  <c r="M2865" i="1"/>
  <c r="L2865" i="1"/>
  <c r="K2865" i="1"/>
  <c r="N2864" i="1"/>
  <c r="M2864" i="1"/>
  <c r="L2864" i="1"/>
  <c r="K2864" i="1"/>
  <c r="N2863" i="1"/>
  <c r="M2863" i="1"/>
  <c r="L2863" i="1"/>
  <c r="K2863" i="1"/>
  <c r="N2862" i="1"/>
  <c r="M2862" i="1"/>
  <c r="L2862" i="1"/>
  <c r="K2862" i="1"/>
  <c r="N2861" i="1"/>
  <c r="M2861" i="1"/>
  <c r="L2861" i="1"/>
  <c r="K2861" i="1"/>
  <c r="N2860" i="1"/>
  <c r="M2860" i="1"/>
  <c r="L2860" i="1"/>
  <c r="K2860" i="1"/>
  <c r="N2859" i="1"/>
  <c r="M2859" i="1"/>
  <c r="L2859" i="1"/>
  <c r="K2859" i="1"/>
  <c r="N2858" i="1"/>
  <c r="M2858" i="1"/>
  <c r="L2858" i="1"/>
  <c r="K2858" i="1"/>
  <c r="N2857" i="1"/>
  <c r="M2857" i="1"/>
  <c r="L2857" i="1"/>
  <c r="K2857" i="1"/>
  <c r="N2856" i="1"/>
  <c r="M2856" i="1"/>
  <c r="L2856" i="1"/>
  <c r="K2856" i="1"/>
  <c r="N2855" i="1"/>
  <c r="M2855" i="1"/>
  <c r="L2855" i="1"/>
  <c r="K2855" i="1"/>
  <c r="N2854" i="1"/>
  <c r="M2854" i="1"/>
  <c r="L2854" i="1"/>
  <c r="K2854" i="1"/>
  <c r="N2853" i="1"/>
  <c r="M2853" i="1"/>
  <c r="L2853" i="1"/>
  <c r="K2853" i="1"/>
  <c r="N2852" i="1"/>
  <c r="M2852" i="1"/>
  <c r="L2852" i="1"/>
  <c r="K2852" i="1"/>
  <c r="N2851" i="1"/>
  <c r="M2851" i="1"/>
  <c r="L2851" i="1"/>
  <c r="K2851" i="1"/>
  <c r="N2850" i="1"/>
  <c r="M2850" i="1"/>
  <c r="L2850" i="1"/>
  <c r="K2850" i="1"/>
  <c r="N2849" i="1"/>
  <c r="M2849" i="1"/>
  <c r="L2849" i="1"/>
  <c r="K2849" i="1"/>
  <c r="N2848" i="1"/>
  <c r="M2848" i="1"/>
  <c r="L2848" i="1"/>
  <c r="K2848" i="1"/>
  <c r="N2847" i="1"/>
  <c r="M2847" i="1"/>
  <c r="L2847" i="1"/>
  <c r="K2847" i="1"/>
  <c r="N2846" i="1"/>
  <c r="M2846" i="1"/>
  <c r="L2846" i="1"/>
  <c r="K2846" i="1"/>
  <c r="N2845" i="1"/>
  <c r="M2845" i="1"/>
  <c r="L2845" i="1"/>
  <c r="K2845" i="1"/>
  <c r="N2844" i="1"/>
  <c r="M2844" i="1"/>
  <c r="L2844" i="1"/>
  <c r="K2844" i="1"/>
  <c r="N2843" i="1"/>
  <c r="M2843" i="1"/>
  <c r="L2843" i="1"/>
  <c r="K2843" i="1"/>
  <c r="N2842" i="1"/>
  <c r="M2842" i="1"/>
  <c r="L2842" i="1"/>
  <c r="K2842" i="1"/>
  <c r="N2841" i="1"/>
  <c r="M2841" i="1"/>
  <c r="L2841" i="1"/>
  <c r="K2841" i="1"/>
  <c r="N2840" i="1"/>
  <c r="M2840" i="1"/>
  <c r="L2840" i="1"/>
  <c r="K2840" i="1"/>
  <c r="N2839" i="1"/>
  <c r="M2839" i="1"/>
  <c r="L2839" i="1"/>
  <c r="K2839" i="1"/>
  <c r="N2838" i="1"/>
  <c r="M2838" i="1"/>
  <c r="L2838" i="1"/>
  <c r="K2838" i="1"/>
  <c r="N2837" i="1"/>
  <c r="M2837" i="1"/>
  <c r="L2837" i="1"/>
  <c r="K2837" i="1"/>
  <c r="N2836" i="1"/>
  <c r="M2836" i="1"/>
  <c r="L2836" i="1"/>
  <c r="K2836" i="1"/>
  <c r="N2835" i="1"/>
  <c r="M2835" i="1"/>
  <c r="L2835" i="1"/>
  <c r="K2835" i="1"/>
  <c r="N2834" i="1"/>
  <c r="M2834" i="1"/>
  <c r="L2834" i="1"/>
  <c r="K2834" i="1"/>
  <c r="N2833" i="1"/>
  <c r="M2833" i="1"/>
  <c r="L2833" i="1"/>
  <c r="K2833" i="1"/>
  <c r="N2832" i="1"/>
  <c r="M2832" i="1"/>
  <c r="L2832" i="1"/>
  <c r="K2832" i="1"/>
  <c r="N2831" i="1"/>
  <c r="M2831" i="1"/>
  <c r="L2831" i="1"/>
  <c r="K2831" i="1"/>
  <c r="N2830" i="1"/>
  <c r="M2830" i="1"/>
  <c r="L2830" i="1"/>
  <c r="K2830" i="1"/>
  <c r="N2829" i="1"/>
  <c r="M2829" i="1"/>
  <c r="L2829" i="1"/>
  <c r="K2829" i="1"/>
  <c r="N2828" i="1"/>
  <c r="M2828" i="1"/>
  <c r="L2828" i="1"/>
  <c r="K2828" i="1"/>
  <c r="N2827" i="1"/>
  <c r="M2827" i="1"/>
  <c r="L2827" i="1"/>
  <c r="K2827" i="1"/>
  <c r="N2826" i="1"/>
  <c r="M2826" i="1"/>
  <c r="L2826" i="1"/>
  <c r="K2826" i="1"/>
  <c r="N2825" i="1"/>
  <c r="M2825" i="1"/>
  <c r="L2825" i="1"/>
  <c r="K2825" i="1"/>
  <c r="N2824" i="1"/>
  <c r="M2824" i="1"/>
  <c r="L2824" i="1"/>
  <c r="K2824" i="1"/>
  <c r="N2823" i="1"/>
  <c r="M2823" i="1"/>
  <c r="L2823" i="1"/>
  <c r="K2823" i="1"/>
  <c r="N2822" i="1"/>
  <c r="M2822" i="1"/>
  <c r="L2822" i="1"/>
  <c r="K2822" i="1"/>
  <c r="N2821" i="1"/>
  <c r="M2821" i="1"/>
  <c r="L2821" i="1"/>
  <c r="K2821" i="1"/>
  <c r="N2820" i="1"/>
  <c r="M2820" i="1"/>
  <c r="L2820" i="1"/>
  <c r="K2820" i="1"/>
  <c r="N2819" i="1"/>
  <c r="M2819" i="1"/>
  <c r="L2819" i="1"/>
  <c r="K2819" i="1"/>
  <c r="N2818" i="1"/>
  <c r="M2818" i="1"/>
  <c r="L2818" i="1"/>
  <c r="K2818" i="1"/>
  <c r="N2817" i="1"/>
  <c r="M2817" i="1"/>
  <c r="L2817" i="1"/>
  <c r="K2817" i="1"/>
  <c r="N2816" i="1"/>
  <c r="M2816" i="1"/>
  <c r="L2816" i="1"/>
  <c r="K2816" i="1"/>
  <c r="N2815" i="1"/>
  <c r="M2815" i="1"/>
  <c r="L2815" i="1"/>
  <c r="K2815" i="1"/>
  <c r="N2814" i="1"/>
  <c r="M2814" i="1"/>
  <c r="L2814" i="1"/>
  <c r="K2814" i="1"/>
  <c r="N2813" i="1"/>
  <c r="M2813" i="1"/>
  <c r="L2813" i="1"/>
  <c r="K2813" i="1"/>
  <c r="N2812" i="1"/>
  <c r="M2812" i="1"/>
  <c r="L2812" i="1"/>
  <c r="K2812" i="1"/>
  <c r="N2811" i="1"/>
  <c r="M2811" i="1"/>
  <c r="L2811" i="1"/>
  <c r="K2811" i="1"/>
  <c r="N2810" i="1"/>
  <c r="M2810" i="1"/>
  <c r="L2810" i="1"/>
  <c r="K2810" i="1"/>
  <c r="N2809" i="1"/>
  <c r="M2809" i="1"/>
  <c r="L2809" i="1"/>
  <c r="K2809" i="1"/>
  <c r="N2808" i="1"/>
  <c r="M2808" i="1"/>
  <c r="L2808" i="1"/>
  <c r="K2808" i="1"/>
  <c r="N2807" i="1"/>
  <c r="M2807" i="1"/>
  <c r="L2807" i="1"/>
  <c r="K2807" i="1"/>
  <c r="N2806" i="1"/>
  <c r="M2806" i="1"/>
  <c r="L2806" i="1"/>
  <c r="K2806" i="1"/>
  <c r="N2805" i="1"/>
  <c r="M2805" i="1"/>
  <c r="L2805" i="1"/>
  <c r="K2805" i="1"/>
  <c r="N2804" i="1"/>
  <c r="M2804" i="1"/>
  <c r="L2804" i="1"/>
  <c r="K2804" i="1"/>
  <c r="N2803" i="1"/>
  <c r="M2803" i="1"/>
  <c r="L2803" i="1"/>
  <c r="K2803" i="1"/>
  <c r="N2802" i="1"/>
  <c r="M2802" i="1"/>
  <c r="L2802" i="1"/>
  <c r="K2802" i="1"/>
  <c r="N2801" i="1"/>
  <c r="M2801" i="1"/>
  <c r="L2801" i="1"/>
  <c r="K2801" i="1"/>
  <c r="N2800" i="1"/>
  <c r="M2800" i="1"/>
  <c r="L2800" i="1"/>
  <c r="K2800" i="1"/>
  <c r="N2799" i="1"/>
  <c r="M2799" i="1"/>
  <c r="L2799" i="1"/>
  <c r="K2799" i="1"/>
  <c r="N2798" i="1"/>
  <c r="M2798" i="1"/>
  <c r="L2798" i="1"/>
  <c r="K2798" i="1"/>
  <c r="N2797" i="1"/>
  <c r="M2797" i="1"/>
  <c r="L2797" i="1"/>
  <c r="K2797" i="1"/>
  <c r="N2796" i="1"/>
  <c r="M2796" i="1"/>
  <c r="L2796" i="1"/>
  <c r="K2796" i="1"/>
  <c r="N2795" i="1"/>
  <c r="M2795" i="1"/>
  <c r="L2795" i="1"/>
  <c r="K2795" i="1"/>
  <c r="N2794" i="1"/>
  <c r="M2794" i="1"/>
  <c r="L2794" i="1"/>
  <c r="K2794" i="1"/>
  <c r="N2793" i="1"/>
  <c r="M2793" i="1"/>
  <c r="L2793" i="1"/>
  <c r="K2793" i="1"/>
  <c r="N2792" i="1"/>
  <c r="M2792" i="1"/>
  <c r="L2792" i="1"/>
  <c r="K2792" i="1"/>
  <c r="N2791" i="1"/>
  <c r="M2791" i="1"/>
  <c r="L2791" i="1"/>
  <c r="K2791" i="1"/>
  <c r="N2790" i="1"/>
  <c r="M2790" i="1"/>
  <c r="L2790" i="1"/>
  <c r="K2790" i="1"/>
  <c r="N2789" i="1"/>
  <c r="M2789" i="1"/>
  <c r="L2789" i="1"/>
  <c r="K2789" i="1"/>
  <c r="N2788" i="1"/>
  <c r="M2788" i="1"/>
  <c r="L2788" i="1"/>
  <c r="K2788" i="1"/>
  <c r="N2787" i="1"/>
  <c r="M2787" i="1"/>
  <c r="L2787" i="1"/>
  <c r="K2787" i="1"/>
  <c r="N2786" i="1"/>
  <c r="M2786" i="1"/>
  <c r="L2786" i="1"/>
  <c r="K2786" i="1"/>
  <c r="N2785" i="1"/>
  <c r="M2785" i="1"/>
  <c r="L2785" i="1"/>
  <c r="K2785" i="1"/>
  <c r="N2784" i="1"/>
  <c r="M2784" i="1"/>
  <c r="L2784" i="1"/>
  <c r="K2784" i="1"/>
  <c r="N2783" i="1"/>
  <c r="M2783" i="1"/>
  <c r="L2783" i="1"/>
  <c r="K2783" i="1"/>
  <c r="N2782" i="1"/>
  <c r="M2782" i="1"/>
  <c r="L2782" i="1"/>
  <c r="K2782" i="1"/>
  <c r="N2781" i="1"/>
  <c r="M2781" i="1"/>
  <c r="L2781" i="1"/>
  <c r="K2781" i="1"/>
  <c r="N2780" i="1"/>
  <c r="M2780" i="1"/>
  <c r="L2780" i="1"/>
  <c r="K2780" i="1"/>
  <c r="N2779" i="1"/>
  <c r="M2779" i="1"/>
  <c r="L2779" i="1"/>
  <c r="K2779" i="1"/>
  <c r="N2778" i="1"/>
  <c r="M2778" i="1"/>
  <c r="L2778" i="1"/>
  <c r="K2778" i="1"/>
  <c r="N2777" i="1"/>
  <c r="M2777" i="1"/>
  <c r="L2777" i="1"/>
  <c r="K2777" i="1"/>
  <c r="N2776" i="1"/>
  <c r="M2776" i="1"/>
  <c r="L2776" i="1"/>
  <c r="K2776" i="1"/>
  <c r="N2775" i="1"/>
  <c r="M2775" i="1"/>
  <c r="L2775" i="1"/>
  <c r="K2775" i="1"/>
  <c r="N2774" i="1"/>
  <c r="M2774" i="1"/>
  <c r="L2774" i="1"/>
  <c r="K2774" i="1"/>
  <c r="N2773" i="1"/>
  <c r="M2773" i="1"/>
  <c r="L2773" i="1"/>
  <c r="K2773" i="1"/>
  <c r="N2772" i="1"/>
  <c r="M2772" i="1"/>
  <c r="L2772" i="1"/>
  <c r="K2772" i="1"/>
  <c r="N2771" i="1"/>
  <c r="M2771" i="1"/>
  <c r="L2771" i="1"/>
  <c r="K2771" i="1"/>
  <c r="N2770" i="1"/>
  <c r="M2770" i="1"/>
  <c r="L2770" i="1"/>
  <c r="K2770" i="1"/>
  <c r="N2769" i="1"/>
  <c r="M2769" i="1"/>
  <c r="L2769" i="1"/>
  <c r="K2769" i="1"/>
  <c r="N2768" i="1"/>
  <c r="M2768" i="1"/>
  <c r="L2768" i="1"/>
  <c r="K2768" i="1"/>
  <c r="N2767" i="1"/>
  <c r="M2767" i="1"/>
  <c r="L2767" i="1"/>
  <c r="K2767" i="1"/>
  <c r="N2766" i="1"/>
  <c r="M2766" i="1"/>
  <c r="L2766" i="1"/>
  <c r="K2766" i="1"/>
  <c r="N2765" i="1"/>
  <c r="M2765" i="1"/>
  <c r="L2765" i="1"/>
  <c r="K2765" i="1"/>
  <c r="N2764" i="1"/>
  <c r="M2764" i="1"/>
  <c r="L2764" i="1"/>
  <c r="K2764" i="1"/>
  <c r="N2763" i="1"/>
  <c r="M2763" i="1"/>
  <c r="L2763" i="1"/>
  <c r="K2763" i="1"/>
  <c r="N2762" i="1"/>
  <c r="M2762" i="1"/>
  <c r="L2762" i="1"/>
  <c r="K2762" i="1"/>
  <c r="N2761" i="1"/>
  <c r="M2761" i="1"/>
  <c r="L2761" i="1"/>
  <c r="K2761" i="1"/>
  <c r="N2760" i="1"/>
  <c r="M2760" i="1"/>
  <c r="L2760" i="1"/>
  <c r="K2760" i="1"/>
  <c r="N2759" i="1"/>
  <c r="M2759" i="1"/>
  <c r="L2759" i="1"/>
  <c r="K2759" i="1"/>
  <c r="N2758" i="1"/>
  <c r="M2758" i="1"/>
  <c r="L2758" i="1"/>
  <c r="K2758" i="1"/>
  <c r="N2757" i="1"/>
  <c r="M2757" i="1"/>
  <c r="L2757" i="1"/>
  <c r="K2757" i="1"/>
  <c r="N2756" i="1"/>
  <c r="M2756" i="1"/>
  <c r="L2756" i="1"/>
  <c r="K2756" i="1"/>
  <c r="N2755" i="1"/>
  <c r="M2755" i="1"/>
  <c r="L2755" i="1"/>
  <c r="K2755" i="1"/>
  <c r="N2754" i="1"/>
  <c r="M2754" i="1"/>
  <c r="L2754" i="1"/>
  <c r="K2754" i="1"/>
  <c r="N2753" i="1"/>
  <c r="M2753" i="1"/>
  <c r="L2753" i="1"/>
  <c r="K2753" i="1"/>
  <c r="N2752" i="1"/>
  <c r="M2752" i="1"/>
  <c r="L2752" i="1"/>
  <c r="K2752" i="1"/>
  <c r="N2751" i="1"/>
  <c r="M2751" i="1"/>
  <c r="L2751" i="1"/>
  <c r="K2751" i="1"/>
  <c r="N2750" i="1"/>
  <c r="M2750" i="1"/>
  <c r="L2750" i="1"/>
  <c r="K2750" i="1"/>
  <c r="N2749" i="1"/>
  <c r="M2749" i="1"/>
  <c r="L2749" i="1"/>
  <c r="K2749" i="1"/>
  <c r="N2748" i="1"/>
  <c r="M2748" i="1"/>
  <c r="L2748" i="1"/>
  <c r="K2748" i="1"/>
  <c r="N2747" i="1"/>
  <c r="M2747" i="1"/>
  <c r="L2747" i="1"/>
  <c r="K2747" i="1"/>
  <c r="N2746" i="1"/>
  <c r="M2746" i="1"/>
  <c r="L2746" i="1"/>
  <c r="K2746" i="1"/>
  <c r="N2745" i="1"/>
  <c r="M2745" i="1"/>
  <c r="L2745" i="1"/>
  <c r="K2745" i="1"/>
  <c r="N2744" i="1"/>
  <c r="M2744" i="1"/>
  <c r="L2744" i="1"/>
  <c r="K2744" i="1"/>
  <c r="N2743" i="1"/>
  <c r="M2743" i="1"/>
  <c r="L2743" i="1"/>
  <c r="K2743" i="1"/>
  <c r="N2742" i="1"/>
  <c r="M2742" i="1"/>
  <c r="L2742" i="1"/>
  <c r="K2742" i="1"/>
  <c r="N2741" i="1"/>
  <c r="M2741" i="1"/>
  <c r="L2741" i="1"/>
  <c r="K2741" i="1"/>
  <c r="N2740" i="1"/>
  <c r="M2740" i="1"/>
  <c r="L2740" i="1"/>
  <c r="K2740" i="1"/>
  <c r="N2739" i="1"/>
  <c r="M2739" i="1"/>
  <c r="L2739" i="1"/>
  <c r="K2739" i="1"/>
  <c r="N2738" i="1"/>
  <c r="M2738" i="1"/>
  <c r="L2738" i="1"/>
  <c r="K2738" i="1"/>
  <c r="N2737" i="1"/>
  <c r="M2737" i="1"/>
  <c r="L2737" i="1"/>
  <c r="K2737" i="1"/>
  <c r="N2736" i="1"/>
  <c r="M2736" i="1"/>
  <c r="L2736" i="1"/>
  <c r="K2736" i="1"/>
  <c r="N2735" i="1"/>
  <c r="M2735" i="1"/>
  <c r="L2735" i="1"/>
  <c r="K2735" i="1"/>
  <c r="N2734" i="1"/>
  <c r="M2734" i="1"/>
  <c r="L2734" i="1"/>
  <c r="K2734" i="1"/>
  <c r="N2733" i="1"/>
  <c r="M2733" i="1"/>
  <c r="L2733" i="1"/>
  <c r="K2733" i="1"/>
  <c r="N2732" i="1"/>
  <c r="M2732" i="1"/>
  <c r="L2732" i="1"/>
  <c r="K2732" i="1"/>
  <c r="N2731" i="1"/>
  <c r="M2731" i="1"/>
  <c r="L2731" i="1"/>
  <c r="K2731" i="1"/>
  <c r="N2730" i="1"/>
  <c r="M2730" i="1"/>
  <c r="L2730" i="1"/>
  <c r="K2730" i="1"/>
  <c r="N2729" i="1"/>
  <c r="M2729" i="1"/>
  <c r="L2729" i="1"/>
  <c r="K2729" i="1"/>
  <c r="N2728" i="1"/>
  <c r="M2728" i="1"/>
  <c r="L2728" i="1"/>
  <c r="K2728" i="1"/>
  <c r="N2727" i="1"/>
  <c r="M2727" i="1"/>
  <c r="L2727" i="1"/>
  <c r="K2727" i="1"/>
  <c r="N2726" i="1"/>
  <c r="M2726" i="1"/>
  <c r="L2726" i="1"/>
  <c r="K2726" i="1"/>
  <c r="N2725" i="1"/>
  <c r="M2725" i="1"/>
  <c r="L2725" i="1"/>
  <c r="K2725" i="1"/>
  <c r="N2724" i="1"/>
  <c r="M2724" i="1"/>
  <c r="L2724" i="1"/>
  <c r="K2724" i="1"/>
  <c r="N2723" i="1"/>
  <c r="M2723" i="1"/>
  <c r="L2723" i="1"/>
  <c r="K2723" i="1"/>
  <c r="N2722" i="1"/>
  <c r="M2722" i="1"/>
  <c r="L2722" i="1"/>
  <c r="K2722" i="1"/>
  <c r="N2721" i="1"/>
  <c r="M2721" i="1"/>
  <c r="L2721" i="1"/>
  <c r="K2721" i="1"/>
  <c r="N2720" i="1"/>
  <c r="M2720" i="1"/>
  <c r="L2720" i="1"/>
  <c r="K2720" i="1"/>
  <c r="N2719" i="1"/>
  <c r="M2719" i="1"/>
  <c r="L2719" i="1"/>
  <c r="K2719" i="1"/>
  <c r="N2718" i="1"/>
  <c r="M2718" i="1"/>
  <c r="L2718" i="1"/>
  <c r="K2718" i="1"/>
  <c r="N2717" i="1"/>
  <c r="M2717" i="1"/>
  <c r="L2717" i="1"/>
  <c r="K2717" i="1"/>
  <c r="N2716" i="1"/>
  <c r="M2716" i="1"/>
  <c r="L2716" i="1"/>
  <c r="K2716" i="1"/>
  <c r="N2715" i="1"/>
  <c r="M2715" i="1"/>
  <c r="L2715" i="1"/>
  <c r="K2715" i="1"/>
  <c r="N2714" i="1"/>
  <c r="M2714" i="1"/>
  <c r="L2714" i="1"/>
  <c r="K2714" i="1"/>
  <c r="N2713" i="1"/>
  <c r="M2713" i="1"/>
  <c r="L2713" i="1"/>
  <c r="K2713" i="1"/>
  <c r="N2712" i="1"/>
  <c r="M2712" i="1"/>
  <c r="L2712" i="1"/>
  <c r="K2712" i="1"/>
  <c r="N2711" i="1"/>
  <c r="M2711" i="1"/>
  <c r="L2711" i="1"/>
  <c r="K2711" i="1"/>
  <c r="N2710" i="1"/>
  <c r="M2710" i="1"/>
  <c r="L2710" i="1"/>
  <c r="K2710" i="1"/>
  <c r="N2709" i="1"/>
  <c r="M2709" i="1"/>
  <c r="L2709" i="1"/>
  <c r="K2709" i="1"/>
  <c r="N2708" i="1"/>
  <c r="M2708" i="1"/>
  <c r="L2708" i="1"/>
  <c r="K2708" i="1"/>
  <c r="N2707" i="1"/>
  <c r="M2707" i="1"/>
  <c r="L2707" i="1"/>
  <c r="K2707" i="1"/>
  <c r="N2706" i="1"/>
  <c r="M2706" i="1"/>
  <c r="L2706" i="1"/>
  <c r="K2706" i="1"/>
  <c r="N2705" i="1"/>
  <c r="M2705" i="1"/>
  <c r="L2705" i="1"/>
  <c r="K2705" i="1"/>
  <c r="N2704" i="1"/>
  <c r="M2704" i="1"/>
  <c r="L2704" i="1"/>
  <c r="K2704" i="1"/>
  <c r="N2703" i="1"/>
  <c r="M2703" i="1"/>
  <c r="L2703" i="1"/>
  <c r="K2703" i="1"/>
  <c r="N2702" i="1"/>
  <c r="M2702" i="1"/>
  <c r="L2702" i="1"/>
  <c r="K2702" i="1"/>
  <c r="N2701" i="1"/>
  <c r="M2701" i="1"/>
  <c r="L2701" i="1"/>
  <c r="K2701" i="1"/>
  <c r="N2700" i="1"/>
  <c r="M2700" i="1"/>
  <c r="L2700" i="1"/>
  <c r="K2700" i="1"/>
  <c r="N2699" i="1"/>
  <c r="M2699" i="1"/>
  <c r="L2699" i="1"/>
  <c r="K2699" i="1"/>
  <c r="N2698" i="1"/>
  <c r="M2698" i="1"/>
  <c r="L2698" i="1"/>
  <c r="K2698" i="1"/>
  <c r="N2697" i="1"/>
  <c r="M2697" i="1"/>
  <c r="L2697" i="1"/>
  <c r="K2697" i="1"/>
  <c r="N2696" i="1"/>
  <c r="M2696" i="1"/>
  <c r="L2696" i="1"/>
  <c r="K2696" i="1"/>
  <c r="N2695" i="1"/>
  <c r="M2695" i="1"/>
  <c r="L2695" i="1"/>
  <c r="K2695" i="1"/>
  <c r="N2694" i="1"/>
  <c r="M2694" i="1"/>
  <c r="L2694" i="1"/>
  <c r="K2694" i="1"/>
  <c r="N2693" i="1"/>
  <c r="M2693" i="1"/>
  <c r="L2693" i="1"/>
  <c r="K2693" i="1"/>
  <c r="N2692" i="1"/>
  <c r="M2692" i="1"/>
  <c r="L2692" i="1"/>
  <c r="K2692" i="1"/>
  <c r="N2691" i="1"/>
  <c r="M2691" i="1"/>
  <c r="L2691" i="1"/>
  <c r="K2691" i="1"/>
  <c r="N2690" i="1"/>
  <c r="M2690" i="1"/>
  <c r="L2690" i="1"/>
  <c r="K2690" i="1"/>
  <c r="N2689" i="1"/>
  <c r="M2689" i="1"/>
  <c r="L2689" i="1"/>
  <c r="K2689" i="1"/>
  <c r="N2688" i="1"/>
  <c r="M2688" i="1"/>
  <c r="L2688" i="1"/>
  <c r="K2688" i="1"/>
  <c r="N2687" i="1"/>
  <c r="M2687" i="1"/>
  <c r="L2687" i="1"/>
  <c r="K2687" i="1"/>
  <c r="N2686" i="1"/>
  <c r="M2686" i="1"/>
  <c r="L2686" i="1"/>
  <c r="K2686" i="1"/>
  <c r="N2685" i="1"/>
  <c r="M2685" i="1"/>
  <c r="L2685" i="1"/>
  <c r="K2685" i="1"/>
  <c r="N2684" i="1"/>
  <c r="M2684" i="1"/>
  <c r="L2684" i="1"/>
  <c r="K2684" i="1"/>
  <c r="N2683" i="1"/>
  <c r="M2683" i="1"/>
  <c r="L2683" i="1"/>
  <c r="K2683" i="1"/>
  <c r="N2682" i="1"/>
  <c r="M2682" i="1"/>
  <c r="L2682" i="1"/>
  <c r="K2682" i="1"/>
  <c r="N2681" i="1"/>
  <c r="M2681" i="1"/>
  <c r="L2681" i="1"/>
  <c r="K2681" i="1"/>
  <c r="N2680" i="1"/>
  <c r="M2680" i="1"/>
  <c r="L2680" i="1"/>
  <c r="K2680" i="1"/>
  <c r="N2679" i="1"/>
  <c r="M2679" i="1"/>
  <c r="L2679" i="1"/>
  <c r="K2679" i="1"/>
  <c r="N2678" i="1"/>
  <c r="M2678" i="1"/>
  <c r="L2678" i="1"/>
  <c r="K2678" i="1"/>
  <c r="N2677" i="1"/>
  <c r="M2677" i="1"/>
  <c r="L2677" i="1"/>
  <c r="K2677" i="1"/>
  <c r="N2676" i="1"/>
  <c r="M2676" i="1"/>
  <c r="L2676" i="1"/>
  <c r="K2676" i="1"/>
  <c r="N2675" i="1"/>
  <c r="M2675" i="1"/>
  <c r="L2675" i="1"/>
  <c r="K2675" i="1"/>
  <c r="N2674" i="1"/>
  <c r="M2674" i="1"/>
  <c r="L2674" i="1"/>
  <c r="K2674" i="1"/>
  <c r="N2673" i="1"/>
  <c r="M2673" i="1"/>
  <c r="L2673" i="1"/>
  <c r="K2673" i="1"/>
  <c r="N2672" i="1"/>
  <c r="M2672" i="1"/>
  <c r="L2672" i="1"/>
  <c r="K2672" i="1"/>
  <c r="N2671" i="1"/>
  <c r="M2671" i="1"/>
  <c r="L2671" i="1"/>
  <c r="K2671" i="1"/>
  <c r="N2670" i="1"/>
  <c r="M2670" i="1"/>
  <c r="L2670" i="1"/>
  <c r="K2670" i="1"/>
  <c r="N2669" i="1"/>
  <c r="M2669" i="1"/>
  <c r="L2669" i="1"/>
  <c r="K2669" i="1"/>
  <c r="N2668" i="1"/>
  <c r="M2668" i="1"/>
  <c r="L2668" i="1"/>
  <c r="K2668" i="1"/>
  <c r="N2667" i="1"/>
  <c r="M2667" i="1"/>
  <c r="L2667" i="1"/>
  <c r="K2667" i="1"/>
  <c r="N2666" i="1"/>
  <c r="M2666" i="1"/>
  <c r="L2666" i="1"/>
  <c r="K2666" i="1"/>
  <c r="N2665" i="1"/>
  <c r="M2665" i="1"/>
  <c r="L2665" i="1"/>
  <c r="K2665" i="1"/>
  <c r="N2664" i="1"/>
  <c r="M2664" i="1"/>
  <c r="L2664" i="1"/>
  <c r="K2664" i="1"/>
  <c r="N2663" i="1"/>
  <c r="M2663" i="1"/>
  <c r="L2663" i="1"/>
  <c r="K2663" i="1"/>
  <c r="N2662" i="1"/>
  <c r="M2662" i="1"/>
  <c r="L2662" i="1"/>
  <c r="K2662" i="1"/>
  <c r="N2661" i="1"/>
  <c r="M2661" i="1"/>
  <c r="L2661" i="1"/>
  <c r="K2661" i="1"/>
  <c r="N2660" i="1"/>
  <c r="M2660" i="1"/>
  <c r="L2660" i="1"/>
  <c r="K2660" i="1"/>
  <c r="N2659" i="1"/>
  <c r="M2659" i="1"/>
  <c r="L2659" i="1"/>
  <c r="K2659" i="1"/>
  <c r="N2658" i="1"/>
  <c r="M2658" i="1"/>
  <c r="L2658" i="1"/>
  <c r="K2658" i="1"/>
  <c r="N2657" i="1"/>
  <c r="M2657" i="1"/>
  <c r="L2657" i="1"/>
  <c r="K2657" i="1"/>
  <c r="N2656" i="1"/>
  <c r="M2656" i="1"/>
  <c r="L2656" i="1"/>
  <c r="K2656" i="1"/>
  <c r="N2655" i="1"/>
  <c r="M2655" i="1"/>
  <c r="L2655" i="1"/>
  <c r="K2655" i="1"/>
  <c r="N2654" i="1"/>
  <c r="M2654" i="1"/>
  <c r="L2654" i="1"/>
  <c r="K2654" i="1"/>
  <c r="N2653" i="1"/>
  <c r="M2653" i="1"/>
  <c r="L2653" i="1"/>
  <c r="K2653" i="1"/>
  <c r="N2652" i="1"/>
  <c r="M2652" i="1"/>
  <c r="L2652" i="1"/>
  <c r="K2652" i="1"/>
  <c r="N2651" i="1"/>
  <c r="M2651" i="1"/>
  <c r="L2651" i="1"/>
  <c r="K2651" i="1"/>
  <c r="N2650" i="1"/>
  <c r="M2650" i="1"/>
  <c r="L2650" i="1"/>
  <c r="K2650" i="1"/>
  <c r="N2649" i="1"/>
  <c r="M2649" i="1"/>
  <c r="L2649" i="1"/>
  <c r="K2649" i="1"/>
  <c r="N2648" i="1"/>
  <c r="M2648" i="1"/>
  <c r="L2648" i="1"/>
  <c r="K2648" i="1"/>
  <c r="N2647" i="1"/>
  <c r="M2647" i="1"/>
  <c r="L2647" i="1"/>
  <c r="K2647" i="1"/>
  <c r="N2646" i="1"/>
  <c r="M2646" i="1"/>
  <c r="L2646" i="1"/>
  <c r="K2646" i="1"/>
  <c r="N2645" i="1"/>
  <c r="M2645" i="1"/>
  <c r="L2645" i="1"/>
  <c r="K2645" i="1"/>
  <c r="N2644" i="1"/>
  <c r="M2644" i="1"/>
  <c r="L2644" i="1"/>
  <c r="K2644" i="1"/>
  <c r="N2643" i="1"/>
  <c r="M2643" i="1"/>
  <c r="L2643" i="1"/>
  <c r="K2643" i="1"/>
  <c r="N2642" i="1"/>
  <c r="M2642" i="1"/>
  <c r="L2642" i="1"/>
  <c r="K2642" i="1"/>
  <c r="N2641" i="1"/>
  <c r="M2641" i="1"/>
  <c r="L2641" i="1"/>
  <c r="K2641" i="1"/>
  <c r="N2640" i="1"/>
  <c r="M2640" i="1"/>
  <c r="L2640" i="1"/>
  <c r="K2640" i="1"/>
  <c r="N2639" i="1"/>
  <c r="M2639" i="1"/>
  <c r="L2639" i="1"/>
  <c r="K2639" i="1"/>
  <c r="N2638" i="1"/>
  <c r="M2638" i="1"/>
  <c r="L2638" i="1"/>
  <c r="K2638" i="1"/>
  <c r="N2637" i="1"/>
  <c r="M2637" i="1"/>
  <c r="L2637" i="1"/>
  <c r="K2637" i="1"/>
  <c r="N2636" i="1"/>
  <c r="M2636" i="1"/>
  <c r="L2636" i="1"/>
  <c r="K2636" i="1"/>
  <c r="N2635" i="1"/>
  <c r="M2635" i="1"/>
  <c r="L2635" i="1"/>
  <c r="K2635" i="1"/>
  <c r="N2634" i="1"/>
  <c r="M2634" i="1"/>
  <c r="L2634" i="1"/>
  <c r="K2634" i="1"/>
  <c r="N2633" i="1"/>
  <c r="M2633" i="1"/>
  <c r="L2633" i="1"/>
  <c r="K2633" i="1"/>
  <c r="N2632" i="1"/>
  <c r="M2632" i="1"/>
  <c r="L2632" i="1"/>
  <c r="K2632" i="1"/>
  <c r="N2631" i="1"/>
  <c r="M2631" i="1"/>
  <c r="L2631" i="1"/>
  <c r="K2631" i="1"/>
  <c r="N2630" i="1"/>
  <c r="M2630" i="1"/>
  <c r="L2630" i="1"/>
  <c r="K2630" i="1"/>
  <c r="N2629" i="1"/>
  <c r="M2629" i="1"/>
  <c r="L2629" i="1"/>
  <c r="K2629" i="1"/>
  <c r="N2628" i="1"/>
  <c r="M2628" i="1"/>
  <c r="L2628" i="1"/>
  <c r="K2628" i="1"/>
  <c r="N2627" i="1"/>
  <c r="M2627" i="1"/>
  <c r="L2627" i="1"/>
  <c r="K2627" i="1"/>
  <c r="N2626" i="1"/>
  <c r="M2626" i="1"/>
  <c r="L2626" i="1"/>
  <c r="K2626" i="1"/>
  <c r="N2625" i="1"/>
  <c r="M2625" i="1"/>
  <c r="L2625" i="1"/>
  <c r="K2625" i="1"/>
  <c r="N2624" i="1"/>
  <c r="M2624" i="1"/>
  <c r="L2624" i="1"/>
  <c r="K2624" i="1"/>
  <c r="N2623" i="1"/>
  <c r="M2623" i="1"/>
  <c r="L2623" i="1"/>
  <c r="K2623" i="1"/>
  <c r="N2622" i="1"/>
  <c r="M2622" i="1"/>
  <c r="L2622" i="1"/>
  <c r="K2622" i="1"/>
  <c r="N2621" i="1"/>
  <c r="M2621" i="1"/>
  <c r="L2621" i="1"/>
  <c r="K2621" i="1"/>
  <c r="N2620" i="1"/>
  <c r="M2620" i="1"/>
  <c r="L2620" i="1"/>
  <c r="K2620" i="1"/>
  <c r="N2619" i="1"/>
  <c r="M2619" i="1"/>
  <c r="L2619" i="1"/>
  <c r="K2619" i="1"/>
  <c r="N2618" i="1"/>
  <c r="M2618" i="1"/>
  <c r="L2618" i="1"/>
  <c r="K2618" i="1"/>
  <c r="N2617" i="1"/>
  <c r="M2617" i="1"/>
  <c r="L2617" i="1"/>
  <c r="K2617" i="1"/>
  <c r="N2616" i="1"/>
  <c r="M2616" i="1"/>
  <c r="L2616" i="1"/>
  <c r="K2616" i="1"/>
  <c r="N2615" i="1"/>
  <c r="M2615" i="1"/>
  <c r="L2615" i="1"/>
  <c r="K2615" i="1"/>
  <c r="N2614" i="1"/>
  <c r="M2614" i="1"/>
  <c r="L2614" i="1"/>
  <c r="K2614" i="1"/>
  <c r="N2613" i="1"/>
  <c r="M2613" i="1"/>
  <c r="L2613" i="1"/>
  <c r="K2613" i="1"/>
  <c r="N2612" i="1"/>
  <c r="M2612" i="1"/>
  <c r="L2612" i="1"/>
  <c r="K2612" i="1"/>
  <c r="N2611" i="1"/>
  <c r="M2611" i="1"/>
  <c r="L2611" i="1"/>
  <c r="K2611" i="1"/>
  <c r="N2610" i="1"/>
  <c r="M2610" i="1"/>
  <c r="L2610" i="1"/>
  <c r="K2610" i="1"/>
  <c r="N2609" i="1"/>
  <c r="M2609" i="1"/>
  <c r="L2609" i="1"/>
  <c r="K2609" i="1"/>
  <c r="N2608" i="1"/>
  <c r="M2608" i="1"/>
  <c r="L2608" i="1"/>
  <c r="K2608" i="1"/>
  <c r="N2607" i="1"/>
  <c r="M2607" i="1"/>
  <c r="L2607" i="1"/>
  <c r="K2607" i="1"/>
  <c r="N2606" i="1"/>
  <c r="M2606" i="1"/>
  <c r="L2606" i="1"/>
  <c r="K2606" i="1"/>
  <c r="N2605" i="1"/>
  <c r="M2605" i="1"/>
  <c r="L2605" i="1"/>
  <c r="K2605" i="1"/>
  <c r="N2604" i="1"/>
  <c r="M2604" i="1"/>
  <c r="L2604" i="1"/>
  <c r="K2604" i="1"/>
  <c r="N2603" i="1"/>
  <c r="M2603" i="1"/>
  <c r="L2603" i="1"/>
  <c r="K2603" i="1"/>
  <c r="N2602" i="1"/>
  <c r="M2602" i="1"/>
  <c r="L2602" i="1"/>
  <c r="K2602" i="1"/>
  <c r="N2601" i="1"/>
  <c r="M2601" i="1"/>
  <c r="L2601" i="1"/>
  <c r="K2601" i="1"/>
  <c r="N2600" i="1"/>
  <c r="M2600" i="1"/>
  <c r="L2600" i="1"/>
  <c r="K2600" i="1"/>
  <c r="N2599" i="1"/>
  <c r="M2599" i="1"/>
  <c r="L2599" i="1"/>
  <c r="K2599" i="1"/>
  <c r="N2598" i="1"/>
  <c r="M2598" i="1"/>
  <c r="L2598" i="1"/>
  <c r="K2598" i="1"/>
  <c r="N2597" i="1"/>
  <c r="M2597" i="1"/>
  <c r="L2597" i="1"/>
  <c r="K2597" i="1"/>
  <c r="N2596" i="1"/>
  <c r="M2596" i="1"/>
  <c r="L2596" i="1"/>
  <c r="K2596" i="1"/>
  <c r="N2595" i="1"/>
  <c r="M2595" i="1"/>
  <c r="L2595" i="1"/>
  <c r="K2595" i="1"/>
  <c r="N2594" i="1"/>
  <c r="M2594" i="1"/>
  <c r="L2594" i="1"/>
  <c r="K2594" i="1"/>
  <c r="N2593" i="1"/>
  <c r="M2593" i="1"/>
  <c r="L2593" i="1"/>
  <c r="K2593" i="1"/>
  <c r="N2592" i="1"/>
  <c r="M2592" i="1"/>
  <c r="L2592" i="1"/>
  <c r="K2592" i="1"/>
  <c r="N2591" i="1"/>
  <c r="M2591" i="1"/>
  <c r="L2591" i="1"/>
  <c r="K2591" i="1"/>
  <c r="N2590" i="1"/>
  <c r="M2590" i="1"/>
  <c r="L2590" i="1"/>
  <c r="K2590" i="1"/>
  <c r="N2589" i="1"/>
  <c r="M2589" i="1"/>
  <c r="L2589" i="1"/>
  <c r="K2589" i="1"/>
  <c r="N2588" i="1"/>
  <c r="M2588" i="1"/>
  <c r="L2588" i="1"/>
  <c r="K2588" i="1"/>
  <c r="N2587" i="1"/>
  <c r="M2587" i="1"/>
  <c r="L2587" i="1"/>
  <c r="K2587" i="1"/>
  <c r="N2586" i="1"/>
  <c r="M2586" i="1"/>
  <c r="L2586" i="1"/>
  <c r="K2586" i="1"/>
  <c r="N2585" i="1"/>
  <c r="M2585" i="1"/>
  <c r="L2585" i="1"/>
  <c r="K2585" i="1"/>
  <c r="N2584" i="1"/>
  <c r="M2584" i="1"/>
  <c r="L2584" i="1"/>
  <c r="K2584" i="1"/>
  <c r="N2583" i="1"/>
  <c r="M2583" i="1"/>
  <c r="L2583" i="1"/>
  <c r="K2583" i="1"/>
  <c r="N2582" i="1"/>
  <c r="M2582" i="1"/>
  <c r="L2582" i="1"/>
  <c r="K2582" i="1"/>
  <c r="N2581" i="1"/>
  <c r="M2581" i="1"/>
  <c r="L2581" i="1"/>
  <c r="K2581" i="1"/>
  <c r="N2580" i="1"/>
  <c r="M2580" i="1"/>
  <c r="L2580" i="1"/>
  <c r="K2580" i="1"/>
  <c r="N2579" i="1"/>
  <c r="M2579" i="1"/>
  <c r="L2579" i="1"/>
  <c r="K2579" i="1"/>
  <c r="N2578" i="1"/>
  <c r="M2578" i="1"/>
  <c r="L2578" i="1"/>
  <c r="K2578" i="1"/>
  <c r="N2577" i="1"/>
  <c r="M2577" i="1"/>
  <c r="L2577" i="1"/>
  <c r="K2577" i="1"/>
  <c r="N2576" i="1"/>
  <c r="M2576" i="1"/>
  <c r="L2576" i="1"/>
  <c r="K2576" i="1"/>
  <c r="N2575" i="1"/>
  <c r="M2575" i="1"/>
  <c r="L2575" i="1"/>
  <c r="K2575" i="1"/>
  <c r="N2574" i="1"/>
  <c r="M2574" i="1"/>
  <c r="L2574" i="1"/>
  <c r="K2574" i="1"/>
  <c r="N2573" i="1"/>
  <c r="M2573" i="1"/>
  <c r="L2573" i="1"/>
  <c r="K2573" i="1"/>
  <c r="N2572" i="1"/>
  <c r="M2572" i="1"/>
  <c r="L2572" i="1"/>
  <c r="K2572" i="1"/>
  <c r="N2571" i="1"/>
  <c r="M2571" i="1"/>
  <c r="L2571" i="1"/>
  <c r="K2571" i="1"/>
  <c r="N2570" i="1"/>
  <c r="M2570" i="1"/>
  <c r="L2570" i="1"/>
  <c r="K2570" i="1"/>
  <c r="N2569" i="1"/>
  <c r="M2569" i="1"/>
  <c r="L2569" i="1"/>
  <c r="K2569" i="1"/>
  <c r="N2568" i="1"/>
  <c r="M2568" i="1"/>
  <c r="L2568" i="1"/>
  <c r="K2568" i="1"/>
  <c r="N2567" i="1"/>
  <c r="M2567" i="1"/>
  <c r="L2567" i="1"/>
  <c r="K2567" i="1"/>
  <c r="N2566" i="1"/>
  <c r="M2566" i="1"/>
  <c r="L2566" i="1"/>
  <c r="K2566" i="1"/>
  <c r="N2565" i="1"/>
  <c r="M2565" i="1"/>
  <c r="L2565" i="1"/>
  <c r="K2565" i="1"/>
  <c r="N2564" i="1"/>
  <c r="M2564" i="1"/>
  <c r="L2564" i="1"/>
  <c r="K2564" i="1"/>
  <c r="N2563" i="1"/>
  <c r="M2563" i="1"/>
  <c r="L2563" i="1"/>
  <c r="K2563" i="1"/>
  <c r="N2562" i="1"/>
  <c r="M2562" i="1"/>
  <c r="L2562" i="1"/>
  <c r="K2562" i="1"/>
  <c r="N2561" i="1"/>
  <c r="M2561" i="1"/>
  <c r="L2561" i="1"/>
  <c r="K2561" i="1"/>
  <c r="N2560" i="1"/>
  <c r="M2560" i="1"/>
  <c r="L2560" i="1"/>
  <c r="K2560" i="1"/>
  <c r="N2559" i="1"/>
  <c r="M2559" i="1"/>
  <c r="L2559" i="1"/>
  <c r="K2559" i="1"/>
  <c r="N2558" i="1"/>
  <c r="M2558" i="1"/>
  <c r="L2558" i="1"/>
  <c r="K2558" i="1"/>
  <c r="N2557" i="1"/>
  <c r="M2557" i="1"/>
  <c r="L2557" i="1"/>
  <c r="K2557" i="1"/>
  <c r="N2556" i="1"/>
  <c r="M2556" i="1"/>
  <c r="L2556" i="1"/>
  <c r="K2556" i="1"/>
  <c r="N2555" i="1"/>
  <c r="M2555" i="1"/>
  <c r="L2555" i="1"/>
  <c r="K2555" i="1"/>
  <c r="N2554" i="1"/>
  <c r="M2554" i="1"/>
  <c r="L2554" i="1"/>
  <c r="K2554" i="1"/>
  <c r="N2553" i="1"/>
  <c r="M2553" i="1"/>
  <c r="L2553" i="1"/>
  <c r="K2553" i="1"/>
  <c r="N2552" i="1"/>
  <c r="M2552" i="1"/>
  <c r="L2552" i="1"/>
  <c r="K2552" i="1"/>
  <c r="N2551" i="1"/>
  <c r="M2551" i="1"/>
  <c r="L2551" i="1"/>
  <c r="K2551" i="1"/>
  <c r="N2550" i="1"/>
  <c r="M2550" i="1"/>
  <c r="L2550" i="1"/>
  <c r="K2550" i="1"/>
  <c r="N2549" i="1"/>
  <c r="M2549" i="1"/>
  <c r="L2549" i="1"/>
  <c r="K2549" i="1"/>
  <c r="N2548" i="1"/>
  <c r="M2548" i="1"/>
  <c r="L2548" i="1"/>
  <c r="K2548" i="1"/>
  <c r="N2547" i="1"/>
  <c r="M2547" i="1"/>
  <c r="L2547" i="1"/>
  <c r="K2547" i="1"/>
  <c r="N2546" i="1"/>
  <c r="M2546" i="1"/>
  <c r="L2546" i="1"/>
  <c r="K2546" i="1"/>
  <c r="N2545" i="1"/>
  <c r="M2545" i="1"/>
  <c r="L2545" i="1"/>
  <c r="K2545" i="1"/>
  <c r="N2544" i="1"/>
  <c r="M2544" i="1"/>
  <c r="L2544" i="1"/>
  <c r="K2544" i="1"/>
  <c r="N2543" i="1"/>
  <c r="M2543" i="1"/>
  <c r="L2543" i="1"/>
  <c r="K2543" i="1"/>
  <c r="N2542" i="1"/>
  <c r="M2542" i="1"/>
  <c r="L2542" i="1"/>
  <c r="K2542" i="1"/>
  <c r="N2541" i="1"/>
  <c r="M2541" i="1"/>
  <c r="L2541" i="1"/>
  <c r="K2541" i="1"/>
  <c r="N2540" i="1"/>
  <c r="M2540" i="1"/>
  <c r="L2540" i="1"/>
  <c r="K2540" i="1"/>
  <c r="N2539" i="1"/>
  <c r="M2539" i="1"/>
  <c r="L2539" i="1"/>
  <c r="K2539" i="1"/>
  <c r="N2538" i="1"/>
  <c r="M2538" i="1"/>
  <c r="L2538" i="1"/>
  <c r="K2538" i="1"/>
  <c r="N2537" i="1"/>
  <c r="M2537" i="1"/>
  <c r="L2537" i="1"/>
  <c r="K2537" i="1"/>
  <c r="N2536" i="1"/>
  <c r="M2536" i="1"/>
  <c r="L2536" i="1"/>
  <c r="K2536" i="1"/>
  <c r="N2535" i="1"/>
  <c r="M2535" i="1"/>
  <c r="L2535" i="1"/>
  <c r="K2535" i="1"/>
  <c r="N2534" i="1"/>
  <c r="M2534" i="1"/>
  <c r="L2534" i="1"/>
  <c r="K2534" i="1"/>
  <c r="N2533" i="1"/>
  <c r="M2533" i="1"/>
  <c r="L2533" i="1"/>
  <c r="K2533" i="1"/>
  <c r="N2532" i="1"/>
  <c r="M2532" i="1"/>
  <c r="L2532" i="1"/>
  <c r="K2532" i="1"/>
  <c r="N2531" i="1"/>
  <c r="M2531" i="1"/>
  <c r="L2531" i="1"/>
  <c r="K2531" i="1"/>
  <c r="N2530" i="1"/>
  <c r="M2530" i="1"/>
  <c r="L2530" i="1"/>
  <c r="K2530" i="1"/>
  <c r="N2529" i="1"/>
  <c r="M2529" i="1"/>
  <c r="L2529" i="1"/>
  <c r="K2529" i="1"/>
  <c r="N2528" i="1"/>
  <c r="M2528" i="1"/>
  <c r="L2528" i="1"/>
  <c r="K2528" i="1"/>
  <c r="N2527" i="1"/>
  <c r="M2527" i="1"/>
  <c r="L2527" i="1"/>
  <c r="K2527" i="1"/>
  <c r="N2526" i="1"/>
  <c r="M2526" i="1"/>
  <c r="L2526" i="1"/>
  <c r="K2526" i="1"/>
  <c r="N2525" i="1"/>
  <c r="M2525" i="1"/>
  <c r="L2525" i="1"/>
  <c r="K2525" i="1"/>
  <c r="N2524" i="1"/>
  <c r="M2524" i="1"/>
  <c r="L2524" i="1"/>
  <c r="K2524" i="1"/>
  <c r="N2523" i="1"/>
  <c r="M2523" i="1"/>
  <c r="L2523" i="1"/>
  <c r="K2523" i="1"/>
  <c r="N2522" i="1"/>
  <c r="M2522" i="1"/>
  <c r="L2522" i="1"/>
  <c r="K2522" i="1"/>
  <c r="N2521" i="1"/>
  <c r="M2521" i="1"/>
  <c r="L2521" i="1"/>
  <c r="K2521" i="1"/>
  <c r="N2520" i="1"/>
  <c r="M2520" i="1"/>
  <c r="L2520" i="1"/>
  <c r="K2520" i="1"/>
  <c r="N2519" i="1"/>
  <c r="M2519" i="1"/>
  <c r="L2519" i="1"/>
  <c r="K2519" i="1"/>
  <c r="N2518" i="1"/>
  <c r="M2518" i="1"/>
  <c r="L2518" i="1"/>
  <c r="K2518" i="1"/>
  <c r="N2517" i="1"/>
  <c r="M2517" i="1"/>
  <c r="L2517" i="1"/>
  <c r="K2517" i="1"/>
  <c r="N2516" i="1"/>
  <c r="M2516" i="1"/>
  <c r="L2516" i="1"/>
  <c r="K2516" i="1"/>
  <c r="N2515" i="1"/>
  <c r="M2515" i="1"/>
  <c r="L2515" i="1"/>
  <c r="K2515" i="1"/>
  <c r="N2514" i="1"/>
  <c r="M2514" i="1"/>
  <c r="L2514" i="1"/>
  <c r="K2514" i="1"/>
  <c r="N2513" i="1"/>
  <c r="M2513" i="1"/>
  <c r="L2513" i="1"/>
  <c r="K2513" i="1"/>
  <c r="N2512" i="1"/>
  <c r="M2512" i="1"/>
  <c r="L2512" i="1"/>
  <c r="K2512" i="1"/>
  <c r="N2511" i="1"/>
  <c r="M2511" i="1"/>
  <c r="L2511" i="1"/>
  <c r="K2511" i="1"/>
  <c r="N2510" i="1"/>
  <c r="M2510" i="1"/>
  <c r="L2510" i="1"/>
  <c r="K2510" i="1"/>
  <c r="N2509" i="1"/>
  <c r="M2509" i="1"/>
  <c r="L2509" i="1"/>
  <c r="K2509" i="1"/>
  <c r="N2508" i="1"/>
  <c r="M2508" i="1"/>
  <c r="L2508" i="1"/>
  <c r="K2508" i="1"/>
  <c r="N2507" i="1"/>
  <c r="M2507" i="1"/>
  <c r="L2507" i="1"/>
  <c r="K2507" i="1"/>
  <c r="N2506" i="1"/>
  <c r="M2506" i="1"/>
  <c r="L2506" i="1"/>
  <c r="K2506" i="1"/>
  <c r="N2505" i="1"/>
  <c r="M2505" i="1"/>
  <c r="L2505" i="1"/>
  <c r="K2505" i="1"/>
  <c r="N2504" i="1"/>
  <c r="M2504" i="1"/>
  <c r="L2504" i="1"/>
  <c r="K2504" i="1"/>
  <c r="N2503" i="1"/>
  <c r="M2503" i="1"/>
  <c r="L2503" i="1"/>
  <c r="K2503" i="1"/>
  <c r="N2502" i="1"/>
  <c r="M2502" i="1"/>
  <c r="L2502" i="1"/>
  <c r="K2502" i="1"/>
  <c r="N2501" i="1"/>
  <c r="M2501" i="1"/>
  <c r="L2501" i="1"/>
  <c r="K2501" i="1"/>
  <c r="N2500" i="1"/>
  <c r="M2500" i="1"/>
  <c r="L2500" i="1"/>
  <c r="K2500" i="1"/>
  <c r="N2499" i="1"/>
  <c r="M2499" i="1"/>
  <c r="L2499" i="1"/>
  <c r="K2499" i="1"/>
  <c r="N2498" i="1"/>
  <c r="M2498" i="1"/>
  <c r="L2498" i="1"/>
  <c r="K2498" i="1"/>
  <c r="N2497" i="1"/>
  <c r="M2497" i="1"/>
  <c r="L2497" i="1"/>
  <c r="K2497" i="1"/>
  <c r="N2496" i="1"/>
  <c r="M2496" i="1"/>
  <c r="L2496" i="1"/>
  <c r="K2496" i="1"/>
  <c r="N2495" i="1"/>
  <c r="M2495" i="1"/>
  <c r="L2495" i="1"/>
  <c r="K2495" i="1"/>
  <c r="N2494" i="1"/>
  <c r="M2494" i="1"/>
  <c r="L2494" i="1"/>
  <c r="K2494" i="1"/>
  <c r="N2493" i="1"/>
  <c r="M2493" i="1"/>
  <c r="L2493" i="1"/>
  <c r="K2493" i="1"/>
  <c r="N2492" i="1"/>
  <c r="M2492" i="1"/>
  <c r="L2492" i="1"/>
  <c r="K2492" i="1"/>
  <c r="N2491" i="1"/>
  <c r="M2491" i="1"/>
  <c r="L2491" i="1"/>
  <c r="K2491" i="1"/>
  <c r="N2490" i="1"/>
  <c r="M2490" i="1"/>
  <c r="L2490" i="1"/>
  <c r="K2490" i="1"/>
  <c r="N2489" i="1"/>
  <c r="M2489" i="1"/>
  <c r="L2489" i="1"/>
  <c r="K2489" i="1"/>
  <c r="N2488" i="1"/>
  <c r="M2488" i="1"/>
  <c r="L2488" i="1"/>
  <c r="K2488" i="1"/>
  <c r="N2487" i="1"/>
  <c r="M2487" i="1"/>
  <c r="L2487" i="1"/>
  <c r="K2487" i="1"/>
  <c r="N2486" i="1"/>
  <c r="M2486" i="1"/>
  <c r="L2486" i="1"/>
  <c r="K2486" i="1"/>
  <c r="N2485" i="1"/>
  <c r="M2485" i="1"/>
  <c r="L2485" i="1"/>
  <c r="K2485" i="1"/>
  <c r="N2484" i="1"/>
  <c r="M2484" i="1"/>
  <c r="L2484" i="1"/>
  <c r="K2484" i="1"/>
  <c r="N2483" i="1"/>
  <c r="M2483" i="1"/>
  <c r="L2483" i="1"/>
  <c r="K2483" i="1"/>
  <c r="N2482" i="1"/>
  <c r="M2482" i="1"/>
  <c r="L2482" i="1"/>
  <c r="K2482" i="1"/>
  <c r="N2481" i="1"/>
  <c r="M2481" i="1"/>
  <c r="L2481" i="1"/>
  <c r="K2481" i="1"/>
  <c r="N2480" i="1"/>
  <c r="M2480" i="1"/>
  <c r="L2480" i="1"/>
  <c r="K2480" i="1"/>
  <c r="N2479" i="1"/>
  <c r="M2479" i="1"/>
  <c r="L2479" i="1"/>
  <c r="K2479" i="1"/>
  <c r="N2478" i="1"/>
  <c r="M2478" i="1"/>
  <c r="L2478" i="1"/>
  <c r="K2478" i="1"/>
  <c r="N2477" i="1"/>
  <c r="M2477" i="1"/>
  <c r="L2477" i="1"/>
  <c r="K2477" i="1"/>
  <c r="N2476" i="1"/>
  <c r="M2476" i="1"/>
  <c r="L2476" i="1"/>
  <c r="K2476" i="1"/>
  <c r="N2475" i="1"/>
  <c r="M2475" i="1"/>
  <c r="L2475" i="1"/>
  <c r="K2475" i="1"/>
  <c r="N2474" i="1"/>
  <c r="M2474" i="1"/>
  <c r="L2474" i="1"/>
  <c r="K2474" i="1"/>
  <c r="N2473" i="1"/>
  <c r="M2473" i="1"/>
  <c r="L2473" i="1"/>
  <c r="K2473" i="1"/>
  <c r="N2472" i="1"/>
  <c r="M2472" i="1"/>
  <c r="L2472" i="1"/>
  <c r="K2472" i="1"/>
  <c r="N2471" i="1"/>
  <c r="M2471" i="1"/>
  <c r="L2471" i="1"/>
  <c r="K2471" i="1"/>
  <c r="N2470" i="1"/>
  <c r="M2470" i="1"/>
  <c r="L2470" i="1"/>
  <c r="K2470" i="1"/>
  <c r="N2469" i="1"/>
  <c r="M2469" i="1"/>
  <c r="L2469" i="1"/>
  <c r="K2469" i="1"/>
  <c r="N2468" i="1"/>
  <c r="M2468" i="1"/>
  <c r="L2468" i="1"/>
  <c r="K2468" i="1"/>
  <c r="N2467" i="1"/>
  <c r="M2467" i="1"/>
  <c r="L2467" i="1"/>
  <c r="K2467" i="1"/>
  <c r="N2466" i="1"/>
  <c r="M2466" i="1"/>
  <c r="L2466" i="1"/>
  <c r="K2466" i="1"/>
  <c r="N2465" i="1"/>
  <c r="M2465" i="1"/>
  <c r="L2465" i="1"/>
  <c r="K2465" i="1"/>
  <c r="N2464" i="1"/>
  <c r="M2464" i="1"/>
  <c r="L2464" i="1"/>
  <c r="K2464" i="1"/>
  <c r="N2463" i="1"/>
  <c r="M2463" i="1"/>
  <c r="L2463" i="1"/>
  <c r="K2463" i="1"/>
  <c r="N2462" i="1"/>
  <c r="M2462" i="1"/>
  <c r="L2462" i="1"/>
  <c r="K2462" i="1"/>
  <c r="N2461" i="1"/>
  <c r="M2461" i="1"/>
  <c r="L2461" i="1"/>
  <c r="K2461" i="1"/>
  <c r="N2460" i="1"/>
  <c r="M2460" i="1"/>
  <c r="L2460" i="1"/>
  <c r="K2460" i="1"/>
  <c r="N2459" i="1"/>
  <c r="M2459" i="1"/>
  <c r="L2459" i="1"/>
  <c r="K2459" i="1"/>
  <c r="N2458" i="1"/>
  <c r="M2458" i="1"/>
  <c r="L2458" i="1"/>
  <c r="K2458" i="1"/>
  <c r="N2457" i="1"/>
  <c r="M2457" i="1"/>
  <c r="L2457" i="1"/>
  <c r="K2457" i="1"/>
  <c r="N2456" i="1"/>
  <c r="M2456" i="1"/>
  <c r="L2456" i="1"/>
  <c r="K2456" i="1"/>
  <c r="N2455" i="1"/>
  <c r="M2455" i="1"/>
  <c r="L2455" i="1"/>
  <c r="K2455" i="1"/>
  <c r="N2454" i="1"/>
  <c r="M2454" i="1"/>
  <c r="L2454" i="1"/>
  <c r="K2454" i="1"/>
  <c r="N2453" i="1"/>
  <c r="M2453" i="1"/>
  <c r="L2453" i="1"/>
  <c r="K2453" i="1"/>
  <c r="N2452" i="1"/>
  <c r="M2452" i="1"/>
  <c r="L2452" i="1"/>
  <c r="K2452" i="1"/>
  <c r="N2451" i="1"/>
  <c r="M2451" i="1"/>
  <c r="L2451" i="1"/>
  <c r="K2451" i="1"/>
  <c r="N2450" i="1"/>
  <c r="M2450" i="1"/>
  <c r="L2450" i="1"/>
  <c r="K2450" i="1"/>
  <c r="N2449" i="1"/>
  <c r="M2449" i="1"/>
  <c r="L2449" i="1"/>
  <c r="K2449" i="1"/>
  <c r="N2448" i="1"/>
  <c r="M2448" i="1"/>
  <c r="L2448" i="1"/>
  <c r="K2448" i="1"/>
  <c r="N2447" i="1"/>
  <c r="M2447" i="1"/>
  <c r="L2447" i="1"/>
  <c r="K2447" i="1"/>
  <c r="N2446" i="1"/>
  <c r="M2446" i="1"/>
  <c r="L2446" i="1"/>
  <c r="K2446" i="1"/>
  <c r="N2445" i="1"/>
  <c r="M2445" i="1"/>
  <c r="L2445" i="1"/>
  <c r="K2445" i="1"/>
  <c r="N2444" i="1"/>
  <c r="M2444" i="1"/>
  <c r="L2444" i="1"/>
  <c r="K2444" i="1"/>
  <c r="N2443" i="1"/>
  <c r="M2443" i="1"/>
  <c r="L2443" i="1"/>
  <c r="K2443" i="1"/>
  <c r="N2442" i="1"/>
  <c r="M2442" i="1"/>
  <c r="L2442" i="1"/>
  <c r="K2442" i="1"/>
  <c r="N2441" i="1"/>
  <c r="M2441" i="1"/>
  <c r="L2441" i="1"/>
  <c r="K2441" i="1"/>
  <c r="N2440" i="1"/>
  <c r="M2440" i="1"/>
  <c r="L2440" i="1"/>
  <c r="K2440" i="1"/>
  <c r="N2439" i="1"/>
  <c r="M2439" i="1"/>
  <c r="L2439" i="1"/>
  <c r="K2439" i="1"/>
  <c r="N2438" i="1"/>
  <c r="M2438" i="1"/>
  <c r="L2438" i="1"/>
  <c r="K2438" i="1"/>
  <c r="N2437" i="1"/>
  <c r="M2437" i="1"/>
  <c r="L2437" i="1"/>
  <c r="K2437" i="1"/>
  <c r="N2436" i="1"/>
  <c r="M2436" i="1"/>
  <c r="L2436" i="1"/>
  <c r="K2436" i="1"/>
  <c r="N2435" i="1"/>
  <c r="M2435" i="1"/>
  <c r="L2435" i="1"/>
  <c r="K2435" i="1"/>
  <c r="N2434" i="1"/>
  <c r="M2434" i="1"/>
  <c r="L2434" i="1"/>
  <c r="K2434" i="1"/>
  <c r="N2433" i="1"/>
  <c r="M2433" i="1"/>
  <c r="L2433" i="1"/>
  <c r="K2433" i="1"/>
  <c r="N2432" i="1"/>
  <c r="M2432" i="1"/>
  <c r="L2432" i="1"/>
  <c r="K2432" i="1"/>
  <c r="N2431" i="1"/>
  <c r="M2431" i="1"/>
  <c r="L2431" i="1"/>
  <c r="K2431" i="1"/>
  <c r="N2430" i="1"/>
  <c r="M2430" i="1"/>
  <c r="L2430" i="1"/>
  <c r="K2430" i="1"/>
  <c r="N2429" i="1"/>
  <c r="M2429" i="1"/>
  <c r="L2429" i="1"/>
  <c r="K2429" i="1"/>
  <c r="N2428" i="1"/>
  <c r="M2428" i="1"/>
  <c r="L2428" i="1"/>
  <c r="K2428" i="1"/>
  <c r="N2427" i="1"/>
  <c r="M2427" i="1"/>
  <c r="L2427" i="1"/>
  <c r="K2427" i="1"/>
  <c r="N2426" i="1"/>
  <c r="M2426" i="1"/>
  <c r="L2426" i="1"/>
  <c r="K2426" i="1"/>
  <c r="N2425" i="1"/>
  <c r="M2425" i="1"/>
  <c r="L2425" i="1"/>
  <c r="K2425" i="1"/>
  <c r="N2424" i="1"/>
  <c r="M2424" i="1"/>
  <c r="L2424" i="1"/>
  <c r="K2424" i="1"/>
  <c r="N2423" i="1"/>
  <c r="M2423" i="1"/>
  <c r="L2423" i="1"/>
  <c r="K2423" i="1"/>
  <c r="N2422" i="1"/>
  <c r="M2422" i="1"/>
  <c r="L2422" i="1"/>
  <c r="K2422" i="1"/>
  <c r="N2421" i="1"/>
  <c r="M2421" i="1"/>
  <c r="L2421" i="1"/>
  <c r="K2421" i="1"/>
  <c r="N2420" i="1"/>
  <c r="M2420" i="1"/>
  <c r="L2420" i="1"/>
  <c r="K2420" i="1"/>
  <c r="N2419" i="1"/>
  <c r="M2419" i="1"/>
  <c r="L2419" i="1"/>
  <c r="K2419" i="1"/>
  <c r="N2418" i="1"/>
  <c r="M2418" i="1"/>
  <c r="L2418" i="1"/>
  <c r="K2418" i="1"/>
  <c r="N2417" i="1"/>
  <c r="M2417" i="1"/>
  <c r="L2417" i="1"/>
  <c r="K2417" i="1"/>
  <c r="N2416" i="1"/>
  <c r="M2416" i="1"/>
  <c r="L2416" i="1"/>
  <c r="K2416" i="1"/>
  <c r="N2415" i="1"/>
  <c r="M2415" i="1"/>
  <c r="L2415" i="1"/>
  <c r="K2415" i="1"/>
  <c r="N2414" i="1"/>
  <c r="M2414" i="1"/>
  <c r="L2414" i="1"/>
  <c r="K2414" i="1"/>
  <c r="N2413" i="1"/>
  <c r="M2413" i="1"/>
  <c r="L2413" i="1"/>
  <c r="K2413" i="1"/>
  <c r="N2412" i="1"/>
  <c r="M2412" i="1"/>
  <c r="L2412" i="1"/>
  <c r="K2412" i="1"/>
  <c r="N2411" i="1"/>
  <c r="M2411" i="1"/>
  <c r="L2411" i="1"/>
  <c r="K2411" i="1"/>
  <c r="N2410" i="1"/>
  <c r="M2410" i="1"/>
  <c r="L2410" i="1"/>
  <c r="K2410" i="1"/>
  <c r="N2409" i="1"/>
  <c r="M2409" i="1"/>
  <c r="L2409" i="1"/>
  <c r="K2409" i="1"/>
  <c r="N2408" i="1"/>
  <c r="M2408" i="1"/>
  <c r="L2408" i="1"/>
  <c r="K2408" i="1"/>
  <c r="N2407" i="1"/>
  <c r="M2407" i="1"/>
  <c r="L2407" i="1"/>
  <c r="K2407" i="1"/>
  <c r="N2406" i="1"/>
  <c r="M2406" i="1"/>
  <c r="L2406" i="1"/>
  <c r="K2406" i="1"/>
  <c r="N2405" i="1"/>
  <c r="M2405" i="1"/>
  <c r="L2405" i="1"/>
  <c r="K2405" i="1"/>
  <c r="N2404" i="1"/>
  <c r="M2404" i="1"/>
  <c r="L2404" i="1"/>
  <c r="K2404" i="1"/>
  <c r="N2403" i="1"/>
  <c r="M2403" i="1"/>
  <c r="L2403" i="1"/>
  <c r="K2403" i="1"/>
  <c r="N2402" i="1"/>
  <c r="M2402" i="1"/>
  <c r="L2402" i="1"/>
  <c r="K2402" i="1"/>
  <c r="N2401" i="1"/>
  <c r="M2401" i="1"/>
  <c r="L2401" i="1"/>
  <c r="K2401" i="1"/>
  <c r="N2400" i="1"/>
  <c r="M2400" i="1"/>
  <c r="L2400" i="1"/>
  <c r="K2400" i="1"/>
  <c r="N2399" i="1"/>
  <c r="M2399" i="1"/>
  <c r="L2399" i="1"/>
  <c r="K2399" i="1"/>
  <c r="N2398" i="1"/>
  <c r="M2398" i="1"/>
  <c r="L2398" i="1"/>
  <c r="K2398" i="1"/>
  <c r="N2397" i="1"/>
  <c r="M2397" i="1"/>
  <c r="L2397" i="1"/>
  <c r="K2397" i="1"/>
  <c r="N2396" i="1"/>
  <c r="M2396" i="1"/>
  <c r="L2396" i="1"/>
  <c r="K2396" i="1"/>
  <c r="N2395" i="1"/>
  <c r="M2395" i="1"/>
  <c r="L2395" i="1"/>
  <c r="K2395" i="1"/>
  <c r="N2394" i="1"/>
  <c r="M2394" i="1"/>
  <c r="L2394" i="1"/>
  <c r="K2394" i="1"/>
  <c r="N2393" i="1"/>
  <c r="M2393" i="1"/>
  <c r="L2393" i="1"/>
  <c r="K2393" i="1"/>
  <c r="N2392" i="1"/>
  <c r="M2392" i="1"/>
  <c r="L2392" i="1"/>
  <c r="K2392" i="1"/>
  <c r="N2391" i="1"/>
  <c r="M2391" i="1"/>
  <c r="L2391" i="1"/>
  <c r="K2391" i="1"/>
  <c r="N2390" i="1"/>
  <c r="M2390" i="1"/>
  <c r="L2390" i="1"/>
  <c r="K2390" i="1"/>
  <c r="N2389" i="1"/>
  <c r="M2389" i="1"/>
  <c r="L2389" i="1"/>
  <c r="K2389" i="1"/>
  <c r="N2388" i="1"/>
  <c r="M2388" i="1"/>
  <c r="L2388" i="1"/>
  <c r="K2388" i="1"/>
  <c r="N2387" i="1"/>
  <c r="M2387" i="1"/>
  <c r="L2387" i="1"/>
  <c r="K2387" i="1"/>
  <c r="N2386" i="1"/>
  <c r="M2386" i="1"/>
  <c r="L2386" i="1"/>
  <c r="K2386" i="1"/>
  <c r="N2385" i="1"/>
  <c r="M2385" i="1"/>
  <c r="L2385" i="1"/>
  <c r="K2385" i="1"/>
  <c r="N2384" i="1"/>
  <c r="M2384" i="1"/>
  <c r="L2384" i="1"/>
  <c r="K2384" i="1"/>
  <c r="N2383" i="1"/>
  <c r="M2383" i="1"/>
  <c r="L2383" i="1"/>
  <c r="K2383" i="1"/>
  <c r="N2382" i="1"/>
  <c r="M2382" i="1"/>
  <c r="L2382" i="1"/>
  <c r="K2382" i="1"/>
  <c r="N2381" i="1"/>
  <c r="M2381" i="1"/>
  <c r="L2381" i="1"/>
  <c r="K2381" i="1"/>
  <c r="N2380" i="1"/>
  <c r="M2380" i="1"/>
  <c r="L2380" i="1"/>
  <c r="K2380" i="1"/>
  <c r="N2379" i="1"/>
  <c r="M2379" i="1"/>
  <c r="L2379" i="1"/>
  <c r="K2379" i="1"/>
  <c r="N2378" i="1"/>
  <c r="M2378" i="1"/>
  <c r="L2378" i="1"/>
  <c r="K2378" i="1"/>
  <c r="N2377" i="1"/>
  <c r="M2377" i="1"/>
  <c r="L2377" i="1"/>
  <c r="K2377" i="1"/>
  <c r="N2376" i="1"/>
  <c r="M2376" i="1"/>
  <c r="L2376" i="1"/>
  <c r="K2376" i="1"/>
  <c r="N2375" i="1"/>
  <c r="M2375" i="1"/>
  <c r="L2375" i="1"/>
  <c r="K2375" i="1"/>
  <c r="N2374" i="1"/>
  <c r="M2374" i="1"/>
  <c r="L2374" i="1"/>
  <c r="K2374" i="1"/>
  <c r="N2373" i="1"/>
  <c r="M2373" i="1"/>
  <c r="L2373" i="1"/>
  <c r="K2373" i="1"/>
  <c r="N2372" i="1"/>
  <c r="M2372" i="1"/>
  <c r="L2372" i="1"/>
  <c r="K2372" i="1"/>
  <c r="N2371" i="1"/>
  <c r="M2371" i="1"/>
  <c r="L2371" i="1"/>
  <c r="K2371" i="1"/>
  <c r="N2370" i="1"/>
  <c r="M2370" i="1"/>
  <c r="L2370" i="1"/>
  <c r="K2370" i="1"/>
  <c r="N2369" i="1"/>
  <c r="M2369" i="1"/>
  <c r="L2369" i="1"/>
  <c r="K2369" i="1"/>
  <c r="N2368" i="1"/>
  <c r="M2368" i="1"/>
  <c r="L2368" i="1"/>
  <c r="K2368" i="1"/>
  <c r="N2367" i="1"/>
  <c r="M2367" i="1"/>
  <c r="L2367" i="1"/>
  <c r="K2367" i="1"/>
  <c r="N2366" i="1"/>
  <c r="M2366" i="1"/>
  <c r="L2366" i="1"/>
  <c r="K2366" i="1"/>
  <c r="N2365" i="1"/>
  <c r="M2365" i="1"/>
  <c r="L2365" i="1"/>
  <c r="K2365" i="1"/>
  <c r="N2364" i="1"/>
  <c r="M2364" i="1"/>
  <c r="L2364" i="1"/>
  <c r="K2364" i="1"/>
  <c r="N2363" i="1"/>
  <c r="M2363" i="1"/>
  <c r="L2363" i="1"/>
  <c r="K2363" i="1"/>
  <c r="N2362" i="1"/>
  <c r="M2362" i="1"/>
  <c r="L2362" i="1"/>
  <c r="K2362" i="1"/>
  <c r="N2361" i="1"/>
  <c r="M2361" i="1"/>
  <c r="L2361" i="1"/>
  <c r="K2361" i="1"/>
  <c r="N2360" i="1"/>
  <c r="M2360" i="1"/>
  <c r="L2360" i="1"/>
  <c r="K2360" i="1"/>
  <c r="N2359" i="1"/>
  <c r="M2359" i="1"/>
  <c r="L2359" i="1"/>
  <c r="K2359" i="1"/>
  <c r="N2358" i="1"/>
  <c r="M2358" i="1"/>
  <c r="L2358" i="1"/>
  <c r="K2358" i="1"/>
  <c r="N2357" i="1"/>
  <c r="M2357" i="1"/>
  <c r="L2357" i="1"/>
  <c r="K2357" i="1"/>
  <c r="N2356" i="1"/>
  <c r="M2356" i="1"/>
  <c r="L2356" i="1"/>
  <c r="K2356" i="1"/>
  <c r="N2355" i="1"/>
  <c r="M2355" i="1"/>
  <c r="L2355" i="1"/>
  <c r="K2355" i="1"/>
  <c r="N2354" i="1"/>
  <c r="M2354" i="1"/>
  <c r="L2354" i="1"/>
  <c r="K2354" i="1"/>
  <c r="N2353" i="1"/>
  <c r="M2353" i="1"/>
  <c r="L2353" i="1"/>
  <c r="K2353" i="1"/>
  <c r="N2352" i="1"/>
  <c r="M2352" i="1"/>
  <c r="L2352" i="1"/>
  <c r="K2352" i="1"/>
  <c r="N2351" i="1"/>
  <c r="M2351" i="1"/>
  <c r="L2351" i="1"/>
  <c r="K2351" i="1"/>
  <c r="N2350" i="1"/>
  <c r="M2350" i="1"/>
  <c r="L2350" i="1"/>
  <c r="K2350" i="1"/>
  <c r="N2349" i="1"/>
  <c r="M2349" i="1"/>
  <c r="L2349" i="1"/>
  <c r="K2349" i="1"/>
  <c r="N2348" i="1"/>
  <c r="M2348" i="1"/>
  <c r="L2348" i="1"/>
  <c r="K2348" i="1"/>
  <c r="N2347" i="1"/>
  <c r="M2347" i="1"/>
  <c r="L2347" i="1"/>
  <c r="K2347" i="1"/>
  <c r="N2346" i="1"/>
  <c r="M2346" i="1"/>
  <c r="L2346" i="1"/>
  <c r="K2346" i="1"/>
  <c r="N2345" i="1"/>
  <c r="M2345" i="1"/>
  <c r="L2345" i="1"/>
  <c r="K2345" i="1"/>
  <c r="N2344" i="1"/>
  <c r="M2344" i="1"/>
  <c r="L2344" i="1"/>
  <c r="K2344" i="1"/>
  <c r="N2343" i="1"/>
  <c r="M2343" i="1"/>
  <c r="L2343" i="1"/>
  <c r="K2343" i="1"/>
  <c r="N2342" i="1"/>
  <c r="M2342" i="1"/>
  <c r="L2342" i="1"/>
  <c r="K2342" i="1"/>
  <c r="N2341" i="1"/>
  <c r="M2341" i="1"/>
  <c r="L2341" i="1"/>
  <c r="K2341" i="1"/>
  <c r="N2340" i="1"/>
  <c r="M2340" i="1"/>
  <c r="L2340" i="1"/>
  <c r="K2340" i="1"/>
  <c r="N2339" i="1"/>
  <c r="M2339" i="1"/>
  <c r="L2339" i="1"/>
  <c r="K2339" i="1"/>
  <c r="N2338" i="1"/>
  <c r="M2338" i="1"/>
  <c r="L2338" i="1"/>
  <c r="K2338" i="1"/>
  <c r="N2337" i="1"/>
  <c r="M2337" i="1"/>
  <c r="L2337" i="1"/>
  <c r="K2337" i="1"/>
  <c r="N2336" i="1"/>
  <c r="M2336" i="1"/>
  <c r="L2336" i="1"/>
  <c r="K2336" i="1"/>
  <c r="N2335" i="1"/>
  <c r="M2335" i="1"/>
  <c r="L2335" i="1"/>
  <c r="K2335" i="1"/>
  <c r="N2334" i="1"/>
  <c r="M2334" i="1"/>
  <c r="L2334" i="1"/>
  <c r="K2334" i="1"/>
  <c r="N2333" i="1"/>
  <c r="M2333" i="1"/>
  <c r="L2333" i="1"/>
  <c r="K2333" i="1"/>
  <c r="N2332" i="1"/>
  <c r="M2332" i="1"/>
  <c r="L2332" i="1"/>
  <c r="K2332" i="1"/>
  <c r="N2331" i="1"/>
  <c r="M2331" i="1"/>
  <c r="L2331" i="1"/>
  <c r="K2331" i="1"/>
  <c r="N2330" i="1"/>
  <c r="M2330" i="1"/>
  <c r="L2330" i="1"/>
  <c r="K2330" i="1"/>
  <c r="N2329" i="1"/>
  <c r="M2329" i="1"/>
  <c r="L2329" i="1"/>
  <c r="K2329" i="1"/>
  <c r="N2328" i="1"/>
  <c r="M2328" i="1"/>
  <c r="L2328" i="1"/>
  <c r="K2328" i="1"/>
  <c r="N2327" i="1"/>
  <c r="M2327" i="1"/>
  <c r="L2327" i="1"/>
  <c r="K2327" i="1"/>
  <c r="N2326" i="1"/>
  <c r="M2326" i="1"/>
  <c r="L2326" i="1"/>
  <c r="K2326" i="1"/>
  <c r="N2325" i="1"/>
  <c r="M2325" i="1"/>
  <c r="L2325" i="1"/>
  <c r="K2325" i="1"/>
  <c r="N2324" i="1"/>
  <c r="M2324" i="1"/>
  <c r="L2324" i="1"/>
  <c r="K2324" i="1"/>
  <c r="N2323" i="1"/>
  <c r="M2323" i="1"/>
  <c r="L2323" i="1"/>
  <c r="K2323" i="1"/>
  <c r="N2322" i="1"/>
  <c r="M2322" i="1"/>
  <c r="L2322" i="1"/>
  <c r="K2322" i="1"/>
  <c r="N2321" i="1"/>
  <c r="M2321" i="1"/>
  <c r="L2321" i="1"/>
  <c r="K2321" i="1"/>
  <c r="N2320" i="1"/>
  <c r="M2320" i="1"/>
  <c r="L2320" i="1"/>
  <c r="K2320" i="1"/>
  <c r="N2319" i="1"/>
  <c r="M2319" i="1"/>
  <c r="L2319" i="1"/>
  <c r="K2319" i="1"/>
  <c r="N2318" i="1"/>
  <c r="M2318" i="1"/>
  <c r="L2318" i="1"/>
  <c r="K2318" i="1"/>
  <c r="N2317" i="1"/>
  <c r="M2317" i="1"/>
  <c r="L2317" i="1"/>
  <c r="K2317" i="1"/>
  <c r="N2316" i="1"/>
  <c r="M2316" i="1"/>
  <c r="L2316" i="1"/>
  <c r="K2316" i="1"/>
  <c r="N2315" i="1"/>
  <c r="M2315" i="1"/>
  <c r="L2315" i="1"/>
  <c r="K2315" i="1"/>
  <c r="N2314" i="1"/>
  <c r="M2314" i="1"/>
  <c r="L2314" i="1"/>
  <c r="K2314" i="1"/>
  <c r="N2313" i="1"/>
  <c r="M2313" i="1"/>
  <c r="L2313" i="1"/>
  <c r="K2313" i="1"/>
  <c r="N2312" i="1"/>
  <c r="M2312" i="1"/>
  <c r="L2312" i="1"/>
  <c r="K2312" i="1"/>
  <c r="N2311" i="1"/>
  <c r="M2311" i="1"/>
  <c r="L2311" i="1"/>
  <c r="K2311" i="1"/>
  <c r="N2310" i="1"/>
  <c r="M2310" i="1"/>
  <c r="L2310" i="1"/>
  <c r="K2310" i="1"/>
  <c r="N2309" i="1"/>
  <c r="M2309" i="1"/>
  <c r="L2309" i="1"/>
  <c r="K2309" i="1"/>
  <c r="N2308" i="1"/>
  <c r="M2308" i="1"/>
  <c r="L2308" i="1"/>
  <c r="K2308" i="1"/>
  <c r="N2307" i="1"/>
  <c r="M2307" i="1"/>
  <c r="L2307" i="1"/>
  <c r="K2307" i="1"/>
  <c r="N2306" i="1"/>
  <c r="M2306" i="1"/>
  <c r="L2306" i="1"/>
  <c r="K2306" i="1"/>
  <c r="N2305" i="1"/>
  <c r="M2305" i="1"/>
  <c r="L2305" i="1"/>
  <c r="K2305" i="1"/>
  <c r="N2304" i="1"/>
  <c r="M2304" i="1"/>
  <c r="L2304" i="1"/>
  <c r="K2304" i="1"/>
  <c r="N2303" i="1"/>
  <c r="M2303" i="1"/>
  <c r="L2303" i="1"/>
  <c r="K2303" i="1"/>
  <c r="N2302" i="1"/>
  <c r="M2302" i="1"/>
  <c r="L2302" i="1"/>
  <c r="K2302" i="1"/>
  <c r="N2301" i="1"/>
  <c r="M2301" i="1"/>
  <c r="L2301" i="1"/>
  <c r="K2301" i="1"/>
  <c r="N2300" i="1"/>
  <c r="M2300" i="1"/>
  <c r="L2300" i="1"/>
  <c r="K2300" i="1"/>
  <c r="N2299" i="1"/>
  <c r="M2299" i="1"/>
  <c r="L2299" i="1"/>
  <c r="K2299" i="1"/>
  <c r="N2298" i="1"/>
  <c r="M2298" i="1"/>
  <c r="L2298" i="1"/>
  <c r="K2298" i="1"/>
  <c r="N2297" i="1"/>
  <c r="M2297" i="1"/>
  <c r="L2297" i="1"/>
  <c r="K2297" i="1"/>
  <c r="N2296" i="1"/>
  <c r="M2296" i="1"/>
  <c r="L2296" i="1"/>
  <c r="K2296" i="1"/>
  <c r="N2295" i="1"/>
  <c r="M2295" i="1"/>
  <c r="L2295" i="1"/>
  <c r="K2295" i="1"/>
  <c r="N2294" i="1"/>
  <c r="M2294" i="1"/>
  <c r="L2294" i="1"/>
  <c r="K2294" i="1"/>
  <c r="N2293" i="1"/>
  <c r="M2293" i="1"/>
  <c r="L2293" i="1"/>
  <c r="K2293" i="1"/>
  <c r="N2292" i="1"/>
  <c r="M2292" i="1"/>
  <c r="L2292" i="1"/>
  <c r="K2292" i="1"/>
  <c r="N2291" i="1"/>
  <c r="M2291" i="1"/>
  <c r="L2291" i="1"/>
  <c r="K2291" i="1"/>
  <c r="N2290" i="1"/>
  <c r="M2290" i="1"/>
  <c r="L2290" i="1"/>
  <c r="K2290" i="1"/>
  <c r="N2289" i="1"/>
  <c r="M2289" i="1"/>
  <c r="L2289" i="1"/>
  <c r="K2289" i="1"/>
  <c r="N2288" i="1"/>
  <c r="M2288" i="1"/>
  <c r="L2288" i="1"/>
  <c r="K2288" i="1"/>
  <c r="N2287" i="1"/>
  <c r="M2287" i="1"/>
  <c r="L2287" i="1"/>
  <c r="K2287" i="1"/>
  <c r="N2286" i="1"/>
  <c r="M2286" i="1"/>
  <c r="L2286" i="1"/>
  <c r="K2286" i="1"/>
  <c r="N2285" i="1"/>
  <c r="M2285" i="1"/>
  <c r="L2285" i="1"/>
  <c r="K2285" i="1"/>
  <c r="N2284" i="1"/>
  <c r="M2284" i="1"/>
  <c r="L2284" i="1"/>
  <c r="K2284" i="1"/>
  <c r="N2283" i="1"/>
  <c r="M2283" i="1"/>
  <c r="L2283" i="1"/>
  <c r="K2283" i="1"/>
  <c r="N2282" i="1"/>
  <c r="M2282" i="1"/>
  <c r="L2282" i="1"/>
  <c r="K2282" i="1"/>
  <c r="N2281" i="1"/>
  <c r="M2281" i="1"/>
  <c r="L2281" i="1"/>
  <c r="K2281" i="1"/>
  <c r="N2280" i="1"/>
  <c r="M2280" i="1"/>
  <c r="L2280" i="1"/>
  <c r="K2280" i="1"/>
  <c r="N2279" i="1"/>
  <c r="M2279" i="1"/>
  <c r="L2279" i="1"/>
  <c r="K2279" i="1"/>
  <c r="N2278" i="1"/>
  <c r="M2278" i="1"/>
  <c r="L2278" i="1"/>
  <c r="K2278" i="1"/>
  <c r="N2277" i="1"/>
  <c r="M2277" i="1"/>
  <c r="L2277" i="1"/>
  <c r="K2277" i="1"/>
  <c r="N2276" i="1"/>
  <c r="M2276" i="1"/>
  <c r="L2276" i="1"/>
  <c r="K2276" i="1"/>
  <c r="N2275" i="1"/>
  <c r="M2275" i="1"/>
  <c r="L2275" i="1"/>
  <c r="K2275" i="1"/>
  <c r="N2274" i="1"/>
  <c r="M2274" i="1"/>
  <c r="L2274" i="1"/>
  <c r="K2274" i="1"/>
  <c r="N2273" i="1"/>
  <c r="M2273" i="1"/>
  <c r="L2273" i="1"/>
  <c r="K2273" i="1"/>
  <c r="N2272" i="1"/>
  <c r="M2272" i="1"/>
  <c r="L2272" i="1"/>
  <c r="K2272" i="1"/>
  <c r="N2271" i="1"/>
  <c r="M2271" i="1"/>
  <c r="L2271" i="1"/>
  <c r="K2271" i="1"/>
  <c r="N2270" i="1"/>
  <c r="M2270" i="1"/>
  <c r="L2270" i="1"/>
  <c r="K2270" i="1"/>
  <c r="N2269" i="1"/>
  <c r="M2269" i="1"/>
  <c r="L2269" i="1"/>
  <c r="K2269" i="1"/>
  <c r="N2268" i="1"/>
  <c r="M2268" i="1"/>
  <c r="L2268" i="1"/>
  <c r="K2268" i="1"/>
  <c r="N2267" i="1"/>
  <c r="M2267" i="1"/>
  <c r="L2267" i="1"/>
  <c r="K2267" i="1"/>
  <c r="N2266" i="1"/>
  <c r="M2266" i="1"/>
  <c r="L2266" i="1"/>
  <c r="K2266" i="1"/>
  <c r="N2265" i="1"/>
  <c r="M2265" i="1"/>
  <c r="L2265" i="1"/>
  <c r="K2265" i="1"/>
  <c r="N2264" i="1"/>
  <c r="M2264" i="1"/>
  <c r="L2264" i="1"/>
  <c r="K2264" i="1"/>
  <c r="N2263" i="1"/>
  <c r="M2263" i="1"/>
  <c r="L2263" i="1"/>
  <c r="K2263" i="1"/>
  <c r="N2262" i="1"/>
  <c r="M2262" i="1"/>
  <c r="L2262" i="1"/>
  <c r="K2262" i="1"/>
  <c r="N2261" i="1"/>
  <c r="M2261" i="1"/>
  <c r="L2261" i="1"/>
  <c r="K2261" i="1"/>
  <c r="N2260" i="1"/>
  <c r="M2260" i="1"/>
  <c r="L2260" i="1"/>
  <c r="K2260" i="1"/>
  <c r="N2259" i="1"/>
  <c r="M2259" i="1"/>
  <c r="L2259" i="1"/>
  <c r="K2259" i="1"/>
  <c r="N2258" i="1"/>
  <c r="M2258" i="1"/>
  <c r="L2258" i="1"/>
  <c r="K2258" i="1"/>
  <c r="N2257" i="1"/>
  <c r="M2257" i="1"/>
  <c r="L2257" i="1"/>
  <c r="K2257" i="1"/>
  <c r="N2256" i="1"/>
  <c r="M2256" i="1"/>
  <c r="L2256" i="1"/>
  <c r="K2256" i="1"/>
  <c r="N2255" i="1"/>
  <c r="M2255" i="1"/>
  <c r="L2255" i="1"/>
  <c r="K2255" i="1"/>
  <c r="N2254" i="1"/>
  <c r="M2254" i="1"/>
  <c r="L2254" i="1"/>
  <c r="K2254" i="1"/>
  <c r="N2253" i="1"/>
  <c r="M2253" i="1"/>
  <c r="L2253" i="1"/>
  <c r="K2253" i="1"/>
  <c r="N2252" i="1"/>
  <c r="M2252" i="1"/>
  <c r="L2252" i="1"/>
  <c r="K2252" i="1"/>
  <c r="N2251" i="1"/>
  <c r="M2251" i="1"/>
  <c r="L2251" i="1"/>
  <c r="K2251" i="1"/>
  <c r="N2250" i="1"/>
  <c r="M2250" i="1"/>
  <c r="L2250" i="1"/>
  <c r="K2250" i="1"/>
  <c r="N2249" i="1"/>
  <c r="M2249" i="1"/>
  <c r="L2249" i="1"/>
  <c r="K2249" i="1"/>
  <c r="N2248" i="1"/>
  <c r="M2248" i="1"/>
  <c r="L2248" i="1"/>
  <c r="K2248" i="1"/>
  <c r="N2247" i="1"/>
  <c r="M2247" i="1"/>
  <c r="L2247" i="1"/>
  <c r="K2247" i="1"/>
  <c r="N2246" i="1"/>
  <c r="M2246" i="1"/>
  <c r="L2246" i="1"/>
  <c r="K2246" i="1"/>
  <c r="N2245" i="1"/>
  <c r="M2245" i="1"/>
  <c r="L2245" i="1"/>
  <c r="K2245" i="1"/>
  <c r="N2244" i="1"/>
  <c r="M2244" i="1"/>
  <c r="L2244" i="1"/>
  <c r="K2244" i="1"/>
  <c r="N2243" i="1"/>
  <c r="M2243" i="1"/>
  <c r="L2243" i="1"/>
  <c r="K2243" i="1"/>
  <c r="N2242" i="1"/>
  <c r="M2242" i="1"/>
  <c r="L2242" i="1"/>
  <c r="K2242" i="1"/>
  <c r="N2241" i="1"/>
  <c r="M2241" i="1"/>
  <c r="L2241" i="1"/>
  <c r="K2241" i="1"/>
  <c r="N2240" i="1"/>
  <c r="M2240" i="1"/>
  <c r="L2240" i="1"/>
  <c r="K2240" i="1"/>
  <c r="N2239" i="1"/>
  <c r="M2239" i="1"/>
  <c r="L2239" i="1"/>
  <c r="K2239" i="1"/>
  <c r="N2238" i="1"/>
  <c r="M2238" i="1"/>
  <c r="L2238" i="1"/>
  <c r="K2238" i="1"/>
  <c r="N2237" i="1"/>
  <c r="M2237" i="1"/>
  <c r="L2237" i="1"/>
  <c r="K2237" i="1"/>
  <c r="N2236" i="1"/>
  <c r="M2236" i="1"/>
  <c r="L2236" i="1"/>
  <c r="K2236" i="1"/>
  <c r="N2235" i="1"/>
  <c r="M2235" i="1"/>
  <c r="L2235" i="1"/>
  <c r="K2235" i="1"/>
  <c r="N2234" i="1"/>
  <c r="M2234" i="1"/>
  <c r="L2234" i="1"/>
  <c r="K2234" i="1"/>
  <c r="N2233" i="1"/>
  <c r="M2233" i="1"/>
  <c r="L2233" i="1"/>
  <c r="K2233" i="1"/>
  <c r="N2232" i="1"/>
  <c r="M2232" i="1"/>
  <c r="L2232" i="1"/>
  <c r="K2232" i="1"/>
  <c r="N2231" i="1"/>
  <c r="M2231" i="1"/>
  <c r="L2231" i="1"/>
  <c r="K2231" i="1"/>
  <c r="N2230" i="1"/>
  <c r="M2230" i="1"/>
  <c r="L2230" i="1"/>
  <c r="K2230" i="1"/>
  <c r="N2229" i="1"/>
  <c r="M2229" i="1"/>
  <c r="L2229" i="1"/>
  <c r="K2229" i="1"/>
  <c r="N2228" i="1"/>
  <c r="M2228" i="1"/>
  <c r="L2228" i="1"/>
  <c r="K2228" i="1"/>
  <c r="N2227" i="1"/>
  <c r="M2227" i="1"/>
  <c r="L2227" i="1"/>
  <c r="K2227" i="1"/>
  <c r="N2226" i="1"/>
  <c r="M2226" i="1"/>
  <c r="L2226" i="1"/>
  <c r="K2226" i="1"/>
  <c r="N2225" i="1"/>
  <c r="M2225" i="1"/>
  <c r="L2225" i="1"/>
  <c r="K2225" i="1"/>
  <c r="N2224" i="1"/>
  <c r="M2224" i="1"/>
  <c r="L2224" i="1"/>
  <c r="K2224" i="1"/>
  <c r="N2223" i="1"/>
  <c r="M2223" i="1"/>
  <c r="L2223" i="1"/>
  <c r="K2223" i="1"/>
  <c r="N2222" i="1"/>
  <c r="M2222" i="1"/>
  <c r="L2222" i="1"/>
  <c r="K2222" i="1"/>
  <c r="N2221" i="1"/>
  <c r="M2221" i="1"/>
  <c r="L2221" i="1"/>
  <c r="K2221" i="1"/>
  <c r="N2220" i="1"/>
  <c r="M2220" i="1"/>
  <c r="L2220" i="1"/>
  <c r="K2220" i="1"/>
  <c r="N2219" i="1"/>
  <c r="M2219" i="1"/>
  <c r="L2219" i="1"/>
  <c r="K2219" i="1"/>
  <c r="N2218" i="1"/>
  <c r="M2218" i="1"/>
  <c r="L2218" i="1"/>
  <c r="K2218" i="1"/>
  <c r="N2217" i="1"/>
  <c r="M2217" i="1"/>
  <c r="L2217" i="1"/>
  <c r="K2217" i="1"/>
  <c r="N2216" i="1"/>
  <c r="M2216" i="1"/>
  <c r="L2216" i="1"/>
  <c r="K2216" i="1"/>
  <c r="N2215" i="1"/>
  <c r="M2215" i="1"/>
  <c r="L2215" i="1"/>
  <c r="K2215" i="1"/>
  <c r="N2214" i="1"/>
  <c r="M2214" i="1"/>
  <c r="L2214" i="1"/>
  <c r="K2214" i="1"/>
  <c r="N2213" i="1"/>
  <c r="M2213" i="1"/>
  <c r="L2213" i="1"/>
  <c r="K2213" i="1"/>
  <c r="N2212" i="1"/>
  <c r="M2212" i="1"/>
  <c r="L2212" i="1"/>
  <c r="K2212" i="1"/>
  <c r="N2211" i="1"/>
  <c r="M2211" i="1"/>
  <c r="L2211" i="1"/>
  <c r="K2211" i="1"/>
  <c r="N2210" i="1"/>
  <c r="M2210" i="1"/>
  <c r="L2210" i="1"/>
  <c r="K2210" i="1"/>
  <c r="N2209" i="1"/>
  <c r="M2209" i="1"/>
  <c r="L2209" i="1"/>
  <c r="K2209" i="1"/>
  <c r="N2208" i="1"/>
  <c r="M2208" i="1"/>
  <c r="L2208" i="1"/>
  <c r="K2208" i="1"/>
  <c r="N2207" i="1"/>
  <c r="M2207" i="1"/>
  <c r="L2207" i="1"/>
  <c r="K2207" i="1"/>
  <c r="N2206" i="1"/>
  <c r="M2206" i="1"/>
  <c r="L2206" i="1"/>
  <c r="K2206" i="1"/>
  <c r="N2205" i="1"/>
  <c r="M2205" i="1"/>
  <c r="L2205" i="1"/>
  <c r="K2205" i="1"/>
  <c r="N2204" i="1"/>
  <c r="M2204" i="1"/>
  <c r="L2204" i="1"/>
  <c r="K2204" i="1"/>
  <c r="N2203" i="1"/>
  <c r="M2203" i="1"/>
  <c r="L2203" i="1"/>
  <c r="K2203" i="1"/>
  <c r="N2202" i="1"/>
  <c r="M2202" i="1"/>
  <c r="L2202" i="1"/>
  <c r="K2202" i="1"/>
  <c r="N2201" i="1"/>
  <c r="M2201" i="1"/>
  <c r="L2201" i="1"/>
  <c r="K2201" i="1"/>
  <c r="N2200" i="1"/>
  <c r="M2200" i="1"/>
  <c r="L2200" i="1"/>
  <c r="K2200" i="1"/>
  <c r="N2199" i="1"/>
  <c r="M2199" i="1"/>
  <c r="L2199" i="1"/>
  <c r="K2199" i="1"/>
  <c r="N2198" i="1"/>
  <c r="M2198" i="1"/>
  <c r="L2198" i="1"/>
  <c r="K2198" i="1"/>
  <c r="N2197" i="1"/>
  <c r="M2197" i="1"/>
  <c r="L2197" i="1"/>
  <c r="K2197" i="1"/>
  <c r="N2196" i="1"/>
  <c r="M2196" i="1"/>
  <c r="L2196" i="1"/>
  <c r="K2196" i="1"/>
  <c r="N2195" i="1"/>
  <c r="M2195" i="1"/>
  <c r="L2195" i="1"/>
  <c r="K2195" i="1"/>
  <c r="N2194" i="1"/>
  <c r="M2194" i="1"/>
  <c r="L2194" i="1"/>
  <c r="K2194" i="1"/>
  <c r="N2193" i="1"/>
  <c r="M2193" i="1"/>
  <c r="L2193" i="1"/>
  <c r="K2193" i="1"/>
  <c r="N2192" i="1"/>
  <c r="M2192" i="1"/>
  <c r="L2192" i="1"/>
  <c r="K2192" i="1"/>
  <c r="N2191" i="1"/>
  <c r="M2191" i="1"/>
  <c r="L2191" i="1"/>
  <c r="K2191" i="1"/>
  <c r="N2190" i="1"/>
  <c r="M2190" i="1"/>
  <c r="L2190" i="1"/>
  <c r="K2190" i="1"/>
  <c r="N2189" i="1"/>
  <c r="M2189" i="1"/>
  <c r="L2189" i="1"/>
  <c r="K2189" i="1"/>
  <c r="N2188" i="1"/>
  <c r="M2188" i="1"/>
  <c r="L2188" i="1"/>
  <c r="K2188" i="1"/>
  <c r="N2187" i="1"/>
  <c r="M2187" i="1"/>
  <c r="L2187" i="1"/>
  <c r="K2187" i="1"/>
  <c r="N2186" i="1"/>
  <c r="M2186" i="1"/>
  <c r="L2186" i="1"/>
  <c r="K2186" i="1"/>
  <c r="N2185" i="1"/>
  <c r="M2185" i="1"/>
  <c r="L2185" i="1"/>
  <c r="K2185" i="1"/>
  <c r="N2184" i="1"/>
  <c r="M2184" i="1"/>
  <c r="L2184" i="1"/>
  <c r="K2184" i="1"/>
  <c r="N2183" i="1"/>
  <c r="M2183" i="1"/>
  <c r="L2183" i="1"/>
  <c r="K2183" i="1"/>
  <c r="N2182" i="1"/>
  <c r="M2182" i="1"/>
  <c r="L2182" i="1"/>
  <c r="K2182" i="1"/>
  <c r="N2181" i="1"/>
  <c r="M2181" i="1"/>
  <c r="L2181" i="1"/>
  <c r="K2181" i="1"/>
  <c r="N2180" i="1"/>
  <c r="M2180" i="1"/>
  <c r="L2180" i="1"/>
  <c r="K2180" i="1"/>
  <c r="N2179" i="1"/>
  <c r="M2179" i="1"/>
  <c r="L2179" i="1"/>
  <c r="K2179" i="1"/>
  <c r="N2178" i="1"/>
  <c r="M2178" i="1"/>
  <c r="L2178" i="1"/>
  <c r="K2178" i="1"/>
  <c r="N2177" i="1"/>
  <c r="M2177" i="1"/>
  <c r="L2177" i="1"/>
  <c r="K2177" i="1"/>
  <c r="N2176" i="1"/>
  <c r="M2176" i="1"/>
  <c r="L2176" i="1"/>
  <c r="K2176" i="1"/>
  <c r="N2175" i="1"/>
  <c r="M2175" i="1"/>
  <c r="L2175" i="1"/>
  <c r="K2175" i="1"/>
  <c r="N2174" i="1"/>
  <c r="M2174" i="1"/>
  <c r="L2174" i="1"/>
  <c r="K2174" i="1"/>
  <c r="N2173" i="1"/>
  <c r="M2173" i="1"/>
  <c r="L2173" i="1"/>
  <c r="K2173" i="1"/>
  <c r="N2172" i="1"/>
  <c r="M2172" i="1"/>
  <c r="L2172" i="1"/>
  <c r="K2172" i="1"/>
  <c r="N2171" i="1"/>
  <c r="M2171" i="1"/>
  <c r="L2171" i="1"/>
  <c r="K2171" i="1"/>
  <c r="N2170" i="1"/>
  <c r="M2170" i="1"/>
  <c r="L2170" i="1"/>
  <c r="K2170" i="1"/>
  <c r="N2169" i="1"/>
  <c r="M2169" i="1"/>
  <c r="L2169" i="1"/>
  <c r="K2169" i="1"/>
  <c r="N2168" i="1"/>
  <c r="M2168" i="1"/>
  <c r="L2168" i="1"/>
  <c r="K2168" i="1"/>
  <c r="N2167" i="1"/>
  <c r="M2167" i="1"/>
  <c r="L2167" i="1"/>
  <c r="K2167" i="1"/>
  <c r="N2166" i="1"/>
  <c r="M2166" i="1"/>
  <c r="L2166" i="1"/>
  <c r="K2166" i="1"/>
  <c r="N2165" i="1"/>
  <c r="M2165" i="1"/>
  <c r="L2165" i="1"/>
  <c r="K2165" i="1"/>
  <c r="N2164" i="1"/>
  <c r="M2164" i="1"/>
  <c r="L2164" i="1"/>
  <c r="K2164" i="1"/>
  <c r="N2163" i="1"/>
  <c r="M2163" i="1"/>
  <c r="L2163" i="1"/>
  <c r="K2163" i="1"/>
  <c r="N2162" i="1"/>
  <c r="M2162" i="1"/>
  <c r="L2162" i="1"/>
  <c r="K2162" i="1"/>
  <c r="N2161" i="1"/>
  <c r="M2161" i="1"/>
  <c r="L2161" i="1"/>
  <c r="K2161" i="1"/>
  <c r="N2160" i="1"/>
  <c r="M2160" i="1"/>
  <c r="L2160" i="1"/>
  <c r="K2160" i="1"/>
  <c r="N2159" i="1"/>
  <c r="M2159" i="1"/>
  <c r="L2159" i="1"/>
  <c r="K2159" i="1"/>
  <c r="N2158" i="1"/>
  <c r="M2158" i="1"/>
  <c r="L2158" i="1"/>
  <c r="K2158" i="1"/>
  <c r="N2157" i="1"/>
  <c r="M2157" i="1"/>
  <c r="L2157" i="1"/>
  <c r="K2157" i="1"/>
  <c r="N2156" i="1"/>
  <c r="M2156" i="1"/>
  <c r="L2156" i="1"/>
  <c r="K2156" i="1"/>
  <c r="N2155" i="1"/>
  <c r="M2155" i="1"/>
  <c r="L2155" i="1"/>
  <c r="K2155" i="1"/>
  <c r="N2154" i="1"/>
  <c r="M2154" i="1"/>
  <c r="L2154" i="1"/>
  <c r="K2154" i="1"/>
  <c r="N2153" i="1"/>
  <c r="M2153" i="1"/>
  <c r="L2153" i="1"/>
  <c r="K2153" i="1"/>
  <c r="N2152" i="1"/>
  <c r="M2152" i="1"/>
  <c r="L2152" i="1"/>
  <c r="K2152" i="1"/>
  <c r="N2151" i="1"/>
  <c r="M2151" i="1"/>
  <c r="L2151" i="1"/>
  <c r="K2151" i="1"/>
  <c r="N2150" i="1"/>
  <c r="M2150" i="1"/>
  <c r="L2150" i="1"/>
  <c r="K2150" i="1"/>
  <c r="N2149" i="1"/>
  <c r="M2149" i="1"/>
  <c r="L2149" i="1"/>
  <c r="K2149" i="1"/>
  <c r="N2148" i="1"/>
  <c r="M2148" i="1"/>
  <c r="L2148" i="1"/>
  <c r="K2148" i="1"/>
  <c r="N2147" i="1"/>
  <c r="M2147" i="1"/>
  <c r="L2147" i="1"/>
  <c r="K2147" i="1"/>
  <c r="N2146" i="1"/>
  <c r="M2146" i="1"/>
  <c r="L2146" i="1"/>
  <c r="K2146" i="1"/>
  <c r="N2145" i="1"/>
  <c r="M2145" i="1"/>
  <c r="L2145" i="1"/>
  <c r="K2145" i="1"/>
  <c r="N2144" i="1"/>
  <c r="M2144" i="1"/>
  <c r="L2144" i="1"/>
  <c r="K2144" i="1"/>
  <c r="N2143" i="1"/>
  <c r="M2143" i="1"/>
  <c r="L2143" i="1"/>
  <c r="K2143" i="1"/>
  <c r="N2142" i="1"/>
  <c r="M2142" i="1"/>
  <c r="L2142" i="1"/>
  <c r="K2142" i="1"/>
  <c r="N2141" i="1"/>
  <c r="M2141" i="1"/>
  <c r="L2141" i="1"/>
  <c r="K2141" i="1"/>
  <c r="N2140" i="1"/>
  <c r="M2140" i="1"/>
  <c r="L2140" i="1"/>
  <c r="K2140" i="1"/>
  <c r="N2139" i="1"/>
  <c r="M2139" i="1"/>
  <c r="L2139" i="1"/>
  <c r="K2139" i="1"/>
  <c r="N2138" i="1"/>
  <c r="M2138" i="1"/>
  <c r="L2138" i="1"/>
  <c r="K2138" i="1"/>
  <c r="N2137" i="1"/>
  <c r="M2137" i="1"/>
  <c r="L2137" i="1"/>
  <c r="K2137" i="1"/>
  <c r="N2136" i="1"/>
  <c r="M2136" i="1"/>
  <c r="L2136" i="1"/>
  <c r="K2136" i="1"/>
  <c r="N2135" i="1"/>
  <c r="M2135" i="1"/>
  <c r="L2135" i="1"/>
  <c r="K2135" i="1"/>
  <c r="N2134" i="1"/>
  <c r="M2134" i="1"/>
  <c r="L2134" i="1"/>
  <c r="K2134" i="1"/>
  <c r="N2133" i="1"/>
  <c r="M2133" i="1"/>
  <c r="L2133" i="1"/>
  <c r="K2133" i="1"/>
  <c r="N2132" i="1"/>
  <c r="M2132" i="1"/>
  <c r="L2132" i="1"/>
  <c r="K2132" i="1"/>
  <c r="N2131" i="1"/>
  <c r="M2131" i="1"/>
  <c r="L2131" i="1"/>
  <c r="K2131" i="1"/>
  <c r="N2130" i="1"/>
  <c r="M2130" i="1"/>
  <c r="L2130" i="1"/>
  <c r="K2130" i="1"/>
  <c r="N2129" i="1"/>
  <c r="M2129" i="1"/>
  <c r="L2129" i="1"/>
  <c r="K2129" i="1"/>
  <c r="N2128" i="1"/>
  <c r="M2128" i="1"/>
  <c r="L2128" i="1"/>
  <c r="K2128" i="1"/>
  <c r="N2127" i="1"/>
  <c r="M2127" i="1"/>
  <c r="L2127" i="1"/>
  <c r="K2127" i="1"/>
  <c r="N2126" i="1"/>
  <c r="M2126" i="1"/>
  <c r="L2126" i="1"/>
  <c r="K2126" i="1"/>
  <c r="N2125" i="1"/>
  <c r="M2125" i="1"/>
  <c r="L2125" i="1"/>
  <c r="K2125" i="1"/>
  <c r="N2124" i="1"/>
  <c r="M2124" i="1"/>
  <c r="L2124" i="1"/>
  <c r="K2124" i="1"/>
  <c r="N2123" i="1"/>
  <c r="M2123" i="1"/>
  <c r="L2123" i="1"/>
  <c r="K2123" i="1"/>
  <c r="N2122" i="1"/>
  <c r="M2122" i="1"/>
  <c r="L2122" i="1"/>
  <c r="K2122" i="1"/>
  <c r="N2121" i="1"/>
  <c r="M2121" i="1"/>
  <c r="L2121" i="1"/>
  <c r="K2121" i="1"/>
  <c r="N2120" i="1"/>
  <c r="M2120" i="1"/>
  <c r="L2120" i="1"/>
  <c r="K2120" i="1"/>
  <c r="N2119" i="1"/>
  <c r="M2119" i="1"/>
  <c r="L2119" i="1"/>
  <c r="K2119" i="1"/>
  <c r="N2118" i="1"/>
  <c r="M2118" i="1"/>
  <c r="L2118" i="1"/>
  <c r="K2118" i="1"/>
  <c r="N2117" i="1"/>
  <c r="M2117" i="1"/>
  <c r="L2117" i="1"/>
  <c r="K2117" i="1"/>
  <c r="N2116" i="1"/>
  <c r="M2116" i="1"/>
  <c r="L2116" i="1"/>
  <c r="K2116" i="1"/>
  <c r="N2115" i="1"/>
  <c r="M2115" i="1"/>
  <c r="L2115" i="1"/>
  <c r="K2115" i="1"/>
  <c r="N2114" i="1"/>
  <c r="M2114" i="1"/>
  <c r="L2114" i="1"/>
  <c r="K2114" i="1"/>
  <c r="N2113" i="1"/>
  <c r="M2113" i="1"/>
  <c r="L2113" i="1"/>
  <c r="K2113" i="1"/>
  <c r="N2112" i="1"/>
  <c r="M2112" i="1"/>
  <c r="L2112" i="1"/>
  <c r="K2112" i="1"/>
  <c r="N2111" i="1"/>
  <c r="M2111" i="1"/>
  <c r="L2111" i="1"/>
  <c r="K2111" i="1"/>
  <c r="N2110" i="1"/>
  <c r="M2110" i="1"/>
  <c r="L2110" i="1"/>
  <c r="K2110" i="1"/>
  <c r="N2109" i="1"/>
  <c r="M2109" i="1"/>
  <c r="L2109" i="1"/>
  <c r="K2109" i="1"/>
  <c r="N2108" i="1"/>
  <c r="M2108" i="1"/>
  <c r="L2108" i="1"/>
  <c r="K2108" i="1"/>
  <c r="N2107" i="1"/>
  <c r="M2107" i="1"/>
  <c r="L2107" i="1"/>
  <c r="K2107" i="1"/>
  <c r="N2106" i="1"/>
  <c r="M2106" i="1"/>
  <c r="L2106" i="1"/>
  <c r="K2106" i="1"/>
  <c r="N2105" i="1"/>
  <c r="M2105" i="1"/>
  <c r="L2105" i="1"/>
  <c r="K2105" i="1"/>
  <c r="N2104" i="1"/>
  <c r="M2104" i="1"/>
  <c r="L2104" i="1"/>
  <c r="K2104" i="1"/>
  <c r="N2103" i="1"/>
  <c r="M2103" i="1"/>
  <c r="L2103" i="1"/>
  <c r="K2103" i="1"/>
  <c r="N2102" i="1"/>
  <c r="M2102" i="1"/>
  <c r="L2102" i="1"/>
  <c r="K2102" i="1"/>
  <c r="N2101" i="1"/>
  <c r="M2101" i="1"/>
  <c r="L2101" i="1"/>
  <c r="K2101" i="1"/>
  <c r="N2100" i="1"/>
  <c r="M2100" i="1"/>
  <c r="L2100" i="1"/>
  <c r="K2100" i="1"/>
  <c r="N2099" i="1"/>
  <c r="M2099" i="1"/>
  <c r="L2099" i="1"/>
  <c r="K2099" i="1"/>
  <c r="N2098" i="1"/>
  <c r="M2098" i="1"/>
  <c r="L2098" i="1"/>
  <c r="K2098" i="1"/>
  <c r="N2097" i="1"/>
  <c r="M2097" i="1"/>
  <c r="L2097" i="1"/>
  <c r="K2097" i="1"/>
  <c r="N2096" i="1"/>
  <c r="M2096" i="1"/>
  <c r="L2096" i="1"/>
  <c r="K2096" i="1"/>
  <c r="N2095" i="1"/>
  <c r="M2095" i="1"/>
  <c r="L2095" i="1"/>
  <c r="K2095" i="1"/>
  <c r="N2094" i="1"/>
  <c r="M2094" i="1"/>
  <c r="L2094" i="1"/>
  <c r="K2094" i="1"/>
  <c r="N2093" i="1"/>
  <c r="M2093" i="1"/>
  <c r="L2093" i="1"/>
  <c r="K2093" i="1"/>
  <c r="N2092" i="1"/>
  <c r="M2092" i="1"/>
  <c r="L2092" i="1"/>
  <c r="K2092" i="1"/>
  <c r="N2091" i="1"/>
  <c r="M2091" i="1"/>
  <c r="L2091" i="1"/>
  <c r="K2091" i="1"/>
  <c r="N2090" i="1"/>
  <c r="M2090" i="1"/>
  <c r="L2090" i="1"/>
  <c r="K2090" i="1"/>
  <c r="N2089" i="1"/>
  <c r="M2089" i="1"/>
  <c r="L2089" i="1"/>
  <c r="K2089" i="1"/>
  <c r="N2088" i="1"/>
  <c r="M2088" i="1"/>
  <c r="L2088" i="1"/>
  <c r="K2088" i="1"/>
  <c r="N2087" i="1"/>
  <c r="M2087" i="1"/>
  <c r="L2087" i="1"/>
  <c r="K2087" i="1"/>
  <c r="N2086" i="1"/>
  <c r="M2086" i="1"/>
  <c r="L2086" i="1"/>
  <c r="K2086" i="1"/>
  <c r="N2085" i="1"/>
  <c r="M2085" i="1"/>
  <c r="L2085" i="1"/>
  <c r="K2085" i="1"/>
  <c r="N2084" i="1"/>
  <c r="M2084" i="1"/>
  <c r="L2084" i="1"/>
  <c r="K2084" i="1"/>
  <c r="N2083" i="1"/>
  <c r="M2083" i="1"/>
  <c r="L2083" i="1"/>
  <c r="K2083" i="1"/>
  <c r="N2082" i="1"/>
  <c r="M2082" i="1"/>
  <c r="L2082" i="1"/>
  <c r="K2082" i="1"/>
  <c r="N2081" i="1"/>
  <c r="M2081" i="1"/>
  <c r="L2081" i="1"/>
  <c r="K2081" i="1"/>
  <c r="N2080" i="1"/>
  <c r="M2080" i="1"/>
  <c r="L2080" i="1"/>
  <c r="K2080" i="1"/>
  <c r="N2079" i="1"/>
  <c r="M2079" i="1"/>
  <c r="L2079" i="1"/>
  <c r="K2079" i="1"/>
  <c r="N2078" i="1"/>
  <c r="M2078" i="1"/>
  <c r="L2078" i="1"/>
  <c r="K2078" i="1"/>
  <c r="N2077" i="1"/>
  <c r="M2077" i="1"/>
  <c r="L2077" i="1"/>
  <c r="K2077" i="1"/>
  <c r="N2076" i="1"/>
  <c r="M2076" i="1"/>
  <c r="L2076" i="1"/>
  <c r="K2076" i="1"/>
  <c r="N2075" i="1"/>
  <c r="M2075" i="1"/>
  <c r="L2075" i="1"/>
  <c r="K2075" i="1"/>
  <c r="N2074" i="1"/>
  <c r="M2074" i="1"/>
  <c r="L2074" i="1"/>
  <c r="K2074" i="1"/>
  <c r="N2073" i="1"/>
  <c r="M2073" i="1"/>
  <c r="L2073" i="1"/>
  <c r="K2073" i="1"/>
  <c r="N2072" i="1"/>
  <c r="M2072" i="1"/>
  <c r="L2072" i="1"/>
  <c r="K2072" i="1"/>
  <c r="N2071" i="1"/>
  <c r="M2071" i="1"/>
  <c r="L2071" i="1"/>
  <c r="K2071" i="1"/>
  <c r="N2070" i="1"/>
  <c r="M2070" i="1"/>
  <c r="L2070" i="1"/>
  <c r="K2070" i="1"/>
  <c r="N2069" i="1"/>
  <c r="M2069" i="1"/>
  <c r="L2069" i="1"/>
  <c r="K2069" i="1"/>
  <c r="N2068" i="1"/>
  <c r="M2068" i="1"/>
  <c r="L2068" i="1"/>
  <c r="K2068" i="1"/>
  <c r="N2067" i="1"/>
  <c r="M2067" i="1"/>
  <c r="L2067" i="1"/>
  <c r="K2067" i="1"/>
  <c r="N2066" i="1"/>
  <c r="M2066" i="1"/>
  <c r="L2066" i="1"/>
  <c r="K2066" i="1"/>
  <c r="N2065" i="1"/>
  <c r="M2065" i="1"/>
  <c r="L2065" i="1"/>
  <c r="K2065" i="1"/>
  <c r="N2064" i="1"/>
  <c r="M2064" i="1"/>
  <c r="L2064" i="1"/>
  <c r="K2064" i="1"/>
  <c r="N2063" i="1"/>
  <c r="M2063" i="1"/>
  <c r="L2063" i="1"/>
  <c r="K2063" i="1"/>
  <c r="N2062" i="1"/>
  <c r="M2062" i="1"/>
  <c r="L2062" i="1"/>
  <c r="K2062" i="1"/>
  <c r="N2061" i="1"/>
  <c r="M2061" i="1"/>
  <c r="L2061" i="1"/>
  <c r="K2061" i="1"/>
  <c r="N2060" i="1"/>
  <c r="M2060" i="1"/>
  <c r="L2060" i="1"/>
  <c r="K2060" i="1"/>
  <c r="N2059" i="1"/>
  <c r="M2059" i="1"/>
  <c r="L2059" i="1"/>
  <c r="K2059" i="1"/>
  <c r="N2058" i="1"/>
  <c r="M2058" i="1"/>
  <c r="L2058" i="1"/>
  <c r="K2058" i="1"/>
  <c r="N2057" i="1"/>
  <c r="M2057" i="1"/>
  <c r="L2057" i="1"/>
  <c r="K2057" i="1"/>
  <c r="N2056" i="1"/>
  <c r="M2056" i="1"/>
  <c r="L2056" i="1"/>
  <c r="K2056" i="1"/>
  <c r="N2055" i="1"/>
  <c r="M2055" i="1"/>
  <c r="L2055" i="1"/>
  <c r="K2055" i="1"/>
  <c r="N2054" i="1"/>
  <c r="M2054" i="1"/>
  <c r="L2054" i="1"/>
  <c r="K2054" i="1"/>
  <c r="N2053" i="1"/>
  <c r="M2053" i="1"/>
  <c r="L2053" i="1"/>
  <c r="K2053" i="1"/>
  <c r="N2052" i="1"/>
  <c r="M2052" i="1"/>
  <c r="L2052" i="1"/>
  <c r="K2052" i="1"/>
  <c r="N2051" i="1"/>
  <c r="M2051" i="1"/>
  <c r="L2051" i="1"/>
  <c r="K2051" i="1"/>
  <c r="N2050" i="1"/>
  <c r="M2050" i="1"/>
  <c r="L2050" i="1"/>
  <c r="K2050" i="1"/>
  <c r="N2049" i="1"/>
  <c r="M2049" i="1"/>
  <c r="L2049" i="1"/>
  <c r="K2049" i="1"/>
  <c r="N2048" i="1"/>
  <c r="M2048" i="1"/>
  <c r="L2048" i="1"/>
  <c r="K2048" i="1"/>
  <c r="N2047" i="1"/>
  <c r="M2047" i="1"/>
  <c r="L2047" i="1"/>
  <c r="K2047" i="1"/>
  <c r="N2046" i="1"/>
  <c r="M2046" i="1"/>
  <c r="L2046" i="1"/>
  <c r="K2046" i="1"/>
  <c r="N2045" i="1"/>
  <c r="M2045" i="1"/>
  <c r="L2045" i="1"/>
  <c r="K2045" i="1"/>
  <c r="N2044" i="1"/>
  <c r="M2044" i="1"/>
  <c r="L2044" i="1"/>
  <c r="K2044" i="1"/>
  <c r="N2043" i="1"/>
  <c r="M2043" i="1"/>
  <c r="L2043" i="1"/>
  <c r="K2043" i="1"/>
  <c r="N2042" i="1"/>
  <c r="M2042" i="1"/>
  <c r="L2042" i="1"/>
  <c r="K2042" i="1"/>
  <c r="N2041" i="1"/>
  <c r="M2041" i="1"/>
  <c r="L2041" i="1"/>
  <c r="K2041" i="1"/>
  <c r="N2040" i="1"/>
  <c r="M2040" i="1"/>
  <c r="L2040" i="1"/>
  <c r="K2040" i="1"/>
  <c r="N2039" i="1"/>
  <c r="M2039" i="1"/>
  <c r="L2039" i="1"/>
  <c r="K2039" i="1"/>
  <c r="N2038" i="1"/>
  <c r="M2038" i="1"/>
  <c r="L2038" i="1"/>
  <c r="K2038" i="1"/>
  <c r="N2037" i="1"/>
  <c r="M2037" i="1"/>
  <c r="L2037" i="1"/>
  <c r="K2037" i="1"/>
  <c r="N2036" i="1"/>
  <c r="M2036" i="1"/>
  <c r="L2036" i="1"/>
  <c r="K2036" i="1"/>
  <c r="N2035" i="1"/>
  <c r="M2035" i="1"/>
  <c r="L2035" i="1"/>
  <c r="K2035" i="1"/>
  <c r="N2034" i="1"/>
  <c r="M2034" i="1"/>
  <c r="L2034" i="1"/>
  <c r="K2034" i="1"/>
  <c r="N2033" i="1"/>
  <c r="M2033" i="1"/>
  <c r="L2033" i="1"/>
  <c r="K2033" i="1"/>
  <c r="N2032" i="1"/>
  <c r="M2032" i="1"/>
  <c r="L2032" i="1"/>
  <c r="K2032" i="1"/>
  <c r="N2031" i="1"/>
  <c r="M2031" i="1"/>
  <c r="L2031" i="1"/>
  <c r="K2031" i="1"/>
  <c r="N2030" i="1"/>
  <c r="M2030" i="1"/>
  <c r="L2030" i="1"/>
  <c r="K2030" i="1"/>
  <c r="N2029" i="1"/>
  <c r="M2029" i="1"/>
  <c r="L2029" i="1"/>
  <c r="K2029" i="1"/>
  <c r="N2028" i="1"/>
  <c r="M2028" i="1"/>
  <c r="L2028" i="1"/>
  <c r="K2028" i="1"/>
  <c r="N2027" i="1"/>
  <c r="M2027" i="1"/>
  <c r="L2027" i="1"/>
  <c r="K2027" i="1"/>
  <c r="N2026" i="1"/>
  <c r="M2026" i="1"/>
  <c r="L2026" i="1"/>
  <c r="K2026" i="1"/>
  <c r="N2025" i="1"/>
  <c r="M2025" i="1"/>
  <c r="L2025" i="1"/>
  <c r="K2025" i="1"/>
  <c r="N2024" i="1"/>
  <c r="M2024" i="1"/>
  <c r="L2024" i="1"/>
  <c r="K2024" i="1"/>
  <c r="N2023" i="1"/>
  <c r="M2023" i="1"/>
  <c r="L2023" i="1"/>
  <c r="K2023" i="1"/>
  <c r="N2022" i="1"/>
  <c r="M2022" i="1"/>
  <c r="L2022" i="1"/>
  <c r="K2022" i="1"/>
  <c r="N2021" i="1"/>
  <c r="M2021" i="1"/>
  <c r="L2021" i="1"/>
  <c r="K2021" i="1"/>
  <c r="N2020" i="1"/>
  <c r="M2020" i="1"/>
  <c r="L2020" i="1"/>
  <c r="K2020" i="1"/>
  <c r="N2019" i="1"/>
  <c r="M2019" i="1"/>
  <c r="L2019" i="1"/>
  <c r="K2019" i="1"/>
  <c r="N2018" i="1"/>
  <c r="M2018" i="1"/>
  <c r="L2018" i="1"/>
  <c r="K2018" i="1"/>
  <c r="N2017" i="1"/>
  <c r="M2017" i="1"/>
  <c r="L2017" i="1"/>
  <c r="K2017" i="1"/>
  <c r="N2016" i="1"/>
  <c r="M2016" i="1"/>
  <c r="L2016" i="1"/>
  <c r="K2016" i="1"/>
  <c r="N2015" i="1"/>
  <c r="M2015" i="1"/>
  <c r="L2015" i="1"/>
  <c r="K2015" i="1"/>
  <c r="N2014" i="1"/>
  <c r="M2014" i="1"/>
  <c r="L2014" i="1"/>
  <c r="K2014" i="1"/>
  <c r="N2013" i="1"/>
  <c r="M2013" i="1"/>
  <c r="L2013" i="1"/>
  <c r="K2013" i="1"/>
  <c r="N2012" i="1"/>
  <c r="M2012" i="1"/>
  <c r="L2012" i="1"/>
  <c r="K2012" i="1"/>
  <c r="N2011" i="1"/>
  <c r="M2011" i="1"/>
  <c r="L2011" i="1"/>
  <c r="K2011" i="1"/>
  <c r="N2010" i="1"/>
  <c r="M2010" i="1"/>
  <c r="L2010" i="1"/>
  <c r="K2010" i="1"/>
  <c r="N2009" i="1"/>
  <c r="M2009" i="1"/>
  <c r="L2009" i="1"/>
  <c r="K2009" i="1"/>
  <c r="N2008" i="1"/>
  <c r="M2008" i="1"/>
  <c r="L2008" i="1"/>
  <c r="K2008" i="1"/>
  <c r="N2007" i="1"/>
  <c r="M2007" i="1"/>
  <c r="L2007" i="1"/>
  <c r="K2007" i="1"/>
  <c r="N2006" i="1"/>
  <c r="M2006" i="1"/>
  <c r="L2006" i="1"/>
  <c r="K2006" i="1"/>
  <c r="N2005" i="1"/>
  <c r="M2005" i="1"/>
  <c r="L2005" i="1"/>
  <c r="K2005" i="1"/>
  <c r="N2004" i="1"/>
  <c r="M2004" i="1"/>
  <c r="L2004" i="1"/>
  <c r="K2004" i="1"/>
  <c r="N2003" i="1"/>
  <c r="M2003" i="1"/>
  <c r="L2003" i="1"/>
  <c r="K2003" i="1"/>
  <c r="N2002" i="1"/>
  <c r="M2002" i="1"/>
  <c r="L2002" i="1"/>
  <c r="K2002" i="1"/>
  <c r="N2001" i="1"/>
  <c r="M2001" i="1"/>
  <c r="L2001" i="1"/>
  <c r="K2001" i="1"/>
  <c r="N2000" i="1"/>
  <c r="M2000" i="1"/>
  <c r="L2000" i="1"/>
  <c r="K2000" i="1"/>
  <c r="N1999" i="1"/>
  <c r="M1999" i="1"/>
  <c r="L1999" i="1"/>
  <c r="K1999" i="1"/>
  <c r="N1998" i="1"/>
  <c r="M1998" i="1"/>
  <c r="L1998" i="1"/>
  <c r="K1998" i="1"/>
  <c r="N1997" i="1"/>
  <c r="M1997" i="1"/>
  <c r="L1997" i="1"/>
  <c r="K1997" i="1"/>
  <c r="N1996" i="1"/>
  <c r="M1996" i="1"/>
  <c r="L1996" i="1"/>
  <c r="K1996" i="1"/>
  <c r="N1995" i="1"/>
  <c r="M1995" i="1"/>
  <c r="L1995" i="1"/>
  <c r="K1995" i="1"/>
  <c r="N1994" i="1"/>
  <c r="M1994" i="1"/>
  <c r="L1994" i="1"/>
  <c r="K1994" i="1"/>
  <c r="N1993" i="1"/>
  <c r="M1993" i="1"/>
  <c r="L1993" i="1"/>
  <c r="K1993" i="1"/>
  <c r="N1992" i="1"/>
  <c r="M1992" i="1"/>
  <c r="L1992" i="1"/>
  <c r="K1992" i="1"/>
  <c r="N1991" i="1"/>
  <c r="M1991" i="1"/>
  <c r="L1991" i="1"/>
  <c r="K1991" i="1"/>
  <c r="N1990" i="1"/>
  <c r="M1990" i="1"/>
  <c r="L1990" i="1"/>
  <c r="K1990" i="1"/>
  <c r="N1989" i="1"/>
  <c r="M1989" i="1"/>
  <c r="L1989" i="1"/>
  <c r="K1989" i="1"/>
  <c r="N1988" i="1"/>
  <c r="M1988" i="1"/>
  <c r="L1988" i="1"/>
  <c r="K1988" i="1"/>
  <c r="N1987" i="1"/>
  <c r="M1987" i="1"/>
  <c r="L1987" i="1"/>
  <c r="K1987" i="1"/>
  <c r="N1986" i="1"/>
  <c r="M1986" i="1"/>
  <c r="L1986" i="1"/>
  <c r="K1986" i="1"/>
  <c r="N1985" i="1"/>
  <c r="M1985" i="1"/>
  <c r="L1985" i="1"/>
  <c r="K1985" i="1"/>
  <c r="N1984" i="1"/>
  <c r="M1984" i="1"/>
  <c r="L1984" i="1"/>
  <c r="K1984" i="1"/>
  <c r="N1983" i="1"/>
  <c r="M1983" i="1"/>
  <c r="L1983" i="1"/>
  <c r="K1983" i="1"/>
  <c r="N1982" i="1"/>
  <c r="M1982" i="1"/>
  <c r="L1982" i="1"/>
  <c r="K1982" i="1"/>
  <c r="N1981" i="1"/>
  <c r="M1981" i="1"/>
  <c r="L1981" i="1"/>
  <c r="K1981" i="1"/>
  <c r="N1980" i="1"/>
  <c r="M1980" i="1"/>
  <c r="L1980" i="1"/>
  <c r="K1980" i="1"/>
  <c r="N1979" i="1"/>
  <c r="M1979" i="1"/>
  <c r="L1979" i="1"/>
  <c r="K1979" i="1"/>
  <c r="N1978" i="1"/>
  <c r="M1978" i="1"/>
  <c r="L1978" i="1"/>
  <c r="K1978" i="1"/>
  <c r="N1977" i="1"/>
  <c r="M1977" i="1"/>
  <c r="L1977" i="1"/>
  <c r="K1977" i="1"/>
  <c r="N1976" i="1"/>
  <c r="M1976" i="1"/>
  <c r="L1976" i="1"/>
  <c r="K1976" i="1"/>
  <c r="N1975" i="1"/>
  <c r="M1975" i="1"/>
  <c r="L1975" i="1"/>
  <c r="K1975" i="1"/>
  <c r="N1974" i="1"/>
  <c r="M1974" i="1"/>
  <c r="L1974" i="1"/>
  <c r="K1974" i="1"/>
  <c r="N1973" i="1"/>
  <c r="M1973" i="1"/>
  <c r="L1973" i="1"/>
  <c r="K1973" i="1"/>
  <c r="N1972" i="1"/>
  <c r="M1972" i="1"/>
  <c r="L1972" i="1"/>
  <c r="K1972" i="1"/>
  <c r="N1971" i="1"/>
  <c r="M1971" i="1"/>
  <c r="L1971" i="1"/>
  <c r="K1971" i="1"/>
  <c r="N1970" i="1"/>
  <c r="M1970" i="1"/>
  <c r="L1970" i="1"/>
  <c r="K1970" i="1"/>
  <c r="N1969" i="1"/>
  <c r="M1969" i="1"/>
  <c r="L1969" i="1"/>
  <c r="K1969" i="1"/>
  <c r="N1968" i="1"/>
  <c r="M1968" i="1"/>
  <c r="L1968" i="1"/>
  <c r="K1968" i="1"/>
  <c r="N1967" i="1"/>
  <c r="M1967" i="1"/>
  <c r="L1967" i="1"/>
  <c r="K1967" i="1"/>
  <c r="N1966" i="1"/>
  <c r="M1966" i="1"/>
  <c r="L1966" i="1"/>
  <c r="K1966" i="1"/>
  <c r="N1965" i="1"/>
  <c r="M1965" i="1"/>
  <c r="L1965" i="1"/>
  <c r="K1965" i="1"/>
  <c r="N1964" i="1"/>
  <c r="M1964" i="1"/>
  <c r="L1964" i="1"/>
  <c r="K1964" i="1"/>
  <c r="N1963" i="1"/>
  <c r="M1963" i="1"/>
  <c r="L1963" i="1"/>
  <c r="K1963" i="1"/>
  <c r="N1962" i="1"/>
  <c r="M1962" i="1"/>
  <c r="L1962" i="1"/>
  <c r="K1962" i="1"/>
  <c r="N1961" i="1"/>
  <c r="M1961" i="1"/>
  <c r="L1961" i="1"/>
  <c r="K1961" i="1"/>
  <c r="N1960" i="1"/>
  <c r="M1960" i="1"/>
  <c r="L1960" i="1"/>
  <c r="K1960" i="1"/>
  <c r="N1959" i="1"/>
  <c r="M1959" i="1"/>
  <c r="L1959" i="1"/>
  <c r="K1959" i="1"/>
  <c r="N1958" i="1"/>
  <c r="M1958" i="1"/>
  <c r="L1958" i="1"/>
  <c r="K1958" i="1"/>
  <c r="N1957" i="1"/>
  <c r="M1957" i="1"/>
  <c r="L1957" i="1"/>
  <c r="K1957" i="1"/>
  <c r="N1956" i="1"/>
  <c r="M1956" i="1"/>
  <c r="L1956" i="1"/>
  <c r="K1956" i="1"/>
  <c r="N1955" i="1"/>
  <c r="M1955" i="1"/>
  <c r="L1955" i="1"/>
  <c r="K1955" i="1"/>
  <c r="N1954" i="1"/>
  <c r="M1954" i="1"/>
  <c r="L1954" i="1"/>
  <c r="K1954" i="1"/>
  <c r="N1953" i="1"/>
  <c r="M1953" i="1"/>
  <c r="L1953" i="1"/>
  <c r="K1953" i="1"/>
  <c r="N1952" i="1"/>
  <c r="M1952" i="1"/>
  <c r="L1952" i="1"/>
  <c r="K1952" i="1"/>
  <c r="N1951" i="1"/>
  <c r="M1951" i="1"/>
  <c r="L1951" i="1"/>
  <c r="K1951" i="1"/>
  <c r="N1950" i="1"/>
  <c r="M1950" i="1"/>
  <c r="L1950" i="1"/>
  <c r="K1950" i="1"/>
  <c r="N1949" i="1"/>
  <c r="M1949" i="1"/>
  <c r="L1949" i="1"/>
  <c r="K1949" i="1"/>
  <c r="N1948" i="1"/>
  <c r="M1948" i="1"/>
  <c r="L1948" i="1"/>
  <c r="K1948" i="1"/>
  <c r="N1947" i="1"/>
  <c r="M1947" i="1"/>
  <c r="L1947" i="1"/>
  <c r="K1947" i="1"/>
  <c r="N1946" i="1"/>
  <c r="M1946" i="1"/>
  <c r="L1946" i="1"/>
  <c r="K1946" i="1"/>
  <c r="N1945" i="1"/>
  <c r="M1945" i="1"/>
  <c r="L1945" i="1"/>
  <c r="K1945" i="1"/>
  <c r="N1944" i="1"/>
  <c r="M1944" i="1"/>
  <c r="L1944" i="1"/>
  <c r="K1944" i="1"/>
  <c r="N1943" i="1"/>
  <c r="M1943" i="1"/>
  <c r="L1943" i="1"/>
  <c r="K1943" i="1"/>
  <c r="N1942" i="1"/>
  <c r="M1942" i="1"/>
  <c r="L1942" i="1"/>
  <c r="K1942" i="1"/>
  <c r="N1941" i="1"/>
  <c r="M1941" i="1"/>
  <c r="L1941" i="1"/>
  <c r="K1941" i="1"/>
  <c r="N1940" i="1"/>
  <c r="M1940" i="1"/>
  <c r="L1940" i="1"/>
  <c r="K1940" i="1"/>
  <c r="N1939" i="1"/>
  <c r="M1939" i="1"/>
  <c r="L1939" i="1"/>
  <c r="K1939" i="1"/>
  <c r="N1938" i="1"/>
  <c r="M1938" i="1"/>
  <c r="L1938" i="1"/>
  <c r="K1938" i="1"/>
  <c r="N1937" i="1"/>
  <c r="M1937" i="1"/>
  <c r="L1937" i="1"/>
  <c r="K1937" i="1"/>
  <c r="N1936" i="1"/>
  <c r="M1936" i="1"/>
  <c r="L1936" i="1"/>
  <c r="K1936" i="1"/>
  <c r="N1935" i="1"/>
  <c r="M1935" i="1"/>
  <c r="L1935" i="1"/>
  <c r="K1935" i="1"/>
  <c r="N1934" i="1"/>
  <c r="M1934" i="1"/>
  <c r="L1934" i="1"/>
  <c r="K1934" i="1"/>
  <c r="N1933" i="1"/>
  <c r="M1933" i="1"/>
  <c r="L1933" i="1"/>
  <c r="K1933" i="1"/>
  <c r="N1932" i="1"/>
  <c r="M1932" i="1"/>
  <c r="L1932" i="1"/>
  <c r="K1932" i="1"/>
  <c r="N1931" i="1"/>
  <c r="M1931" i="1"/>
  <c r="L1931" i="1"/>
  <c r="K1931" i="1"/>
  <c r="N1930" i="1"/>
  <c r="M1930" i="1"/>
  <c r="L1930" i="1"/>
  <c r="K1930" i="1"/>
  <c r="N1929" i="1"/>
  <c r="M1929" i="1"/>
  <c r="L1929" i="1"/>
  <c r="K1929" i="1"/>
  <c r="N1928" i="1"/>
  <c r="M1928" i="1"/>
  <c r="L1928" i="1"/>
  <c r="K1928" i="1"/>
  <c r="N1927" i="1"/>
  <c r="M1927" i="1"/>
  <c r="L1927" i="1"/>
  <c r="K1927" i="1"/>
  <c r="N1926" i="1"/>
  <c r="M1926" i="1"/>
  <c r="L1926" i="1"/>
  <c r="K1926" i="1"/>
  <c r="N1925" i="1"/>
  <c r="M1925" i="1"/>
  <c r="L1925" i="1"/>
  <c r="K1925" i="1"/>
  <c r="N1924" i="1"/>
  <c r="M1924" i="1"/>
  <c r="L1924" i="1"/>
  <c r="K1924" i="1"/>
  <c r="N1923" i="1"/>
  <c r="M1923" i="1"/>
  <c r="L1923" i="1"/>
  <c r="K1923" i="1"/>
  <c r="N1922" i="1"/>
  <c r="M1922" i="1"/>
  <c r="L1922" i="1"/>
  <c r="K1922" i="1"/>
  <c r="N1921" i="1"/>
  <c r="M1921" i="1"/>
  <c r="L1921" i="1"/>
  <c r="K1921" i="1"/>
  <c r="N1920" i="1"/>
  <c r="M1920" i="1"/>
  <c r="L1920" i="1"/>
  <c r="K1920" i="1"/>
  <c r="N1919" i="1"/>
  <c r="M1919" i="1"/>
  <c r="L1919" i="1"/>
  <c r="K1919" i="1"/>
  <c r="N1918" i="1"/>
  <c r="M1918" i="1"/>
  <c r="L1918" i="1"/>
  <c r="K1918" i="1"/>
  <c r="N1917" i="1"/>
  <c r="M1917" i="1"/>
  <c r="L1917" i="1"/>
  <c r="K1917" i="1"/>
  <c r="N1916" i="1"/>
  <c r="M1916" i="1"/>
  <c r="L1916" i="1"/>
  <c r="K1916" i="1"/>
  <c r="N1915" i="1"/>
  <c r="M1915" i="1"/>
  <c r="L1915" i="1"/>
  <c r="K1915" i="1"/>
  <c r="N1914" i="1"/>
  <c r="M1914" i="1"/>
  <c r="L1914" i="1"/>
  <c r="K1914" i="1"/>
  <c r="N1913" i="1"/>
  <c r="M1913" i="1"/>
  <c r="L1913" i="1"/>
  <c r="K1913" i="1"/>
  <c r="N1912" i="1"/>
  <c r="M1912" i="1"/>
  <c r="L1912" i="1"/>
  <c r="K1912" i="1"/>
  <c r="N1911" i="1"/>
  <c r="M1911" i="1"/>
  <c r="L1911" i="1"/>
  <c r="K1911" i="1"/>
  <c r="N1910" i="1"/>
  <c r="M1910" i="1"/>
  <c r="L1910" i="1"/>
  <c r="K1910" i="1"/>
  <c r="N1909" i="1"/>
  <c r="M1909" i="1"/>
  <c r="L1909" i="1"/>
  <c r="K1909" i="1"/>
  <c r="N1908" i="1"/>
  <c r="M1908" i="1"/>
  <c r="L1908" i="1"/>
  <c r="K1908" i="1"/>
  <c r="N1907" i="1"/>
  <c r="M1907" i="1"/>
  <c r="L1907" i="1"/>
  <c r="K1907" i="1"/>
  <c r="N1906" i="1"/>
  <c r="M1906" i="1"/>
  <c r="L1906" i="1"/>
  <c r="K1906" i="1"/>
  <c r="N1905" i="1"/>
  <c r="M1905" i="1"/>
  <c r="L1905" i="1"/>
  <c r="K1905" i="1"/>
  <c r="N1904" i="1"/>
  <c r="M1904" i="1"/>
  <c r="L1904" i="1"/>
  <c r="K1904" i="1"/>
  <c r="N1903" i="1"/>
  <c r="M1903" i="1"/>
  <c r="L1903" i="1"/>
  <c r="K1903" i="1"/>
  <c r="N1902" i="1"/>
  <c r="M1902" i="1"/>
  <c r="L1902" i="1"/>
  <c r="K1902" i="1"/>
  <c r="N1901" i="1"/>
  <c r="M1901" i="1"/>
  <c r="L1901" i="1"/>
  <c r="K1901" i="1"/>
  <c r="N1900" i="1"/>
  <c r="M1900" i="1"/>
  <c r="L1900" i="1"/>
  <c r="K1900" i="1"/>
  <c r="N1899" i="1"/>
  <c r="M1899" i="1"/>
  <c r="L1899" i="1"/>
  <c r="K1899" i="1"/>
  <c r="N1898" i="1"/>
  <c r="M1898" i="1"/>
  <c r="L1898" i="1"/>
  <c r="K1898" i="1"/>
  <c r="N1897" i="1"/>
  <c r="M1897" i="1"/>
  <c r="L1897" i="1"/>
  <c r="K1897" i="1"/>
  <c r="N1896" i="1"/>
  <c r="M1896" i="1"/>
  <c r="L1896" i="1"/>
  <c r="K1896" i="1"/>
  <c r="N1895" i="1"/>
  <c r="M1895" i="1"/>
  <c r="L1895" i="1"/>
  <c r="K1895" i="1"/>
  <c r="N1894" i="1"/>
  <c r="M1894" i="1"/>
  <c r="L1894" i="1"/>
  <c r="K1894" i="1"/>
  <c r="N1893" i="1"/>
  <c r="M1893" i="1"/>
  <c r="L1893" i="1"/>
  <c r="K1893" i="1"/>
  <c r="N1892" i="1"/>
  <c r="M1892" i="1"/>
  <c r="L1892" i="1"/>
  <c r="K1892" i="1"/>
  <c r="N1891" i="1"/>
  <c r="M1891" i="1"/>
  <c r="L1891" i="1"/>
  <c r="K1891" i="1"/>
  <c r="N1890" i="1"/>
  <c r="M1890" i="1"/>
  <c r="L1890" i="1"/>
  <c r="K1890" i="1"/>
  <c r="N1889" i="1"/>
  <c r="M1889" i="1"/>
  <c r="L1889" i="1"/>
  <c r="K1889" i="1"/>
  <c r="N1888" i="1"/>
  <c r="M1888" i="1"/>
  <c r="L1888" i="1"/>
  <c r="K1888" i="1"/>
  <c r="N1887" i="1"/>
  <c r="M1887" i="1"/>
  <c r="L1887" i="1"/>
  <c r="K1887" i="1"/>
  <c r="N1886" i="1"/>
  <c r="M1886" i="1"/>
  <c r="L1886" i="1"/>
  <c r="K1886" i="1"/>
  <c r="N1885" i="1"/>
  <c r="M1885" i="1"/>
  <c r="L1885" i="1"/>
  <c r="K1885" i="1"/>
  <c r="N1884" i="1"/>
  <c r="M1884" i="1"/>
  <c r="L1884" i="1"/>
  <c r="K1884" i="1"/>
  <c r="N1883" i="1"/>
  <c r="M1883" i="1"/>
  <c r="L1883" i="1"/>
  <c r="K1883" i="1"/>
  <c r="N1882" i="1"/>
  <c r="M1882" i="1"/>
  <c r="L1882" i="1"/>
  <c r="K1882" i="1"/>
  <c r="N1881" i="1"/>
  <c r="M1881" i="1"/>
  <c r="L1881" i="1"/>
  <c r="K1881" i="1"/>
  <c r="N1880" i="1"/>
  <c r="M1880" i="1"/>
  <c r="L1880" i="1"/>
  <c r="K1880" i="1"/>
  <c r="N1879" i="1"/>
  <c r="M1879" i="1"/>
  <c r="L1879" i="1"/>
  <c r="K1879" i="1"/>
  <c r="N1878" i="1"/>
  <c r="M1878" i="1"/>
  <c r="L1878" i="1"/>
  <c r="K1878" i="1"/>
  <c r="N1877" i="1"/>
  <c r="M1877" i="1"/>
  <c r="L1877" i="1"/>
  <c r="K1877" i="1"/>
  <c r="N1876" i="1"/>
  <c r="M1876" i="1"/>
  <c r="L1876" i="1"/>
  <c r="K1876" i="1"/>
  <c r="N1875" i="1"/>
  <c r="M1875" i="1"/>
  <c r="L1875" i="1"/>
  <c r="K1875" i="1"/>
  <c r="N1874" i="1"/>
  <c r="M1874" i="1"/>
  <c r="L1874" i="1"/>
  <c r="K1874" i="1"/>
  <c r="N1873" i="1"/>
  <c r="M1873" i="1"/>
  <c r="L1873" i="1"/>
  <c r="K1873" i="1"/>
  <c r="N1872" i="1"/>
  <c r="M1872" i="1"/>
  <c r="L1872" i="1"/>
  <c r="K1872" i="1"/>
  <c r="N1871" i="1"/>
  <c r="M1871" i="1"/>
  <c r="L1871" i="1"/>
  <c r="K1871" i="1"/>
  <c r="N1870" i="1"/>
  <c r="M1870" i="1"/>
  <c r="L1870" i="1"/>
  <c r="K1870" i="1"/>
  <c r="N1869" i="1"/>
  <c r="M1869" i="1"/>
  <c r="L1869" i="1"/>
  <c r="K1869" i="1"/>
  <c r="N1868" i="1"/>
  <c r="M1868" i="1"/>
  <c r="L1868" i="1"/>
  <c r="K1868" i="1"/>
  <c r="N1867" i="1"/>
  <c r="M1867" i="1"/>
  <c r="L1867" i="1"/>
  <c r="K1867" i="1"/>
  <c r="N1866" i="1"/>
  <c r="M1866" i="1"/>
  <c r="L1866" i="1"/>
  <c r="K1866" i="1"/>
  <c r="N1865" i="1"/>
  <c r="M1865" i="1"/>
  <c r="L1865" i="1"/>
  <c r="K1865" i="1"/>
  <c r="N1864" i="1"/>
  <c r="M1864" i="1"/>
  <c r="L1864" i="1"/>
  <c r="K1864" i="1"/>
  <c r="N1863" i="1"/>
  <c r="M1863" i="1"/>
  <c r="L1863" i="1"/>
  <c r="K1863" i="1"/>
  <c r="N1862" i="1"/>
  <c r="M1862" i="1"/>
  <c r="L1862" i="1"/>
  <c r="K1862" i="1"/>
  <c r="N1861" i="1"/>
  <c r="M1861" i="1"/>
  <c r="L1861" i="1"/>
  <c r="K1861" i="1"/>
  <c r="N1860" i="1"/>
  <c r="M1860" i="1"/>
  <c r="L1860" i="1"/>
  <c r="K1860" i="1"/>
  <c r="N1859" i="1"/>
  <c r="M1859" i="1"/>
  <c r="L1859" i="1"/>
  <c r="K1859" i="1"/>
  <c r="N1858" i="1"/>
  <c r="M1858" i="1"/>
  <c r="L1858" i="1"/>
  <c r="K1858" i="1"/>
  <c r="N1857" i="1"/>
  <c r="M1857" i="1"/>
  <c r="L1857" i="1"/>
  <c r="K1857" i="1"/>
  <c r="N1856" i="1"/>
  <c r="M1856" i="1"/>
  <c r="L1856" i="1"/>
  <c r="K1856" i="1"/>
  <c r="N1855" i="1"/>
  <c r="M1855" i="1"/>
  <c r="L1855" i="1"/>
  <c r="K1855" i="1"/>
  <c r="N1854" i="1"/>
  <c r="M1854" i="1"/>
  <c r="L1854" i="1"/>
  <c r="K1854" i="1"/>
  <c r="N1853" i="1"/>
  <c r="M1853" i="1"/>
  <c r="L1853" i="1"/>
  <c r="K1853" i="1"/>
  <c r="N1852" i="1"/>
  <c r="M1852" i="1"/>
  <c r="L1852" i="1"/>
  <c r="K1852" i="1"/>
  <c r="N1851" i="1"/>
  <c r="M1851" i="1"/>
  <c r="L1851" i="1"/>
  <c r="K1851" i="1"/>
  <c r="N1850" i="1"/>
  <c r="M1850" i="1"/>
  <c r="L1850" i="1"/>
  <c r="K1850" i="1"/>
  <c r="N1849" i="1"/>
  <c r="M1849" i="1"/>
  <c r="L1849" i="1"/>
  <c r="K1849" i="1"/>
  <c r="N1848" i="1"/>
  <c r="M1848" i="1"/>
  <c r="L1848" i="1"/>
  <c r="K1848" i="1"/>
  <c r="N1847" i="1"/>
  <c r="M1847" i="1"/>
  <c r="L1847" i="1"/>
  <c r="K1847" i="1"/>
  <c r="N1846" i="1"/>
  <c r="M1846" i="1"/>
  <c r="L1846" i="1"/>
  <c r="K1846" i="1"/>
  <c r="N1845" i="1"/>
  <c r="M1845" i="1"/>
  <c r="L1845" i="1"/>
  <c r="K1845" i="1"/>
  <c r="N1844" i="1"/>
  <c r="M1844" i="1"/>
  <c r="L1844" i="1"/>
  <c r="K1844" i="1"/>
  <c r="N1843" i="1"/>
  <c r="M1843" i="1"/>
  <c r="L1843" i="1"/>
  <c r="K1843" i="1"/>
  <c r="N1842" i="1"/>
  <c r="M1842" i="1"/>
  <c r="L1842" i="1"/>
  <c r="K1842" i="1"/>
  <c r="N1841" i="1"/>
  <c r="M1841" i="1"/>
  <c r="L1841" i="1"/>
  <c r="K1841" i="1"/>
  <c r="N1840" i="1"/>
  <c r="M1840" i="1"/>
  <c r="L1840" i="1"/>
  <c r="K1840" i="1"/>
  <c r="N1839" i="1"/>
  <c r="M1839" i="1"/>
  <c r="L1839" i="1"/>
  <c r="K1839" i="1"/>
  <c r="N1838" i="1"/>
  <c r="M1838" i="1"/>
  <c r="L1838" i="1"/>
  <c r="K1838" i="1"/>
  <c r="N1837" i="1"/>
  <c r="M1837" i="1"/>
  <c r="L1837" i="1"/>
  <c r="K1837" i="1"/>
  <c r="N1836" i="1"/>
  <c r="M1836" i="1"/>
  <c r="L1836" i="1"/>
  <c r="K1836" i="1"/>
  <c r="N1835" i="1"/>
  <c r="M1835" i="1"/>
  <c r="L1835" i="1"/>
  <c r="K1835" i="1"/>
  <c r="N1834" i="1"/>
  <c r="M1834" i="1"/>
  <c r="L1834" i="1"/>
  <c r="K1834" i="1"/>
  <c r="N1833" i="1"/>
  <c r="M1833" i="1"/>
  <c r="L1833" i="1"/>
  <c r="K1833" i="1"/>
  <c r="N1832" i="1"/>
  <c r="M1832" i="1"/>
  <c r="L1832" i="1"/>
  <c r="K1832" i="1"/>
  <c r="N1831" i="1"/>
  <c r="M1831" i="1"/>
  <c r="L1831" i="1"/>
  <c r="K1831" i="1"/>
  <c r="N1830" i="1"/>
  <c r="M1830" i="1"/>
  <c r="L1830" i="1"/>
  <c r="K1830" i="1"/>
  <c r="N1829" i="1"/>
  <c r="M1829" i="1"/>
  <c r="L1829" i="1"/>
  <c r="K1829" i="1"/>
  <c r="N1828" i="1"/>
  <c r="M1828" i="1"/>
  <c r="L1828" i="1"/>
  <c r="K1828" i="1"/>
  <c r="N1827" i="1"/>
  <c r="M1827" i="1"/>
  <c r="L1827" i="1"/>
  <c r="K1827" i="1"/>
  <c r="N1826" i="1"/>
  <c r="M1826" i="1"/>
  <c r="L1826" i="1"/>
  <c r="K1826" i="1"/>
  <c r="N1825" i="1"/>
  <c r="M1825" i="1"/>
  <c r="L1825" i="1"/>
  <c r="K1825" i="1"/>
  <c r="N1824" i="1"/>
  <c r="M1824" i="1"/>
  <c r="L1824" i="1"/>
  <c r="K1824" i="1"/>
  <c r="N1823" i="1"/>
  <c r="M1823" i="1"/>
  <c r="L1823" i="1"/>
  <c r="K1823" i="1"/>
  <c r="N1822" i="1"/>
  <c r="M1822" i="1"/>
  <c r="L1822" i="1"/>
  <c r="K1822" i="1"/>
  <c r="N1821" i="1"/>
  <c r="M1821" i="1"/>
  <c r="L1821" i="1"/>
  <c r="K1821" i="1"/>
  <c r="N1820" i="1"/>
  <c r="M1820" i="1"/>
  <c r="L1820" i="1"/>
  <c r="K1820" i="1"/>
  <c r="N1819" i="1"/>
  <c r="M1819" i="1"/>
  <c r="L1819" i="1"/>
  <c r="K1819" i="1"/>
  <c r="N1818" i="1"/>
  <c r="M1818" i="1"/>
  <c r="L1818" i="1"/>
  <c r="K1818" i="1"/>
  <c r="N1817" i="1"/>
  <c r="M1817" i="1"/>
  <c r="L1817" i="1"/>
  <c r="K1817" i="1"/>
  <c r="N1816" i="1"/>
  <c r="M1816" i="1"/>
  <c r="L1816" i="1"/>
  <c r="K1816" i="1"/>
  <c r="N1815" i="1"/>
  <c r="M1815" i="1"/>
  <c r="L1815" i="1"/>
  <c r="K1815" i="1"/>
  <c r="N1814" i="1"/>
  <c r="M1814" i="1"/>
  <c r="L1814" i="1"/>
  <c r="K1814" i="1"/>
  <c r="N1813" i="1"/>
  <c r="M1813" i="1"/>
  <c r="L1813" i="1"/>
  <c r="K1813" i="1"/>
  <c r="N1812" i="1"/>
  <c r="M1812" i="1"/>
  <c r="L1812" i="1"/>
  <c r="K1812" i="1"/>
  <c r="N1811" i="1"/>
  <c r="M1811" i="1"/>
  <c r="L1811" i="1"/>
  <c r="K1811" i="1"/>
  <c r="N1810" i="1"/>
  <c r="M1810" i="1"/>
  <c r="L1810" i="1"/>
  <c r="K1810" i="1"/>
  <c r="N1809" i="1"/>
  <c r="M1809" i="1"/>
  <c r="L1809" i="1"/>
  <c r="K1809" i="1"/>
  <c r="N1808" i="1"/>
  <c r="M1808" i="1"/>
  <c r="L1808" i="1"/>
  <c r="K1808" i="1"/>
  <c r="N1807" i="1"/>
  <c r="M1807" i="1"/>
  <c r="L1807" i="1"/>
  <c r="K1807" i="1"/>
  <c r="N1806" i="1"/>
  <c r="M1806" i="1"/>
  <c r="L1806" i="1"/>
  <c r="K1806" i="1"/>
  <c r="N1805" i="1"/>
  <c r="M1805" i="1"/>
  <c r="L1805" i="1"/>
  <c r="K1805" i="1"/>
  <c r="N1804" i="1"/>
  <c r="M1804" i="1"/>
  <c r="L1804" i="1"/>
  <c r="K1804" i="1"/>
  <c r="N1803" i="1"/>
  <c r="M1803" i="1"/>
  <c r="L1803" i="1"/>
  <c r="K1803" i="1"/>
  <c r="N1802" i="1"/>
  <c r="M1802" i="1"/>
  <c r="L1802" i="1"/>
  <c r="K1802" i="1"/>
  <c r="N1801" i="1"/>
  <c r="M1801" i="1"/>
  <c r="L1801" i="1"/>
  <c r="K1801" i="1"/>
  <c r="N1800" i="1"/>
  <c r="M1800" i="1"/>
  <c r="L1800" i="1"/>
  <c r="K1800" i="1"/>
  <c r="N1799" i="1"/>
  <c r="M1799" i="1"/>
  <c r="L1799" i="1"/>
  <c r="K1799" i="1"/>
  <c r="N1798" i="1"/>
  <c r="M1798" i="1"/>
  <c r="L1798" i="1"/>
  <c r="K1798" i="1"/>
  <c r="N1797" i="1"/>
  <c r="M1797" i="1"/>
  <c r="L1797" i="1"/>
  <c r="K1797" i="1"/>
  <c r="N1796" i="1"/>
  <c r="M1796" i="1"/>
  <c r="L1796" i="1"/>
  <c r="K1796" i="1"/>
  <c r="N1795" i="1"/>
  <c r="M1795" i="1"/>
  <c r="L1795" i="1"/>
  <c r="K1795" i="1"/>
  <c r="N1794" i="1"/>
  <c r="M1794" i="1"/>
  <c r="L1794" i="1"/>
  <c r="K1794" i="1"/>
  <c r="N1793" i="1"/>
  <c r="M1793" i="1"/>
  <c r="L1793" i="1"/>
  <c r="K1793" i="1"/>
  <c r="N1792" i="1"/>
  <c r="M1792" i="1"/>
  <c r="L1792" i="1"/>
  <c r="K1792" i="1"/>
  <c r="N1791" i="1"/>
  <c r="M1791" i="1"/>
  <c r="L1791" i="1"/>
  <c r="K1791" i="1"/>
  <c r="N1790" i="1"/>
  <c r="M1790" i="1"/>
  <c r="L1790" i="1"/>
  <c r="K1790" i="1"/>
  <c r="N1789" i="1"/>
  <c r="M1789" i="1"/>
  <c r="L1789" i="1"/>
  <c r="K1789" i="1"/>
  <c r="N1788" i="1"/>
  <c r="M1788" i="1"/>
  <c r="L1788" i="1"/>
  <c r="K1788" i="1"/>
  <c r="N1787" i="1"/>
  <c r="M1787" i="1"/>
  <c r="L1787" i="1"/>
  <c r="K1787" i="1"/>
  <c r="N1786" i="1"/>
  <c r="M1786" i="1"/>
  <c r="L1786" i="1"/>
  <c r="K1786" i="1"/>
  <c r="N1785" i="1"/>
  <c r="M1785" i="1"/>
  <c r="L1785" i="1"/>
  <c r="K1785" i="1"/>
  <c r="N1784" i="1"/>
  <c r="M1784" i="1"/>
  <c r="L1784" i="1"/>
  <c r="K1784" i="1"/>
  <c r="N1783" i="1"/>
  <c r="M1783" i="1"/>
  <c r="L1783" i="1"/>
  <c r="K1783" i="1"/>
  <c r="N1782" i="1"/>
  <c r="M1782" i="1"/>
  <c r="L1782" i="1"/>
  <c r="K1782" i="1"/>
  <c r="N1781" i="1"/>
  <c r="M1781" i="1"/>
  <c r="L1781" i="1"/>
  <c r="K1781" i="1"/>
  <c r="N1780" i="1"/>
  <c r="M1780" i="1"/>
  <c r="L1780" i="1"/>
  <c r="K1780" i="1"/>
  <c r="N1779" i="1"/>
  <c r="M1779" i="1"/>
  <c r="L1779" i="1"/>
  <c r="K1779" i="1"/>
  <c r="N1778" i="1"/>
  <c r="M1778" i="1"/>
  <c r="L1778" i="1"/>
  <c r="K1778" i="1"/>
  <c r="N1777" i="1"/>
  <c r="M1777" i="1"/>
  <c r="L1777" i="1"/>
  <c r="K1777" i="1"/>
  <c r="N1776" i="1"/>
  <c r="M1776" i="1"/>
  <c r="L1776" i="1"/>
  <c r="K1776" i="1"/>
  <c r="N1775" i="1"/>
  <c r="M1775" i="1"/>
  <c r="L1775" i="1"/>
  <c r="K1775" i="1"/>
  <c r="N1774" i="1"/>
  <c r="M1774" i="1"/>
  <c r="L1774" i="1"/>
  <c r="K1774" i="1"/>
  <c r="N1773" i="1"/>
  <c r="M1773" i="1"/>
  <c r="L1773" i="1"/>
  <c r="K1773" i="1"/>
  <c r="N1772" i="1"/>
  <c r="M1772" i="1"/>
  <c r="L1772" i="1"/>
  <c r="K1772" i="1"/>
  <c r="N1771" i="1"/>
  <c r="M1771" i="1"/>
  <c r="L1771" i="1"/>
  <c r="K1771" i="1"/>
  <c r="N1770" i="1"/>
  <c r="M1770" i="1"/>
  <c r="L1770" i="1"/>
  <c r="K1770" i="1"/>
  <c r="N1769" i="1"/>
  <c r="M1769" i="1"/>
  <c r="L1769" i="1"/>
  <c r="K1769" i="1"/>
  <c r="N1768" i="1"/>
  <c r="M1768" i="1"/>
  <c r="L1768" i="1"/>
  <c r="K1768" i="1"/>
  <c r="N1767" i="1"/>
  <c r="M1767" i="1"/>
  <c r="L1767" i="1"/>
  <c r="K1767" i="1"/>
  <c r="N1766" i="1"/>
  <c r="M1766" i="1"/>
  <c r="L1766" i="1"/>
  <c r="K1766" i="1"/>
  <c r="N1765" i="1"/>
  <c r="M1765" i="1"/>
  <c r="L1765" i="1"/>
  <c r="K1765" i="1"/>
  <c r="N1764" i="1"/>
  <c r="M1764" i="1"/>
  <c r="L1764" i="1"/>
  <c r="K1764" i="1"/>
  <c r="N1763" i="1"/>
  <c r="M1763" i="1"/>
  <c r="L1763" i="1"/>
  <c r="K1763" i="1"/>
  <c r="N1762" i="1"/>
  <c r="M1762" i="1"/>
  <c r="L1762" i="1"/>
  <c r="K1762" i="1"/>
  <c r="N1761" i="1"/>
  <c r="M1761" i="1"/>
  <c r="L1761" i="1"/>
  <c r="K1761" i="1"/>
  <c r="N1760" i="1"/>
  <c r="M1760" i="1"/>
  <c r="L1760" i="1"/>
  <c r="K1760" i="1"/>
  <c r="N1759" i="1"/>
  <c r="M1759" i="1"/>
  <c r="L1759" i="1"/>
  <c r="K1759" i="1"/>
  <c r="N1758" i="1"/>
  <c r="M1758" i="1"/>
  <c r="L1758" i="1"/>
  <c r="K1758" i="1"/>
  <c r="N1757" i="1"/>
  <c r="M1757" i="1"/>
  <c r="L1757" i="1"/>
  <c r="K1757" i="1"/>
  <c r="N1756" i="1"/>
  <c r="M1756" i="1"/>
  <c r="L1756" i="1"/>
  <c r="K1756" i="1"/>
  <c r="N1755" i="1"/>
  <c r="M1755" i="1"/>
  <c r="L1755" i="1"/>
  <c r="K1755" i="1"/>
  <c r="N1754" i="1"/>
  <c r="M1754" i="1"/>
  <c r="L1754" i="1"/>
  <c r="K1754" i="1"/>
  <c r="N1753" i="1"/>
  <c r="M1753" i="1"/>
  <c r="L1753" i="1"/>
  <c r="K1753" i="1"/>
  <c r="N1752" i="1"/>
  <c r="M1752" i="1"/>
  <c r="L1752" i="1"/>
  <c r="K1752" i="1"/>
  <c r="N1751" i="1"/>
  <c r="M1751" i="1"/>
  <c r="L1751" i="1"/>
  <c r="K1751" i="1"/>
  <c r="N1750" i="1"/>
  <c r="M1750" i="1"/>
  <c r="L1750" i="1"/>
  <c r="K1750" i="1"/>
  <c r="N1749" i="1"/>
  <c r="M1749" i="1"/>
  <c r="L1749" i="1"/>
  <c r="K1749" i="1"/>
  <c r="N1748" i="1"/>
  <c r="M1748" i="1"/>
  <c r="L1748" i="1"/>
  <c r="K1748" i="1"/>
  <c r="N1747" i="1"/>
  <c r="M1747" i="1"/>
  <c r="L1747" i="1"/>
  <c r="K1747" i="1"/>
  <c r="N1746" i="1"/>
  <c r="M1746" i="1"/>
  <c r="L1746" i="1"/>
  <c r="K1746" i="1"/>
  <c r="N1745" i="1"/>
  <c r="M1745" i="1"/>
  <c r="L1745" i="1"/>
  <c r="K1745" i="1"/>
  <c r="N1744" i="1"/>
  <c r="M1744" i="1"/>
  <c r="L1744" i="1"/>
  <c r="K1744" i="1"/>
  <c r="N1743" i="1"/>
  <c r="M1743" i="1"/>
  <c r="L1743" i="1"/>
  <c r="K1743" i="1"/>
  <c r="N1742" i="1"/>
  <c r="M1742" i="1"/>
  <c r="L1742" i="1"/>
  <c r="K1742" i="1"/>
  <c r="N1741" i="1"/>
  <c r="M1741" i="1"/>
  <c r="L1741" i="1"/>
  <c r="K1741" i="1"/>
  <c r="N1740" i="1"/>
  <c r="M1740" i="1"/>
  <c r="L1740" i="1"/>
  <c r="K1740" i="1"/>
  <c r="N1739" i="1"/>
  <c r="M1739" i="1"/>
  <c r="L1739" i="1"/>
  <c r="K1739" i="1"/>
  <c r="N1738" i="1"/>
  <c r="M1738" i="1"/>
  <c r="L1738" i="1"/>
  <c r="K1738" i="1"/>
  <c r="N1737" i="1"/>
  <c r="M1737" i="1"/>
  <c r="L1737" i="1"/>
  <c r="K1737" i="1"/>
  <c r="N1736" i="1"/>
  <c r="M1736" i="1"/>
  <c r="L1736" i="1"/>
  <c r="K1736" i="1"/>
  <c r="N1735" i="1"/>
  <c r="M1735" i="1"/>
  <c r="L1735" i="1"/>
  <c r="K1735" i="1"/>
  <c r="N1734" i="1"/>
  <c r="M1734" i="1"/>
  <c r="L1734" i="1"/>
  <c r="K1734" i="1"/>
  <c r="N1733" i="1"/>
  <c r="M1733" i="1"/>
  <c r="L1733" i="1"/>
  <c r="K1733" i="1"/>
  <c r="N1732" i="1"/>
  <c r="M1732" i="1"/>
  <c r="L1732" i="1"/>
  <c r="K1732" i="1"/>
  <c r="N1731" i="1"/>
  <c r="M1731" i="1"/>
  <c r="L1731" i="1"/>
  <c r="K1731" i="1"/>
  <c r="N1730" i="1"/>
  <c r="M1730" i="1"/>
  <c r="L1730" i="1"/>
  <c r="K1730" i="1"/>
  <c r="N1729" i="1"/>
  <c r="M1729" i="1"/>
  <c r="L1729" i="1"/>
  <c r="K1729" i="1"/>
  <c r="N1728" i="1"/>
  <c r="M1728" i="1"/>
  <c r="L1728" i="1"/>
  <c r="K1728" i="1"/>
  <c r="N1727" i="1"/>
  <c r="M1727" i="1"/>
  <c r="L1727" i="1"/>
  <c r="K1727" i="1"/>
  <c r="N1726" i="1"/>
  <c r="M1726" i="1"/>
  <c r="L1726" i="1"/>
  <c r="K1726" i="1"/>
  <c r="N1725" i="1"/>
  <c r="M1725" i="1"/>
  <c r="L1725" i="1"/>
  <c r="K1725" i="1"/>
  <c r="N1724" i="1"/>
  <c r="M1724" i="1"/>
  <c r="L1724" i="1"/>
  <c r="K1724" i="1"/>
  <c r="N1723" i="1"/>
  <c r="M1723" i="1"/>
  <c r="L1723" i="1"/>
  <c r="K1723" i="1"/>
  <c r="N1722" i="1"/>
  <c r="M1722" i="1"/>
  <c r="L1722" i="1"/>
  <c r="K1722" i="1"/>
  <c r="N1721" i="1"/>
  <c r="M1721" i="1"/>
  <c r="L1721" i="1"/>
  <c r="K1721" i="1"/>
  <c r="N1720" i="1"/>
  <c r="M1720" i="1"/>
  <c r="L1720" i="1"/>
  <c r="K1720" i="1"/>
  <c r="N1719" i="1"/>
  <c r="M1719" i="1"/>
  <c r="L1719" i="1"/>
  <c r="K1719" i="1"/>
  <c r="N1718" i="1"/>
  <c r="M1718" i="1"/>
  <c r="L1718" i="1"/>
  <c r="K1718" i="1"/>
  <c r="N1717" i="1"/>
  <c r="M1717" i="1"/>
  <c r="L1717" i="1"/>
  <c r="K1717" i="1"/>
  <c r="N1716" i="1"/>
  <c r="M1716" i="1"/>
  <c r="L1716" i="1"/>
  <c r="K1716" i="1"/>
  <c r="N1715" i="1"/>
  <c r="M1715" i="1"/>
  <c r="L1715" i="1"/>
  <c r="K1715" i="1"/>
  <c r="N1714" i="1"/>
  <c r="M1714" i="1"/>
  <c r="L1714" i="1"/>
  <c r="K1714" i="1"/>
  <c r="N1713" i="1"/>
  <c r="M1713" i="1"/>
  <c r="L1713" i="1"/>
  <c r="K1713" i="1"/>
  <c r="N1712" i="1"/>
  <c r="M1712" i="1"/>
  <c r="L1712" i="1"/>
  <c r="K1712" i="1"/>
  <c r="N1711" i="1"/>
  <c r="M1711" i="1"/>
  <c r="L1711" i="1"/>
  <c r="K1711" i="1"/>
  <c r="N1710" i="1"/>
  <c r="M1710" i="1"/>
  <c r="L1710" i="1"/>
  <c r="K1710" i="1"/>
  <c r="N1709" i="1"/>
  <c r="M1709" i="1"/>
  <c r="L1709" i="1"/>
  <c r="K1709" i="1"/>
  <c r="N1708" i="1"/>
  <c r="M1708" i="1"/>
  <c r="L1708" i="1"/>
  <c r="K1708" i="1"/>
  <c r="N1707" i="1"/>
  <c r="M1707" i="1"/>
  <c r="L1707" i="1"/>
  <c r="K1707" i="1"/>
  <c r="N1706" i="1"/>
  <c r="M1706" i="1"/>
  <c r="L1706" i="1"/>
  <c r="K1706" i="1"/>
  <c r="N1705" i="1"/>
  <c r="M1705" i="1"/>
  <c r="L1705" i="1"/>
  <c r="K1705" i="1"/>
  <c r="N1704" i="1"/>
  <c r="M1704" i="1"/>
  <c r="L1704" i="1"/>
  <c r="K1704" i="1"/>
  <c r="N1703" i="1"/>
  <c r="M1703" i="1"/>
  <c r="L1703" i="1"/>
  <c r="K1703" i="1"/>
  <c r="N1702" i="1"/>
  <c r="M1702" i="1"/>
  <c r="L1702" i="1"/>
  <c r="K1702" i="1"/>
  <c r="N1701" i="1"/>
  <c r="M1701" i="1"/>
  <c r="L1701" i="1"/>
  <c r="K1701" i="1"/>
  <c r="N1700" i="1"/>
  <c r="M1700" i="1"/>
  <c r="L1700" i="1"/>
  <c r="K1700" i="1"/>
  <c r="N1699" i="1"/>
  <c r="M1699" i="1"/>
  <c r="L1699" i="1"/>
  <c r="K1699" i="1"/>
  <c r="N1698" i="1"/>
  <c r="M1698" i="1"/>
  <c r="L1698" i="1"/>
  <c r="K1698" i="1"/>
  <c r="N1697" i="1"/>
  <c r="M1697" i="1"/>
  <c r="L1697" i="1"/>
  <c r="K1697" i="1"/>
  <c r="N1696" i="1"/>
  <c r="M1696" i="1"/>
  <c r="L1696" i="1"/>
  <c r="K1696" i="1"/>
  <c r="N1695" i="1"/>
  <c r="M1695" i="1"/>
  <c r="L1695" i="1"/>
  <c r="K1695" i="1"/>
  <c r="N1694" i="1"/>
  <c r="M1694" i="1"/>
  <c r="L1694" i="1"/>
  <c r="K1694" i="1"/>
  <c r="N1693" i="1"/>
  <c r="M1693" i="1"/>
  <c r="L1693" i="1"/>
  <c r="K1693" i="1"/>
  <c r="N1692" i="1"/>
  <c r="M1692" i="1"/>
  <c r="L1692" i="1"/>
  <c r="K1692" i="1"/>
  <c r="N1691" i="1"/>
  <c r="M1691" i="1"/>
  <c r="L1691" i="1"/>
  <c r="K1691" i="1"/>
  <c r="N1690" i="1"/>
  <c r="M1690" i="1"/>
  <c r="L1690" i="1"/>
  <c r="K1690" i="1"/>
  <c r="N1689" i="1"/>
  <c r="M1689" i="1"/>
  <c r="L1689" i="1"/>
  <c r="K1689" i="1"/>
  <c r="N1688" i="1"/>
  <c r="M1688" i="1"/>
  <c r="L1688" i="1"/>
  <c r="K1688" i="1"/>
  <c r="N1687" i="1"/>
  <c r="M1687" i="1"/>
  <c r="L1687" i="1"/>
  <c r="K1687" i="1"/>
  <c r="N1686" i="1"/>
  <c r="M1686" i="1"/>
  <c r="L1686" i="1"/>
  <c r="K1686" i="1"/>
  <c r="N1685" i="1"/>
  <c r="M1685" i="1"/>
  <c r="L1685" i="1"/>
  <c r="K1685" i="1"/>
  <c r="N1684" i="1"/>
  <c r="M1684" i="1"/>
  <c r="L1684" i="1"/>
  <c r="K1684" i="1"/>
  <c r="N1683" i="1"/>
  <c r="M1683" i="1"/>
  <c r="L1683" i="1"/>
  <c r="K1683" i="1"/>
  <c r="N1682" i="1"/>
  <c r="M1682" i="1"/>
  <c r="L1682" i="1"/>
  <c r="K1682" i="1"/>
  <c r="N1681" i="1"/>
  <c r="M1681" i="1"/>
  <c r="L1681" i="1"/>
  <c r="K1681" i="1"/>
  <c r="N1680" i="1"/>
  <c r="M1680" i="1"/>
  <c r="L1680" i="1"/>
  <c r="K1680" i="1"/>
  <c r="N1679" i="1"/>
  <c r="M1679" i="1"/>
  <c r="L1679" i="1"/>
  <c r="K1679" i="1"/>
  <c r="N1678" i="1"/>
  <c r="M1678" i="1"/>
  <c r="L1678" i="1"/>
  <c r="K1678" i="1"/>
  <c r="N1677" i="1"/>
  <c r="M1677" i="1"/>
  <c r="L1677" i="1"/>
  <c r="K1677" i="1"/>
  <c r="N1676" i="1"/>
  <c r="M1676" i="1"/>
  <c r="L1676" i="1"/>
  <c r="K1676" i="1"/>
  <c r="N1675" i="1"/>
  <c r="M1675" i="1"/>
  <c r="L1675" i="1"/>
  <c r="K1675" i="1"/>
  <c r="N1674" i="1"/>
  <c r="M1674" i="1"/>
  <c r="L1674" i="1"/>
  <c r="K1674" i="1"/>
  <c r="N1673" i="1"/>
  <c r="M1673" i="1"/>
  <c r="L1673" i="1"/>
  <c r="K1673" i="1"/>
  <c r="N1672" i="1"/>
  <c r="M1672" i="1"/>
  <c r="L1672" i="1"/>
  <c r="K1672" i="1"/>
  <c r="N1671" i="1"/>
  <c r="M1671" i="1"/>
  <c r="L1671" i="1"/>
  <c r="K1671" i="1"/>
  <c r="N1670" i="1"/>
  <c r="M1670" i="1"/>
  <c r="L1670" i="1"/>
  <c r="K1670" i="1"/>
  <c r="N1669" i="1"/>
  <c r="M1669" i="1"/>
  <c r="L1669" i="1"/>
  <c r="K1669" i="1"/>
  <c r="N1668" i="1"/>
  <c r="M1668" i="1"/>
  <c r="L1668" i="1"/>
  <c r="K1668" i="1"/>
  <c r="N1667" i="1"/>
  <c r="M1667" i="1"/>
  <c r="L1667" i="1"/>
  <c r="K1667" i="1"/>
  <c r="N1666" i="1"/>
  <c r="M1666" i="1"/>
  <c r="L1666" i="1"/>
  <c r="K1666" i="1"/>
  <c r="N1665" i="1"/>
  <c r="M1665" i="1"/>
  <c r="L1665" i="1"/>
  <c r="K1665" i="1"/>
  <c r="N1664" i="1"/>
  <c r="M1664" i="1"/>
  <c r="L1664" i="1"/>
  <c r="K1664" i="1"/>
  <c r="N1663" i="1"/>
  <c r="M1663" i="1"/>
  <c r="L1663" i="1"/>
  <c r="K1663" i="1"/>
  <c r="N1662" i="1"/>
  <c r="M1662" i="1"/>
  <c r="L1662" i="1"/>
  <c r="K1662" i="1"/>
  <c r="N1661" i="1"/>
  <c r="M1661" i="1"/>
  <c r="L1661" i="1"/>
  <c r="K1661" i="1"/>
  <c r="N1660" i="1"/>
  <c r="M1660" i="1"/>
  <c r="L1660" i="1"/>
  <c r="K1660" i="1"/>
  <c r="N1659" i="1"/>
  <c r="M1659" i="1"/>
  <c r="L1659" i="1"/>
  <c r="K1659" i="1"/>
  <c r="N1658" i="1"/>
  <c r="M1658" i="1"/>
  <c r="L1658" i="1"/>
  <c r="K1658" i="1"/>
  <c r="N1657" i="1"/>
  <c r="M1657" i="1"/>
  <c r="L1657" i="1"/>
  <c r="K1657" i="1"/>
  <c r="N1656" i="1"/>
  <c r="M1656" i="1"/>
  <c r="L1656" i="1"/>
  <c r="K1656" i="1"/>
  <c r="N1655" i="1"/>
  <c r="M1655" i="1"/>
  <c r="L1655" i="1"/>
  <c r="K1655" i="1"/>
  <c r="N1654" i="1"/>
  <c r="M1654" i="1"/>
  <c r="L1654" i="1"/>
  <c r="K1654" i="1"/>
  <c r="N1653" i="1"/>
  <c r="M1653" i="1"/>
  <c r="L1653" i="1"/>
  <c r="K1653" i="1"/>
  <c r="N1652" i="1"/>
  <c r="M1652" i="1"/>
  <c r="L1652" i="1"/>
  <c r="K1652" i="1"/>
  <c r="N1651" i="1"/>
  <c r="M1651" i="1"/>
  <c r="L1651" i="1"/>
  <c r="K1651" i="1"/>
  <c r="N1650" i="1"/>
  <c r="M1650" i="1"/>
  <c r="L1650" i="1"/>
  <c r="K1650" i="1"/>
  <c r="N1649" i="1"/>
  <c r="M1649" i="1"/>
  <c r="L1649" i="1"/>
  <c r="K1649" i="1"/>
  <c r="N1648" i="1"/>
  <c r="M1648" i="1"/>
  <c r="L1648" i="1"/>
  <c r="K1648" i="1"/>
  <c r="N1647" i="1"/>
  <c r="M1647" i="1"/>
  <c r="L1647" i="1"/>
  <c r="K1647" i="1"/>
  <c r="N1646" i="1"/>
  <c r="M1646" i="1"/>
  <c r="L1646" i="1"/>
  <c r="K1646" i="1"/>
  <c r="N1645" i="1"/>
  <c r="M1645" i="1"/>
  <c r="L1645" i="1"/>
  <c r="K1645" i="1"/>
  <c r="N1644" i="1"/>
  <c r="M1644" i="1"/>
  <c r="L1644" i="1"/>
  <c r="K1644" i="1"/>
  <c r="N1643" i="1"/>
  <c r="M1643" i="1"/>
  <c r="L1643" i="1"/>
  <c r="K1643" i="1"/>
  <c r="N1642" i="1"/>
  <c r="M1642" i="1"/>
  <c r="L1642" i="1"/>
  <c r="K1642" i="1"/>
  <c r="N1641" i="1"/>
  <c r="M1641" i="1"/>
  <c r="L1641" i="1"/>
  <c r="K1641" i="1"/>
  <c r="N1640" i="1"/>
  <c r="M1640" i="1"/>
  <c r="L1640" i="1"/>
  <c r="K1640" i="1"/>
  <c r="N1639" i="1"/>
  <c r="M1639" i="1"/>
  <c r="L1639" i="1"/>
  <c r="K1639" i="1"/>
  <c r="N1638" i="1"/>
  <c r="M1638" i="1"/>
  <c r="L1638" i="1"/>
  <c r="K1638" i="1"/>
  <c r="N1637" i="1"/>
  <c r="M1637" i="1"/>
  <c r="L1637" i="1"/>
  <c r="K1637" i="1"/>
  <c r="N1636" i="1"/>
  <c r="M1636" i="1"/>
  <c r="L1636" i="1"/>
  <c r="K1636" i="1"/>
  <c r="N1635" i="1"/>
  <c r="M1635" i="1"/>
  <c r="L1635" i="1"/>
  <c r="K1635" i="1"/>
  <c r="N1634" i="1"/>
  <c r="M1634" i="1"/>
  <c r="L1634" i="1"/>
  <c r="K1634" i="1"/>
  <c r="N1633" i="1"/>
  <c r="M1633" i="1"/>
  <c r="L1633" i="1"/>
  <c r="K1633" i="1"/>
  <c r="N1632" i="1"/>
  <c r="M1632" i="1"/>
  <c r="L1632" i="1"/>
  <c r="K1632" i="1"/>
  <c r="N1631" i="1"/>
  <c r="M1631" i="1"/>
  <c r="L1631" i="1"/>
  <c r="K1631" i="1"/>
  <c r="N1630" i="1"/>
  <c r="M1630" i="1"/>
  <c r="L1630" i="1"/>
  <c r="K1630" i="1"/>
  <c r="N1629" i="1"/>
  <c r="M1629" i="1"/>
  <c r="L1629" i="1"/>
  <c r="K1629" i="1"/>
  <c r="N1628" i="1"/>
  <c r="M1628" i="1"/>
  <c r="L1628" i="1"/>
  <c r="K1628" i="1"/>
  <c r="N1627" i="1"/>
  <c r="M1627" i="1"/>
  <c r="L1627" i="1"/>
  <c r="K1627" i="1"/>
  <c r="N1626" i="1"/>
  <c r="M1626" i="1"/>
  <c r="L1626" i="1"/>
  <c r="K1626" i="1"/>
  <c r="N1625" i="1"/>
  <c r="M1625" i="1"/>
  <c r="L1625" i="1"/>
  <c r="K1625" i="1"/>
  <c r="N1624" i="1"/>
  <c r="M1624" i="1"/>
  <c r="L1624" i="1"/>
  <c r="K1624" i="1"/>
  <c r="N1623" i="1"/>
  <c r="M1623" i="1"/>
  <c r="L1623" i="1"/>
  <c r="K1623" i="1"/>
  <c r="N1622" i="1"/>
  <c r="M1622" i="1"/>
  <c r="L1622" i="1"/>
  <c r="K1622" i="1"/>
  <c r="N1621" i="1"/>
  <c r="M1621" i="1"/>
  <c r="L1621" i="1"/>
  <c r="K1621" i="1"/>
  <c r="N1620" i="1"/>
  <c r="M1620" i="1"/>
  <c r="L1620" i="1"/>
  <c r="K1620" i="1"/>
  <c r="N1619" i="1"/>
  <c r="M1619" i="1"/>
  <c r="L1619" i="1"/>
  <c r="K1619" i="1"/>
  <c r="N1618" i="1"/>
  <c r="M1618" i="1"/>
  <c r="L1618" i="1"/>
  <c r="K1618" i="1"/>
  <c r="N1617" i="1"/>
  <c r="M1617" i="1"/>
  <c r="L1617" i="1"/>
  <c r="K1617" i="1"/>
  <c r="N1616" i="1"/>
  <c r="M1616" i="1"/>
  <c r="L1616" i="1"/>
  <c r="K1616" i="1"/>
  <c r="N1615" i="1"/>
  <c r="M1615" i="1"/>
  <c r="L1615" i="1"/>
  <c r="K1615" i="1"/>
  <c r="N1614" i="1"/>
  <c r="M1614" i="1"/>
  <c r="L1614" i="1"/>
  <c r="K1614" i="1"/>
  <c r="N1613" i="1"/>
  <c r="M1613" i="1"/>
  <c r="L1613" i="1"/>
  <c r="K1613" i="1"/>
  <c r="N1612" i="1"/>
  <c r="M1612" i="1"/>
  <c r="L1612" i="1"/>
  <c r="K1612" i="1"/>
  <c r="N1611" i="1"/>
  <c r="M1611" i="1"/>
  <c r="L1611" i="1"/>
  <c r="K1611" i="1"/>
  <c r="N1610" i="1"/>
  <c r="M1610" i="1"/>
  <c r="L1610" i="1"/>
  <c r="K1610" i="1"/>
  <c r="N1609" i="1"/>
  <c r="M1609" i="1"/>
  <c r="L1609" i="1"/>
  <c r="K1609" i="1"/>
  <c r="N1608" i="1"/>
  <c r="M1608" i="1"/>
  <c r="L1608" i="1"/>
  <c r="K1608" i="1"/>
  <c r="N1607" i="1"/>
  <c r="M1607" i="1"/>
  <c r="L1607" i="1"/>
  <c r="K1607" i="1"/>
  <c r="N1606" i="1"/>
  <c r="M1606" i="1"/>
  <c r="L1606" i="1"/>
  <c r="K1606" i="1"/>
  <c r="N1605" i="1"/>
  <c r="M1605" i="1"/>
  <c r="L1605" i="1"/>
  <c r="K1605" i="1"/>
  <c r="N1604" i="1"/>
  <c r="M1604" i="1"/>
  <c r="L1604" i="1"/>
  <c r="K1604" i="1"/>
  <c r="N1603" i="1"/>
  <c r="M1603" i="1"/>
  <c r="L1603" i="1"/>
  <c r="K1603" i="1"/>
  <c r="N1602" i="1"/>
  <c r="M1602" i="1"/>
  <c r="L1602" i="1"/>
  <c r="K1602" i="1"/>
  <c r="N1601" i="1"/>
  <c r="M1601" i="1"/>
  <c r="L1601" i="1"/>
  <c r="K1601" i="1"/>
  <c r="N1600" i="1"/>
  <c r="M1600" i="1"/>
  <c r="L1600" i="1"/>
  <c r="K1600" i="1"/>
  <c r="N1599" i="1"/>
  <c r="M1599" i="1"/>
  <c r="L1599" i="1"/>
  <c r="K1599" i="1"/>
  <c r="N1598" i="1"/>
  <c r="M1598" i="1"/>
  <c r="L1598" i="1"/>
  <c r="K1598" i="1"/>
  <c r="N1597" i="1"/>
  <c r="M1597" i="1"/>
  <c r="L1597" i="1"/>
  <c r="K1597" i="1"/>
  <c r="N1596" i="1"/>
  <c r="M1596" i="1"/>
  <c r="L1596" i="1"/>
  <c r="K1596" i="1"/>
  <c r="N1595" i="1"/>
  <c r="M1595" i="1"/>
  <c r="L1595" i="1"/>
  <c r="K1595" i="1"/>
  <c r="N1594" i="1"/>
  <c r="M1594" i="1"/>
  <c r="L1594" i="1"/>
  <c r="K1594" i="1"/>
  <c r="N1593" i="1"/>
  <c r="M1593" i="1"/>
  <c r="L1593" i="1"/>
  <c r="K1593" i="1"/>
  <c r="N1592" i="1"/>
  <c r="M1592" i="1"/>
  <c r="L1592" i="1"/>
  <c r="K1592" i="1"/>
  <c r="N1591" i="1"/>
  <c r="M1591" i="1"/>
  <c r="L1591" i="1"/>
  <c r="K1591" i="1"/>
  <c r="N1590" i="1"/>
  <c r="M1590" i="1"/>
  <c r="L1590" i="1"/>
  <c r="K1590" i="1"/>
  <c r="N1589" i="1"/>
  <c r="M1589" i="1"/>
  <c r="L1589" i="1"/>
  <c r="K1589" i="1"/>
  <c r="N1588" i="1"/>
  <c r="M1588" i="1"/>
  <c r="L1588" i="1"/>
  <c r="K1588" i="1"/>
  <c r="N1587" i="1"/>
  <c r="M1587" i="1"/>
  <c r="L1587" i="1"/>
  <c r="K1587" i="1"/>
  <c r="N1586" i="1"/>
  <c r="M1586" i="1"/>
  <c r="L1586" i="1"/>
  <c r="K1586" i="1"/>
  <c r="N1585" i="1"/>
  <c r="M1585" i="1"/>
  <c r="L1585" i="1"/>
  <c r="K1585" i="1"/>
  <c r="N1584" i="1"/>
  <c r="M1584" i="1"/>
  <c r="L1584" i="1"/>
  <c r="K1584" i="1"/>
  <c r="N1583" i="1"/>
  <c r="M1583" i="1"/>
  <c r="L1583" i="1"/>
  <c r="K1583" i="1"/>
  <c r="N1582" i="1"/>
  <c r="M1582" i="1"/>
  <c r="L1582" i="1"/>
  <c r="K1582" i="1"/>
  <c r="N1581" i="1"/>
  <c r="M1581" i="1"/>
  <c r="L1581" i="1"/>
  <c r="K1581" i="1"/>
  <c r="N1580" i="1"/>
  <c r="M1580" i="1"/>
  <c r="L1580" i="1"/>
  <c r="K1580" i="1"/>
  <c r="N1579" i="1"/>
  <c r="M1579" i="1"/>
  <c r="L1579" i="1"/>
  <c r="K1579" i="1"/>
  <c r="N1578" i="1"/>
  <c r="M1578" i="1"/>
  <c r="L1578" i="1"/>
  <c r="K1578" i="1"/>
  <c r="N1577" i="1"/>
  <c r="M1577" i="1"/>
  <c r="L1577" i="1"/>
  <c r="K1577" i="1"/>
  <c r="N1576" i="1"/>
  <c r="M1576" i="1"/>
  <c r="L1576" i="1"/>
  <c r="K1576" i="1"/>
  <c r="N1575" i="1"/>
  <c r="M1575" i="1"/>
  <c r="L1575" i="1"/>
  <c r="K1575" i="1"/>
  <c r="N1574" i="1"/>
  <c r="M1574" i="1"/>
  <c r="L1574" i="1"/>
  <c r="K1574" i="1"/>
  <c r="N1573" i="1"/>
  <c r="M1573" i="1"/>
  <c r="L1573" i="1"/>
  <c r="K1573" i="1"/>
  <c r="N1572" i="1"/>
  <c r="M1572" i="1"/>
  <c r="L1572" i="1"/>
  <c r="K1572" i="1"/>
  <c r="N1571" i="1"/>
  <c r="M1571" i="1"/>
  <c r="L1571" i="1"/>
  <c r="K1571" i="1"/>
  <c r="N1570" i="1"/>
  <c r="M1570" i="1"/>
  <c r="L1570" i="1"/>
  <c r="K1570" i="1"/>
  <c r="N1569" i="1"/>
  <c r="M1569" i="1"/>
  <c r="L1569" i="1"/>
  <c r="K1569" i="1"/>
  <c r="N1568" i="1"/>
  <c r="M1568" i="1"/>
  <c r="L1568" i="1"/>
  <c r="K1568" i="1"/>
  <c r="N1567" i="1"/>
  <c r="M1567" i="1"/>
  <c r="L1567" i="1"/>
  <c r="K1567" i="1"/>
  <c r="N1566" i="1"/>
  <c r="M1566" i="1"/>
  <c r="L1566" i="1"/>
  <c r="K1566" i="1"/>
  <c r="N1565" i="1"/>
  <c r="M1565" i="1"/>
  <c r="L1565" i="1"/>
  <c r="K1565" i="1"/>
  <c r="N1564" i="1"/>
  <c r="M1564" i="1"/>
  <c r="L1564" i="1"/>
  <c r="K1564" i="1"/>
  <c r="N1563" i="1"/>
  <c r="M1563" i="1"/>
  <c r="L1563" i="1"/>
  <c r="K1563" i="1"/>
  <c r="N1562" i="1"/>
  <c r="M1562" i="1"/>
  <c r="L1562" i="1"/>
  <c r="K1562" i="1"/>
  <c r="N1561" i="1"/>
  <c r="M1561" i="1"/>
  <c r="L1561" i="1"/>
  <c r="K1561" i="1"/>
  <c r="N1560" i="1"/>
  <c r="M1560" i="1"/>
  <c r="L1560" i="1"/>
  <c r="K1560" i="1"/>
  <c r="N1559" i="1"/>
  <c r="M1559" i="1"/>
  <c r="L1559" i="1"/>
  <c r="K1559" i="1"/>
  <c r="N1558" i="1"/>
  <c r="M1558" i="1"/>
  <c r="L1558" i="1"/>
  <c r="K1558" i="1"/>
  <c r="N1557" i="1"/>
  <c r="M1557" i="1"/>
  <c r="L1557" i="1"/>
  <c r="K1557" i="1"/>
  <c r="N1556" i="1"/>
  <c r="M1556" i="1"/>
  <c r="L1556" i="1"/>
  <c r="K1556" i="1"/>
  <c r="N1555" i="1"/>
  <c r="M1555" i="1"/>
  <c r="L1555" i="1"/>
  <c r="K1555" i="1"/>
  <c r="N1554" i="1"/>
  <c r="M1554" i="1"/>
  <c r="L1554" i="1"/>
  <c r="K1554" i="1"/>
  <c r="N1553" i="1"/>
  <c r="M1553" i="1"/>
  <c r="L1553" i="1"/>
  <c r="K1553" i="1"/>
  <c r="N1552" i="1"/>
  <c r="M1552" i="1"/>
  <c r="L1552" i="1"/>
  <c r="K1552" i="1"/>
  <c r="N1551" i="1"/>
  <c r="M1551" i="1"/>
  <c r="L1551" i="1"/>
  <c r="K1551" i="1"/>
  <c r="N1550" i="1"/>
  <c r="M1550" i="1"/>
  <c r="L1550" i="1"/>
  <c r="K1550" i="1"/>
  <c r="N1549" i="1"/>
  <c r="M1549" i="1"/>
  <c r="L1549" i="1"/>
  <c r="K1549" i="1"/>
  <c r="N1548" i="1"/>
  <c r="M1548" i="1"/>
  <c r="L1548" i="1"/>
  <c r="K1548" i="1"/>
  <c r="N1547" i="1"/>
  <c r="M1547" i="1"/>
  <c r="L1547" i="1"/>
  <c r="K1547" i="1"/>
  <c r="N1546" i="1"/>
  <c r="M1546" i="1"/>
  <c r="L1546" i="1"/>
  <c r="K1546" i="1"/>
  <c r="N1545" i="1"/>
  <c r="M1545" i="1"/>
  <c r="L1545" i="1"/>
  <c r="K1545" i="1"/>
  <c r="N1544" i="1"/>
  <c r="M1544" i="1"/>
  <c r="L1544" i="1"/>
  <c r="K1544" i="1"/>
  <c r="N1543" i="1"/>
  <c r="M1543" i="1"/>
  <c r="L1543" i="1"/>
  <c r="K1543" i="1"/>
  <c r="N1542" i="1"/>
  <c r="M1542" i="1"/>
  <c r="L1542" i="1"/>
  <c r="K1542" i="1"/>
  <c r="N1541" i="1"/>
  <c r="M1541" i="1"/>
  <c r="L1541" i="1"/>
  <c r="K1541" i="1"/>
  <c r="N1540" i="1"/>
  <c r="M1540" i="1"/>
  <c r="L1540" i="1"/>
  <c r="K1540" i="1"/>
  <c r="N1539" i="1"/>
  <c r="M1539" i="1"/>
  <c r="L1539" i="1"/>
  <c r="K1539" i="1"/>
  <c r="N1538" i="1"/>
  <c r="M1538" i="1"/>
  <c r="L1538" i="1"/>
  <c r="K1538" i="1"/>
  <c r="N1537" i="1"/>
  <c r="M1537" i="1"/>
  <c r="L1537" i="1"/>
  <c r="K1537" i="1"/>
  <c r="N1536" i="1"/>
  <c r="M1536" i="1"/>
  <c r="L1536" i="1"/>
  <c r="K1536" i="1"/>
  <c r="N1535" i="1"/>
  <c r="M1535" i="1"/>
  <c r="L1535" i="1"/>
  <c r="K1535" i="1"/>
  <c r="N1534" i="1"/>
  <c r="M1534" i="1"/>
  <c r="L1534" i="1"/>
  <c r="K1534" i="1"/>
  <c r="N1533" i="1"/>
  <c r="M1533" i="1"/>
  <c r="L1533" i="1"/>
  <c r="K1533" i="1"/>
  <c r="N1532" i="1"/>
  <c r="M1532" i="1"/>
  <c r="L1532" i="1"/>
  <c r="K1532" i="1"/>
  <c r="N1531" i="1"/>
  <c r="M1531" i="1"/>
  <c r="L1531" i="1"/>
  <c r="K1531" i="1"/>
  <c r="N1530" i="1"/>
  <c r="M1530" i="1"/>
  <c r="L1530" i="1"/>
  <c r="K1530" i="1"/>
  <c r="N1529" i="1"/>
  <c r="M1529" i="1"/>
  <c r="L1529" i="1"/>
  <c r="K1529" i="1"/>
  <c r="N1528" i="1"/>
  <c r="M1528" i="1"/>
  <c r="L1528" i="1"/>
  <c r="K1528" i="1"/>
  <c r="N1527" i="1"/>
  <c r="M1527" i="1"/>
  <c r="L1527" i="1"/>
  <c r="K1527" i="1"/>
  <c r="N1526" i="1"/>
  <c r="M1526" i="1"/>
  <c r="L1526" i="1"/>
  <c r="K1526" i="1"/>
  <c r="N1525" i="1"/>
  <c r="M1525" i="1"/>
  <c r="L1525" i="1"/>
  <c r="K1525" i="1"/>
  <c r="N1524" i="1"/>
  <c r="M1524" i="1"/>
  <c r="L1524" i="1"/>
  <c r="K1524" i="1"/>
  <c r="N1523" i="1"/>
  <c r="M1523" i="1"/>
  <c r="L1523" i="1"/>
  <c r="K1523" i="1"/>
  <c r="N1522" i="1"/>
  <c r="M1522" i="1"/>
  <c r="L1522" i="1"/>
  <c r="K1522" i="1"/>
  <c r="N1521" i="1"/>
  <c r="M1521" i="1"/>
  <c r="L1521" i="1"/>
  <c r="K1521" i="1"/>
  <c r="N1520" i="1"/>
  <c r="M1520" i="1"/>
  <c r="L1520" i="1"/>
  <c r="K1520" i="1"/>
  <c r="N1519" i="1"/>
  <c r="M1519" i="1"/>
  <c r="L1519" i="1"/>
  <c r="K1519" i="1"/>
  <c r="N1518" i="1"/>
  <c r="M1518" i="1"/>
  <c r="L1518" i="1"/>
  <c r="K1518" i="1"/>
  <c r="N1517" i="1"/>
  <c r="M1517" i="1"/>
  <c r="L1517" i="1"/>
  <c r="K1517" i="1"/>
  <c r="N1516" i="1"/>
  <c r="M1516" i="1"/>
  <c r="L1516" i="1"/>
  <c r="K1516" i="1"/>
  <c r="N1515" i="1"/>
  <c r="M1515" i="1"/>
  <c r="L1515" i="1"/>
  <c r="K1515" i="1"/>
  <c r="N1514" i="1"/>
  <c r="M1514" i="1"/>
  <c r="L1514" i="1"/>
  <c r="K1514" i="1"/>
  <c r="N1513" i="1"/>
  <c r="M1513" i="1"/>
  <c r="L1513" i="1"/>
  <c r="K1513" i="1"/>
  <c r="N1512" i="1"/>
  <c r="M1512" i="1"/>
  <c r="L1512" i="1"/>
  <c r="K1512" i="1"/>
  <c r="N1511" i="1"/>
  <c r="M1511" i="1"/>
  <c r="L1511" i="1"/>
  <c r="K1511" i="1"/>
  <c r="N1510" i="1"/>
  <c r="M1510" i="1"/>
  <c r="L1510" i="1"/>
  <c r="K1510" i="1"/>
  <c r="N1509" i="1"/>
  <c r="M1509" i="1"/>
  <c r="L1509" i="1"/>
  <c r="K1509" i="1"/>
  <c r="N1508" i="1"/>
  <c r="M1508" i="1"/>
  <c r="L1508" i="1"/>
  <c r="K1508" i="1"/>
  <c r="N1507" i="1"/>
  <c r="M1507" i="1"/>
  <c r="L1507" i="1"/>
  <c r="K1507" i="1"/>
  <c r="N1506" i="1"/>
  <c r="M1506" i="1"/>
  <c r="L1506" i="1"/>
  <c r="K1506" i="1"/>
  <c r="N1505" i="1"/>
  <c r="M1505" i="1"/>
  <c r="L1505" i="1"/>
  <c r="K1505" i="1"/>
  <c r="N1504" i="1"/>
  <c r="M1504" i="1"/>
  <c r="L1504" i="1"/>
  <c r="K1504" i="1"/>
  <c r="N1503" i="1"/>
  <c r="M1503" i="1"/>
  <c r="L1503" i="1"/>
  <c r="K1503" i="1"/>
  <c r="N1502" i="1"/>
  <c r="M1502" i="1"/>
  <c r="L1502" i="1"/>
  <c r="K1502" i="1"/>
  <c r="N1501" i="1"/>
  <c r="M1501" i="1"/>
  <c r="L1501" i="1"/>
  <c r="K1501" i="1"/>
  <c r="N1500" i="1"/>
  <c r="M1500" i="1"/>
  <c r="L1500" i="1"/>
  <c r="K1500" i="1"/>
  <c r="N1499" i="1"/>
  <c r="M1499" i="1"/>
  <c r="L1499" i="1"/>
  <c r="K1499" i="1"/>
  <c r="N1498" i="1"/>
  <c r="M1498" i="1"/>
  <c r="L1498" i="1"/>
  <c r="K1498" i="1"/>
  <c r="N1497" i="1"/>
  <c r="M1497" i="1"/>
  <c r="L1497" i="1"/>
  <c r="K1497" i="1"/>
  <c r="N1496" i="1"/>
  <c r="M1496" i="1"/>
  <c r="L1496" i="1"/>
  <c r="K1496" i="1"/>
  <c r="N1495" i="1"/>
  <c r="M1495" i="1"/>
  <c r="L1495" i="1"/>
  <c r="K1495" i="1"/>
  <c r="N1494" i="1"/>
  <c r="M1494" i="1"/>
  <c r="L1494" i="1"/>
  <c r="K1494" i="1"/>
  <c r="N1493" i="1"/>
  <c r="M1493" i="1"/>
  <c r="L1493" i="1"/>
  <c r="K1493" i="1"/>
  <c r="N1492" i="1"/>
  <c r="M1492" i="1"/>
  <c r="L1492" i="1"/>
  <c r="K1492" i="1"/>
  <c r="N1491" i="1"/>
  <c r="M1491" i="1"/>
  <c r="L1491" i="1"/>
  <c r="K1491" i="1"/>
  <c r="N1490" i="1"/>
  <c r="M1490" i="1"/>
  <c r="L1490" i="1"/>
  <c r="K1490" i="1"/>
  <c r="N1489" i="1"/>
  <c r="M1489" i="1"/>
  <c r="L1489" i="1"/>
  <c r="K1489" i="1"/>
  <c r="N1488" i="1"/>
  <c r="M1488" i="1"/>
  <c r="L1488" i="1"/>
  <c r="K1488" i="1"/>
  <c r="N1487" i="1"/>
  <c r="M1487" i="1"/>
  <c r="L1487" i="1"/>
  <c r="K1487" i="1"/>
  <c r="N1486" i="1"/>
  <c r="M1486" i="1"/>
  <c r="L1486" i="1"/>
  <c r="K1486" i="1"/>
  <c r="N1485" i="1"/>
  <c r="M1485" i="1"/>
  <c r="L1485" i="1"/>
  <c r="K1485" i="1"/>
  <c r="N1484" i="1"/>
  <c r="M1484" i="1"/>
  <c r="L1484" i="1"/>
  <c r="K1484" i="1"/>
  <c r="N1483" i="1"/>
  <c r="M1483" i="1"/>
  <c r="L1483" i="1"/>
  <c r="K1483" i="1"/>
  <c r="N1482" i="1"/>
  <c r="M1482" i="1"/>
  <c r="L1482" i="1"/>
  <c r="K1482" i="1"/>
  <c r="N1481" i="1"/>
  <c r="M1481" i="1"/>
  <c r="L1481" i="1"/>
  <c r="K1481" i="1"/>
  <c r="N1480" i="1"/>
  <c r="M1480" i="1"/>
  <c r="L1480" i="1"/>
  <c r="K1480" i="1"/>
  <c r="N1479" i="1"/>
  <c r="M1479" i="1"/>
  <c r="L1479" i="1"/>
  <c r="K1479" i="1"/>
  <c r="N1478" i="1"/>
  <c r="M1478" i="1"/>
  <c r="L1478" i="1"/>
  <c r="K1478" i="1"/>
  <c r="N1477" i="1"/>
  <c r="M1477" i="1"/>
  <c r="L1477" i="1"/>
  <c r="K1477" i="1"/>
  <c r="N1476" i="1"/>
  <c r="M1476" i="1"/>
  <c r="L1476" i="1"/>
  <c r="K1476" i="1"/>
  <c r="N1475" i="1"/>
  <c r="M1475" i="1"/>
  <c r="L1475" i="1"/>
  <c r="K1475" i="1"/>
  <c r="N1474" i="1"/>
  <c r="M1474" i="1"/>
  <c r="L1474" i="1"/>
  <c r="K1474" i="1"/>
  <c r="N1473" i="1"/>
  <c r="M1473" i="1"/>
  <c r="L1473" i="1"/>
  <c r="K1473" i="1"/>
  <c r="N1472" i="1"/>
  <c r="M1472" i="1"/>
  <c r="L1472" i="1"/>
  <c r="K1472" i="1"/>
  <c r="N1471" i="1"/>
  <c r="M1471" i="1"/>
  <c r="L1471" i="1"/>
  <c r="K1471" i="1"/>
  <c r="N1470" i="1"/>
  <c r="M1470" i="1"/>
  <c r="L1470" i="1"/>
  <c r="K1470" i="1"/>
  <c r="N1469" i="1"/>
  <c r="M1469" i="1"/>
  <c r="L1469" i="1"/>
  <c r="K1469" i="1"/>
  <c r="N1468" i="1"/>
  <c r="M1468" i="1"/>
  <c r="L1468" i="1"/>
  <c r="K1468" i="1"/>
  <c r="N1467" i="1"/>
  <c r="M1467" i="1"/>
  <c r="L1467" i="1"/>
  <c r="K1467" i="1"/>
  <c r="N1466" i="1"/>
  <c r="M1466" i="1"/>
  <c r="L1466" i="1"/>
  <c r="K1466" i="1"/>
  <c r="N1465" i="1"/>
  <c r="M1465" i="1"/>
  <c r="L1465" i="1"/>
  <c r="K1465" i="1"/>
  <c r="N1464" i="1"/>
  <c r="M1464" i="1"/>
  <c r="L1464" i="1"/>
  <c r="K1464" i="1"/>
  <c r="N1463" i="1"/>
  <c r="M1463" i="1"/>
  <c r="L1463" i="1"/>
  <c r="K1463" i="1"/>
  <c r="N1462" i="1"/>
  <c r="M1462" i="1"/>
  <c r="L1462" i="1"/>
  <c r="K1462" i="1"/>
  <c r="N1461" i="1"/>
  <c r="M1461" i="1"/>
  <c r="L1461" i="1"/>
  <c r="K1461" i="1"/>
  <c r="N1460" i="1"/>
  <c r="M1460" i="1"/>
  <c r="L1460" i="1"/>
  <c r="K1460" i="1"/>
  <c r="N1459" i="1"/>
  <c r="M1459" i="1"/>
  <c r="L1459" i="1"/>
  <c r="K1459" i="1"/>
  <c r="N1458" i="1"/>
  <c r="M1458" i="1"/>
  <c r="L1458" i="1"/>
  <c r="K1458" i="1"/>
  <c r="N1457" i="1"/>
  <c r="M1457" i="1"/>
  <c r="L1457" i="1"/>
  <c r="K1457" i="1"/>
  <c r="N1456" i="1"/>
  <c r="M1456" i="1"/>
  <c r="L1456" i="1"/>
  <c r="K1456" i="1"/>
  <c r="N1455" i="1"/>
  <c r="M1455" i="1"/>
  <c r="L1455" i="1"/>
  <c r="K1455" i="1"/>
  <c r="N1454" i="1"/>
  <c r="M1454" i="1"/>
  <c r="L1454" i="1"/>
  <c r="K1454" i="1"/>
  <c r="N1453" i="1"/>
  <c r="M1453" i="1"/>
  <c r="L1453" i="1"/>
  <c r="K1453" i="1"/>
  <c r="N1452" i="1"/>
  <c r="M1452" i="1"/>
  <c r="L1452" i="1"/>
  <c r="K1452" i="1"/>
  <c r="N1451" i="1"/>
  <c r="M1451" i="1"/>
  <c r="L1451" i="1"/>
  <c r="K1451" i="1"/>
  <c r="N1450" i="1"/>
  <c r="M1450" i="1"/>
  <c r="L1450" i="1"/>
  <c r="K1450" i="1"/>
  <c r="N1449" i="1"/>
  <c r="M1449" i="1"/>
  <c r="L1449" i="1"/>
  <c r="K1449" i="1"/>
  <c r="N1448" i="1"/>
  <c r="M1448" i="1"/>
  <c r="L1448" i="1"/>
  <c r="K1448" i="1"/>
  <c r="N1447" i="1"/>
  <c r="M1447" i="1"/>
  <c r="L1447" i="1"/>
  <c r="K1447" i="1"/>
  <c r="N1446" i="1"/>
  <c r="M1446" i="1"/>
  <c r="L1446" i="1"/>
  <c r="K1446" i="1"/>
  <c r="N1445" i="1"/>
  <c r="M1445" i="1"/>
  <c r="L1445" i="1"/>
  <c r="K1445" i="1"/>
  <c r="N1444" i="1"/>
  <c r="M1444" i="1"/>
  <c r="L1444" i="1"/>
  <c r="K1444" i="1"/>
  <c r="N1443" i="1"/>
  <c r="M1443" i="1"/>
  <c r="L1443" i="1"/>
  <c r="K1443" i="1"/>
  <c r="N1442" i="1"/>
  <c r="M1442" i="1"/>
  <c r="L1442" i="1"/>
  <c r="K1442" i="1"/>
  <c r="N1441" i="1"/>
  <c r="M1441" i="1"/>
  <c r="L1441" i="1"/>
  <c r="K1441" i="1"/>
  <c r="N1440" i="1"/>
  <c r="M1440" i="1"/>
  <c r="L1440" i="1"/>
  <c r="K1440" i="1"/>
  <c r="N1439" i="1"/>
  <c r="M1439" i="1"/>
  <c r="L1439" i="1"/>
  <c r="K1439" i="1"/>
  <c r="N1438" i="1"/>
  <c r="M1438" i="1"/>
  <c r="L1438" i="1"/>
  <c r="K1438" i="1"/>
  <c r="N1437" i="1"/>
  <c r="M1437" i="1"/>
  <c r="L1437" i="1"/>
  <c r="K1437" i="1"/>
  <c r="N1436" i="1"/>
  <c r="M1436" i="1"/>
  <c r="L1436" i="1"/>
  <c r="K1436" i="1"/>
  <c r="N1435" i="1"/>
  <c r="M1435" i="1"/>
  <c r="L1435" i="1"/>
  <c r="K1435" i="1"/>
  <c r="N1434" i="1"/>
  <c r="M1434" i="1"/>
  <c r="L1434" i="1"/>
  <c r="K1434" i="1"/>
  <c r="N1433" i="1"/>
  <c r="M1433" i="1"/>
  <c r="L1433" i="1"/>
  <c r="K1433" i="1"/>
  <c r="N1432" i="1"/>
  <c r="M1432" i="1"/>
  <c r="L1432" i="1"/>
  <c r="K1432" i="1"/>
  <c r="N1431" i="1"/>
  <c r="M1431" i="1"/>
  <c r="L1431" i="1"/>
  <c r="K1431" i="1"/>
  <c r="N1430" i="1"/>
  <c r="M1430" i="1"/>
  <c r="L1430" i="1"/>
  <c r="K1430" i="1"/>
  <c r="N1429" i="1"/>
  <c r="M1429" i="1"/>
  <c r="L1429" i="1"/>
  <c r="K1429" i="1"/>
  <c r="N1428" i="1"/>
  <c r="M1428" i="1"/>
  <c r="L1428" i="1"/>
  <c r="K1428" i="1"/>
  <c r="N1427" i="1"/>
  <c r="M1427" i="1"/>
  <c r="L1427" i="1"/>
  <c r="K1427" i="1"/>
  <c r="N1426" i="1"/>
  <c r="M1426" i="1"/>
  <c r="L1426" i="1"/>
  <c r="K1426" i="1"/>
  <c r="N1425" i="1"/>
  <c r="M1425" i="1"/>
  <c r="L1425" i="1"/>
  <c r="K1425" i="1"/>
  <c r="N1424" i="1"/>
  <c r="M1424" i="1"/>
  <c r="L1424" i="1"/>
  <c r="K1424" i="1"/>
  <c r="N1423" i="1"/>
  <c r="M1423" i="1"/>
  <c r="L1423" i="1"/>
  <c r="K1423" i="1"/>
  <c r="N1422" i="1"/>
  <c r="M1422" i="1"/>
  <c r="L1422" i="1"/>
  <c r="K1422" i="1"/>
  <c r="N1421" i="1"/>
  <c r="M1421" i="1"/>
  <c r="L1421" i="1"/>
  <c r="K1421" i="1"/>
  <c r="N1420" i="1"/>
  <c r="M1420" i="1"/>
  <c r="L1420" i="1"/>
  <c r="K1420" i="1"/>
  <c r="N1419" i="1"/>
  <c r="M1419" i="1"/>
  <c r="L1419" i="1"/>
  <c r="K1419" i="1"/>
  <c r="N1418" i="1"/>
  <c r="M1418" i="1"/>
  <c r="L1418" i="1"/>
  <c r="K1418" i="1"/>
  <c r="N1417" i="1"/>
  <c r="M1417" i="1"/>
  <c r="L1417" i="1"/>
  <c r="K1417" i="1"/>
  <c r="N1416" i="1"/>
  <c r="M1416" i="1"/>
  <c r="L1416" i="1"/>
  <c r="K1416" i="1"/>
  <c r="N1415" i="1"/>
  <c r="M1415" i="1"/>
  <c r="L1415" i="1"/>
  <c r="K1415" i="1"/>
  <c r="N1414" i="1"/>
  <c r="M1414" i="1"/>
  <c r="L1414" i="1"/>
  <c r="K1414" i="1"/>
  <c r="N1413" i="1"/>
  <c r="M1413" i="1"/>
  <c r="L1413" i="1"/>
  <c r="K1413" i="1"/>
  <c r="N1412" i="1"/>
  <c r="M1412" i="1"/>
  <c r="L1412" i="1"/>
  <c r="K1412" i="1"/>
  <c r="N1411" i="1"/>
  <c r="M1411" i="1"/>
  <c r="L1411" i="1"/>
  <c r="K1411" i="1"/>
  <c r="N1410" i="1"/>
  <c r="M1410" i="1"/>
  <c r="L1410" i="1"/>
  <c r="K1410" i="1"/>
  <c r="N1409" i="1"/>
  <c r="M1409" i="1"/>
  <c r="L1409" i="1"/>
  <c r="K1409" i="1"/>
  <c r="N1408" i="1"/>
  <c r="M1408" i="1"/>
  <c r="L1408" i="1"/>
  <c r="K1408" i="1"/>
  <c r="N1407" i="1"/>
  <c r="M1407" i="1"/>
  <c r="L1407" i="1"/>
  <c r="K1407" i="1"/>
  <c r="N1406" i="1"/>
  <c r="M1406" i="1"/>
  <c r="L1406" i="1"/>
  <c r="K1406" i="1"/>
  <c r="N1405" i="1"/>
  <c r="M1405" i="1"/>
  <c r="L1405" i="1"/>
  <c r="K1405" i="1"/>
  <c r="N1404" i="1"/>
  <c r="M1404" i="1"/>
  <c r="L1404" i="1"/>
  <c r="K1404" i="1"/>
  <c r="N1403" i="1"/>
  <c r="M1403" i="1"/>
  <c r="L1403" i="1"/>
  <c r="K1403" i="1"/>
  <c r="N1402" i="1"/>
  <c r="M1402" i="1"/>
  <c r="L1402" i="1"/>
  <c r="K1402" i="1"/>
  <c r="N1401" i="1"/>
  <c r="M1401" i="1"/>
  <c r="L1401" i="1"/>
  <c r="K1401" i="1"/>
  <c r="N1400" i="1"/>
  <c r="M1400" i="1"/>
  <c r="L1400" i="1"/>
  <c r="K1400" i="1"/>
  <c r="N1399" i="1"/>
  <c r="M1399" i="1"/>
  <c r="L1399" i="1"/>
  <c r="K1399" i="1"/>
  <c r="N1398" i="1"/>
  <c r="M1398" i="1"/>
  <c r="L1398" i="1"/>
  <c r="K1398" i="1"/>
  <c r="N1397" i="1"/>
  <c r="M1397" i="1"/>
  <c r="L1397" i="1"/>
  <c r="K1397" i="1"/>
  <c r="N1396" i="1"/>
  <c r="M1396" i="1"/>
  <c r="L1396" i="1"/>
  <c r="K1396" i="1"/>
  <c r="N1395" i="1"/>
  <c r="M1395" i="1"/>
  <c r="L1395" i="1"/>
  <c r="K1395" i="1"/>
  <c r="N1394" i="1"/>
  <c r="M1394" i="1"/>
  <c r="L1394" i="1"/>
  <c r="K1394" i="1"/>
  <c r="N1393" i="1"/>
  <c r="M1393" i="1"/>
  <c r="L1393" i="1"/>
  <c r="K1393" i="1"/>
  <c r="N1392" i="1"/>
  <c r="M1392" i="1"/>
  <c r="L1392" i="1"/>
  <c r="K1392" i="1"/>
  <c r="N1391" i="1"/>
  <c r="M1391" i="1"/>
  <c r="L1391" i="1"/>
  <c r="K1391" i="1"/>
  <c r="N1390" i="1"/>
  <c r="M1390" i="1"/>
  <c r="L1390" i="1"/>
  <c r="K1390" i="1"/>
  <c r="N1389" i="1"/>
  <c r="M1389" i="1"/>
  <c r="L1389" i="1"/>
  <c r="K1389" i="1"/>
  <c r="N1388" i="1"/>
  <c r="M1388" i="1"/>
  <c r="L1388" i="1"/>
  <c r="K1388" i="1"/>
  <c r="N1387" i="1"/>
  <c r="M1387" i="1"/>
  <c r="L1387" i="1"/>
  <c r="K1387" i="1"/>
  <c r="N1386" i="1"/>
  <c r="M1386" i="1"/>
  <c r="L1386" i="1"/>
  <c r="K1386" i="1"/>
  <c r="N1385" i="1"/>
  <c r="M1385" i="1"/>
  <c r="L1385" i="1"/>
  <c r="K1385" i="1"/>
  <c r="N1384" i="1"/>
  <c r="M1384" i="1"/>
  <c r="L1384" i="1"/>
  <c r="K1384" i="1"/>
  <c r="N1383" i="1"/>
  <c r="M1383" i="1"/>
  <c r="L1383" i="1"/>
  <c r="K1383" i="1"/>
  <c r="N1382" i="1"/>
  <c r="M1382" i="1"/>
  <c r="L1382" i="1"/>
  <c r="K1382" i="1"/>
  <c r="N1381" i="1"/>
  <c r="M1381" i="1"/>
  <c r="L1381" i="1"/>
  <c r="K1381" i="1"/>
  <c r="N1380" i="1"/>
  <c r="M1380" i="1"/>
  <c r="L1380" i="1"/>
  <c r="K1380" i="1"/>
  <c r="N1379" i="1"/>
  <c r="M1379" i="1"/>
  <c r="L1379" i="1"/>
  <c r="K1379" i="1"/>
  <c r="N1378" i="1"/>
  <c r="M1378" i="1"/>
  <c r="L1378" i="1"/>
  <c r="K1378" i="1"/>
  <c r="N1377" i="1"/>
  <c r="M1377" i="1"/>
  <c r="L1377" i="1"/>
  <c r="K1377" i="1"/>
  <c r="N1376" i="1"/>
  <c r="M1376" i="1"/>
  <c r="L1376" i="1"/>
  <c r="K1376" i="1"/>
  <c r="N1375" i="1"/>
  <c r="M1375" i="1"/>
  <c r="L1375" i="1"/>
  <c r="K1375" i="1"/>
  <c r="N1374" i="1"/>
  <c r="M1374" i="1"/>
  <c r="L1374" i="1"/>
  <c r="K1374" i="1"/>
  <c r="N1373" i="1"/>
  <c r="M1373" i="1"/>
  <c r="L1373" i="1"/>
  <c r="K1373" i="1"/>
  <c r="N1372" i="1"/>
  <c r="M1372" i="1"/>
  <c r="L1372" i="1"/>
  <c r="K1372" i="1"/>
  <c r="N1371" i="1"/>
  <c r="M1371" i="1"/>
  <c r="L1371" i="1"/>
  <c r="K1371" i="1"/>
  <c r="N1370" i="1"/>
  <c r="M1370" i="1"/>
  <c r="L1370" i="1"/>
  <c r="K1370" i="1"/>
  <c r="N1369" i="1"/>
  <c r="M1369" i="1"/>
  <c r="L1369" i="1"/>
  <c r="K1369" i="1"/>
  <c r="N1368" i="1"/>
  <c r="M1368" i="1"/>
  <c r="L1368" i="1"/>
  <c r="K1368" i="1"/>
  <c r="N1367" i="1"/>
  <c r="M1367" i="1"/>
  <c r="L1367" i="1"/>
  <c r="K1367" i="1"/>
  <c r="N1366" i="1"/>
  <c r="M1366" i="1"/>
  <c r="L1366" i="1"/>
  <c r="K1366" i="1"/>
  <c r="N1365" i="1"/>
  <c r="M1365" i="1"/>
  <c r="L1365" i="1"/>
  <c r="K1365" i="1"/>
  <c r="N1364" i="1"/>
  <c r="M1364" i="1"/>
  <c r="L1364" i="1"/>
  <c r="K1364" i="1"/>
  <c r="N1363" i="1"/>
  <c r="M1363" i="1"/>
  <c r="L1363" i="1"/>
  <c r="K1363" i="1"/>
  <c r="N1362" i="1"/>
  <c r="M1362" i="1"/>
  <c r="L1362" i="1"/>
  <c r="K1362" i="1"/>
  <c r="N1361" i="1"/>
  <c r="M1361" i="1"/>
  <c r="L1361" i="1"/>
  <c r="K1361" i="1"/>
  <c r="N1360" i="1"/>
  <c r="M1360" i="1"/>
  <c r="L1360" i="1"/>
  <c r="K1360" i="1"/>
  <c r="N1359" i="1"/>
  <c r="M1359" i="1"/>
  <c r="L1359" i="1"/>
  <c r="K1359" i="1"/>
  <c r="N1358" i="1"/>
  <c r="M1358" i="1"/>
  <c r="L1358" i="1"/>
  <c r="K1358" i="1"/>
  <c r="N1357" i="1"/>
  <c r="M1357" i="1"/>
  <c r="L1357" i="1"/>
  <c r="K1357" i="1"/>
  <c r="N1356" i="1"/>
  <c r="M1356" i="1"/>
  <c r="L1356" i="1"/>
  <c r="K1356" i="1"/>
  <c r="N1355" i="1"/>
  <c r="M1355" i="1"/>
  <c r="L1355" i="1"/>
  <c r="K1355" i="1"/>
  <c r="N1354" i="1"/>
  <c r="M1354" i="1"/>
  <c r="L1354" i="1"/>
  <c r="K1354" i="1"/>
  <c r="N1353" i="1"/>
  <c r="M1353" i="1"/>
  <c r="L1353" i="1"/>
  <c r="K1353" i="1"/>
  <c r="N1352" i="1"/>
  <c r="M1352" i="1"/>
  <c r="L1352" i="1"/>
  <c r="K1352" i="1"/>
  <c r="N1351" i="1"/>
  <c r="M1351" i="1"/>
  <c r="L1351" i="1"/>
  <c r="K1351" i="1"/>
  <c r="N1350" i="1"/>
  <c r="M1350" i="1"/>
  <c r="L1350" i="1"/>
  <c r="K1350" i="1"/>
  <c r="N1349" i="1"/>
  <c r="M1349" i="1"/>
  <c r="L1349" i="1"/>
  <c r="K1349" i="1"/>
  <c r="N1348" i="1"/>
  <c r="M1348" i="1"/>
  <c r="L1348" i="1"/>
  <c r="K1348" i="1"/>
  <c r="N1347" i="1"/>
  <c r="M1347" i="1"/>
  <c r="L1347" i="1"/>
  <c r="K1347" i="1"/>
  <c r="N1346" i="1"/>
  <c r="M1346" i="1"/>
  <c r="L1346" i="1"/>
  <c r="K1346" i="1"/>
  <c r="N1345" i="1"/>
  <c r="M1345" i="1"/>
  <c r="L1345" i="1"/>
  <c r="K1345" i="1"/>
  <c r="N1344" i="1"/>
  <c r="M1344" i="1"/>
  <c r="L1344" i="1"/>
  <c r="K1344" i="1"/>
  <c r="N1343" i="1"/>
  <c r="M1343" i="1"/>
  <c r="L1343" i="1"/>
  <c r="K1343" i="1"/>
  <c r="N1342" i="1"/>
  <c r="M1342" i="1"/>
  <c r="L1342" i="1"/>
  <c r="K1342" i="1"/>
  <c r="N1341" i="1"/>
  <c r="M1341" i="1"/>
  <c r="L1341" i="1"/>
  <c r="K1341" i="1"/>
  <c r="N1340" i="1"/>
  <c r="M1340" i="1"/>
  <c r="L1340" i="1"/>
  <c r="K1340" i="1"/>
  <c r="N1339" i="1"/>
  <c r="M1339" i="1"/>
  <c r="L1339" i="1"/>
  <c r="K1339" i="1"/>
  <c r="N1338" i="1"/>
  <c r="M1338" i="1"/>
  <c r="L1338" i="1"/>
  <c r="K1338" i="1"/>
  <c r="N1337" i="1"/>
  <c r="M1337" i="1"/>
  <c r="L1337" i="1"/>
  <c r="K1337" i="1"/>
  <c r="N1336" i="1"/>
  <c r="M1336" i="1"/>
  <c r="L1336" i="1"/>
  <c r="K1336" i="1"/>
  <c r="N1335" i="1"/>
  <c r="M1335" i="1"/>
  <c r="L1335" i="1"/>
  <c r="K1335" i="1"/>
  <c r="N1334" i="1"/>
  <c r="M1334" i="1"/>
  <c r="L1334" i="1"/>
  <c r="K1334" i="1"/>
  <c r="N1333" i="1"/>
  <c r="M1333" i="1"/>
  <c r="L1333" i="1"/>
  <c r="K1333" i="1"/>
  <c r="N1332" i="1"/>
  <c r="M1332" i="1"/>
  <c r="L1332" i="1"/>
  <c r="K1332" i="1"/>
  <c r="N1331" i="1"/>
  <c r="M1331" i="1"/>
  <c r="L1331" i="1"/>
  <c r="K1331" i="1"/>
  <c r="N1330" i="1"/>
  <c r="M1330" i="1"/>
  <c r="L1330" i="1"/>
  <c r="K1330" i="1"/>
  <c r="N1329" i="1"/>
  <c r="M1329" i="1"/>
  <c r="L1329" i="1"/>
  <c r="K1329" i="1"/>
  <c r="N1328" i="1"/>
  <c r="M1328" i="1"/>
  <c r="L1328" i="1"/>
  <c r="K1328" i="1"/>
  <c r="N1327" i="1"/>
  <c r="M1327" i="1"/>
  <c r="L1327" i="1"/>
  <c r="K1327" i="1"/>
  <c r="N1326" i="1"/>
  <c r="M1326" i="1"/>
  <c r="L1326" i="1"/>
  <c r="K1326" i="1"/>
  <c r="N1325" i="1"/>
  <c r="M1325" i="1"/>
  <c r="L1325" i="1"/>
  <c r="K1325" i="1"/>
  <c r="N1324" i="1"/>
  <c r="M1324" i="1"/>
  <c r="L1324" i="1"/>
  <c r="K1324" i="1"/>
  <c r="N1323" i="1"/>
  <c r="M1323" i="1"/>
  <c r="L1323" i="1"/>
  <c r="K1323" i="1"/>
  <c r="N1322" i="1"/>
  <c r="M1322" i="1"/>
  <c r="L1322" i="1"/>
  <c r="K1322" i="1"/>
  <c r="N1321" i="1"/>
  <c r="M1321" i="1"/>
  <c r="L1321" i="1"/>
  <c r="K1321" i="1"/>
  <c r="N1320" i="1"/>
  <c r="M1320" i="1"/>
  <c r="L1320" i="1"/>
  <c r="K1320" i="1"/>
  <c r="N1319" i="1"/>
  <c r="M1319" i="1"/>
  <c r="L1319" i="1"/>
  <c r="K1319" i="1"/>
  <c r="N1318" i="1"/>
  <c r="M1318" i="1"/>
  <c r="L1318" i="1"/>
  <c r="K1318" i="1"/>
  <c r="N1317" i="1"/>
  <c r="M1317" i="1"/>
  <c r="L1317" i="1"/>
  <c r="K1317" i="1"/>
  <c r="N1316" i="1"/>
  <c r="M1316" i="1"/>
  <c r="L1316" i="1"/>
  <c r="K1316" i="1"/>
  <c r="N1315" i="1"/>
  <c r="M1315" i="1"/>
  <c r="L1315" i="1"/>
  <c r="K1315" i="1"/>
  <c r="N1314" i="1"/>
  <c r="M1314" i="1"/>
  <c r="L1314" i="1"/>
  <c r="K1314" i="1"/>
  <c r="N1313" i="1"/>
  <c r="M1313" i="1"/>
  <c r="L1313" i="1"/>
  <c r="K1313" i="1"/>
  <c r="N1312" i="1"/>
  <c r="M1312" i="1"/>
  <c r="L1312" i="1"/>
  <c r="K1312" i="1"/>
  <c r="N1311" i="1"/>
  <c r="M1311" i="1"/>
  <c r="L1311" i="1"/>
  <c r="K1311" i="1"/>
  <c r="N1310" i="1"/>
  <c r="M1310" i="1"/>
  <c r="L1310" i="1"/>
  <c r="K1310" i="1"/>
  <c r="N1309" i="1"/>
  <c r="M1309" i="1"/>
  <c r="L1309" i="1"/>
  <c r="K1309" i="1"/>
  <c r="N1308" i="1"/>
  <c r="M1308" i="1"/>
  <c r="L1308" i="1"/>
  <c r="K1308" i="1"/>
  <c r="N1307" i="1"/>
  <c r="M1307" i="1"/>
  <c r="L1307" i="1"/>
  <c r="K1307" i="1"/>
  <c r="N1306" i="1"/>
  <c r="M1306" i="1"/>
  <c r="L1306" i="1"/>
  <c r="K1306" i="1"/>
  <c r="N1305" i="1"/>
  <c r="M1305" i="1"/>
  <c r="L1305" i="1"/>
  <c r="K1305" i="1"/>
  <c r="N1304" i="1"/>
  <c r="M1304" i="1"/>
  <c r="L1304" i="1"/>
  <c r="K1304" i="1"/>
  <c r="N1303" i="1"/>
  <c r="M1303" i="1"/>
  <c r="L1303" i="1"/>
  <c r="K1303" i="1"/>
  <c r="N1302" i="1"/>
  <c r="M1302" i="1"/>
  <c r="L1302" i="1"/>
  <c r="K1302" i="1"/>
  <c r="N1301" i="1"/>
  <c r="M1301" i="1"/>
  <c r="L1301" i="1"/>
  <c r="K1301" i="1"/>
  <c r="N1300" i="1"/>
  <c r="M1300" i="1"/>
  <c r="L1300" i="1"/>
  <c r="K1300" i="1"/>
  <c r="N1299" i="1"/>
  <c r="M1299" i="1"/>
  <c r="L1299" i="1"/>
  <c r="K1299" i="1"/>
  <c r="N1298" i="1"/>
  <c r="M1298" i="1"/>
  <c r="L1298" i="1"/>
  <c r="K1298" i="1"/>
  <c r="N1297" i="1"/>
  <c r="M1297" i="1"/>
  <c r="L1297" i="1"/>
  <c r="K1297" i="1"/>
  <c r="N1296" i="1"/>
  <c r="M1296" i="1"/>
  <c r="L1296" i="1"/>
  <c r="K1296" i="1"/>
  <c r="N1295" i="1"/>
  <c r="M1295" i="1"/>
  <c r="L1295" i="1"/>
  <c r="K1295" i="1"/>
  <c r="N1294" i="1"/>
  <c r="M1294" i="1"/>
  <c r="L1294" i="1"/>
  <c r="K1294" i="1"/>
  <c r="N1293" i="1"/>
  <c r="M1293" i="1"/>
  <c r="L1293" i="1"/>
  <c r="K1293" i="1"/>
  <c r="N1292" i="1"/>
  <c r="M1292" i="1"/>
  <c r="L1292" i="1"/>
  <c r="K1292" i="1"/>
  <c r="N1291" i="1"/>
  <c r="M1291" i="1"/>
  <c r="L1291" i="1"/>
  <c r="K1291" i="1"/>
  <c r="N1290" i="1"/>
  <c r="M1290" i="1"/>
  <c r="L1290" i="1"/>
  <c r="K1290" i="1"/>
  <c r="N1289" i="1"/>
  <c r="M1289" i="1"/>
  <c r="L1289" i="1"/>
  <c r="K1289" i="1"/>
  <c r="N1288" i="1"/>
  <c r="M1288" i="1"/>
  <c r="L1288" i="1"/>
  <c r="K1288" i="1"/>
  <c r="N1287" i="1"/>
  <c r="M1287" i="1"/>
  <c r="L1287" i="1"/>
  <c r="K1287" i="1"/>
  <c r="N1286" i="1"/>
  <c r="M1286" i="1"/>
  <c r="L1286" i="1"/>
  <c r="K1286" i="1"/>
  <c r="N1285" i="1"/>
  <c r="M1285" i="1"/>
  <c r="L1285" i="1"/>
  <c r="K1285" i="1"/>
  <c r="N1284" i="1"/>
  <c r="M1284" i="1"/>
  <c r="L1284" i="1"/>
  <c r="K1284" i="1"/>
  <c r="N1283" i="1"/>
  <c r="M1283" i="1"/>
  <c r="L1283" i="1"/>
  <c r="K1283" i="1"/>
  <c r="N1282" i="1"/>
  <c r="M1282" i="1"/>
  <c r="L1282" i="1"/>
  <c r="K1282" i="1"/>
  <c r="N1281" i="1"/>
  <c r="M1281" i="1"/>
  <c r="L1281" i="1"/>
  <c r="K1281" i="1"/>
  <c r="N1280" i="1"/>
  <c r="M1280" i="1"/>
  <c r="L1280" i="1"/>
  <c r="K1280" i="1"/>
  <c r="N1279" i="1"/>
  <c r="M1279" i="1"/>
  <c r="L1279" i="1"/>
  <c r="K1279" i="1"/>
  <c r="N1278" i="1"/>
  <c r="M1278" i="1"/>
  <c r="L1278" i="1"/>
  <c r="K1278" i="1"/>
  <c r="N1277" i="1"/>
  <c r="M1277" i="1"/>
  <c r="L1277" i="1"/>
  <c r="K1277" i="1"/>
  <c r="N1276" i="1"/>
  <c r="M1276" i="1"/>
  <c r="L1276" i="1"/>
  <c r="K1276" i="1"/>
  <c r="N1275" i="1"/>
  <c r="M1275" i="1"/>
  <c r="L1275" i="1"/>
  <c r="K1275" i="1"/>
  <c r="N1274" i="1"/>
  <c r="M1274" i="1"/>
  <c r="L1274" i="1"/>
  <c r="K1274" i="1"/>
  <c r="N1273" i="1"/>
  <c r="M1273" i="1"/>
  <c r="L1273" i="1"/>
  <c r="K1273" i="1"/>
  <c r="N1272" i="1"/>
  <c r="M1272" i="1"/>
  <c r="L1272" i="1"/>
  <c r="K1272" i="1"/>
  <c r="N1271" i="1"/>
  <c r="M1271" i="1"/>
  <c r="L1271" i="1"/>
  <c r="K1271" i="1"/>
  <c r="N1270" i="1"/>
  <c r="M1270" i="1"/>
  <c r="L1270" i="1"/>
  <c r="K1270" i="1"/>
  <c r="N1269" i="1"/>
  <c r="M1269" i="1"/>
  <c r="L1269" i="1"/>
  <c r="K1269" i="1"/>
  <c r="N1268" i="1"/>
  <c r="M1268" i="1"/>
  <c r="L1268" i="1"/>
  <c r="K1268" i="1"/>
  <c r="N1267" i="1"/>
  <c r="M1267" i="1"/>
  <c r="L1267" i="1"/>
  <c r="K1267" i="1"/>
  <c r="N1266" i="1"/>
  <c r="M1266" i="1"/>
  <c r="L1266" i="1"/>
  <c r="K1266" i="1"/>
  <c r="N1265" i="1"/>
  <c r="M1265" i="1"/>
  <c r="L1265" i="1"/>
  <c r="K1265" i="1"/>
  <c r="N1264" i="1"/>
  <c r="M1264" i="1"/>
  <c r="L1264" i="1"/>
  <c r="K1264" i="1"/>
  <c r="N1263" i="1"/>
  <c r="M1263" i="1"/>
  <c r="L1263" i="1"/>
  <c r="K1263" i="1"/>
  <c r="N1262" i="1"/>
  <c r="M1262" i="1"/>
  <c r="L1262" i="1"/>
  <c r="K1262" i="1"/>
  <c r="N1261" i="1"/>
  <c r="M1261" i="1"/>
  <c r="L1261" i="1"/>
  <c r="K1261" i="1"/>
  <c r="N1260" i="1"/>
  <c r="M1260" i="1"/>
  <c r="L1260" i="1"/>
  <c r="K1260" i="1"/>
  <c r="N1259" i="1"/>
  <c r="M1259" i="1"/>
  <c r="L1259" i="1"/>
  <c r="K1259" i="1"/>
  <c r="N1258" i="1"/>
  <c r="M1258" i="1"/>
  <c r="L1258" i="1"/>
  <c r="K1258" i="1"/>
  <c r="N1257" i="1"/>
  <c r="M1257" i="1"/>
  <c r="L1257" i="1"/>
  <c r="K1257" i="1"/>
  <c r="N1256" i="1"/>
  <c r="M1256" i="1"/>
  <c r="L1256" i="1"/>
  <c r="K1256" i="1"/>
  <c r="N1255" i="1"/>
  <c r="M1255" i="1"/>
  <c r="L1255" i="1"/>
  <c r="K1255" i="1"/>
  <c r="N1254" i="1"/>
  <c r="M1254" i="1"/>
  <c r="L1254" i="1"/>
  <c r="K1254" i="1"/>
  <c r="N1253" i="1"/>
  <c r="M1253" i="1"/>
  <c r="L1253" i="1"/>
  <c r="K1253" i="1"/>
  <c r="N1252" i="1"/>
  <c r="M1252" i="1"/>
  <c r="L1252" i="1"/>
  <c r="K1252" i="1"/>
  <c r="N1251" i="1"/>
  <c r="M1251" i="1"/>
  <c r="L1251" i="1"/>
  <c r="K1251" i="1"/>
  <c r="N1250" i="1"/>
  <c r="M1250" i="1"/>
  <c r="L1250" i="1"/>
  <c r="K1250" i="1"/>
  <c r="N1249" i="1"/>
  <c r="M1249" i="1"/>
  <c r="L1249" i="1"/>
  <c r="K1249" i="1"/>
  <c r="N1248" i="1"/>
  <c r="M1248" i="1"/>
  <c r="L1248" i="1"/>
  <c r="K1248" i="1"/>
  <c r="N1247" i="1"/>
  <c r="M1247" i="1"/>
  <c r="L1247" i="1"/>
  <c r="K1247" i="1"/>
  <c r="N1246" i="1"/>
  <c r="M1246" i="1"/>
  <c r="L1246" i="1"/>
  <c r="K1246" i="1"/>
  <c r="N1245" i="1"/>
  <c r="M1245" i="1"/>
  <c r="L1245" i="1"/>
  <c r="K1245" i="1"/>
  <c r="N1244" i="1"/>
  <c r="M1244" i="1"/>
  <c r="L1244" i="1"/>
  <c r="K1244" i="1"/>
  <c r="N1243" i="1"/>
  <c r="M1243" i="1"/>
  <c r="L1243" i="1"/>
  <c r="K1243" i="1"/>
  <c r="N1242" i="1"/>
  <c r="M1242" i="1"/>
  <c r="L1242" i="1"/>
  <c r="K1242" i="1"/>
  <c r="N1241" i="1"/>
  <c r="M1241" i="1"/>
  <c r="L1241" i="1"/>
  <c r="K1241" i="1"/>
  <c r="N1240" i="1"/>
  <c r="M1240" i="1"/>
  <c r="L1240" i="1"/>
  <c r="K1240" i="1"/>
  <c r="N1239" i="1"/>
  <c r="M1239" i="1"/>
  <c r="L1239" i="1"/>
  <c r="K1239" i="1"/>
  <c r="N1238" i="1"/>
  <c r="M1238" i="1"/>
  <c r="L1238" i="1"/>
  <c r="K1238" i="1"/>
  <c r="N1237" i="1"/>
  <c r="M1237" i="1"/>
  <c r="L1237" i="1"/>
  <c r="K1237" i="1"/>
  <c r="N1236" i="1"/>
  <c r="M1236" i="1"/>
  <c r="L1236" i="1"/>
  <c r="K1236" i="1"/>
  <c r="N1235" i="1"/>
  <c r="M1235" i="1"/>
  <c r="L1235" i="1"/>
  <c r="K1235" i="1"/>
  <c r="N1234" i="1"/>
  <c r="M1234" i="1"/>
  <c r="L1234" i="1"/>
  <c r="K1234" i="1"/>
  <c r="N1233" i="1"/>
  <c r="M1233" i="1"/>
  <c r="L1233" i="1"/>
  <c r="K1233" i="1"/>
  <c r="N1232" i="1"/>
  <c r="M1232" i="1"/>
  <c r="L1232" i="1"/>
  <c r="K1232" i="1"/>
  <c r="N1231" i="1"/>
  <c r="M1231" i="1"/>
  <c r="L1231" i="1"/>
  <c r="K1231" i="1"/>
  <c r="N1230" i="1"/>
  <c r="M1230" i="1"/>
  <c r="L1230" i="1"/>
  <c r="K1230" i="1"/>
  <c r="N1229" i="1"/>
  <c r="M1229" i="1"/>
  <c r="L1229" i="1"/>
  <c r="K1229" i="1"/>
  <c r="N1228" i="1"/>
  <c r="M1228" i="1"/>
  <c r="L1228" i="1"/>
  <c r="K1228" i="1"/>
  <c r="N1227" i="1"/>
  <c r="M1227" i="1"/>
  <c r="L1227" i="1"/>
  <c r="K1227" i="1"/>
  <c r="N1226" i="1"/>
  <c r="M1226" i="1"/>
  <c r="L1226" i="1"/>
  <c r="K1226" i="1"/>
  <c r="N1225" i="1"/>
  <c r="M1225" i="1"/>
  <c r="L1225" i="1"/>
  <c r="K1225" i="1"/>
  <c r="N1224" i="1"/>
  <c r="M1224" i="1"/>
  <c r="L1224" i="1"/>
  <c r="K1224" i="1"/>
  <c r="N1223" i="1"/>
  <c r="M1223" i="1"/>
  <c r="L1223" i="1"/>
  <c r="K1223" i="1"/>
  <c r="N1222" i="1"/>
  <c r="M1222" i="1"/>
  <c r="L1222" i="1"/>
  <c r="K1222" i="1"/>
  <c r="N1221" i="1"/>
  <c r="M1221" i="1"/>
  <c r="L1221" i="1"/>
  <c r="K1221" i="1"/>
  <c r="N1220" i="1"/>
  <c r="M1220" i="1"/>
  <c r="L1220" i="1"/>
  <c r="K1220" i="1"/>
  <c r="N1219" i="1"/>
  <c r="M1219" i="1"/>
  <c r="L1219" i="1"/>
  <c r="K1219" i="1"/>
  <c r="N1218" i="1"/>
  <c r="M1218" i="1"/>
  <c r="L1218" i="1"/>
  <c r="K1218" i="1"/>
  <c r="N1217" i="1"/>
  <c r="M1217" i="1"/>
  <c r="L1217" i="1"/>
  <c r="K1217" i="1"/>
  <c r="N1216" i="1"/>
  <c r="M1216" i="1"/>
  <c r="L1216" i="1"/>
  <c r="K1216" i="1"/>
  <c r="N1215" i="1"/>
  <c r="M1215" i="1"/>
  <c r="L1215" i="1"/>
  <c r="K1215" i="1"/>
  <c r="N1214" i="1"/>
  <c r="M1214" i="1"/>
  <c r="L1214" i="1"/>
  <c r="K1214" i="1"/>
  <c r="N1213" i="1"/>
  <c r="M1213" i="1"/>
  <c r="L1213" i="1"/>
  <c r="K1213" i="1"/>
  <c r="N1212" i="1"/>
  <c r="M1212" i="1"/>
  <c r="L1212" i="1"/>
  <c r="K1212" i="1"/>
  <c r="N1211" i="1"/>
  <c r="M1211" i="1"/>
  <c r="L1211" i="1"/>
  <c r="K1211" i="1"/>
  <c r="N1210" i="1"/>
  <c r="M1210" i="1"/>
  <c r="L1210" i="1"/>
  <c r="K1210" i="1"/>
  <c r="N1209" i="1"/>
  <c r="M1209" i="1"/>
  <c r="L1209" i="1"/>
  <c r="K1209" i="1"/>
  <c r="N1208" i="1"/>
  <c r="M1208" i="1"/>
  <c r="L1208" i="1"/>
  <c r="K1208" i="1"/>
  <c r="N1207" i="1"/>
  <c r="M1207" i="1"/>
  <c r="L1207" i="1"/>
  <c r="K1207" i="1"/>
  <c r="N1206" i="1"/>
  <c r="M1206" i="1"/>
  <c r="L1206" i="1"/>
  <c r="K1206" i="1"/>
  <c r="N1205" i="1"/>
  <c r="M1205" i="1"/>
  <c r="L1205" i="1"/>
  <c r="K1205" i="1"/>
  <c r="N1204" i="1"/>
  <c r="M1204" i="1"/>
  <c r="L1204" i="1"/>
  <c r="K1204" i="1"/>
  <c r="N1203" i="1"/>
  <c r="M1203" i="1"/>
  <c r="L1203" i="1"/>
  <c r="K1203" i="1"/>
  <c r="N1202" i="1"/>
  <c r="M1202" i="1"/>
  <c r="L1202" i="1"/>
  <c r="K1202" i="1"/>
  <c r="N1201" i="1"/>
  <c r="M1201" i="1"/>
  <c r="L1201" i="1"/>
  <c r="K1201" i="1"/>
  <c r="N1200" i="1"/>
  <c r="M1200" i="1"/>
  <c r="L1200" i="1"/>
  <c r="K1200" i="1"/>
  <c r="N1199" i="1"/>
  <c r="M1199" i="1"/>
  <c r="L1199" i="1"/>
  <c r="K1199" i="1"/>
  <c r="N1198" i="1"/>
  <c r="M1198" i="1"/>
  <c r="L1198" i="1"/>
  <c r="K1198" i="1"/>
  <c r="N1197" i="1"/>
  <c r="M1197" i="1"/>
  <c r="L1197" i="1"/>
  <c r="K1197" i="1"/>
  <c r="N1196" i="1"/>
  <c r="M1196" i="1"/>
  <c r="L1196" i="1"/>
  <c r="K1196" i="1"/>
  <c r="N1195" i="1"/>
  <c r="M1195" i="1"/>
  <c r="L1195" i="1"/>
  <c r="K1195" i="1"/>
  <c r="N1194" i="1"/>
  <c r="M1194" i="1"/>
  <c r="L1194" i="1"/>
  <c r="K1194" i="1"/>
  <c r="N1193" i="1"/>
  <c r="M1193" i="1"/>
  <c r="L1193" i="1"/>
  <c r="K1193" i="1"/>
  <c r="N1192" i="1"/>
  <c r="M1192" i="1"/>
  <c r="L1192" i="1"/>
  <c r="K1192" i="1"/>
  <c r="N1191" i="1"/>
  <c r="M1191" i="1"/>
  <c r="L1191" i="1"/>
  <c r="K1191" i="1"/>
  <c r="N1190" i="1"/>
  <c r="M1190" i="1"/>
  <c r="L1190" i="1"/>
  <c r="K1190" i="1"/>
  <c r="N1189" i="1"/>
  <c r="M1189" i="1"/>
  <c r="L1189" i="1"/>
  <c r="K1189" i="1"/>
  <c r="N1188" i="1"/>
  <c r="M1188" i="1"/>
  <c r="L1188" i="1"/>
  <c r="K1188" i="1"/>
  <c r="N1187" i="1"/>
  <c r="M1187" i="1"/>
  <c r="L1187" i="1"/>
  <c r="K1187" i="1"/>
  <c r="N1186" i="1"/>
  <c r="M1186" i="1"/>
  <c r="L1186" i="1"/>
  <c r="K1186" i="1"/>
  <c r="N1185" i="1"/>
  <c r="M1185" i="1"/>
  <c r="L1185" i="1"/>
  <c r="K1185" i="1"/>
  <c r="N1184" i="1"/>
  <c r="M1184" i="1"/>
  <c r="L1184" i="1"/>
  <c r="K1184" i="1"/>
  <c r="N1183" i="1"/>
  <c r="M1183" i="1"/>
  <c r="L1183" i="1"/>
  <c r="K1183" i="1"/>
  <c r="N1182" i="1"/>
  <c r="M1182" i="1"/>
  <c r="L1182" i="1"/>
  <c r="K1182" i="1"/>
  <c r="N1181" i="1"/>
  <c r="M1181" i="1"/>
  <c r="L1181" i="1"/>
  <c r="K1181" i="1"/>
  <c r="N1180" i="1"/>
  <c r="M1180" i="1"/>
  <c r="L1180" i="1"/>
  <c r="K1180" i="1"/>
  <c r="N1179" i="1"/>
  <c r="M1179" i="1"/>
  <c r="L1179" i="1"/>
  <c r="K1179" i="1"/>
  <c r="N1178" i="1"/>
  <c r="M1178" i="1"/>
  <c r="L1178" i="1"/>
  <c r="K1178" i="1"/>
  <c r="N1177" i="1"/>
  <c r="M1177" i="1"/>
  <c r="L1177" i="1"/>
  <c r="K1177" i="1"/>
  <c r="N1176" i="1"/>
  <c r="M1176" i="1"/>
  <c r="L1176" i="1"/>
  <c r="K1176" i="1"/>
  <c r="N1175" i="1"/>
  <c r="M1175" i="1"/>
  <c r="L1175" i="1"/>
  <c r="K1175" i="1"/>
  <c r="N1174" i="1"/>
  <c r="M1174" i="1"/>
  <c r="L1174" i="1"/>
  <c r="K1174" i="1"/>
  <c r="N1173" i="1"/>
  <c r="M1173" i="1"/>
  <c r="L1173" i="1"/>
  <c r="K1173" i="1"/>
  <c r="N1172" i="1"/>
  <c r="M1172" i="1"/>
  <c r="L1172" i="1"/>
  <c r="K1172" i="1"/>
  <c r="N1171" i="1"/>
  <c r="M1171" i="1"/>
  <c r="L1171" i="1"/>
  <c r="K1171" i="1"/>
  <c r="N1170" i="1"/>
  <c r="M1170" i="1"/>
  <c r="L1170" i="1"/>
  <c r="K1170" i="1"/>
  <c r="N1169" i="1"/>
  <c r="M1169" i="1"/>
  <c r="L1169" i="1"/>
  <c r="K1169" i="1"/>
  <c r="N1168" i="1"/>
  <c r="M1168" i="1"/>
  <c r="L1168" i="1"/>
  <c r="K1168" i="1"/>
  <c r="N1167" i="1"/>
  <c r="M1167" i="1"/>
  <c r="L1167" i="1"/>
  <c r="K1167" i="1"/>
  <c r="N1166" i="1"/>
  <c r="M1166" i="1"/>
  <c r="L1166" i="1"/>
  <c r="K1166" i="1"/>
  <c r="N1165" i="1"/>
  <c r="M1165" i="1"/>
  <c r="L1165" i="1"/>
  <c r="K1165" i="1"/>
  <c r="N1164" i="1"/>
  <c r="M1164" i="1"/>
  <c r="L1164" i="1"/>
  <c r="K1164" i="1"/>
  <c r="N1163" i="1"/>
  <c r="M1163" i="1"/>
  <c r="L1163" i="1"/>
  <c r="K1163" i="1"/>
  <c r="N1162" i="1"/>
  <c r="M1162" i="1"/>
  <c r="L1162" i="1"/>
  <c r="K1162" i="1"/>
  <c r="N1161" i="1"/>
  <c r="M1161" i="1"/>
  <c r="L1161" i="1"/>
  <c r="K1161" i="1"/>
  <c r="N1160" i="1"/>
  <c r="M1160" i="1"/>
  <c r="L1160" i="1"/>
  <c r="K1160" i="1"/>
  <c r="N1159" i="1"/>
  <c r="M1159" i="1"/>
  <c r="L1159" i="1"/>
  <c r="K1159" i="1"/>
  <c r="N1158" i="1"/>
  <c r="M1158" i="1"/>
  <c r="L1158" i="1"/>
  <c r="K1158" i="1"/>
  <c r="N1157" i="1"/>
  <c r="M1157" i="1"/>
  <c r="L1157" i="1"/>
  <c r="K1157" i="1"/>
  <c r="N1156" i="1"/>
  <c r="M1156" i="1"/>
  <c r="L1156" i="1"/>
  <c r="K1156" i="1"/>
  <c r="N1155" i="1"/>
  <c r="M1155" i="1"/>
  <c r="L1155" i="1"/>
  <c r="K1155" i="1"/>
  <c r="N1154" i="1"/>
  <c r="M1154" i="1"/>
  <c r="L1154" i="1"/>
  <c r="K1154" i="1"/>
  <c r="N1153" i="1"/>
  <c r="M1153" i="1"/>
  <c r="L1153" i="1"/>
  <c r="K1153" i="1"/>
  <c r="N1152" i="1"/>
  <c r="M1152" i="1"/>
  <c r="L1152" i="1"/>
  <c r="K1152" i="1"/>
  <c r="N1151" i="1"/>
  <c r="M1151" i="1"/>
  <c r="L1151" i="1"/>
  <c r="K1151" i="1"/>
  <c r="N1150" i="1"/>
  <c r="M1150" i="1"/>
  <c r="L1150" i="1"/>
  <c r="K1150" i="1"/>
  <c r="N1149" i="1"/>
  <c r="M1149" i="1"/>
  <c r="L1149" i="1"/>
  <c r="K1149" i="1"/>
  <c r="N1148" i="1"/>
  <c r="M1148" i="1"/>
  <c r="L1148" i="1"/>
  <c r="K1148" i="1"/>
  <c r="N1147" i="1"/>
  <c r="M1147" i="1"/>
  <c r="L1147" i="1"/>
  <c r="K1147" i="1"/>
  <c r="N1146" i="1"/>
  <c r="M1146" i="1"/>
  <c r="L1146" i="1"/>
  <c r="K1146" i="1"/>
  <c r="N1145" i="1"/>
  <c r="M1145" i="1"/>
  <c r="L1145" i="1"/>
  <c r="K1145" i="1"/>
  <c r="N1144" i="1"/>
  <c r="M1144" i="1"/>
  <c r="L1144" i="1"/>
  <c r="K1144" i="1"/>
  <c r="N1143" i="1"/>
  <c r="M1143" i="1"/>
  <c r="L1143" i="1"/>
  <c r="K1143" i="1"/>
  <c r="N1142" i="1"/>
  <c r="M1142" i="1"/>
  <c r="L1142" i="1"/>
  <c r="K1142" i="1"/>
  <c r="N1141" i="1"/>
  <c r="M1141" i="1"/>
  <c r="L1141" i="1"/>
  <c r="K1141" i="1"/>
  <c r="N1140" i="1"/>
  <c r="M1140" i="1"/>
  <c r="L1140" i="1"/>
  <c r="K1140" i="1"/>
  <c r="N1139" i="1"/>
  <c r="M1139" i="1"/>
  <c r="L1139" i="1"/>
  <c r="K1139" i="1"/>
  <c r="N1138" i="1"/>
  <c r="M1138" i="1"/>
  <c r="L1138" i="1"/>
  <c r="K1138" i="1"/>
  <c r="N1137" i="1"/>
  <c r="M1137" i="1"/>
  <c r="L1137" i="1"/>
  <c r="K1137" i="1"/>
  <c r="N1136" i="1"/>
  <c r="M1136" i="1"/>
  <c r="L1136" i="1"/>
  <c r="K1136" i="1"/>
  <c r="N1135" i="1"/>
  <c r="M1135" i="1"/>
  <c r="L1135" i="1"/>
  <c r="K1135" i="1"/>
  <c r="N1134" i="1"/>
  <c r="M1134" i="1"/>
  <c r="L1134" i="1"/>
  <c r="K1134" i="1"/>
  <c r="N1133" i="1"/>
  <c r="M1133" i="1"/>
  <c r="L1133" i="1"/>
  <c r="K1133" i="1"/>
  <c r="N1132" i="1"/>
  <c r="M1132" i="1"/>
  <c r="L1132" i="1"/>
  <c r="K1132" i="1"/>
  <c r="N1131" i="1"/>
  <c r="M1131" i="1"/>
  <c r="L1131" i="1"/>
  <c r="K1131" i="1"/>
  <c r="N1130" i="1"/>
  <c r="M1130" i="1"/>
  <c r="L1130" i="1"/>
  <c r="K1130" i="1"/>
  <c r="N1129" i="1"/>
  <c r="M1129" i="1"/>
  <c r="L1129" i="1"/>
  <c r="K1129" i="1"/>
  <c r="N1128" i="1"/>
  <c r="M1128" i="1"/>
  <c r="L1128" i="1"/>
  <c r="K1128" i="1"/>
  <c r="N1127" i="1"/>
  <c r="M1127" i="1"/>
  <c r="L1127" i="1"/>
  <c r="K1127" i="1"/>
  <c r="N1126" i="1"/>
  <c r="M1126" i="1"/>
  <c r="L1126" i="1"/>
  <c r="K1126" i="1"/>
  <c r="N1125" i="1"/>
  <c r="M1125" i="1"/>
  <c r="L1125" i="1"/>
  <c r="K1125" i="1"/>
  <c r="N1124" i="1"/>
  <c r="M1124" i="1"/>
  <c r="L1124" i="1"/>
  <c r="K1124" i="1"/>
  <c r="N1123" i="1"/>
  <c r="M1123" i="1"/>
  <c r="L1123" i="1"/>
  <c r="K1123" i="1"/>
  <c r="N1122" i="1"/>
  <c r="M1122" i="1"/>
  <c r="L1122" i="1"/>
  <c r="K1122" i="1"/>
  <c r="N1121" i="1"/>
  <c r="M1121" i="1"/>
  <c r="L1121" i="1"/>
  <c r="K1121" i="1"/>
  <c r="N1120" i="1"/>
  <c r="M1120" i="1"/>
  <c r="L1120" i="1"/>
  <c r="K1120" i="1"/>
  <c r="N1119" i="1"/>
  <c r="M1119" i="1"/>
  <c r="L1119" i="1"/>
  <c r="K1119" i="1"/>
  <c r="N1118" i="1"/>
  <c r="M1118" i="1"/>
  <c r="L1118" i="1"/>
  <c r="K1118" i="1"/>
  <c r="N1117" i="1"/>
  <c r="M1117" i="1"/>
  <c r="L1117" i="1"/>
  <c r="K1117" i="1"/>
  <c r="N1116" i="1"/>
  <c r="M1116" i="1"/>
  <c r="L1116" i="1"/>
  <c r="K1116" i="1"/>
  <c r="N1115" i="1"/>
  <c r="M1115" i="1"/>
  <c r="L1115" i="1"/>
  <c r="K1115" i="1"/>
  <c r="N1114" i="1"/>
  <c r="M1114" i="1"/>
  <c r="L1114" i="1"/>
  <c r="K1114" i="1"/>
  <c r="N1113" i="1"/>
  <c r="M1113" i="1"/>
  <c r="L1113" i="1"/>
  <c r="K1113" i="1"/>
  <c r="N1112" i="1"/>
  <c r="M1112" i="1"/>
  <c r="L1112" i="1"/>
  <c r="K1112" i="1"/>
  <c r="N1111" i="1"/>
  <c r="M1111" i="1"/>
  <c r="L1111" i="1"/>
  <c r="K1111" i="1"/>
  <c r="N1110" i="1"/>
  <c r="M1110" i="1"/>
  <c r="L1110" i="1"/>
  <c r="K1110" i="1"/>
  <c r="N1109" i="1"/>
  <c r="M1109" i="1"/>
  <c r="L1109" i="1"/>
  <c r="K1109" i="1"/>
  <c r="N1108" i="1"/>
  <c r="M1108" i="1"/>
  <c r="L1108" i="1"/>
  <c r="K1108" i="1"/>
  <c r="N1107" i="1"/>
  <c r="M1107" i="1"/>
  <c r="L1107" i="1"/>
  <c r="K1107" i="1"/>
  <c r="N1106" i="1"/>
  <c r="M1106" i="1"/>
  <c r="L1106" i="1"/>
  <c r="K1106" i="1"/>
  <c r="N1105" i="1"/>
  <c r="M1105" i="1"/>
  <c r="L1105" i="1"/>
  <c r="K1105" i="1"/>
  <c r="N1104" i="1"/>
  <c r="M1104" i="1"/>
  <c r="L1104" i="1"/>
  <c r="K1104" i="1"/>
  <c r="N1103" i="1"/>
  <c r="M1103" i="1"/>
  <c r="L1103" i="1"/>
  <c r="K1103" i="1"/>
  <c r="N1102" i="1"/>
  <c r="M1102" i="1"/>
  <c r="L1102" i="1"/>
  <c r="K1102" i="1"/>
  <c r="N1101" i="1"/>
  <c r="M1101" i="1"/>
  <c r="L1101" i="1"/>
  <c r="K1101" i="1"/>
  <c r="N1100" i="1"/>
  <c r="M1100" i="1"/>
  <c r="L1100" i="1"/>
  <c r="K1100" i="1"/>
  <c r="N1099" i="1"/>
  <c r="M1099" i="1"/>
  <c r="L1099" i="1"/>
  <c r="K1099" i="1"/>
  <c r="N1098" i="1"/>
  <c r="M1098" i="1"/>
  <c r="L1098" i="1"/>
  <c r="K1098" i="1"/>
  <c r="N1097" i="1"/>
  <c r="M1097" i="1"/>
  <c r="L1097" i="1"/>
  <c r="K1097" i="1"/>
  <c r="N1096" i="1"/>
  <c r="M1096" i="1"/>
  <c r="L1096" i="1"/>
  <c r="K1096" i="1"/>
  <c r="N1095" i="1"/>
  <c r="M1095" i="1"/>
  <c r="L1095" i="1"/>
  <c r="K1095" i="1"/>
  <c r="N1094" i="1"/>
  <c r="M1094" i="1"/>
  <c r="L1094" i="1"/>
  <c r="K1094" i="1"/>
  <c r="N1093" i="1"/>
  <c r="M1093" i="1"/>
  <c r="L1093" i="1"/>
  <c r="K1093" i="1"/>
  <c r="N1092" i="1"/>
  <c r="M1092" i="1"/>
  <c r="L1092" i="1"/>
  <c r="K1092" i="1"/>
  <c r="N1091" i="1"/>
  <c r="M1091" i="1"/>
  <c r="L1091" i="1"/>
  <c r="K1091" i="1"/>
  <c r="N1090" i="1"/>
  <c r="M1090" i="1"/>
  <c r="L1090" i="1"/>
  <c r="K1090" i="1"/>
  <c r="N1089" i="1"/>
  <c r="M1089" i="1"/>
  <c r="L1089" i="1"/>
  <c r="K1089" i="1"/>
  <c r="N1088" i="1"/>
  <c r="M1088" i="1"/>
  <c r="L1088" i="1"/>
  <c r="K1088" i="1"/>
  <c r="N1087" i="1"/>
  <c r="M1087" i="1"/>
  <c r="L1087" i="1"/>
  <c r="K1087" i="1"/>
  <c r="N1086" i="1"/>
  <c r="M1086" i="1"/>
  <c r="L1086" i="1"/>
  <c r="K1086" i="1"/>
  <c r="N1085" i="1"/>
  <c r="M1085" i="1"/>
  <c r="L1085" i="1"/>
  <c r="K1085" i="1"/>
  <c r="N1084" i="1"/>
  <c r="M1084" i="1"/>
  <c r="L1084" i="1"/>
  <c r="K1084" i="1"/>
  <c r="N1083" i="1"/>
  <c r="M1083" i="1"/>
  <c r="L1083" i="1"/>
  <c r="K1083" i="1"/>
  <c r="N1082" i="1"/>
  <c r="M1082" i="1"/>
  <c r="L1082" i="1"/>
  <c r="K1082" i="1"/>
  <c r="N1081" i="1"/>
  <c r="M1081" i="1"/>
  <c r="L1081" i="1"/>
  <c r="K1081" i="1"/>
  <c r="N1080" i="1"/>
  <c r="M1080" i="1"/>
  <c r="L1080" i="1"/>
  <c r="K1080" i="1"/>
  <c r="N1079" i="1"/>
  <c r="M1079" i="1"/>
  <c r="L1079" i="1"/>
  <c r="K1079" i="1"/>
  <c r="N1078" i="1"/>
  <c r="M1078" i="1"/>
  <c r="L1078" i="1"/>
  <c r="K1078" i="1"/>
  <c r="N1077" i="1"/>
  <c r="M1077" i="1"/>
  <c r="L1077" i="1"/>
  <c r="K1077" i="1"/>
  <c r="N1076" i="1"/>
  <c r="M1076" i="1"/>
  <c r="L1076" i="1"/>
  <c r="K1076" i="1"/>
  <c r="N1075" i="1"/>
  <c r="M1075" i="1"/>
  <c r="L1075" i="1"/>
  <c r="K1075" i="1"/>
  <c r="N1074" i="1"/>
  <c r="M1074" i="1"/>
  <c r="L1074" i="1"/>
  <c r="K1074" i="1"/>
  <c r="N1073" i="1"/>
  <c r="M1073" i="1"/>
  <c r="L1073" i="1"/>
  <c r="K1073" i="1"/>
  <c r="N1072" i="1"/>
  <c r="M1072" i="1"/>
  <c r="L1072" i="1"/>
  <c r="K1072" i="1"/>
  <c r="N1071" i="1"/>
  <c r="M1071" i="1"/>
  <c r="L1071" i="1"/>
  <c r="K1071" i="1"/>
  <c r="N1070" i="1"/>
  <c r="M1070" i="1"/>
  <c r="L1070" i="1"/>
  <c r="K1070" i="1"/>
  <c r="N1069" i="1"/>
  <c r="M1069" i="1"/>
  <c r="L1069" i="1"/>
  <c r="K1069" i="1"/>
  <c r="N1068" i="1"/>
  <c r="M1068" i="1"/>
  <c r="L1068" i="1"/>
  <c r="K1068" i="1"/>
  <c r="N1067" i="1"/>
  <c r="M1067" i="1"/>
  <c r="L1067" i="1"/>
  <c r="K1067" i="1"/>
  <c r="N1066" i="1"/>
  <c r="M1066" i="1"/>
  <c r="L1066" i="1"/>
  <c r="K1066" i="1"/>
  <c r="N1065" i="1"/>
  <c r="M1065" i="1"/>
  <c r="L1065" i="1"/>
  <c r="K1065" i="1"/>
  <c r="N1064" i="1"/>
  <c r="M1064" i="1"/>
  <c r="L1064" i="1"/>
  <c r="K1064" i="1"/>
  <c r="N1063" i="1"/>
  <c r="M1063" i="1"/>
  <c r="L1063" i="1"/>
  <c r="K1063" i="1"/>
  <c r="N1062" i="1"/>
  <c r="M1062" i="1"/>
  <c r="L1062" i="1"/>
  <c r="K1062" i="1"/>
  <c r="N1061" i="1"/>
  <c r="M1061" i="1"/>
  <c r="L1061" i="1"/>
  <c r="K1061" i="1"/>
  <c r="N1060" i="1"/>
  <c r="M1060" i="1"/>
  <c r="L1060" i="1"/>
  <c r="K1060" i="1"/>
  <c r="N1059" i="1"/>
  <c r="M1059" i="1"/>
  <c r="L1059" i="1"/>
  <c r="K1059" i="1"/>
  <c r="N1058" i="1"/>
  <c r="M1058" i="1"/>
  <c r="L1058" i="1"/>
  <c r="K1058" i="1"/>
  <c r="N1057" i="1"/>
  <c r="M1057" i="1"/>
  <c r="L1057" i="1"/>
  <c r="K1057" i="1"/>
  <c r="N1056" i="1"/>
  <c r="M1056" i="1"/>
  <c r="L1056" i="1"/>
  <c r="K1056" i="1"/>
  <c r="N1055" i="1"/>
  <c r="M1055" i="1"/>
  <c r="L1055" i="1"/>
  <c r="K1055" i="1"/>
  <c r="N1054" i="1"/>
  <c r="M1054" i="1"/>
  <c r="L1054" i="1"/>
  <c r="K1054" i="1"/>
  <c r="N1053" i="1"/>
  <c r="M1053" i="1"/>
  <c r="L1053" i="1"/>
  <c r="K1053" i="1"/>
  <c r="N1052" i="1"/>
  <c r="M1052" i="1"/>
  <c r="L1052" i="1"/>
  <c r="K1052" i="1"/>
  <c r="N1051" i="1"/>
  <c r="M1051" i="1"/>
  <c r="L1051" i="1"/>
  <c r="K1051" i="1"/>
  <c r="N1050" i="1"/>
  <c r="M1050" i="1"/>
  <c r="L1050" i="1"/>
  <c r="K1050" i="1"/>
  <c r="N1049" i="1"/>
  <c r="M1049" i="1"/>
  <c r="L1049" i="1"/>
  <c r="K1049" i="1"/>
  <c r="N1048" i="1"/>
  <c r="M1048" i="1"/>
  <c r="L1048" i="1"/>
  <c r="K1048" i="1"/>
  <c r="N1047" i="1"/>
  <c r="M1047" i="1"/>
  <c r="L1047" i="1"/>
  <c r="K1047" i="1"/>
  <c r="N1046" i="1"/>
  <c r="M1046" i="1"/>
  <c r="L1046" i="1"/>
  <c r="K1046" i="1"/>
  <c r="N1045" i="1"/>
  <c r="M1045" i="1"/>
  <c r="L1045" i="1"/>
  <c r="K1045" i="1"/>
  <c r="N1044" i="1"/>
  <c r="M1044" i="1"/>
  <c r="L1044" i="1"/>
  <c r="K1044" i="1"/>
  <c r="N1043" i="1"/>
  <c r="M1043" i="1"/>
  <c r="L1043" i="1"/>
  <c r="K1043" i="1"/>
  <c r="N1042" i="1"/>
  <c r="M1042" i="1"/>
  <c r="L1042" i="1"/>
  <c r="K1042" i="1"/>
  <c r="N1041" i="1"/>
  <c r="M1041" i="1"/>
  <c r="L1041" i="1"/>
  <c r="K1041" i="1"/>
  <c r="N1040" i="1"/>
  <c r="M1040" i="1"/>
  <c r="L1040" i="1"/>
  <c r="K1040" i="1"/>
  <c r="N1039" i="1"/>
  <c r="M1039" i="1"/>
  <c r="L1039" i="1"/>
  <c r="K1039" i="1"/>
  <c r="N1038" i="1"/>
  <c r="M1038" i="1"/>
  <c r="L1038" i="1"/>
  <c r="K1038" i="1"/>
  <c r="N1037" i="1"/>
  <c r="M1037" i="1"/>
  <c r="L1037" i="1"/>
  <c r="K1037" i="1"/>
  <c r="N1036" i="1"/>
  <c r="M1036" i="1"/>
  <c r="L1036" i="1"/>
  <c r="K1036" i="1"/>
  <c r="N1035" i="1"/>
  <c r="M1035" i="1"/>
  <c r="L1035" i="1"/>
  <c r="K1035" i="1"/>
  <c r="N1034" i="1"/>
  <c r="M1034" i="1"/>
  <c r="L1034" i="1"/>
  <c r="K1034" i="1"/>
  <c r="N1033" i="1"/>
  <c r="M1033" i="1"/>
  <c r="L1033" i="1"/>
  <c r="K1033" i="1"/>
  <c r="N1032" i="1"/>
  <c r="M1032" i="1"/>
  <c r="L1032" i="1"/>
  <c r="K1032" i="1"/>
  <c r="N1031" i="1"/>
  <c r="M1031" i="1"/>
  <c r="L1031" i="1"/>
  <c r="K1031" i="1"/>
  <c r="N1030" i="1"/>
  <c r="M1030" i="1"/>
  <c r="L1030" i="1"/>
  <c r="K1030" i="1"/>
  <c r="N1029" i="1"/>
  <c r="M1029" i="1"/>
  <c r="L1029" i="1"/>
  <c r="K1029" i="1"/>
  <c r="N1028" i="1"/>
  <c r="M1028" i="1"/>
  <c r="L1028" i="1"/>
  <c r="K1028" i="1"/>
  <c r="N1027" i="1"/>
  <c r="M1027" i="1"/>
  <c r="L1027" i="1"/>
  <c r="K1027" i="1"/>
  <c r="N1026" i="1"/>
  <c r="M1026" i="1"/>
  <c r="L1026" i="1"/>
  <c r="K1026" i="1"/>
  <c r="N1025" i="1"/>
  <c r="M1025" i="1"/>
  <c r="L1025" i="1"/>
  <c r="K1025" i="1"/>
  <c r="N1024" i="1"/>
  <c r="M1024" i="1"/>
  <c r="L1024" i="1"/>
  <c r="K1024" i="1"/>
  <c r="N1023" i="1"/>
  <c r="M1023" i="1"/>
  <c r="L1023" i="1"/>
  <c r="K1023" i="1"/>
  <c r="N1022" i="1"/>
  <c r="M1022" i="1"/>
  <c r="L1022" i="1"/>
  <c r="K1022" i="1"/>
  <c r="N1021" i="1"/>
  <c r="M1021" i="1"/>
  <c r="L1021" i="1"/>
  <c r="K1021" i="1"/>
  <c r="N1020" i="1"/>
  <c r="M1020" i="1"/>
  <c r="L1020" i="1"/>
  <c r="K1020" i="1"/>
  <c r="N1019" i="1"/>
  <c r="M1019" i="1"/>
  <c r="L1019" i="1"/>
  <c r="K1019" i="1"/>
  <c r="N1018" i="1"/>
  <c r="M1018" i="1"/>
  <c r="L1018" i="1"/>
  <c r="K1018" i="1"/>
  <c r="N1017" i="1"/>
  <c r="M1017" i="1"/>
  <c r="L1017" i="1"/>
  <c r="K1017" i="1"/>
  <c r="N1016" i="1"/>
  <c r="M1016" i="1"/>
  <c r="L1016" i="1"/>
  <c r="K1016" i="1"/>
  <c r="N1015" i="1"/>
  <c r="M1015" i="1"/>
  <c r="L1015" i="1"/>
  <c r="K1015" i="1"/>
  <c r="N1014" i="1"/>
  <c r="M1014" i="1"/>
  <c r="L1014" i="1"/>
  <c r="K1014" i="1"/>
  <c r="N1013" i="1"/>
  <c r="M1013" i="1"/>
  <c r="L1013" i="1"/>
  <c r="K1013" i="1"/>
  <c r="N1012" i="1"/>
  <c r="M1012" i="1"/>
  <c r="L1012" i="1"/>
  <c r="K1012" i="1"/>
  <c r="N1011" i="1"/>
  <c r="M1011" i="1"/>
  <c r="L1011" i="1"/>
  <c r="K1011" i="1"/>
  <c r="N1010" i="1"/>
  <c r="M1010" i="1"/>
  <c r="L1010" i="1"/>
  <c r="K1010" i="1"/>
  <c r="N1009" i="1"/>
  <c r="M1009" i="1"/>
  <c r="L1009" i="1"/>
  <c r="K1009" i="1"/>
  <c r="N1008" i="1"/>
  <c r="M1008" i="1"/>
  <c r="L1008" i="1"/>
  <c r="K1008" i="1"/>
  <c r="N1007" i="1"/>
  <c r="M1007" i="1"/>
  <c r="L1007" i="1"/>
  <c r="K1007" i="1"/>
  <c r="N1006" i="1"/>
  <c r="M1006" i="1"/>
  <c r="L1006" i="1"/>
  <c r="K1006" i="1"/>
  <c r="N1005" i="1"/>
  <c r="M1005" i="1"/>
  <c r="L1005" i="1"/>
  <c r="K1005" i="1"/>
  <c r="N1004" i="1"/>
  <c r="M1004" i="1"/>
  <c r="L1004" i="1"/>
  <c r="K1004" i="1"/>
  <c r="N1003" i="1"/>
  <c r="M1003" i="1"/>
  <c r="L1003" i="1"/>
  <c r="K1003" i="1"/>
  <c r="N1002" i="1"/>
  <c r="M1002" i="1"/>
  <c r="L1002" i="1"/>
  <c r="K1002" i="1"/>
  <c r="N1001" i="1"/>
  <c r="M1001" i="1"/>
  <c r="L1001" i="1"/>
  <c r="K1001" i="1"/>
  <c r="N1000" i="1"/>
  <c r="M1000" i="1"/>
  <c r="L1000" i="1"/>
  <c r="K1000" i="1"/>
  <c r="N999" i="1"/>
  <c r="M999" i="1"/>
  <c r="L999" i="1"/>
  <c r="K999" i="1"/>
  <c r="N998" i="1"/>
  <c r="M998" i="1"/>
  <c r="L998" i="1"/>
  <c r="K998" i="1"/>
  <c r="N997" i="1"/>
  <c r="M997" i="1"/>
  <c r="L997" i="1"/>
  <c r="K997" i="1"/>
  <c r="N996" i="1"/>
  <c r="M996" i="1"/>
  <c r="L996" i="1"/>
  <c r="K996" i="1"/>
  <c r="N995" i="1"/>
  <c r="M995" i="1"/>
  <c r="L995" i="1"/>
  <c r="K995" i="1"/>
  <c r="N994" i="1"/>
  <c r="M994" i="1"/>
  <c r="L994" i="1"/>
  <c r="K994" i="1"/>
  <c r="N993" i="1"/>
  <c r="M993" i="1"/>
  <c r="L993" i="1"/>
  <c r="K993" i="1"/>
  <c r="N992" i="1"/>
  <c r="M992" i="1"/>
  <c r="L992" i="1"/>
  <c r="K992" i="1"/>
  <c r="N991" i="1"/>
  <c r="M991" i="1"/>
  <c r="L991" i="1"/>
  <c r="K991" i="1"/>
  <c r="N990" i="1"/>
  <c r="M990" i="1"/>
  <c r="L990" i="1"/>
  <c r="K990" i="1"/>
  <c r="N989" i="1"/>
  <c r="M989" i="1"/>
  <c r="L989" i="1"/>
  <c r="K989" i="1"/>
  <c r="N988" i="1"/>
  <c r="M988" i="1"/>
  <c r="L988" i="1"/>
  <c r="K988" i="1"/>
  <c r="N987" i="1"/>
  <c r="M987" i="1"/>
  <c r="L987" i="1"/>
  <c r="K987" i="1"/>
  <c r="N986" i="1"/>
  <c r="M986" i="1"/>
  <c r="L986" i="1"/>
  <c r="K986" i="1"/>
  <c r="N985" i="1"/>
  <c r="M985" i="1"/>
  <c r="L985" i="1"/>
  <c r="K985" i="1"/>
  <c r="N984" i="1"/>
  <c r="M984" i="1"/>
  <c r="L984" i="1"/>
  <c r="K984" i="1"/>
  <c r="N983" i="1"/>
  <c r="M983" i="1"/>
  <c r="L983" i="1"/>
  <c r="K983" i="1"/>
  <c r="N982" i="1"/>
  <c r="M982" i="1"/>
  <c r="L982" i="1"/>
  <c r="K982" i="1"/>
  <c r="N981" i="1"/>
  <c r="M981" i="1"/>
  <c r="L981" i="1"/>
  <c r="K981" i="1"/>
  <c r="N980" i="1"/>
  <c r="M980" i="1"/>
  <c r="L980" i="1"/>
  <c r="K980" i="1"/>
  <c r="N979" i="1"/>
  <c r="M979" i="1"/>
  <c r="L979" i="1"/>
  <c r="K979" i="1"/>
  <c r="N978" i="1"/>
  <c r="M978" i="1"/>
  <c r="L978" i="1"/>
  <c r="K978" i="1"/>
  <c r="N977" i="1"/>
  <c r="M977" i="1"/>
  <c r="L977" i="1"/>
  <c r="K977" i="1"/>
  <c r="N976" i="1"/>
  <c r="M976" i="1"/>
  <c r="L976" i="1"/>
  <c r="K976" i="1"/>
  <c r="N975" i="1"/>
  <c r="M975" i="1"/>
  <c r="L975" i="1"/>
  <c r="K975" i="1"/>
  <c r="N974" i="1"/>
  <c r="M974" i="1"/>
  <c r="L974" i="1"/>
  <c r="K974" i="1"/>
  <c r="N973" i="1"/>
  <c r="M973" i="1"/>
  <c r="L973" i="1"/>
  <c r="K973" i="1"/>
  <c r="N972" i="1"/>
  <c r="M972" i="1"/>
  <c r="L972" i="1"/>
  <c r="K972" i="1"/>
  <c r="N971" i="1"/>
  <c r="M971" i="1"/>
  <c r="L971" i="1"/>
  <c r="K971" i="1"/>
  <c r="N970" i="1"/>
  <c r="M970" i="1"/>
  <c r="L970" i="1"/>
  <c r="K970" i="1"/>
  <c r="N969" i="1"/>
  <c r="M969" i="1"/>
  <c r="L969" i="1"/>
  <c r="K969" i="1"/>
  <c r="N968" i="1"/>
  <c r="M968" i="1"/>
  <c r="L968" i="1"/>
  <c r="K968" i="1"/>
  <c r="N967" i="1"/>
  <c r="M967" i="1"/>
  <c r="L967" i="1"/>
  <c r="K967" i="1"/>
  <c r="N966" i="1"/>
  <c r="M966" i="1"/>
  <c r="L966" i="1"/>
  <c r="K966" i="1"/>
  <c r="N965" i="1"/>
  <c r="M965" i="1"/>
  <c r="L965" i="1"/>
  <c r="K965" i="1"/>
  <c r="N964" i="1"/>
  <c r="M964" i="1"/>
  <c r="L964" i="1"/>
  <c r="K964" i="1"/>
  <c r="N963" i="1"/>
  <c r="M963" i="1"/>
  <c r="L963" i="1"/>
  <c r="K963" i="1"/>
  <c r="N962" i="1"/>
  <c r="M962" i="1"/>
  <c r="L962" i="1"/>
  <c r="K962" i="1"/>
  <c r="N961" i="1"/>
  <c r="M961" i="1"/>
  <c r="L961" i="1"/>
  <c r="K961" i="1"/>
  <c r="N960" i="1"/>
  <c r="M960" i="1"/>
  <c r="L960" i="1"/>
  <c r="K960" i="1"/>
  <c r="N959" i="1"/>
  <c r="M959" i="1"/>
  <c r="L959" i="1"/>
  <c r="K959" i="1"/>
  <c r="N958" i="1"/>
  <c r="M958" i="1"/>
  <c r="L958" i="1"/>
  <c r="K958" i="1"/>
  <c r="N957" i="1"/>
  <c r="M957" i="1"/>
  <c r="L957" i="1"/>
  <c r="K957" i="1"/>
  <c r="N956" i="1"/>
  <c r="M956" i="1"/>
  <c r="L956" i="1"/>
  <c r="K956" i="1"/>
  <c r="N955" i="1"/>
  <c r="M955" i="1"/>
  <c r="L955" i="1"/>
  <c r="K955" i="1"/>
  <c r="N954" i="1"/>
  <c r="M954" i="1"/>
  <c r="L954" i="1"/>
  <c r="K954" i="1"/>
  <c r="N953" i="1"/>
  <c r="M953" i="1"/>
  <c r="L953" i="1"/>
  <c r="K953" i="1"/>
  <c r="N952" i="1"/>
  <c r="M952" i="1"/>
  <c r="L952" i="1"/>
  <c r="K952" i="1"/>
  <c r="N951" i="1"/>
  <c r="M951" i="1"/>
  <c r="L951" i="1"/>
  <c r="K951" i="1"/>
  <c r="N950" i="1"/>
  <c r="M950" i="1"/>
  <c r="L950" i="1"/>
  <c r="K950" i="1"/>
  <c r="N949" i="1"/>
  <c r="M949" i="1"/>
  <c r="L949" i="1"/>
  <c r="K949" i="1"/>
  <c r="N948" i="1"/>
  <c r="M948" i="1"/>
  <c r="L948" i="1"/>
  <c r="K948" i="1"/>
  <c r="N947" i="1"/>
  <c r="M947" i="1"/>
  <c r="L947" i="1"/>
  <c r="K947" i="1"/>
  <c r="N946" i="1"/>
  <c r="M946" i="1"/>
  <c r="L946" i="1"/>
  <c r="K946" i="1"/>
  <c r="N945" i="1"/>
  <c r="M945" i="1"/>
  <c r="L945" i="1"/>
  <c r="K945" i="1"/>
  <c r="N944" i="1"/>
  <c r="M944" i="1"/>
  <c r="L944" i="1"/>
  <c r="K944" i="1"/>
  <c r="N943" i="1"/>
  <c r="M943" i="1"/>
  <c r="L943" i="1"/>
  <c r="K943" i="1"/>
  <c r="N942" i="1"/>
  <c r="M942" i="1"/>
  <c r="L942" i="1"/>
  <c r="K942" i="1"/>
  <c r="N941" i="1"/>
  <c r="M941" i="1"/>
  <c r="L941" i="1"/>
  <c r="K941" i="1"/>
  <c r="N940" i="1"/>
  <c r="M940" i="1"/>
  <c r="L940" i="1"/>
  <c r="K940" i="1"/>
  <c r="N939" i="1"/>
  <c r="M939" i="1"/>
  <c r="L939" i="1"/>
  <c r="K939" i="1"/>
  <c r="N938" i="1"/>
  <c r="M938" i="1"/>
  <c r="L938" i="1"/>
  <c r="K938" i="1"/>
  <c r="N937" i="1"/>
  <c r="M937" i="1"/>
  <c r="L937" i="1"/>
  <c r="K937" i="1"/>
  <c r="N936" i="1"/>
  <c r="M936" i="1"/>
  <c r="L936" i="1"/>
  <c r="K936" i="1"/>
  <c r="N935" i="1"/>
  <c r="M935" i="1"/>
  <c r="L935" i="1"/>
  <c r="K935" i="1"/>
  <c r="N934" i="1"/>
  <c r="M934" i="1"/>
  <c r="L934" i="1"/>
  <c r="K934" i="1"/>
  <c r="N933" i="1"/>
  <c r="M933" i="1"/>
  <c r="L933" i="1"/>
  <c r="K933" i="1"/>
  <c r="N932" i="1"/>
  <c r="M932" i="1"/>
  <c r="L932" i="1"/>
  <c r="K932" i="1"/>
  <c r="N931" i="1"/>
  <c r="M931" i="1"/>
  <c r="L931" i="1"/>
  <c r="K931" i="1"/>
  <c r="N930" i="1"/>
  <c r="M930" i="1"/>
  <c r="L930" i="1"/>
  <c r="K930" i="1"/>
  <c r="N929" i="1"/>
  <c r="M929" i="1"/>
  <c r="L929" i="1"/>
  <c r="K929" i="1"/>
  <c r="N928" i="1"/>
  <c r="M928" i="1"/>
  <c r="L928" i="1"/>
  <c r="K928" i="1"/>
  <c r="N927" i="1"/>
  <c r="M927" i="1"/>
  <c r="L927" i="1"/>
  <c r="K927" i="1"/>
  <c r="N926" i="1"/>
  <c r="M926" i="1"/>
  <c r="L926" i="1"/>
  <c r="K926" i="1"/>
  <c r="N925" i="1"/>
  <c r="M925" i="1"/>
  <c r="L925" i="1"/>
  <c r="K925" i="1"/>
  <c r="N924" i="1"/>
  <c r="M924" i="1"/>
  <c r="L924" i="1"/>
  <c r="K924" i="1"/>
  <c r="N923" i="1"/>
  <c r="M923" i="1"/>
  <c r="L923" i="1"/>
  <c r="K923" i="1"/>
  <c r="N922" i="1"/>
  <c r="M922" i="1"/>
  <c r="L922" i="1"/>
  <c r="K922" i="1"/>
  <c r="N921" i="1"/>
  <c r="M921" i="1"/>
  <c r="L921" i="1"/>
  <c r="K921" i="1"/>
  <c r="N920" i="1"/>
  <c r="M920" i="1"/>
  <c r="L920" i="1"/>
  <c r="K920" i="1"/>
  <c r="N919" i="1"/>
  <c r="M919" i="1"/>
  <c r="L919" i="1"/>
  <c r="K919" i="1"/>
  <c r="N918" i="1"/>
  <c r="M918" i="1"/>
  <c r="L918" i="1"/>
  <c r="K918" i="1"/>
  <c r="N917" i="1"/>
  <c r="M917" i="1"/>
  <c r="L917" i="1"/>
  <c r="K917" i="1"/>
  <c r="N916" i="1"/>
  <c r="M916" i="1"/>
  <c r="L916" i="1"/>
  <c r="K916" i="1"/>
  <c r="N915" i="1"/>
  <c r="M915" i="1"/>
  <c r="L915" i="1"/>
  <c r="K915" i="1"/>
  <c r="N914" i="1"/>
  <c r="M914" i="1"/>
  <c r="L914" i="1"/>
  <c r="K914" i="1"/>
  <c r="N913" i="1"/>
  <c r="M913" i="1"/>
  <c r="L913" i="1"/>
  <c r="K913" i="1"/>
  <c r="N912" i="1"/>
  <c r="M912" i="1"/>
  <c r="L912" i="1"/>
  <c r="K912" i="1"/>
  <c r="N911" i="1"/>
  <c r="M911" i="1"/>
  <c r="L911" i="1"/>
  <c r="K911" i="1"/>
  <c r="N910" i="1"/>
  <c r="M910" i="1"/>
  <c r="L910" i="1"/>
  <c r="K910" i="1"/>
  <c r="N909" i="1"/>
  <c r="M909" i="1"/>
  <c r="L909" i="1"/>
  <c r="K909" i="1"/>
  <c r="N908" i="1"/>
  <c r="M908" i="1"/>
  <c r="L908" i="1"/>
  <c r="K908" i="1"/>
  <c r="N907" i="1"/>
  <c r="M907" i="1"/>
  <c r="L907" i="1"/>
  <c r="K907" i="1"/>
  <c r="N906" i="1"/>
  <c r="M906" i="1"/>
  <c r="L906" i="1"/>
  <c r="K906" i="1"/>
  <c r="N905" i="1"/>
  <c r="M905" i="1"/>
  <c r="L905" i="1"/>
  <c r="K905" i="1"/>
  <c r="N904" i="1"/>
  <c r="M904" i="1"/>
  <c r="L904" i="1"/>
  <c r="K904" i="1"/>
  <c r="N903" i="1"/>
  <c r="M903" i="1"/>
  <c r="L903" i="1"/>
  <c r="K903" i="1"/>
  <c r="N902" i="1"/>
  <c r="M902" i="1"/>
  <c r="L902" i="1"/>
  <c r="K902" i="1"/>
  <c r="N901" i="1"/>
  <c r="M901" i="1"/>
  <c r="L901" i="1"/>
  <c r="K901" i="1"/>
  <c r="N900" i="1"/>
  <c r="M900" i="1"/>
  <c r="L900" i="1"/>
  <c r="K900" i="1"/>
  <c r="N899" i="1"/>
  <c r="M899" i="1"/>
  <c r="L899" i="1"/>
  <c r="K899" i="1"/>
  <c r="N898" i="1"/>
  <c r="M898" i="1"/>
  <c r="L898" i="1"/>
  <c r="K898" i="1"/>
  <c r="N897" i="1"/>
  <c r="M897" i="1"/>
  <c r="L897" i="1"/>
  <c r="K897" i="1"/>
  <c r="N896" i="1"/>
  <c r="M896" i="1"/>
  <c r="L896" i="1"/>
  <c r="K896" i="1"/>
  <c r="N895" i="1"/>
  <c r="M895" i="1"/>
  <c r="L895" i="1"/>
  <c r="K895" i="1"/>
  <c r="N894" i="1"/>
  <c r="M894" i="1"/>
  <c r="L894" i="1"/>
  <c r="K894" i="1"/>
  <c r="N893" i="1"/>
  <c r="M893" i="1"/>
  <c r="L893" i="1"/>
  <c r="K893" i="1"/>
  <c r="N892" i="1"/>
  <c r="M892" i="1"/>
  <c r="L892" i="1"/>
  <c r="K892" i="1"/>
  <c r="N891" i="1"/>
  <c r="M891" i="1"/>
  <c r="L891" i="1"/>
  <c r="K891" i="1"/>
  <c r="N890" i="1"/>
  <c r="M890" i="1"/>
  <c r="L890" i="1"/>
  <c r="K890" i="1"/>
  <c r="N889" i="1"/>
  <c r="M889" i="1"/>
  <c r="L889" i="1"/>
  <c r="K889" i="1"/>
  <c r="N888" i="1"/>
  <c r="M888" i="1"/>
  <c r="L888" i="1"/>
  <c r="K888" i="1"/>
  <c r="N887" i="1"/>
  <c r="M887" i="1"/>
  <c r="L887" i="1"/>
  <c r="K887" i="1"/>
  <c r="N886" i="1"/>
  <c r="M886" i="1"/>
  <c r="L886" i="1"/>
  <c r="K886" i="1"/>
  <c r="N885" i="1"/>
  <c r="M885" i="1"/>
  <c r="L885" i="1"/>
  <c r="K885" i="1"/>
  <c r="N884" i="1"/>
  <c r="M884" i="1"/>
  <c r="L884" i="1"/>
  <c r="K884" i="1"/>
  <c r="N883" i="1"/>
  <c r="M883" i="1"/>
  <c r="L883" i="1"/>
  <c r="K883" i="1"/>
  <c r="N882" i="1"/>
  <c r="M882" i="1"/>
  <c r="L882" i="1"/>
  <c r="K882" i="1"/>
  <c r="N881" i="1"/>
  <c r="M881" i="1"/>
  <c r="L881" i="1"/>
  <c r="K881" i="1"/>
  <c r="N880" i="1"/>
  <c r="M880" i="1"/>
  <c r="L880" i="1"/>
  <c r="K880" i="1"/>
  <c r="N879" i="1"/>
  <c r="M879" i="1"/>
  <c r="L879" i="1"/>
  <c r="K879" i="1"/>
  <c r="N878" i="1"/>
  <c r="M878" i="1"/>
  <c r="L878" i="1"/>
  <c r="K878" i="1"/>
  <c r="N877" i="1"/>
  <c r="M877" i="1"/>
  <c r="L877" i="1"/>
  <c r="K877" i="1"/>
  <c r="N876" i="1"/>
  <c r="M876" i="1"/>
  <c r="L876" i="1"/>
  <c r="K876" i="1"/>
  <c r="N875" i="1"/>
  <c r="M875" i="1"/>
  <c r="L875" i="1"/>
  <c r="K875" i="1"/>
  <c r="N874" i="1"/>
  <c r="M874" i="1"/>
  <c r="L874" i="1"/>
  <c r="K874" i="1"/>
  <c r="N873" i="1"/>
  <c r="M873" i="1"/>
  <c r="L873" i="1"/>
  <c r="K873" i="1"/>
  <c r="N872" i="1"/>
  <c r="M872" i="1"/>
  <c r="L872" i="1"/>
  <c r="K872" i="1"/>
  <c r="N871" i="1"/>
  <c r="M871" i="1"/>
  <c r="L871" i="1"/>
  <c r="K871" i="1"/>
  <c r="N870" i="1"/>
  <c r="M870" i="1"/>
  <c r="L870" i="1"/>
  <c r="K870" i="1"/>
  <c r="N869" i="1"/>
  <c r="M869" i="1"/>
  <c r="L869" i="1"/>
  <c r="K869" i="1"/>
  <c r="N868" i="1"/>
  <c r="M868" i="1"/>
  <c r="L868" i="1"/>
  <c r="K868" i="1"/>
  <c r="N867" i="1"/>
  <c r="M867" i="1"/>
  <c r="L867" i="1"/>
  <c r="K867" i="1"/>
  <c r="N866" i="1"/>
  <c r="M866" i="1"/>
  <c r="L866" i="1"/>
  <c r="K866" i="1"/>
  <c r="N865" i="1"/>
  <c r="M865" i="1"/>
  <c r="L865" i="1"/>
  <c r="K865" i="1"/>
  <c r="N864" i="1"/>
  <c r="M864" i="1"/>
  <c r="L864" i="1"/>
  <c r="K864" i="1"/>
  <c r="N863" i="1"/>
  <c r="M863" i="1"/>
  <c r="L863" i="1"/>
  <c r="K863" i="1"/>
  <c r="N862" i="1"/>
  <c r="M862" i="1"/>
  <c r="L862" i="1"/>
  <c r="K862" i="1"/>
  <c r="N861" i="1"/>
  <c r="M861" i="1"/>
  <c r="L861" i="1"/>
  <c r="K861" i="1"/>
  <c r="N860" i="1"/>
  <c r="M860" i="1"/>
  <c r="L860" i="1"/>
  <c r="K860" i="1"/>
  <c r="N859" i="1"/>
  <c r="M859" i="1"/>
  <c r="L859" i="1"/>
  <c r="K859" i="1"/>
  <c r="N858" i="1"/>
  <c r="M858" i="1"/>
  <c r="L858" i="1"/>
  <c r="K858" i="1"/>
  <c r="N857" i="1"/>
  <c r="M857" i="1"/>
  <c r="L857" i="1"/>
  <c r="K857" i="1"/>
  <c r="N856" i="1"/>
  <c r="M856" i="1"/>
  <c r="L856" i="1"/>
  <c r="K856" i="1"/>
  <c r="N855" i="1"/>
  <c r="M855" i="1"/>
  <c r="L855" i="1"/>
  <c r="K855" i="1"/>
  <c r="N854" i="1"/>
  <c r="M854" i="1"/>
  <c r="L854" i="1"/>
  <c r="K854" i="1"/>
  <c r="N853" i="1"/>
  <c r="M853" i="1"/>
  <c r="L853" i="1"/>
  <c r="K853" i="1"/>
  <c r="N852" i="1"/>
  <c r="M852" i="1"/>
  <c r="L852" i="1"/>
  <c r="K852" i="1"/>
  <c r="N851" i="1"/>
  <c r="M851" i="1"/>
  <c r="L851" i="1"/>
  <c r="K851" i="1"/>
  <c r="N850" i="1"/>
  <c r="M850" i="1"/>
  <c r="L850" i="1"/>
  <c r="K850" i="1"/>
  <c r="N849" i="1"/>
  <c r="M849" i="1"/>
  <c r="L849" i="1"/>
  <c r="K849" i="1"/>
  <c r="N848" i="1"/>
  <c r="M848" i="1"/>
  <c r="L848" i="1"/>
  <c r="K848" i="1"/>
  <c r="N847" i="1"/>
  <c r="M847" i="1"/>
  <c r="L847" i="1"/>
  <c r="K847" i="1"/>
  <c r="N846" i="1"/>
  <c r="M846" i="1"/>
  <c r="L846" i="1"/>
  <c r="K846" i="1"/>
  <c r="N845" i="1"/>
  <c r="M845" i="1"/>
  <c r="L845" i="1"/>
  <c r="K845" i="1"/>
  <c r="N844" i="1"/>
  <c r="M844" i="1"/>
  <c r="L844" i="1"/>
  <c r="K844" i="1"/>
  <c r="N843" i="1"/>
  <c r="M843" i="1"/>
  <c r="L843" i="1"/>
  <c r="K843" i="1"/>
  <c r="N842" i="1"/>
  <c r="M842" i="1"/>
  <c r="L842" i="1"/>
  <c r="K842" i="1"/>
  <c r="N841" i="1"/>
  <c r="M841" i="1"/>
  <c r="L841" i="1"/>
  <c r="K841" i="1"/>
  <c r="N840" i="1"/>
  <c r="M840" i="1"/>
  <c r="L840" i="1"/>
  <c r="K840" i="1"/>
  <c r="N839" i="1"/>
  <c r="M839" i="1"/>
  <c r="L839" i="1"/>
  <c r="K839" i="1"/>
  <c r="N838" i="1"/>
  <c r="M838" i="1"/>
  <c r="L838" i="1"/>
  <c r="K838" i="1"/>
  <c r="N837" i="1"/>
  <c r="M837" i="1"/>
  <c r="L837" i="1"/>
  <c r="K837" i="1"/>
  <c r="N836" i="1"/>
  <c r="M836" i="1"/>
  <c r="L836" i="1"/>
  <c r="K836" i="1"/>
  <c r="N835" i="1"/>
  <c r="M835" i="1"/>
  <c r="L835" i="1"/>
  <c r="K835" i="1"/>
  <c r="N834" i="1"/>
  <c r="M834" i="1"/>
  <c r="L834" i="1"/>
  <c r="K834" i="1"/>
  <c r="N833" i="1"/>
  <c r="M833" i="1"/>
  <c r="L833" i="1"/>
  <c r="K833" i="1"/>
  <c r="N832" i="1"/>
  <c r="M832" i="1"/>
  <c r="L832" i="1"/>
  <c r="K832" i="1"/>
  <c r="N831" i="1"/>
  <c r="M831" i="1"/>
  <c r="L831" i="1"/>
  <c r="K831" i="1"/>
  <c r="N830" i="1"/>
  <c r="M830" i="1"/>
  <c r="L830" i="1"/>
  <c r="K830" i="1"/>
  <c r="N829" i="1"/>
  <c r="M829" i="1"/>
  <c r="L829" i="1"/>
  <c r="K829" i="1"/>
  <c r="N828" i="1"/>
  <c r="M828" i="1"/>
  <c r="L828" i="1"/>
  <c r="K828" i="1"/>
  <c r="N827" i="1"/>
  <c r="M827" i="1"/>
  <c r="L827" i="1"/>
  <c r="K827" i="1"/>
  <c r="N826" i="1"/>
  <c r="M826" i="1"/>
  <c r="L826" i="1"/>
  <c r="K826" i="1"/>
  <c r="N825" i="1"/>
  <c r="M825" i="1"/>
  <c r="L825" i="1"/>
  <c r="K825" i="1"/>
  <c r="N824" i="1"/>
  <c r="M824" i="1"/>
  <c r="L824" i="1"/>
  <c r="K824" i="1"/>
  <c r="N823" i="1"/>
  <c r="M823" i="1"/>
  <c r="L823" i="1"/>
  <c r="K823" i="1"/>
  <c r="N822" i="1"/>
  <c r="M822" i="1"/>
  <c r="L822" i="1"/>
  <c r="K822" i="1"/>
  <c r="N821" i="1"/>
  <c r="M821" i="1"/>
  <c r="L821" i="1"/>
  <c r="K821" i="1"/>
  <c r="N820" i="1"/>
  <c r="M820" i="1"/>
  <c r="L820" i="1"/>
  <c r="K820" i="1"/>
  <c r="N819" i="1"/>
  <c r="M819" i="1"/>
  <c r="L819" i="1"/>
  <c r="K819" i="1"/>
  <c r="N818" i="1"/>
  <c r="M818" i="1"/>
  <c r="L818" i="1"/>
  <c r="K818" i="1"/>
  <c r="N817" i="1"/>
  <c r="M817" i="1"/>
  <c r="L817" i="1"/>
  <c r="K817" i="1"/>
  <c r="N816" i="1"/>
  <c r="M816" i="1"/>
  <c r="L816" i="1"/>
  <c r="K816" i="1"/>
  <c r="N815" i="1"/>
  <c r="M815" i="1"/>
  <c r="L815" i="1"/>
  <c r="K815" i="1"/>
  <c r="N814" i="1"/>
  <c r="M814" i="1"/>
  <c r="L814" i="1"/>
  <c r="K814" i="1"/>
  <c r="N813" i="1"/>
  <c r="M813" i="1"/>
  <c r="L813" i="1"/>
  <c r="K813" i="1"/>
  <c r="N812" i="1"/>
  <c r="M812" i="1"/>
  <c r="L812" i="1"/>
  <c r="K812" i="1"/>
  <c r="N811" i="1"/>
  <c r="M811" i="1"/>
  <c r="L811" i="1"/>
  <c r="K811" i="1"/>
  <c r="N810" i="1"/>
  <c r="M810" i="1"/>
  <c r="L810" i="1"/>
  <c r="K810" i="1"/>
  <c r="N809" i="1"/>
  <c r="M809" i="1"/>
  <c r="L809" i="1"/>
  <c r="K809" i="1"/>
  <c r="N808" i="1"/>
  <c r="M808" i="1"/>
  <c r="L808" i="1"/>
  <c r="K808" i="1"/>
  <c r="N807" i="1"/>
  <c r="M807" i="1"/>
  <c r="L807" i="1"/>
  <c r="K807" i="1"/>
  <c r="N806" i="1"/>
  <c r="M806" i="1"/>
  <c r="L806" i="1"/>
  <c r="K806" i="1"/>
  <c r="N805" i="1"/>
  <c r="M805" i="1"/>
  <c r="L805" i="1"/>
  <c r="K805" i="1"/>
  <c r="N804" i="1"/>
  <c r="M804" i="1"/>
  <c r="L804" i="1"/>
  <c r="K804" i="1"/>
  <c r="N803" i="1"/>
  <c r="M803" i="1"/>
  <c r="L803" i="1"/>
  <c r="K803" i="1"/>
  <c r="N802" i="1"/>
  <c r="M802" i="1"/>
  <c r="L802" i="1"/>
  <c r="K802" i="1"/>
  <c r="N801" i="1"/>
  <c r="M801" i="1"/>
  <c r="L801" i="1"/>
  <c r="K801" i="1"/>
  <c r="N800" i="1"/>
  <c r="M800" i="1"/>
  <c r="L800" i="1"/>
  <c r="K800" i="1"/>
  <c r="N799" i="1"/>
  <c r="M799" i="1"/>
  <c r="L799" i="1"/>
  <c r="K799" i="1"/>
  <c r="N798" i="1"/>
  <c r="M798" i="1"/>
  <c r="L798" i="1"/>
  <c r="K798" i="1"/>
  <c r="N797" i="1"/>
  <c r="M797" i="1"/>
  <c r="L797" i="1"/>
  <c r="K797" i="1"/>
  <c r="N796" i="1"/>
  <c r="M796" i="1"/>
  <c r="L796" i="1"/>
  <c r="K796" i="1"/>
  <c r="N795" i="1"/>
  <c r="M795" i="1"/>
  <c r="L795" i="1"/>
  <c r="K795" i="1"/>
  <c r="N794" i="1"/>
  <c r="M794" i="1"/>
  <c r="L794" i="1"/>
  <c r="K794" i="1"/>
  <c r="N793" i="1"/>
  <c r="M793" i="1"/>
  <c r="L793" i="1"/>
  <c r="K793" i="1"/>
  <c r="N792" i="1"/>
  <c r="M792" i="1"/>
  <c r="L792" i="1"/>
  <c r="K792" i="1"/>
  <c r="N791" i="1"/>
  <c r="M791" i="1"/>
  <c r="L791" i="1"/>
  <c r="K791" i="1"/>
  <c r="N790" i="1"/>
  <c r="M790" i="1"/>
  <c r="L790" i="1"/>
  <c r="K790" i="1"/>
  <c r="N789" i="1"/>
  <c r="M789" i="1"/>
  <c r="L789" i="1"/>
  <c r="K789" i="1"/>
  <c r="N788" i="1"/>
  <c r="M788" i="1"/>
  <c r="L788" i="1"/>
  <c r="K788" i="1"/>
  <c r="N787" i="1"/>
  <c r="M787" i="1"/>
  <c r="L787" i="1"/>
  <c r="K787" i="1"/>
  <c r="N786" i="1"/>
  <c r="M786" i="1"/>
  <c r="L786" i="1"/>
  <c r="K786" i="1"/>
  <c r="N785" i="1"/>
  <c r="M785" i="1"/>
  <c r="L785" i="1"/>
  <c r="K785" i="1"/>
  <c r="N784" i="1"/>
  <c r="M784" i="1"/>
  <c r="L784" i="1"/>
  <c r="K784" i="1"/>
  <c r="N783" i="1"/>
  <c r="M783" i="1"/>
  <c r="L783" i="1"/>
  <c r="K783" i="1"/>
  <c r="N782" i="1"/>
  <c r="M782" i="1"/>
  <c r="L782" i="1"/>
  <c r="K782" i="1"/>
  <c r="N781" i="1"/>
  <c r="M781" i="1"/>
  <c r="L781" i="1"/>
  <c r="K781" i="1"/>
  <c r="N780" i="1"/>
  <c r="M780" i="1"/>
  <c r="L780" i="1"/>
  <c r="K780" i="1"/>
  <c r="N779" i="1"/>
  <c r="M779" i="1"/>
  <c r="L779" i="1"/>
  <c r="K779" i="1"/>
  <c r="N778" i="1"/>
  <c r="M778" i="1"/>
  <c r="L778" i="1"/>
  <c r="K778" i="1"/>
  <c r="N777" i="1"/>
  <c r="M777" i="1"/>
  <c r="L777" i="1"/>
  <c r="K777" i="1"/>
  <c r="N776" i="1"/>
  <c r="M776" i="1"/>
  <c r="L776" i="1"/>
  <c r="K776" i="1"/>
  <c r="N775" i="1"/>
  <c r="M775" i="1"/>
  <c r="L775" i="1"/>
  <c r="K775" i="1"/>
  <c r="N774" i="1"/>
  <c r="M774" i="1"/>
  <c r="L774" i="1"/>
  <c r="K774" i="1"/>
  <c r="N773" i="1"/>
  <c r="M773" i="1"/>
  <c r="L773" i="1"/>
  <c r="K773" i="1"/>
  <c r="N772" i="1"/>
  <c r="M772" i="1"/>
  <c r="L772" i="1"/>
  <c r="K772" i="1"/>
  <c r="N771" i="1"/>
  <c r="M771" i="1"/>
  <c r="L771" i="1"/>
  <c r="K771" i="1"/>
  <c r="N770" i="1"/>
  <c r="M770" i="1"/>
  <c r="L770" i="1"/>
  <c r="K770" i="1"/>
  <c r="N769" i="1"/>
  <c r="M769" i="1"/>
  <c r="L769" i="1"/>
  <c r="K769" i="1"/>
  <c r="N768" i="1"/>
  <c r="M768" i="1"/>
  <c r="L768" i="1"/>
  <c r="K768" i="1"/>
  <c r="N767" i="1"/>
  <c r="M767" i="1"/>
  <c r="L767" i="1"/>
  <c r="K767" i="1"/>
  <c r="N766" i="1"/>
  <c r="M766" i="1"/>
  <c r="L766" i="1"/>
  <c r="K766" i="1"/>
  <c r="N765" i="1"/>
  <c r="M765" i="1"/>
  <c r="L765" i="1"/>
  <c r="K765" i="1"/>
  <c r="N764" i="1"/>
  <c r="M764" i="1"/>
  <c r="L764" i="1"/>
  <c r="K764" i="1"/>
  <c r="N763" i="1"/>
  <c r="M763" i="1"/>
  <c r="L763" i="1"/>
  <c r="K763" i="1"/>
  <c r="N762" i="1"/>
  <c r="M762" i="1"/>
  <c r="L762" i="1"/>
  <c r="K762" i="1"/>
  <c r="N761" i="1"/>
  <c r="M761" i="1"/>
  <c r="L761" i="1"/>
  <c r="K761" i="1"/>
  <c r="N760" i="1"/>
  <c r="M760" i="1"/>
  <c r="L760" i="1"/>
  <c r="K760" i="1"/>
  <c r="N759" i="1"/>
  <c r="M759" i="1"/>
  <c r="L759" i="1"/>
  <c r="K759" i="1"/>
  <c r="N758" i="1"/>
  <c r="M758" i="1"/>
  <c r="L758" i="1"/>
  <c r="K758" i="1"/>
  <c r="N757" i="1"/>
  <c r="M757" i="1"/>
  <c r="L757" i="1"/>
  <c r="K757" i="1"/>
  <c r="N756" i="1"/>
  <c r="M756" i="1"/>
  <c r="L756" i="1"/>
  <c r="K756" i="1"/>
  <c r="N755" i="1"/>
  <c r="M755" i="1"/>
  <c r="L755" i="1"/>
  <c r="K755" i="1"/>
  <c r="N754" i="1"/>
  <c r="M754" i="1"/>
  <c r="L754" i="1"/>
  <c r="K754" i="1"/>
  <c r="N753" i="1"/>
  <c r="M753" i="1"/>
  <c r="L753" i="1"/>
  <c r="K753" i="1"/>
  <c r="N752" i="1"/>
  <c r="M752" i="1"/>
  <c r="L752" i="1"/>
  <c r="K752" i="1"/>
  <c r="N751" i="1"/>
  <c r="M751" i="1"/>
  <c r="L751" i="1"/>
  <c r="K751" i="1"/>
  <c r="N750" i="1"/>
  <c r="M750" i="1"/>
  <c r="L750" i="1"/>
  <c r="K750" i="1"/>
  <c r="N749" i="1"/>
  <c r="M749" i="1"/>
  <c r="L749" i="1"/>
  <c r="K749" i="1"/>
  <c r="N748" i="1"/>
  <c r="M748" i="1"/>
  <c r="L748" i="1"/>
  <c r="K748" i="1"/>
  <c r="N747" i="1"/>
  <c r="M747" i="1"/>
  <c r="L747" i="1"/>
  <c r="K747" i="1"/>
  <c r="N746" i="1"/>
  <c r="M746" i="1"/>
  <c r="L746" i="1"/>
  <c r="K746" i="1"/>
  <c r="N745" i="1"/>
  <c r="M745" i="1"/>
  <c r="L745" i="1"/>
  <c r="K745" i="1"/>
  <c r="N744" i="1"/>
  <c r="M744" i="1"/>
  <c r="L744" i="1"/>
  <c r="K744" i="1"/>
  <c r="N743" i="1"/>
  <c r="M743" i="1"/>
  <c r="L743" i="1"/>
  <c r="K743" i="1"/>
  <c r="N742" i="1"/>
  <c r="M742" i="1"/>
  <c r="L742" i="1"/>
  <c r="K742" i="1"/>
  <c r="N741" i="1"/>
  <c r="M741" i="1"/>
  <c r="L741" i="1"/>
  <c r="K741" i="1"/>
  <c r="N740" i="1"/>
  <c r="M740" i="1"/>
  <c r="L740" i="1"/>
  <c r="K740" i="1"/>
  <c r="N739" i="1"/>
  <c r="M739" i="1"/>
  <c r="L739" i="1"/>
  <c r="K739" i="1"/>
  <c r="N738" i="1"/>
  <c r="M738" i="1"/>
  <c r="L738" i="1"/>
  <c r="K738" i="1"/>
  <c r="N737" i="1"/>
  <c r="M737" i="1"/>
  <c r="L737" i="1"/>
  <c r="K737" i="1"/>
  <c r="N736" i="1"/>
  <c r="M736" i="1"/>
  <c r="L736" i="1"/>
  <c r="K736" i="1"/>
  <c r="N735" i="1"/>
  <c r="M735" i="1"/>
  <c r="L735" i="1"/>
  <c r="K735" i="1"/>
  <c r="N734" i="1"/>
  <c r="M734" i="1"/>
  <c r="L734" i="1"/>
  <c r="K734" i="1"/>
  <c r="N733" i="1"/>
  <c r="M733" i="1"/>
  <c r="L733" i="1"/>
  <c r="K733" i="1"/>
  <c r="N732" i="1"/>
  <c r="M732" i="1"/>
  <c r="L732" i="1"/>
  <c r="K732" i="1"/>
  <c r="N731" i="1"/>
  <c r="M731" i="1"/>
  <c r="L731" i="1"/>
  <c r="K731" i="1"/>
  <c r="N730" i="1"/>
  <c r="M730" i="1"/>
  <c r="L730" i="1"/>
  <c r="K730" i="1"/>
  <c r="N729" i="1"/>
  <c r="M729" i="1"/>
  <c r="L729" i="1"/>
  <c r="K729" i="1"/>
  <c r="N728" i="1"/>
  <c r="M728" i="1"/>
  <c r="L728" i="1"/>
  <c r="K728" i="1"/>
  <c r="N727" i="1"/>
  <c r="M727" i="1"/>
  <c r="L727" i="1"/>
  <c r="K727" i="1"/>
  <c r="N726" i="1"/>
  <c r="M726" i="1"/>
  <c r="L726" i="1"/>
  <c r="K726" i="1"/>
  <c r="N725" i="1"/>
  <c r="M725" i="1"/>
  <c r="L725" i="1"/>
  <c r="K725" i="1"/>
  <c r="N724" i="1"/>
  <c r="M724" i="1"/>
  <c r="L724" i="1"/>
  <c r="K724" i="1"/>
  <c r="N723" i="1"/>
  <c r="M723" i="1"/>
  <c r="L723" i="1"/>
  <c r="K723" i="1"/>
  <c r="N722" i="1"/>
  <c r="M722" i="1"/>
  <c r="L722" i="1"/>
  <c r="K722" i="1"/>
  <c r="N721" i="1"/>
  <c r="M721" i="1"/>
  <c r="L721" i="1"/>
  <c r="K721" i="1"/>
  <c r="N720" i="1"/>
  <c r="M720" i="1"/>
  <c r="L720" i="1"/>
  <c r="K720" i="1"/>
  <c r="N719" i="1"/>
  <c r="M719" i="1"/>
  <c r="L719" i="1"/>
  <c r="K719" i="1"/>
  <c r="N718" i="1"/>
  <c r="M718" i="1"/>
  <c r="L718" i="1"/>
  <c r="K718" i="1"/>
  <c r="N717" i="1"/>
  <c r="M717" i="1"/>
  <c r="L717" i="1"/>
  <c r="K717" i="1"/>
  <c r="N716" i="1"/>
  <c r="M716" i="1"/>
  <c r="L716" i="1"/>
  <c r="K716" i="1"/>
  <c r="N715" i="1"/>
  <c r="M715" i="1"/>
  <c r="L715" i="1"/>
  <c r="K715" i="1"/>
  <c r="N714" i="1"/>
  <c r="M714" i="1"/>
  <c r="L714" i="1"/>
  <c r="K714" i="1"/>
  <c r="N713" i="1"/>
  <c r="M713" i="1"/>
  <c r="L713" i="1"/>
  <c r="K713" i="1"/>
  <c r="N712" i="1"/>
  <c r="M712" i="1"/>
  <c r="L712" i="1"/>
  <c r="K712" i="1"/>
  <c r="N711" i="1"/>
  <c r="M711" i="1"/>
  <c r="L711" i="1"/>
  <c r="K711" i="1"/>
  <c r="N710" i="1"/>
  <c r="M710" i="1"/>
  <c r="L710" i="1"/>
  <c r="K710" i="1"/>
  <c r="N709" i="1"/>
  <c r="M709" i="1"/>
  <c r="L709" i="1"/>
  <c r="K709" i="1"/>
  <c r="N708" i="1"/>
  <c r="M708" i="1"/>
  <c r="L708" i="1"/>
  <c r="K708" i="1"/>
  <c r="N707" i="1"/>
  <c r="M707" i="1"/>
  <c r="L707" i="1"/>
  <c r="K707" i="1"/>
  <c r="N706" i="1"/>
  <c r="M706" i="1"/>
  <c r="L706" i="1"/>
  <c r="K706" i="1"/>
  <c r="N705" i="1"/>
  <c r="M705" i="1"/>
  <c r="L705" i="1"/>
  <c r="K705" i="1"/>
  <c r="N704" i="1"/>
  <c r="M704" i="1"/>
  <c r="L704" i="1"/>
  <c r="K704" i="1"/>
  <c r="N703" i="1"/>
  <c r="M703" i="1"/>
  <c r="L703" i="1"/>
  <c r="K703" i="1"/>
  <c r="N702" i="1"/>
  <c r="M702" i="1"/>
  <c r="L702" i="1"/>
  <c r="K702" i="1"/>
  <c r="N701" i="1"/>
  <c r="M701" i="1"/>
  <c r="L701" i="1"/>
  <c r="K701" i="1"/>
  <c r="N700" i="1"/>
  <c r="M700" i="1"/>
  <c r="L700" i="1"/>
  <c r="K700" i="1"/>
  <c r="N699" i="1"/>
  <c r="M699" i="1"/>
  <c r="L699" i="1"/>
  <c r="K699" i="1"/>
  <c r="N698" i="1"/>
  <c r="M698" i="1"/>
  <c r="L698" i="1"/>
  <c r="K698" i="1"/>
  <c r="N697" i="1"/>
  <c r="M697" i="1"/>
  <c r="L697" i="1"/>
  <c r="K697" i="1"/>
  <c r="N696" i="1"/>
  <c r="M696" i="1"/>
  <c r="L696" i="1"/>
  <c r="K696" i="1"/>
  <c r="N695" i="1"/>
  <c r="M695" i="1"/>
  <c r="L695" i="1"/>
  <c r="K695" i="1"/>
  <c r="N694" i="1"/>
  <c r="M694" i="1"/>
  <c r="L694" i="1"/>
  <c r="K694" i="1"/>
  <c r="N693" i="1"/>
  <c r="M693" i="1"/>
  <c r="L693" i="1"/>
  <c r="K693" i="1"/>
  <c r="N692" i="1"/>
  <c r="M692" i="1"/>
  <c r="L692" i="1"/>
  <c r="K692" i="1"/>
  <c r="N691" i="1"/>
  <c r="M691" i="1"/>
  <c r="L691" i="1"/>
  <c r="K691" i="1"/>
  <c r="N690" i="1"/>
  <c r="M690" i="1"/>
  <c r="L690" i="1"/>
  <c r="K690" i="1"/>
  <c r="N689" i="1"/>
  <c r="M689" i="1"/>
  <c r="L689" i="1"/>
  <c r="K689" i="1"/>
  <c r="N688" i="1"/>
  <c r="M688" i="1"/>
  <c r="L688" i="1"/>
  <c r="K688" i="1"/>
  <c r="N687" i="1"/>
  <c r="M687" i="1"/>
  <c r="L687" i="1"/>
  <c r="K687" i="1"/>
  <c r="N686" i="1"/>
  <c r="M686" i="1"/>
  <c r="L686" i="1"/>
  <c r="K686" i="1"/>
  <c r="N685" i="1"/>
  <c r="M685" i="1"/>
  <c r="L685" i="1"/>
  <c r="K685" i="1"/>
  <c r="N684" i="1"/>
  <c r="M684" i="1"/>
  <c r="L684" i="1"/>
  <c r="K684" i="1"/>
  <c r="N683" i="1"/>
  <c r="M683" i="1"/>
  <c r="L683" i="1"/>
  <c r="K683" i="1"/>
  <c r="N682" i="1"/>
  <c r="M682" i="1"/>
  <c r="L682" i="1"/>
  <c r="K682" i="1"/>
  <c r="N681" i="1"/>
  <c r="M681" i="1"/>
  <c r="L681" i="1"/>
  <c r="K681" i="1"/>
  <c r="N680" i="1"/>
  <c r="M680" i="1"/>
  <c r="L680" i="1"/>
  <c r="K680" i="1"/>
  <c r="N679" i="1"/>
  <c r="M679" i="1"/>
  <c r="L679" i="1"/>
  <c r="K679" i="1"/>
  <c r="N678" i="1"/>
  <c r="M678" i="1"/>
  <c r="L678" i="1"/>
  <c r="K678" i="1"/>
  <c r="N677" i="1"/>
  <c r="M677" i="1"/>
  <c r="L677" i="1"/>
  <c r="K677" i="1"/>
  <c r="N676" i="1"/>
  <c r="M676" i="1"/>
  <c r="L676" i="1"/>
  <c r="K676" i="1"/>
  <c r="N675" i="1"/>
  <c r="M675" i="1"/>
  <c r="L675" i="1"/>
  <c r="K675" i="1"/>
  <c r="N674" i="1"/>
  <c r="M674" i="1"/>
  <c r="L674" i="1"/>
  <c r="K674" i="1"/>
  <c r="N673" i="1"/>
  <c r="M673" i="1"/>
  <c r="L673" i="1"/>
  <c r="K673" i="1"/>
  <c r="N672" i="1"/>
  <c r="M672" i="1"/>
  <c r="L672" i="1"/>
  <c r="K672" i="1"/>
  <c r="N671" i="1"/>
  <c r="M671" i="1"/>
  <c r="L671" i="1"/>
  <c r="K671" i="1"/>
  <c r="N670" i="1"/>
  <c r="M670" i="1"/>
  <c r="L670" i="1"/>
  <c r="K670" i="1"/>
  <c r="N669" i="1"/>
  <c r="M669" i="1"/>
  <c r="L669" i="1"/>
  <c r="K669" i="1"/>
  <c r="N668" i="1"/>
  <c r="M668" i="1"/>
  <c r="L668" i="1"/>
  <c r="K668" i="1"/>
  <c r="N667" i="1"/>
  <c r="M667" i="1"/>
  <c r="L667" i="1"/>
  <c r="K667" i="1"/>
  <c r="N666" i="1"/>
  <c r="M666" i="1"/>
  <c r="L666" i="1"/>
  <c r="K666" i="1"/>
  <c r="N665" i="1"/>
  <c r="M665" i="1"/>
  <c r="L665" i="1"/>
  <c r="K665" i="1"/>
  <c r="N664" i="1"/>
  <c r="M664" i="1"/>
  <c r="L664" i="1"/>
  <c r="K664" i="1"/>
  <c r="N663" i="1"/>
  <c r="M663" i="1"/>
  <c r="L663" i="1"/>
  <c r="K663" i="1"/>
  <c r="N662" i="1"/>
  <c r="M662" i="1"/>
  <c r="L662" i="1"/>
  <c r="K662" i="1"/>
  <c r="N661" i="1"/>
  <c r="M661" i="1"/>
  <c r="L661" i="1"/>
  <c r="K661" i="1"/>
  <c r="N660" i="1"/>
  <c r="M660" i="1"/>
  <c r="L660" i="1"/>
  <c r="K660" i="1"/>
  <c r="N659" i="1"/>
  <c r="M659" i="1"/>
  <c r="L659" i="1"/>
  <c r="K659" i="1"/>
  <c r="N658" i="1"/>
  <c r="M658" i="1"/>
  <c r="L658" i="1"/>
  <c r="K658" i="1"/>
  <c r="N657" i="1"/>
  <c r="M657" i="1"/>
  <c r="L657" i="1"/>
  <c r="K657" i="1"/>
  <c r="N656" i="1"/>
  <c r="M656" i="1"/>
  <c r="L656" i="1"/>
  <c r="K656" i="1"/>
  <c r="N655" i="1"/>
  <c r="M655" i="1"/>
  <c r="L655" i="1"/>
  <c r="K655" i="1"/>
  <c r="N654" i="1"/>
  <c r="M654" i="1"/>
  <c r="L654" i="1"/>
  <c r="K654" i="1"/>
  <c r="N653" i="1"/>
  <c r="M653" i="1"/>
  <c r="L653" i="1"/>
  <c r="K653" i="1"/>
  <c r="N652" i="1"/>
  <c r="M652" i="1"/>
  <c r="L652" i="1"/>
  <c r="K652" i="1"/>
  <c r="N651" i="1"/>
  <c r="M651" i="1"/>
  <c r="L651" i="1"/>
  <c r="K651" i="1"/>
  <c r="N650" i="1"/>
  <c r="M650" i="1"/>
  <c r="L650" i="1"/>
  <c r="K650" i="1"/>
  <c r="N649" i="1"/>
  <c r="M649" i="1"/>
  <c r="L649" i="1"/>
  <c r="K649" i="1"/>
  <c r="N648" i="1"/>
  <c r="M648" i="1"/>
  <c r="L648" i="1"/>
  <c r="K648" i="1"/>
  <c r="N647" i="1"/>
  <c r="M647" i="1"/>
  <c r="L647" i="1"/>
  <c r="K647" i="1"/>
  <c r="N646" i="1"/>
  <c r="M646" i="1"/>
  <c r="L646" i="1"/>
  <c r="K646" i="1"/>
  <c r="N645" i="1"/>
  <c r="M645" i="1"/>
  <c r="L645" i="1"/>
  <c r="K645" i="1"/>
  <c r="N644" i="1"/>
  <c r="M644" i="1"/>
  <c r="L644" i="1"/>
  <c r="K644" i="1"/>
  <c r="N643" i="1"/>
  <c r="M643" i="1"/>
  <c r="L643" i="1"/>
  <c r="K643" i="1"/>
  <c r="N642" i="1"/>
  <c r="M642" i="1"/>
  <c r="L642" i="1"/>
  <c r="K642" i="1"/>
  <c r="N641" i="1"/>
  <c r="M641" i="1"/>
  <c r="L641" i="1"/>
  <c r="K641" i="1"/>
  <c r="N640" i="1"/>
  <c r="M640" i="1"/>
  <c r="L640" i="1"/>
  <c r="K640" i="1"/>
  <c r="N639" i="1"/>
  <c r="M639" i="1"/>
  <c r="L639" i="1"/>
  <c r="K639" i="1"/>
  <c r="N638" i="1"/>
  <c r="M638" i="1"/>
  <c r="L638" i="1"/>
  <c r="K638" i="1"/>
  <c r="N637" i="1"/>
  <c r="M637" i="1"/>
  <c r="L637" i="1"/>
  <c r="K637" i="1"/>
  <c r="N636" i="1"/>
  <c r="M636" i="1"/>
  <c r="L636" i="1"/>
  <c r="K636" i="1"/>
  <c r="N635" i="1"/>
  <c r="M635" i="1"/>
  <c r="L635" i="1"/>
  <c r="K635" i="1"/>
  <c r="N634" i="1"/>
  <c r="M634" i="1"/>
  <c r="L634" i="1"/>
  <c r="K634" i="1"/>
  <c r="N633" i="1"/>
  <c r="M633" i="1"/>
  <c r="L633" i="1"/>
  <c r="K633" i="1"/>
  <c r="N632" i="1"/>
  <c r="M632" i="1"/>
  <c r="L632" i="1"/>
  <c r="K632" i="1"/>
  <c r="N631" i="1"/>
  <c r="M631" i="1"/>
  <c r="L631" i="1"/>
  <c r="K631" i="1"/>
  <c r="N630" i="1"/>
  <c r="M630" i="1"/>
  <c r="L630" i="1"/>
  <c r="K630" i="1"/>
  <c r="N629" i="1"/>
  <c r="M629" i="1"/>
  <c r="L629" i="1"/>
  <c r="K629" i="1"/>
  <c r="N628" i="1"/>
  <c r="M628" i="1"/>
  <c r="L628" i="1"/>
  <c r="K628" i="1"/>
  <c r="N627" i="1"/>
  <c r="M627" i="1"/>
  <c r="L627" i="1"/>
  <c r="K627" i="1"/>
  <c r="N626" i="1"/>
  <c r="M626" i="1"/>
  <c r="L626" i="1"/>
  <c r="K626" i="1"/>
  <c r="N625" i="1"/>
  <c r="M625" i="1"/>
  <c r="L625" i="1"/>
  <c r="K625" i="1"/>
  <c r="N624" i="1"/>
  <c r="M624" i="1"/>
  <c r="L624" i="1"/>
  <c r="K624" i="1"/>
  <c r="N623" i="1"/>
  <c r="M623" i="1"/>
  <c r="L623" i="1"/>
  <c r="K623" i="1"/>
  <c r="N622" i="1"/>
  <c r="M622" i="1"/>
  <c r="L622" i="1"/>
  <c r="K622" i="1"/>
  <c r="N621" i="1"/>
  <c r="M621" i="1"/>
  <c r="L621" i="1"/>
  <c r="K621" i="1"/>
  <c r="N620" i="1"/>
  <c r="M620" i="1"/>
  <c r="L620" i="1"/>
  <c r="K620" i="1"/>
  <c r="N619" i="1"/>
  <c r="M619" i="1"/>
  <c r="L619" i="1"/>
  <c r="K619" i="1"/>
  <c r="N618" i="1"/>
  <c r="M618" i="1"/>
  <c r="L618" i="1"/>
  <c r="K618" i="1"/>
  <c r="N617" i="1"/>
  <c r="M617" i="1"/>
  <c r="L617" i="1"/>
  <c r="K617" i="1"/>
  <c r="N616" i="1"/>
  <c r="M616" i="1"/>
  <c r="L616" i="1"/>
  <c r="K616" i="1"/>
  <c r="N615" i="1"/>
  <c r="M615" i="1"/>
  <c r="L615" i="1"/>
  <c r="K615" i="1"/>
  <c r="N614" i="1"/>
  <c r="M614" i="1"/>
  <c r="L614" i="1"/>
  <c r="K614" i="1"/>
  <c r="N613" i="1"/>
  <c r="M613" i="1"/>
  <c r="L613" i="1"/>
  <c r="K613" i="1"/>
  <c r="N612" i="1"/>
  <c r="M612" i="1"/>
  <c r="L612" i="1"/>
  <c r="K612" i="1"/>
  <c r="N611" i="1"/>
  <c r="M611" i="1"/>
  <c r="L611" i="1"/>
  <c r="K611" i="1"/>
  <c r="N610" i="1"/>
  <c r="M610" i="1"/>
  <c r="L610" i="1"/>
  <c r="K610" i="1"/>
  <c r="N609" i="1"/>
  <c r="M609" i="1"/>
  <c r="L609" i="1"/>
  <c r="K609" i="1"/>
  <c r="N608" i="1"/>
  <c r="M608" i="1"/>
  <c r="L608" i="1"/>
  <c r="K608" i="1"/>
  <c r="N607" i="1"/>
  <c r="M607" i="1"/>
  <c r="L607" i="1"/>
  <c r="K607" i="1"/>
  <c r="N606" i="1"/>
  <c r="M606" i="1"/>
  <c r="L606" i="1"/>
  <c r="K606" i="1"/>
  <c r="N605" i="1"/>
  <c r="M605" i="1"/>
  <c r="L605" i="1"/>
  <c r="K605" i="1"/>
  <c r="N604" i="1"/>
  <c r="M604" i="1"/>
  <c r="L604" i="1"/>
  <c r="K604" i="1"/>
  <c r="N603" i="1"/>
  <c r="M603" i="1"/>
  <c r="L603" i="1"/>
  <c r="K603" i="1"/>
  <c r="N602" i="1"/>
  <c r="M602" i="1"/>
  <c r="L602" i="1"/>
  <c r="K602" i="1"/>
  <c r="N601" i="1"/>
  <c r="M601" i="1"/>
  <c r="L601" i="1"/>
  <c r="K601" i="1"/>
  <c r="N600" i="1"/>
  <c r="M600" i="1"/>
  <c r="L600" i="1"/>
  <c r="K600" i="1"/>
  <c r="N599" i="1"/>
  <c r="M599" i="1"/>
  <c r="L599" i="1"/>
  <c r="K599" i="1"/>
  <c r="N598" i="1"/>
  <c r="M598" i="1"/>
  <c r="L598" i="1"/>
  <c r="K598" i="1"/>
  <c r="N597" i="1"/>
  <c r="M597" i="1"/>
  <c r="L597" i="1"/>
  <c r="K597" i="1"/>
  <c r="N596" i="1"/>
  <c r="M596" i="1"/>
  <c r="L596" i="1"/>
  <c r="K596" i="1"/>
  <c r="N595" i="1"/>
  <c r="M595" i="1"/>
  <c r="L595" i="1"/>
  <c r="K595" i="1"/>
  <c r="N594" i="1"/>
  <c r="M594" i="1"/>
  <c r="L594" i="1"/>
  <c r="K594" i="1"/>
  <c r="N593" i="1"/>
  <c r="M593" i="1"/>
  <c r="L593" i="1"/>
  <c r="K593" i="1"/>
  <c r="N592" i="1"/>
  <c r="M592" i="1"/>
  <c r="L592" i="1"/>
  <c r="K592" i="1"/>
  <c r="N591" i="1"/>
  <c r="M591" i="1"/>
  <c r="L591" i="1"/>
  <c r="K591" i="1"/>
  <c r="N590" i="1"/>
  <c r="M590" i="1"/>
  <c r="L590" i="1"/>
  <c r="K590" i="1"/>
  <c r="N589" i="1"/>
  <c r="M589" i="1"/>
  <c r="L589" i="1"/>
  <c r="K589" i="1"/>
  <c r="N588" i="1"/>
  <c r="M588" i="1"/>
  <c r="L588" i="1"/>
  <c r="K588" i="1"/>
  <c r="N587" i="1"/>
  <c r="M587" i="1"/>
  <c r="L587" i="1"/>
  <c r="K587" i="1"/>
  <c r="N586" i="1"/>
  <c r="M586" i="1"/>
  <c r="L586" i="1"/>
  <c r="K586" i="1"/>
  <c r="N585" i="1"/>
  <c r="M585" i="1"/>
  <c r="L585" i="1"/>
  <c r="K585" i="1"/>
  <c r="N584" i="1"/>
  <c r="M584" i="1"/>
  <c r="L584" i="1"/>
  <c r="K584" i="1"/>
  <c r="N583" i="1"/>
  <c r="M583" i="1"/>
  <c r="L583" i="1"/>
  <c r="K583" i="1"/>
  <c r="N582" i="1"/>
  <c r="M582" i="1"/>
  <c r="L582" i="1"/>
  <c r="K582" i="1"/>
  <c r="N581" i="1"/>
  <c r="M581" i="1"/>
  <c r="L581" i="1"/>
  <c r="K581" i="1"/>
  <c r="N580" i="1"/>
  <c r="M580" i="1"/>
  <c r="L580" i="1"/>
  <c r="K580" i="1"/>
  <c r="N579" i="1"/>
  <c r="M579" i="1"/>
  <c r="L579" i="1"/>
  <c r="K579" i="1"/>
  <c r="N578" i="1"/>
  <c r="M578" i="1"/>
  <c r="L578" i="1"/>
  <c r="K578" i="1"/>
  <c r="N577" i="1"/>
  <c r="M577" i="1"/>
  <c r="L577" i="1"/>
  <c r="K577" i="1"/>
  <c r="N576" i="1"/>
  <c r="M576" i="1"/>
  <c r="L576" i="1"/>
  <c r="K576" i="1"/>
  <c r="N575" i="1"/>
  <c r="M575" i="1"/>
  <c r="L575" i="1"/>
  <c r="K575" i="1"/>
  <c r="N574" i="1"/>
  <c r="M574" i="1"/>
  <c r="L574" i="1"/>
  <c r="K574" i="1"/>
  <c r="N573" i="1"/>
  <c r="M573" i="1"/>
  <c r="L573" i="1"/>
  <c r="K573" i="1"/>
  <c r="N572" i="1"/>
  <c r="M572" i="1"/>
  <c r="L572" i="1"/>
  <c r="K572" i="1"/>
  <c r="N571" i="1"/>
  <c r="M571" i="1"/>
  <c r="L571" i="1"/>
  <c r="K571" i="1"/>
  <c r="N570" i="1"/>
  <c r="M570" i="1"/>
  <c r="L570" i="1"/>
  <c r="K570" i="1"/>
  <c r="N569" i="1"/>
  <c r="M569" i="1"/>
  <c r="L569" i="1"/>
  <c r="K569" i="1"/>
  <c r="N568" i="1"/>
  <c r="M568" i="1"/>
  <c r="L568" i="1"/>
  <c r="K568" i="1"/>
  <c r="N567" i="1"/>
  <c r="M567" i="1"/>
  <c r="L567" i="1"/>
  <c r="K567" i="1"/>
  <c r="N566" i="1"/>
  <c r="M566" i="1"/>
  <c r="L566" i="1"/>
  <c r="K566" i="1"/>
  <c r="N565" i="1"/>
  <c r="M565" i="1"/>
  <c r="L565" i="1"/>
  <c r="K565" i="1"/>
  <c r="N564" i="1"/>
  <c r="M564" i="1"/>
  <c r="L564" i="1"/>
  <c r="K564" i="1"/>
  <c r="N563" i="1"/>
  <c r="M563" i="1"/>
  <c r="L563" i="1"/>
  <c r="K563" i="1"/>
  <c r="N562" i="1"/>
  <c r="M562" i="1"/>
  <c r="L562" i="1"/>
  <c r="K562" i="1"/>
  <c r="N561" i="1"/>
  <c r="M561" i="1"/>
  <c r="L561" i="1"/>
  <c r="K561" i="1"/>
  <c r="N560" i="1"/>
  <c r="M560" i="1"/>
  <c r="L560" i="1"/>
  <c r="K560" i="1"/>
  <c r="N559" i="1"/>
  <c r="M559" i="1"/>
  <c r="L559" i="1"/>
  <c r="K559" i="1"/>
  <c r="N558" i="1"/>
  <c r="M558" i="1"/>
  <c r="L558" i="1"/>
  <c r="K558" i="1"/>
  <c r="N557" i="1"/>
  <c r="M557" i="1"/>
  <c r="L557" i="1"/>
  <c r="K557" i="1"/>
  <c r="N556" i="1"/>
  <c r="M556" i="1"/>
  <c r="L556" i="1"/>
  <c r="K556" i="1"/>
  <c r="N555" i="1"/>
  <c r="M555" i="1"/>
  <c r="L555" i="1"/>
  <c r="K555" i="1"/>
  <c r="N554" i="1"/>
  <c r="M554" i="1"/>
  <c r="L554" i="1"/>
  <c r="K554" i="1"/>
  <c r="N553" i="1"/>
  <c r="M553" i="1"/>
  <c r="L553" i="1"/>
  <c r="K553" i="1"/>
  <c r="N552" i="1"/>
  <c r="M552" i="1"/>
  <c r="L552" i="1"/>
  <c r="K552" i="1"/>
  <c r="N551" i="1"/>
  <c r="M551" i="1"/>
  <c r="L551" i="1"/>
  <c r="K551" i="1"/>
  <c r="N550" i="1"/>
  <c r="M550" i="1"/>
  <c r="L550" i="1"/>
  <c r="K550" i="1"/>
  <c r="N549" i="1"/>
  <c r="M549" i="1"/>
  <c r="L549" i="1"/>
  <c r="K549" i="1"/>
  <c r="N548" i="1"/>
  <c r="M548" i="1"/>
  <c r="L548" i="1"/>
  <c r="K548" i="1"/>
  <c r="N547" i="1"/>
  <c r="M547" i="1"/>
  <c r="L547" i="1"/>
  <c r="K547" i="1"/>
  <c r="N546" i="1"/>
  <c r="M546" i="1"/>
  <c r="L546" i="1"/>
  <c r="K546" i="1"/>
  <c r="N545" i="1"/>
  <c r="M545" i="1"/>
  <c r="L545" i="1"/>
  <c r="K545" i="1"/>
  <c r="N544" i="1"/>
  <c r="M544" i="1"/>
  <c r="L544" i="1"/>
  <c r="K544" i="1"/>
  <c r="N543" i="1"/>
  <c r="M543" i="1"/>
  <c r="L543" i="1"/>
  <c r="K543" i="1"/>
  <c r="N542" i="1"/>
  <c r="M542" i="1"/>
  <c r="L542" i="1"/>
  <c r="K542" i="1"/>
  <c r="N541" i="1"/>
  <c r="M541" i="1"/>
  <c r="L541" i="1"/>
  <c r="K541" i="1"/>
  <c r="N540" i="1"/>
  <c r="M540" i="1"/>
  <c r="L540" i="1"/>
  <c r="K540" i="1"/>
  <c r="N539" i="1"/>
  <c r="M539" i="1"/>
  <c r="L539" i="1"/>
  <c r="K539" i="1"/>
  <c r="N538" i="1"/>
  <c r="M538" i="1"/>
  <c r="L538" i="1"/>
  <c r="K538" i="1"/>
  <c r="N537" i="1"/>
  <c r="M537" i="1"/>
  <c r="L537" i="1"/>
  <c r="K537" i="1"/>
  <c r="N536" i="1"/>
  <c r="M536" i="1"/>
  <c r="L536" i="1"/>
  <c r="K536" i="1"/>
  <c r="N535" i="1"/>
  <c r="M535" i="1"/>
  <c r="L535" i="1"/>
  <c r="K535" i="1"/>
  <c r="N534" i="1"/>
  <c r="M534" i="1"/>
  <c r="L534" i="1"/>
  <c r="K534" i="1"/>
  <c r="N533" i="1"/>
  <c r="M533" i="1"/>
  <c r="L533" i="1"/>
  <c r="K533" i="1"/>
  <c r="N532" i="1"/>
  <c r="M532" i="1"/>
  <c r="L532" i="1"/>
  <c r="K532" i="1"/>
  <c r="N531" i="1"/>
  <c r="M531" i="1"/>
  <c r="L531" i="1"/>
  <c r="K531" i="1"/>
  <c r="N530" i="1"/>
  <c r="M530" i="1"/>
  <c r="L530" i="1"/>
  <c r="K530" i="1"/>
  <c r="N529" i="1"/>
  <c r="M529" i="1"/>
  <c r="L529" i="1"/>
  <c r="K529" i="1"/>
  <c r="N528" i="1"/>
  <c r="M528" i="1"/>
  <c r="L528" i="1"/>
  <c r="K528" i="1"/>
  <c r="N527" i="1"/>
  <c r="M527" i="1"/>
  <c r="L527" i="1"/>
  <c r="K527" i="1"/>
  <c r="N526" i="1"/>
  <c r="M526" i="1"/>
  <c r="L526" i="1"/>
  <c r="K526" i="1"/>
  <c r="N525" i="1"/>
  <c r="M525" i="1"/>
  <c r="L525" i="1"/>
  <c r="K525" i="1"/>
  <c r="N524" i="1"/>
  <c r="M524" i="1"/>
  <c r="L524" i="1"/>
  <c r="K524" i="1"/>
  <c r="N523" i="1"/>
  <c r="M523" i="1"/>
  <c r="L523" i="1"/>
  <c r="K523" i="1"/>
  <c r="N522" i="1"/>
  <c r="M522" i="1"/>
  <c r="L522" i="1"/>
  <c r="K522" i="1"/>
  <c r="N521" i="1"/>
  <c r="M521" i="1"/>
  <c r="L521" i="1"/>
  <c r="K521" i="1"/>
  <c r="N520" i="1"/>
  <c r="M520" i="1"/>
  <c r="L520" i="1"/>
  <c r="K520" i="1"/>
  <c r="N519" i="1"/>
  <c r="M519" i="1"/>
  <c r="L519" i="1"/>
  <c r="K519" i="1"/>
  <c r="N518" i="1"/>
  <c r="M518" i="1"/>
  <c r="L518" i="1"/>
  <c r="K518" i="1"/>
  <c r="N517" i="1"/>
  <c r="M517" i="1"/>
  <c r="L517" i="1"/>
  <c r="K517" i="1"/>
  <c r="N516" i="1"/>
  <c r="M516" i="1"/>
  <c r="L516" i="1"/>
  <c r="K516" i="1"/>
  <c r="N515" i="1"/>
  <c r="M515" i="1"/>
  <c r="L515" i="1"/>
  <c r="K515" i="1"/>
  <c r="N514" i="1"/>
  <c r="M514" i="1"/>
  <c r="L514" i="1"/>
  <c r="K514" i="1"/>
  <c r="N513" i="1"/>
  <c r="M513" i="1"/>
  <c r="L513" i="1"/>
  <c r="K513" i="1"/>
  <c r="N512" i="1"/>
  <c r="M512" i="1"/>
  <c r="L512" i="1"/>
  <c r="K512" i="1"/>
  <c r="N511" i="1"/>
  <c r="M511" i="1"/>
  <c r="L511" i="1"/>
  <c r="K511" i="1"/>
  <c r="N510" i="1"/>
  <c r="M510" i="1"/>
  <c r="L510" i="1"/>
  <c r="K510" i="1"/>
  <c r="N509" i="1"/>
  <c r="M509" i="1"/>
  <c r="L509" i="1"/>
  <c r="K509" i="1"/>
  <c r="N508" i="1"/>
  <c r="M508" i="1"/>
  <c r="L508" i="1"/>
  <c r="K508" i="1"/>
  <c r="N507" i="1"/>
  <c r="M507" i="1"/>
  <c r="L507" i="1"/>
  <c r="K507" i="1"/>
  <c r="N506" i="1"/>
  <c r="M506" i="1"/>
  <c r="L506" i="1"/>
  <c r="K506" i="1"/>
  <c r="N505" i="1"/>
  <c r="M505" i="1"/>
  <c r="L505" i="1"/>
  <c r="K505" i="1"/>
  <c r="N504" i="1"/>
  <c r="M504" i="1"/>
  <c r="L504" i="1"/>
  <c r="K504" i="1"/>
  <c r="N503" i="1"/>
  <c r="M503" i="1"/>
  <c r="L503" i="1"/>
  <c r="K503" i="1"/>
  <c r="N502" i="1"/>
  <c r="M502" i="1"/>
  <c r="L502" i="1"/>
  <c r="K502" i="1"/>
  <c r="N501" i="1"/>
  <c r="M501" i="1"/>
  <c r="L501" i="1"/>
  <c r="K501" i="1"/>
  <c r="N500" i="1"/>
  <c r="M500" i="1"/>
  <c r="L500" i="1"/>
  <c r="K500" i="1"/>
  <c r="N499" i="1"/>
  <c r="M499" i="1"/>
  <c r="L499" i="1"/>
  <c r="K499" i="1"/>
  <c r="N498" i="1"/>
  <c r="M498" i="1"/>
  <c r="L498" i="1"/>
  <c r="K498" i="1"/>
  <c r="N497" i="1"/>
  <c r="M497" i="1"/>
  <c r="L497" i="1"/>
  <c r="K497" i="1"/>
  <c r="N496" i="1"/>
  <c r="M496" i="1"/>
  <c r="L496" i="1"/>
  <c r="K496" i="1"/>
  <c r="N495" i="1"/>
  <c r="M495" i="1"/>
  <c r="L495" i="1"/>
  <c r="K495" i="1"/>
  <c r="N494" i="1"/>
  <c r="M494" i="1"/>
  <c r="L494" i="1"/>
  <c r="K494" i="1"/>
  <c r="N493" i="1"/>
  <c r="M493" i="1"/>
  <c r="L493" i="1"/>
  <c r="K493" i="1"/>
  <c r="N492" i="1"/>
  <c r="M492" i="1"/>
  <c r="L492" i="1"/>
  <c r="K492" i="1"/>
  <c r="N491" i="1"/>
  <c r="M491" i="1"/>
  <c r="L491" i="1"/>
  <c r="K491" i="1"/>
  <c r="N490" i="1"/>
  <c r="M490" i="1"/>
  <c r="L490" i="1"/>
  <c r="K490" i="1"/>
  <c r="N489" i="1"/>
  <c r="M489" i="1"/>
  <c r="L489" i="1"/>
  <c r="K489" i="1"/>
  <c r="N488" i="1"/>
  <c r="M488" i="1"/>
  <c r="L488" i="1"/>
  <c r="K488" i="1"/>
  <c r="N487" i="1"/>
  <c r="M487" i="1"/>
  <c r="L487" i="1"/>
  <c r="K487" i="1"/>
  <c r="N486" i="1"/>
  <c r="M486" i="1"/>
  <c r="L486" i="1"/>
  <c r="K486" i="1"/>
  <c r="N485" i="1"/>
  <c r="M485" i="1"/>
  <c r="L485" i="1"/>
  <c r="K485" i="1"/>
  <c r="N484" i="1"/>
  <c r="M484" i="1"/>
  <c r="L484" i="1"/>
  <c r="K484" i="1"/>
  <c r="N483" i="1"/>
  <c r="M483" i="1"/>
  <c r="L483" i="1"/>
  <c r="K483" i="1"/>
  <c r="N482" i="1"/>
  <c r="M482" i="1"/>
  <c r="L482" i="1"/>
  <c r="K482" i="1"/>
  <c r="N481" i="1"/>
  <c r="M481" i="1"/>
  <c r="L481" i="1"/>
  <c r="K481" i="1"/>
  <c r="N480" i="1"/>
  <c r="M480" i="1"/>
  <c r="L480" i="1"/>
  <c r="K480" i="1"/>
  <c r="N479" i="1"/>
  <c r="M479" i="1"/>
  <c r="L479" i="1"/>
  <c r="K479" i="1"/>
  <c r="N478" i="1"/>
  <c r="M478" i="1"/>
  <c r="L478" i="1"/>
  <c r="K478" i="1"/>
  <c r="N477" i="1"/>
  <c r="M477" i="1"/>
  <c r="L477" i="1"/>
  <c r="K477" i="1"/>
  <c r="N476" i="1"/>
  <c r="M476" i="1"/>
  <c r="L476" i="1"/>
  <c r="K476" i="1"/>
  <c r="N475" i="1"/>
  <c r="M475" i="1"/>
  <c r="L475" i="1"/>
  <c r="K475" i="1"/>
  <c r="N474" i="1"/>
  <c r="M474" i="1"/>
  <c r="L474" i="1"/>
  <c r="K474" i="1"/>
  <c r="N473" i="1"/>
  <c r="M473" i="1"/>
  <c r="L473" i="1"/>
  <c r="K473" i="1"/>
  <c r="N472" i="1"/>
  <c r="M472" i="1"/>
  <c r="L472" i="1"/>
  <c r="K472" i="1"/>
  <c r="N471" i="1"/>
  <c r="M471" i="1"/>
  <c r="L471" i="1"/>
  <c r="K471" i="1"/>
  <c r="N470" i="1"/>
  <c r="M470" i="1"/>
  <c r="L470" i="1"/>
  <c r="K470" i="1"/>
  <c r="N469" i="1"/>
  <c r="M469" i="1"/>
  <c r="L469" i="1"/>
  <c r="K469" i="1"/>
  <c r="N468" i="1"/>
  <c r="M468" i="1"/>
  <c r="L468" i="1"/>
  <c r="K468" i="1"/>
  <c r="N467" i="1"/>
  <c r="M467" i="1"/>
  <c r="L467" i="1"/>
  <c r="K467" i="1"/>
  <c r="N466" i="1"/>
  <c r="M466" i="1"/>
  <c r="L466" i="1"/>
  <c r="K466" i="1"/>
  <c r="N465" i="1"/>
  <c r="M465" i="1"/>
  <c r="L465" i="1"/>
  <c r="K465" i="1"/>
  <c r="N464" i="1"/>
  <c r="M464" i="1"/>
  <c r="L464" i="1"/>
  <c r="K464" i="1"/>
  <c r="N463" i="1"/>
  <c r="M463" i="1"/>
  <c r="L463" i="1"/>
  <c r="K463" i="1"/>
  <c r="N462" i="1"/>
  <c r="M462" i="1"/>
  <c r="L462" i="1"/>
  <c r="K462" i="1"/>
  <c r="N461" i="1"/>
  <c r="M461" i="1"/>
  <c r="L461" i="1"/>
  <c r="K461" i="1"/>
  <c r="N460" i="1"/>
  <c r="M460" i="1"/>
  <c r="L460" i="1"/>
  <c r="K460" i="1"/>
  <c r="N459" i="1"/>
  <c r="M459" i="1"/>
  <c r="L459" i="1"/>
  <c r="K459" i="1"/>
  <c r="N458" i="1"/>
  <c r="M458" i="1"/>
  <c r="L458" i="1"/>
  <c r="K458" i="1"/>
  <c r="N457" i="1"/>
  <c r="M457" i="1"/>
  <c r="L457" i="1"/>
  <c r="K457" i="1"/>
  <c r="N456" i="1"/>
  <c r="M456" i="1"/>
  <c r="L456" i="1"/>
  <c r="K456" i="1"/>
  <c r="N455" i="1"/>
  <c r="M455" i="1"/>
  <c r="L455" i="1"/>
  <c r="K455" i="1"/>
  <c r="N454" i="1"/>
  <c r="M454" i="1"/>
  <c r="L454" i="1"/>
  <c r="K454" i="1"/>
  <c r="N453" i="1"/>
  <c r="M453" i="1"/>
  <c r="L453" i="1"/>
  <c r="K453" i="1"/>
  <c r="N452" i="1"/>
  <c r="M452" i="1"/>
  <c r="L452" i="1"/>
  <c r="K452" i="1"/>
  <c r="N451" i="1"/>
  <c r="M451" i="1"/>
  <c r="L451" i="1"/>
  <c r="K451" i="1"/>
  <c r="N450" i="1"/>
  <c r="M450" i="1"/>
  <c r="L450" i="1"/>
  <c r="K450" i="1"/>
  <c r="N449" i="1"/>
  <c r="M449" i="1"/>
  <c r="L449" i="1"/>
  <c r="K449" i="1"/>
  <c r="N448" i="1"/>
  <c r="M448" i="1"/>
  <c r="L448" i="1"/>
  <c r="K448" i="1"/>
  <c r="N447" i="1"/>
  <c r="M447" i="1"/>
  <c r="L447" i="1"/>
  <c r="K447" i="1"/>
  <c r="N446" i="1"/>
  <c r="M446" i="1"/>
  <c r="L446" i="1"/>
  <c r="K446" i="1"/>
  <c r="N445" i="1"/>
  <c r="M445" i="1"/>
  <c r="L445" i="1"/>
  <c r="K445" i="1"/>
  <c r="N444" i="1"/>
  <c r="M444" i="1"/>
  <c r="L444" i="1"/>
  <c r="K444" i="1"/>
  <c r="N443" i="1"/>
  <c r="M443" i="1"/>
  <c r="L443" i="1"/>
  <c r="K443" i="1"/>
  <c r="N442" i="1"/>
  <c r="M442" i="1"/>
  <c r="L442" i="1"/>
  <c r="K442" i="1"/>
  <c r="N441" i="1"/>
  <c r="M441" i="1"/>
  <c r="L441" i="1"/>
  <c r="K441" i="1"/>
  <c r="N440" i="1"/>
  <c r="M440" i="1"/>
  <c r="L440" i="1"/>
  <c r="K440" i="1"/>
  <c r="N439" i="1"/>
  <c r="M439" i="1"/>
  <c r="L439" i="1"/>
  <c r="K439" i="1"/>
  <c r="N438" i="1"/>
  <c r="M438" i="1"/>
  <c r="L438" i="1"/>
  <c r="K438" i="1"/>
  <c r="N437" i="1"/>
  <c r="M437" i="1"/>
  <c r="L437" i="1"/>
  <c r="K437" i="1"/>
  <c r="N436" i="1"/>
  <c r="M436" i="1"/>
  <c r="L436" i="1"/>
  <c r="K436" i="1"/>
  <c r="N435" i="1"/>
  <c r="M435" i="1"/>
  <c r="L435" i="1"/>
  <c r="K435" i="1"/>
  <c r="N434" i="1"/>
  <c r="M434" i="1"/>
  <c r="L434" i="1"/>
  <c r="K434" i="1"/>
  <c r="N433" i="1"/>
  <c r="M433" i="1"/>
  <c r="L433" i="1"/>
  <c r="K433" i="1"/>
  <c r="N432" i="1"/>
  <c r="M432" i="1"/>
  <c r="L432" i="1"/>
  <c r="K432" i="1"/>
  <c r="N431" i="1"/>
  <c r="M431" i="1"/>
  <c r="L431" i="1"/>
  <c r="K431" i="1"/>
  <c r="N430" i="1"/>
  <c r="M430" i="1"/>
  <c r="L430" i="1"/>
  <c r="K430" i="1"/>
  <c r="N429" i="1"/>
  <c r="M429" i="1"/>
  <c r="L429" i="1"/>
  <c r="K429" i="1"/>
  <c r="N428" i="1"/>
  <c r="M428" i="1"/>
  <c r="L428" i="1"/>
  <c r="K428" i="1"/>
  <c r="N427" i="1"/>
  <c r="M427" i="1"/>
  <c r="L427" i="1"/>
  <c r="K427" i="1"/>
  <c r="N426" i="1"/>
  <c r="M426" i="1"/>
  <c r="L426" i="1"/>
  <c r="K426" i="1"/>
  <c r="N425" i="1"/>
  <c r="M425" i="1"/>
  <c r="L425" i="1"/>
  <c r="K425" i="1"/>
  <c r="N424" i="1"/>
  <c r="M424" i="1"/>
  <c r="L424" i="1"/>
  <c r="K424" i="1"/>
  <c r="N423" i="1"/>
  <c r="M423" i="1"/>
  <c r="L423" i="1"/>
  <c r="K423" i="1"/>
  <c r="N422" i="1"/>
  <c r="M422" i="1"/>
  <c r="L422" i="1"/>
  <c r="K422" i="1"/>
  <c r="N421" i="1"/>
  <c r="M421" i="1"/>
  <c r="L421" i="1"/>
  <c r="K421" i="1"/>
  <c r="N420" i="1"/>
  <c r="M420" i="1"/>
  <c r="L420" i="1"/>
  <c r="K420" i="1"/>
  <c r="N419" i="1"/>
  <c r="M419" i="1"/>
  <c r="L419" i="1"/>
  <c r="K419" i="1"/>
  <c r="N418" i="1"/>
  <c r="M418" i="1"/>
  <c r="L418" i="1"/>
  <c r="K418" i="1"/>
  <c r="N417" i="1"/>
  <c r="M417" i="1"/>
  <c r="L417" i="1"/>
  <c r="K417" i="1"/>
  <c r="N416" i="1"/>
  <c r="M416" i="1"/>
  <c r="L416" i="1"/>
  <c r="K416" i="1"/>
  <c r="N415" i="1"/>
  <c r="M415" i="1"/>
  <c r="L415" i="1"/>
  <c r="K415" i="1"/>
  <c r="N414" i="1"/>
  <c r="M414" i="1"/>
  <c r="L414" i="1"/>
  <c r="K414" i="1"/>
  <c r="N413" i="1"/>
  <c r="M413" i="1"/>
  <c r="L413" i="1"/>
  <c r="K413" i="1"/>
  <c r="N412" i="1"/>
  <c r="M412" i="1"/>
  <c r="L412" i="1"/>
  <c r="K412" i="1"/>
  <c r="N411" i="1"/>
  <c r="M411" i="1"/>
  <c r="L411" i="1"/>
  <c r="K411" i="1"/>
  <c r="N410" i="1"/>
  <c r="M410" i="1"/>
  <c r="L410" i="1"/>
  <c r="K410" i="1"/>
  <c r="N409" i="1"/>
  <c r="M409" i="1"/>
  <c r="L409" i="1"/>
  <c r="K409" i="1"/>
  <c r="N408" i="1"/>
  <c r="M408" i="1"/>
  <c r="L408" i="1"/>
  <c r="K408" i="1"/>
  <c r="N407" i="1"/>
  <c r="M407" i="1"/>
  <c r="L407" i="1"/>
  <c r="K407" i="1"/>
  <c r="N406" i="1"/>
  <c r="M406" i="1"/>
  <c r="L406" i="1"/>
  <c r="K406" i="1"/>
  <c r="N405" i="1"/>
  <c r="M405" i="1"/>
  <c r="L405" i="1"/>
  <c r="K405" i="1"/>
  <c r="N404" i="1"/>
  <c r="M404" i="1"/>
  <c r="L404" i="1"/>
  <c r="K404" i="1"/>
  <c r="N403" i="1"/>
  <c r="M403" i="1"/>
  <c r="L403" i="1"/>
  <c r="K403" i="1"/>
  <c r="N402" i="1"/>
  <c r="M402" i="1"/>
  <c r="L402" i="1"/>
  <c r="K402" i="1"/>
  <c r="N401" i="1"/>
  <c r="M401" i="1"/>
  <c r="L401" i="1"/>
  <c r="K401" i="1"/>
  <c r="N400" i="1"/>
  <c r="M400" i="1"/>
  <c r="L400" i="1"/>
  <c r="K400" i="1"/>
  <c r="N399" i="1"/>
  <c r="M399" i="1"/>
  <c r="L399" i="1"/>
  <c r="K399" i="1"/>
  <c r="N398" i="1"/>
  <c r="M398" i="1"/>
  <c r="L398" i="1"/>
  <c r="K398" i="1"/>
  <c r="N397" i="1"/>
  <c r="M397" i="1"/>
  <c r="L397" i="1"/>
  <c r="K397" i="1"/>
  <c r="N396" i="1"/>
  <c r="M396" i="1"/>
  <c r="L396" i="1"/>
  <c r="K396" i="1"/>
  <c r="N395" i="1"/>
  <c r="M395" i="1"/>
  <c r="L395" i="1"/>
  <c r="K395" i="1"/>
  <c r="N394" i="1"/>
  <c r="M394" i="1"/>
  <c r="L394" i="1"/>
  <c r="K394" i="1"/>
  <c r="N393" i="1"/>
  <c r="M393" i="1"/>
  <c r="L393" i="1"/>
  <c r="K393" i="1"/>
  <c r="N392" i="1"/>
  <c r="M392" i="1"/>
  <c r="L392" i="1"/>
  <c r="K392" i="1"/>
  <c r="N391" i="1"/>
  <c r="M391" i="1"/>
  <c r="L391" i="1"/>
  <c r="K391" i="1"/>
  <c r="N390" i="1"/>
  <c r="M390" i="1"/>
  <c r="L390" i="1"/>
  <c r="K390" i="1"/>
  <c r="N389" i="1"/>
  <c r="M389" i="1"/>
  <c r="L389" i="1"/>
  <c r="K389" i="1"/>
  <c r="N388" i="1"/>
  <c r="M388" i="1"/>
  <c r="L388" i="1"/>
  <c r="K388" i="1"/>
  <c r="N387" i="1"/>
  <c r="M387" i="1"/>
  <c r="L387" i="1"/>
  <c r="K387" i="1"/>
  <c r="N386" i="1"/>
  <c r="M386" i="1"/>
  <c r="L386" i="1"/>
  <c r="K386" i="1"/>
  <c r="N385" i="1"/>
  <c r="M385" i="1"/>
  <c r="L385" i="1"/>
  <c r="K385" i="1"/>
  <c r="N384" i="1"/>
  <c r="M384" i="1"/>
  <c r="L384" i="1"/>
  <c r="K384" i="1"/>
  <c r="N383" i="1"/>
  <c r="M383" i="1"/>
  <c r="L383" i="1"/>
  <c r="K383" i="1"/>
  <c r="N382" i="1"/>
  <c r="M382" i="1"/>
  <c r="L382" i="1"/>
  <c r="K382" i="1"/>
  <c r="N381" i="1"/>
  <c r="M381" i="1"/>
  <c r="L381" i="1"/>
  <c r="K381" i="1"/>
  <c r="N380" i="1"/>
  <c r="M380" i="1"/>
  <c r="L380" i="1"/>
  <c r="K380" i="1"/>
  <c r="N379" i="1"/>
  <c r="M379" i="1"/>
  <c r="L379" i="1"/>
  <c r="K379" i="1"/>
  <c r="N378" i="1"/>
  <c r="M378" i="1"/>
  <c r="L378" i="1"/>
  <c r="K378" i="1"/>
  <c r="N377" i="1"/>
  <c r="M377" i="1"/>
  <c r="L377" i="1"/>
  <c r="K377" i="1"/>
  <c r="N376" i="1"/>
  <c r="M376" i="1"/>
  <c r="L376" i="1"/>
  <c r="K376" i="1"/>
  <c r="N375" i="1"/>
  <c r="M375" i="1"/>
  <c r="L375" i="1"/>
  <c r="K375" i="1"/>
  <c r="N374" i="1"/>
  <c r="M374" i="1"/>
  <c r="L374" i="1"/>
  <c r="K374" i="1"/>
  <c r="N373" i="1"/>
  <c r="M373" i="1"/>
  <c r="L373" i="1"/>
  <c r="K373" i="1"/>
  <c r="N372" i="1"/>
  <c r="M372" i="1"/>
  <c r="L372" i="1"/>
  <c r="K372" i="1"/>
  <c r="N371" i="1"/>
  <c r="M371" i="1"/>
  <c r="L371" i="1"/>
  <c r="K371" i="1"/>
  <c r="N370" i="1"/>
  <c r="M370" i="1"/>
  <c r="L370" i="1"/>
  <c r="K370" i="1"/>
  <c r="N369" i="1"/>
  <c r="M369" i="1"/>
  <c r="L369" i="1"/>
  <c r="K369" i="1"/>
  <c r="N368" i="1"/>
  <c r="M368" i="1"/>
  <c r="L368" i="1"/>
  <c r="K368" i="1"/>
  <c r="N367" i="1"/>
  <c r="M367" i="1"/>
  <c r="L367" i="1"/>
  <c r="K367" i="1"/>
  <c r="N366" i="1"/>
  <c r="M366" i="1"/>
  <c r="L366" i="1"/>
  <c r="K366" i="1"/>
  <c r="N365" i="1"/>
  <c r="M365" i="1"/>
  <c r="L365" i="1"/>
  <c r="K365" i="1"/>
  <c r="N364" i="1"/>
  <c r="M364" i="1"/>
  <c r="L364" i="1"/>
  <c r="K364" i="1"/>
  <c r="N363" i="1"/>
  <c r="M363" i="1"/>
  <c r="L363" i="1"/>
  <c r="K363" i="1"/>
  <c r="N362" i="1"/>
  <c r="M362" i="1"/>
  <c r="L362" i="1"/>
  <c r="K362" i="1"/>
  <c r="N361" i="1"/>
  <c r="M361" i="1"/>
  <c r="L361" i="1"/>
  <c r="K361" i="1"/>
  <c r="N360" i="1"/>
  <c r="M360" i="1"/>
  <c r="L360" i="1"/>
  <c r="K360" i="1"/>
  <c r="N359" i="1"/>
  <c r="M359" i="1"/>
  <c r="L359" i="1"/>
  <c r="K359" i="1"/>
  <c r="N358" i="1"/>
  <c r="M358" i="1"/>
  <c r="L358" i="1"/>
  <c r="K358" i="1"/>
  <c r="N357" i="1"/>
  <c r="M357" i="1"/>
  <c r="L357" i="1"/>
  <c r="K357" i="1"/>
  <c r="N356" i="1"/>
  <c r="M356" i="1"/>
  <c r="L356" i="1"/>
  <c r="K356" i="1"/>
  <c r="N355" i="1"/>
  <c r="M355" i="1"/>
  <c r="L355" i="1"/>
  <c r="K355" i="1"/>
  <c r="N354" i="1"/>
  <c r="M354" i="1"/>
  <c r="L354" i="1"/>
  <c r="K354" i="1"/>
  <c r="N353" i="1"/>
  <c r="M353" i="1"/>
  <c r="L353" i="1"/>
  <c r="K353" i="1"/>
  <c r="N352" i="1"/>
  <c r="M352" i="1"/>
  <c r="L352" i="1"/>
  <c r="K352" i="1"/>
  <c r="N351" i="1"/>
  <c r="M351" i="1"/>
  <c r="L351" i="1"/>
  <c r="K351" i="1"/>
  <c r="N350" i="1"/>
  <c r="M350" i="1"/>
  <c r="L350" i="1"/>
  <c r="K350" i="1"/>
  <c r="N349" i="1"/>
  <c r="M349" i="1"/>
  <c r="L349" i="1"/>
  <c r="K349" i="1"/>
  <c r="N348" i="1"/>
  <c r="M348" i="1"/>
  <c r="L348" i="1"/>
  <c r="K348" i="1"/>
  <c r="N347" i="1"/>
  <c r="M347" i="1"/>
  <c r="L347" i="1"/>
  <c r="K347" i="1"/>
  <c r="N346" i="1"/>
  <c r="M346" i="1"/>
  <c r="L346" i="1"/>
  <c r="K346" i="1"/>
  <c r="N345" i="1"/>
  <c r="M345" i="1"/>
  <c r="L345" i="1"/>
  <c r="K345" i="1"/>
  <c r="N344" i="1"/>
  <c r="M344" i="1"/>
  <c r="L344" i="1"/>
  <c r="K344" i="1"/>
  <c r="N343" i="1"/>
  <c r="M343" i="1"/>
  <c r="L343" i="1"/>
  <c r="K343" i="1"/>
  <c r="N342" i="1"/>
  <c r="M342" i="1"/>
  <c r="L342" i="1"/>
  <c r="K342" i="1"/>
  <c r="N341" i="1"/>
  <c r="M341" i="1"/>
  <c r="L341" i="1"/>
  <c r="K341" i="1"/>
  <c r="N340" i="1"/>
  <c r="M340" i="1"/>
  <c r="L340" i="1"/>
  <c r="K340" i="1"/>
  <c r="N339" i="1"/>
  <c r="M339" i="1"/>
  <c r="L339" i="1"/>
  <c r="K339" i="1"/>
  <c r="N338" i="1"/>
  <c r="M338" i="1"/>
  <c r="L338" i="1"/>
  <c r="K338" i="1"/>
  <c r="N337" i="1"/>
  <c r="M337" i="1"/>
  <c r="L337" i="1"/>
  <c r="K337" i="1"/>
  <c r="N336" i="1"/>
  <c r="M336" i="1"/>
  <c r="L336" i="1"/>
  <c r="K336" i="1"/>
  <c r="N335" i="1"/>
  <c r="M335" i="1"/>
  <c r="L335" i="1"/>
  <c r="K335" i="1"/>
  <c r="N334" i="1"/>
  <c r="M334" i="1"/>
  <c r="L334" i="1"/>
  <c r="K334" i="1"/>
  <c r="N333" i="1"/>
  <c r="M333" i="1"/>
  <c r="L333" i="1"/>
  <c r="K333" i="1"/>
  <c r="N332" i="1"/>
  <c r="M332" i="1"/>
  <c r="L332" i="1"/>
  <c r="K332" i="1"/>
  <c r="N331" i="1"/>
  <c r="M331" i="1"/>
  <c r="L331" i="1"/>
  <c r="K331" i="1"/>
  <c r="N330" i="1"/>
  <c r="M330" i="1"/>
  <c r="L330" i="1"/>
  <c r="K330" i="1"/>
  <c r="N329" i="1"/>
  <c r="M329" i="1"/>
  <c r="L329" i="1"/>
  <c r="K329" i="1"/>
  <c r="N328" i="1"/>
  <c r="M328" i="1"/>
  <c r="L328" i="1"/>
  <c r="K328" i="1"/>
  <c r="N327" i="1"/>
  <c r="M327" i="1"/>
  <c r="L327" i="1"/>
  <c r="K327" i="1"/>
  <c r="N326" i="1"/>
  <c r="M326" i="1"/>
  <c r="L326" i="1"/>
  <c r="K326" i="1"/>
  <c r="N325" i="1"/>
  <c r="M325" i="1"/>
  <c r="L325" i="1"/>
  <c r="K325" i="1"/>
  <c r="N324" i="1"/>
  <c r="M324" i="1"/>
  <c r="L324" i="1"/>
  <c r="K324" i="1"/>
  <c r="N323" i="1"/>
  <c r="M323" i="1"/>
  <c r="L323" i="1"/>
  <c r="K323" i="1"/>
  <c r="N322" i="1"/>
  <c r="M322" i="1"/>
  <c r="L322" i="1"/>
  <c r="K322" i="1"/>
  <c r="N321" i="1"/>
  <c r="M321" i="1"/>
  <c r="L321" i="1"/>
  <c r="K321" i="1"/>
  <c r="N320" i="1"/>
  <c r="M320" i="1"/>
  <c r="L320" i="1"/>
  <c r="K320" i="1"/>
  <c r="N319" i="1"/>
  <c r="M319" i="1"/>
  <c r="L319" i="1"/>
  <c r="K319" i="1"/>
  <c r="N318" i="1"/>
  <c r="M318" i="1"/>
  <c r="L318" i="1"/>
  <c r="K318" i="1"/>
  <c r="N317" i="1"/>
  <c r="M317" i="1"/>
  <c r="L317" i="1"/>
  <c r="K317" i="1"/>
  <c r="N316" i="1"/>
  <c r="M316" i="1"/>
  <c r="L316" i="1"/>
  <c r="K316" i="1"/>
  <c r="N315" i="1"/>
  <c r="M315" i="1"/>
  <c r="L315" i="1"/>
  <c r="K315" i="1"/>
  <c r="N314" i="1"/>
  <c r="M314" i="1"/>
  <c r="L314" i="1"/>
  <c r="K314" i="1"/>
  <c r="N313" i="1"/>
  <c r="M313" i="1"/>
  <c r="L313" i="1"/>
  <c r="K313" i="1"/>
  <c r="N312" i="1"/>
  <c r="M312" i="1"/>
  <c r="L312" i="1"/>
  <c r="K312" i="1"/>
  <c r="N311" i="1"/>
  <c r="M311" i="1"/>
  <c r="L311" i="1"/>
  <c r="K311" i="1"/>
  <c r="N310" i="1"/>
  <c r="M310" i="1"/>
  <c r="L310" i="1"/>
  <c r="K310" i="1"/>
  <c r="N309" i="1"/>
  <c r="M309" i="1"/>
  <c r="L309" i="1"/>
  <c r="K309" i="1"/>
  <c r="N308" i="1"/>
  <c r="M308" i="1"/>
  <c r="L308" i="1"/>
  <c r="K308" i="1"/>
  <c r="N307" i="1"/>
  <c r="M307" i="1"/>
  <c r="L307" i="1"/>
  <c r="K307" i="1"/>
  <c r="N306" i="1"/>
  <c r="M306" i="1"/>
  <c r="L306" i="1"/>
  <c r="K306" i="1"/>
  <c r="N305" i="1"/>
  <c r="M305" i="1"/>
  <c r="L305" i="1"/>
  <c r="K305" i="1"/>
  <c r="N304" i="1"/>
  <c r="M304" i="1"/>
  <c r="L304" i="1"/>
  <c r="K304" i="1"/>
  <c r="N303" i="1"/>
  <c r="M303" i="1"/>
  <c r="L303" i="1"/>
  <c r="K303" i="1"/>
  <c r="N302" i="1"/>
  <c r="M302" i="1"/>
  <c r="L302" i="1"/>
  <c r="K302" i="1"/>
  <c r="N301" i="1"/>
  <c r="M301" i="1"/>
  <c r="L301" i="1"/>
  <c r="K301" i="1"/>
  <c r="N300" i="1"/>
  <c r="M300" i="1"/>
  <c r="L300" i="1"/>
  <c r="K300" i="1"/>
  <c r="N299" i="1"/>
  <c r="M299" i="1"/>
  <c r="L299" i="1"/>
  <c r="K299" i="1"/>
  <c r="N298" i="1"/>
  <c r="M298" i="1"/>
  <c r="L298" i="1"/>
  <c r="K298" i="1"/>
  <c r="N297" i="1"/>
  <c r="M297" i="1"/>
  <c r="L297" i="1"/>
  <c r="K297" i="1"/>
  <c r="N296" i="1"/>
  <c r="M296" i="1"/>
  <c r="L296" i="1"/>
  <c r="K296" i="1"/>
  <c r="N295" i="1"/>
  <c r="M295" i="1"/>
  <c r="L295" i="1"/>
  <c r="K295" i="1"/>
  <c r="N294" i="1"/>
  <c r="M294" i="1"/>
  <c r="L294" i="1"/>
  <c r="K294" i="1"/>
  <c r="N293" i="1"/>
  <c r="M293" i="1"/>
  <c r="L293" i="1"/>
  <c r="K293" i="1"/>
  <c r="N292" i="1"/>
  <c r="M292" i="1"/>
  <c r="L292" i="1"/>
  <c r="K292" i="1"/>
  <c r="N291" i="1"/>
  <c r="M291" i="1"/>
  <c r="L291" i="1"/>
  <c r="K291" i="1"/>
  <c r="N290" i="1"/>
  <c r="M290" i="1"/>
  <c r="L290" i="1"/>
  <c r="K290" i="1"/>
  <c r="N289" i="1"/>
  <c r="M289" i="1"/>
  <c r="L289" i="1"/>
  <c r="K289" i="1"/>
  <c r="N288" i="1"/>
  <c r="M288" i="1"/>
  <c r="L288" i="1"/>
  <c r="K288" i="1"/>
  <c r="N287" i="1"/>
  <c r="M287" i="1"/>
  <c r="L287" i="1"/>
  <c r="K287" i="1"/>
  <c r="N286" i="1"/>
  <c r="M286" i="1"/>
  <c r="L286" i="1"/>
  <c r="K286" i="1"/>
  <c r="N285" i="1"/>
  <c r="M285" i="1"/>
  <c r="L285" i="1"/>
  <c r="K285" i="1"/>
  <c r="N284" i="1"/>
  <c r="M284" i="1"/>
  <c r="L284" i="1"/>
  <c r="K284" i="1"/>
  <c r="N283" i="1"/>
  <c r="M283" i="1"/>
  <c r="L283" i="1"/>
  <c r="K283" i="1"/>
  <c r="N282" i="1"/>
  <c r="M282" i="1"/>
  <c r="L282" i="1"/>
  <c r="K282" i="1"/>
  <c r="N281" i="1"/>
  <c r="M281" i="1"/>
  <c r="L281" i="1"/>
  <c r="K281" i="1"/>
  <c r="N280" i="1"/>
  <c r="M280" i="1"/>
  <c r="L280" i="1"/>
  <c r="K280" i="1"/>
  <c r="N279" i="1"/>
  <c r="M279" i="1"/>
  <c r="L279" i="1"/>
  <c r="K279" i="1"/>
  <c r="N278" i="1"/>
  <c r="M278" i="1"/>
  <c r="L278" i="1"/>
  <c r="K278" i="1"/>
  <c r="N277" i="1"/>
  <c r="M277" i="1"/>
  <c r="L277" i="1"/>
  <c r="K277" i="1"/>
  <c r="N276" i="1"/>
  <c r="M276" i="1"/>
  <c r="L276" i="1"/>
  <c r="K276" i="1"/>
  <c r="N275" i="1"/>
  <c r="M275" i="1"/>
  <c r="L275" i="1"/>
  <c r="K275" i="1"/>
  <c r="N274" i="1"/>
  <c r="M274" i="1"/>
  <c r="L274" i="1"/>
  <c r="K274" i="1"/>
  <c r="N273" i="1"/>
  <c r="M273" i="1"/>
  <c r="L273" i="1"/>
  <c r="K273" i="1"/>
  <c r="N272" i="1"/>
  <c r="M272" i="1"/>
  <c r="L272" i="1"/>
  <c r="K272" i="1"/>
  <c r="N271" i="1"/>
  <c r="M271" i="1"/>
  <c r="L271" i="1"/>
  <c r="K271" i="1"/>
  <c r="N270" i="1"/>
  <c r="M270" i="1"/>
  <c r="L270" i="1"/>
  <c r="K270" i="1"/>
  <c r="N269" i="1"/>
  <c r="M269" i="1"/>
  <c r="L269" i="1"/>
  <c r="K269" i="1"/>
  <c r="N268" i="1"/>
  <c r="M268" i="1"/>
  <c r="L268" i="1"/>
  <c r="K268" i="1"/>
  <c r="N267" i="1"/>
  <c r="M267" i="1"/>
  <c r="L267" i="1"/>
  <c r="K267" i="1"/>
  <c r="N266" i="1"/>
  <c r="M266" i="1"/>
  <c r="L266" i="1"/>
  <c r="K266" i="1"/>
  <c r="N265" i="1"/>
  <c r="M265" i="1"/>
  <c r="L265" i="1"/>
  <c r="K265" i="1"/>
  <c r="N264" i="1"/>
  <c r="M264" i="1"/>
  <c r="L264" i="1"/>
  <c r="K264" i="1"/>
  <c r="N263" i="1"/>
  <c r="M263" i="1"/>
  <c r="L263" i="1"/>
  <c r="K263" i="1"/>
  <c r="N262" i="1"/>
  <c r="M262" i="1"/>
  <c r="L262" i="1"/>
  <c r="K262" i="1"/>
  <c r="N261" i="1"/>
  <c r="M261" i="1"/>
  <c r="L261" i="1"/>
  <c r="K261" i="1"/>
  <c r="N260" i="1"/>
  <c r="M260" i="1"/>
  <c r="L260" i="1"/>
  <c r="K260" i="1"/>
  <c r="N259" i="1"/>
  <c r="M259" i="1"/>
  <c r="L259" i="1"/>
  <c r="K259" i="1"/>
  <c r="N258" i="1"/>
  <c r="M258" i="1"/>
  <c r="L258" i="1"/>
  <c r="K258" i="1"/>
  <c r="N257" i="1"/>
  <c r="M257" i="1"/>
  <c r="L257" i="1"/>
  <c r="K257" i="1"/>
  <c r="N256" i="1"/>
  <c r="M256" i="1"/>
  <c r="L256" i="1"/>
  <c r="K256" i="1"/>
  <c r="N255" i="1"/>
  <c r="M255" i="1"/>
  <c r="L255" i="1"/>
  <c r="K255" i="1"/>
  <c r="N254" i="1"/>
  <c r="M254" i="1"/>
  <c r="L254" i="1"/>
  <c r="K254" i="1"/>
  <c r="N253" i="1"/>
  <c r="M253" i="1"/>
  <c r="L253" i="1"/>
  <c r="K253" i="1"/>
  <c r="N252" i="1"/>
  <c r="M252" i="1"/>
  <c r="L252" i="1"/>
  <c r="K252" i="1"/>
  <c r="N251" i="1"/>
  <c r="M251" i="1"/>
  <c r="L251" i="1"/>
  <c r="K251" i="1"/>
  <c r="N250" i="1"/>
  <c r="M250" i="1"/>
  <c r="L250" i="1"/>
  <c r="K250" i="1"/>
  <c r="N249" i="1"/>
  <c r="M249" i="1"/>
  <c r="L249" i="1"/>
  <c r="K249" i="1"/>
  <c r="N248" i="1"/>
  <c r="M248" i="1"/>
  <c r="L248" i="1"/>
  <c r="K248" i="1"/>
  <c r="N247" i="1"/>
  <c r="M247" i="1"/>
  <c r="L247" i="1"/>
  <c r="K247" i="1"/>
  <c r="N246" i="1"/>
  <c r="M246" i="1"/>
  <c r="L246" i="1"/>
  <c r="K246" i="1"/>
  <c r="N245" i="1"/>
  <c r="M245" i="1"/>
  <c r="L245" i="1"/>
  <c r="K245" i="1"/>
  <c r="N244" i="1"/>
  <c r="M244" i="1"/>
  <c r="L244" i="1"/>
  <c r="K244" i="1"/>
  <c r="N243" i="1"/>
  <c r="M243" i="1"/>
  <c r="L243" i="1"/>
  <c r="K243" i="1"/>
  <c r="N242" i="1"/>
  <c r="M242" i="1"/>
  <c r="L242" i="1"/>
  <c r="K242" i="1"/>
  <c r="N241" i="1"/>
  <c r="M241" i="1"/>
  <c r="L241" i="1"/>
  <c r="K241" i="1"/>
  <c r="N240" i="1"/>
  <c r="M240" i="1"/>
  <c r="L240" i="1"/>
  <c r="K240" i="1"/>
  <c r="N239" i="1"/>
  <c r="M239" i="1"/>
  <c r="L239" i="1"/>
  <c r="K239" i="1"/>
  <c r="N238" i="1"/>
  <c r="M238" i="1"/>
  <c r="L238" i="1"/>
  <c r="K238" i="1"/>
  <c r="N237" i="1"/>
  <c r="M237" i="1"/>
  <c r="L237" i="1"/>
  <c r="K237" i="1"/>
  <c r="N236" i="1"/>
  <c r="M236" i="1"/>
  <c r="L236" i="1"/>
  <c r="K236" i="1"/>
  <c r="N235" i="1"/>
  <c r="M235" i="1"/>
  <c r="L235" i="1"/>
  <c r="K235" i="1"/>
  <c r="N234" i="1"/>
  <c r="M234" i="1"/>
  <c r="L234" i="1"/>
  <c r="K234" i="1"/>
  <c r="N233" i="1"/>
  <c r="M233" i="1"/>
  <c r="L233" i="1"/>
  <c r="K233" i="1"/>
  <c r="N232" i="1"/>
  <c r="M232" i="1"/>
  <c r="L232" i="1"/>
  <c r="K232" i="1"/>
  <c r="N231" i="1"/>
  <c r="M231" i="1"/>
  <c r="L231" i="1"/>
  <c r="K231" i="1"/>
  <c r="N230" i="1"/>
  <c r="M230" i="1"/>
  <c r="L230" i="1"/>
  <c r="K230" i="1"/>
  <c r="N229" i="1"/>
  <c r="M229" i="1"/>
  <c r="L229" i="1"/>
  <c r="K229" i="1"/>
  <c r="N228" i="1"/>
  <c r="M228" i="1"/>
  <c r="L228" i="1"/>
  <c r="K228" i="1"/>
  <c r="N227" i="1"/>
  <c r="M227" i="1"/>
  <c r="L227" i="1"/>
  <c r="K227" i="1"/>
  <c r="N226" i="1"/>
  <c r="M226" i="1"/>
  <c r="L226" i="1"/>
  <c r="K226" i="1"/>
  <c r="N225" i="1"/>
  <c r="M225" i="1"/>
  <c r="L225" i="1"/>
  <c r="K225" i="1"/>
  <c r="N224" i="1"/>
  <c r="M224" i="1"/>
  <c r="L224" i="1"/>
  <c r="K224" i="1"/>
  <c r="N223" i="1"/>
  <c r="M223" i="1"/>
  <c r="L223" i="1"/>
  <c r="K223" i="1"/>
  <c r="N222" i="1"/>
  <c r="M222" i="1"/>
  <c r="L222" i="1"/>
  <c r="K222" i="1"/>
  <c r="N221" i="1"/>
  <c r="M221" i="1"/>
  <c r="L221" i="1"/>
  <c r="K221" i="1"/>
  <c r="N220" i="1"/>
  <c r="M220" i="1"/>
  <c r="L220" i="1"/>
  <c r="K220" i="1"/>
  <c r="N219" i="1"/>
  <c r="M219" i="1"/>
  <c r="L219" i="1"/>
  <c r="K219" i="1"/>
  <c r="N218" i="1"/>
  <c r="M218" i="1"/>
  <c r="L218" i="1"/>
  <c r="K218" i="1"/>
  <c r="N217" i="1"/>
  <c r="M217" i="1"/>
  <c r="L217" i="1"/>
  <c r="K217" i="1"/>
  <c r="N216" i="1"/>
  <c r="M216" i="1"/>
  <c r="L216" i="1"/>
  <c r="K216" i="1"/>
  <c r="N215" i="1"/>
  <c r="M215" i="1"/>
  <c r="L215" i="1"/>
  <c r="K215" i="1"/>
  <c r="N214" i="1"/>
  <c r="M214" i="1"/>
  <c r="L214" i="1"/>
  <c r="K214" i="1"/>
  <c r="N213" i="1"/>
  <c r="M213" i="1"/>
  <c r="L213" i="1"/>
  <c r="K213" i="1"/>
  <c r="N212" i="1"/>
  <c r="M212" i="1"/>
  <c r="L212" i="1"/>
  <c r="K212" i="1"/>
  <c r="N211" i="1"/>
  <c r="M211" i="1"/>
  <c r="L211" i="1"/>
  <c r="K211" i="1"/>
  <c r="N210" i="1"/>
  <c r="M210" i="1"/>
  <c r="L210" i="1"/>
  <c r="K210" i="1"/>
  <c r="N209" i="1"/>
  <c r="M209" i="1"/>
  <c r="L209" i="1"/>
  <c r="K209" i="1"/>
  <c r="N208" i="1"/>
  <c r="M208" i="1"/>
  <c r="L208" i="1"/>
  <c r="K208" i="1"/>
  <c r="N207" i="1"/>
  <c r="M207" i="1"/>
  <c r="L207" i="1"/>
  <c r="K207" i="1"/>
  <c r="N206" i="1"/>
  <c r="M206" i="1"/>
  <c r="L206" i="1"/>
  <c r="K206" i="1"/>
  <c r="N205" i="1"/>
  <c r="M205" i="1"/>
  <c r="L205" i="1"/>
  <c r="K205" i="1"/>
  <c r="N204" i="1"/>
  <c r="M204" i="1"/>
  <c r="L204" i="1"/>
  <c r="K204" i="1"/>
  <c r="N203" i="1"/>
  <c r="M203" i="1"/>
  <c r="L203" i="1"/>
  <c r="K203" i="1"/>
  <c r="N202" i="1"/>
  <c r="M202" i="1"/>
  <c r="L202" i="1"/>
  <c r="K202" i="1"/>
  <c r="N201" i="1"/>
  <c r="M201" i="1"/>
  <c r="L201" i="1"/>
  <c r="K201" i="1"/>
  <c r="N200" i="1"/>
  <c r="M200" i="1"/>
  <c r="L200" i="1"/>
  <c r="K200" i="1"/>
  <c r="N199" i="1"/>
  <c r="M199" i="1"/>
  <c r="L199" i="1"/>
  <c r="K199" i="1"/>
  <c r="N198" i="1"/>
  <c r="M198" i="1"/>
  <c r="L198" i="1"/>
  <c r="K198" i="1"/>
  <c r="N197" i="1"/>
  <c r="M197" i="1"/>
  <c r="L197" i="1"/>
  <c r="K197" i="1"/>
  <c r="N196" i="1"/>
  <c r="M196" i="1"/>
  <c r="L196" i="1"/>
  <c r="K196" i="1"/>
  <c r="N195" i="1"/>
  <c r="M195" i="1"/>
  <c r="L195" i="1"/>
  <c r="K195" i="1"/>
  <c r="N194" i="1"/>
  <c r="M194" i="1"/>
  <c r="L194" i="1"/>
  <c r="K194" i="1"/>
  <c r="N193" i="1"/>
  <c r="M193" i="1"/>
  <c r="L193" i="1"/>
  <c r="K193" i="1"/>
  <c r="N192" i="1"/>
  <c r="M192" i="1"/>
  <c r="L192" i="1"/>
  <c r="K192" i="1"/>
  <c r="N191" i="1"/>
  <c r="M191" i="1"/>
  <c r="L191" i="1"/>
  <c r="K191" i="1"/>
  <c r="N190" i="1"/>
  <c r="M190" i="1"/>
  <c r="L190" i="1"/>
  <c r="K190" i="1"/>
  <c r="N189" i="1"/>
  <c r="M189" i="1"/>
  <c r="L189" i="1"/>
  <c r="K189" i="1"/>
  <c r="N188" i="1"/>
  <c r="M188" i="1"/>
  <c r="L188" i="1"/>
  <c r="K188" i="1"/>
  <c r="N187" i="1"/>
  <c r="M187" i="1"/>
  <c r="L187" i="1"/>
  <c r="K187" i="1"/>
  <c r="N186" i="1"/>
  <c r="M186" i="1"/>
  <c r="L186" i="1"/>
  <c r="K186" i="1"/>
  <c r="N185" i="1"/>
  <c r="M185" i="1"/>
  <c r="L185" i="1"/>
  <c r="K185" i="1"/>
  <c r="N184" i="1"/>
  <c r="M184" i="1"/>
  <c r="L184" i="1"/>
  <c r="K184" i="1"/>
  <c r="N183" i="1"/>
  <c r="M183" i="1"/>
  <c r="L183" i="1"/>
  <c r="K183" i="1"/>
  <c r="N182" i="1"/>
  <c r="M182" i="1"/>
  <c r="L182" i="1"/>
  <c r="K182" i="1"/>
  <c r="N181" i="1"/>
  <c r="M181" i="1"/>
  <c r="L181" i="1"/>
  <c r="K181" i="1"/>
  <c r="N180" i="1"/>
  <c r="M180" i="1"/>
  <c r="L180" i="1"/>
  <c r="K180" i="1"/>
  <c r="N179" i="1"/>
  <c r="M179" i="1"/>
  <c r="L179" i="1"/>
  <c r="K179" i="1"/>
  <c r="N178" i="1"/>
  <c r="M178" i="1"/>
  <c r="L178" i="1"/>
  <c r="K178" i="1"/>
  <c r="N177" i="1"/>
  <c r="M177" i="1"/>
  <c r="L177" i="1"/>
  <c r="K177" i="1"/>
  <c r="N176" i="1"/>
  <c r="M176" i="1"/>
  <c r="L176" i="1"/>
  <c r="K176" i="1"/>
  <c r="N175" i="1"/>
  <c r="M175" i="1"/>
  <c r="L175" i="1"/>
  <c r="K175" i="1"/>
  <c r="N174" i="1"/>
  <c r="M174" i="1"/>
  <c r="L174" i="1"/>
  <c r="K174" i="1"/>
  <c r="N173" i="1"/>
  <c r="M173" i="1"/>
  <c r="L173" i="1"/>
  <c r="K173" i="1"/>
  <c r="N172" i="1"/>
  <c r="M172" i="1"/>
  <c r="L172" i="1"/>
  <c r="K172" i="1"/>
  <c r="N171" i="1"/>
  <c r="M171" i="1"/>
  <c r="L171" i="1"/>
  <c r="K171" i="1"/>
  <c r="N170" i="1"/>
  <c r="M170" i="1"/>
  <c r="L170" i="1"/>
  <c r="K170" i="1"/>
  <c r="N169" i="1"/>
  <c r="M169" i="1"/>
  <c r="L169" i="1"/>
  <c r="K169" i="1"/>
  <c r="N168" i="1"/>
  <c r="M168" i="1"/>
  <c r="L168" i="1"/>
  <c r="K168" i="1"/>
  <c r="N167" i="1"/>
  <c r="M167" i="1"/>
  <c r="L167" i="1"/>
  <c r="K167" i="1"/>
  <c r="N166" i="1"/>
  <c r="M166" i="1"/>
  <c r="L166" i="1"/>
  <c r="K166" i="1"/>
  <c r="N165" i="1"/>
  <c r="M165" i="1"/>
  <c r="L165" i="1"/>
  <c r="K165" i="1"/>
  <c r="N164" i="1"/>
  <c r="M164" i="1"/>
  <c r="L164" i="1"/>
  <c r="K164" i="1"/>
  <c r="N163" i="1"/>
  <c r="M163" i="1"/>
  <c r="L163" i="1"/>
  <c r="K163" i="1"/>
  <c r="N162" i="1"/>
  <c r="M162" i="1"/>
  <c r="L162" i="1"/>
  <c r="K162" i="1"/>
  <c r="N161" i="1"/>
  <c r="M161" i="1"/>
  <c r="L161" i="1"/>
  <c r="K161" i="1"/>
  <c r="N160" i="1"/>
  <c r="M160" i="1"/>
  <c r="L160" i="1"/>
  <c r="K160" i="1"/>
  <c r="N159" i="1"/>
  <c r="M159" i="1"/>
  <c r="L159" i="1"/>
  <c r="K159" i="1"/>
  <c r="N158" i="1"/>
  <c r="M158" i="1"/>
  <c r="L158" i="1"/>
  <c r="K158" i="1"/>
  <c r="N157" i="1"/>
  <c r="M157" i="1"/>
  <c r="L157" i="1"/>
  <c r="K157" i="1"/>
  <c r="N156" i="1"/>
  <c r="M156" i="1"/>
  <c r="L156" i="1"/>
  <c r="K156" i="1"/>
  <c r="N155" i="1"/>
  <c r="M155" i="1"/>
  <c r="L155" i="1"/>
  <c r="K155" i="1"/>
  <c r="N154" i="1"/>
  <c r="M154" i="1"/>
  <c r="L154" i="1"/>
  <c r="K154" i="1"/>
  <c r="N153" i="1"/>
  <c r="M153" i="1"/>
  <c r="L153" i="1"/>
  <c r="K153" i="1"/>
  <c r="N152" i="1"/>
  <c r="M152" i="1"/>
  <c r="L152" i="1"/>
  <c r="K152" i="1"/>
  <c r="N151" i="1"/>
  <c r="M151" i="1"/>
  <c r="L151" i="1"/>
  <c r="K151" i="1"/>
  <c r="N150" i="1"/>
  <c r="M150" i="1"/>
  <c r="L150" i="1"/>
  <c r="K150" i="1"/>
  <c r="N149" i="1"/>
  <c r="M149" i="1"/>
  <c r="L149" i="1"/>
  <c r="K149" i="1"/>
  <c r="N148" i="1"/>
  <c r="M148" i="1"/>
  <c r="L148" i="1"/>
  <c r="K148" i="1"/>
  <c r="N147" i="1"/>
  <c r="M147" i="1"/>
  <c r="L147" i="1"/>
  <c r="K147" i="1"/>
  <c r="N146" i="1"/>
  <c r="M146" i="1"/>
  <c r="L146" i="1"/>
  <c r="K146" i="1"/>
  <c r="N145" i="1"/>
  <c r="M145" i="1"/>
  <c r="L145" i="1"/>
  <c r="K145" i="1"/>
  <c r="N144" i="1"/>
  <c r="M144" i="1"/>
  <c r="L144" i="1"/>
  <c r="K144" i="1"/>
  <c r="N143" i="1"/>
  <c r="M143" i="1"/>
  <c r="L143" i="1"/>
  <c r="K143" i="1"/>
  <c r="N142" i="1"/>
  <c r="M142" i="1"/>
  <c r="L142" i="1"/>
  <c r="K142" i="1"/>
  <c r="N141" i="1"/>
  <c r="M141" i="1"/>
  <c r="L141" i="1"/>
  <c r="K141" i="1"/>
  <c r="N140" i="1"/>
  <c r="M140" i="1"/>
  <c r="L140" i="1"/>
  <c r="K140" i="1"/>
  <c r="N139" i="1"/>
  <c r="M139" i="1"/>
  <c r="L139" i="1"/>
  <c r="K139" i="1"/>
  <c r="N138" i="1"/>
  <c r="M138" i="1"/>
  <c r="L138" i="1"/>
  <c r="K138" i="1"/>
  <c r="N137" i="1"/>
  <c r="M137" i="1"/>
  <c r="L137" i="1"/>
  <c r="K137" i="1"/>
  <c r="N136" i="1"/>
  <c r="M136" i="1"/>
  <c r="L136" i="1"/>
  <c r="K136" i="1"/>
  <c r="N135" i="1"/>
  <c r="M135" i="1"/>
  <c r="L135" i="1"/>
  <c r="K135" i="1"/>
  <c r="N134" i="1"/>
  <c r="M134" i="1"/>
  <c r="L134" i="1"/>
  <c r="K134" i="1"/>
  <c r="N133" i="1"/>
  <c r="M133" i="1"/>
  <c r="L133" i="1"/>
  <c r="K133" i="1"/>
  <c r="N132" i="1"/>
  <c r="M132" i="1"/>
  <c r="L132" i="1"/>
  <c r="K132" i="1"/>
  <c r="N131" i="1"/>
  <c r="M131" i="1"/>
  <c r="L131" i="1"/>
  <c r="K131" i="1"/>
  <c r="N130" i="1"/>
  <c r="M130" i="1"/>
  <c r="L130" i="1"/>
  <c r="K130" i="1"/>
  <c r="N129" i="1"/>
  <c r="M129" i="1"/>
  <c r="L129" i="1"/>
  <c r="K129" i="1"/>
  <c r="N128" i="1"/>
  <c r="M128" i="1"/>
  <c r="L128" i="1"/>
  <c r="K128" i="1"/>
  <c r="N127" i="1"/>
  <c r="M127" i="1"/>
  <c r="L127" i="1"/>
  <c r="K127" i="1"/>
  <c r="N126" i="1"/>
  <c r="M126" i="1"/>
  <c r="L126" i="1"/>
  <c r="K126" i="1"/>
  <c r="N125" i="1"/>
  <c r="M125" i="1"/>
  <c r="L125" i="1"/>
  <c r="K125" i="1"/>
  <c r="N124" i="1"/>
  <c r="M124" i="1"/>
  <c r="L124" i="1"/>
  <c r="K124" i="1"/>
  <c r="N123" i="1"/>
  <c r="M123" i="1"/>
  <c r="L123" i="1"/>
  <c r="K123" i="1"/>
  <c r="N122" i="1"/>
  <c r="M122" i="1"/>
  <c r="L122" i="1"/>
  <c r="K122" i="1"/>
  <c r="N121" i="1"/>
  <c r="M121" i="1"/>
  <c r="L121" i="1"/>
  <c r="K121" i="1"/>
  <c r="N120" i="1"/>
  <c r="M120" i="1"/>
  <c r="L120" i="1"/>
  <c r="K120" i="1"/>
  <c r="N119" i="1"/>
  <c r="M119" i="1"/>
  <c r="L119" i="1"/>
  <c r="K119" i="1"/>
  <c r="N118" i="1"/>
  <c r="M118" i="1"/>
  <c r="L118" i="1"/>
  <c r="K118" i="1"/>
  <c r="N117" i="1"/>
  <c r="M117" i="1"/>
  <c r="L117" i="1"/>
  <c r="K117" i="1"/>
  <c r="N116" i="1"/>
  <c r="M116" i="1"/>
  <c r="L116" i="1"/>
  <c r="K116" i="1"/>
  <c r="N115" i="1"/>
  <c r="M115" i="1"/>
  <c r="L115" i="1"/>
  <c r="K115" i="1"/>
  <c r="N114" i="1"/>
  <c r="M114" i="1"/>
  <c r="L114" i="1"/>
  <c r="K114" i="1"/>
  <c r="N113" i="1"/>
  <c r="M113" i="1"/>
  <c r="L113" i="1"/>
  <c r="K113" i="1"/>
  <c r="N112" i="1"/>
  <c r="M112" i="1"/>
  <c r="L112" i="1"/>
  <c r="K112" i="1"/>
  <c r="N111" i="1"/>
  <c r="M111" i="1"/>
  <c r="L111" i="1"/>
  <c r="K111" i="1"/>
  <c r="N110" i="1"/>
  <c r="M110" i="1"/>
  <c r="L110" i="1"/>
  <c r="K110" i="1"/>
  <c r="N109" i="1"/>
  <c r="M109" i="1"/>
  <c r="L109" i="1"/>
  <c r="K109" i="1"/>
  <c r="N108" i="1"/>
  <c r="M108" i="1"/>
  <c r="L108" i="1"/>
  <c r="K108" i="1"/>
  <c r="N107" i="1"/>
  <c r="M107" i="1"/>
  <c r="L107" i="1"/>
  <c r="K107" i="1"/>
  <c r="N106" i="1"/>
  <c r="M106" i="1"/>
  <c r="L106" i="1"/>
  <c r="K106" i="1"/>
  <c r="N105" i="1"/>
  <c r="M105" i="1"/>
  <c r="L105" i="1"/>
  <c r="K105" i="1"/>
  <c r="N104" i="1"/>
  <c r="M104" i="1"/>
  <c r="L104" i="1"/>
  <c r="K104" i="1"/>
  <c r="N103" i="1"/>
  <c r="M103" i="1"/>
  <c r="L103" i="1"/>
  <c r="K103" i="1"/>
  <c r="N102" i="1"/>
  <c r="M102" i="1"/>
  <c r="L102" i="1"/>
  <c r="K102" i="1"/>
  <c r="N101" i="1"/>
  <c r="M101" i="1"/>
  <c r="L101" i="1"/>
  <c r="K101" i="1"/>
  <c r="N100" i="1"/>
  <c r="M100" i="1"/>
  <c r="L100" i="1"/>
  <c r="K100" i="1"/>
  <c r="N99" i="1"/>
  <c r="M99" i="1"/>
  <c r="L99" i="1"/>
  <c r="K99" i="1"/>
  <c r="N98" i="1"/>
  <c r="M98" i="1"/>
  <c r="L98" i="1"/>
  <c r="K98" i="1"/>
  <c r="N97" i="1"/>
  <c r="M97" i="1"/>
  <c r="L97" i="1"/>
  <c r="K97" i="1"/>
  <c r="N96" i="1"/>
  <c r="M96" i="1"/>
  <c r="L96" i="1"/>
  <c r="K96" i="1"/>
  <c r="N95" i="1"/>
  <c r="M95" i="1"/>
  <c r="L95" i="1"/>
  <c r="K95" i="1"/>
  <c r="N94" i="1"/>
  <c r="M94" i="1"/>
  <c r="L94" i="1"/>
  <c r="K94" i="1"/>
  <c r="N93" i="1"/>
  <c r="M93" i="1"/>
  <c r="L93" i="1"/>
  <c r="K93" i="1"/>
  <c r="N92" i="1"/>
  <c r="M92" i="1"/>
  <c r="L92" i="1"/>
  <c r="K92" i="1"/>
  <c r="N91" i="1"/>
  <c r="M91" i="1"/>
  <c r="L91" i="1"/>
  <c r="K91" i="1"/>
  <c r="N90" i="1"/>
  <c r="M90" i="1"/>
  <c r="L90" i="1"/>
  <c r="K90" i="1"/>
  <c r="N89" i="1"/>
  <c r="M89" i="1"/>
  <c r="L89" i="1"/>
  <c r="K89" i="1"/>
  <c r="N88" i="1"/>
  <c r="M88" i="1"/>
  <c r="L88" i="1"/>
  <c r="K88" i="1"/>
  <c r="N87" i="1"/>
  <c r="M87" i="1"/>
  <c r="L87" i="1"/>
  <c r="K87" i="1"/>
  <c r="N86" i="1"/>
  <c r="M86" i="1"/>
  <c r="L86" i="1"/>
  <c r="K86" i="1"/>
  <c r="N85" i="1"/>
  <c r="M85" i="1"/>
  <c r="L85" i="1"/>
  <c r="K85" i="1"/>
  <c r="N84" i="1"/>
  <c r="M84" i="1"/>
  <c r="L84" i="1"/>
  <c r="K84" i="1"/>
  <c r="N83" i="1"/>
  <c r="M83" i="1"/>
  <c r="L83" i="1"/>
  <c r="K83" i="1"/>
  <c r="N82" i="1"/>
  <c r="M82" i="1"/>
  <c r="L82" i="1"/>
  <c r="K82" i="1"/>
  <c r="N81" i="1"/>
  <c r="M81" i="1"/>
  <c r="L81" i="1"/>
  <c r="K81" i="1"/>
  <c r="N80" i="1"/>
  <c r="M80" i="1"/>
  <c r="L80" i="1"/>
  <c r="K80" i="1"/>
  <c r="N79" i="1"/>
  <c r="M79" i="1"/>
  <c r="L79" i="1"/>
  <c r="K79" i="1"/>
  <c r="N78" i="1"/>
  <c r="M78" i="1"/>
  <c r="L78" i="1"/>
  <c r="K78" i="1"/>
  <c r="N77" i="1"/>
  <c r="M77" i="1"/>
  <c r="L77" i="1"/>
  <c r="K77" i="1"/>
  <c r="N76" i="1"/>
  <c r="M76" i="1"/>
  <c r="L76" i="1"/>
  <c r="K76" i="1"/>
  <c r="N75" i="1"/>
  <c r="M75" i="1"/>
  <c r="L75" i="1"/>
  <c r="K75" i="1"/>
  <c r="N74" i="1"/>
  <c r="M74" i="1"/>
  <c r="L74" i="1"/>
  <c r="K74" i="1"/>
  <c r="N73" i="1"/>
  <c r="M73" i="1"/>
  <c r="L73" i="1"/>
  <c r="K73" i="1"/>
  <c r="N72" i="1"/>
  <c r="M72" i="1"/>
  <c r="L72" i="1"/>
  <c r="K72" i="1"/>
  <c r="N71" i="1"/>
  <c r="M71" i="1"/>
  <c r="L71" i="1"/>
  <c r="K71" i="1"/>
  <c r="N70" i="1"/>
  <c r="M70" i="1"/>
  <c r="L70" i="1"/>
  <c r="K70" i="1"/>
  <c r="N69" i="1"/>
  <c r="M69" i="1"/>
  <c r="L69" i="1"/>
  <c r="K69" i="1"/>
  <c r="N68" i="1"/>
  <c r="M68" i="1"/>
  <c r="L68" i="1"/>
  <c r="K68" i="1"/>
  <c r="N67" i="1"/>
  <c r="M67" i="1"/>
  <c r="L67" i="1"/>
  <c r="K67" i="1"/>
  <c r="N66" i="1"/>
  <c r="M66" i="1"/>
  <c r="L66" i="1"/>
  <c r="K66" i="1"/>
  <c r="N65" i="1"/>
  <c r="M65" i="1"/>
  <c r="L65" i="1"/>
  <c r="K65" i="1"/>
  <c r="N64" i="1"/>
  <c r="M64" i="1"/>
  <c r="L64" i="1"/>
  <c r="K64" i="1"/>
  <c r="N63" i="1"/>
  <c r="M63" i="1"/>
  <c r="L63" i="1"/>
  <c r="K63" i="1"/>
  <c r="N62" i="1"/>
  <c r="M62" i="1"/>
  <c r="L62" i="1"/>
  <c r="K62" i="1"/>
  <c r="N61" i="1"/>
  <c r="M61" i="1"/>
  <c r="L61" i="1"/>
  <c r="K61" i="1"/>
  <c r="N60" i="1"/>
  <c r="M60" i="1"/>
  <c r="L60" i="1"/>
  <c r="K60" i="1"/>
  <c r="N59" i="1"/>
  <c r="M59" i="1"/>
  <c r="L59" i="1"/>
  <c r="K59" i="1"/>
  <c r="N58" i="1"/>
  <c r="M58" i="1"/>
  <c r="L58" i="1"/>
  <c r="K58" i="1"/>
  <c r="N57" i="1"/>
  <c r="M57" i="1"/>
  <c r="L57" i="1"/>
  <c r="K57" i="1"/>
  <c r="N56" i="1"/>
  <c r="M56" i="1"/>
  <c r="L56" i="1"/>
  <c r="K56" i="1"/>
  <c r="N55" i="1"/>
  <c r="M55" i="1"/>
  <c r="L55" i="1"/>
  <c r="K55" i="1"/>
  <c r="N54" i="1"/>
  <c r="M54" i="1"/>
  <c r="L54" i="1"/>
  <c r="K54" i="1"/>
  <c r="N53" i="1"/>
  <c r="M53" i="1"/>
  <c r="L53" i="1"/>
  <c r="K53" i="1"/>
  <c r="N52" i="1"/>
  <c r="M52" i="1"/>
  <c r="L52" i="1"/>
  <c r="K52" i="1"/>
  <c r="N51" i="1"/>
  <c r="M51" i="1"/>
  <c r="L51" i="1"/>
  <c r="K51" i="1"/>
  <c r="N50" i="1"/>
  <c r="M50" i="1"/>
  <c r="L50" i="1"/>
  <c r="K50" i="1"/>
  <c r="N49" i="1"/>
  <c r="M49" i="1"/>
  <c r="L49" i="1"/>
  <c r="K49" i="1"/>
  <c r="N48" i="1"/>
  <c r="M48" i="1"/>
  <c r="L48" i="1"/>
  <c r="K48" i="1"/>
  <c r="N47" i="1"/>
  <c r="M47" i="1"/>
  <c r="L47" i="1"/>
  <c r="K47" i="1"/>
  <c r="N46" i="1"/>
  <c r="M46" i="1"/>
  <c r="L46" i="1"/>
  <c r="K46" i="1"/>
  <c r="N45" i="1"/>
  <c r="M45" i="1"/>
  <c r="L45" i="1"/>
  <c r="K45" i="1"/>
  <c r="N44" i="1"/>
  <c r="M44" i="1"/>
  <c r="L44" i="1"/>
  <c r="K44" i="1"/>
  <c r="N43" i="1"/>
  <c r="M43" i="1"/>
  <c r="L43" i="1"/>
  <c r="K43" i="1"/>
  <c r="N42" i="1"/>
  <c r="M42" i="1"/>
  <c r="L42" i="1"/>
  <c r="K42" i="1"/>
  <c r="N41" i="1"/>
  <c r="M41" i="1"/>
  <c r="L41" i="1"/>
  <c r="K41" i="1"/>
  <c r="N40" i="1"/>
  <c r="M40" i="1"/>
  <c r="L40" i="1"/>
  <c r="K40" i="1"/>
  <c r="N39" i="1"/>
  <c r="M39" i="1"/>
  <c r="L39" i="1"/>
  <c r="K39" i="1"/>
  <c r="N38" i="1"/>
  <c r="M38" i="1"/>
  <c r="L38" i="1"/>
  <c r="K38" i="1"/>
  <c r="N37" i="1"/>
  <c r="M37" i="1"/>
  <c r="L37" i="1"/>
  <c r="K37" i="1"/>
  <c r="N36" i="1"/>
  <c r="M36" i="1"/>
  <c r="L36" i="1"/>
  <c r="K36" i="1"/>
  <c r="N35" i="1"/>
  <c r="M35" i="1"/>
  <c r="L35" i="1"/>
  <c r="K35" i="1"/>
  <c r="N34" i="1"/>
  <c r="M34" i="1"/>
  <c r="L34" i="1"/>
  <c r="K34" i="1"/>
  <c r="N33" i="1"/>
  <c r="M33" i="1"/>
  <c r="L33" i="1"/>
  <c r="K33" i="1"/>
  <c r="N32" i="1"/>
  <c r="M32" i="1"/>
  <c r="L32" i="1"/>
  <c r="K32" i="1"/>
  <c r="N31" i="1"/>
  <c r="M31" i="1"/>
  <c r="L31" i="1"/>
  <c r="K31" i="1"/>
  <c r="N30" i="1"/>
  <c r="M30" i="1"/>
  <c r="L30" i="1"/>
  <c r="K30" i="1"/>
  <c r="N29" i="1"/>
  <c r="M29" i="1"/>
  <c r="L29" i="1"/>
  <c r="K29" i="1"/>
  <c r="N28" i="1"/>
  <c r="M28" i="1"/>
  <c r="L28" i="1"/>
  <c r="K28" i="1"/>
  <c r="N27" i="1"/>
  <c r="M27" i="1"/>
  <c r="L27" i="1"/>
  <c r="K27" i="1"/>
  <c r="N26" i="1"/>
  <c r="M26" i="1"/>
  <c r="L26" i="1"/>
  <c r="K26" i="1"/>
  <c r="N25" i="1"/>
  <c r="M25" i="1"/>
  <c r="L25" i="1"/>
  <c r="K25" i="1"/>
  <c r="N24" i="1"/>
  <c r="M24" i="1"/>
  <c r="L24" i="1"/>
  <c r="K24" i="1"/>
  <c r="N23" i="1"/>
  <c r="M23" i="1"/>
  <c r="L23" i="1"/>
  <c r="K23" i="1"/>
  <c r="N22" i="1"/>
  <c r="M22" i="1"/>
  <c r="L22" i="1"/>
  <c r="K22" i="1"/>
  <c r="N21" i="1"/>
  <c r="M21" i="1"/>
  <c r="L21" i="1"/>
  <c r="K21" i="1"/>
  <c r="N20" i="1"/>
  <c r="M20" i="1"/>
  <c r="L20" i="1"/>
  <c r="K20" i="1"/>
  <c r="N19" i="1"/>
  <c r="M19" i="1"/>
  <c r="L19" i="1"/>
  <c r="K19" i="1"/>
  <c r="N18" i="1"/>
  <c r="M18" i="1"/>
  <c r="L18" i="1"/>
  <c r="K18" i="1"/>
  <c r="N17" i="1"/>
  <c r="M17" i="1"/>
  <c r="L17" i="1"/>
  <c r="K17" i="1"/>
  <c r="N16" i="1"/>
  <c r="M16" i="1"/>
  <c r="L16" i="1"/>
  <c r="K16" i="1"/>
  <c r="N15" i="1"/>
  <c r="M15" i="1"/>
  <c r="L15" i="1"/>
  <c r="K15" i="1"/>
  <c r="N14" i="1"/>
  <c r="M14" i="1"/>
  <c r="L14" i="1"/>
  <c r="K14" i="1"/>
  <c r="N13" i="1"/>
  <c r="M13" i="1"/>
  <c r="L13" i="1"/>
  <c r="K13" i="1"/>
  <c r="N12" i="1"/>
  <c r="M12" i="1"/>
  <c r="L12" i="1"/>
  <c r="K12" i="1"/>
  <c r="N11" i="1"/>
  <c r="M11" i="1"/>
  <c r="L11" i="1"/>
  <c r="K11" i="1"/>
  <c r="N10" i="1"/>
  <c r="M10" i="1"/>
  <c r="L10" i="1"/>
  <c r="K10" i="1"/>
  <c r="N9" i="1"/>
  <c r="M9" i="1"/>
  <c r="L9" i="1"/>
  <c r="K9" i="1"/>
  <c r="N8" i="1"/>
  <c r="M8" i="1"/>
  <c r="L8" i="1"/>
  <c r="K8" i="1"/>
  <c r="N7" i="1"/>
  <c r="M7" i="1"/>
  <c r="L7" i="1"/>
  <c r="K7" i="1"/>
  <c r="N6" i="1"/>
  <c r="M6" i="1"/>
  <c r="L6" i="1"/>
  <c r="K6" i="1"/>
  <c r="N5" i="1"/>
  <c r="M5" i="1"/>
  <c r="L5" i="1"/>
  <c r="K5" i="1"/>
  <c r="N4" i="1"/>
  <c r="M4" i="1"/>
  <c r="L4" i="1"/>
  <c r="K4" i="1"/>
  <c r="N3" i="1"/>
  <c r="M3" i="1"/>
  <c r="H16" i="2" s="1"/>
  <c r="J16" i="2" s="1"/>
  <c r="L3" i="1"/>
  <c r="K3"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J5" i="2"/>
  <c r="P2" i="1"/>
  <c r="N2" i="1"/>
  <c r="M2" i="1"/>
  <c r="H19" i="2" s="1" a="1"/>
  <c r="H19" i="2" s="1"/>
  <c r="J19" i="2" s="1"/>
  <c r="L2" i="1"/>
  <c r="K2" i="1"/>
  <c r="H2" i="1"/>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Trung Nguyen Huu</author>
  </authors>
  <commentList>
    <comment ref="G34" authorId="0" shapeId="0" xr:uid="{4EE387BA-5F9F-4375-9A17-F67141D4C5E3}">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35" authorId="0" shapeId="0" xr:uid="{6BDE84D2-DB2D-4C4B-986A-3B2DD0C3D16E}">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36" authorId="0" shapeId="0" xr:uid="{5A0B5570-FC62-4306-9810-BDD38BA47B2C}">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37" authorId="0" shapeId="0" xr:uid="{B2B95E12-0E56-4F4E-AD81-897C585C1EAA}">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38" authorId="0" shapeId="0" xr:uid="{72247AB3-0D38-4354-A6E3-654A5D6941A8}">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39" authorId="0" shapeId="0" xr:uid="{338D3243-794A-4DF6-90A2-E0B7461E44DD}">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40" authorId="0" shapeId="0" xr:uid="{70CAA965-CD44-4E9A-8E47-50715067712B}">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 ref="G41" authorId="0" shapeId="0" xr:uid="{2E286CE9-4A6C-4FC4-937F-F65F5026730D}">
      <text>
        <r>
          <rPr>
            <b/>
            <sz val="9"/>
            <color indexed="81"/>
            <rFont val="Tahoma"/>
            <charset val="1"/>
          </rPr>
          <t>Trung Nguyen Huu:</t>
        </r>
        <r>
          <rPr>
            <sz val="9"/>
            <color indexed="81"/>
            <rFont val="Tahoma"/>
            <charset val="1"/>
          </rPr>
          <t xml:space="preserve">
Nội dung sẵn để giảng viên sao chép đăng lên mục Thảo luận của eLearning.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<sst xmlns="http://schemas.openxmlformats.org/spreadsheetml/2006/main" count="28498" uniqueCount="8386">
  <si>
    <t>STT</t>
  </si>
  <si>
    <t>Lĩnh vực</t>
  </si>
  <si>
    <t>Mã đề tài</t>
  </si>
  <si>
    <t>Tên đề tài</t>
  </si>
  <si>
    <t>Nền tảng gợi ý</t>
  </si>
  <si>
    <t>Mô tả ngắn</t>
  </si>
  <si>
    <t>Module/chức năng chính</t>
  </si>
  <si>
    <t>Phân công nhóm 5 SV (vai trò)</t>
  </si>
  <si>
    <t>Độ khó</t>
  </si>
  <si>
    <t>Gợi ý AI/ML mở rộng</t>
  </si>
  <si>
    <t>Phạm vi MVP 8 tuần</t>
  </si>
  <si>
    <t>Hồ sơ QLDA bắt buộc</t>
  </si>
  <si>
    <t>Mốc nghiệm thu</t>
  </si>
  <si>
    <t>Điều kiện đạt</t>
  </si>
  <si>
    <t>Nhóm đăng ký (GV nhập)</t>
  </si>
  <si>
    <t>Trạng thái</t>
  </si>
  <si>
    <t>Bán lẻ</t>
  </si>
  <si>
    <t>LV01-001</t>
  </si>
  <si>
    <t>Hệ thống quản lý tổng thể cho cửa hàng bán lẻ</t>
  </si>
  <si>
    <t>Mobile App</t>
  </si>
  <si>
    <t>Đồ án 8 tuần cho nhóm 5 SV: xây dựng Mobile App phục vụ cửa hàng bán lẻ; quản lý các thực thể chính: sản phẩm, khách hàng, đơn hàng, kho, hóa đơn; có CSDL, API, giao diện người dùng, báo cáo và kiểm thử.</t>
  </si>
  <si>
    <t>Đăng nhập phân quyền, CRUD, tìm kiếm/lọc, dashboard thống kê, import/export, báo cáo PDF/Excel, kiểm thử; nghiệp vụ trọng tâm: quản lý tổng thể; AI/ML gợi ý: dự báo tồn kho.</t>
  </si>
  <si>
    <t>Khá</t>
  </si>
  <si>
    <t>dự báo tồn kho</t>
  </si>
  <si>
    <t>LV01-002</t>
  </si>
  <si>
    <t>Hệ thống đặt lịch/đặt chỗ cho cửa hàng bán lẻ</t>
  </si>
  <si>
    <t>Desktop App</t>
  </si>
  <si>
    <t>Đồ án 8 tuần cho nhóm 5 SV: xây dựng Desktop App phục vụ cửa hàng bán lẻ; quản lý các thực thể chính: sản phẩm, khách hàng, đơn hàng, kho, hóa đơn; có CSDL, API, giao diện người dùng, báo cáo và kiểm thử.</t>
  </si>
  <si>
    <t>Đăng nhập phân quyền, CRUD, tìm kiếm/lọc, dashboard thống kê, import/export, báo cáo PDF/Excel, kiểm thử; nghiệp vụ trọng tâm: đặt lịch/đặt chỗ; AI/ML gợi ý: phân nhóm khách hàng.</t>
  </si>
  <si>
    <t>Khó</t>
  </si>
  <si>
    <t>phân nhóm khách hàng</t>
  </si>
  <si>
    <t>LV01-003</t>
  </si>
  <si>
    <t>Hệ thống bán hàng và thanh toán cho cửa hàng bán lẻ</t>
  </si>
  <si>
    <t>Web + Mobile</t>
  </si>
  <si>
    <t>Đồ án 8 tuần cho nhóm 5 SV: xây dựng Web + Mobile phục vụ cửa hàng bán lẻ; quản lý các thực thể chính: sản phẩm, khách hàng, đơn hàng, kho, hóa đơn; có CSDL, API, giao diện người dùng, báo cáo và kiểm thử.</t>
  </si>
  <si>
    <t>Đăng nhập phân quyền, CRUD, tìm kiếm/lọc, dashboard thống kê, import/export, báo cáo PDF/Excel, kiểm thử; nghiệp vụ trọng tâm: bán hàng và thanh toán; AI/ML gợi ý: gợi ý sản phẩm.</t>
  </si>
  <si>
    <t>Trung bình</t>
  </si>
  <si>
    <t>gợi ý sản phẩm</t>
  </si>
  <si>
    <t>LV01-004</t>
  </si>
  <si>
    <t>Hệ thống quản lý khách hàng CRM cho cửa hàng bán lẻ</t>
  </si>
  <si>
    <t>Web + Desktop</t>
  </si>
  <si>
    <t>Đồ án 8 tuần cho nhóm 5 SV: xây dựng Web + Desktop phục vụ cửa hàng bán lẻ; quản lý các thực thể chính: sản phẩm, khách hàng, đơn hàng, kho, hóa đơn; có CSDL, API, giao diện người dùng, báo cáo và kiểm thử.</t>
  </si>
  <si>
    <t>Đăng nhập phân quyền, CRUD, tìm kiếm/lọc, dashboard thống kê, import/export, báo cáo PDF/Excel, kiểm thử; nghiệp vụ trọng tâm: quản lý khách hàng CRM; AI/ML gợi ý: dự báo tồn kho.</t>
  </si>
  <si>
    <t>LV01-005</t>
  </si>
  <si>
    <t>Hệ thống quản lý kho/tài sản cho cửa hàng bán lẻ</t>
  </si>
  <si>
    <t>Website</t>
  </si>
  <si>
    <t>Đồ án 8 tuần cho nhóm 5 SV: xây dựng Website phục vụ cửa hàng bán lẻ; quản lý các thực thể chính: sản phẩm, khách hàng, đơn hàng, kho, hóa đơn; có CSDL, API, giao diện người dùng, báo cáo và kiểm thử.</t>
  </si>
  <si>
    <t>Đăng nhập phân quyền, CRUD, tìm kiếm/lọc, dashboard thống kê, import/export, báo cáo PDF/Excel, kiểm thử; nghiệp vụ trọng tâm: quản lý kho/tài sản; AI/ML gợi ý: phân nhóm khách hàng.</t>
  </si>
  <si>
    <t>LV01-006</t>
  </si>
  <si>
    <t>Hệ thống quản lý nhân sự và ca làm cho cửa hàng bán lẻ</t>
  </si>
  <si>
    <t>Đăng nhập phân quyền, CRUD, tìm kiếm/lọc, dashboard thống kê, import/export, báo cáo PDF/Excel, kiểm thử; nghiệp vụ trọng tâm: quản lý nhân sự và ca làm; AI/ML gợi ý: gợi ý sản phẩm.</t>
  </si>
  <si>
    <t>LV01-007</t>
  </si>
  <si>
    <t>Hệ thống quản lý hóa đơn/công nợ cho cửa hàng bán lẻ</t>
  </si>
  <si>
    <t>Đăng nhập phân quyền, CRUD, tìm kiếm/lọc, dashboard thống kê, import/export, báo cáo PDF/Excel, kiểm thử; nghiệp vụ trọng tâm: quản lý hóa đơn/công nợ; AI/ML gợi ý: dự báo tồn kho.</t>
  </si>
  <si>
    <t>LV01-008</t>
  </si>
  <si>
    <t>Hệ thống báo cáo thống kê doanh thu cho cửa hàng bán lẻ</t>
  </si>
  <si>
    <t>Đăng nhập phân quyền, CRUD, tìm kiếm/lọc, dashboard thống kê, import/export, báo cáo PDF/Excel, kiểm thử; nghiệp vụ trọng tâm: báo cáo thống kê doanh thu; AI/ML gợi ý: phân nhóm khách hàng.</t>
  </si>
  <si>
    <t>LV01-009</t>
  </si>
  <si>
    <t>Hệ thống cổng chăm sóc khách hàng cho cửa hàng bán lẻ</t>
  </si>
  <si>
    <t>Đăng nhập phân quyền, CRUD, tìm kiếm/lọc, dashboard thống kê, import/export, báo cáo PDF/Excel, kiểm thử; nghiệp vụ trọng tâm: cổng chăm sóc khách hàng; AI/ML gợi ý: gợi ý sản phẩm.</t>
  </si>
  <si>
    <t>LV01-010</t>
  </si>
  <si>
    <t>Hệ thống ứng dụng loyalty/tích điểm cho cửa hàng bán lẻ</t>
  </si>
  <si>
    <t>Đăng nhập phân quyền, CRUD, tìm kiếm/lọc, dashboard thống kê, import/export, báo cáo PDF/Excel, kiểm thử; nghiệp vụ trọng tâm: ứng dụng loyalty/tích điểm; AI/ML gợi ý: dự báo tồn kho.</t>
  </si>
  <si>
    <t>LV01-011</t>
  </si>
  <si>
    <t>Hệ thống quản lý quy trình nghiệp vụ cho cửa hàng bán lẻ</t>
  </si>
  <si>
    <t>Đăng nhập phân quyền, CRUD, tìm kiếm/lọc, dashboard thống kê, import/export, báo cáo PDF/Excel, kiểm thử; nghiệp vụ trọng tâm: quản lý quy trình nghiệp vụ; AI/ML gợi ý: phân nhóm khách hàng.</t>
  </si>
  <si>
    <t>LV01-012</t>
  </si>
  <si>
    <t>Hệ thống theo dõi trạng thái thời gian thực cho cửa hàng bán lẻ</t>
  </si>
  <si>
    <t>Đăng nhập phân quyền, CRUD, tìm kiếm/lọc, dashboard thống kê, import/export, báo cáo PDF/Excel, kiểm thử; nghiệp vụ trọng tâm: theo dõi trạng thái thời gian thực; AI/ML gợi ý: gợi ý sản phẩm.</t>
  </si>
  <si>
    <t>LV01-013</t>
  </si>
  <si>
    <t>Hệ thống quản lý hợp đồng/hồ sơ cho cửa hàng bán lẻ</t>
  </si>
  <si>
    <t>Đăng nhập phân quyền, CRUD, tìm kiếm/lọc, dashboard thống kê, import/export, báo cáo PDF/Excel, kiểm thử; nghiệp vụ trọng tâm: quản lý hợp đồng/hồ sơ; AI/ML gợi ý: dự báo tồn kho.</t>
  </si>
  <si>
    <t>LV01-014</t>
  </si>
  <si>
    <t>Hệ thống tìm kiếm và lọc nâng cao cho cửa hàng bán lẻ</t>
  </si>
  <si>
    <t>Đăng nhập phân quyền, CRUD, tìm kiếm/lọc, dashboard thống kê, import/export, báo cáo PDF/Excel, kiểm thử; nghiệp vụ trọng tâm: tìm kiếm và lọc nâng cao; AI/ML gợi ý: phân nhóm khách hàng.</t>
  </si>
  <si>
    <t>LV01-015</t>
  </si>
  <si>
    <t>Hệ thống quản lý phản hồi/đánh giá cho cửa hàng bán lẻ</t>
  </si>
  <si>
    <t>Đăng nhập phân quyền, CRUD, tìm kiếm/lọc, dashboard thống kê, import/export, báo cáo PDF/Excel, kiểm thử; nghiệp vụ trọng tâm: quản lý phản hồi/đánh giá; AI/ML gợi ý: gợi ý sản phẩm.</t>
  </si>
  <si>
    <t>LV01-016</t>
  </si>
  <si>
    <t>Hệ thống dashboard điều hành cho cửa hàng bán lẻ</t>
  </si>
  <si>
    <t>Đăng nhập phân quyền, CRUD, tìm kiếm/lọc, dashboard thống kê, import/export, báo cáo PDF/Excel, kiểm thử; nghiệp vụ trọng tâm: dashboard điều hành; AI/ML gợi ý: dự báo tồn kho.</t>
  </si>
  <si>
    <t>LV01-017</t>
  </si>
  <si>
    <t>Hệ thống quản lý đa chi nhánh cho cửa hàng bán lẻ</t>
  </si>
  <si>
    <t>Đăng nhập phân quyền, CRUD, tìm kiếm/lọc, dashboard thống kê, import/export, báo cáo PDF/Excel, kiểm thử; nghiệp vụ trọng tâm: quản lý đa chi nhánh; AI/ML gợi ý: phân nhóm khách hàng.</t>
  </si>
  <si>
    <t>LV01-018</t>
  </si>
  <si>
    <t>Hệ thống hệ thống phân quyền vai trò cho cửa hàng bán lẻ</t>
  </si>
  <si>
    <t>Đăng nhập phân quyền, CRUD, tìm kiếm/lọc, dashboard thống kê, import/export, báo cáo PDF/Excel, kiểm thử; nghiệp vụ trọng tâm: hệ thống phân quyền vai trò; AI/ML gợi ý: gợi ý sản phẩm.</t>
  </si>
  <si>
    <t>LV01-019</t>
  </si>
  <si>
    <t>Hệ thống quản lý thông báo/nhắc lịch cho cửa hàng bán lẻ</t>
  </si>
  <si>
    <t>Đăng nhập phân quyền, CRUD, tìm kiếm/lọc, dashboard thống kê, import/export, báo cáo PDF/Excel, kiểm thử; nghiệp vụ trọng tâm: quản lý thông báo/nhắc lịch; AI/ML gợi ý: dự báo tồn kho.</t>
  </si>
  <si>
    <t>LV01-020</t>
  </si>
  <si>
    <t>Hệ thống quản lý dữ liệu và import/export cho cửa hàng bán lẻ</t>
  </si>
  <si>
    <t>Đăng nhập phân quyền, CRUD, tìm kiếm/lọc, dashboard thống kê, import/export, báo cáo PDF/Excel, kiểm thử; nghiệp vụ trọng tâm: quản lý dữ liệu và import/export; AI/ML gợi ý: phân nhóm khách hàng.</t>
  </si>
  <si>
    <t>LV01-021</t>
  </si>
  <si>
    <t>Ứng dụng mobile app hỗ trợ quản lý tổng thể trong bán lẻ</t>
  </si>
  <si>
    <t>LV01-022</t>
  </si>
  <si>
    <t>Ứng dụng desktop app hỗ trợ đặt lịch/đặt chỗ trong bán lẻ</t>
  </si>
  <si>
    <t>LV01-023</t>
  </si>
  <si>
    <t>Ứng dụng web + mobile hỗ trợ bán hàng và thanh toán trong bán lẻ</t>
  </si>
  <si>
    <t>LV01-024</t>
  </si>
  <si>
    <t>Ứng dụng web + desktop hỗ trợ quản lý khách hàng CRM trong bán lẻ</t>
  </si>
  <si>
    <t>LV01-025</t>
  </si>
  <si>
    <t>Ứng dụng website hỗ trợ quản lý kho/tài sản trong bán lẻ</t>
  </si>
  <si>
    <t>LV01-026</t>
  </si>
  <si>
    <t>Ứng dụng mobile app hỗ trợ quản lý nhân sự và ca làm trong bán lẻ</t>
  </si>
  <si>
    <t>LV01-027</t>
  </si>
  <si>
    <t>Ứng dụng desktop app hỗ trợ quản lý hóa đơn/công nợ trong bán lẻ</t>
  </si>
  <si>
    <t>LV01-028</t>
  </si>
  <si>
    <t>Ứng dụng web + mobile hỗ trợ báo cáo thống kê doanh thu trong bán lẻ</t>
  </si>
  <si>
    <t>LV01-029</t>
  </si>
  <si>
    <t>Ứng dụng web + desktop hỗ trợ cổng chăm sóc khách hàng trong bán lẻ</t>
  </si>
  <si>
    <t>LV01-030</t>
  </si>
  <si>
    <t>Ứng dụng website hỗ trợ ứng dụng loyalty/tích điểm trong bán lẻ</t>
  </si>
  <si>
    <t>LV01-031</t>
  </si>
  <si>
    <t>Ứng dụng mobile app hỗ trợ quản lý quy trình nghiệp vụ trong bán lẻ</t>
  </si>
  <si>
    <t>LV01-032</t>
  </si>
  <si>
    <t>Ứng dụng desktop app hỗ trợ theo dõi trạng thái thời gian thực trong bán lẻ</t>
  </si>
  <si>
    <t>LV01-033</t>
  </si>
  <si>
    <t>Ứng dụng web + mobile hỗ trợ quản lý hợp đồng/hồ sơ trong bán lẻ</t>
  </si>
  <si>
    <t>LV01-034</t>
  </si>
  <si>
    <t>Ứng dụng web + desktop hỗ trợ tìm kiếm và lọc nâng cao trong bán lẻ</t>
  </si>
  <si>
    <t>LV01-035</t>
  </si>
  <si>
    <t>Ứng dụng website hỗ trợ quản lý phản hồi/đánh giá trong bán lẻ</t>
  </si>
  <si>
    <t>LV01-036</t>
  </si>
  <si>
    <t>Ứng dụng mobile app hỗ trợ dashboard điều hành trong bán lẻ</t>
  </si>
  <si>
    <t>LV01-037</t>
  </si>
  <si>
    <t>Ứng dụng desktop app hỗ trợ quản lý đa chi nhánh trong bán lẻ</t>
  </si>
  <si>
    <t>LV01-038</t>
  </si>
  <si>
    <t>Ứng dụng web + mobile hỗ trợ hệ thống phân quyền vai trò trong bán lẻ</t>
  </si>
  <si>
    <t>LV01-039</t>
  </si>
  <si>
    <t>Ứng dụng web + desktop hỗ trợ quản lý thông báo/nhắc lịch trong bán lẻ</t>
  </si>
  <si>
    <t>LV01-040</t>
  </si>
  <si>
    <t>Ứng dụng website hỗ trợ quản lý dữ liệu và import/export trong bán lẻ</t>
  </si>
  <si>
    <t>LV01-041</t>
  </si>
  <si>
    <t>Nền tảng quản lý tổng thể có phân quyền và báo cáo cho cửa hàng bán lẻ</t>
  </si>
  <si>
    <t>LV01-042</t>
  </si>
  <si>
    <t>Nền tảng đặt lịch/đặt chỗ có phân quyền và báo cáo cho cửa hàng bán lẻ</t>
  </si>
  <si>
    <t>LV01-043</t>
  </si>
  <si>
    <t>Nền tảng bán hàng và thanh toán có phân quyền và báo cáo cho cửa hàng bán lẻ</t>
  </si>
  <si>
    <t>LV01-044</t>
  </si>
  <si>
    <t>Nền tảng quản lý khách hàng CRM có phân quyền và báo cáo cho cửa hàng bán lẻ</t>
  </si>
  <si>
    <t>LV01-045</t>
  </si>
  <si>
    <t>Nền tảng quản lý kho/tài sản có phân quyền và báo cáo cho cửa hàng bán lẻ</t>
  </si>
  <si>
    <t>LV01-046</t>
  </si>
  <si>
    <t>Nền tảng quản lý nhân sự và ca làm có phân quyền và báo cáo cho cửa hàng bán lẻ</t>
  </si>
  <si>
    <t>LV01-047</t>
  </si>
  <si>
    <t>Nền tảng quản lý hóa đơn/công nợ có phân quyền và báo cáo cho cửa hàng bán lẻ</t>
  </si>
  <si>
    <t>LV01-048</t>
  </si>
  <si>
    <t>Nền tảng báo cáo thống kê doanh thu có phân quyền và báo cáo cho cửa hàng bán lẻ</t>
  </si>
  <si>
    <t>LV01-049</t>
  </si>
  <si>
    <t>Nền tảng cổng chăm sóc khách hàng có phân quyền và báo cáo cho cửa hàng bán lẻ</t>
  </si>
  <si>
    <t>LV01-050</t>
  </si>
  <si>
    <t>Nền tảng ứng dụng loyalty/tích điểm có phân quyền và báo cáo cho cửa hàng bán lẻ</t>
  </si>
  <si>
    <t>LV01-051</t>
  </si>
  <si>
    <t>Nền tảng quản lý quy trình nghiệp vụ có phân quyền và báo cáo cho cửa hàng bán lẻ</t>
  </si>
  <si>
    <t>LV01-052</t>
  </si>
  <si>
    <t>Nền tảng theo dõi trạng thái thời gian thực có phân quyền và báo cáo cho cửa hàng bán lẻ</t>
  </si>
  <si>
    <t>LV01-053</t>
  </si>
  <si>
    <t>Nền tảng quản lý hợp đồng/hồ sơ có phân quyền và báo cáo cho cửa hàng bán lẻ</t>
  </si>
  <si>
    <t>LV01-054</t>
  </si>
  <si>
    <t>Nền tảng tìm kiếm và lọc nâng cao có phân quyền và báo cáo cho cửa hàng bán lẻ</t>
  </si>
  <si>
    <t>LV01-055</t>
  </si>
  <si>
    <t>Nền tảng quản lý phản hồi/đánh giá có phân quyền và báo cáo cho cửa hàng bán lẻ</t>
  </si>
  <si>
    <t>LV01-056</t>
  </si>
  <si>
    <t>Nền tảng dashboard điều hành có phân quyền và báo cáo cho cửa hàng bán lẻ</t>
  </si>
  <si>
    <t>LV01-057</t>
  </si>
  <si>
    <t>Nền tảng quản lý đa chi nhánh có phân quyền và báo cáo cho cửa hàng bán lẻ</t>
  </si>
  <si>
    <t>LV01-058</t>
  </si>
  <si>
    <t>Nền tảng hệ thống phân quyền vai trò có phân quyền và báo cáo cho cửa hàng bán lẻ</t>
  </si>
  <si>
    <t>LV01-059</t>
  </si>
  <si>
    <t>Nền tảng quản lý thông báo/nhắc lịch có phân quyền và báo cáo cho cửa hàng bán lẻ</t>
  </si>
  <si>
    <t>LV01-060</t>
  </si>
  <si>
    <t>Nền tảng quản lý dữ liệu và import/export có phân quyền và báo cáo cho cửa hàng bán lẻ</t>
  </si>
  <si>
    <t>LV01-061</t>
  </si>
  <si>
    <t>Phần mềm quản lý tổng thể tích hợp dashboard dữ liệu cho bán lẻ</t>
  </si>
  <si>
    <t>LV01-062</t>
  </si>
  <si>
    <t>Phần mềm đặt lịch/đặt chỗ tích hợp dashboard dữ liệu cho bán lẻ</t>
  </si>
  <si>
    <t>LV01-063</t>
  </si>
  <si>
    <t>Phần mềm bán hàng và thanh toán tích hợp dashboard dữ liệu cho bán lẻ</t>
  </si>
  <si>
    <t>LV01-064</t>
  </si>
  <si>
    <t>Phần mềm quản lý khách hàng CRM tích hợp dashboard dữ liệu cho bán lẻ</t>
  </si>
  <si>
    <t>LV01-065</t>
  </si>
  <si>
    <t>Phần mềm quản lý kho/tài sản tích hợp dashboard dữ liệu cho bán lẻ</t>
  </si>
  <si>
    <t>LV01-066</t>
  </si>
  <si>
    <t>Phần mềm quản lý nhân sự và ca làm tích hợp dashboard dữ liệu cho bán lẻ</t>
  </si>
  <si>
    <t>LV01-067</t>
  </si>
  <si>
    <t>Phần mềm quản lý hóa đơn/công nợ tích hợp dashboard dữ liệu cho bán lẻ</t>
  </si>
  <si>
    <t>LV01-068</t>
  </si>
  <si>
    <t>Phần mềm báo cáo thống kê doanh thu tích hợp dashboard dữ liệu cho bán lẻ</t>
  </si>
  <si>
    <t>LV01-069</t>
  </si>
  <si>
    <t>Phần mềm cổng chăm sóc khách hàng tích hợp dashboard dữ liệu cho bán lẻ</t>
  </si>
  <si>
    <t>LV01-070</t>
  </si>
  <si>
    <t>Phần mềm ứng dụng loyalty/tích điểm tích hợp dashboard dữ liệu cho bán lẻ</t>
  </si>
  <si>
    <t>LV01-071</t>
  </si>
  <si>
    <t>Phần mềm quản lý quy trình nghiệp vụ tích hợp dashboard dữ liệu cho bán lẻ</t>
  </si>
  <si>
    <t>LV01-072</t>
  </si>
  <si>
    <t>Phần mềm theo dõi trạng thái thời gian thực tích hợp dashboard dữ liệu cho bán lẻ</t>
  </si>
  <si>
    <t>LV01-073</t>
  </si>
  <si>
    <t>Phần mềm quản lý hợp đồng/hồ sơ tích hợp dashboard dữ liệu cho bán lẻ</t>
  </si>
  <si>
    <t>LV01-074</t>
  </si>
  <si>
    <t>Phần mềm tìm kiếm và lọc nâng cao tích hợp dashboard dữ liệu cho bán lẻ</t>
  </si>
  <si>
    <t>`</t>
  </si>
  <si>
    <t>```````````````````</t>
  </si>
  <si>
    <t>LV01-075</t>
  </si>
  <si>
    <t>Phần mềm quản lý phản hồi/đánh giá tích hợp dashboard dữ liệu cho bán lẻ</t>
  </si>
  <si>
    <t>LV01-076</t>
  </si>
  <si>
    <t>Phần mềm dashboard điều hành tích hợp dashboard dữ liệu cho bán lẻ</t>
  </si>
  <si>
    <t>LV01-077</t>
  </si>
  <si>
    <t>Phần mềm quản lý đa chi nhánh tích hợp dashboard dữ liệu cho bán lẻ</t>
  </si>
  <si>
    <t>LV01-078</t>
  </si>
  <si>
    <t>Phần mềm hệ thống phân quyền vai trò tích hợp dashboard dữ liệu cho bán lẻ</t>
  </si>
  <si>
    <t>LV01-079</t>
  </si>
  <si>
    <t>Phần mềm quản lý thông báo/nhắc lịch tích hợp dashboard dữ liệu cho bán lẻ</t>
  </si>
  <si>
    <t>LV01-080</t>
  </si>
  <si>
    <t>Phần mềm quản lý dữ liệu và import/export tích hợp dashboard dữ liệu cho bán lẻ</t>
  </si>
  <si>
    <t>LV01-081</t>
  </si>
  <si>
    <t>Hệ thống quản lý tổng thể có gợi ý AI: dự báo tồn kho cho cửa hàng bán lẻ</t>
  </si>
  <si>
    <t>LV01-082</t>
  </si>
  <si>
    <t>Hệ thống đặt lịch/đặt chỗ có gợi ý AI: phân nhóm khách hàng cho cửa hàng bán lẻ</t>
  </si>
  <si>
    <t>LV01-083</t>
  </si>
  <si>
    <t>Hệ thống bán hàng và thanh toán có gợi ý AI: gợi ý sản phẩm cho cửa hàng bán lẻ</t>
  </si>
  <si>
    <t>LV01-084</t>
  </si>
  <si>
    <t>Hệ thống quản lý khách hàng CRM có gợi ý AI: dự báo tồn kho cho cửa hàng bán lẻ</t>
  </si>
  <si>
    <t>LV01-085</t>
  </si>
  <si>
    <t>Hệ thống quản lý kho/tài sản có gợi ý AI: phân nhóm khách hàng cho cửa hàng bán lẻ</t>
  </si>
  <si>
    <t>LV01-086</t>
  </si>
  <si>
    <t>Hệ thống quản lý nhân sự và ca làm có gợi ý AI: gợi ý sản phẩm cho cửa hàng bán lẻ</t>
  </si>
  <si>
    <t>LV01-087</t>
  </si>
  <si>
    <t>Hệ thống quản lý hóa đơn/công nợ có gợi ý AI: dự báo tồn kho cho cửa hàng bán lẻ</t>
  </si>
  <si>
    <t>LV01-088</t>
  </si>
  <si>
    <t>Hệ thống báo cáo thống kê doanh thu có gợi ý AI: phân nhóm khách hàng cho cửa hàng bán lẻ</t>
  </si>
  <si>
    <t>LV01-089</t>
  </si>
  <si>
    <t>Hệ thống cổng chăm sóc khách hàng có gợi ý AI: gợi ý sản phẩm cho cửa hàng bán lẻ</t>
  </si>
  <si>
    <t>LV01-090</t>
  </si>
  <si>
    <t>Hệ thống ứng dụng loyalty/tích điểm có gợi ý AI: dự báo tồn kho cho cửa hàng bán lẻ</t>
  </si>
  <si>
    <t>LV01-091</t>
  </si>
  <si>
    <t>Hệ thống quản lý quy trình nghiệp vụ có gợi ý AI: phân nhóm khách hàng cho cửa hàng bán lẻ</t>
  </si>
  <si>
    <t>LV01-092</t>
  </si>
  <si>
    <t>Hệ thống theo dõi trạng thái thời gian thực có gợi ý AI: gợi ý sản phẩm cho cửa hàng bán lẻ</t>
  </si>
  <si>
    <t>LV01-093</t>
  </si>
  <si>
    <t>Hệ thống quản lý hợp đồng/hồ sơ có gợi ý AI: dự báo tồn kho cho cửa hàng bán lẻ</t>
  </si>
  <si>
    <t>LV01-094</t>
  </si>
  <si>
    <t>Hệ thống tìm kiếm và lọc nâng cao có gợi ý AI: phân nhóm khách hàng cho cửa hàng bán lẻ</t>
  </si>
  <si>
    <t>LV01-095</t>
  </si>
  <si>
    <t>Hệ thống quản lý phản hồi/đánh giá có gợi ý AI: gợi ý sản phẩm cho cửa hàng bán lẻ</t>
  </si>
  <si>
    <t>LV01-096</t>
  </si>
  <si>
    <t>Hệ thống dashboard điều hành có gợi ý AI: dự báo tồn kho cho cửa hàng bán lẻ</t>
  </si>
  <si>
    <t>LV01-097</t>
  </si>
  <si>
    <t>Hệ thống quản lý đa chi nhánh có gợi ý AI: phân nhóm khách hàng cho cửa hàng bán lẻ</t>
  </si>
  <si>
    <t>LV01-098</t>
  </si>
  <si>
    <t>Hệ thống hệ thống phân quyền vai trò có gợi ý AI: gợi ý sản phẩm cho cửa hàng bán lẻ</t>
  </si>
  <si>
    <t>LV01-099</t>
  </si>
  <si>
    <t>Hệ thống quản lý thông báo/nhắc lịch có gợi ý AI: dự báo tồn kho cho cửa hàng bán lẻ</t>
  </si>
  <si>
    <t>LV01-100</t>
  </si>
  <si>
    <t>Hệ thống quản lý dữ liệu và import/export có gợi ý AI: phân nhóm khách hàng cho cửa hàng bán lẻ</t>
  </si>
  <si>
    <t>Siêu thị / cửa hàng tiện lợi</t>
  </si>
  <si>
    <t>LV02-001</t>
  </si>
  <si>
    <t>Hệ thống quản lý tổng thể cho siêu thị mini</t>
  </si>
  <si>
    <t>Đồ án 8 tuần cho nhóm 5 SV: xây dựng Desktop App phục vụ siêu thị mini; quản lý các thực thể chính: sản phẩm, quầy thu ngân, nhà cung cấp, khuyến mãi; có CSDL, API, giao diện người dùng, báo cáo và kiểm thử.</t>
  </si>
  <si>
    <t>Đăng nhập phân quyền, CRUD, tìm kiếm/lọc, dashboard thống kê, import/export, báo cáo PDF/Excel, kiểm thử; nghiệp vụ trọng tâm: quản lý tổng thể; AI/ML gợi ý: phát hiện hết hàng.</t>
  </si>
  <si>
    <t>phát hiện hết hàng</t>
  </si>
  <si>
    <t>LV02-002</t>
  </si>
  <si>
    <t>Hệ thống đặt lịch/đặt chỗ cho siêu thị mini</t>
  </si>
  <si>
    <t>Đồ án 8 tuần cho nhóm 5 SV: xây dựng Web + Mobile phục vụ siêu thị mini; quản lý các thực thể chính: sản phẩm, quầy thu ngân, nhà cung cấp, khuyến mãi; có CSDL, API, giao diện người dùng, báo cáo và kiểm thử.</t>
  </si>
  <si>
    <t>Đăng nhập phân quyền, CRUD, tìm kiếm/lọc, dashboard thống kê, import/export, báo cáo PDF/Excel, kiểm thử; nghiệp vụ trọng tâm: đặt lịch/đặt chỗ; AI/ML gợi ý: gợi ý combo.</t>
  </si>
  <si>
    <t>gợi ý combo</t>
  </si>
  <si>
    <t>LV02-003</t>
  </si>
  <si>
    <t>Hệ thống bán hàng và thanh toán cho siêu thị mini</t>
  </si>
  <si>
    <t>Đồ án 8 tuần cho nhóm 5 SV: xây dựng Web + Desktop phục vụ siêu thị mini; quản lý các thực thể chính: sản phẩm, quầy thu ngân, nhà cung cấp, khuyến mãi; có CSDL, API, giao diện người dùng, báo cáo và kiểm thử.</t>
  </si>
  <si>
    <t>Đăng nhập phân quyền, CRUD, tìm kiếm/lọc, dashboard thống kê, import/export, báo cáo PDF/Excel, kiểm thử; nghiệp vụ trọng tâm: bán hàng và thanh toán; AI/ML gợi ý: dự báo nhu cầu.</t>
  </si>
  <si>
    <t>dự báo nhu cầu</t>
  </si>
  <si>
    <t>LV02-004</t>
  </si>
  <si>
    <t>Hệ thống quản lý khách hàng CRM cho siêu thị mini</t>
  </si>
  <si>
    <t>Đồ án 8 tuần cho nhóm 5 SV: xây dựng Website phục vụ siêu thị mini; quản lý các thực thể chính: sản phẩm, quầy thu ngân, nhà cung cấp, khuyến mãi; có CSDL, API, giao diện người dùng, báo cáo và kiểm thử.</t>
  </si>
  <si>
    <t>Đăng nhập phân quyền, CRUD, tìm kiếm/lọc, dashboard thống kê, import/export, báo cáo PDF/Excel, kiểm thử; nghiệp vụ trọng tâm: quản lý khách hàng CRM; AI/ML gợi ý: phát hiện hết hàng.</t>
  </si>
  <si>
    <t>LV02-005</t>
  </si>
  <si>
    <t>Hệ thống quản lý kho/tài sản cho siêu thị mini</t>
  </si>
  <si>
    <t>Đồ án 8 tuần cho nhóm 5 SV: xây dựng Mobile App phục vụ siêu thị mini; quản lý các thực thể chính: sản phẩm, quầy thu ngân, nhà cung cấp, khuyến mãi; có CSDL, API, giao diện người dùng, báo cáo và kiểm thử.</t>
  </si>
  <si>
    <t>Đăng nhập phân quyền, CRUD, tìm kiếm/lọc, dashboard thống kê, import/export, báo cáo PDF/Excel, kiểm thử; nghiệp vụ trọng tâm: quản lý kho/tài sản; AI/ML gợi ý: gợi ý combo.</t>
  </si>
  <si>
    <t>LV02-006</t>
  </si>
  <si>
    <t>Hệ thống quản lý nhân sự và ca làm cho siêu thị mini</t>
  </si>
  <si>
    <t>Đăng nhập phân quyền, CRUD, tìm kiếm/lọc, dashboard thống kê, import/export, báo cáo PDF/Excel, kiểm thử; nghiệp vụ trọng tâm: quản lý nhân sự và ca làm; AI/ML gợi ý: dự báo nhu cầu.</t>
  </si>
  <si>
    <t>LV02-007</t>
  </si>
  <si>
    <t>Hệ thống quản lý hóa đơn/công nợ cho siêu thị mini</t>
  </si>
  <si>
    <t>Đăng nhập phân quyền, CRUD, tìm kiếm/lọc, dashboard thống kê, import/export, báo cáo PDF/Excel, kiểm thử; nghiệp vụ trọng tâm: quản lý hóa đơn/công nợ; AI/ML gợi ý: phát hiện hết hàng.</t>
  </si>
  <si>
    <t>LV02-008</t>
  </si>
  <si>
    <t>Hệ thống báo cáo thống kê doanh thu cho siêu thị mini</t>
  </si>
  <si>
    <t>Đăng nhập phân quyền, CRUD, tìm kiếm/lọc, dashboard thống kê, import/export, báo cáo PDF/Excel, kiểm thử; nghiệp vụ trọng tâm: báo cáo thống kê doanh thu; AI/ML gợi ý: gợi ý combo.</t>
  </si>
  <si>
    <t>LV02-009</t>
  </si>
  <si>
    <t>Hệ thống cổng chăm sóc khách hàng cho siêu thị mini</t>
  </si>
  <si>
    <t>Đăng nhập phân quyền, CRUD, tìm kiếm/lọc, dashboard thống kê, import/export, báo cáo PDF/Excel, kiểm thử; nghiệp vụ trọng tâm: cổng chăm sóc khách hàng; AI/ML gợi ý: dự báo nhu cầu.</t>
  </si>
  <si>
    <t>LV02-010</t>
  </si>
  <si>
    <t>Hệ thống ứng dụng loyalty/tích điểm cho siêu thị mini</t>
  </si>
  <si>
    <t>Đăng nhập phân quyền, CRUD, tìm kiếm/lọc, dashboard thống kê, import/export, báo cáo PDF/Excel, kiểm thử; nghiệp vụ trọng tâm: ứng dụng loyalty/tích điểm; AI/ML gợi ý: phát hiện hết hàng.</t>
  </si>
  <si>
    <t>LV02-011</t>
  </si>
  <si>
    <t>Hệ thống quản lý quy trình nghiệp vụ cho siêu thị mini</t>
  </si>
  <si>
    <t>Đăng nhập phân quyền, CRUD, tìm kiếm/lọc, dashboard thống kê, import/export, báo cáo PDF/Excel, kiểm thử; nghiệp vụ trọng tâm: quản lý quy trình nghiệp vụ; AI/ML gợi ý: gợi ý combo.</t>
  </si>
  <si>
    <t>LV02-012</t>
  </si>
  <si>
    <t>Hệ thống theo dõi trạng thái thời gian thực cho siêu thị mini</t>
  </si>
  <si>
    <t>Đăng nhập phân quyền, CRUD, tìm kiếm/lọc, dashboard thống kê, import/export, báo cáo PDF/Excel, kiểm thử; nghiệp vụ trọng tâm: theo dõi trạng thái thời gian thực; AI/ML gợi ý: dự báo nhu cầu.</t>
  </si>
  <si>
    <t>LV02-013</t>
  </si>
  <si>
    <t>Hệ thống quản lý hợp đồng/hồ sơ cho siêu thị mini</t>
  </si>
  <si>
    <t>Đăng nhập phân quyền, CRUD, tìm kiếm/lọc, dashboard thống kê, import/export, báo cáo PDF/Excel, kiểm thử; nghiệp vụ trọng tâm: quản lý hợp đồng/hồ sơ; AI/ML gợi ý: phát hiện hết hàng.</t>
  </si>
  <si>
    <t>LV02-014</t>
  </si>
  <si>
    <t>Hệ thống tìm kiếm và lọc nâng cao cho siêu thị mini</t>
  </si>
  <si>
    <t>Đăng nhập phân quyền, CRUD, tìm kiếm/lọc, dashboard thống kê, import/export, báo cáo PDF/Excel, kiểm thử; nghiệp vụ trọng tâm: tìm kiếm và lọc nâng cao; AI/ML gợi ý: gợi ý combo.</t>
  </si>
  <si>
    <t>LV02-015</t>
  </si>
  <si>
    <t>Hệ thống quản lý phản hồi/đánh giá cho siêu thị mini</t>
  </si>
  <si>
    <t>Đăng nhập phân quyền, CRUD, tìm kiếm/lọc, dashboard thống kê, import/export, báo cáo PDF/Excel, kiểm thử; nghiệp vụ trọng tâm: quản lý phản hồi/đánh giá; AI/ML gợi ý: dự báo nhu cầu.</t>
  </si>
  <si>
    <t>LV02-016</t>
  </si>
  <si>
    <t>Hệ thống dashboard điều hành cho siêu thị mini</t>
  </si>
  <si>
    <t>Đăng nhập phân quyền, CRUD, tìm kiếm/lọc, dashboard thống kê, import/export, báo cáo PDF/Excel, kiểm thử; nghiệp vụ trọng tâm: dashboard điều hành; AI/ML gợi ý: phát hiện hết hàng.</t>
  </si>
  <si>
    <t>LV02-017</t>
  </si>
  <si>
    <t>Hệ thống quản lý đa chi nhánh cho siêu thị mini</t>
  </si>
  <si>
    <t>Đăng nhập phân quyền, CRUD, tìm kiếm/lọc, dashboard thống kê, import/export, báo cáo PDF/Excel, kiểm thử; nghiệp vụ trọng tâm: quản lý đa chi nhánh; AI/ML gợi ý: gợi ý combo.</t>
  </si>
  <si>
    <t>LV02-018</t>
  </si>
  <si>
    <t>Hệ thống hệ thống phân quyền vai trò cho siêu thị mini</t>
  </si>
  <si>
    <t>Đăng nhập phân quyền, CRUD, tìm kiếm/lọc, dashboard thống kê, import/export, báo cáo PDF/Excel, kiểm thử; nghiệp vụ trọng tâm: hệ thống phân quyền vai trò; AI/ML gợi ý: dự báo nhu cầu.</t>
  </si>
  <si>
    <t>LV02-019</t>
  </si>
  <si>
    <t>Hệ thống quản lý thông báo/nhắc lịch cho siêu thị mini</t>
  </si>
  <si>
    <t>Đăng nhập phân quyền, CRUD, tìm kiếm/lọc, dashboard thống kê, import/export, báo cáo PDF/Excel, kiểm thử; nghiệp vụ trọng tâm: quản lý thông báo/nhắc lịch; AI/ML gợi ý: phát hiện hết hàng.</t>
  </si>
  <si>
    <t>LV02-020</t>
  </si>
  <si>
    <t>Hệ thống quản lý dữ liệu và import/export cho siêu thị mini</t>
  </si>
  <si>
    <t>Đăng nhập phân quyền, CRUD, tìm kiếm/lọc, dashboard thống kê, import/export, báo cáo PDF/Excel, kiểm thử; nghiệp vụ trọng tâm: quản lý dữ liệu và import/export; AI/ML gợi ý: gợi ý combo.</t>
  </si>
  <si>
    <t>LV02-021</t>
  </si>
  <si>
    <t>Ứng dụng desktop app hỗ trợ quản lý tổng thể trong siêu thị / cửa hàng tiện lợi</t>
  </si>
  <si>
    <t>LV02-022</t>
  </si>
  <si>
    <t>Ứng dụng web + mobile hỗ trợ đặt lịch/đặt chỗ trong siêu thị / cửa hàng tiện lợi</t>
  </si>
  <si>
    <t>LV02-023</t>
  </si>
  <si>
    <t>Ứng dụng web + desktop hỗ trợ bán hàng và thanh toán trong siêu thị / cửa hàng tiện lợi</t>
  </si>
  <si>
    <t>LV02-024</t>
  </si>
  <si>
    <t>Ứng dụng website hỗ trợ quản lý khách hàng CRM trong siêu thị / cửa hàng tiện lợi</t>
  </si>
  <si>
    <t>LV02-025</t>
  </si>
  <si>
    <t>Ứng dụng mobile app hỗ trợ quản lý kho/tài sản trong siêu thị / cửa hàng tiện lợi</t>
  </si>
  <si>
    <t>LV02-026</t>
  </si>
  <si>
    <t>Ứng dụng desktop app hỗ trợ quản lý nhân sự và ca làm trong siêu thị / cửa hàng tiện lợi</t>
  </si>
  <si>
    <t>LV02-027</t>
  </si>
  <si>
    <t>Ứng dụng web + mobile hỗ trợ quản lý hóa đơn/công nợ trong siêu thị / cửa hàng tiện lợi</t>
  </si>
  <si>
    <t>LV02-028</t>
  </si>
  <si>
    <t>Ứng dụng web + desktop hỗ trợ báo cáo thống kê doanh thu trong siêu thị / cửa hàng tiện lợi</t>
  </si>
  <si>
    <t>LV02-029</t>
  </si>
  <si>
    <t>Ứng dụng website hỗ trợ cổng chăm sóc khách hàng trong siêu thị / cửa hàng tiện lợi</t>
  </si>
  <si>
    <t>LV02-030</t>
  </si>
  <si>
    <t>Ứng dụng mobile app hỗ trợ ứng dụng loyalty/tích điểm trong siêu thị / cửa hàng tiện lợi</t>
  </si>
  <si>
    <t>LV02-031</t>
  </si>
  <si>
    <t>Ứng dụng desktop app hỗ trợ quản lý quy trình nghiệp vụ trong siêu thị / cửa hàng tiện lợi</t>
  </si>
  <si>
    <t>LV02-032</t>
  </si>
  <si>
    <t>Ứng dụng web + mobile hỗ trợ theo dõi trạng thái thời gian thực trong siêu thị / cửa hàng tiện lợi</t>
  </si>
  <si>
    <t>LV02-033</t>
  </si>
  <si>
    <t>Ứng dụng web + desktop hỗ trợ quản lý hợp đồng/hồ sơ trong siêu thị / cửa hàng tiện lợi</t>
  </si>
  <si>
    <t>LV02-034</t>
  </si>
  <si>
    <t>Ứng dụng website hỗ trợ tìm kiếm và lọc nâng cao trong siêu thị / cửa hàng tiện lợi</t>
  </si>
  <si>
    <t>LV02-035</t>
  </si>
  <si>
    <t>Ứng dụng mobile app hỗ trợ quản lý phản hồi/đánh giá trong siêu thị / cửa hàng tiện lợi</t>
  </si>
  <si>
    <t>LV02-036</t>
  </si>
  <si>
    <t>Ứng dụng desktop app hỗ trợ dashboard điều hành trong siêu thị / cửa hàng tiện lợi</t>
  </si>
  <si>
    <t>LV02-037</t>
  </si>
  <si>
    <t>Ứng dụng web + mobile hỗ trợ quản lý đa chi nhánh trong siêu thị / cửa hàng tiện lợi</t>
  </si>
  <si>
    <t>LV02-038</t>
  </si>
  <si>
    <t>Ứng dụng web + desktop hỗ trợ hệ thống phân quyền vai trò trong siêu thị / cửa hàng tiện lợi</t>
  </si>
  <si>
    <t>LV02-039</t>
  </si>
  <si>
    <t>Ứng dụng website hỗ trợ quản lý thông báo/nhắc lịch trong siêu thị / cửa hàng tiện lợi</t>
  </si>
  <si>
    <t>LV02-040</t>
  </si>
  <si>
    <t>Ứng dụng mobile app hỗ trợ quản lý dữ liệu và import/export trong siêu thị / cửa hàng tiện lợi</t>
  </si>
  <si>
    <t>LV02-041</t>
  </si>
  <si>
    <t>Nền tảng quản lý tổng thể có phân quyền và báo cáo cho siêu thị mini</t>
  </si>
  <si>
    <t>LV02-042</t>
  </si>
  <si>
    <t>Nền tảng đặt lịch/đặt chỗ có phân quyền và báo cáo cho siêu thị mini</t>
  </si>
  <si>
    <t>LV02-043</t>
  </si>
  <si>
    <t>Nền tảng bán hàng và thanh toán có phân quyền và báo cáo cho siêu thị mini</t>
  </si>
  <si>
    <t>LV02-044</t>
  </si>
  <si>
    <t>Nền tảng quản lý khách hàng CRM có phân quyền và báo cáo cho siêu thị mini</t>
  </si>
  <si>
    <t>LV02-045</t>
  </si>
  <si>
    <t>Nền tảng quản lý kho/tài sản có phân quyền và báo cáo cho siêu thị mini</t>
  </si>
  <si>
    <t>LV02-046</t>
  </si>
  <si>
    <t>Nền tảng quản lý nhân sự và ca làm có phân quyền và báo cáo cho siêu thị mini</t>
  </si>
  <si>
    <t>LV02-047</t>
  </si>
  <si>
    <t>Nền tảng quản lý hóa đơn/công nợ có phân quyền và báo cáo cho siêu thị mini</t>
  </si>
  <si>
    <t>LV02-048</t>
  </si>
  <si>
    <t>Nền tảng báo cáo thống kê doanh thu có phân quyền và báo cáo cho siêu thị mini</t>
  </si>
  <si>
    <t>LV02-049</t>
  </si>
  <si>
    <t>Nền tảng cổng chăm sóc khách hàng có phân quyền và báo cáo cho siêu thị mini</t>
  </si>
  <si>
    <t>LV02-050</t>
  </si>
  <si>
    <t>Nền tảng ứng dụng loyalty/tích điểm có phân quyền và báo cáo cho siêu thị mini</t>
  </si>
  <si>
    <t>LV02-051</t>
  </si>
  <si>
    <t>Nền tảng quản lý quy trình nghiệp vụ có phân quyền và báo cáo cho siêu thị mini</t>
  </si>
  <si>
    <t>LV02-052</t>
  </si>
  <si>
    <t>Nền tảng theo dõi trạng thái thời gian thực có phân quyền và báo cáo cho siêu thị mini</t>
  </si>
  <si>
    <t>LV02-053</t>
  </si>
  <si>
    <t>Nền tảng quản lý hợp đồng/hồ sơ có phân quyền và báo cáo cho siêu thị mini</t>
  </si>
  <si>
    <t>LV02-054</t>
  </si>
  <si>
    <t>Nền tảng tìm kiếm và lọc nâng cao có phân quyền và báo cáo cho siêu thị mini</t>
  </si>
  <si>
    <t>LV02-055</t>
  </si>
  <si>
    <t>Nền tảng quản lý phản hồi/đánh giá có phân quyền và báo cáo cho siêu thị mini</t>
  </si>
  <si>
    <t>LV02-056</t>
  </si>
  <si>
    <t>Nền tảng dashboard điều hành có phân quyền và báo cáo cho siêu thị mini</t>
  </si>
  <si>
    <t>LV02-057</t>
  </si>
  <si>
    <t>Nền tảng quản lý đa chi nhánh có phân quyền và báo cáo cho siêu thị mini</t>
  </si>
  <si>
    <t>LV02-058</t>
  </si>
  <si>
    <t>Nền tảng hệ thống phân quyền vai trò có phân quyền và báo cáo cho siêu thị mini</t>
  </si>
  <si>
    <t>LV02-059</t>
  </si>
  <si>
    <t>Nền tảng quản lý thông báo/nhắc lịch có phân quyền và báo cáo cho siêu thị mini</t>
  </si>
  <si>
    <t>LV02-060</t>
  </si>
  <si>
    <t>Nền tảng quản lý dữ liệu và import/export có phân quyền và báo cáo cho siêu thị mini</t>
  </si>
  <si>
    <t>LV02-061</t>
  </si>
  <si>
    <t>Phần mềm quản lý tổng thể tích hợp dashboard dữ liệu cho siêu thị / cửa hàng tiện lợi</t>
  </si>
  <si>
    <t>LV02-062</t>
  </si>
  <si>
    <t>Phần mềm đặt lịch/đặt chỗ tích hợp dashboard dữ liệu cho siêu thị / cửa hàng tiện lợi</t>
  </si>
  <si>
    <t>LV02-063</t>
  </si>
  <si>
    <t>Phần mềm bán hàng và thanh toán tích hợp dashboard dữ liệu cho siêu thị / cửa hàng tiện lợi</t>
  </si>
  <si>
    <t>LV02-064</t>
  </si>
  <si>
    <t>Phần mềm quản lý khách hàng CRM tích hợp dashboard dữ liệu cho siêu thị / cửa hàng tiện lợi</t>
  </si>
  <si>
    <t>LV02-065</t>
  </si>
  <si>
    <t>Phần mềm quản lý kho/tài sản tích hợp dashboard dữ liệu cho siêu thị / cửa hàng tiện lợi</t>
  </si>
  <si>
    <t>LV02-066</t>
  </si>
  <si>
    <t>Phần mềm quản lý nhân sự và ca làm tích hợp dashboard dữ liệu cho siêu thị / cửa hàng tiện lợi</t>
  </si>
  <si>
    <t>LV02-067</t>
  </si>
  <si>
    <t>Phần mềm quản lý hóa đơn/công nợ tích hợp dashboard dữ liệu cho siêu thị / cửa hàng tiện lợi</t>
  </si>
  <si>
    <t>LV02-068</t>
  </si>
  <si>
    <t>Phần mềm báo cáo thống kê doanh thu tích hợp dashboard dữ liệu cho siêu thị / cửa hàng tiện lợi</t>
  </si>
  <si>
    <t>LV02-069</t>
  </si>
  <si>
    <t>Phần mềm cổng chăm sóc khách hàng tích hợp dashboard dữ liệu cho siêu thị / cửa hàng tiện lợi</t>
  </si>
  <si>
    <t>LV02-070</t>
  </si>
  <si>
    <t>Phần mềm ứng dụng loyalty/tích điểm tích hợp dashboard dữ liệu cho siêu thị / cửa hàng tiện lợi</t>
  </si>
  <si>
    <t>LV02-071</t>
  </si>
  <si>
    <t>Phần mềm quản lý quy trình nghiệp vụ tích hợp dashboard dữ liệu cho siêu thị / cửa hàng tiện lợi</t>
  </si>
  <si>
    <t>LV02-072</t>
  </si>
  <si>
    <t>Phần mềm theo dõi trạng thái thời gian thực tích hợp dashboard dữ liệu cho siêu thị / cửa hàng tiện lợi</t>
  </si>
  <si>
    <t>LV02-073</t>
  </si>
  <si>
    <t>Phần mềm quản lý hợp đồng/hồ sơ tích hợp dashboard dữ liệu cho siêu thị / cửa hàng tiện lợi</t>
  </si>
  <si>
    <t>LV02-074</t>
  </si>
  <si>
    <t>Phần mềm tìm kiếm và lọc nâng cao tích hợp dashboard dữ liệu cho siêu thị / cửa hàng tiện lợi</t>
  </si>
  <si>
    <t>LV02-075</t>
  </si>
  <si>
    <t>Phần mềm quản lý phản hồi/đánh giá tích hợp dashboard dữ liệu cho siêu thị / cửa hàng tiện lợi</t>
  </si>
  <si>
    <t>LV02-076</t>
  </si>
  <si>
    <t>Phần mềm dashboard điều hành tích hợp dashboard dữ liệu cho siêu thị / cửa hàng tiện lợi</t>
  </si>
  <si>
    <t>LV02-077</t>
  </si>
  <si>
    <t>Phần mềm quản lý đa chi nhánh tích hợp dashboard dữ liệu cho siêu thị / cửa hàng tiện lợi</t>
  </si>
  <si>
    <t>LV02-078</t>
  </si>
  <si>
    <t>Phần mềm hệ thống phân quyền vai trò tích hợp dashboard dữ liệu cho siêu thị / cửa hàng tiện lợi</t>
  </si>
  <si>
    <t>LV02-079</t>
  </si>
  <si>
    <t>Phần mềm quản lý thông báo/nhắc lịch tích hợp dashboard dữ liệu cho siêu thị / cửa hàng tiện lợi</t>
  </si>
  <si>
    <t>LV02-080</t>
  </si>
  <si>
    <t>Phần mềm quản lý dữ liệu và import/export tích hợp dashboard dữ liệu cho siêu thị / cửa hàng tiện lợi</t>
  </si>
  <si>
    <t>LV02-081</t>
  </si>
  <si>
    <t>Hệ thống quản lý tổng thể có gợi ý AI: phát hiện hết hàng cho siêu thị mini</t>
  </si>
  <si>
    <t>LV02-082</t>
  </si>
  <si>
    <t>Hệ thống đặt lịch/đặt chỗ có gợi ý AI: gợi ý combo cho siêu thị mini</t>
  </si>
  <si>
    <t>LV02-083</t>
  </si>
  <si>
    <t>Hệ thống bán hàng và thanh toán có gợi ý AI: dự báo nhu cầu cho siêu thị mini</t>
  </si>
  <si>
    <t>LV02-084</t>
  </si>
  <si>
    <t>Hệ thống quản lý khách hàng CRM có gợi ý AI: phát hiện hết hàng cho siêu thị mini</t>
  </si>
  <si>
    <t>LV02-085</t>
  </si>
  <si>
    <t>Hệ thống quản lý kho/tài sản có gợi ý AI: gợi ý combo cho siêu thị mini</t>
  </si>
  <si>
    <t>LV02-086</t>
  </si>
  <si>
    <t>Hệ thống quản lý nhân sự và ca làm có gợi ý AI: dự báo nhu cầu cho siêu thị mini</t>
  </si>
  <si>
    <t>LV02-087</t>
  </si>
  <si>
    <t>Hệ thống quản lý hóa đơn/công nợ có gợi ý AI: phát hiện hết hàng cho siêu thị mini</t>
  </si>
  <si>
    <t>LV02-088</t>
  </si>
  <si>
    <t>Hệ thống báo cáo thống kê doanh thu có gợi ý AI: gợi ý combo cho siêu thị mini</t>
  </si>
  <si>
    <t>LV02-089</t>
  </si>
  <si>
    <t>Hệ thống cổng chăm sóc khách hàng có gợi ý AI: dự báo nhu cầu cho siêu thị mini</t>
  </si>
  <si>
    <t>LV02-090</t>
  </si>
  <si>
    <t>Hệ thống ứng dụng loyalty/tích điểm có gợi ý AI: phát hiện hết hàng cho siêu thị mini</t>
  </si>
  <si>
    <t>LV02-091</t>
  </si>
  <si>
    <t>Hệ thống quản lý quy trình nghiệp vụ có gợi ý AI: gợi ý combo cho siêu thị mini</t>
  </si>
  <si>
    <t>LV02-092</t>
  </si>
  <si>
    <t>Hệ thống theo dõi trạng thái thời gian thực có gợi ý AI: dự báo nhu cầu cho siêu thị mini</t>
  </si>
  <si>
    <t>LV02-093</t>
  </si>
  <si>
    <t>Hệ thống quản lý hợp đồng/hồ sơ có gợi ý AI: phát hiện hết hàng cho siêu thị mini</t>
  </si>
  <si>
    <t>LV02-094</t>
  </si>
  <si>
    <t>Hệ thống tìm kiếm và lọc nâng cao có gợi ý AI: gợi ý combo cho siêu thị mini</t>
  </si>
  <si>
    <t>LV02-095</t>
  </si>
  <si>
    <t>Hệ thống quản lý phản hồi/đánh giá có gợi ý AI: dự báo nhu cầu cho siêu thị mini</t>
  </si>
  <si>
    <t>LV02-096</t>
  </si>
  <si>
    <t>Hệ thống dashboard điều hành có gợi ý AI: phát hiện hết hàng cho siêu thị mini</t>
  </si>
  <si>
    <t>LV02-097</t>
  </si>
  <si>
    <t>Hệ thống quản lý đa chi nhánh có gợi ý AI: gợi ý combo cho siêu thị mini</t>
  </si>
  <si>
    <t>LV02-098</t>
  </si>
  <si>
    <t>Hệ thống hệ thống phân quyền vai trò có gợi ý AI: dự báo nhu cầu cho siêu thị mini</t>
  </si>
  <si>
    <t>LV02-099</t>
  </si>
  <si>
    <t>Hệ thống quản lý thông báo/nhắc lịch có gợi ý AI: phát hiện hết hàng cho siêu thị mini</t>
  </si>
  <si>
    <t>LV02-100</t>
  </si>
  <si>
    <t>Hệ thống quản lý dữ liệu và import/export có gợi ý AI: gợi ý combo cho siêu thị mini</t>
  </si>
  <si>
    <t>Nhà thuốc</t>
  </si>
  <si>
    <t>LV03-001</t>
  </si>
  <si>
    <t>Hệ thống quản lý tổng thể cho nhà thuốc</t>
  </si>
  <si>
    <t>Đồ án 8 tuần cho nhóm 5 SV: xây dựng Web + Mobile phục vụ nhà thuốc; quản lý các thực thể chính: thuốc, đơn thuốc, khách hàng, dược sĩ, tồn kho; có CSDL, API, giao diện người dùng, báo cáo và kiểm thử.</t>
  </si>
  <si>
    <t>Đăng nhập phân quyền, CRUD, tìm kiếm/lọc, dashboard thống kê, import/export, báo cáo PDF/Excel, kiểm thử; nghiệp vụ trọng tâm: quản lý tổng thể; AI/ML gợi ý: gợi ý thuốc thay thế.</t>
  </si>
  <si>
    <t>gợi ý thuốc thay thế</t>
  </si>
  <si>
    <t>LV03-002</t>
  </si>
  <si>
    <t>Hệ thống đặt lịch/đặt chỗ cho nhà thuốc</t>
  </si>
  <si>
    <t>Đồ án 8 tuần cho nhóm 5 SV: xây dựng Web + Desktop phục vụ nhà thuốc; quản lý các thực thể chính: thuốc, đơn thuốc, khách hàng, dược sĩ, tồn kho; có CSDL, API, giao diện người dùng, báo cáo và kiểm thử.</t>
  </si>
  <si>
    <t>Đăng nhập phân quyền, CRUD, tìm kiếm/lọc, dashboard thống kê, import/export, báo cáo PDF/Excel, kiểm thử; nghiệp vụ trọng tâm: đặt lịch/đặt chỗ; AI/ML gợi ý: dự báo thuốc sắp hết.</t>
  </si>
  <si>
    <t>dự báo thuốc sắp hết</t>
  </si>
  <si>
    <t>LV03-003</t>
  </si>
  <si>
    <t>Hệ thống bán hàng và thanh toán cho nhà thuốc</t>
  </si>
  <si>
    <t>Đồ án 8 tuần cho nhóm 5 SV: xây dựng Website phục vụ nhà thuốc; quản lý các thực thể chính: thuốc, đơn thuốc, khách hàng, dược sĩ, tồn kho; có CSDL, API, giao diện người dùng, báo cáo và kiểm thử.</t>
  </si>
  <si>
    <t>Đăng nhập phân quyền, CRUD, tìm kiếm/lọc, dashboard thống kê, import/export, báo cáo PDF/Excel, kiểm thử; nghiệp vụ trọng tâm: bán hàng và thanh toán; AI/ML gợi ý: cảnh báo tương tác thuốc.</t>
  </si>
  <si>
    <t>cảnh báo tương tác thuốc</t>
  </si>
  <si>
    <t>LV03-004</t>
  </si>
  <si>
    <t>Hệ thống quản lý khách hàng CRM cho nhà thuốc</t>
  </si>
  <si>
    <t>Đồ án 8 tuần cho nhóm 5 SV: xây dựng Mobile App phục vụ nhà thuốc; quản lý các thực thể chính: thuốc, đơn thuốc, khách hàng, dược sĩ, tồn kho; có CSDL, API, giao diện người dùng, báo cáo và kiểm thử.</t>
  </si>
  <si>
    <t>Đăng nhập phân quyền, CRUD, tìm kiếm/lọc, dashboard thống kê, import/export, báo cáo PDF/Excel, kiểm thử; nghiệp vụ trọng tâm: quản lý khách hàng CRM; AI/ML gợi ý: gợi ý thuốc thay thế.</t>
  </si>
  <si>
    <t>LV03-005</t>
  </si>
  <si>
    <t>Hệ thống quản lý kho/tài sản cho nhà thuốc</t>
  </si>
  <si>
    <t>Đồ án 8 tuần cho nhóm 5 SV: xây dựng Desktop App phục vụ nhà thuốc; quản lý các thực thể chính: thuốc, đơn thuốc, khách hàng, dược sĩ, tồn kho; có CSDL, API, giao diện người dùng, báo cáo và kiểm thử.</t>
  </si>
  <si>
    <t>Đăng nhập phân quyền, CRUD, tìm kiếm/lọc, dashboard thống kê, import/export, báo cáo PDF/Excel, kiểm thử; nghiệp vụ trọng tâm: quản lý kho/tài sản; AI/ML gợi ý: dự báo thuốc sắp hết.</t>
  </si>
  <si>
    <t>LV03-006</t>
  </si>
  <si>
    <t>Hệ thống quản lý nhân sự và ca làm cho nhà thuốc</t>
  </si>
  <si>
    <t>Đăng nhập phân quyền, CRUD, tìm kiếm/lọc, dashboard thống kê, import/export, báo cáo PDF/Excel, kiểm thử; nghiệp vụ trọng tâm: quản lý nhân sự và ca làm; AI/ML gợi ý: cảnh báo tương tác thuốc.</t>
  </si>
  <si>
    <t>LV03-007</t>
  </si>
  <si>
    <t>Hệ thống quản lý hóa đơn/công nợ cho nhà thuốc</t>
  </si>
  <si>
    <t>Đăng nhập phân quyền, CRUD, tìm kiếm/lọc, dashboard thống kê, import/export, báo cáo PDF/Excel, kiểm thử; nghiệp vụ trọng tâm: quản lý hóa đơn/công nợ; AI/ML gợi ý: gợi ý thuốc thay thế.</t>
  </si>
  <si>
    <t>LV03-008</t>
  </si>
  <si>
    <t>Hệ thống báo cáo thống kê doanh thu cho nhà thuốc</t>
  </si>
  <si>
    <t>Đăng nhập phân quyền, CRUD, tìm kiếm/lọc, dashboard thống kê, import/export, báo cáo PDF/Excel, kiểm thử; nghiệp vụ trọng tâm: báo cáo thống kê doanh thu; AI/ML gợi ý: dự báo thuốc sắp hết.</t>
  </si>
  <si>
    <t>LV03-009</t>
  </si>
  <si>
    <t>Hệ thống cổng chăm sóc khách hàng cho nhà thuốc</t>
  </si>
  <si>
    <t>Đăng nhập phân quyền, CRUD, tìm kiếm/lọc, dashboard thống kê, import/export, báo cáo PDF/Excel, kiểm thử; nghiệp vụ trọng tâm: cổng chăm sóc khách hàng; AI/ML gợi ý: cảnh báo tương tác thuốc.</t>
  </si>
  <si>
    <t>LV03-010</t>
  </si>
  <si>
    <t>Hệ thống ứng dụng loyalty/tích điểm cho nhà thuốc</t>
  </si>
  <si>
    <t>Đăng nhập phân quyền, CRUD, tìm kiếm/lọc, dashboard thống kê, import/export, báo cáo PDF/Excel, kiểm thử; nghiệp vụ trọng tâm: ứng dụng loyalty/tích điểm; AI/ML gợi ý: gợi ý thuốc thay thế.</t>
  </si>
  <si>
    <t>LV03-011</t>
  </si>
  <si>
    <t>Hệ thống quản lý quy trình nghiệp vụ cho nhà thuốc</t>
  </si>
  <si>
    <t>Đăng nhập phân quyền, CRUD, tìm kiếm/lọc, dashboard thống kê, import/export, báo cáo PDF/Excel, kiểm thử; nghiệp vụ trọng tâm: quản lý quy trình nghiệp vụ; AI/ML gợi ý: dự báo thuốc sắp hết.</t>
  </si>
  <si>
    <t>LV03-012</t>
  </si>
  <si>
    <t>Hệ thống theo dõi trạng thái thời gian thực cho nhà thuốc</t>
  </si>
  <si>
    <t>Đăng nhập phân quyền, CRUD, tìm kiếm/lọc, dashboard thống kê, import/export, báo cáo PDF/Excel, kiểm thử; nghiệp vụ trọng tâm: theo dõi trạng thái thời gian thực; AI/ML gợi ý: cảnh báo tương tác thuốc.</t>
  </si>
  <si>
    <t>LV03-013</t>
  </si>
  <si>
    <t>Hệ thống quản lý hợp đồng/hồ sơ cho nhà thuốc</t>
  </si>
  <si>
    <t>Đăng nhập phân quyền, CRUD, tìm kiếm/lọc, dashboard thống kê, import/export, báo cáo PDF/Excel, kiểm thử; nghiệp vụ trọng tâm: quản lý hợp đồng/hồ sơ; AI/ML gợi ý: gợi ý thuốc thay thế.</t>
  </si>
  <si>
    <t>LV03-014</t>
  </si>
  <si>
    <t>Hệ thống tìm kiếm và lọc nâng cao cho nhà thuốc</t>
  </si>
  <si>
    <t>Đăng nhập phân quyền, CRUD, tìm kiếm/lọc, dashboard thống kê, import/export, báo cáo PDF/Excel, kiểm thử; nghiệp vụ trọng tâm: tìm kiếm và lọc nâng cao; AI/ML gợi ý: dự báo thuốc sắp hết.</t>
  </si>
  <si>
    <t>LV03-015</t>
  </si>
  <si>
    <t>Hệ thống quản lý phản hồi/đánh giá cho nhà thuốc</t>
  </si>
  <si>
    <t>Đăng nhập phân quyền, CRUD, tìm kiếm/lọc, dashboard thống kê, import/export, báo cáo PDF/Excel, kiểm thử; nghiệp vụ trọng tâm: quản lý phản hồi/đánh giá; AI/ML gợi ý: cảnh báo tương tác thuốc.</t>
  </si>
  <si>
    <t>LV03-016</t>
  </si>
  <si>
    <t>Hệ thống dashboard điều hành cho nhà thuốc</t>
  </si>
  <si>
    <t>Đăng nhập phân quyền, CRUD, tìm kiếm/lọc, dashboard thống kê, import/export, báo cáo PDF/Excel, kiểm thử; nghiệp vụ trọng tâm: dashboard điều hành; AI/ML gợi ý: gợi ý thuốc thay thế.</t>
  </si>
  <si>
    <t>LV03-017</t>
  </si>
  <si>
    <t>Hệ thống quản lý đa chi nhánh cho nhà thuốc</t>
  </si>
  <si>
    <t>Đăng nhập phân quyền, CRUD, tìm kiếm/lọc, dashboard thống kê, import/export, báo cáo PDF/Excel, kiểm thử; nghiệp vụ trọng tâm: quản lý đa chi nhánh; AI/ML gợi ý: dự báo thuốc sắp hết.</t>
  </si>
  <si>
    <t>LV03-018</t>
  </si>
  <si>
    <t>Hệ thống hệ thống phân quyền vai trò cho nhà thuốc</t>
  </si>
  <si>
    <t>Đăng nhập phân quyền, CRUD, tìm kiếm/lọc, dashboard thống kê, import/export, báo cáo PDF/Excel, kiểm thử; nghiệp vụ trọng tâm: hệ thống phân quyền vai trò; AI/ML gợi ý: cảnh báo tương tác thuốc.</t>
  </si>
  <si>
    <t>LV03-019</t>
  </si>
  <si>
    <t>Hệ thống quản lý thông báo/nhắc lịch cho nhà thuốc</t>
  </si>
  <si>
    <t>Đăng nhập phân quyền, CRUD, tìm kiếm/lọc, dashboard thống kê, import/export, báo cáo PDF/Excel, kiểm thử; nghiệp vụ trọng tâm: quản lý thông báo/nhắc lịch; AI/ML gợi ý: gợi ý thuốc thay thế.</t>
  </si>
  <si>
    <t>LV03-020</t>
  </si>
  <si>
    <t>Hệ thống quản lý dữ liệu và import/export cho nhà thuốc</t>
  </si>
  <si>
    <t>Đăng nhập phân quyền, CRUD, tìm kiếm/lọc, dashboard thống kê, import/export, báo cáo PDF/Excel, kiểm thử; nghiệp vụ trọng tâm: quản lý dữ liệu và import/export; AI/ML gợi ý: dự báo thuốc sắp hết.</t>
  </si>
  <si>
    <t>LV03-021</t>
  </si>
  <si>
    <t>Ứng dụng web + mobile hỗ trợ quản lý tổng thể trong nhà thuốc</t>
  </si>
  <si>
    <t>LV03-022</t>
  </si>
  <si>
    <t>Ứng dụng web + desktop hỗ trợ đặt lịch/đặt chỗ trong nhà thuốc</t>
  </si>
  <si>
    <t>LV03-023</t>
  </si>
  <si>
    <t>Ứng dụng website hỗ trợ bán hàng và thanh toán trong nhà thuốc</t>
  </si>
  <si>
    <t>LV03-024</t>
  </si>
  <si>
    <t>Ứng dụng mobile app hỗ trợ quản lý khách hàng CRM trong nhà thuốc</t>
  </si>
  <si>
    <t>LV03-025</t>
  </si>
  <si>
    <t>Ứng dụng desktop app hỗ trợ quản lý kho/tài sản trong nhà thuốc</t>
  </si>
  <si>
    <t>LV03-026</t>
  </si>
  <si>
    <t>Ứng dụng web + mobile hỗ trợ quản lý nhân sự và ca làm trong nhà thuốc</t>
  </si>
  <si>
    <t>LV03-027</t>
  </si>
  <si>
    <t>Ứng dụng web + desktop hỗ trợ quản lý hóa đơn/công nợ trong nhà thuốc</t>
  </si>
  <si>
    <t>LV03-028</t>
  </si>
  <si>
    <t>Ứng dụng website hỗ trợ báo cáo thống kê doanh thu trong nhà thuốc</t>
  </si>
  <si>
    <t>LV03-029</t>
  </si>
  <si>
    <t>Ứng dụng mobile app hỗ trợ cổng chăm sóc khách hàng trong nhà thuốc</t>
  </si>
  <si>
    <t>LV03-030</t>
  </si>
  <si>
    <t>Ứng dụng desktop app hỗ trợ ứng dụng loyalty/tích điểm trong nhà thuốc</t>
  </si>
  <si>
    <t>LV03-031</t>
  </si>
  <si>
    <t>Ứng dụng web + mobile hỗ trợ quản lý quy trình nghiệp vụ trong nhà thuốc</t>
  </si>
  <si>
    <t>LV03-032</t>
  </si>
  <si>
    <t>Ứng dụng web + desktop hỗ trợ theo dõi trạng thái thời gian thực trong nhà thuốc</t>
  </si>
  <si>
    <t>LV03-033</t>
  </si>
  <si>
    <t>Ứng dụng website hỗ trợ quản lý hợp đồng/hồ sơ trong nhà thuốc</t>
  </si>
  <si>
    <t>LV03-034</t>
  </si>
  <si>
    <t>Ứng dụng mobile app hỗ trợ tìm kiếm và lọc nâng cao trong nhà thuốc</t>
  </si>
  <si>
    <t>LV03-035</t>
  </si>
  <si>
    <t>Ứng dụng desktop app hỗ trợ quản lý phản hồi/đánh giá trong nhà thuốc</t>
  </si>
  <si>
    <t>LV03-036</t>
  </si>
  <si>
    <t>Ứng dụng web + mobile hỗ trợ dashboard điều hành trong nhà thuốc</t>
  </si>
  <si>
    <t>LV03-037</t>
  </si>
  <si>
    <t>Ứng dụng web + desktop hỗ trợ quản lý đa chi nhánh trong nhà thuốc</t>
  </si>
  <si>
    <t>LV03-038</t>
  </si>
  <si>
    <t>Ứng dụng website hỗ trợ hệ thống phân quyền vai trò trong nhà thuốc</t>
  </si>
  <si>
    <t>LV03-039</t>
  </si>
  <si>
    <t>Ứng dụng mobile app hỗ trợ quản lý thông báo/nhắc lịch trong nhà thuốc</t>
  </si>
  <si>
    <t>LV03-040</t>
  </si>
  <si>
    <t>Ứng dụng desktop app hỗ trợ quản lý dữ liệu và import/export trong nhà thuốc</t>
  </si>
  <si>
    <t>LV03-041</t>
  </si>
  <si>
    <t>Nền tảng quản lý tổng thể có phân quyền và báo cáo cho nhà thuốc</t>
  </si>
  <si>
    <t>LV03-042</t>
  </si>
  <si>
    <t>Nền tảng đặt lịch/đặt chỗ có phân quyền và báo cáo cho nhà thuốc</t>
  </si>
  <si>
    <t>LV03-043</t>
  </si>
  <si>
    <t>Nền tảng bán hàng và thanh toán có phân quyền và báo cáo cho nhà thuốc</t>
  </si>
  <si>
    <t>LV03-044</t>
  </si>
  <si>
    <t>Nền tảng quản lý khách hàng CRM có phân quyền và báo cáo cho nhà thuốc</t>
  </si>
  <si>
    <t>LV03-045</t>
  </si>
  <si>
    <t>Nền tảng quản lý kho/tài sản có phân quyền và báo cáo cho nhà thuốc</t>
  </si>
  <si>
    <t>LV03-046</t>
  </si>
  <si>
    <t>Nền tảng quản lý nhân sự và ca làm có phân quyền và báo cáo cho nhà thuốc</t>
  </si>
  <si>
    <t>LV03-047</t>
  </si>
  <si>
    <t>Nền tảng quản lý hóa đơn/công nợ có phân quyền và báo cáo cho nhà thuốc</t>
  </si>
  <si>
    <t>LV03-048</t>
  </si>
  <si>
    <t>Nền tảng báo cáo thống kê doanh thu có phân quyền và báo cáo cho nhà thuốc</t>
  </si>
  <si>
    <t>LV03-049</t>
  </si>
  <si>
    <t>Nền tảng cổng chăm sóc khách hàng có phân quyền và báo cáo cho nhà thuốc</t>
  </si>
  <si>
    <t>LV03-050</t>
  </si>
  <si>
    <t>Nền tảng ứng dụng loyalty/tích điểm có phân quyền và báo cáo cho nhà thuốc</t>
  </si>
  <si>
    <t>LV03-051</t>
  </si>
  <si>
    <t>Nền tảng quản lý quy trình nghiệp vụ có phân quyền và báo cáo cho nhà thuốc</t>
  </si>
  <si>
    <t>LV03-052</t>
  </si>
  <si>
    <t>Nền tảng theo dõi trạng thái thời gian thực có phân quyền và báo cáo cho nhà thuốc</t>
  </si>
  <si>
    <t>LV03-053</t>
  </si>
  <si>
    <t>Nền tảng quản lý hợp đồng/hồ sơ có phân quyền và báo cáo cho nhà thuốc</t>
  </si>
  <si>
    <t>LV03-054</t>
  </si>
  <si>
    <t>Nền tảng tìm kiếm và lọc nâng cao có phân quyền và báo cáo cho nhà thuốc</t>
  </si>
  <si>
    <t>LV03-055</t>
  </si>
  <si>
    <t>Nền tảng quản lý phản hồi/đánh giá có phân quyền và báo cáo cho nhà thuốc</t>
  </si>
  <si>
    <t>LV03-056</t>
  </si>
  <si>
    <t>Nền tảng dashboard điều hành có phân quyền và báo cáo cho nhà thuốc</t>
  </si>
  <si>
    <t>LV03-057</t>
  </si>
  <si>
    <t>Nền tảng quản lý đa chi nhánh có phân quyền và báo cáo cho nhà thuốc</t>
  </si>
  <si>
    <t>LV03-058</t>
  </si>
  <si>
    <t>Nền tảng hệ thống phân quyền vai trò có phân quyền và báo cáo cho nhà thuốc</t>
  </si>
  <si>
    <t>LV03-059</t>
  </si>
  <si>
    <t>Nền tảng quản lý thông báo/nhắc lịch có phân quyền và báo cáo cho nhà thuốc</t>
  </si>
  <si>
    <t>LV03-060</t>
  </si>
  <si>
    <t>Nền tảng quản lý dữ liệu và import/export có phân quyền và báo cáo cho nhà thuốc</t>
  </si>
  <si>
    <t>LV03-061</t>
  </si>
  <si>
    <t>Phần mềm quản lý tổng thể tích hợp dashboard dữ liệu cho nhà thuốc</t>
  </si>
  <si>
    <t>LV03-062</t>
  </si>
  <si>
    <t>Phần mềm đặt lịch/đặt chỗ tích hợp dashboard dữ liệu cho nhà thuốc</t>
  </si>
  <si>
    <t>LV03-063</t>
  </si>
  <si>
    <t>Phần mềm bán hàng và thanh toán tích hợp dashboard dữ liệu cho nhà thuốc</t>
  </si>
  <si>
    <t>LV03-064</t>
  </si>
  <si>
    <t>Phần mềm quản lý khách hàng CRM tích hợp dashboard dữ liệu cho nhà thuốc</t>
  </si>
  <si>
    <t>LV03-065</t>
  </si>
  <si>
    <t>Phần mềm quản lý kho/tài sản tích hợp dashboard dữ liệu cho nhà thuốc</t>
  </si>
  <si>
    <t>LV03-066</t>
  </si>
  <si>
    <t>Phần mềm quản lý nhân sự và ca làm tích hợp dashboard dữ liệu cho nhà thuốc</t>
  </si>
  <si>
    <t>LV03-067</t>
  </si>
  <si>
    <t>Phần mềm quản lý hóa đơn/công nợ tích hợp dashboard dữ liệu cho nhà thuốc</t>
  </si>
  <si>
    <t>LV03-068</t>
  </si>
  <si>
    <t>Phần mềm báo cáo thống kê doanh thu tích hợp dashboard dữ liệu cho nhà thuốc</t>
  </si>
  <si>
    <t>LV03-069</t>
  </si>
  <si>
    <t>Phần mềm cổng chăm sóc khách hàng tích hợp dashboard dữ liệu cho nhà thuốc</t>
  </si>
  <si>
    <t>LV03-070</t>
  </si>
  <si>
    <t>Phần mềm ứng dụng loyalty/tích điểm tích hợp dashboard dữ liệu cho nhà thuốc</t>
  </si>
  <si>
    <t>LV03-071</t>
  </si>
  <si>
    <t>Phần mềm quản lý quy trình nghiệp vụ tích hợp dashboard dữ liệu cho nhà thuốc</t>
  </si>
  <si>
    <t>LV03-072</t>
  </si>
  <si>
    <t>Phần mềm theo dõi trạng thái thời gian thực tích hợp dashboard dữ liệu cho nhà thuốc</t>
  </si>
  <si>
    <t>LV03-073</t>
  </si>
  <si>
    <t>Phần mềm quản lý hợp đồng/hồ sơ tích hợp dashboard dữ liệu cho nhà thuốc</t>
  </si>
  <si>
    <t>LV03-074</t>
  </si>
  <si>
    <t>Phần mềm tìm kiếm và lọc nâng cao tích hợp dashboard dữ liệu cho nhà thuốc</t>
  </si>
  <si>
    <t>LV03-075</t>
  </si>
  <si>
    <t>Phần mềm quản lý phản hồi/đánh giá tích hợp dashboard dữ liệu cho nhà thuốc</t>
  </si>
  <si>
    <t>LV03-076</t>
  </si>
  <si>
    <t>Phần mềm dashboard điều hành tích hợp dashboard dữ liệu cho nhà thuốc</t>
  </si>
  <si>
    <t>LV03-077</t>
  </si>
  <si>
    <t>Phần mềm quản lý đa chi nhánh tích hợp dashboard dữ liệu cho nhà thuốc</t>
  </si>
  <si>
    <t>LV03-078</t>
  </si>
  <si>
    <t>Phần mềm hệ thống phân quyền vai trò tích hợp dashboard dữ liệu cho nhà thuốc</t>
  </si>
  <si>
    <t>LV03-079</t>
  </si>
  <si>
    <t>Phần mềm quản lý thông báo/nhắc lịch tích hợp dashboard dữ liệu cho nhà thuốc</t>
  </si>
  <si>
    <t>LV03-080</t>
  </si>
  <si>
    <t>Phần mềm quản lý dữ liệu và import/export tích hợp dashboard dữ liệu cho nhà thuốc</t>
  </si>
  <si>
    <t>LV03-081</t>
  </si>
  <si>
    <t>Hệ thống quản lý tổng thể có gợi ý AI: gợi ý thuốc thay thế cho nhà thuốc</t>
  </si>
  <si>
    <t>LV03-082</t>
  </si>
  <si>
    <t>Hệ thống đặt lịch/đặt chỗ có gợi ý AI: dự báo thuốc sắp hết cho nhà thuốc</t>
  </si>
  <si>
    <t>LV03-083</t>
  </si>
  <si>
    <t>Hệ thống bán hàng và thanh toán có gợi ý AI: cảnh báo tương tác thuốc cho nhà thuốc</t>
  </si>
  <si>
    <t>LV03-084</t>
  </si>
  <si>
    <t>Hệ thống quản lý khách hàng CRM có gợi ý AI: gợi ý thuốc thay thế cho nhà thuốc</t>
  </si>
  <si>
    <t>LV03-085</t>
  </si>
  <si>
    <t>Hệ thống quản lý kho/tài sản có gợi ý AI: dự báo thuốc sắp hết cho nhà thuốc</t>
  </si>
  <si>
    <t>LV03-086</t>
  </si>
  <si>
    <t>Hệ thống quản lý nhân sự và ca làm có gợi ý AI: cảnh báo tương tác thuốc cho nhà thuốc</t>
  </si>
  <si>
    <t>LV03-087</t>
  </si>
  <si>
    <t>Hệ thống quản lý hóa đơn/công nợ có gợi ý AI: gợi ý thuốc thay thế cho nhà thuốc</t>
  </si>
  <si>
    <t>LV03-088</t>
  </si>
  <si>
    <t>Hệ thống báo cáo thống kê doanh thu có gợi ý AI: dự báo thuốc sắp hết cho nhà thuốc</t>
  </si>
  <si>
    <t>LV03-089</t>
  </si>
  <si>
    <t>Hệ thống cổng chăm sóc khách hàng có gợi ý AI: cảnh báo tương tác thuốc cho nhà thuốc</t>
  </si>
  <si>
    <t>LV03-090</t>
  </si>
  <si>
    <t>Hệ thống ứng dụng loyalty/tích điểm có gợi ý AI: gợi ý thuốc thay thế cho nhà thuốc</t>
  </si>
  <si>
    <t>LV03-091</t>
  </si>
  <si>
    <t>Hệ thống quản lý quy trình nghiệp vụ có gợi ý AI: dự báo thuốc sắp hết cho nhà thuốc</t>
  </si>
  <si>
    <t>LV03-092</t>
  </si>
  <si>
    <t>Hệ thống theo dõi trạng thái thời gian thực có gợi ý AI: cảnh báo tương tác thuốc cho nhà thuốc</t>
  </si>
  <si>
    <t>LV03-093</t>
  </si>
  <si>
    <t>Hệ thống quản lý hợp đồng/hồ sơ có gợi ý AI: gợi ý thuốc thay thế cho nhà thuốc</t>
  </si>
  <si>
    <t>LV03-094</t>
  </si>
  <si>
    <t>Hệ thống tìm kiếm và lọc nâng cao có gợi ý AI: dự báo thuốc sắp hết cho nhà thuốc</t>
  </si>
  <si>
    <t>LV03-095</t>
  </si>
  <si>
    <t>Hệ thống quản lý phản hồi/đánh giá có gợi ý AI: cảnh báo tương tác thuốc cho nhà thuốc</t>
  </si>
  <si>
    <t>LV03-096</t>
  </si>
  <si>
    <t>Hệ thống dashboard điều hành có gợi ý AI: gợi ý thuốc thay thế cho nhà thuốc</t>
  </si>
  <si>
    <t>LV03-097</t>
  </si>
  <si>
    <t>Hệ thống quản lý đa chi nhánh có gợi ý AI: dự báo thuốc sắp hết cho nhà thuốc</t>
  </si>
  <si>
    <t>LV03-098</t>
  </si>
  <si>
    <t>Hệ thống hệ thống phân quyền vai trò có gợi ý AI: cảnh báo tương tác thuốc cho nhà thuốc</t>
  </si>
  <si>
    <t>LV03-099</t>
  </si>
  <si>
    <t>Hệ thống quản lý thông báo/nhắc lịch có gợi ý AI: gợi ý thuốc thay thế cho nhà thuốc</t>
  </si>
  <si>
    <t>LV03-100</t>
  </si>
  <si>
    <t>Hệ thống quản lý dữ liệu và import/export có gợi ý AI: dự báo thuốc sắp hết cho nhà thuốc</t>
  </si>
  <si>
    <t>Phòng khám</t>
  </si>
  <si>
    <t>LV04-001</t>
  </si>
  <si>
    <t>Hệ thống quản lý tổng thể cho phòng khám</t>
  </si>
  <si>
    <t>Đồ án 8 tuần cho nhóm 5 SV: xây dựng Web + Desktop phục vụ phòng khám; quản lý các thực thể chính: bệnh nhân, bác sĩ, lịch khám, hồ sơ bệnh án; có CSDL, API, giao diện người dùng, báo cáo và kiểm thử.</t>
  </si>
  <si>
    <t>Đăng nhập phân quyền, CRUD, tìm kiếm/lọc, dashboard thống kê, import/export, báo cáo PDF/Excel, kiểm thử; nghiệp vụ trọng tâm: quản lý tổng thể; AI/ML gợi ý: nhắc lịch tái khám.</t>
  </si>
  <si>
    <t>nhắc lịch tái khám</t>
  </si>
  <si>
    <t>LV04-002</t>
  </si>
  <si>
    <t>Hệ thống đặt lịch/đặt chỗ cho phòng khám</t>
  </si>
  <si>
    <t>Đồ án 8 tuần cho nhóm 5 SV: xây dựng Website phục vụ phòng khám; quản lý các thực thể chính: bệnh nhân, bác sĩ, lịch khám, hồ sơ bệnh án; có CSDL, API, giao diện người dùng, báo cáo và kiểm thử.</t>
  </si>
  <si>
    <t>Đăng nhập phân quyền, CRUD, tìm kiếm/lọc, dashboard thống kê, import/export, báo cáo PDF/Excel, kiểm thử; nghiệp vụ trọng tâm: đặt lịch/đặt chỗ; AI/ML gợi ý: hỗ trợ gợi ý chuyên khoa.</t>
  </si>
  <si>
    <t>hỗ trợ gợi ý chuyên khoa</t>
  </si>
  <si>
    <t>LV04-003</t>
  </si>
  <si>
    <t>Hệ thống bán hàng và thanh toán cho phòng khám</t>
  </si>
  <si>
    <t>Đồ án 8 tuần cho nhóm 5 SV: xây dựng Mobile App phục vụ phòng khám; quản lý các thực thể chính: bệnh nhân, bác sĩ, lịch khám, hồ sơ bệnh án; có CSDL, API, giao diện người dùng, báo cáo và kiểm thử.</t>
  </si>
  <si>
    <t>Đăng nhập phân quyền, CRUD, tìm kiếm/lọc, dashboard thống kê, import/export, báo cáo PDF/Excel, kiểm thử; nghiệp vụ trọng tâm: bán hàng và thanh toán; AI/ML gợi ý: phân loại triệu chứng.</t>
  </si>
  <si>
    <t>phân loại triệu chứng</t>
  </si>
  <si>
    <t>LV04-004</t>
  </si>
  <si>
    <t>Hệ thống quản lý khách hàng CRM cho phòng khám</t>
  </si>
  <si>
    <t>Đồ án 8 tuần cho nhóm 5 SV: xây dựng Desktop App phục vụ phòng khám; quản lý các thực thể chính: bệnh nhân, bác sĩ, lịch khám, hồ sơ bệnh án; có CSDL, API, giao diện người dùng, báo cáo và kiểm thử.</t>
  </si>
  <si>
    <t>Đăng nhập phân quyền, CRUD, tìm kiếm/lọc, dashboard thống kê, import/export, báo cáo PDF/Excel, kiểm thử; nghiệp vụ trọng tâm: quản lý khách hàng CRM; AI/ML gợi ý: nhắc lịch tái khám.</t>
  </si>
  <si>
    <t>LV04-005</t>
  </si>
  <si>
    <t>Hệ thống quản lý kho/tài sản cho phòng khám</t>
  </si>
  <si>
    <t>Đồ án 8 tuần cho nhóm 5 SV: xây dựng Web + Mobile phục vụ phòng khám; quản lý các thực thể chính: bệnh nhân, bác sĩ, lịch khám, hồ sơ bệnh án; có CSDL, API, giao diện người dùng, báo cáo và kiểm thử.</t>
  </si>
  <si>
    <t>Đăng nhập phân quyền, CRUD, tìm kiếm/lọc, dashboard thống kê, import/export, báo cáo PDF/Excel, kiểm thử; nghiệp vụ trọng tâm: quản lý kho/tài sản; AI/ML gợi ý: hỗ trợ gợi ý chuyên khoa.</t>
  </si>
  <si>
    <t>LV04-006</t>
  </si>
  <si>
    <t>Hệ thống quản lý nhân sự và ca làm cho phòng khám</t>
  </si>
  <si>
    <t>Đăng nhập phân quyền, CRUD, tìm kiếm/lọc, dashboard thống kê, import/export, báo cáo PDF/Excel, kiểm thử; nghiệp vụ trọng tâm: quản lý nhân sự và ca làm; AI/ML gợi ý: phân loại triệu chứng.</t>
  </si>
  <si>
    <t>LV04-007</t>
  </si>
  <si>
    <t>Hệ thống quản lý hóa đơn/công nợ cho phòng khám</t>
  </si>
  <si>
    <t>Đăng nhập phân quyền, CRUD, tìm kiếm/lọc, dashboard thống kê, import/export, báo cáo PDF/Excel, kiểm thử; nghiệp vụ trọng tâm: quản lý hóa đơn/công nợ; AI/ML gợi ý: nhắc lịch tái khám.</t>
  </si>
  <si>
    <t>LV04-008</t>
  </si>
  <si>
    <t>Hệ thống báo cáo thống kê doanh thu cho phòng khám</t>
  </si>
  <si>
    <t>Đăng nhập phân quyền, CRUD, tìm kiếm/lọc, dashboard thống kê, import/export, báo cáo PDF/Excel, kiểm thử; nghiệp vụ trọng tâm: báo cáo thống kê doanh thu; AI/ML gợi ý: hỗ trợ gợi ý chuyên khoa.</t>
  </si>
  <si>
    <t>LV04-009</t>
  </si>
  <si>
    <t>Hệ thống cổng chăm sóc khách hàng cho phòng khám</t>
  </si>
  <si>
    <t>Đăng nhập phân quyền, CRUD, tìm kiếm/lọc, dashboard thống kê, import/export, báo cáo PDF/Excel, kiểm thử; nghiệp vụ trọng tâm: cổng chăm sóc khách hàng; AI/ML gợi ý: phân loại triệu chứng.</t>
  </si>
  <si>
    <t>LV04-010</t>
  </si>
  <si>
    <t>Hệ thống ứng dụng loyalty/tích điểm cho phòng khám</t>
  </si>
  <si>
    <t>Đăng nhập phân quyền, CRUD, tìm kiếm/lọc, dashboard thống kê, import/export, báo cáo PDF/Excel, kiểm thử; nghiệp vụ trọng tâm: ứng dụng loyalty/tích điểm; AI/ML gợi ý: nhắc lịch tái khám.</t>
  </si>
  <si>
    <t>LV04-011</t>
  </si>
  <si>
    <t>Hệ thống quản lý quy trình nghiệp vụ cho phòng khám</t>
  </si>
  <si>
    <t>Đăng nhập phân quyền, CRUD, tìm kiếm/lọc, dashboard thống kê, import/export, báo cáo PDF/Excel, kiểm thử; nghiệp vụ trọng tâm: quản lý quy trình nghiệp vụ; AI/ML gợi ý: hỗ trợ gợi ý chuyên khoa.</t>
  </si>
  <si>
    <t>LV04-012</t>
  </si>
  <si>
    <t>Hệ thống theo dõi trạng thái thời gian thực cho phòng khám</t>
  </si>
  <si>
    <t>Đăng nhập phân quyền, CRUD, tìm kiếm/lọc, dashboard thống kê, import/export, báo cáo PDF/Excel, kiểm thử; nghiệp vụ trọng tâm: theo dõi trạng thái thời gian thực; AI/ML gợi ý: phân loại triệu chứng.</t>
  </si>
  <si>
    <t>LV04-013</t>
  </si>
  <si>
    <t>Hệ thống quản lý hợp đồng/hồ sơ cho phòng khám</t>
  </si>
  <si>
    <t>Đăng nhập phân quyền, CRUD, tìm kiếm/lọc, dashboard thống kê, import/export, báo cáo PDF/Excel, kiểm thử; nghiệp vụ trọng tâm: quản lý hợp đồng/hồ sơ; AI/ML gợi ý: nhắc lịch tái khám.</t>
  </si>
  <si>
    <t>LV04-014</t>
  </si>
  <si>
    <t>Hệ thống tìm kiếm và lọc nâng cao cho phòng khám</t>
  </si>
  <si>
    <t>Đăng nhập phân quyền, CRUD, tìm kiếm/lọc, dashboard thống kê, import/export, báo cáo PDF/Excel, kiểm thử; nghiệp vụ trọng tâm: tìm kiếm và lọc nâng cao; AI/ML gợi ý: hỗ trợ gợi ý chuyên khoa.</t>
  </si>
  <si>
    <t>LV04-015</t>
  </si>
  <si>
    <t>Hệ thống quản lý phản hồi/đánh giá cho phòng khám</t>
  </si>
  <si>
    <t>Đăng nhập phân quyền, CRUD, tìm kiếm/lọc, dashboard thống kê, import/export, báo cáo PDF/Excel, kiểm thử; nghiệp vụ trọng tâm: quản lý phản hồi/đánh giá; AI/ML gợi ý: phân loại triệu chứng.</t>
  </si>
  <si>
    <t>LV04-016</t>
  </si>
  <si>
    <t>Hệ thống dashboard điều hành cho phòng khám</t>
  </si>
  <si>
    <t>Đăng nhập phân quyền, CRUD, tìm kiếm/lọc, dashboard thống kê, import/export, báo cáo PDF/Excel, kiểm thử; nghiệp vụ trọng tâm: dashboard điều hành; AI/ML gợi ý: nhắc lịch tái khám.</t>
  </si>
  <si>
    <t>LV04-017</t>
  </si>
  <si>
    <t>Hệ thống quản lý đa chi nhánh cho phòng khám</t>
  </si>
  <si>
    <t>Đăng nhập phân quyền, CRUD, tìm kiếm/lọc, dashboard thống kê, import/export, báo cáo PDF/Excel, kiểm thử; nghiệp vụ trọng tâm: quản lý đa chi nhánh; AI/ML gợi ý: hỗ trợ gợi ý chuyên khoa.</t>
  </si>
  <si>
    <t>LV04-018</t>
  </si>
  <si>
    <t>Hệ thống hệ thống phân quyền vai trò cho phòng khám</t>
  </si>
  <si>
    <t>Đăng nhập phân quyền, CRUD, tìm kiếm/lọc, dashboard thống kê, import/export, báo cáo PDF/Excel, kiểm thử; nghiệp vụ trọng tâm: hệ thống phân quyền vai trò; AI/ML gợi ý: phân loại triệu chứng.</t>
  </si>
  <si>
    <t>LV04-019</t>
  </si>
  <si>
    <t>Hệ thống quản lý thông báo/nhắc lịch cho phòng khám</t>
  </si>
  <si>
    <t>Đăng nhập phân quyền, CRUD, tìm kiếm/lọc, dashboard thống kê, import/export, báo cáo PDF/Excel, kiểm thử; nghiệp vụ trọng tâm: quản lý thông báo/nhắc lịch; AI/ML gợi ý: nhắc lịch tái khám.</t>
  </si>
  <si>
    <t>LV04-020</t>
  </si>
  <si>
    <t>Hệ thống quản lý dữ liệu và import/export cho phòng khám</t>
  </si>
  <si>
    <t>Đăng nhập phân quyền, CRUD, tìm kiếm/lọc, dashboard thống kê, import/export, báo cáo PDF/Excel, kiểm thử; nghiệp vụ trọng tâm: quản lý dữ liệu và import/export; AI/ML gợi ý: hỗ trợ gợi ý chuyên khoa.</t>
  </si>
  <si>
    <t>LV04-021</t>
  </si>
  <si>
    <t>Ứng dụng web + desktop hỗ trợ quản lý tổng thể trong phòng khám</t>
  </si>
  <si>
    <t>LV04-022</t>
  </si>
  <si>
    <t>Ứng dụng website hỗ trợ đặt lịch/đặt chỗ trong phòng khám</t>
  </si>
  <si>
    <t>LV04-023</t>
  </si>
  <si>
    <t>Ứng dụng mobile app hỗ trợ bán hàng và thanh toán trong phòng khám</t>
  </si>
  <si>
    <t>LV04-024</t>
  </si>
  <si>
    <t>Ứng dụng desktop app hỗ trợ quản lý khách hàng CRM trong phòng khám</t>
  </si>
  <si>
    <t>LV04-025</t>
  </si>
  <si>
    <t>Ứng dụng web + mobile hỗ trợ quản lý kho/tài sản trong phòng khám</t>
  </si>
  <si>
    <t>LV04-026</t>
  </si>
  <si>
    <t>Ứng dụng web + desktop hỗ trợ quản lý nhân sự và ca làm trong phòng khám</t>
  </si>
  <si>
    <t>LV04-027</t>
  </si>
  <si>
    <t>Ứng dụng website hỗ trợ quản lý hóa đơn/công nợ trong phòng khám</t>
  </si>
  <si>
    <t>LV04-028</t>
  </si>
  <si>
    <t>Ứng dụng mobile app hỗ trợ báo cáo thống kê doanh thu trong phòng khám</t>
  </si>
  <si>
    <t>LV04-029</t>
  </si>
  <si>
    <t>Ứng dụng desktop app hỗ trợ cổng chăm sóc khách hàng trong phòng khám</t>
  </si>
  <si>
    <t>LV04-030</t>
  </si>
  <si>
    <t>Ứng dụng web + mobile hỗ trợ ứng dụng loyalty/tích điểm trong phòng khám</t>
  </si>
  <si>
    <t>LV04-031</t>
  </si>
  <si>
    <t>Ứng dụng web + desktop hỗ trợ quản lý quy trình nghiệp vụ trong phòng khám</t>
  </si>
  <si>
    <t>LV04-032</t>
  </si>
  <si>
    <t>Ứng dụng website hỗ trợ theo dõi trạng thái thời gian thực trong phòng khám</t>
  </si>
  <si>
    <t>LV04-033</t>
  </si>
  <si>
    <t>Ứng dụng mobile app hỗ trợ quản lý hợp đồng/hồ sơ trong phòng khám</t>
  </si>
  <si>
    <t>LV04-034</t>
  </si>
  <si>
    <t>Ứng dụng desktop app hỗ trợ tìm kiếm và lọc nâng cao trong phòng khám</t>
  </si>
  <si>
    <t>LV04-035</t>
  </si>
  <si>
    <t>Ứng dụng web + mobile hỗ trợ quản lý phản hồi/đánh giá trong phòng khám</t>
  </si>
  <si>
    <t>LV04-036</t>
  </si>
  <si>
    <t>Ứng dụng web + desktop hỗ trợ dashboard điều hành trong phòng khám</t>
  </si>
  <si>
    <t>LV04-037</t>
  </si>
  <si>
    <t>Ứng dụng website hỗ trợ quản lý đa chi nhánh trong phòng khám</t>
  </si>
  <si>
    <t>LV04-038</t>
  </si>
  <si>
    <t>Ứng dụng mobile app hỗ trợ hệ thống phân quyền vai trò trong phòng khám</t>
  </si>
  <si>
    <t>LV04-039</t>
  </si>
  <si>
    <t>Ứng dụng desktop app hỗ trợ quản lý thông báo/nhắc lịch trong phòng khám</t>
  </si>
  <si>
    <t>LV04-040</t>
  </si>
  <si>
    <t>Ứng dụng web + mobile hỗ trợ quản lý dữ liệu và import/export trong phòng khám</t>
  </si>
  <si>
    <t>LV04-041</t>
  </si>
  <si>
    <t>Nền tảng quản lý tổng thể có phân quyền và báo cáo cho phòng khám</t>
  </si>
  <si>
    <t>LV04-042</t>
  </si>
  <si>
    <t>Nền tảng đặt lịch/đặt chỗ có phân quyền và báo cáo cho phòng khám</t>
  </si>
  <si>
    <t>LV04-043</t>
  </si>
  <si>
    <t>Nền tảng bán hàng và thanh toán có phân quyền và báo cáo cho phòng khám</t>
  </si>
  <si>
    <t>LV04-044</t>
  </si>
  <si>
    <t>Nền tảng quản lý khách hàng CRM có phân quyền và báo cáo cho phòng khám</t>
  </si>
  <si>
    <t>LV04-045</t>
  </si>
  <si>
    <t>Nền tảng quản lý kho/tài sản có phân quyền và báo cáo cho phòng khám</t>
  </si>
  <si>
    <t>LV04-046</t>
  </si>
  <si>
    <t>Nền tảng quản lý nhân sự và ca làm có phân quyền và báo cáo cho phòng khám</t>
  </si>
  <si>
    <t>LV04-047</t>
  </si>
  <si>
    <t>Nền tảng quản lý hóa đơn/công nợ có phân quyền và báo cáo cho phòng khám</t>
  </si>
  <si>
    <t>LV04-048</t>
  </si>
  <si>
    <t>Nền tảng báo cáo thống kê doanh thu có phân quyền và báo cáo cho phòng khám</t>
  </si>
  <si>
    <t>LV04-049</t>
  </si>
  <si>
    <t>Nền tảng cổng chăm sóc khách hàng có phân quyền và báo cáo cho phòng khám</t>
  </si>
  <si>
    <t>LV04-050</t>
  </si>
  <si>
    <t>Nền tảng ứng dụng loyalty/tích điểm có phân quyền và báo cáo cho phòng khám</t>
  </si>
  <si>
    <t>LV04-051</t>
  </si>
  <si>
    <t>Nền tảng quản lý quy trình nghiệp vụ có phân quyền và báo cáo cho phòng khám</t>
  </si>
  <si>
    <t>LV04-052</t>
  </si>
  <si>
    <t>Nền tảng theo dõi trạng thái thời gian thực có phân quyền và báo cáo cho phòng khám</t>
  </si>
  <si>
    <t>LV04-053</t>
  </si>
  <si>
    <t>Nền tảng quản lý hợp đồng/hồ sơ có phân quyền và báo cáo cho phòng khám</t>
  </si>
  <si>
    <t>LV04-054</t>
  </si>
  <si>
    <t>Nền tảng tìm kiếm và lọc nâng cao có phân quyền và báo cáo cho phòng khám</t>
  </si>
  <si>
    <t>LV04-055</t>
  </si>
  <si>
    <t>Nền tảng quản lý phản hồi/đánh giá có phân quyền và báo cáo cho phòng khám</t>
  </si>
  <si>
    <t>LV04-056</t>
  </si>
  <si>
    <t>Nền tảng dashboard điều hành có phân quyền và báo cáo cho phòng khám</t>
  </si>
  <si>
    <t>LV04-057</t>
  </si>
  <si>
    <t>Nền tảng quản lý đa chi nhánh có phân quyền và báo cáo cho phòng khám</t>
  </si>
  <si>
    <t>LV04-058</t>
  </si>
  <si>
    <t>Nền tảng hệ thống phân quyền vai trò có phân quyền và báo cáo cho phòng khám</t>
  </si>
  <si>
    <t>LV04-059</t>
  </si>
  <si>
    <t>Nền tảng quản lý thông báo/nhắc lịch có phân quyền và báo cáo cho phòng khám</t>
  </si>
  <si>
    <t>LV04-060</t>
  </si>
  <si>
    <t>Nền tảng quản lý dữ liệu và import/export có phân quyền và báo cáo cho phòng khám</t>
  </si>
  <si>
    <t>LV04-061</t>
  </si>
  <si>
    <t>Phần mềm quản lý tổng thể tích hợp dashboard dữ liệu cho phòng khám</t>
  </si>
  <si>
    <t>LV04-062</t>
  </si>
  <si>
    <t>Phần mềm đặt lịch/đặt chỗ tích hợp dashboard dữ liệu cho phòng khám</t>
  </si>
  <si>
    <t>LV04-063</t>
  </si>
  <si>
    <t>Phần mềm bán hàng và thanh toán tích hợp dashboard dữ liệu cho phòng khám</t>
  </si>
  <si>
    <t>LV04-064</t>
  </si>
  <si>
    <t>Phần mềm quản lý khách hàng CRM tích hợp dashboard dữ liệu cho phòng khám</t>
  </si>
  <si>
    <t>LV04-065</t>
  </si>
  <si>
    <t>Phần mềm quản lý kho/tài sản tích hợp dashboard dữ liệu cho phòng khám</t>
  </si>
  <si>
    <t>LV04-066</t>
  </si>
  <si>
    <t>Phần mềm quản lý nhân sự và ca làm tích hợp dashboard dữ liệu cho phòng khám</t>
  </si>
  <si>
    <t>LV04-067</t>
  </si>
  <si>
    <t>Phần mềm quản lý hóa đơn/công nợ tích hợp dashboard dữ liệu cho phòng khám</t>
  </si>
  <si>
    <t>LV04-068</t>
  </si>
  <si>
    <t>Phần mềm báo cáo thống kê doanh thu tích hợp dashboard dữ liệu cho phòng khám</t>
  </si>
  <si>
    <t>LV04-069</t>
  </si>
  <si>
    <t>Phần mềm cổng chăm sóc khách hàng tích hợp dashboard dữ liệu cho phòng khám</t>
  </si>
  <si>
    <t>LV04-070</t>
  </si>
  <si>
    <t>Phần mềm ứng dụng loyalty/tích điểm tích hợp dashboard dữ liệu cho phòng khám</t>
  </si>
  <si>
    <t>LV04-071</t>
  </si>
  <si>
    <t>Phần mềm quản lý quy trình nghiệp vụ tích hợp dashboard dữ liệu cho phòng khám</t>
  </si>
  <si>
    <t>LV04-072</t>
  </si>
  <si>
    <t>Phần mềm theo dõi trạng thái thời gian thực tích hợp dashboard dữ liệu cho phòng khám</t>
  </si>
  <si>
    <t>LV04-073</t>
  </si>
  <si>
    <t>Phần mềm quản lý hợp đồng/hồ sơ tích hợp dashboard dữ liệu cho phòng khám</t>
  </si>
  <si>
    <t>LV04-074</t>
  </si>
  <si>
    <t>Phần mềm tìm kiếm và lọc nâng cao tích hợp dashboard dữ liệu cho phòng khám</t>
  </si>
  <si>
    <t>LV04-075</t>
  </si>
  <si>
    <t>Phần mềm quản lý phản hồi/đánh giá tích hợp dashboard dữ liệu cho phòng khám</t>
  </si>
  <si>
    <t>LV04-076</t>
  </si>
  <si>
    <t>Phần mềm dashboard điều hành tích hợp dashboard dữ liệu cho phòng khám</t>
  </si>
  <si>
    <t>LV04-077</t>
  </si>
  <si>
    <t>Phần mềm quản lý đa chi nhánh tích hợp dashboard dữ liệu cho phòng khám</t>
  </si>
  <si>
    <t>LV04-078</t>
  </si>
  <si>
    <t>Phần mềm hệ thống phân quyền vai trò tích hợp dashboard dữ liệu cho phòng khám</t>
  </si>
  <si>
    <t>LV04-079</t>
  </si>
  <si>
    <t>Phần mềm quản lý thông báo/nhắc lịch tích hợp dashboard dữ liệu cho phòng khám</t>
  </si>
  <si>
    <t>LV04-080</t>
  </si>
  <si>
    <t>Phần mềm quản lý dữ liệu và import/export tích hợp dashboard dữ liệu cho phòng khám</t>
  </si>
  <si>
    <t>LV04-081</t>
  </si>
  <si>
    <t>Hệ thống quản lý tổng thể có gợi ý AI: nhắc lịch tái khám cho phòng khám</t>
  </si>
  <si>
    <t>LV04-082</t>
  </si>
  <si>
    <t>Hệ thống đặt lịch/đặt chỗ có gợi ý AI: hỗ trợ gợi ý chuyên khoa cho phòng khám</t>
  </si>
  <si>
    <t>LV04-083</t>
  </si>
  <si>
    <t>Hệ thống bán hàng và thanh toán có gợi ý AI: phân loại triệu chứng cho phòng khám</t>
  </si>
  <si>
    <t>LV04-084</t>
  </si>
  <si>
    <t>Hệ thống quản lý khách hàng CRM có gợi ý AI: nhắc lịch tái khám cho phòng khám</t>
  </si>
  <si>
    <t>LV04-085</t>
  </si>
  <si>
    <t>Hệ thống quản lý kho/tài sản có gợi ý AI: hỗ trợ gợi ý chuyên khoa cho phòng khám</t>
  </si>
  <si>
    <t>LV04-086</t>
  </si>
  <si>
    <t>Hệ thống quản lý nhân sự và ca làm có gợi ý AI: phân loại triệu chứng cho phòng khám</t>
  </si>
  <si>
    <t>LV04-087</t>
  </si>
  <si>
    <t>Hệ thống quản lý hóa đơn/công nợ có gợi ý AI: nhắc lịch tái khám cho phòng khám</t>
  </si>
  <si>
    <t>LV04-088</t>
  </si>
  <si>
    <t>Hệ thống báo cáo thống kê doanh thu có gợi ý AI: hỗ trợ gợi ý chuyên khoa cho phòng khám</t>
  </si>
  <si>
    <t>LV04-089</t>
  </si>
  <si>
    <t>Hệ thống cổng chăm sóc khách hàng có gợi ý AI: phân loại triệu chứng cho phòng khám</t>
  </si>
  <si>
    <t>LV04-090</t>
  </si>
  <si>
    <t>Hệ thống ứng dụng loyalty/tích điểm có gợi ý AI: nhắc lịch tái khám cho phòng khám</t>
  </si>
  <si>
    <t>LV04-091</t>
  </si>
  <si>
    <t>Hệ thống quản lý quy trình nghiệp vụ có gợi ý AI: hỗ trợ gợi ý chuyên khoa cho phòng khám</t>
  </si>
  <si>
    <t>LV04-092</t>
  </si>
  <si>
    <t>Hệ thống theo dõi trạng thái thời gian thực có gợi ý AI: phân loại triệu chứng cho phòng khám</t>
  </si>
  <si>
    <t>LV04-093</t>
  </si>
  <si>
    <t>Hệ thống quản lý hợp đồng/hồ sơ có gợi ý AI: nhắc lịch tái khám cho phòng khám</t>
  </si>
  <si>
    <t>LV04-094</t>
  </si>
  <si>
    <t>Hệ thống tìm kiếm và lọc nâng cao có gợi ý AI: hỗ trợ gợi ý chuyên khoa cho phòng khám</t>
  </si>
  <si>
    <t>LV04-095</t>
  </si>
  <si>
    <t>Hệ thống quản lý phản hồi/đánh giá có gợi ý AI: phân loại triệu chứng cho phòng khám</t>
  </si>
  <si>
    <t>LV04-096</t>
  </si>
  <si>
    <t>Hệ thống dashboard điều hành có gợi ý AI: nhắc lịch tái khám cho phòng khám</t>
  </si>
  <si>
    <t>LV04-097</t>
  </si>
  <si>
    <t>Hệ thống quản lý đa chi nhánh có gợi ý AI: hỗ trợ gợi ý chuyên khoa cho phòng khám</t>
  </si>
  <si>
    <t>LV04-098</t>
  </si>
  <si>
    <t>Hệ thống hệ thống phân quyền vai trò có gợi ý AI: phân loại triệu chứng cho phòng khám</t>
  </si>
  <si>
    <t>LV04-099</t>
  </si>
  <si>
    <t>Hệ thống quản lý thông báo/nhắc lịch có gợi ý AI: nhắc lịch tái khám cho phòng khám</t>
  </si>
  <si>
    <t>LV04-100</t>
  </si>
  <si>
    <t>Hệ thống quản lý dữ liệu và import/export có gợi ý AI: hỗ trợ gợi ý chuyên khoa cho phòng khám</t>
  </si>
  <si>
    <t>Bệnh viện</t>
  </si>
  <si>
    <t>LV05-001</t>
  </si>
  <si>
    <t>Hệ thống quản lý tổng thể cho bệnh viện</t>
  </si>
  <si>
    <t>Đồ án 8 tuần cho nhóm 5 SV: xây dựng Website phục vụ bệnh viện; quản lý các thực thể chính: khoa phòng, bệnh nhân, xét nghiệm, viện phí; có CSDL, API, giao diện người dùng, báo cáo và kiểm thử.</t>
  </si>
  <si>
    <t>Đăng nhập phân quyền, CRUD, tìm kiếm/lọc, dashboard thống kê, import/export, báo cáo PDF/Excel, kiểm thử; nghiệp vụ trọng tâm: quản lý tổng thể; AI/ML gợi ý: ưu tiên cấp cứu.</t>
  </si>
  <si>
    <t>ưu tiên cấp cứu</t>
  </si>
  <si>
    <t>LV05-002</t>
  </si>
  <si>
    <t>Hệ thống đặt lịch/đặt chỗ cho bệnh viện</t>
  </si>
  <si>
    <t>Đồ án 8 tuần cho nhóm 5 SV: xây dựng Mobile App phục vụ bệnh viện; quản lý các thực thể chính: khoa phòng, bệnh nhân, xét nghiệm, viện phí; có CSDL, API, giao diện người dùng, báo cáo và kiểm thử.</t>
  </si>
  <si>
    <t>Đăng nhập phân quyền, CRUD, tìm kiếm/lọc, dashboard thống kê, import/export, báo cáo PDF/Excel, kiểm thử; nghiệp vụ trọng tâm: đặt lịch/đặt chỗ; AI/ML gợi ý: phân tích chỉ số xét nghiệm.</t>
  </si>
  <si>
    <t>phân tích chỉ số xét nghiệm</t>
  </si>
  <si>
    <t>LV05-003</t>
  </si>
  <si>
    <t>Hệ thống bán hàng và thanh toán cho bệnh viện</t>
  </si>
  <si>
    <t>Đồ án 8 tuần cho nhóm 5 SV: xây dựng Desktop App phục vụ bệnh viện; quản lý các thực thể chính: khoa phòng, bệnh nhân, xét nghiệm, viện phí; có CSDL, API, giao diện người dùng, báo cáo và kiểm thử.</t>
  </si>
  <si>
    <t>Đăng nhập phân quyền, CRUD, tìm kiếm/lọc, dashboard thống kê, import/export, báo cáo PDF/Excel, kiểm thử; nghiệp vụ trọng tâm: bán hàng và thanh toán; AI/ML gợi ý: dự báo quá tải.</t>
  </si>
  <si>
    <t>dự báo quá tải</t>
  </si>
  <si>
    <t>LV05-004</t>
  </si>
  <si>
    <t>Hệ thống quản lý khách hàng CRM cho bệnh viện</t>
  </si>
  <si>
    <t>Đồ án 8 tuần cho nhóm 5 SV: xây dựng Web + Mobile phục vụ bệnh viện; quản lý các thực thể chính: khoa phòng, bệnh nhân, xét nghiệm, viện phí; có CSDL, API, giao diện người dùng, báo cáo và kiểm thử.</t>
  </si>
  <si>
    <t>Đăng nhập phân quyền, CRUD, tìm kiếm/lọc, dashboard thống kê, import/export, báo cáo PDF/Excel, kiểm thử; nghiệp vụ trọng tâm: quản lý khách hàng CRM; AI/ML gợi ý: ưu tiên cấp cứu.</t>
  </si>
  <si>
    <t>LV05-005</t>
  </si>
  <si>
    <t>Hệ thống quản lý kho/tài sản cho bệnh viện</t>
  </si>
  <si>
    <t>Đồ án 8 tuần cho nhóm 5 SV: xây dựng Web + Desktop phục vụ bệnh viện; quản lý các thực thể chính: khoa phòng, bệnh nhân, xét nghiệm, viện phí; có CSDL, API, giao diện người dùng, báo cáo và kiểm thử.</t>
  </si>
  <si>
    <t>Đăng nhập phân quyền, CRUD, tìm kiếm/lọc, dashboard thống kê, import/export, báo cáo PDF/Excel, kiểm thử; nghiệp vụ trọng tâm: quản lý kho/tài sản; AI/ML gợi ý: phân tích chỉ số xét nghiệm.</t>
  </si>
  <si>
    <t>LV05-006</t>
  </si>
  <si>
    <t>Hệ thống quản lý nhân sự và ca làm cho bệnh viện</t>
  </si>
  <si>
    <t>Đăng nhập phân quyền, CRUD, tìm kiếm/lọc, dashboard thống kê, import/export, báo cáo PDF/Excel, kiểm thử; nghiệp vụ trọng tâm: quản lý nhân sự và ca làm; AI/ML gợi ý: dự báo quá tải.</t>
  </si>
  <si>
    <t>LV05-007</t>
  </si>
  <si>
    <t>Hệ thống quản lý hóa đơn/công nợ cho bệnh viện</t>
  </si>
  <si>
    <t>Đăng nhập phân quyền, CRUD, tìm kiếm/lọc, dashboard thống kê, import/export, báo cáo PDF/Excel, kiểm thử; nghiệp vụ trọng tâm: quản lý hóa đơn/công nợ; AI/ML gợi ý: ưu tiên cấp cứu.</t>
  </si>
  <si>
    <t>LV05-008</t>
  </si>
  <si>
    <t>Hệ thống báo cáo thống kê doanh thu cho bệnh viện</t>
  </si>
  <si>
    <t>Đăng nhập phân quyền, CRUD, tìm kiếm/lọc, dashboard thống kê, import/export, báo cáo PDF/Excel, kiểm thử; nghiệp vụ trọng tâm: báo cáo thống kê doanh thu; AI/ML gợi ý: phân tích chỉ số xét nghiệm.</t>
  </si>
  <si>
    <t>LV05-009</t>
  </si>
  <si>
    <t>Hệ thống cổng chăm sóc khách hàng cho bệnh viện</t>
  </si>
  <si>
    <t>Đăng nhập phân quyền, CRUD, tìm kiếm/lọc, dashboard thống kê, import/export, báo cáo PDF/Excel, kiểm thử; nghiệp vụ trọng tâm: cổng chăm sóc khách hàng; AI/ML gợi ý: dự báo quá tải.</t>
  </si>
  <si>
    <t>LV05-010</t>
  </si>
  <si>
    <t>Hệ thống ứng dụng loyalty/tích điểm cho bệnh viện</t>
  </si>
  <si>
    <t>Đăng nhập phân quyền, CRUD, tìm kiếm/lọc, dashboard thống kê, import/export, báo cáo PDF/Excel, kiểm thử; nghiệp vụ trọng tâm: ứng dụng loyalty/tích điểm; AI/ML gợi ý: ưu tiên cấp cứu.</t>
  </si>
  <si>
    <t>LV05-011</t>
  </si>
  <si>
    <t>Hệ thống quản lý quy trình nghiệp vụ cho bệnh viện</t>
  </si>
  <si>
    <t>Đăng nhập phân quyền, CRUD, tìm kiếm/lọc, dashboard thống kê, import/export, báo cáo PDF/Excel, kiểm thử; nghiệp vụ trọng tâm: quản lý quy trình nghiệp vụ; AI/ML gợi ý: phân tích chỉ số xét nghiệm.</t>
  </si>
  <si>
    <t>LV05-012</t>
  </si>
  <si>
    <t>Hệ thống theo dõi trạng thái thời gian thực cho bệnh viện</t>
  </si>
  <si>
    <t>Đăng nhập phân quyền, CRUD, tìm kiếm/lọc, dashboard thống kê, import/export, báo cáo PDF/Excel, kiểm thử; nghiệp vụ trọng tâm: theo dõi trạng thái thời gian thực; AI/ML gợi ý: dự báo quá tải.</t>
  </si>
  <si>
    <t>LV05-013</t>
  </si>
  <si>
    <t>Hệ thống quản lý hợp đồng/hồ sơ cho bệnh viện</t>
  </si>
  <si>
    <t>Đăng nhập phân quyền, CRUD, tìm kiếm/lọc, dashboard thống kê, import/export, báo cáo PDF/Excel, kiểm thử; nghiệp vụ trọng tâm: quản lý hợp đồng/hồ sơ; AI/ML gợi ý: ưu tiên cấp cứu.</t>
  </si>
  <si>
    <t>LV05-014</t>
  </si>
  <si>
    <t>Hệ thống tìm kiếm và lọc nâng cao cho bệnh viện</t>
  </si>
  <si>
    <t>Đăng nhập phân quyền, CRUD, tìm kiếm/lọc, dashboard thống kê, import/export, báo cáo PDF/Excel, kiểm thử; nghiệp vụ trọng tâm: tìm kiếm và lọc nâng cao; AI/ML gợi ý: phân tích chỉ số xét nghiệm.</t>
  </si>
  <si>
    <t>LV05-015</t>
  </si>
  <si>
    <t>Hệ thống quản lý phản hồi/đánh giá cho bệnh viện</t>
  </si>
  <si>
    <t>Đăng nhập phân quyền, CRUD, tìm kiếm/lọc, dashboard thống kê, import/export, báo cáo PDF/Excel, kiểm thử; nghiệp vụ trọng tâm: quản lý phản hồi/đánh giá; AI/ML gợi ý: dự báo quá tải.</t>
  </si>
  <si>
    <t>LV05-016</t>
  </si>
  <si>
    <t>Hệ thống dashboard điều hành cho bệnh viện</t>
  </si>
  <si>
    <t>Đăng nhập phân quyền, CRUD, tìm kiếm/lọc, dashboard thống kê, import/export, báo cáo PDF/Excel, kiểm thử; nghiệp vụ trọng tâm: dashboard điều hành; AI/ML gợi ý: ưu tiên cấp cứu.</t>
  </si>
  <si>
    <t>LV05-017</t>
  </si>
  <si>
    <t>Hệ thống quản lý đa chi nhánh cho bệnh viện</t>
  </si>
  <si>
    <t>Đăng nhập phân quyền, CRUD, tìm kiếm/lọc, dashboard thống kê, import/export, báo cáo PDF/Excel, kiểm thử; nghiệp vụ trọng tâm: quản lý đa chi nhánh; AI/ML gợi ý: phân tích chỉ số xét nghiệm.</t>
  </si>
  <si>
    <t>LV05-018</t>
  </si>
  <si>
    <t>Hệ thống hệ thống phân quyền vai trò cho bệnh viện</t>
  </si>
  <si>
    <t>Đăng nhập phân quyền, CRUD, tìm kiếm/lọc, dashboard thống kê, import/export, báo cáo PDF/Excel, kiểm thử; nghiệp vụ trọng tâm: hệ thống phân quyền vai trò; AI/ML gợi ý: dự báo quá tải.</t>
  </si>
  <si>
    <t>LV05-019</t>
  </si>
  <si>
    <t>Hệ thống quản lý thông báo/nhắc lịch cho bệnh viện</t>
  </si>
  <si>
    <t>Đăng nhập phân quyền, CRUD, tìm kiếm/lọc, dashboard thống kê, import/export, báo cáo PDF/Excel, kiểm thử; nghiệp vụ trọng tâm: quản lý thông báo/nhắc lịch; AI/ML gợi ý: ưu tiên cấp cứu.</t>
  </si>
  <si>
    <t>LV05-020</t>
  </si>
  <si>
    <t>Hệ thống quản lý dữ liệu và import/export cho bệnh viện</t>
  </si>
  <si>
    <t>Đăng nhập phân quyền, CRUD, tìm kiếm/lọc, dashboard thống kê, import/export, báo cáo PDF/Excel, kiểm thử; nghiệp vụ trọng tâm: quản lý dữ liệu và import/export; AI/ML gợi ý: phân tích chỉ số xét nghiệm.</t>
  </si>
  <si>
    <t>LV05-021</t>
  </si>
  <si>
    <t>Ứng dụng website hỗ trợ quản lý tổng thể trong bệnh viện</t>
  </si>
  <si>
    <t>LV05-022</t>
  </si>
  <si>
    <t>Ứng dụng mobile app hỗ trợ đặt lịch/đặt chỗ trong bệnh viện</t>
  </si>
  <si>
    <t>LV05-023</t>
  </si>
  <si>
    <t>Ứng dụng desktop app hỗ trợ bán hàng và thanh toán trong bệnh viện</t>
  </si>
  <si>
    <t>LV05-024</t>
  </si>
  <si>
    <t>Ứng dụng web + mobile hỗ trợ quản lý khách hàng CRM trong bệnh viện</t>
  </si>
  <si>
    <t>LV05-025</t>
  </si>
  <si>
    <t>Ứng dụng web + desktop hỗ trợ quản lý kho/tài sản trong bệnh viện</t>
  </si>
  <si>
    <t>LV05-026</t>
  </si>
  <si>
    <t>Ứng dụng website hỗ trợ quản lý nhân sự và ca làm trong bệnh viện</t>
  </si>
  <si>
    <t>LV05-027</t>
  </si>
  <si>
    <t>Ứng dụng mobile app hỗ trợ quản lý hóa đơn/công nợ trong bệnh viện</t>
  </si>
  <si>
    <t>LV05-028</t>
  </si>
  <si>
    <t>Ứng dụng desktop app hỗ trợ báo cáo thống kê doanh thu trong bệnh viện</t>
  </si>
  <si>
    <t>LV05-029</t>
  </si>
  <si>
    <t>Ứng dụng web + mobile hỗ trợ cổng chăm sóc khách hàng trong bệnh viện</t>
  </si>
  <si>
    <t>LV05-030</t>
  </si>
  <si>
    <t>Ứng dụng web + desktop hỗ trợ ứng dụng loyalty/tích điểm trong bệnh viện</t>
  </si>
  <si>
    <t>LV05-031</t>
  </si>
  <si>
    <t>Ứng dụng website hỗ trợ quản lý quy trình nghiệp vụ trong bệnh viện</t>
  </si>
  <si>
    <t>LV05-032</t>
  </si>
  <si>
    <t>Ứng dụng mobile app hỗ trợ theo dõi trạng thái thời gian thực trong bệnh viện</t>
  </si>
  <si>
    <t>LV05-033</t>
  </si>
  <si>
    <t>Ứng dụng desktop app hỗ trợ quản lý hợp đồng/hồ sơ trong bệnh viện</t>
  </si>
  <si>
    <t>LV05-034</t>
  </si>
  <si>
    <t>Ứng dụng web + mobile hỗ trợ tìm kiếm và lọc nâng cao trong bệnh viện</t>
  </si>
  <si>
    <t>LV05-035</t>
  </si>
  <si>
    <t>Ứng dụng web + desktop hỗ trợ quản lý phản hồi/đánh giá trong bệnh viện</t>
  </si>
  <si>
    <t>LV05-036</t>
  </si>
  <si>
    <t>Ứng dụng website hỗ trợ dashboard điều hành trong bệnh viện</t>
  </si>
  <si>
    <t>LV05-037</t>
  </si>
  <si>
    <t>Ứng dụng mobile app hỗ trợ quản lý đa chi nhánh trong bệnh viện</t>
  </si>
  <si>
    <t>LV05-038</t>
  </si>
  <si>
    <t>Ứng dụng desktop app hỗ trợ hệ thống phân quyền vai trò trong bệnh viện</t>
  </si>
  <si>
    <t>LV05-039</t>
  </si>
  <si>
    <t>Ứng dụng web + mobile hỗ trợ quản lý thông báo/nhắc lịch trong bệnh viện</t>
  </si>
  <si>
    <t>LV05-040</t>
  </si>
  <si>
    <t>Ứng dụng web + desktop hỗ trợ quản lý dữ liệu và import/export trong bệnh viện</t>
  </si>
  <si>
    <t>LV05-041</t>
  </si>
  <si>
    <t>Nền tảng quản lý tổng thể có phân quyền và báo cáo cho bệnh viện</t>
  </si>
  <si>
    <t>LV05-042</t>
  </si>
  <si>
    <t>Nền tảng đặt lịch/đặt chỗ có phân quyền và báo cáo cho bệnh viện</t>
  </si>
  <si>
    <t>LV05-043</t>
  </si>
  <si>
    <t>Nền tảng bán hàng và thanh toán có phân quyền và báo cáo cho bệnh viện</t>
  </si>
  <si>
    <t>LV05-044</t>
  </si>
  <si>
    <t>Nền tảng quản lý khách hàng CRM có phân quyền và báo cáo cho bệnh viện</t>
  </si>
  <si>
    <t>LV05-045</t>
  </si>
  <si>
    <t>Nền tảng quản lý kho/tài sản có phân quyền và báo cáo cho bệnh viện</t>
  </si>
  <si>
    <t>LV05-046</t>
  </si>
  <si>
    <t>Nền tảng quản lý nhân sự và ca làm có phân quyền và báo cáo cho bệnh viện</t>
  </si>
  <si>
    <t>LV05-047</t>
  </si>
  <si>
    <t>Nền tảng quản lý hóa đơn/công nợ có phân quyền và báo cáo cho bệnh viện</t>
  </si>
  <si>
    <t>LV05-048</t>
  </si>
  <si>
    <t>Nền tảng báo cáo thống kê doanh thu có phân quyền và báo cáo cho bệnh viện</t>
  </si>
  <si>
    <t>LV05-049</t>
  </si>
  <si>
    <t>Nền tảng cổng chăm sóc khách hàng có phân quyền và báo cáo cho bệnh viện</t>
  </si>
  <si>
    <t>LV05-050</t>
  </si>
  <si>
    <t>Nền tảng ứng dụng loyalty/tích điểm có phân quyền và báo cáo cho bệnh viện</t>
  </si>
  <si>
    <t>LV05-051</t>
  </si>
  <si>
    <t>Nền tảng quản lý quy trình nghiệp vụ có phân quyền và báo cáo cho bệnh viện</t>
  </si>
  <si>
    <t>LV05-052</t>
  </si>
  <si>
    <t>Nền tảng theo dõi trạng thái thời gian thực có phân quyền và báo cáo cho bệnh viện</t>
  </si>
  <si>
    <t>LV05-053</t>
  </si>
  <si>
    <t>Nền tảng quản lý hợp đồng/hồ sơ có phân quyền và báo cáo cho bệnh viện</t>
  </si>
  <si>
    <t>LV05-054</t>
  </si>
  <si>
    <t>Nền tảng tìm kiếm và lọc nâng cao có phân quyền và báo cáo cho bệnh viện</t>
  </si>
  <si>
    <t>LV05-055</t>
  </si>
  <si>
    <t>Nền tảng quản lý phản hồi/đánh giá có phân quyền và báo cáo cho bệnh viện</t>
  </si>
  <si>
    <t>LV05-056</t>
  </si>
  <si>
    <t>Nền tảng dashboard điều hành có phân quyền và báo cáo cho bệnh viện</t>
  </si>
  <si>
    <t>LV05-057</t>
  </si>
  <si>
    <t>Nền tảng quản lý đa chi nhánh có phân quyền và báo cáo cho bệnh viện</t>
  </si>
  <si>
    <t>LV05-058</t>
  </si>
  <si>
    <t>Nền tảng hệ thống phân quyền vai trò có phân quyền và báo cáo cho bệnh viện</t>
  </si>
  <si>
    <t>LV05-059</t>
  </si>
  <si>
    <t>Nền tảng quản lý thông báo/nhắc lịch có phân quyền và báo cáo cho bệnh viện</t>
  </si>
  <si>
    <t>LV05-060</t>
  </si>
  <si>
    <t>Nền tảng quản lý dữ liệu và import/export có phân quyền và báo cáo cho bệnh viện</t>
  </si>
  <si>
    <t>LV05-061</t>
  </si>
  <si>
    <t>Phần mềm quản lý tổng thể tích hợp dashboard dữ liệu cho bệnh viện</t>
  </si>
  <si>
    <t>LV05-062</t>
  </si>
  <si>
    <t>Phần mềm đặt lịch/đặt chỗ tích hợp dashboard dữ liệu cho bệnh viện</t>
  </si>
  <si>
    <t>LV05-063</t>
  </si>
  <si>
    <t>Phần mềm bán hàng và thanh toán tích hợp dashboard dữ liệu cho bệnh viện</t>
  </si>
  <si>
    <t>LV05-064</t>
  </si>
  <si>
    <t>Phần mềm quản lý khách hàng CRM tích hợp dashboard dữ liệu cho bệnh viện</t>
  </si>
  <si>
    <t>LV05-065</t>
  </si>
  <si>
    <t>Phần mềm quản lý kho/tài sản tích hợp dashboard dữ liệu cho bệnh viện</t>
  </si>
  <si>
    <t>LV05-066</t>
  </si>
  <si>
    <t>Phần mềm quản lý nhân sự và ca làm tích hợp dashboard dữ liệu cho bệnh viện</t>
  </si>
  <si>
    <t>LV05-067</t>
  </si>
  <si>
    <t>Phần mềm quản lý hóa đơn/công nợ tích hợp dashboard dữ liệu cho bệnh viện</t>
  </si>
  <si>
    <t>LV05-068</t>
  </si>
  <si>
    <t>Phần mềm báo cáo thống kê doanh thu tích hợp dashboard dữ liệu cho bệnh viện</t>
  </si>
  <si>
    <t>LV05-069</t>
  </si>
  <si>
    <t>Phần mềm cổng chăm sóc khách hàng tích hợp dashboard dữ liệu cho bệnh viện</t>
  </si>
  <si>
    <t>LV05-070</t>
  </si>
  <si>
    <t>Phần mềm ứng dụng loyalty/tích điểm tích hợp dashboard dữ liệu cho bệnh viện</t>
  </si>
  <si>
    <t>LV05-071</t>
  </si>
  <si>
    <t>Phần mềm quản lý quy trình nghiệp vụ tích hợp dashboard dữ liệu cho bệnh viện</t>
  </si>
  <si>
    <t>LV05-072</t>
  </si>
  <si>
    <t>Phần mềm theo dõi trạng thái thời gian thực tích hợp dashboard dữ liệu cho bệnh viện</t>
  </si>
  <si>
    <t>LV05-073</t>
  </si>
  <si>
    <t>Phần mềm quản lý hợp đồng/hồ sơ tích hợp dashboard dữ liệu cho bệnh viện</t>
  </si>
  <si>
    <t>LV05-074</t>
  </si>
  <si>
    <t>Phần mềm tìm kiếm và lọc nâng cao tích hợp dashboard dữ liệu cho bệnh viện</t>
  </si>
  <si>
    <t>LV05-075</t>
  </si>
  <si>
    <t>Phần mềm quản lý phản hồi/đánh giá tích hợp dashboard dữ liệu cho bệnh viện</t>
  </si>
  <si>
    <t>LV05-076</t>
  </si>
  <si>
    <t>Phần mềm dashboard điều hành tích hợp dashboard dữ liệu cho bệnh viện</t>
  </si>
  <si>
    <t>LV05-077</t>
  </si>
  <si>
    <t>Phần mềm quản lý đa chi nhánh tích hợp dashboard dữ liệu cho bệnh viện</t>
  </si>
  <si>
    <t>LV05-078</t>
  </si>
  <si>
    <t>Phần mềm hệ thống phân quyền vai trò tích hợp dashboard dữ liệu cho bệnh viện</t>
  </si>
  <si>
    <t>LV05-079</t>
  </si>
  <si>
    <t>Phần mềm quản lý thông báo/nhắc lịch tích hợp dashboard dữ liệu cho bệnh viện</t>
  </si>
  <si>
    <t>LV05-080</t>
  </si>
  <si>
    <t>Phần mềm quản lý dữ liệu và import/export tích hợp dashboard dữ liệu cho bệnh viện</t>
  </si>
  <si>
    <t>LV05-081</t>
  </si>
  <si>
    <t>Hệ thống quản lý tổng thể có gợi ý AI: ưu tiên cấp cứu cho bệnh viện</t>
  </si>
  <si>
    <t>LV05-082</t>
  </si>
  <si>
    <t>Hệ thống đặt lịch/đặt chỗ có gợi ý AI: phân tích chỉ số xét nghiệm cho bệnh viện</t>
  </si>
  <si>
    <t>LV05-083</t>
  </si>
  <si>
    <t>Hệ thống bán hàng và thanh toán có gợi ý AI: dự báo quá tải cho bệnh viện</t>
  </si>
  <si>
    <t>LV05-084</t>
  </si>
  <si>
    <t>Hệ thống quản lý khách hàng CRM có gợi ý AI: ưu tiên cấp cứu cho bệnh viện</t>
  </si>
  <si>
    <t>LV05-085</t>
  </si>
  <si>
    <t>Hệ thống quản lý kho/tài sản có gợi ý AI: phân tích chỉ số xét nghiệm cho bệnh viện</t>
  </si>
  <si>
    <t>LV05-086</t>
  </si>
  <si>
    <t>Hệ thống quản lý nhân sự và ca làm có gợi ý AI: dự báo quá tải cho bệnh viện</t>
  </si>
  <si>
    <t>LV05-087</t>
  </si>
  <si>
    <t>Hệ thống quản lý hóa đơn/công nợ có gợi ý AI: ưu tiên cấp cứu cho bệnh viện</t>
  </si>
  <si>
    <t>LV05-088</t>
  </si>
  <si>
    <t>Hệ thống báo cáo thống kê doanh thu có gợi ý AI: phân tích chỉ số xét nghiệm cho bệnh viện</t>
  </si>
  <si>
    <t>LV05-089</t>
  </si>
  <si>
    <t>Hệ thống cổng chăm sóc khách hàng có gợi ý AI: dự báo quá tải cho bệnh viện</t>
  </si>
  <si>
    <t>LV05-090</t>
  </si>
  <si>
    <t>Hệ thống ứng dụng loyalty/tích điểm có gợi ý AI: ưu tiên cấp cứu cho bệnh viện</t>
  </si>
  <si>
    <t>LV05-091</t>
  </si>
  <si>
    <t>Hệ thống quản lý quy trình nghiệp vụ có gợi ý AI: phân tích chỉ số xét nghiệm cho bệnh viện</t>
  </si>
  <si>
    <t>LV05-092</t>
  </si>
  <si>
    <t>Hệ thống theo dõi trạng thái thời gian thực có gợi ý AI: dự báo quá tải cho bệnh viện</t>
  </si>
  <si>
    <t>LV05-093</t>
  </si>
  <si>
    <t>Hệ thống quản lý hợp đồng/hồ sơ có gợi ý AI: ưu tiên cấp cứu cho bệnh viện</t>
  </si>
  <si>
    <t>LV05-094</t>
  </si>
  <si>
    <t>Hệ thống tìm kiếm và lọc nâng cao có gợi ý AI: phân tích chỉ số xét nghiệm cho bệnh viện</t>
  </si>
  <si>
    <t>LV05-095</t>
  </si>
  <si>
    <t>Hệ thống quản lý phản hồi/đánh giá có gợi ý AI: dự báo quá tải cho bệnh viện</t>
  </si>
  <si>
    <t>LV05-096</t>
  </si>
  <si>
    <t>Hệ thống dashboard điều hành có gợi ý AI: ưu tiên cấp cứu cho bệnh viện</t>
  </si>
  <si>
    <t>LV05-097</t>
  </si>
  <si>
    <t>Hệ thống quản lý đa chi nhánh có gợi ý AI: phân tích chỉ số xét nghiệm cho bệnh viện</t>
  </si>
  <si>
    <t>LV05-098</t>
  </si>
  <si>
    <t>Hệ thống hệ thống phân quyền vai trò có gợi ý AI: dự báo quá tải cho bệnh viện</t>
  </si>
  <si>
    <t>LV05-099</t>
  </si>
  <si>
    <t>Hệ thống quản lý thông báo/nhắc lịch có gợi ý AI: ưu tiên cấp cứu cho bệnh viện</t>
  </si>
  <si>
    <t>LV05-100</t>
  </si>
  <si>
    <t>Hệ thống quản lý dữ liệu và import/export có gợi ý AI: phân tích chỉ số xét nghiệm cho bệnh viện</t>
  </si>
  <si>
    <t>Nha khoa</t>
  </si>
  <si>
    <t>LV06-001</t>
  </si>
  <si>
    <t>Hệ thống quản lý tổng thể cho phòng khám nha khoa</t>
  </si>
  <si>
    <t>Đồ án 8 tuần cho nhóm 5 SV: xây dựng Mobile App phục vụ phòng khám nha khoa; quản lý các thực thể chính: bệnh nhân, lịch hẹn, phác đồ điều trị, vật tư; có CSDL, API, giao diện người dùng, báo cáo và kiểm thử.</t>
  </si>
  <si>
    <t>Đăng nhập phân quyền, CRUD, tìm kiếm/lọc, dashboard thống kê, import/export, báo cáo PDF/Excel, kiểm thử; nghiệp vụ trọng tâm: quản lý tổng thể; AI/ML gợi ý: gợi ý gói chăm sóc.</t>
  </si>
  <si>
    <t>gợi ý gói chăm sóc</t>
  </si>
  <si>
    <t>LV06-002</t>
  </si>
  <si>
    <t>Hệ thống đặt lịch/đặt chỗ cho phòng khám nha khoa</t>
  </si>
  <si>
    <t>Đồ án 8 tuần cho nhóm 5 SV: xây dựng Desktop App phục vụ phòng khám nha khoa; quản lý các thực thể chính: bệnh nhân, lịch hẹn, phác đồ điều trị, vật tư; có CSDL, API, giao diện người dùng, báo cáo và kiểm thử.</t>
  </si>
  <si>
    <t>Đăng nhập phân quyền, CRUD, tìm kiếm/lọc, dashboard thống kê, import/export, báo cáo PDF/Excel, kiểm thử; nghiệp vụ trọng tâm: đặt lịch/đặt chỗ; AI/ML gợi ý: phân tích doanh thu dịch vụ.</t>
  </si>
  <si>
    <t>phân tích doanh thu dịch vụ</t>
  </si>
  <si>
    <t>LV06-003</t>
  </si>
  <si>
    <t>Hệ thống bán hàng và thanh toán cho phòng khám nha khoa</t>
  </si>
  <si>
    <t>Đồ án 8 tuần cho nhóm 5 SV: xây dựng Web + Mobile phục vụ phòng khám nha khoa; quản lý các thực thể chính: bệnh nhân, lịch hẹn, phác đồ điều trị, vật tư; có CSDL, API, giao diện người dùng, báo cáo và kiểm thử.</t>
  </si>
  <si>
    <t>Đăng nhập phân quyền, CRUD, tìm kiếm/lọc, dashboard thống kê, import/export, báo cáo PDF/Excel, kiểm thử; nghiệp vụ trọng tâm: bán hàng và thanh toán; AI/ML gợi ý: nhắc lịch điều trị.</t>
  </si>
  <si>
    <t>nhắc lịch điều trị</t>
  </si>
  <si>
    <t>LV06-004</t>
  </si>
  <si>
    <t>Hệ thống quản lý khách hàng CRM cho phòng khám nha khoa</t>
  </si>
  <si>
    <t>Đồ án 8 tuần cho nhóm 5 SV: xây dựng Web + Desktop phục vụ phòng khám nha khoa; quản lý các thực thể chính: bệnh nhân, lịch hẹn, phác đồ điều trị, vật tư; có CSDL, API, giao diện người dùng, báo cáo và kiểm thử.</t>
  </si>
  <si>
    <t>Đăng nhập phân quyền, CRUD, tìm kiếm/lọc, dashboard thống kê, import/export, báo cáo PDF/Excel, kiểm thử; nghiệp vụ trọng tâm: quản lý khách hàng CRM; AI/ML gợi ý: gợi ý gói chăm sóc.</t>
  </si>
  <si>
    <t>LV06-005</t>
  </si>
  <si>
    <t>Hệ thống quản lý kho/tài sản cho phòng khám nha khoa</t>
  </si>
  <si>
    <t>Đồ án 8 tuần cho nhóm 5 SV: xây dựng Website phục vụ phòng khám nha khoa; quản lý các thực thể chính: bệnh nhân, lịch hẹn, phác đồ điều trị, vật tư; có CSDL, API, giao diện người dùng, báo cáo và kiểm thử.</t>
  </si>
  <si>
    <t>Đăng nhập phân quyền, CRUD, tìm kiếm/lọc, dashboard thống kê, import/export, báo cáo PDF/Excel, kiểm thử; nghiệp vụ trọng tâm: quản lý kho/tài sản; AI/ML gợi ý: phân tích doanh thu dịch vụ.</t>
  </si>
  <si>
    <t>LV06-006</t>
  </si>
  <si>
    <t>Hệ thống quản lý nhân sự và ca làm cho phòng khám nha khoa</t>
  </si>
  <si>
    <t>Đăng nhập phân quyền, CRUD, tìm kiếm/lọc, dashboard thống kê, import/export, báo cáo PDF/Excel, kiểm thử; nghiệp vụ trọng tâm: quản lý nhân sự và ca làm; AI/ML gợi ý: nhắc lịch điều trị.</t>
  </si>
  <si>
    <t>LV06-007</t>
  </si>
  <si>
    <t>Hệ thống quản lý hóa đơn/công nợ cho phòng khám nha khoa</t>
  </si>
  <si>
    <t>Đăng nhập phân quyền, CRUD, tìm kiếm/lọc, dashboard thống kê, import/export, báo cáo PDF/Excel, kiểm thử; nghiệp vụ trọng tâm: quản lý hóa đơn/công nợ; AI/ML gợi ý: gợi ý gói chăm sóc.</t>
  </si>
  <si>
    <t>LV06-008</t>
  </si>
  <si>
    <t>Hệ thống báo cáo thống kê doanh thu cho phòng khám nha khoa</t>
  </si>
  <si>
    <t>Đăng nhập phân quyền, CRUD, tìm kiếm/lọc, dashboard thống kê, import/export, báo cáo PDF/Excel, kiểm thử; nghiệp vụ trọng tâm: báo cáo thống kê doanh thu; AI/ML gợi ý: phân tích doanh thu dịch vụ.</t>
  </si>
  <si>
    <t>LV06-009</t>
  </si>
  <si>
    <t>Hệ thống cổng chăm sóc khách hàng cho phòng khám nha khoa</t>
  </si>
  <si>
    <t>Đăng nhập phân quyền, CRUD, tìm kiếm/lọc, dashboard thống kê, import/export, báo cáo PDF/Excel, kiểm thử; nghiệp vụ trọng tâm: cổng chăm sóc khách hàng; AI/ML gợi ý: nhắc lịch điều trị.</t>
  </si>
  <si>
    <t>LV06-010</t>
  </si>
  <si>
    <t>Hệ thống ứng dụng loyalty/tích điểm cho phòng khám nha khoa</t>
  </si>
  <si>
    <t>Đăng nhập phân quyền, CRUD, tìm kiếm/lọc, dashboard thống kê, import/export, báo cáo PDF/Excel, kiểm thử; nghiệp vụ trọng tâm: ứng dụng loyalty/tích điểm; AI/ML gợi ý: gợi ý gói chăm sóc.</t>
  </si>
  <si>
    <t>LV06-011</t>
  </si>
  <si>
    <t>Hệ thống quản lý quy trình nghiệp vụ cho phòng khám nha khoa</t>
  </si>
  <si>
    <t>Đăng nhập phân quyền, CRUD, tìm kiếm/lọc, dashboard thống kê, import/export, báo cáo PDF/Excel, kiểm thử; nghiệp vụ trọng tâm: quản lý quy trình nghiệp vụ; AI/ML gợi ý: phân tích doanh thu dịch vụ.</t>
  </si>
  <si>
    <t>LV06-012</t>
  </si>
  <si>
    <t>Hệ thống theo dõi trạng thái thời gian thực cho phòng khám nha khoa</t>
  </si>
  <si>
    <t>Đăng nhập phân quyền, CRUD, tìm kiếm/lọc, dashboard thống kê, import/export, báo cáo PDF/Excel, kiểm thử; nghiệp vụ trọng tâm: theo dõi trạng thái thời gian thực; AI/ML gợi ý: nhắc lịch điều trị.</t>
  </si>
  <si>
    <t>LV06-013</t>
  </si>
  <si>
    <t>Hệ thống quản lý hợp đồng/hồ sơ cho phòng khám nha khoa</t>
  </si>
  <si>
    <t>Đăng nhập phân quyền, CRUD, tìm kiếm/lọc, dashboard thống kê, import/export, báo cáo PDF/Excel, kiểm thử; nghiệp vụ trọng tâm: quản lý hợp đồng/hồ sơ; AI/ML gợi ý: gợi ý gói chăm sóc.</t>
  </si>
  <si>
    <t>LV06-014</t>
  </si>
  <si>
    <t>Hệ thống tìm kiếm và lọc nâng cao cho phòng khám nha khoa</t>
  </si>
  <si>
    <t>Đăng nhập phân quyền, CRUD, tìm kiếm/lọc, dashboard thống kê, import/export, báo cáo PDF/Excel, kiểm thử; nghiệp vụ trọng tâm: tìm kiếm và lọc nâng cao; AI/ML gợi ý: phân tích doanh thu dịch vụ.</t>
  </si>
  <si>
    <t>LV06-015</t>
  </si>
  <si>
    <t>Hệ thống quản lý phản hồi/đánh giá cho phòng khám nha khoa</t>
  </si>
  <si>
    <t>Đăng nhập phân quyền, CRUD, tìm kiếm/lọc, dashboard thống kê, import/export, báo cáo PDF/Excel, kiểm thử; nghiệp vụ trọng tâm: quản lý phản hồi/đánh giá; AI/ML gợi ý: nhắc lịch điều trị.</t>
  </si>
  <si>
    <t>LV06-016</t>
  </si>
  <si>
    <t>Hệ thống dashboard điều hành cho phòng khám nha khoa</t>
  </si>
  <si>
    <t>Đăng nhập phân quyền, CRUD, tìm kiếm/lọc, dashboard thống kê, import/export, báo cáo PDF/Excel, kiểm thử; nghiệp vụ trọng tâm: dashboard điều hành; AI/ML gợi ý: gợi ý gói chăm sóc.</t>
  </si>
  <si>
    <t>LV06-017</t>
  </si>
  <si>
    <t>Hệ thống quản lý đa chi nhánh cho phòng khám nha khoa</t>
  </si>
  <si>
    <t>Đăng nhập phân quyền, CRUD, tìm kiếm/lọc, dashboard thống kê, import/export, báo cáo PDF/Excel, kiểm thử; nghiệp vụ trọng tâm: quản lý đa chi nhánh; AI/ML gợi ý: phân tích doanh thu dịch vụ.</t>
  </si>
  <si>
    <t>LV06-018</t>
  </si>
  <si>
    <t>Hệ thống hệ thống phân quyền vai trò cho phòng khám nha khoa</t>
  </si>
  <si>
    <t>Đăng nhập phân quyền, CRUD, tìm kiếm/lọc, dashboard thống kê, import/export, báo cáo PDF/Excel, kiểm thử; nghiệp vụ trọng tâm: hệ thống phân quyền vai trò; AI/ML gợi ý: nhắc lịch điều trị.</t>
  </si>
  <si>
    <t>LV06-019</t>
  </si>
  <si>
    <t>Hệ thống quản lý thông báo/nhắc lịch cho phòng khám nha khoa</t>
  </si>
  <si>
    <t>Đăng nhập phân quyền, CRUD, tìm kiếm/lọc, dashboard thống kê, import/export, báo cáo PDF/Excel, kiểm thử; nghiệp vụ trọng tâm: quản lý thông báo/nhắc lịch; AI/ML gợi ý: gợi ý gói chăm sóc.</t>
  </si>
  <si>
    <t>LV06-020</t>
  </si>
  <si>
    <t>Hệ thống quản lý dữ liệu và import/export cho phòng khám nha khoa</t>
  </si>
  <si>
    <t>Đăng nhập phân quyền, CRUD, tìm kiếm/lọc, dashboard thống kê, import/export, báo cáo PDF/Excel, kiểm thử; nghiệp vụ trọng tâm: quản lý dữ liệu và import/export; AI/ML gợi ý: phân tích doanh thu dịch vụ.</t>
  </si>
  <si>
    <t>LV06-021</t>
  </si>
  <si>
    <t>Ứng dụng mobile app hỗ trợ quản lý tổng thể trong nha khoa</t>
  </si>
  <si>
    <t>LV06-022</t>
  </si>
  <si>
    <t>Ứng dụng desktop app hỗ trợ đặt lịch/đặt chỗ trong nha khoa</t>
  </si>
  <si>
    <t>LV06-023</t>
  </si>
  <si>
    <t>Ứng dụng web + mobile hỗ trợ bán hàng và thanh toán trong nha khoa</t>
  </si>
  <si>
    <t>LV06-024</t>
  </si>
  <si>
    <t>Ứng dụng web + desktop hỗ trợ quản lý khách hàng CRM trong nha khoa</t>
  </si>
  <si>
    <t>LV06-025</t>
  </si>
  <si>
    <t>Ứng dụng website hỗ trợ quản lý kho/tài sản trong nha khoa</t>
  </si>
  <si>
    <t>LV06-026</t>
  </si>
  <si>
    <t>Ứng dụng mobile app hỗ trợ quản lý nhân sự và ca làm trong nha khoa</t>
  </si>
  <si>
    <t>LV06-027</t>
  </si>
  <si>
    <t>Ứng dụng desktop app hỗ trợ quản lý hóa đơn/công nợ trong nha khoa</t>
  </si>
  <si>
    <t>LV06-028</t>
  </si>
  <si>
    <t>Ứng dụng web + mobile hỗ trợ báo cáo thống kê doanh thu trong nha khoa</t>
  </si>
  <si>
    <t>LV06-029</t>
  </si>
  <si>
    <t>Ứng dụng web + desktop hỗ trợ cổng chăm sóc khách hàng trong nha khoa</t>
  </si>
  <si>
    <t>LV06-030</t>
  </si>
  <si>
    <t>Ứng dụng website hỗ trợ ứng dụng loyalty/tích điểm trong nha khoa</t>
  </si>
  <si>
    <t>LV06-031</t>
  </si>
  <si>
    <t>Ứng dụng mobile app hỗ trợ quản lý quy trình nghiệp vụ trong nha khoa</t>
  </si>
  <si>
    <t>LV06-032</t>
  </si>
  <si>
    <t>Ứng dụng desktop app hỗ trợ theo dõi trạng thái thời gian thực trong nha khoa</t>
  </si>
  <si>
    <t>LV06-033</t>
  </si>
  <si>
    <t>Ứng dụng web + mobile hỗ trợ quản lý hợp đồng/hồ sơ trong nha khoa</t>
  </si>
  <si>
    <t>LV06-034</t>
  </si>
  <si>
    <t>Ứng dụng web + desktop hỗ trợ tìm kiếm và lọc nâng cao trong nha khoa</t>
  </si>
  <si>
    <t>LV06-035</t>
  </si>
  <si>
    <t>Ứng dụng website hỗ trợ quản lý phản hồi/đánh giá trong nha khoa</t>
  </si>
  <si>
    <t>LV06-036</t>
  </si>
  <si>
    <t>Ứng dụng mobile app hỗ trợ dashboard điều hành trong nha khoa</t>
  </si>
  <si>
    <t>LV06-037</t>
  </si>
  <si>
    <t>Ứng dụng desktop app hỗ trợ quản lý đa chi nhánh trong nha khoa</t>
  </si>
  <si>
    <t>LV06-038</t>
  </si>
  <si>
    <t>Ứng dụng web + mobile hỗ trợ hệ thống phân quyền vai trò trong nha khoa</t>
  </si>
  <si>
    <t>LV06-039</t>
  </si>
  <si>
    <t>Ứng dụng web + desktop hỗ trợ quản lý thông báo/nhắc lịch trong nha khoa</t>
  </si>
  <si>
    <t>LV06-040</t>
  </si>
  <si>
    <t>Ứng dụng website hỗ trợ quản lý dữ liệu và import/export trong nha khoa</t>
  </si>
  <si>
    <t>LV06-041</t>
  </si>
  <si>
    <t>Nền tảng quản lý tổng thể có phân quyền và báo cáo cho phòng khám nha khoa</t>
  </si>
  <si>
    <t>LV06-042</t>
  </si>
  <si>
    <t>Nền tảng đặt lịch/đặt chỗ có phân quyền và báo cáo cho phòng khám nha khoa</t>
  </si>
  <si>
    <t>LV06-043</t>
  </si>
  <si>
    <t>Nền tảng bán hàng và thanh toán có phân quyền và báo cáo cho phòng khám nha khoa</t>
  </si>
  <si>
    <t>LV06-044</t>
  </si>
  <si>
    <t>Nền tảng quản lý khách hàng CRM có phân quyền và báo cáo cho phòng khám nha khoa</t>
  </si>
  <si>
    <t>LV06-045</t>
  </si>
  <si>
    <t>Nền tảng quản lý kho/tài sản có phân quyền và báo cáo cho phòng khám nha khoa</t>
  </si>
  <si>
    <t>LV06-046</t>
  </si>
  <si>
    <t>Nền tảng quản lý nhân sự và ca làm có phân quyền và báo cáo cho phòng khám nha khoa</t>
  </si>
  <si>
    <t>LV06-047</t>
  </si>
  <si>
    <t>Nền tảng quản lý hóa đơn/công nợ có phân quyền và báo cáo cho phòng khám nha khoa</t>
  </si>
  <si>
    <t>LV06-048</t>
  </si>
  <si>
    <t>Nền tảng báo cáo thống kê doanh thu có phân quyền và báo cáo cho phòng khám nha khoa</t>
  </si>
  <si>
    <t>LV06-049</t>
  </si>
  <si>
    <t>Nền tảng cổng chăm sóc khách hàng có phân quyền và báo cáo cho phòng khám nha khoa</t>
  </si>
  <si>
    <t>LV06-050</t>
  </si>
  <si>
    <t>Nền tảng ứng dụng loyalty/tích điểm có phân quyền và báo cáo cho phòng khám nha khoa</t>
  </si>
  <si>
    <t>LV06-051</t>
  </si>
  <si>
    <t>Nền tảng quản lý quy trình nghiệp vụ có phân quyền và báo cáo cho phòng khám nha khoa</t>
  </si>
  <si>
    <t>LV06-052</t>
  </si>
  <si>
    <t>Nền tảng theo dõi trạng thái thời gian thực có phân quyền và báo cáo cho phòng khám nha khoa</t>
  </si>
  <si>
    <t>LV06-053</t>
  </si>
  <si>
    <t>Nền tảng quản lý hợp đồng/hồ sơ có phân quyền và báo cáo cho phòng khám nha khoa</t>
  </si>
  <si>
    <t>LV06-054</t>
  </si>
  <si>
    <t>Nền tảng tìm kiếm và lọc nâng cao có phân quyền và báo cáo cho phòng khám nha khoa</t>
  </si>
  <si>
    <t>LV06-055</t>
  </si>
  <si>
    <t>Nền tảng quản lý phản hồi/đánh giá có phân quyền và báo cáo cho phòng khám nha khoa</t>
  </si>
  <si>
    <t>LV06-056</t>
  </si>
  <si>
    <t>Nền tảng dashboard điều hành có phân quyền và báo cáo cho phòng khám nha khoa</t>
  </si>
  <si>
    <t>LV06-057</t>
  </si>
  <si>
    <t>Nền tảng quản lý đa chi nhánh có phân quyền và báo cáo cho phòng khám nha khoa</t>
  </si>
  <si>
    <t>LV06-058</t>
  </si>
  <si>
    <t>Nền tảng hệ thống phân quyền vai trò có phân quyền và báo cáo cho phòng khám nha khoa</t>
  </si>
  <si>
    <t>LV06-059</t>
  </si>
  <si>
    <t>Nền tảng quản lý thông báo/nhắc lịch có phân quyền và báo cáo cho phòng khám nha khoa</t>
  </si>
  <si>
    <t>LV06-060</t>
  </si>
  <si>
    <t>Nền tảng quản lý dữ liệu và import/export có phân quyền và báo cáo cho phòng khám nha khoa</t>
  </si>
  <si>
    <t>LV06-061</t>
  </si>
  <si>
    <t>Phần mềm quản lý tổng thể tích hợp dashboard dữ liệu cho nha khoa</t>
  </si>
  <si>
    <t>LV06-062</t>
  </si>
  <si>
    <t>Phần mềm đặt lịch/đặt chỗ tích hợp dashboard dữ liệu cho nha khoa</t>
  </si>
  <si>
    <t>LV06-063</t>
  </si>
  <si>
    <t>Phần mềm bán hàng và thanh toán tích hợp dashboard dữ liệu cho nha khoa</t>
  </si>
  <si>
    <t>LV06-064</t>
  </si>
  <si>
    <t>Phần mềm quản lý khách hàng CRM tích hợp dashboard dữ liệu cho nha khoa</t>
  </si>
  <si>
    <t>LV06-065</t>
  </si>
  <si>
    <t>Phần mềm quản lý kho/tài sản tích hợp dashboard dữ liệu cho nha khoa</t>
  </si>
  <si>
    <t>LV06-066</t>
  </si>
  <si>
    <t>Phần mềm quản lý nhân sự và ca làm tích hợp dashboard dữ liệu cho nha khoa</t>
  </si>
  <si>
    <t>LV06-067</t>
  </si>
  <si>
    <t>Phần mềm quản lý hóa đơn/công nợ tích hợp dashboard dữ liệu cho nha khoa</t>
  </si>
  <si>
    <t>LV06-068</t>
  </si>
  <si>
    <t>Phần mềm báo cáo thống kê doanh thu tích hợp dashboard dữ liệu cho nha khoa</t>
  </si>
  <si>
    <t>LV06-069</t>
  </si>
  <si>
    <t>Phần mềm cổng chăm sóc khách hàng tích hợp dashboard dữ liệu cho nha khoa</t>
  </si>
  <si>
    <t>LV06-070</t>
  </si>
  <si>
    <t>Phần mềm ứng dụng loyalty/tích điểm tích hợp dashboard dữ liệu cho nha khoa</t>
  </si>
  <si>
    <t>LV06-071</t>
  </si>
  <si>
    <t>Phần mềm quản lý quy trình nghiệp vụ tích hợp dashboard dữ liệu cho nha khoa</t>
  </si>
  <si>
    <t>LV06-072</t>
  </si>
  <si>
    <t>Phần mềm theo dõi trạng thái thời gian thực tích hợp dashboard dữ liệu cho nha khoa</t>
  </si>
  <si>
    <t>LV06-073</t>
  </si>
  <si>
    <t>Phần mềm quản lý hợp đồng/hồ sơ tích hợp dashboard dữ liệu cho nha khoa</t>
  </si>
  <si>
    <t>LV06-074</t>
  </si>
  <si>
    <t>Phần mềm tìm kiếm và lọc nâng cao tích hợp dashboard dữ liệu cho nha khoa</t>
  </si>
  <si>
    <t>LV06-075</t>
  </si>
  <si>
    <t>Phần mềm quản lý phản hồi/đánh giá tích hợp dashboard dữ liệu cho nha khoa</t>
  </si>
  <si>
    <t>LV06-076</t>
  </si>
  <si>
    <t>Phần mềm dashboard điều hành tích hợp dashboard dữ liệu cho nha khoa</t>
  </si>
  <si>
    <t>LV06-077</t>
  </si>
  <si>
    <t>Phần mềm quản lý đa chi nhánh tích hợp dashboard dữ liệu cho nha khoa</t>
  </si>
  <si>
    <t>LV06-078</t>
  </si>
  <si>
    <t>Phần mềm hệ thống phân quyền vai trò tích hợp dashboard dữ liệu cho nha khoa</t>
  </si>
  <si>
    <t>LV06-079</t>
  </si>
  <si>
    <t>Phần mềm quản lý thông báo/nhắc lịch tích hợp dashboard dữ liệu cho nha khoa</t>
  </si>
  <si>
    <t>LV06-080</t>
  </si>
  <si>
    <t>Phần mềm quản lý dữ liệu và import/export tích hợp dashboard dữ liệu cho nha khoa</t>
  </si>
  <si>
    <t>LV06-081</t>
  </si>
  <si>
    <t>Hệ thống quản lý tổng thể có gợi ý AI: gợi ý gói chăm sóc cho phòng khám nha khoa</t>
  </si>
  <si>
    <t>LV06-082</t>
  </si>
  <si>
    <t>Hệ thống đặt lịch/đặt chỗ có gợi ý AI: phân tích doanh thu dịch vụ cho phòng khám nha khoa</t>
  </si>
  <si>
    <t>LV06-083</t>
  </si>
  <si>
    <t>Hệ thống bán hàng và thanh toán có gợi ý AI: nhắc lịch điều trị cho phòng khám nha khoa</t>
  </si>
  <si>
    <t>LV06-084</t>
  </si>
  <si>
    <t>Hệ thống quản lý khách hàng CRM có gợi ý AI: gợi ý gói chăm sóc cho phòng khám nha khoa</t>
  </si>
  <si>
    <t>LV06-085</t>
  </si>
  <si>
    <t>Hệ thống quản lý kho/tài sản có gợi ý AI: phân tích doanh thu dịch vụ cho phòng khám nha khoa</t>
  </si>
  <si>
    <t>LV06-086</t>
  </si>
  <si>
    <t>Hệ thống quản lý nhân sự và ca làm có gợi ý AI: nhắc lịch điều trị cho phòng khám nha khoa</t>
  </si>
  <si>
    <t>LV06-087</t>
  </si>
  <si>
    <t>Hệ thống quản lý hóa đơn/công nợ có gợi ý AI: gợi ý gói chăm sóc cho phòng khám nha khoa</t>
  </si>
  <si>
    <t>LV06-088</t>
  </si>
  <si>
    <t>Hệ thống báo cáo thống kê doanh thu có gợi ý AI: phân tích doanh thu dịch vụ cho phòng khám nha khoa</t>
  </si>
  <si>
    <t>LV06-089</t>
  </si>
  <si>
    <t>Hệ thống cổng chăm sóc khách hàng có gợi ý AI: nhắc lịch điều trị cho phòng khám nha khoa</t>
  </si>
  <si>
    <t>LV06-090</t>
  </si>
  <si>
    <t>Hệ thống ứng dụng loyalty/tích điểm có gợi ý AI: gợi ý gói chăm sóc cho phòng khám nha khoa</t>
  </si>
  <si>
    <t>LV06-091</t>
  </si>
  <si>
    <t>Hệ thống quản lý quy trình nghiệp vụ có gợi ý AI: phân tích doanh thu dịch vụ cho phòng khám nha khoa</t>
  </si>
  <si>
    <t>LV06-092</t>
  </si>
  <si>
    <t>Hệ thống theo dõi trạng thái thời gian thực có gợi ý AI: nhắc lịch điều trị cho phòng khám nha khoa</t>
  </si>
  <si>
    <t>LV06-093</t>
  </si>
  <si>
    <t>Hệ thống quản lý hợp đồng/hồ sơ có gợi ý AI: gợi ý gói chăm sóc cho phòng khám nha khoa</t>
  </si>
  <si>
    <t>LV06-094</t>
  </si>
  <si>
    <t>Hệ thống tìm kiếm và lọc nâng cao có gợi ý AI: phân tích doanh thu dịch vụ cho phòng khám nha khoa</t>
  </si>
  <si>
    <t>LV06-095</t>
  </si>
  <si>
    <t>Hệ thống quản lý phản hồi/đánh giá có gợi ý AI: nhắc lịch điều trị cho phòng khám nha khoa</t>
  </si>
  <si>
    <t>LV06-096</t>
  </si>
  <si>
    <t>Hệ thống dashboard điều hành có gợi ý AI: gợi ý gói chăm sóc cho phòng khám nha khoa</t>
  </si>
  <si>
    <t>LV06-097</t>
  </si>
  <si>
    <t>Hệ thống quản lý đa chi nhánh có gợi ý AI: phân tích doanh thu dịch vụ cho phòng khám nha khoa</t>
  </si>
  <si>
    <t>LV06-098</t>
  </si>
  <si>
    <t>Hệ thống hệ thống phân quyền vai trò có gợi ý AI: nhắc lịch điều trị cho phòng khám nha khoa</t>
  </si>
  <si>
    <t>LV06-099</t>
  </si>
  <si>
    <t>Hệ thống quản lý thông báo/nhắc lịch có gợi ý AI: gợi ý gói chăm sóc cho phòng khám nha khoa</t>
  </si>
  <si>
    <t>LV06-100</t>
  </si>
  <si>
    <t>Hệ thống quản lý dữ liệu và import/export có gợi ý AI: phân tích doanh thu dịch vụ cho phòng khám nha khoa</t>
  </si>
  <si>
    <t>Spa / thẩm mỹ viện</t>
  </si>
  <si>
    <t>LV07-001</t>
  </si>
  <si>
    <t>Hệ thống quản lý tổng thể cho spa</t>
  </si>
  <si>
    <t>Đồ án 8 tuần cho nhóm 5 SV: xây dựng Desktop App phục vụ spa; quản lý các thực thể chính: khách hàng, dịch vụ, lịch hẹn, liệu trình; có CSDL, API, giao diện người dùng, báo cáo và kiểm thử.</t>
  </si>
  <si>
    <t>Đăng nhập phân quyền, CRUD, tìm kiếm/lọc, dashboard thống kê, import/export, báo cáo PDF/Excel, kiểm thử; nghiệp vụ trọng tâm: quản lý tổng thể; AI/ML gợi ý: phân nhóm khách hàng.</t>
  </si>
  <si>
    <t>LV07-002</t>
  </si>
  <si>
    <t>Hệ thống đặt lịch/đặt chỗ cho spa</t>
  </si>
  <si>
    <t>Đồ án 8 tuần cho nhóm 5 SV: xây dựng Web + Mobile phục vụ spa; quản lý các thực thể chính: khách hàng, dịch vụ, lịch hẹn, liệu trình; có CSDL, API, giao diện người dùng, báo cáo và kiểm thử.</t>
  </si>
  <si>
    <t>Đăng nhập phân quyền, CRUD, tìm kiếm/lọc, dashboard thống kê, import/export, báo cáo PDF/Excel, kiểm thử; nghiệp vụ trọng tâm: đặt lịch/đặt chỗ; AI/ML gợi ý: dự báo lịch cao điểm.</t>
  </si>
  <si>
    <t>dự báo lịch cao điểm</t>
  </si>
  <si>
    <t>LV07-003</t>
  </si>
  <si>
    <t>Hệ thống bán hàng và thanh toán cho spa</t>
  </si>
  <si>
    <t>Đồ án 8 tuần cho nhóm 5 SV: xây dựng Web + Desktop phục vụ spa; quản lý các thực thể chính: khách hàng, dịch vụ, lịch hẹn, liệu trình; có CSDL, API, giao diện người dùng, báo cáo và kiểm thử.</t>
  </si>
  <si>
    <t>Đăng nhập phân quyền, CRUD, tìm kiếm/lọc, dashboard thống kê, import/export, báo cáo PDF/Excel, kiểm thử; nghiệp vụ trọng tâm: bán hàng và thanh toán; AI/ML gợi ý: gợi ý liệu trình.</t>
  </si>
  <si>
    <t>gợi ý liệu trình</t>
  </si>
  <si>
    <t>LV07-004</t>
  </si>
  <si>
    <t>Hệ thống quản lý khách hàng CRM cho spa</t>
  </si>
  <si>
    <t>Đồ án 8 tuần cho nhóm 5 SV: xây dựng Website phục vụ spa; quản lý các thực thể chính: khách hàng, dịch vụ, lịch hẹn, liệu trình; có CSDL, API, giao diện người dùng, báo cáo và kiểm thử.</t>
  </si>
  <si>
    <t>Đăng nhập phân quyền, CRUD, tìm kiếm/lọc, dashboard thống kê, import/export, báo cáo PDF/Excel, kiểm thử; nghiệp vụ trọng tâm: quản lý khách hàng CRM; AI/ML gợi ý: phân nhóm khách hàng.</t>
  </si>
  <si>
    <t>LV07-005</t>
  </si>
  <si>
    <t>Hệ thống quản lý kho/tài sản cho spa</t>
  </si>
  <si>
    <t>Đồ án 8 tuần cho nhóm 5 SV: xây dựng Mobile App phục vụ spa; quản lý các thực thể chính: khách hàng, dịch vụ, lịch hẹn, liệu trình; có CSDL, API, giao diện người dùng, báo cáo và kiểm thử.</t>
  </si>
  <si>
    <t>Đăng nhập phân quyền, CRUD, tìm kiếm/lọc, dashboard thống kê, import/export, báo cáo PDF/Excel, kiểm thử; nghiệp vụ trọng tâm: quản lý kho/tài sản; AI/ML gợi ý: dự báo lịch cao điểm.</t>
  </si>
  <si>
    <t>LV07-006</t>
  </si>
  <si>
    <t>Hệ thống quản lý nhân sự và ca làm cho spa</t>
  </si>
  <si>
    <t>Đăng nhập phân quyền, CRUD, tìm kiếm/lọc, dashboard thống kê, import/export, báo cáo PDF/Excel, kiểm thử; nghiệp vụ trọng tâm: quản lý nhân sự và ca làm; AI/ML gợi ý: gợi ý liệu trình.</t>
  </si>
  <si>
    <t>LV07-007</t>
  </si>
  <si>
    <t>Hệ thống quản lý hóa đơn/công nợ cho spa</t>
  </si>
  <si>
    <t>Đăng nhập phân quyền, CRUD, tìm kiếm/lọc, dashboard thống kê, import/export, báo cáo PDF/Excel, kiểm thử; nghiệp vụ trọng tâm: quản lý hóa đơn/công nợ; AI/ML gợi ý: phân nhóm khách hàng.</t>
  </si>
  <si>
    <t>LV07-008</t>
  </si>
  <si>
    <t>Hệ thống báo cáo thống kê doanh thu cho spa</t>
  </si>
  <si>
    <t>Đăng nhập phân quyền, CRUD, tìm kiếm/lọc, dashboard thống kê, import/export, báo cáo PDF/Excel, kiểm thử; nghiệp vụ trọng tâm: báo cáo thống kê doanh thu; AI/ML gợi ý: dự báo lịch cao điểm.</t>
  </si>
  <si>
    <t>LV07-009</t>
  </si>
  <si>
    <t>Hệ thống cổng chăm sóc khách hàng cho spa</t>
  </si>
  <si>
    <t>Đăng nhập phân quyền, CRUD, tìm kiếm/lọc, dashboard thống kê, import/export, báo cáo PDF/Excel, kiểm thử; nghiệp vụ trọng tâm: cổng chăm sóc khách hàng; AI/ML gợi ý: gợi ý liệu trình.</t>
  </si>
  <si>
    <t>LV07-010</t>
  </si>
  <si>
    <t>Hệ thống ứng dụng loyalty/tích điểm cho spa</t>
  </si>
  <si>
    <t>Đăng nhập phân quyền, CRUD, tìm kiếm/lọc, dashboard thống kê, import/export, báo cáo PDF/Excel, kiểm thử; nghiệp vụ trọng tâm: ứng dụng loyalty/tích điểm; AI/ML gợi ý: phân nhóm khách hàng.</t>
  </si>
  <si>
    <t>LV07-011</t>
  </si>
  <si>
    <t>Hệ thống quản lý quy trình nghiệp vụ cho spa</t>
  </si>
  <si>
    <t>Đăng nhập phân quyền, CRUD, tìm kiếm/lọc, dashboard thống kê, import/export, báo cáo PDF/Excel, kiểm thử; nghiệp vụ trọng tâm: quản lý quy trình nghiệp vụ; AI/ML gợi ý: dự báo lịch cao điểm.</t>
  </si>
  <si>
    <t>LV07-012</t>
  </si>
  <si>
    <t>Hệ thống theo dõi trạng thái thời gian thực cho spa</t>
  </si>
  <si>
    <t>Đăng nhập phân quyền, CRUD, tìm kiếm/lọc, dashboard thống kê, import/export, báo cáo PDF/Excel, kiểm thử; nghiệp vụ trọng tâm: theo dõi trạng thái thời gian thực; AI/ML gợi ý: gợi ý liệu trình.</t>
  </si>
  <si>
    <t>LV07-013</t>
  </si>
  <si>
    <t>Hệ thống quản lý hợp đồng/hồ sơ cho spa</t>
  </si>
  <si>
    <t>Đăng nhập phân quyền, CRUD, tìm kiếm/lọc, dashboard thống kê, import/export, báo cáo PDF/Excel, kiểm thử; nghiệp vụ trọng tâm: quản lý hợp đồng/hồ sơ; AI/ML gợi ý: phân nhóm khách hàng.</t>
  </si>
  <si>
    <t>LV07-014</t>
  </si>
  <si>
    <t>Hệ thống tìm kiếm và lọc nâng cao cho spa</t>
  </si>
  <si>
    <t>Đăng nhập phân quyền, CRUD, tìm kiếm/lọc, dashboard thống kê, import/export, báo cáo PDF/Excel, kiểm thử; nghiệp vụ trọng tâm: tìm kiếm và lọc nâng cao; AI/ML gợi ý: dự báo lịch cao điểm.</t>
  </si>
  <si>
    <t>LV07-015</t>
  </si>
  <si>
    <t>Hệ thống quản lý phản hồi/đánh giá cho spa</t>
  </si>
  <si>
    <t>Đăng nhập phân quyền, CRUD, tìm kiếm/lọc, dashboard thống kê, import/export, báo cáo PDF/Excel, kiểm thử; nghiệp vụ trọng tâm: quản lý phản hồi/đánh giá; AI/ML gợi ý: gợi ý liệu trình.</t>
  </si>
  <si>
    <t>LV07-016</t>
  </si>
  <si>
    <t>Hệ thống dashboard điều hành cho spa</t>
  </si>
  <si>
    <t>Đăng nhập phân quyền, CRUD, tìm kiếm/lọc, dashboard thống kê, import/export, báo cáo PDF/Excel, kiểm thử; nghiệp vụ trọng tâm: dashboard điều hành; AI/ML gợi ý: phân nhóm khách hàng.</t>
  </si>
  <si>
    <t>LV07-017</t>
  </si>
  <si>
    <t>Hệ thống quản lý đa chi nhánh cho spa</t>
  </si>
  <si>
    <t>Đăng nhập phân quyền, CRUD, tìm kiếm/lọc, dashboard thống kê, import/export, báo cáo PDF/Excel, kiểm thử; nghiệp vụ trọng tâm: quản lý đa chi nhánh; AI/ML gợi ý: dự báo lịch cao điểm.</t>
  </si>
  <si>
    <t>LV07-018</t>
  </si>
  <si>
    <t>Hệ thống hệ thống phân quyền vai trò cho spa</t>
  </si>
  <si>
    <t>Đăng nhập phân quyền, CRUD, tìm kiếm/lọc, dashboard thống kê, import/export, báo cáo PDF/Excel, kiểm thử; nghiệp vụ trọng tâm: hệ thống phân quyền vai trò; AI/ML gợi ý: gợi ý liệu trình.</t>
  </si>
  <si>
    <t>LV07-019</t>
  </si>
  <si>
    <t>Hệ thống quản lý thông báo/nhắc lịch cho spa</t>
  </si>
  <si>
    <t>Đăng nhập phân quyền, CRUD, tìm kiếm/lọc, dashboard thống kê, import/export, báo cáo PDF/Excel, kiểm thử; nghiệp vụ trọng tâm: quản lý thông báo/nhắc lịch; AI/ML gợi ý: phân nhóm khách hàng.</t>
  </si>
  <si>
    <t>LV07-020</t>
  </si>
  <si>
    <t>Hệ thống quản lý dữ liệu và import/export cho spa</t>
  </si>
  <si>
    <t>Đăng nhập phân quyền, CRUD, tìm kiếm/lọc, dashboard thống kê, import/export, báo cáo PDF/Excel, kiểm thử; nghiệp vụ trọng tâm: quản lý dữ liệu và import/export; AI/ML gợi ý: dự báo lịch cao điểm.</t>
  </si>
  <si>
    <t>LV07-021</t>
  </si>
  <si>
    <t>Ứng dụng desktop app hỗ trợ quản lý tổng thể trong spa / thẩm mỹ viện</t>
  </si>
  <si>
    <t>LV07-022</t>
  </si>
  <si>
    <t>Ứng dụng web + mobile hỗ trợ đặt lịch/đặt chỗ trong spa / thẩm mỹ viện</t>
  </si>
  <si>
    <t>LV07-023</t>
  </si>
  <si>
    <t>Ứng dụng web + desktop hỗ trợ bán hàng và thanh toán trong spa / thẩm mỹ viện</t>
  </si>
  <si>
    <t>LV07-024</t>
  </si>
  <si>
    <t>Ứng dụng website hỗ trợ quản lý khách hàng CRM trong spa / thẩm mỹ viện</t>
  </si>
  <si>
    <t>LV07-025</t>
  </si>
  <si>
    <t>Ứng dụng mobile app hỗ trợ quản lý kho/tài sản trong spa / thẩm mỹ viện</t>
  </si>
  <si>
    <t>LV07-026</t>
  </si>
  <si>
    <t>Ứng dụng desktop app hỗ trợ quản lý nhân sự và ca làm trong spa / thẩm mỹ viện</t>
  </si>
  <si>
    <t>LV07-027</t>
  </si>
  <si>
    <t>Ứng dụng web + mobile hỗ trợ quản lý hóa đơn/công nợ trong spa / thẩm mỹ viện</t>
  </si>
  <si>
    <t>LV07-028</t>
  </si>
  <si>
    <t>Ứng dụng web + desktop hỗ trợ báo cáo thống kê doanh thu trong spa / thẩm mỹ viện</t>
  </si>
  <si>
    <t>LV07-029</t>
  </si>
  <si>
    <t>Ứng dụng website hỗ trợ cổng chăm sóc khách hàng trong spa / thẩm mỹ viện</t>
  </si>
  <si>
    <t>LV07-030</t>
  </si>
  <si>
    <t>Ứng dụng mobile app hỗ trợ ứng dụng loyalty/tích điểm trong spa / thẩm mỹ viện</t>
  </si>
  <si>
    <t>LV07-031</t>
  </si>
  <si>
    <t>Ứng dụng desktop app hỗ trợ quản lý quy trình nghiệp vụ trong spa / thẩm mỹ viện</t>
  </si>
  <si>
    <t>LV07-032</t>
  </si>
  <si>
    <t>Ứng dụng web + mobile hỗ trợ theo dõi trạng thái thời gian thực trong spa / thẩm mỹ viện</t>
  </si>
  <si>
    <t>LV07-033</t>
  </si>
  <si>
    <t>Ứng dụng web + desktop hỗ trợ quản lý hợp đồng/hồ sơ trong spa / thẩm mỹ viện</t>
  </si>
  <si>
    <t>LV07-034</t>
  </si>
  <si>
    <t>Ứng dụng website hỗ trợ tìm kiếm và lọc nâng cao trong spa / thẩm mỹ viện</t>
  </si>
  <si>
    <t>LV07-035</t>
  </si>
  <si>
    <t>Ứng dụng mobile app hỗ trợ quản lý phản hồi/đánh giá trong spa / thẩm mỹ viện</t>
  </si>
  <si>
    <t>LV07-036</t>
  </si>
  <si>
    <t>Ứng dụng desktop app hỗ trợ dashboard điều hành trong spa / thẩm mỹ viện</t>
  </si>
  <si>
    <t>LV07-037</t>
  </si>
  <si>
    <t>Ứng dụng web + mobile hỗ trợ quản lý đa chi nhánh trong spa / thẩm mỹ viện</t>
  </si>
  <si>
    <t>LV07-038</t>
  </si>
  <si>
    <t>Ứng dụng web + desktop hỗ trợ hệ thống phân quyền vai trò trong spa / thẩm mỹ viện</t>
  </si>
  <si>
    <t>LV07-039</t>
  </si>
  <si>
    <t>Ứng dụng website hỗ trợ quản lý thông báo/nhắc lịch trong spa / thẩm mỹ viện</t>
  </si>
  <si>
    <t>LV07-040</t>
  </si>
  <si>
    <t>Ứng dụng mobile app hỗ trợ quản lý dữ liệu và import/export trong spa / thẩm mỹ viện</t>
  </si>
  <si>
    <t>LV07-041</t>
  </si>
  <si>
    <t>Nền tảng quản lý tổng thể có phân quyền và báo cáo cho spa</t>
  </si>
  <si>
    <t>LV07-042</t>
  </si>
  <si>
    <t>Nền tảng đặt lịch/đặt chỗ có phân quyền và báo cáo cho spa</t>
  </si>
  <si>
    <t>LV07-043</t>
  </si>
  <si>
    <t>Nền tảng bán hàng và thanh toán có phân quyền và báo cáo cho spa</t>
  </si>
  <si>
    <t>LV07-044</t>
  </si>
  <si>
    <t>Nền tảng quản lý khách hàng CRM có phân quyền và báo cáo cho spa</t>
  </si>
  <si>
    <t>LV07-045</t>
  </si>
  <si>
    <t>Nền tảng quản lý kho/tài sản có phân quyền và báo cáo cho spa</t>
  </si>
  <si>
    <t>LV07-046</t>
  </si>
  <si>
    <t>Nền tảng quản lý nhân sự và ca làm có phân quyền và báo cáo cho spa</t>
  </si>
  <si>
    <t>LV07-047</t>
  </si>
  <si>
    <t>Nền tảng quản lý hóa đơn/công nợ có phân quyền và báo cáo cho spa</t>
  </si>
  <si>
    <t>LV07-048</t>
  </si>
  <si>
    <t>Nền tảng báo cáo thống kê doanh thu có phân quyền và báo cáo cho spa</t>
  </si>
  <si>
    <t>LV07-049</t>
  </si>
  <si>
    <t>Nền tảng cổng chăm sóc khách hàng có phân quyền và báo cáo cho spa</t>
  </si>
  <si>
    <t>LV07-050</t>
  </si>
  <si>
    <t>Nền tảng ứng dụng loyalty/tích điểm có phân quyền và báo cáo cho spa</t>
  </si>
  <si>
    <t>LV07-051</t>
  </si>
  <si>
    <t>Nền tảng quản lý quy trình nghiệp vụ có phân quyền và báo cáo cho spa</t>
  </si>
  <si>
    <t>LV07-052</t>
  </si>
  <si>
    <t>Nền tảng theo dõi trạng thái thời gian thực có phân quyền và báo cáo cho spa</t>
  </si>
  <si>
    <t>LV07-053</t>
  </si>
  <si>
    <t>Nền tảng quản lý hợp đồng/hồ sơ có phân quyền và báo cáo cho spa</t>
  </si>
  <si>
    <t>LV07-054</t>
  </si>
  <si>
    <t>Nền tảng tìm kiếm và lọc nâng cao có phân quyền và báo cáo cho spa</t>
  </si>
  <si>
    <t>LV07-055</t>
  </si>
  <si>
    <t>Nền tảng quản lý phản hồi/đánh giá có phân quyền và báo cáo cho spa</t>
  </si>
  <si>
    <t>LV07-056</t>
  </si>
  <si>
    <t>Nền tảng dashboard điều hành có phân quyền và báo cáo cho spa</t>
  </si>
  <si>
    <t>LV07-057</t>
  </si>
  <si>
    <t>Nền tảng quản lý đa chi nhánh có phân quyền và báo cáo cho spa</t>
  </si>
  <si>
    <t>LV07-058</t>
  </si>
  <si>
    <t>Nền tảng hệ thống phân quyền vai trò có phân quyền và báo cáo cho spa</t>
  </si>
  <si>
    <t>LV07-059</t>
  </si>
  <si>
    <t>Nền tảng quản lý thông báo/nhắc lịch có phân quyền và báo cáo cho spa</t>
  </si>
  <si>
    <t>LV07-060</t>
  </si>
  <si>
    <t>Nền tảng quản lý dữ liệu và import/export có phân quyền và báo cáo cho spa</t>
  </si>
  <si>
    <t>LV07-061</t>
  </si>
  <si>
    <t>Phần mềm quản lý tổng thể tích hợp dashboard dữ liệu cho spa / thẩm mỹ viện</t>
  </si>
  <si>
    <t>LV07-062</t>
  </si>
  <si>
    <t>Phần mềm đặt lịch/đặt chỗ tích hợp dashboard dữ liệu cho spa / thẩm mỹ viện</t>
  </si>
  <si>
    <t>LV07-063</t>
  </si>
  <si>
    <t>Phần mềm bán hàng và thanh toán tích hợp dashboard dữ liệu cho spa / thẩm mỹ viện</t>
  </si>
  <si>
    <t>LV07-064</t>
  </si>
  <si>
    <t>Phần mềm quản lý khách hàng CRM tích hợp dashboard dữ liệu cho spa / thẩm mỹ viện</t>
  </si>
  <si>
    <t>LV07-065</t>
  </si>
  <si>
    <t>Phần mềm quản lý kho/tài sản tích hợp dashboard dữ liệu cho spa / thẩm mỹ viện</t>
  </si>
  <si>
    <t>LV07-066</t>
  </si>
  <si>
    <t>Phần mềm quản lý nhân sự và ca làm tích hợp dashboard dữ liệu cho spa / thẩm mỹ viện</t>
  </si>
  <si>
    <t>LV07-067</t>
  </si>
  <si>
    <t>Phần mềm quản lý hóa đơn/công nợ tích hợp dashboard dữ liệu cho spa / thẩm mỹ viện</t>
  </si>
  <si>
    <t>LV07-068</t>
  </si>
  <si>
    <t>Phần mềm báo cáo thống kê doanh thu tích hợp dashboard dữ liệu cho spa / thẩm mỹ viện</t>
  </si>
  <si>
    <t>LV07-069</t>
  </si>
  <si>
    <t>Phần mềm cổng chăm sóc khách hàng tích hợp dashboard dữ liệu cho spa / thẩm mỹ viện</t>
  </si>
  <si>
    <t>LV07-070</t>
  </si>
  <si>
    <t>Phần mềm ứng dụng loyalty/tích điểm tích hợp dashboard dữ liệu cho spa / thẩm mỹ viện</t>
  </si>
  <si>
    <t>LV07-071</t>
  </si>
  <si>
    <t>Phần mềm quản lý quy trình nghiệp vụ tích hợp dashboard dữ liệu cho spa / thẩm mỹ viện</t>
  </si>
  <si>
    <t>LV07-072</t>
  </si>
  <si>
    <t>Phần mềm theo dõi trạng thái thời gian thực tích hợp dashboard dữ liệu cho spa / thẩm mỹ viện</t>
  </si>
  <si>
    <t>LV07-073</t>
  </si>
  <si>
    <t>Phần mềm quản lý hợp đồng/hồ sơ tích hợp dashboard dữ liệu cho spa / thẩm mỹ viện</t>
  </si>
  <si>
    <t>LV07-074</t>
  </si>
  <si>
    <t>Phần mềm tìm kiếm và lọc nâng cao tích hợp dashboard dữ liệu cho spa / thẩm mỹ viện</t>
  </si>
  <si>
    <t>LV07-075</t>
  </si>
  <si>
    <t>Phần mềm quản lý phản hồi/đánh giá tích hợp dashboard dữ liệu cho spa / thẩm mỹ viện</t>
  </si>
  <si>
    <t>LV07-076</t>
  </si>
  <si>
    <t>Phần mềm dashboard điều hành tích hợp dashboard dữ liệu cho spa / thẩm mỹ viện</t>
  </si>
  <si>
    <t>LV07-077</t>
  </si>
  <si>
    <t>Phần mềm quản lý đa chi nhánh tích hợp dashboard dữ liệu cho spa / thẩm mỹ viện</t>
  </si>
  <si>
    <t>LV07-078</t>
  </si>
  <si>
    <t>Phần mềm hệ thống phân quyền vai trò tích hợp dashboard dữ liệu cho spa / thẩm mỹ viện</t>
  </si>
  <si>
    <t>LV07-079</t>
  </si>
  <si>
    <t>Phần mềm quản lý thông báo/nhắc lịch tích hợp dashboard dữ liệu cho spa / thẩm mỹ viện</t>
  </si>
  <si>
    <t>LV07-080</t>
  </si>
  <si>
    <t>Phần mềm quản lý dữ liệu và import/export tích hợp dashboard dữ liệu cho spa / thẩm mỹ viện</t>
  </si>
  <si>
    <t>LV07-081</t>
  </si>
  <si>
    <t>Hệ thống quản lý tổng thể có gợi ý AI: phân nhóm khách hàng cho spa</t>
  </si>
  <si>
    <t>LV07-082</t>
  </si>
  <si>
    <t>Hệ thống đặt lịch/đặt chỗ có gợi ý AI: dự báo lịch cao điểm cho spa</t>
  </si>
  <si>
    <t>LV07-083</t>
  </si>
  <si>
    <t>Hệ thống bán hàng và thanh toán có gợi ý AI: gợi ý liệu trình cho spa</t>
  </si>
  <si>
    <t>LV07-084</t>
  </si>
  <si>
    <t>Hệ thống quản lý khách hàng CRM có gợi ý AI: phân nhóm khách hàng cho spa</t>
  </si>
  <si>
    <t>LV07-085</t>
  </si>
  <si>
    <t>Hệ thống quản lý kho/tài sản có gợi ý AI: dự báo lịch cao điểm cho spa</t>
  </si>
  <si>
    <t>LV07-086</t>
  </si>
  <si>
    <t>Hệ thống quản lý nhân sự và ca làm có gợi ý AI: gợi ý liệu trình cho spa</t>
  </si>
  <si>
    <t>LV07-087</t>
  </si>
  <si>
    <t>Hệ thống quản lý hóa đơn/công nợ có gợi ý AI: phân nhóm khách hàng cho spa</t>
  </si>
  <si>
    <t>LV07-088</t>
  </si>
  <si>
    <t>Hệ thống báo cáo thống kê doanh thu có gợi ý AI: dự báo lịch cao điểm cho spa</t>
  </si>
  <si>
    <t>LV07-089</t>
  </si>
  <si>
    <t>Hệ thống cổng chăm sóc khách hàng có gợi ý AI: gợi ý liệu trình cho spa</t>
  </si>
  <si>
    <t>LV07-090</t>
  </si>
  <si>
    <t>Hệ thống ứng dụng loyalty/tích điểm có gợi ý AI: phân nhóm khách hàng cho spa</t>
  </si>
  <si>
    <t>LV07-091</t>
  </si>
  <si>
    <t>Hệ thống quản lý quy trình nghiệp vụ có gợi ý AI: dự báo lịch cao điểm cho spa</t>
  </si>
  <si>
    <t>LV07-092</t>
  </si>
  <si>
    <t>Hệ thống theo dõi trạng thái thời gian thực có gợi ý AI: gợi ý liệu trình cho spa</t>
  </si>
  <si>
    <t>LV07-093</t>
  </si>
  <si>
    <t>Hệ thống quản lý hợp đồng/hồ sơ có gợi ý AI: phân nhóm khách hàng cho spa</t>
  </si>
  <si>
    <t>LV07-094</t>
  </si>
  <si>
    <t>Hệ thống tìm kiếm và lọc nâng cao có gợi ý AI: dự báo lịch cao điểm cho spa</t>
  </si>
  <si>
    <t>LV07-095</t>
  </si>
  <si>
    <t>Hệ thống quản lý phản hồi/đánh giá có gợi ý AI: gợi ý liệu trình cho spa</t>
  </si>
  <si>
    <t>LV07-096</t>
  </si>
  <si>
    <t>Hệ thống dashboard điều hành có gợi ý AI: phân nhóm khách hàng cho spa</t>
  </si>
  <si>
    <t>LV07-097</t>
  </si>
  <si>
    <t>Hệ thống quản lý đa chi nhánh có gợi ý AI: dự báo lịch cao điểm cho spa</t>
  </si>
  <si>
    <t>LV07-098</t>
  </si>
  <si>
    <t>Hệ thống hệ thống phân quyền vai trò có gợi ý AI: gợi ý liệu trình cho spa</t>
  </si>
  <si>
    <t>LV07-099</t>
  </si>
  <si>
    <t>Hệ thống quản lý thông báo/nhắc lịch có gợi ý AI: phân nhóm khách hàng cho spa</t>
  </si>
  <si>
    <t>LV07-100</t>
  </si>
  <si>
    <t>Hệ thống quản lý dữ liệu và import/export có gợi ý AI: dự báo lịch cao điểm cho spa</t>
  </si>
  <si>
    <t>Gym / yoga</t>
  </si>
  <si>
    <t>LV08-001</t>
  </si>
  <si>
    <t>Hệ thống quản lý tổng thể cho phòng gym/yoga</t>
  </si>
  <si>
    <t>Đồ án 8 tuần cho nhóm 5 SV: xây dựng Web + Mobile phục vụ phòng gym/yoga; quản lý các thực thể chính: hội viên, gói tập, huấn luyện viên, lịch lớp; có CSDL, API, giao diện người dùng, báo cáo và kiểm thử.</t>
  </si>
  <si>
    <t>Đăng nhập phân quyền, CRUD, tìm kiếm/lọc, dashboard thống kê, import/export, báo cáo PDF/Excel, kiểm thử; nghiệp vụ trọng tâm: quản lý tổng thể; AI/ML gợi ý: dự báo gia hạn gói.</t>
  </si>
  <si>
    <t>dự báo gia hạn gói</t>
  </si>
  <si>
    <t>LV08-002</t>
  </si>
  <si>
    <t>Hệ thống đặt lịch/đặt chỗ cho phòng gym/yoga</t>
  </si>
  <si>
    <t>Đồ án 8 tuần cho nhóm 5 SV: xây dựng Web + Desktop phục vụ phòng gym/yoga; quản lý các thực thể chính: hội viên, gói tập, huấn luyện viên, lịch lớp; có CSDL, API, giao diện người dùng, báo cáo và kiểm thử.</t>
  </si>
  <si>
    <t>Đăng nhập phân quyền, CRUD, tìm kiếm/lọc, dashboard thống kê, import/export, báo cáo PDF/Excel, kiểm thử; nghiệp vụ trọng tâm: đặt lịch/đặt chỗ; AI/ML gợi ý: theo dõi tiến độ.</t>
  </si>
  <si>
    <t>theo dõi tiến độ</t>
  </si>
  <si>
    <t>LV08-003</t>
  </si>
  <si>
    <t>Hệ thống bán hàng và thanh toán cho phòng gym/yoga</t>
  </si>
  <si>
    <t>Đồ án 8 tuần cho nhóm 5 SV: xây dựng Website phục vụ phòng gym/yoga; quản lý các thực thể chính: hội viên, gói tập, huấn luyện viên, lịch lớp; có CSDL, API, giao diện người dùng, báo cáo và kiểm thử.</t>
  </si>
  <si>
    <t>Đăng nhập phân quyền, CRUD, tìm kiếm/lọc, dashboard thống kê, import/export, báo cáo PDF/Excel, kiểm thử; nghiệp vụ trọng tâm: bán hàng và thanh toán; AI/ML gợi ý: gợi ý bài tập.</t>
  </si>
  <si>
    <t>gợi ý bài tập</t>
  </si>
  <si>
    <t>LV08-004</t>
  </si>
  <si>
    <t>Hệ thống quản lý khách hàng CRM cho phòng gym/yoga</t>
  </si>
  <si>
    <t>Đồ án 8 tuần cho nhóm 5 SV: xây dựng Mobile App phục vụ phòng gym/yoga; quản lý các thực thể chính: hội viên, gói tập, huấn luyện viên, lịch lớp; có CSDL, API, giao diện người dùng, báo cáo và kiểm thử.</t>
  </si>
  <si>
    <t>Đăng nhập phân quyền, CRUD, tìm kiếm/lọc, dashboard thống kê, import/export, báo cáo PDF/Excel, kiểm thử; nghiệp vụ trọng tâm: quản lý khách hàng CRM; AI/ML gợi ý: dự báo gia hạn gói.</t>
  </si>
  <si>
    <t>LV08-005</t>
  </si>
  <si>
    <t>Hệ thống quản lý kho/tài sản cho phòng gym/yoga</t>
  </si>
  <si>
    <t>Đồ án 8 tuần cho nhóm 5 SV: xây dựng Desktop App phục vụ phòng gym/yoga; quản lý các thực thể chính: hội viên, gói tập, huấn luyện viên, lịch lớp; có CSDL, API, giao diện người dùng, báo cáo và kiểm thử.</t>
  </si>
  <si>
    <t>Đăng nhập phân quyền, CRUD, tìm kiếm/lọc, dashboard thống kê, import/export, báo cáo PDF/Excel, kiểm thử; nghiệp vụ trọng tâm: quản lý kho/tài sản; AI/ML gợi ý: theo dõi tiến độ.</t>
  </si>
  <si>
    <t>LV08-006</t>
  </si>
  <si>
    <t>Hệ thống quản lý nhân sự và ca làm cho phòng gym/yoga</t>
  </si>
  <si>
    <t>Đăng nhập phân quyền, CRUD, tìm kiếm/lọc, dashboard thống kê, import/export, báo cáo PDF/Excel, kiểm thử; nghiệp vụ trọng tâm: quản lý nhân sự và ca làm; AI/ML gợi ý: gợi ý bài tập.</t>
  </si>
  <si>
    <t>LV08-007</t>
  </si>
  <si>
    <t>Hệ thống quản lý hóa đơn/công nợ cho phòng gym/yoga</t>
  </si>
  <si>
    <t>Đăng nhập phân quyền, CRUD, tìm kiếm/lọc, dashboard thống kê, import/export, báo cáo PDF/Excel, kiểm thử; nghiệp vụ trọng tâm: quản lý hóa đơn/công nợ; AI/ML gợi ý: dự báo gia hạn gói.</t>
  </si>
  <si>
    <t>LV08-008</t>
  </si>
  <si>
    <t>Hệ thống báo cáo thống kê doanh thu cho phòng gym/yoga</t>
  </si>
  <si>
    <t>Đăng nhập phân quyền, CRUD, tìm kiếm/lọc, dashboard thống kê, import/export, báo cáo PDF/Excel, kiểm thử; nghiệp vụ trọng tâm: báo cáo thống kê doanh thu; AI/ML gợi ý: theo dõi tiến độ.</t>
  </si>
  <si>
    <t>LV08-009</t>
  </si>
  <si>
    <t>Hệ thống cổng chăm sóc khách hàng cho phòng gym/yoga</t>
  </si>
  <si>
    <t>Đăng nhập phân quyền, CRUD, tìm kiếm/lọc, dashboard thống kê, import/export, báo cáo PDF/Excel, kiểm thử; nghiệp vụ trọng tâm: cổng chăm sóc khách hàng; AI/ML gợi ý: gợi ý bài tập.</t>
  </si>
  <si>
    <t>LV08-010</t>
  </si>
  <si>
    <t>Hệ thống ứng dụng loyalty/tích điểm cho phòng gym/yoga</t>
  </si>
  <si>
    <t>Đăng nhập phân quyền, CRUD, tìm kiếm/lọc, dashboard thống kê, import/export, báo cáo PDF/Excel, kiểm thử; nghiệp vụ trọng tâm: ứng dụng loyalty/tích điểm; AI/ML gợi ý: dự báo gia hạn gói.</t>
  </si>
  <si>
    <t>LV08-011</t>
  </si>
  <si>
    <t>Hệ thống quản lý quy trình nghiệp vụ cho phòng gym/yoga</t>
  </si>
  <si>
    <t>Đăng nhập phân quyền, CRUD, tìm kiếm/lọc, dashboard thống kê, import/export, báo cáo PDF/Excel, kiểm thử; nghiệp vụ trọng tâm: quản lý quy trình nghiệp vụ; AI/ML gợi ý: theo dõi tiến độ.</t>
  </si>
  <si>
    <t>LV08-012</t>
  </si>
  <si>
    <t>Hệ thống theo dõi trạng thái thời gian thực cho phòng gym/yoga</t>
  </si>
  <si>
    <t>Đăng nhập phân quyền, CRUD, tìm kiếm/lọc, dashboard thống kê, import/export, báo cáo PDF/Excel, kiểm thử; nghiệp vụ trọng tâm: theo dõi trạng thái thời gian thực; AI/ML gợi ý: gợi ý bài tập.</t>
  </si>
  <si>
    <t>LV08-013</t>
  </si>
  <si>
    <t>Hệ thống quản lý hợp đồng/hồ sơ cho phòng gym/yoga</t>
  </si>
  <si>
    <t>Đăng nhập phân quyền, CRUD, tìm kiếm/lọc, dashboard thống kê, import/export, báo cáo PDF/Excel, kiểm thử; nghiệp vụ trọng tâm: quản lý hợp đồng/hồ sơ; AI/ML gợi ý: dự báo gia hạn gói.</t>
  </si>
  <si>
    <t>LV08-014</t>
  </si>
  <si>
    <t>Hệ thống tìm kiếm và lọc nâng cao cho phòng gym/yoga</t>
  </si>
  <si>
    <t>Đăng nhập phân quyền, CRUD, tìm kiếm/lọc, dashboard thống kê, import/export, báo cáo PDF/Excel, kiểm thử; nghiệp vụ trọng tâm: tìm kiếm và lọc nâng cao; AI/ML gợi ý: theo dõi tiến độ.</t>
  </si>
  <si>
    <t>LV08-015</t>
  </si>
  <si>
    <t>Hệ thống quản lý phản hồi/đánh giá cho phòng gym/yoga</t>
  </si>
  <si>
    <t>Đăng nhập phân quyền, CRUD, tìm kiếm/lọc, dashboard thống kê, import/export, báo cáo PDF/Excel, kiểm thử; nghiệp vụ trọng tâm: quản lý phản hồi/đánh giá; AI/ML gợi ý: gợi ý bài tập.</t>
  </si>
  <si>
    <t>LV08-016</t>
  </si>
  <si>
    <t>Hệ thống dashboard điều hành cho phòng gym/yoga</t>
  </si>
  <si>
    <t>Đăng nhập phân quyền, CRUD, tìm kiếm/lọc, dashboard thống kê, import/export, báo cáo PDF/Excel, kiểm thử; nghiệp vụ trọng tâm: dashboard điều hành; AI/ML gợi ý: dự báo gia hạn gói.</t>
  </si>
  <si>
    <t>LV08-017</t>
  </si>
  <si>
    <t>Hệ thống quản lý đa chi nhánh cho phòng gym/yoga</t>
  </si>
  <si>
    <t>Đăng nhập phân quyền, CRUD, tìm kiếm/lọc, dashboard thống kê, import/export, báo cáo PDF/Excel, kiểm thử; nghiệp vụ trọng tâm: quản lý đa chi nhánh; AI/ML gợi ý: theo dõi tiến độ.</t>
  </si>
  <si>
    <t>LV08-018</t>
  </si>
  <si>
    <t>Hệ thống hệ thống phân quyền vai trò cho phòng gym/yoga</t>
  </si>
  <si>
    <t>Đăng nhập phân quyền, CRUD, tìm kiếm/lọc, dashboard thống kê, import/export, báo cáo PDF/Excel, kiểm thử; nghiệp vụ trọng tâm: hệ thống phân quyền vai trò; AI/ML gợi ý: gợi ý bài tập.</t>
  </si>
  <si>
    <t>LV08-019</t>
  </si>
  <si>
    <t>Hệ thống quản lý thông báo/nhắc lịch cho phòng gym/yoga</t>
  </si>
  <si>
    <t>Đăng nhập phân quyền, CRUD, tìm kiếm/lọc, dashboard thống kê, import/export, báo cáo PDF/Excel, kiểm thử; nghiệp vụ trọng tâm: quản lý thông báo/nhắc lịch; AI/ML gợi ý: dự báo gia hạn gói.</t>
  </si>
  <si>
    <t>LV08-020</t>
  </si>
  <si>
    <t>Hệ thống quản lý dữ liệu và import/export cho phòng gym/yoga</t>
  </si>
  <si>
    <t>Đăng nhập phân quyền, CRUD, tìm kiếm/lọc, dashboard thống kê, import/export, báo cáo PDF/Excel, kiểm thử; nghiệp vụ trọng tâm: quản lý dữ liệu và import/export; AI/ML gợi ý: theo dõi tiến độ.</t>
  </si>
  <si>
    <t>LV08-021</t>
  </si>
  <si>
    <t>Ứng dụng web + mobile hỗ trợ quản lý tổng thể trong gym / yoga</t>
  </si>
  <si>
    <t>LV08-022</t>
  </si>
  <si>
    <t>Ứng dụng web + desktop hỗ trợ đặt lịch/đặt chỗ trong gym / yoga</t>
  </si>
  <si>
    <t>LV08-023</t>
  </si>
  <si>
    <t>Ứng dụng website hỗ trợ bán hàng và thanh toán trong gym / yoga</t>
  </si>
  <si>
    <t>LV08-024</t>
  </si>
  <si>
    <t>Ứng dụng mobile app hỗ trợ quản lý khách hàng CRM trong gym / yoga</t>
  </si>
  <si>
    <t>LV08-025</t>
  </si>
  <si>
    <t>Ứng dụng desktop app hỗ trợ quản lý kho/tài sản trong gym / yoga</t>
  </si>
  <si>
    <t>LV08-026</t>
  </si>
  <si>
    <t>Ứng dụng web + mobile hỗ trợ quản lý nhân sự và ca làm trong gym / yoga</t>
  </si>
  <si>
    <t>LV08-027</t>
  </si>
  <si>
    <t>Ứng dụng web + desktop hỗ trợ quản lý hóa đơn/công nợ trong gym / yoga</t>
  </si>
  <si>
    <t>LV08-028</t>
  </si>
  <si>
    <t>Ứng dụng website hỗ trợ báo cáo thống kê doanh thu trong gym / yoga</t>
  </si>
  <si>
    <t>LV08-029</t>
  </si>
  <si>
    <t>Ứng dụng mobile app hỗ trợ cổng chăm sóc khách hàng trong gym / yoga</t>
  </si>
  <si>
    <t>LV08-030</t>
  </si>
  <si>
    <t>Ứng dụng desktop app hỗ trợ ứng dụng loyalty/tích điểm trong gym / yoga</t>
  </si>
  <si>
    <t>LV08-031</t>
  </si>
  <si>
    <t>Ứng dụng web + mobile hỗ trợ quản lý quy trình nghiệp vụ trong gym / yoga</t>
  </si>
  <si>
    <t>LV08-032</t>
  </si>
  <si>
    <t>Ứng dụng web + desktop hỗ trợ theo dõi trạng thái thời gian thực trong gym / yoga</t>
  </si>
  <si>
    <t>LV08-033</t>
  </si>
  <si>
    <t>Ứng dụng website hỗ trợ quản lý hợp đồng/hồ sơ trong gym / yoga</t>
  </si>
  <si>
    <t>LV08-034</t>
  </si>
  <si>
    <t>Ứng dụng mobile app hỗ trợ tìm kiếm và lọc nâng cao trong gym / yoga</t>
  </si>
  <si>
    <t>LV08-035</t>
  </si>
  <si>
    <t>Ứng dụng desktop app hỗ trợ quản lý phản hồi/đánh giá trong gym / yoga</t>
  </si>
  <si>
    <t>LV08-036</t>
  </si>
  <si>
    <t>Ứng dụng web + mobile hỗ trợ dashboard điều hành trong gym / yoga</t>
  </si>
  <si>
    <t>LV08-037</t>
  </si>
  <si>
    <t>Ứng dụng web + desktop hỗ trợ quản lý đa chi nhánh trong gym / yoga</t>
  </si>
  <si>
    <t>LV08-038</t>
  </si>
  <si>
    <t>Ứng dụng website hỗ trợ hệ thống phân quyền vai trò trong gym / yoga</t>
  </si>
  <si>
    <t>LV08-039</t>
  </si>
  <si>
    <t>Ứng dụng mobile app hỗ trợ quản lý thông báo/nhắc lịch trong gym / yoga</t>
  </si>
  <si>
    <t>LV08-040</t>
  </si>
  <si>
    <t>Ứng dụng desktop app hỗ trợ quản lý dữ liệu và import/export trong gym / yoga</t>
  </si>
  <si>
    <t>LV08-041</t>
  </si>
  <si>
    <t>Nền tảng quản lý tổng thể có phân quyền và báo cáo cho phòng gym/yoga</t>
  </si>
  <si>
    <t>LV08-042</t>
  </si>
  <si>
    <t>Nền tảng đặt lịch/đặt chỗ có phân quyền và báo cáo cho phòng gym/yoga</t>
  </si>
  <si>
    <t>LV08-043</t>
  </si>
  <si>
    <t>Nền tảng bán hàng và thanh toán có phân quyền và báo cáo cho phòng gym/yoga</t>
  </si>
  <si>
    <t>LV08-044</t>
  </si>
  <si>
    <t>Nền tảng quản lý khách hàng CRM có phân quyền và báo cáo cho phòng gym/yoga</t>
  </si>
  <si>
    <t>LV08-045</t>
  </si>
  <si>
    <t>Nền tảng quản lý kho/tài sản có phân quyền và báo cáo cho phòng gym/yoga</t>
  </si>
  <si>
    <t>LV08-046</t>
  </si>
  <si>
    <t>Nền tảng quản lý nhân sự và ca làm có phân quyền và báo cáo cho phòng gym/yoga</t>
  </si>
  <si>
    <t>LV08-047</t>
  </si>
  <si>
    <t>Nền tảng quản lý hóa đơn/công nợ có phân quyền và báo cáo cho phòng gym/yoga</t>
  </si>
  <si>
    <t>LV08-048</t>
  </si>
  <si>
    <t>Nền tảng báo cáo thống kê doanh thu có phân quyền và báo cáo cho phòng gym/yoga</t>
  </si>
  <si>
    <t>LV08-049</t>
  </si>
  <si>
    <t>Nền tảng cổng chăm sóc khách hàng có phân quyền và báo cáo cho phòng gym/yoga</t>
  </si>
  <si>
    <t>LV08-050</t>
  </si>
  <si>
    <t>Nền tảng ứng dụng loyalty/tích điểm có phân quyền và báo cáo cho phòng gym/yoga</t>
  </si>
  <si>
    <t>LV08-051</t>
  </si>
  <si>
    <t>Nền tảng quản lý quy trình nghiệp vụ có phân quyền và báo cáo cho phòng gym/yoga</t>
  </si>
  <si>
    <t>LV08-052</t>
  </si>
  <si>
    <t>Nền tảng theo dõi trạng thái thời gian thực có phân quyền và báo cáo cho phòng gym/yoga</t>
  </si>
  <si>
    <t>LV08-053</t>
  </si>
  <si>
    <t>Nền tảng quản lý hợp đồng/hồ sơ có phân quyền và báo cáo cho phòng gym/yoga</t>
  </si>
  <si>
    <t>LV08-054</t>
  </si>
  <si>
    <t>Nền tảng tìm kiếm và lọc nâng cao có phân quyền và báo cáo cho phòng gym/yoga</t>
  </si>
  <si>
    <t>LV08-055</t>
  </si>
  <si>
    <t>Nền tảng quản lý phản hồi/đánh giá có phân quyền và báo cáo cho phòng gym/yoga</t>
  </si>
  <si>
    <t>LV08-056</t>
  </si>
  <si>
    <t>Nền tảng dashboard điều hành có phân quyền và báo cáo cho phòng gym/yoga</t>
  </si>
  <si>
    <t>LV08-057</t>
  </si>
  <si>
    <t>Nền tảng quản lý đa chi nhánh có phân quyền và báo cáo cho phòng gym/yoga</t>
  </si>
  <si>
    <t>LV08-058</t>
  </si>
  <si>
    <t>Nền tảng hệ thống phân quyền vai trò có phân quyền và báo cáo cho phòng gym/yoga</t>
  </si>
  <si>
    <t>LV08-059</t>
  </si>
  <si>
    <t>Nền tảng quản lý thông báo/nhắc lịch có phân quyền và báo cáo cho phòng gym/yoga</t>
  </si>
  <si>
    <t>LV08-060</t>
  </si>
  <si>
    <t>Nền tảng quản lý dữ liệu và import/export có phân quyền và báo cáo cho phòng gym/yoga</t>
  </si>
  <si>
    <t>LV08-061</t>
  </si>
  <si>
    <t>Phần mềm quản lý tổng thể tích hợp dashboard dữ liệu cho gym / yoga</t>
  </si>
  <si>
    <t>LV08-062</t>
  </si>
  <si>
    <t>Phần mềm đặt lịch/đặt chỗ tích hợp dashboard dữ liệu cho gym / yoga</t>
  </si>
  <si>
    <t>LV08-063</t>
  </si>
  <si>
    <t>Phần mềm bán hàng và thanh toán tích hợp dashboard dữ liệu cho gym / yoga</t>
  </si>
  <si>
    <t>LV08-064</t>
  </si>
  <si>
    <t>Phần mềm quản lý khách hàng CRM tích hợp dashboard dữ liệu cho gym / yoga</t>
  </si>
  <si>
    <t>LV08-065</t>
  </si>
  <si>
    <t>Phần mềm quản lý kho/tài sản tích hợp dashboard dữ liệu cho gym / yoga</t>
  </si>
  <si>
    <t>LV08-066</t>
  </si>
  <si>
    <t>Phần mềm quản lý nhân sự và ca làm tích hợp dashboard dữ liệu cho gym / yoga</t>
  </si>
  <si>
    <t>LV08-067</t>
  </si>
  <si>
    <t>Phần mềm quản lý hóa đơn/công nợ tích hợp dashboard dữ liệu cho gym / yoga</t>
  </si>
  <si>
    <t>LV08-068</t>
  </si>
  <si>
    <t>Phần mềm báo cáo thống kê doanh thu tích hợp dashboard dữ liệu cho gym / yoga</t>
  </si>
  <si>
    <t>LV08-069</t>
  </si>
  <si>
    <t>Phần mềm cổng chăm sóc khách hàng tích hợp dashboard dữ liệu cho gym / yoga</t>
  </si>
  <si>
    <t>LV08-070</t>
  </si>
  <si>
    <t>Phần mềm ứng dụng loyalty/tích điểm tích hợp dashboard dữ liệu cho gym / yoga</t>
  </si>
  <si>
    <t>LV08-071</t>
  </si>
  <si>
    <t>Phần mềm quản lý quy trình nghiệp vụ tích hợp dashboard dữ liệu cho gym / yoga</t>
  </si>
  <si>
    <t>LV08-072</t>
  </si>
  <si>
    <t>Phần mềm theo dõi trạng thái thời gian thực tích hợp dashboard dữ liệu cho gym / yoga</t>
  </si>
  <si>
    <t>LV08-073</t>
  </si>
  <si>
    <t>Phần mềm quản lý hợp đồng/hồ sơ tích hợp dashboard dữ liệu cho gym / yoga</t>
  </si>
  <si>
    <t>LV08-074</t>
  </si>
  <si>
    <t>Phần mềm tìm kiếm và lọc nâng cao tích hợp dashboard dữ liệu cho gym / yoga</t>
  </si>
  <si>
    <t>LV08-075</t>
  </si>
  <si>
    <t>Phần mềm quản lý phản hồi/đánh giá tích hợp dashboard dữ liệu cho gym / yoga</t>
  </si>
  <si>
    <t>LV08-076</t>
  </si>
  <si>
    <t>Phần mềm dashboard điều hành tích hợp dashboard dữ liệu cho gym / yoga</t>
  </si>
  <si>
    <t>LV08-077</t>
  </si>
  <si>
    <t>Phần mềm quản lý đa chi nhánh tích hợp dashboard dữ liệu cho gym / yoga</t>
  </si>
  <si>
    <t>LV08-078</t>
  </si>
  <si>
    <t>Phần mềm hệ thống phân quyền vai trò tích hợp dashboard dữ liệu cho gym / yoga</t>
  </si>
  <si>
    <t>LV08-079</t>
  </si>
  <si>
    <t>Phần mềm quản lý thông báo/nhắc lịch tích hợp dashboard dữ liệu cho gym / yoga</t>
  </si>
  <si>
    <t>LV08-080</t>
  </si>
  <si>
    <t>Phần mềm quản lý dữ liệu và import/export tích hợp dashboard dữ liệu cho gym / yoga</t>
  </si>
  <si>
    <t>LV08-081</t>
  </si>
  <si>
    <t>Hệ thống quản lý tổng thể có gợi ý AI: dự báo gia hạn gói cho phòng gym/yoga</t>
  </si>
  <si>
    <t>LV08-082</t>
  </si>
  <si>
    <t>Hệ thống đặt lịch/đặt chỗ có gợi ý AI: theo dõi tiến độ cho phòng gym/yoga</t>
  </si>
  <si>
    <t>LV08-083</t>
  </si>
  <si>
    <t>Hệ thống bán hàng và thanh toán có gợi ý AI: gợi ý bài tập cho phòng gym/yoga</t>
  </si>
  <si>
    <t>LV08-084</t>
  </si>
  <si>
    <t>Hệ thống quản lý khách hàng CRM có gợi ý AI: dự báo gia hạn gói cho phòng gym/yoga</t>
  </si>
  <si>
    <t>LV08-085</t>
  </si>
  <si>
    <t>Hệ thống quản lý kho/tài sản có gợi ý AI: theo dõi tiến độ cho phòng gym/yoga</t>
  </si>
  <si>
    <t>LV08-086</t>
  </si>
  <si>
    <t>Hệ thống quản lý nhân sự và ca làm có gợi ý AI: gợi ý bài tập cho phòng gym/yoga</t>
  </si>
  <si>
    <t>LV08-087</t>
  </si>
  <si>
    <t>Hệ thống quản lý hóa đơn/công nợ có gợi ý AI: dự báo gia hạn gói cho phòng gym/yoga</t>
  </si>
  <si>
    <t>LV08-088</t>
  </si>
  <si>
    <t>Hệ thống báo cáo thống kê doanh thu có gợi ý AI: theo dõi tiến độ cho phòng gym/yoga</t>
  </si>
  <si>
    <t>LV08-089</t>
  </si>
  <si>
    <t>Hệ thống cổng chăm sóc khách hàng có gợi ý AI: gợi ý bài tập cho phòng gym/yoga</t>
  </si>
  <si>
    <t>LV08-090</t>
  </si>
  <si>
    <t>Hệ thống ứng dụng loyalty/tích điểm có gợi ý AI: dự báo gia hạn gói cho phòng gym/yoga</t>
  </si>
  <si>
    <t>LV08-091</t>
  </si>
  <si>
    <t>Hệ thống quản lý quy trình nghiệp vụ có gợi ý AI: theo dõi tiến độ cho phòng gym/yoga</t>
  </si>
  <si>
    <t>LV08-092</t>
  </si>
  <si>
    <t>Hệ thống theo dõi trạng thái thời gian thực có gợi ý AI: gợi ý bài tập cho phòng gym/yoga</t>
  </si>
  <si>
    <t>LV08-093</t>
  </si>
  <si>
    <t>Hệ thống quản lý hợp đồng/hồ sơ có gợi ý AI: dự báo gia hạn gói cho phòng gym/yoga</t>
  </si>
  <si>
    <t>LV08-094</t>
  </si>
  <si>
    <t>Hệ thống tìm kiếm và lọc nâng cao có gợi ý AI: theo dõi tiến độ cho phòng gym/yoga</t>
  </si>
  <si>
    <t>LV08-095</t>
  </si>
  <si>
    <t>Hệ thống quản lý phản hồi/đánh giá có gợi ý AI: gợi ý bài tập cho phòng gym/yoga</t>
  </si>
  <si>
    <t>LV08-096</t>
  </si>
  <si>
    <t>Hệ thống dashboard điều hành có gợi ý AI: dự báo gia hạn gói cho phòng gym/yoga</t>
  </si>
  <si>
    <t>LV08-097</t>
  </si>
  <si>
    <t>Hệ thống quản lý đa chi nhánh có gợi ý AI: theo dõi tiến độ cho phòng gym/yoga</t>
  </si>
  <si>
    <t>LV08-098</t>
  </si>
  <si>
    <t>Hệ thống hệ thống phân quyền vai trò có gợi ý AI: gợi ý bài tập cho phòng gym/yoga</t>
  </si>
  <si>
    <t>LV08-099</t>
  </si>
  <si>
    <t>Hệ thống quản lý thông báo/nhắc lịch có gợi ý AI: dự báo gia hạn gói cho phòng gym/yoga</t>
  </si>
  <si>
    <t>LV08-100</t>
  </si>
  <si>
    <t>Hệ thống quản lý dữ liệu và import/export có gợi ý AI: theo dõi tiến độ cho phòng gym/yoga</t>
  </si>
  <si>
    <t>Nhà hàng</t>
  </si>
  <si>
    <t>LV09-001</t>
  </si>
  <si>
    <t>Hệ thống quản lý tổng thể cho nhà hàng</t>
  </si>
  <si>
    <t>Đồ án 8 tuần cho nhóm 5 SV: xây dựng Web + Desktop phục vụ nhà hàng; quản lý các thực thể chính: bàn, món ăn, order, bếp, hóa đơn; có CSDL, API, giao diện người dùng, báo cáo và kiểm thử.</t>
  </si>
  <si>
    <t>Đăng nhập phân quyền, CRUD, tìm kiếm/lọc, dashboard thống kê, import/export, báo cáo PDF/Excel, kiểm thử; nghiệp vụ trọng tâm: quản lý tổng thể; AI/ML gợi ý: gợi ý món.</t>
  </si>
  <si>
    <t>gợi ý món</t>
  </si>
  <si>
    <t>LV09-002</t>
  </si>
  <si>
    <t>Hệ thống đặt lịch/đặt chỗ cho nhà hàng</t>
  </si>
  <si>
    <t>Đồ án 8 tuần cho nhóm 5 SV: xây dựng Website phục vụ nhà hàng; quản lý các thực thể chính: bàn, món ăn, order, bếp, hóa đơn; có CSDL, API, giao diện người dùng, báo cáo và kiểm thử.</t>
  </si>
  <si>
    <t>Đăng nhập phân quyền, CRUD, tìm kiếm/lọc, dashboard thống kê, import/export, báo cáo PDF/Excel, kiểm thử; nghiệp vụ trọng tâm: đặt lịch/đặt chỗ; AI/ML gợi ý: tối ưu bàn.</t>
  </si>
  <si>
    <t>tối ưu bàn</t>
  </si>
  <si>
    <t>LV09-003</t>
  </si>
  <si>
    <t>Hệ thống bán hàng và thanh toán cho nhà hàng</t>
  </si>
  <si>
    <t>Đồ án 8 tuần cho nhóm 5 SV: xây dựng Mobile App phục vụ nhà hàng; quản lý các thực thể chính: bàn, món ăn, order, bếp, hóa đơn; có CSDL, API, giao diện người dùng, báo cáo và kiểm thử.</t>
  </si>
  <si>
    <t>Đăng nhập phân quyền, CRUD, tìm kiếm/lọc, dashboard thống kê, import/export, báo cáo PDF/Excel, kiểm thử; nghiệp vụ trọng tâm: bán hàng và thanh toán; AI/ML gợi ý: dự báo món bán chạy.</t>
  </si>
  <si>
    <t>dự báo món bán chạy</t>
  </si>
  <si>
    <t>LV09-004</t>
  </si>
  <si>
    <t>Hệ thống quản lý khách hàng CRM cho nhà hàng</t>
  </si>
  <si>
    <t>Đồ án 8 tuần cho nhóm 5 SV: xây dựng Desktop App phục vụ nhà hàng; quản lý các thực thể chính: bàn, món ăn, order, bếp, hóa đơn; có CSDL, API, giao diện người dùng, báo cáo và kiểm thử.</t>
  </si>
  <si>
    <t>Đăng nhập phân quyền, CRUD, tìm kiếm/lọc, dashboard thống kê, import/export, báo cáo PDF/Excel, kiểm thử; nghiệp vụ trọng tâm: quản lý khách hàng CRM; AI/ML gợi ý: gợi ý món.</t>
  </si>
  <si>
    <t>LV09-005</t>
  </si>
  <si>
    <t>Hệ thống quản lý kho/tài sản cho nhà hàng</t>
  </si>
  <si>
    <t>Đồ án 8 tuần cho nhóm 5 SV: xây dựng Web + Mobile phục vụ nhà hàng; quản lý các thực thể chính: bàn, món ăn, order, bếp, hóa đơn; có CSDL, API, giao diện người dùng, báo cáo và kiểm thử.</t>
  </si>
  <si>
    <t>Đăng nhập phân quyền, CRUD, tìm kiếm/lọc, dashboard thống kê, import/export, báo cáo PDF/Excel, kiểm thử; nghiệp vụ trọng tâm: quản lý kho/tài sản; AI/ML gợi ý: tối ưu bàn.</t>
  </si>
  <si>
    <t>LV09-006</t>
  </si>
  <si>
    <t>Hệ thống quản lý nhân sự và ca làm cho nhà hàng</t>
  </si>
  <si>
    <t>Đăng nhập phân quyền, CRUD, tìm kiếm/lọc, dashboard thống kê, import/export, báo cáo PDF/Excel, kiểm thử; nghiệp vụ trọng tâm: quản lý nhân sự và ca làm; AI/ML gợi ý: dự báo món bán chạy.</t>
  </si>
  <si>
    <t>LV09-007</t>
  </si>
  <si>
    <t>Hệ thống quản lý hóa đơn/công nợ cho nhà hàng</t>
  </si>
  <si>
    <t>Đăng nhập phân quyền, CRUD, tìm kiếm/lọc, dashboard thống kê, import/export, báo cáo PDF/Excel, kiểm thử; nghiệp vụ trọng tâm: quản lý hóa đơn/công nợ; AI/ML gợi ý: gợi ý món.</t>
  </si>
  <si>
    <t>LV09-008</t>
  </si>
  <si>
    <t>Hệ thống báo cáo thống kê doanh thu cho nhà hàng</t>
  </si>
  <si>
    <t>Đăng nhập phân quyền, CRUD, tìm kiếm/lọc, dashboard thống kê, import/export, báo cáo PDF/Excel, kiểm thử; nghiệp vụ trọng tâm: báo cáo thống kê doanh thu; AI/ML gợi ý: tối ưu bàn.</t>
  </si>
  <si>
    <t>LV09-009</t>
  </si>
  <si>
    <t>Hệ thống cổng chăm sóc khách hàng cho nhà hàng</t>
  </si>
  <si>
    <t>Đăng nhập phân quyền, CRUD, tìm kiếm/lọc, dashboard thống kê, import/export, báo cáo PDF/Excel, kiểm thử; nghiệp vụ trọng tâm: cổng chăm sóc khách hàng; AI/ML gợi ý: dự báo món bán chạy.</t>
  </si>
  <si>
    <t>LV09-010</t>
  </si>
  <si>
    <t>Hệ thống ứng dụng loyalty/tích điểm cho nhà hàng</t>
  </si>
  <si>
    <t>Đăng nhập phân quyền, CRUD, tìm kiếm/lọc, dashboard thống kê, import/export, báo cáo PDF/Excel, kiểm thử; nghiệp vụ trọng tâm: ứng dụng loyalty/tích điểm; AI/ML gợi ý: gợi ý món.</t>
  </si>
  <si>
    <t>LV09-011</t>
  </si>
  <si>
    <t>Hệ thống quản lý quy trình nghiệp vụ cho nhà hàng</t>
  </si>
  <si>
    <t>Đăng nhập phân quyền, CRUD, tìm kiếm/lọc, dashboard thống kê, import/export, báo cáo PDF/Excel, kiểm thử; nghiệp vụ trọng tâm: quản lý quy trình nghiệp vụ; AI/ML gợi ý: tối ưu bàn.</t>
  </si>
  <si>
    <t>LV09-012</t>
  </si>
  <si>
    <t>Hệ thống theo dõi trạng thái thời gian thực cho nhà hàng</t>
  </si>
  <si>
    <t>Đăng nhập phân quyền, CRUD, tìm kiếm/lọc, dashboard thống kê, import/export, báo cáo PDF/Excel, kiểm thử; nghiệp vụ trọng tâm: theo dõi trạng thái thời gian thực; AI/ML gợi ý: dự báo món bán chạy.</t>
  </si>
  <si>
    <t>LV09-013</t>
  </si>
  <si>
    <t>Hệ thống quản lý hợp đồng/hồ sơ cho nhà hàng</t>
  </si>
  <si>
    <t>Đăng nhập phân quyền, CRUD, tìm kiếm/lọc, dashboard thống kê, import/export, báo cáo PDF/Excel, kiểm thử; nghiệp vụ trọng tâm: quản lý hợp đồng/hồ sơ; AI/ML gợi ý: gợi ý món.</t>
  </si>
  <si>
    <t>LV09-014</t>
  </si>
  <si>
    <t>Hệ thống tìm kiếm và lọc nâng cao cho nhà hàng</t>
  </si>
  <si>
    <t>Đăng nhập phân quyền, CRUD, tìm kiếm/lọc, dashboard thống kê, import/export, báo cáo PDF/Excel, kiểm thử; nghiệp vụ trọng tâm: tìm kiếm và lọc nâng cao; AI/ML gợi ý: tối ưu bàn.</t>
  </si>
  <si>
    <t>LV09-015</t>
  </si>
  <si>
    <t>Hệ thống quản lý phản hồi/đánh giá cho nhà hàng</t>
  </si>
  <si>
    <t>Đăng nhập phân quyền, CRUD, tìm kiếm/lọc, dashboard thống kê, import/export, báo cáo PDF/Excel, kiểm thử; nghiệp vụ trọng tâm: quản lý phản hồi/đánh giá; AI/ML gợi ý: dự báo món bán chạy.</t>
  </si>
  <si>
    <t>LV09-016</t>
  </si>
  <si>
    <t>Hệ thống dashboard điều hành cho nhà hàng</t>
  </si>
  <si>
    <t>Đăng nhập phân quyền, CRUD, tìm kiếm/lọc, dashboard thống kê, import/export, báo cáo PDF/Excel, kiểm thử; nghiệp vụ trọng tâm: dashboard điều hành; AI/ML gợi ý: gợi ý món.</t>
  </si>
  <si>
    <t>LV09-017</t>
  </si>
  <si>
    <t>Hệ thống quản lý đa chi nhánh cho nhà hàng</t>
  </si>
  <si>
    <t>Đăng nhập phân quyền, CRUD, tìm kiếm/lọc, dashboard thống kê, import/export, báo cáo PDF/Excel, kiểm thử; nghiệp vụ trọng tâm: quản lý đa chi nhánh; AI/ML gợi ý: tối ưu bàn.</t>
  </si>
  <si>
    <t>LV09-018</t>
  </si>
  <si>
    <t>Hệ thống hệ thống phân quyền vai trò cho nhà hàng</t>
  </si>
  <si>
    <t>Đăng nhập phân quyền, CRUD, tìm kiếm/lọc, dashboard thống kê, import/export, báo cáo PDF/Excel, kiểm thử; nghiệp vụ trọng tâm: hệ thống phân quyền vai trò; AI/ML gợi ý: dự báo món bán chạy.</t>
  </si>
  <si>
    <t>LV09-019</t>
  </si>
  <si>
    <t>Hệ thống quản lý thông báo/nhắc lịch cho nhà hàng</t>
  </si>
  <si>
    <t>Đăng nhập phân quyền, CRUD, tìm kiếm/lọc, dashboard thống kê, import/export, báo cáo PDF/Excel, kiểm thử; nghiệp vụ trọng tâm: quản lý thông báo/nhắc lịch; AI/ML gợi ý: gợi ý món.</t>
  </si>
  <si>
    <t>LV09-020</t>
  </si>
  <si>
    <t>Hệ thống quản lý dữ liệu và import/export cho nhà hàng</t>
  </si>
  <si>
    <t>Đăng nhập phân quyền, CRUD, tìm kiếm/lọc, dashboard thống kê, import/export, báo cáo PDF/Excel, kiểm thử; nghiệp vụ trọng tâm: quản lý dữ liệu và import/export; AI/ML gợi ý: tối ưu bàn.</t>
  </si>
  <si>
    <t>LV09-021</t>
  </si>
  <si>
    <t>Ứng dụng web + desktop hỗ trợ quản lý tổng thể trong nhà hàng</t>
  </si>
  <si>
    <t>LV09-022</t>
  </si>
  <si>
    <t>Ứng dụng website hỗ trợ đặt lịch/đặt chỗ trong nhà hàng</t>
  </si>
  <si>
    <t>LV09-023</t>
  </si>
  <si>
    <t>Ứng dụng mobile app hỗ trợ bán hàng và thanh toán trong nhà hàng</t>
  </si>
  <si>
    <t>LV09-024</t>
  </si>
  <si>
    <t>Ứng dụng desktop app hỗ trợ quản lý khách hàng CRM trong nhà hàng</t>
  </si>
  <si>
    <t>LV09-025</t>
  </si>
  <si>
    <t>Ứng dụng web + mobile hỗ trợ quản lý kho/tài sản trong nhà hàng</t>
  </si>
  <si>
    <t>LV09-026</t>
  </si>
  <si>
    <t>Ứng dụng web + desktop hỗ trợ quản lý nhân sự và ca làm trong nhà hàng</t>
  </si>
  <si>
    <t>LV09-027</t>
  </si>
  <si>
    <t>Ứng dụng website hỗ trợ quản lý hóa đơn/công nợ trong nhà hàng</t>
  </si>
  <si>
    <t>LV09-028</t>
  </si>
  <si>
    <t>Ứng dụng mobile app hỗ trợ báo cáo thống kê doanh thu trong nhà hàng</t>
  </si>
  <si>
    <t>LV09-029</t>
  </si>
  <si>
    <t>Ứng dụng desktop app hỗ trợ cổng chăm sóc khách hàng trong nhà hàng</t>
  </si>
  <si>
    <t>LV09-030</t>
  </si>
  <si>
    <t>Ứng dụng web + mobile hỗ trợ ứng dụng loyalty/tích điểm trong nhà hàng</t>
  </si>
  <si>
    <t>LV09-031</t>
  </si>
  <si>
    <t>Ứng dụng web + desktop hỗ trợ quản lý quy trình nghiệp vụ trong nhà hàng</t>
  </si>
  <si>
    <t>LV09-032</t>
  </si>
  <si>
    <t>Ứng dụng website hỗ trợ theo dõi trạng thái thời gian thực trong nhà hàng</t>
  </si>
  <si>
    <t>LV09-033</t>
  </si>
  <si>
    <t>Ứng dụng mobile app hỗ trợ quản lý hợp đồng/hồ sơ trong nhà hàng</t>
  </si>
  <si>
    <t>LV09-034</t>
  </si>
  <si>
    <t>Ứng dụng desktop app hỗ trợ tìm kiếm và lọc nâng cao trong nhà hàng</t>
  </si>
  <si>
    <t>LV09-035</t>
  </si>
  <si>
    <t>Ứng dụng web + mobile hỗ trợ quản lý phản hồi/đánh giá trong nhà hàng</t>
  </si>
  <si>
    <t>LV09-036</t>
  </si>
  <si>
    <t>Ứng dụng web + desktop hỗ trợ dashboard điều hành trong nhà hàng</t>
  </si>
  <si>
    <t>LV09-037</t>
  </si>
  <si>
    <t>Ứng dụng website hỗ trợ quản lý đa chi nhánh trong nhà hàng</t>
  </si>
  <si>
    <t>LV09-038</t>
  </si>
  <si>
    <t>Ứng dụng mobile app hỗ trợ hệ thống phân quyền vai trò trong nhà hàng</t>
  </si>
  <si>
    <t>LV09-039</t>
  </si>
  <si>
    <t>Ứng dụng desktop app hỗ trợ quản lý thông báo/nhắc lịch trong nhà hàng</t>
  </si>
  <si>
    <t>LV09-040</t>
  </si>
  <si>
    <t>Ứng dụng web + mobile hỗ trợ quản lý dữ liệu và import/export trong nhà hàng</t>
  </si>
  <si>
    <t>LV09-041</t>
  </si>
  <si>
    <t>Nền tảng quản lý tổng thể có phân quyền và báo cáo cho nhà hàng</t>
  </si>
  <si>
    <t>LV09-042</t>
  </si>
  <si>
    <t>Nền tảng đặt lịch/đặt chỗ có phân quyền và báo cáo cho nhà hàng</t>
  </si>
  <si>
    <t>LV09-043</t>
  </si>
  <si>
    <t>Nền tảng bán hàng và thanh toán có phân quyền và báo cáo cho nhà hàng</t>
  </si>
  <si>
    <t>LV09-044</t>
  </si>
  <si>
    <t>Nền tảng quản lý khách hàng CRM có phân quyền và báo cáo cho nhà hàng</t>
  </si>
  <si>
    <t>LV09-045</t>
  </si>
  <si>
    <t>Nền tảng quản lý kho/tài sản có phân quyền và báo cáo cho nhà hàng</t>
  </si>
  <si>
    <t>LV09-046</t>
  </si>
  <si>
    <t>Nền tảng quản lý nhân sự và ca làm có phân quyền và báo cáo cho nhà hàng</t>
  </si>
  <si>
    <t>LV09-047</t>
  </si>
  <si>
    <t>Nền tảng quản lý hóa đơn/công nợ có phân quyền và báo cáo cho nhà hàng</t>
  </si>
  <si>
    <t>LV09-048</t>
  </si>
  <si>
    <t>Nền tảng báo cáo thống kê doanh thu có phân quyền và báo cáo cho nhà hàng</t>
  </si>
  <si>
    <t>LV09-049</t>
  </si>
  <si>
    <t>Nền tảng cổng chăm sóc khách hàng có phân quyền và báo cáo cho nhà hàng</t>
  </si>
  <si>
    <t>LV09-050</t>
  </si>
  <si>
    <t>Nền tảng ứng dụng loyalty/tích điểm có phân quyền và báo cáo cho nhà hàng</t>
  </si>
  <si>
    <t>LV09-051</t>
  </si>
  <si>
    <t>Nền tảng quản lý quy trình nghiệp vụ có phân quyền và báo cáo cho nhà hàng</t>
  </si>
  <si>
    <t>LV09-052</t>
  </si>
  <si>
    <t>Nền tảng theo dõi trạng thái thời gian thực có phân quyền và báo cáo cho nhà hàng</t>
  </si>
  <si>
    <t>LV09-053</t>
  </si>
  <si>
    <t>Nền tảng quản lý hợp đồng/hồ sơ có phân quyền và báo cáo cho nhà hàng</t>
  </si>
  <si>
    <t>LV09-054</t>
  </si>
  <si>
    <t>Nền tảng tìm kiếm và lọc nâng cao có phân quyền và báo cáo cho nhà hàng</t>
  </si>
  <si>
    <t>LV09-055</t>
  </si>
  <si>
    <t>Nền tảng quản lý phản hồi/đánh giá có phân quyền và báo cáo cho nhà hàng</t>
  </si>
  <si>
    <t>LV09-056</t>
  </si>
  <si>
    <t>Nền tảng dashboard điều hành có phân quyền và báo cáo cho nhà hàng</t>
  </si>
  <si>
    <t>LV09-057</t>
  </si>
  <si>
    <t>Nền tảng quản lý đa chi nhánh có phân quyền và báo cáo cho nhà hàng</t>
  </si>
  <si>
    <t>LV09-058</t>
  </si>
  <si>
    <t>Nền tảng hệ thống phân quyền vai trò có phân quyền và báo cáo cho nhà hàng</t>
  </si>
  <si>
    <t>LV09-059</t>
  </si>
  <si>
    <t>Nền tảng quản lý thông báo/nhắc lịch có phân quyền và báo cáo cho nhà hàng</t>
  </si>
  <si>
    <t>LV09-060</t>
  </si>
  <si>
    <t>Nền tảng quản lý dữ liệu và import/export có phân quyền và báo cáo cho nhà hàng</t>
  </si>
  <si>
    <t>LV09-061</t>
  </si>
  <si>
    <t>Phần mềm quản lý tổng thể tích hợp dashboard dữ liệu cho nhà hàng</t>
  </si>
  <si>
    <t>LV09-062</t>
  </si>
  <si>
    <t>Phần mềm đặt lịch/đặt chỗ tích hợp dashboard dữ liệu cho nhà hàng</t>
  </si>
  <si>
    <t>LV09-063</t>
  </si>
  <si>
    <t>Phần mềm bán hàng và thanh toán tích hợp dashboard dữ liệu cho nhà hàng</t>
  </si>
  <si>
    <t>LV09-064</t>
  </si>
  <si>
    <t>Phần mềm quản lý khách hàng CRM tích hợp dashboard dữ liệu cho nhà hàng</t>
  </si>
  <si>
    <t>LV09-065</t>
  </si>
  <si>
    <t>Phần mềm quản lý kho/tài sản tích hợp dashboard dữ liệu cho nhà hàng</t>
  </si>
  <si>
    <t>LV09-066</t>
  </si>
  <si>
    <t>Phần mềm quản lý nhân sự và ca làm tích hợp dashboard dữ liệu cho nhà hàng</t>
  </si>
  <si>
    <t>LV09-067</t>
  </si>
  <si>
    <t>Phần mềm quản lý hóa đơn/công nợ tích hợp dashboard dữ liệu cho nhà hàng</t>
  </si>
  <si>
    <t>LV09-068</t>
  </si>
  <si>
    <t>Phần mềm báo cáo thống kê doanh thu tích hợp dashboard dữ liệu cho nhà hàng</t>
  </si>
  <si>
    <t>LV09-069</t>
  </si>
  <si>
    <t>Phần mềm cổng chăm sóc khách hàng tích hợp dashboard dữ liệu cho nhà hàng</t>
  </si>
  <si>
    <t>LV09-070</t>
  </si>
  <si>
    <t>Phần mềm ứng dụng loyalty/tích điểm tích hợp dashboard dữ liệu cho nhà hàng</t>
  </si>
  <si>
    <t>LV09-071</t>
  </si>
  <si>
    <t>Phần mềm quản lý quy trình nghiệp vụ tích hợp dashboard dữ liệu cho nhà hàng</t>
  </si>
  <si>
    <t>LV09-072</t>
  </si>
  <si>
    <t>Phần mềm theo dõi trạng thái thời gian thực tích hợp dashboard dữ liệu cho nhà hàng</t>
  </si>
  <si>
    <t>LV09-073</t>
  </si>
  <si>
    <t>Phần mềm quản lý hợp đồng/hồ sơ tích hợp dashboard dữ liệu cho nhà hàng</t>
  </si>
  <si>
    <t>LV09-074</t>
  </si>
  <si>
    <t>Phần mềm tìm kiếm và lọc nâng cao tích hợp dashboard dữ liệu cho nhà hàng</t>
  </si>
  <si>
    <t>LV09-075</t>
  </si>
  <si>
    <t>Phần mềm quản lý phản hồi/đánh giá tích hợp dashboard dữ liệu cho nhà hàng</t>
  </si>
  <si>
    <t>LV09-076</t>
  </si>
  <si>
    <t>Phần mềm dashboard điều hành tích hợp dashboard dữ liệu cho nhà hàng</t>
  </si>
  <si>
    <t>LV09-077</t>
  </si>
  <si>
    <t>Phần mềm quản lý đa chi nhánh tích hợp dashboard dữ liệu cho nhà hàng</t>
  </si>
  <si>
    <t>LV09-078</t>
  </si>
  <si>
    <t>Phần mềm hệ thống phân quyền vai trò tích hợp dashboard dữ liệu cho nhà hàng</t>
  </si>
  <si>
    <t>LV09-079</t>
  </si>
  <si>
    <t>Phần mềm quản lý thông báo/nhắc lịch tích hợp dashboard dữ liệu cho nhà hàng</t>
  </si>
  <si>
    <t>LV09-080</t>
  </si>
  <si>
    <t>Phần mềm quản lý dữ liệu và import/export tích hợp dashboard dữ liệu cho nhà hàng</t>
  </si>
  <si>
    <t>LV09-081</t>
  </si>
  <si>
    <t>Hệ thống quản lý tổng thể có gợi ý AI: gợi ý món cho nhà hàng</t>
  </si>
  <si>
    <t>LV09-082</t>
  </si>
  <si>
    <t>Hệ thống đặt lịch/đặt chỗ có gợi ý AI: tối ưu bàn cho nhà hàng</t>
  </si>
  <si>
    <t>LV09-083</t>
  </si>
  <si>
    <t>Hệ thống bán hàng và thanh toán có gợi ý AI: dự báo món bán chạy cho nhà hàng</t>
  </si>
  <si>
    <t>LV09-084</t>
  </si>
  <si>
    <t>Hệ thống quản lý khách hàng CRM có gợi ý AI: gợi ý món cho nhà hàng</t>
  </si>
  <si>
    <t>LV09-085</t>
  </si>
  <si>
    <t>Hệ thống quản lý kho/tài sản có gợi ý AI: tối ưu bàn cho nhà hàng</t>
  </si>
  <si>
    <t>LV09-086</t>
  </si>
  <si>
    <t>Hệ thống quản lý nhân sự và ca làm có gợi ý AI: dự báo món bán chạy cho nhà hàng</t>
  </si>
  <si>
    <t>LV09-087</t>
  </si>
  <si>
    <t>Hệ thống quản lý hóa đơn/công nợ có gợi ý AI: gợi ý món cho nhà hàng</t>
  </si>
  <si>
    <t>LV09-088</t>
  </si>
  <si>
    <t>Hệ thống báo cáo thống kê doanh thu có gợi ý AI: tối ưu bàn cho nhà hàng</t>
  </si>
  <si>
    <t>LV09-089</t>
  </si>
  <si>
    <t>Hệ thống cổng chăm sóc khách hàng có gợi ý AI: dự báo món bán chạy cho nhà hàng</t>
  </si>
  <si>
    <t>LV09-090</t>
  </si>
  <si>
    <t>Hệ thống ứng dụng loyalty/tích điểm có gợi ý AI: gợi ý món cho nhà hàng</t>
  </si>
  <si>
    <t>LV09-091</t>
  </si>
  <si>
    <t>Hệ thống quản lý quy trình nghiệp vụ có gợi ý AI: tối ưu bàn cho nhà hàng</t>
  </si>
  <si>
    <t>LV09-092</t>
  </si>
  <si>
    <t>Hệ thống theo dõi trạng thái thời gian thực có gợi ý AI: dự báo món bán chạy cho nhà hàng</t>
  </si>
  <si>
    <t>LV09-093</t>
  </si>
  <si>
    <t>Hệ thống quản lý hợp đồng/hồ sơ có gợi ý AI: gợi ý món cho nhà hàng</t>
  </si>
  <si>
    <t>LV09-094</t>
  </si>
  <si>
    <t>Hệ thống tìm kiếm và lọc nâng cao có gợi ý AI: tối ưu bàn cho nhà hàng</t>
  </si>
  <si>
    <t>LV09-095</t>
  </si>
  <si>
    <t>Hệ thống quản lý phản hồi/đánh giá có gợi ý AI: dự báo món bán chạy cho nhà hàng</t>
  </si>
  <si>
    <t>LV09-096</t>
  </si>
  <si>
    <t>Hệ thống dashboard điều hành có gợi ý AI: gợi ý món cho nhà hàng</t>
  </si>
  <si>
    <t>LV09-097</t>
  </si>
  <si>
    <t>Hệ thống quản lý đa chi nhánh có gợi ý AI: tối ưu bàn cho nhà hàng</t>
  </si>
  <si>
    <t>LV09-098</t>
  </si>
  <si>
    <t>Hệ thống hệ thống phân quyền vai trò có gợi ý AI: dự báo món bán chạy cho nhà hàng</t>
  </si>
  <si>
    <t>LV09-099</t>
  </si>
  <si>
    <t>Hệ thống quản lý thông báo/nhắc lịch có gợi ý AI: gợi ý món cho nhà hàng</t>
  </si>
  <si>
    <t>LV09-100</t>
  </si>
  <si>
    <t>Hệ thống quản lý dữ liệu và import/export có gợi ý AI: tối ưu bàn cho nhà hàng</t>
  </si>
  <si>
    <t>Quán cà phê</t>
  </si>
  <si>
    <t>LV10-001</t>
  </si>
  <si>
    <t>Hệ thống quản lý tổng thể cho quán cà phê</t>
  </si>
  <si>
    <t>Đồ án 8 tuần cho nhóm 5 SV: xây dựng Website phục vụ quán cà phê; quản lý các thực thể chính: menu, đơn hàng, bàn, khách hàng thân thiết; có CSDL, API, giao diện người dùng, báo cáo và kiểm thử.</t>
  </si>
  <si>
    <t>Đăng nhập phân quyền, CRUD, tìm kiếm/lọc, dashboard thống kê, import/export, báo cáo PDF/Excel, kiểm thử; nghiệp vụ trọng tâm: quản lý tổng thể; AI/ML gợi ý: dự báo doanh thu.</t>
  </si>
  <si>
    <t>dự báo doanh thu</t>
  </si>
  <si>
    <t>LV10-002</t>
  </si>
  <si>
    <t>Hệ thống đặt lịch/đặt chỗ cho quán cà phê</t>
  </si>
  <si>
    <t>Đồ án 8 tuần cho nhóm 5 SV: xây dựng Mobile App phục vụ quán cà phê; quản lý các thực thể chính: menu, đơn hàng, bàn, khách hàng thân thiết; có CSDL, API, giao diện người dùng, báo cáo và kiểm thử.</t>
  </si>
  <si>
    <t>Đăng nhập phân quyền, CRUD, tìm kiếm/lọc, dashboard thống kê, import/export, báo cáo PDF/Excel, kiểm thử; nghiệp vụ trọng tâm: đặt lịch/đặt chỗ; AI/ML gợi ý: phân tích giờ cao điểm.</t>
  </si>
  <si>
    <t>phân tích giờ cao điểm</t>
  </si>
  <si>
    <t>LV10-003</t>
  </si>
  <si>
    <t>Hệ thống bán hàng và thanh toán cho quán cà phê</t>
  </si>
  <si>
    <t>Đồ án 8 tuần cho nhóm 5 SV: xây dựng Desktop App phục vụ quán cà phê; quản lý các thực thể chính: menu, đơn hàng, bàn, khách hàng thân thiết; có CSDL, API, giao diện người dùng, báo cáo và kiểm thử.</t>
  </si>
  <si>
    <t>Đăng nhập phân quyền, CRUD, tìm kiếm/lọc, dashboard thống kê, import/export, báo cáo PDF/Excel, kiểm thử; nghiệp vụ trọng tâm: bán hàng và thanh toán; AI/ML gợi ý: gợi ý đồ uống.</t>
  </si>
  <si>
    <t>gợi ý đồ uống</t>
  </si>
  <si>
    <t>LV10-004</t>
  </si>
  <si>
    <t>Hệ thống quản lý khách hàng CRM cho quán cà phê</t>
  </si>
  <si>
    <t>Đồ án 8 tuần cho nhóm 5 SV: xây dựng Web + Mobile phục vụ quán cà phê; quản lý các thực thể chính: menu, đơn hàng, bàn, khách hàng thân thiết; có CSDL, API, giao diện người dùng, báo cáo và kiểm thử.</t>
  </si>
  <si>
    <t>Đăng nhập phân quyền, CRUD, tìm kiếm/lọc, dashboard thống kê, import/export, báo cáo PDF/Excel, kiểm thử; nghiệp vụ trọng tâm: quản lý khách hàng CRM; AI/ML gợi ý: dự báo doanh thu.</t>
  </si>
  <si>
    <t>LV10-005</t>
  </si>
  <si>
    <t>Hệ thống quản lý kho/tài sản cho quán cà phê</t>
  </si>
  <si>
    <t>Đồ án 8 tuần cho nhóm 5 SV: xây dựng Web + Desktop phục vụ quán cà phê; quản lý các thực thể chính: menu, đơn hàng, bàn, khách hàng thân thiết; có CSDL, API, giao diện người dùng, báo cáo và kiểm thử.</t>
  </si>
  <si>
    <t>Đăng nhập phân quyền, CRUD, tìm kiếm/lọc, dashboard thống kê, import/export, báo cáo PDF/Excel, kiểm thử; nghiệp vụ trọng tâm: quản lý kho/tài sản; AI/ML gợi ý: phân tích giờ cao điểm.</t>
  </si>
  <si>
    <t>LV10-006</t>
  </si>
  <si>
    <t>Hệ thống quản lý nhân sự và ca làm cho quán cà phê</t>
  </si>
  <si>
    <t>Đăng nhập phân quyền, CRUD, tìm kiếm/lọc, dashboard thống kê, import/export, báo cáo PDF/Excel, kiểm thử; nghiệp vụ trọng tâm: quản lý nhân sự và ca làm; AI/ML gợi ý: gợi ý đồ uống.</t>
  </si>
  <si>
    <t>LV10-007</t>
  </si>
  <si>
    <t>Hệ thống quản lý hóa đơn/công nợ cho quán cà phê</t>
  </si>
  <si>
    <t>Đăng nhập phân quyền, CRUD, tìm kiếm/lọc, dashboard thống kê, import/export, báo cáo PDF/Excel, kiểm thử; nghiệp vụ trọng tâm: quản lý hóa đơn/công nợ; AI/ML gợi ý: dự báo doanh thu.</t>
  </si>
  <si>
    <t>LV10-008</t>
  </si>
  <si>
    <t>Hệ thống báo cáo thống kê doanh thu cho quán cà phê</t>
  </si>
  <si>
    <t>Đăng nhập phân quyền, CRUD, tìm kiếm/lọc, dashboard thống kê, import/export, báo cáo PDF/Excel, kiểm thử; nghiệp vụ trọng tâm: báo cáo thống kê doanh thu; AI/ML gợi ý: phân tích giờ cao điểm.</t>
  </si>
  <si>
    <t>LV10-009</t>
  </si>
  <si>
    <t>Hệ thống cổng chăm sóc khách hàng cho quán cà phê</t>
  </si>
  <si>
    <t>Đăng nhập phân quyền, CRUD, tìm kiếm/lọc, dashboard thống kê, import/export, báo cáo PDF/Excel, kiểm thử; nghiệp vụ trọng tâm: cổng chăm sóc khách hàng; AI/ML gợi ý: gợi ý đồ uống.</t>
  </si>
  <si>
    <t>LV10-010</t>
  </si>
  <si>
    <t>Hệ thống ứng dụng loyalty/tích điểm cho quán cà phê</t>
  </si>
  <si>
    <t>Đăng nhập phân quyền, CRUD, tìm kiếm/lọc, dashboard thống kê, import/export, báo cáo PDF/Excel, kiểm thử; nghiệp vụ trọng tâm: ứng dụng loyalty/tích điểm; AI/ML gợi ý: dự báo doanh thu.</t>
  </si>
  <si>
    <t>LV10-011</t>
  </si>
  <si>
    <t>Hệ thống quản lý quy trình nghiệp vụ cho quán cà phê</t>
  </si>
  <si>
    <t>Đăng nhập phân quyền, CRUD, tìm kiếm/lọc, dashboard thống kê, import/export, báo cáo PDF/Excel, kiểm thử; nghiệp vụ trọng tâm: quản lý quy trình nghiệp vụ; AI/ML gợi ý: phân tích giờ cao điểm.</t>
  </si>
  <si>
    <t>LV10-012</t>
  </si>
  <si>
    <t>Hệ thống theo dõi trạng thái thời gian thực cho quán cà phê</t>
  </si>
  <si>
    <t>Đăng nhập phân quyền, CRUD, tìm kiếm/lọc, dashboard thống kê, import/export, báo cáo PDF/Excel, kiểm thử; nghiệp vụ trọng tâm: theo dõi trạng thái thời gian thực; AI/ML gợi ý: gợi ý đồ uống.</t>
  </si>
  <si>
    <t>LV10-013</t>
  </si>
  <si>
    <t>Hệ thống quản lý hợp đồng/hồ sơ cho quán cà phê</t>
  </si>
  <si>
    <t>Đăng nhập phân quyền, CRUD, tìm kiếm/lọc, dashboard thống kê, import/export, báo cáo PDF/Excel, kiểm thử; nghiệp vụ trọng tâm: quản lý hợp đồng/hồ sơ; AI/ML gợi ý: dự báo doanh thu.</t>
  </si>
  <si>
    <t>LV10-014</t>
  </si>
  <si>
    <t>Hệ thống tìm kiếm và lọc nâng cao cho quán cà phê</t>
  </si>
  <si>
    <t>Đăng nhập phân quyền, CRUD, tìm kiếm/lọc, dashboard thống kê, import/export, báo cáo PDF/Excel, kiểm thử; nghiệp vụ trọng tâm: tìm kiếm và lọc nâng cao; AI/ML gợi ý: phân tích giờ cao điểm.</t>
  </si>
  <si>
    <t>LV10-015</t>
  </si>
  <si>
    <t>Hệ thống quản lý phản hồi/đánh giá cho quán cà phê</t>
  </si>
  <si>
    <t>Đăng nhập phân quyền, CRUD, tìm kiếm/lọc, dashboard thống kê, import/export, báo cáo PDF/Excel, kiểm thử; nghiệp vụ trọng tâm: quản lý phản hồi/đánh giá; AI/ML gợi ý: gợi ý đồ uống.</t>
  </si>
  <si>
    <t>LV10-016</t>
  </si>
  <si>
    <t>Hệ thống dashboard điều hành cho quán cà phê</t>
  </si>
  <si>
    <t>Đăng nhập phân quyền, CRUD, tìm kiếm/lọc, dashboard thống kê, import/export, báo cáo PDF/Excel, kiểm thử; nghiệp vụ trọng tâm: dashboard điều hành; AI/ML gợi ý: dự báo doanh thu.</t>
  </si>
  <si>
    <t>LV10-017</t>
  </si>
  <si>
    <t>Hệ thống quản lý đa chi nhánh cho quán cà phê</t>
  </si>
  <si>
    <t>Đăng nhập phân quyền, CRUD, tìm kiếm/lọc, dashboard thống kê, import/export, báo cáo PDF/Excel, kiểm thử; nghiệp vụ trọng tâm: quản lý đa chi nhánh; AI/ML gợi ý: phân tích giờ cao điểm.</t>
  </si>
  <si>
    <t>LV10-018</t>
  </si>
  <si>
    <t>Hệ thống hệ thống phân quyền vai trò cho quán cà phê</t>
  </si>
  <si>
    <t>Đăng nhập phân quyền, CRUD, tìm kiếm/lọc, dashboard thống kê, import/export, báo cáo PDF/Excel, kiểm thử; nghiệp vụ trọng tâm: hệ thống phân quyền vai trò; AI/ML gợi ý: gợi ý đồ uống.</t>
  </si>
  <si>
    <t>LV10-019</t>
  </si>
  <si>
    <t>Hệ thống quản lý thông báo/nhắc lịch cho quán cà phê</t>
  </si>
  <si>
    <t>Đăng nhập phân quyền, CRUD, tìm kiếm/lọc, dashboard thống kê, import/export, báo cáo PDF/Excel, kiểm thử; nghiệp vụ trọng tâm: quản lý thông báo/nhắc lịch; AI/ML gợi ý: dự báo doanh thu.</t>
  </si>
  <si>
    <t>LV10-020</t>
  </si>
  <si>
    <t>Hệ thống quản lý dữ liệu và import/export cho quán cà phê</t>
  </si>
  <si>
    <t>Đăng nhập phân quyền, CRUD, tìm kiếm/lọc, dashboard thống kê, import/export, báo cáo PDF/Excel, kiểm thử; nghiệp vụ trọng tâm: quản lý dữ liệu và import/export; AI/ML gợi ý: phân tích giờ cao điểm.</t>
  </si>
  <si>
    <t>LV10-021</t>
  </si>
  <si>
    <t>Ứng dụng website hỗ trợ quản lý tổng thể trong quán cà phê</t>
  </si>
  <si>
    <t>LV10-022</t>
  </si>
  <si>
    <t>Ứng dụng mobile app hỗ trợ đặt lịch/đặt chỗ trong quán cà phê</t>
  </si>
  <si>
    <t>LV10-023</t>
  </si>
  <si>
    <t>Ứng dụng desktop app hỗ trợ bán hàng và thanh toán trong quán cà phê</t>
  </si>
  <si>
    <t>LV10-024</t>
  </si>
  <si>
    <t>Ứng dụng web + mobile hỗ trợ quản lý khách hàng CRM trong quán cà phê</t>
  </si>
  <si>
    <t>LV10-025</t>
  </si>
  <si>
    <t>Ứng dụng web + desktop hỗ trợ quản lý kho/tài sản trong quán cà phê</t>
  </si>
  <si>
    <t>LV10-026</t>
  </si>
  <si>
    <t>Ứng dụng website hỗ trợ quản lý nhân sự và ca làm trong quán cà phê</t>
  </si>
  <si>
    <t>LV10-027</t>
  </si>
  <si>
    <t>Ứng dụng mobile app hỗ trợ quản lý hóa đơn/công nợ trong quán cà phê</t>
  </si>
  <si>
    <t>LV10-028</t>
  </si>
  <si>
    <t>Ứng dụng desktop app hỗ trợ báo cáo thống kê doanh thu trong quán cà phê</t>
  </si>
  <si>
    <t>LV10-029</t>
  </si>
  <si>
    <t>Ứng dụng web + mobile hỗ trợ cổng chăm sóc khách hàng trong quán cà phê</t>
  </si>
  <si>
    <t>LV10-030</t>
  </si>
  <si>
    <t>Ứng dụng web + desktop hỗ trợ ứng dụng loyalty/tích điểm trong quán cà phê</t>
  </si>
  <si>
    <t>LV10-031</t>
  </si>
  <si>
    <t>Ứng dụng website hỗ trợ quản lý quy trình nghiệp vụ trong quán cà phê</t>
  </si>
  <si>
    <t>LV10-032</t>
  </si>
  <si>
    <t>Ứng dụng mobile app hỗ trợ theo dõi trạng thái thời gian thực trong quán cà phê</t>
  </si>
  <si>
    <t>LV10-033</t>
  </si>
  <si>
    <t>Ứng dụng desktop app hỗ trợ quản lý hợp đồng/hồ sơ trong quán cà phê</t>
  </si>
  <si>
    <t>LV10-034</t>
  </si>
  <si>
    <t>Ứng dụng web + mobile hỗ trợ tìm kiếm và lọc nâng cao trong quán cà phê</t>
  </si>
  <si>
    <t>LV10-035</t>
  </si>
  <si>
    <t>Ứng dụng web + desktop hỗ trợ quản lý phản hồi/đánh giá trong quán cà phê</t>
  </si>
  <si>
    <t>LV10-036</t>
  </si>
  <si>
    <t>Ứng dụng website hỗ trợ dashboard điều hành trong quán cà phê</t>
  </si>
  <si>
    <t>LV10-037</t>
  </si>
  <si>
    <t>Ứng dụng mobile app hỗ trợ quản lý đa chi nhánh trong quán cà phê</t>
  </si>
  <si>
    <t>LV10-038</t>
  </si>
  <si>
    <t>Ứng dụng desktop app hỗ trợ hệ thống phân quyền vai trò trong quán cà phê</t>
  </si>
  <si>
    <t>LV10-039</t>
  </si>
  <si>
    <t>Ứng dụng web + mobile hỗ trợ quản lý thông báo/nhắc lịch trong quán cà phê</t>
  </si>
  <si>
    <t>LV10-040</t>
  </si>
  <si>
    <t>Ứng dụng web + desktop hỗ trợ quản lý dữ liệu và import/export trong quán cà phê</t>
  </si>
  <si>
    <t>LV10-041</t>
  </si>
  <si>
    <t>Nền tảng quản lý tổng thể có phân quyền và báo cáo cho quán cà phê</t>
  </si>
  <si>
    <t>LV10-042</t>
  </si>
  <si>
    <t>Nền tảng đặt lịch/đặt chỗ có phân quyền và báo cáo cho quán cà phê</t>
  </si>
  <si>
    <t>LV10-043</t>
  </si>
  <si>
    <t>Nền tảng bán hàng và thanh toán có phân quyền và báo cáo cho quán cà phê</t>
  </si>
  <si>
    <t>LV10-044</t>
  </si>
  <si>
    <t>Nền tảng quản lý khách hàng CRM có phân quyền và báo cáo cho quán cà phê</t>
  </si>
  <si>
    <t>LV10-045</t>
  </si>
  <si>
    <t>Nền tảng quản lý kho/tài sản có phân quyền và báo cáo cho quán cà phê</t>
  </si>
  <si>
    <t>LV10-046</t>
  </si>
  <si>
    <t>Nền tảng quản lý nhân sự và ca làm có phân quyền và báo cáo cho quán cà phê</t>
  </si>
  <si>
    <t>LV10-047</t>
  </si>
  <si>
    <t>Nền tảng quản lý hóa đơn/công nợ có phân quyền và báo cáo cho quán cà phê</t>
  </si>
  <si>
    <t>LV10-048</t>
  </si>
  <si>
    <t>Nền tảng báo cáo thống kê doanh thu có phân quyền và báo cáo cho quán cà phê</t>
  </si>
  <si>
    <t>LV10-049</t>
  </si>
  <si>
    <t>Nền tảng cổng chăm sóc khách hàng có phân quyền và báo cáo cho quán cà phê</t>
  </si>
  <si>
    <t>LV10-050</t>
  </si>
  <si>
    <t>Nền tảng ứng dụng loyalty/tích điểm có phân quyền và báo cáo cho quán cà phê</t>
  </si>
  <si>
    <t>LV10-051</t>
  </si>
  <si>
    <t>Nền tảng quản lý quy trình nghiệp vụ có phân quyền và báo cáo cho quán cà phê</t>
  </si>
  <si>
    <t>LV10-052</t>
  </si>
  <si>
    <t>Nền tảng theo dõi trạng thái thời gian thực có phân quyền và báo cáo cho quán cà phê</t>
  </si>
  <si>
    <t>LV10-053</t>
  </si>
  <si>
    <t>Nền tảng quản lý hợp đồng/hồ sơ có phân quyền và báo cáo cho quán cà phê</t>
  </si>
  <si>
    <t>LV10-054</t>
  </si>
  <si>
    <t>Nền tảng tìm kiếm và lọc nâng cao có phân quyền và báo cáo cho quán cà phê</t>
  </si>
  <si>
    <t>LV10-055</t>
  </si>
  <si>
    <t>Nền tảng quản lý phản hồi/đánh giá có phân quyền và báo cáo cho quán cà phê</t>
  </si>
  <si>
    <t>LV10-056</t>
  </si>
  <si>
    <t>Nền tảng dashboard điều hành có phân quyền và báo cáo cho quán cà phê</t>
  </si>
  <si>
    <t>LV10-057</t>
  </si>
  <si>
    <t>Nền tảng quản lý đa chi nhánh có phân quyền và báo cáo cho quán cà phê</t>
  </si>
  <si>
    <t>LV10-058</t>
  </si>
  <si>
    <t>Nền tảng hệ thống phân quyền vai trò có phân quyền và báo cáo cho quán cà phê</t>
  </si>
  <si>
    <t>LV10-059</t>
  </si>
  <si>
    <t>Nền tảng quản lý thông báo/nhắc lịch có phân quyền và báo cáo cho quán cà phê</t>
  </si>
  <si>
    <t>LV10-060</t>
  </si>
  <si>
    <t>Nền tảng quản lý dữ liệu và import/export có phân quyền và báo cáo cho quán cà phê</t>
  </si>
  <si>
    <t>LV10-061</t>
  </si>
  <si>
    <t>Phần mềm quản lý tổng thể tích hợp dashboard dữ liệu cho quán cà phê</t>
  </si>
  <si>
    <t>LV10-062</t>
  </si>
  <si>
    <t>Phần mềm đặt lịch/đặt chỗ tích hợp dashboard dữ liệu cho quán cà phê</t>
  </si>
  <si>
    <t>LV10-063</t>
  </si>
  <si>
    <t>Phần mềm bán hàng và thanh toán tích hợp dashboard dữ liệu cho quán cà phê</t>
  </si>
  <si>
    <t>LV10-064</t>
  </si>
  <si>
    <t>Phần mềm quản lý khách hàng CRM tích hợp dashboard dữ liệu cho quán cà phê</t>
  </si>
  <si>
    <t>LV10-065</t>
  </si>
  <si>
    <t>Phần mềm quản lý kho/tài sản tích hợp dashboard dữ liệu cho quán cà phê</t>
  </si>
  <si>
    <t>LV10-066</t>
  </si>
  <si>
    <t>Phần mềm quản lý nhân sự và ca làm tích hợp dashboard dữ liệu cho quán cà phê</t>
  </si>
  <si>
    <t>LV10-067</t>
  </si>
  <si>
    <t>Phần mềm quản lý hóa đơn/công nợ tích hợp dashboard dữ liệu cho quán cà phê</t>
  </si>
  <si>
    <t>LV10-068</t>
  </si>
  <si>
    <t>Phần mềm báo cáo thống kê doanh thu tích hợp dashboard dữ liệu cho quán cà phê</t>
  </si>
  <si>
    <t>LV10-069</t>
  </si>
  <si>
    <t>Phần mềm cổng chăm sóc khách hàng tích hợp dashboard dữ liệu cho quán cà phê</t>
  </si>
  <si>
    <t>LV10-070</t>
  </si>
  <si>
    <t>Phần mềm ứng dụng loyalty/tích điểm tích hợp dashboard dữ liệu cho quán cà phê</t>
  </si>
  <si>
    <t>LV10-071</t>
  </si>
  <si>
    <t>Phần mềm quản lý quy trình nghiệp vụ tích hợp dashboard dữ liệu cho quán cà phê</t>
  </si>
  <si>
    <t>LV10-072</t>
  </si>
  <si>
    <t>Phần mềm theo dõi trạng thái thời gian thực tích hợp dashboard dữ liệu cho quán cà phê</t>
  </si>
  <si>
    <t>LV10-073</t>
  </si>
  <si>
    <t>Phần mềm quản lý hợp đồng/hồ sơ tích hợp dashboard dữ liệu cho quán cà phê</t>
  </si>
  <si>
    <t>LV10-074</t>
  </si>
  <si>
    <t>Phần mềm tìm kiếm và lọc nâng cao tích hợp dashboard dữ liệu cho quán cà phê</t>
  </si>
  <si>
    <t>LV10-075</t>
  </si>
  <si>
    <t>Phần mềm quản lý phản hồi/đánh giá tích hợp dashboard dữ liệu cho quán cà phê</t>
  </si>
  <si>
    <t>LV10-076</t>
  </si>
  <si>
    <t>Phần mềm dashboard điều hành tích hợp dashboard dữ liệu cho quán cà phê</t>
  </si>
  <si>
    <t>LV10-077</t>
  </si>
  <si>
    <t>Phần mềm quản lý đa chi nhánh tích hợp dashboard dữ liệu cho quán cà phê</t>
  </si>
  <si>
    <t>LV10-078</t>
  </si>
  <si>
    <t>Phần mềm hệ thống phân quyền vai trò tích hợp dashboard dữ liệu cho quán cà phê</t>
  </si>
  <si>
    <t>LV10-079</t>
  </si>
  <si>
    <t>Phần mềm quản lý thông báo/nhắc lịch tích hợp dashboard dữ liệu cho quán cà phê</t>
  </si>
  <si>
    <t>LV10-080</t>
  </si>
  <si>
    <t>Phần mềm quản lý dữ liệu và import/export tích hợp dashboard dữ liệu cho quán cà phê</t>
  </si>
  <si>
    <t>LV10-081</t>
  </si>
  <si>
    <t>Hệ thống quản lý tổng thể có gợi ý AI: dự báo doanh thu cho quán cà phê</t>
  </si>
  <si>
    <t>LV10-082</t>
  </si>
  <si>
    <t>Hệ thống đặt lịch/đặt chỗ có gợi ý AI: phân tích giờ cao điểm cho quán cà phê</t>
  </si>
  <si>
    <t>LV10-083</t>
  </si>
  <si>
    <t>Hệ thống bán hàng và thanh toán có gợi ý AI: gợi ý đồ uống cho quán cà phê</t>
  </si>
  <si>
    <t>LV10-084</t>
  </si>
  <si>
    <t>Hệ thống quản lý khách hàng CRM có gợi ý AI: dự báo doanh thu cho quán cà phê</t>
  </si>
  <si>
    <t>LV10-085</t>
  </si>
  <si>
    <t>Hệ thống quản lý kho/tài sản có gợi ý AI: phân tích giờ cao điểm cho quán cà phê</t>
  </si>
  <si>
    <t>LV10-086</t>
  </si>
  <si>
    <t>Hệ thống quản lý nhân sự và ca làm có gợi ý AI: gợi ý đồ uống cho quán cà phê</t>
  </si>
  <si>
    <t>LV10-087</t>
  </si>
  <si>
    <t>Hệ thống quản lý hóa đơn/công nợ có gợi ý AI: dự báo doanh thu cho quán cà phê</t>
  </si>
  <si>
    <t>LV10-088</t>
  </si>
  <si>
    <t>Hệ thống báo cáo thống kê doanh thu có gợi ý AI: phân tích giờ cao điểm cho quán cà phê</t>
  </si>
  <si>
    <t>LV10-089</t>
  </si>
  <si>
    <t>Hệ thống cổng chăm sóc khách hàng có gợi ý AI: gợi ý đồ uống cho quán cà phê</t>
  </si>
  <si>
    <t>LV10-090</t>
  </si>
  <si>
    <t>Hệ thống ứng dụng loyalty/tích điểm có gợi ý AI: dự báo doanh thu cho quán cà phê</t>
  </si>
  <si>
    <t>LV10-091</t>
  </si>
  <si>
    <t>Hệ thống quản lý quy trình nghiệp vụ có gợi ý AI: phân tích giờ cao điểm cho quán cà phê</t>
  </si>
  <si>
    <t>LV10-092</t>
  </si>
  <si>
    <t>Hệ thống theo dõi trạng thái thời gian thực có gợi ý AI: gợi ý đồ uống cho quán cà phê</t>
  </si>
  <si>
    <t>LV10-093</t>
  </si>
  <si>
    <t>Hệ thống quản lý hợp đồng/hồ sơ có gợi ý AI: dự báo doanh thu cho quán cà phê</t>
  </si>
  <si>
    <t>LV10-094</t>
  </si>
  <si>
    <t>Hệ thống tìm kiếm và lọc nâng cao có gợi ý AI: phân tích giờ cao điểm cho quán cà phê</t>
  </si>
  <si>
    <t>LV10-095</t>
  </si>
  <si>
    <t>Hệ thống quản lý phản hồi/đánh giá có gợi ý AI: gợi ý đồ uống cho quán cà phê</t>
  </si>
  <si>
    <t>LV10-096</t>
  </si>
  <si>
    <t>Hệ thống dashboard điều hành có gợi ý AI: dự báo doanh thu cho quán cà phê</t>
  </si>
  <si>
    <t>LV10-097</t>
  </si>
  <si>
    <t>Hệ thống quản lý đa chi nhánh có gợi ý AI: phân tích giờ cao điểm cho quán cà phê</t>
  </si>
  <si>
    <t>LV10-098</t>
  </si>
  <si>
    <t>Hệ thống hệ thống phân quyền vai trò có gợi ý AI: gợi ý đồ uống cho quán cà phê</t>
  </si>
  <si>
    <t>LV10-099</t>
  </si>
  <si>
    <t>Hệ thống quản lý thông báo/nhắc lịch có gợi ý AI: dự báo doanh thu cho quán cà phê</t>
  </si>
  <si>
    <t>LV10-100</t>
  </si>
  <si>
    <t>Hệ thống quản lý dữ liệu và import/export có gợi ý AI: phân tích giờ cao điểm cho quán cà phê</t>
  </si>
  <si>
    <t>Giao đồ ăn</t>
  </si>
  <si>
    <t>LV11-001</t>
  </si>
  <si>
    <t>Hệ thống quản lý tổng thể cho dịch vụ giao đồ ăn</t>
  </si>
  <si>
    <t>Đồ án 8 tuần cho nhóm 5 SV: xây dựng Mobile App phục vụ dịch vụ giao đồ ăn; quản lý các thực thể chính: nhà hàng, tài xế, đơn giao, khách hàng; có CSDL, API, giao diện người dùng, báo cáo và kiểm thử.</t>
  </si>
  <si>
    <t>Đăng nhập phân quyền, CRUD, tìm kiếm/lọc, dashboard thống kê, import/export, báo cáo PDF/Excel, kiểm thử; nghiệp vụ trọng tâm: quản lý tổng thể; AI/ML gợi ý: dự báo thời gian giao.</t>
  </si>
  <si>
    <t>dự báo thời gian giao</t>
  </si>
  <si>
    <t>LV11-002</t>
  </si>
  <si>
    <t>Hệ thống đặt lịch/đặt chỗ cho dịch vụ giao đồ ăn</t>
  </si>
  <si>
    <t>Đồ án 8 tuần cho nhóm 5 SV: xây dựng Desktop App phục vụ dịch vụ giao đồ ăn; quản lý các thực thể chính: nhà hàng, tài xế, đơn giao, khách hàng; có CSDL, API, giao diện người dùng, báo cáo và kiểm thử.</t>
  </si>
  <si>
    <t>Đăng nhập phân quyền, CRUD, tìm kiếm/lọc, dashboard thống kê, import/export, báo cáo PDF/Excel, kiểm thử; nghiệp vụ trọng tâm: đặt lịch/đặt chỗ; AI/ML gợi ý: gợi ý món theo lịch sử.</t>
  </si>
  <si>
    <t>gợi ý món theo lịch sử</t>
  </si>
  <si>
    <t>LV11-003</t>
  </si>
  <si>
    <t>Hệ thống bán hàng và thanh toán cho dịch vụ giao đồ ăn</t>
  </si>
  <si>
    <t>Đồ án 8 tuần cho nhóm 5 SV: xây dựng Web + Mobile phục vụ dịch vụ giao đồ ăn; quản lý các thực thể chính: nhà hàng, tài xế, đơn giao, khách hàng; có CSDL, API, giao diện người dùng, báo cáo và kiểm thử.</t>
  </si>
  <si>
    <t>Đăng nhập phân quyền, CRUD, tìm kiếm/lọc, dashboard thống kê, import/export, báo cáo PDF/Excel, kiểm thử; nghiệp vụ trọng tâm: bán hàng và thanh toán; AI/ML gợi ý: tối ưu lộ trình.</t>
  </si>
  <si>
    <t>tối ưu lộ trình</t>
  </si>
  <si>
    <t>LV11-004</t>
  </si>
  <si>
    <t>Hệ thống quản lý khách hàng CRM cho dịch vụ giao đồ ăn</t>
  </si>
  <si>
    <t>Đồ án 8 tuần cho nhóm 5 SV: xây dựng Web + Desktop phục vụ dịch vụ giao đồ ăn; quản lý các thực thể chính: nhà hàng, tài xế, đơn giao, khách hàng; có CSDL, API, giao diện người dùng, báo cáo và kiểm thử.</t>
  </si>
  <si>
    <t>Đăng nhập phân quyền, CRUD, tìm kiếm/lọc, dashboard thống kê, import/export, báo cáo PDF/Excel, kiểm thử; nghiệp vụ trọng tâm: quản lý khách hàng CRM; AI/ML gợi ý: dự báo thời gian giao.</t>
  </si>
  <si>
    <t>LV11-005</t>
  </si>
  <si>
    <t>Hệ thống quản lý kho/tài sản cho dịch vụ giao đồ ăn</t>
  </si>
  <si>
    <t>Đồ án 8 tuần cho nhóm 5 SV: xây dựng Website phục vụ dịch vụ giao đồ ăn; quản lý các thực thể chính: nhà hàng, tài xế, đơn giao, khách hàng; có CSDL, API, giao diện người dùng, báo cáo và kiểm thử.</t>
  </si>
  <si>
    <t>Đăng nhập phân quyền, CRUD, tìm kiếm/lọc, dashboard thống kê, import/export, báo cáo PDF/Excel, kiểm thử; nghiệp vụ trọng tâm: quản lý kho/tài sản; AI/ML gợi ý: gợi ý món theo lịch sử.</t>
  </si>
  <si>
    <t>LV11-006</t>
  </si>
  <si>
    <t>Hệ thống quản lý nhân sự và ca làm cho dịch vụ giao đồ ăn</t>
  </si>
  <si>
    <t>Đăng nhập phân quyền, CRUD, tìm kiếm/lọc, dashboard thống kê, import/export, báo cáo PDF/Excel, kiểm thử; nghiệp vụ trọng tâm: quản lý nhân sự và ca làm; AI/ML gợi ý: tối ưu lộ trình.</t>
  </si>
  <si>
    <t>LV11-007</t>
  </si>
  <si>
    <t>Hệ thống quản lý hóa đơn/công nợ cho dịch vụ giao đồ ăn</t>
  </si>
  <si>
    <t>Đăng nhập phân quyền, CRUD, tìm kiếm/lọc, dashboard thống kê, import/export, báo cáo PDF/Excel, kiểm thử; nghiệp vụ trọng tâm: quản lý hóa đơn/công nợ; AI/ML gợi ý: dự báo thời gian giao.</t>
  </si>
  <si>
    <t>LV11-008</t>
  </si>
  <si>
    <t>Hệ thống báo cáo thống kê doanh thu cho dịch vụ giao đồ ăn</t>
  </si>
  <si>
    <t>Đăng nhập phân quyền, CRUD, tìm kiếm/lọc, dashboard thống kê, import/export, báo cáo PDF/Excel, kiểm thử; nghiệp vụ trọng tâm: báo cáo thống kê doanh thu; AI/ML gợi ý: gợi ý món theo lịch sử.</t>
  </si>
  <si>
    <t>LV11-009</t>
  </si>
  <si>
    <t>Hệ thống cổng chăm sóc khách hàng cho dịch vụ giao đồ ăn</t>
  </si>
  <si>
    <t>Đăng nhập phân quyền, CRUD, tìm kiếm/lọc, dashboard thống kê, import/export, báo cáo PDF/Excel, kiểm thử; nghiệp vụ trọng tâm: cổng chăm sóc khách hàng; AI/ML gợi ý: tối ưu lộ trình.</t>
  </si>
  <si>
    <t>LV11-010</t>
  </si>
  <si>
    <t>Hệ thống ứng dụng loyalty/tích điểm cho dịch vụ giao đồ ăn</t>
  </si>
  <si>
    <t>Đăng nhập phân quyền, CRUD, tìm kiếm/lọc, dashboard thống kê, import/export, báo cáo PDF/Excel, kiểm thử; nghiệp vụ trọng tâm: ứng dụng loyalty/tích điểm; AI/ML gợi ý: dự báo thời gian giao.</t>
  </si>
  <si>
    <t>LV11-011</t>
  </si>
  <si>
    <t>Hệ thống quản lý quy trình nghiệp vụ cho dịch vụ giao đồ ăn</t>
  </si>
  <si>
    <t>Đăng nhập phân quyền, CRUD, tìm kiếm/lọc, dashboard thống kê, import/export, báo cáo PDF/Excel, kiểm thử; nghiệp vụ trọng tâm: quản lý quy trình nghiệp vụ; AI/ML gợi ý: gợi ý món theo lịch sử.</t>
  </si>
  <si>
    <t>LV11-012</t>
  </si>
  <si>
    <t>Hệ thống theo dõi trạng thái thời gian thực cho dịch vụ giao đồ ăn</t>
  </si>
  <si>
    <t>Đăng nhập phân quyền, CRUD, tìm kiếm/lọc, dashboard thống kê, import/export, báo cáo PDF/Excel, kiểm thử; nghiệp vụ trọng tâm: theo dõi trạng thái thời gian thực; AI/ML gợi ý: tối ưu lộ trình.</t>
  </si>
  <si>
    <t>LV11-013</t>
  </si>
  <si>
    <t>Hệ thống quản lý hợp đồng/hồ sơ cho dịch vụ giao đồ ăn</t>
  </si>
  <si>
    <t>Đăng nhập phân quyền, CRUD, tìm kiếm/lọc, dashboard thống kê, import/export, báo cáo PDF/Excel, kiểm thử; nghiệp vụ trọng tâm: quản lý hợp đồng/hồ sơ; AI/ML gợi ý: dự báo thời gian giao.</t>
  </si>
  <si>
    <t>LV11-014</t>
  </si>
  <si>
    <t>Hệ thống tìm kiếm và lọc nâng cao cho dịch vụ giao đồ ăn</t>
  </si>
  <si>
    <t>Đăng nhập phân quyền, CRUD, tìm kiếm/lọc, dashboard thống kê, import/export, báo cáo PDF/Excel, kiểm thử; nghiệp vụ trọng tâm: tìm kiếm và lọc nâng cao; AI/ML gợi ý: gợi ý món theo lịch sử.</t>
  </si>
  <si>
    <t>LV11-015</t>
  </si>
  <si>
    <t>Hệ thống quản lý phản hồi/đánh giá cho dịch vụ giao đồ ăn</t>
  </si>
  <si>
    <t>Đăng nhập phân quyền, CRUD, tìm kiếm/lọc, dashboard thống kê, import/export, báo cáo PDF/Excel, kiểm thử; nghiệp vụ trọng tâm: quản lý phản hồi/đánh giá; AI/ML gợi ý: tối ưu lộ trình.</t>
  </si>
  <si>
    <t>LV11-016</t>
  </si>
  <si>
    <t>Hệ thống dashboard điều hành cho dịch vụ giao đồ ăn</t>
  </si>
  <si>
    <t>Đăng nhập phân quyền, CRUD, tìm kiếm/lọc, dashboard thống kê, import/export, báo cáo PDF/Excel, kiểm thử; nghiệp vụ trọng tâm: dashboard điều hành; AI/ML gợi ý: dự báo thời gian giao.</t>
  </si>
  <si>
    <t>LV11-017</t>
  </si>
  <si>
    <t>Hệ thống quản lý đa chi nhánh cho dịch vụ giao đồ ăn</t>
  </si>
  <si>
    <t>Đăng nhập phân quyền, CRUD, tìm kiếm/lọc, dashboard thống kê, import/export, báo cáo PDF/Excel, kiểm thử; nghiệp vụ trọng tâm: quản lý đa chi nhánh; AI/ML gợi ý: gợi ý món theo lịch sử.</t>
  </si>
  <si>
    <t>LV11-018</t>
  </si>
  <si>
    <t>Hệ thống hệ thống phân quyền vai trò cho dịch vụ giao đồ ăn</t>
  </si>
  <si>
    <t>Đăng nhập phân quyền, CRUD, tìm kiếm/lọc, dashboard thống kê, import/export, báo cáo PDF/Excel, kiểm thử; nghiệp vụ trọng tâm: hệ thống phân quyền vai trò; AI/ML gợi ý: tối ưu lộ trình.</t>
  </si>
  <si>
    <t>LV11-019</t>
  </si>
  <si>
    <t>Hệ thống quản lý thông báo/nhắc lịch cho dịch vụ giao đồ ăn</t>
  </si>
  <si>
    <t>Đăng nhập phân quyền, CRUD, tìm kiếm/lọc, dashboard thống kê, import/export, báo cáo PDF/Excel, kiểm thử; nghiệp vụ trọng tâm: quản lý thông báo/nhắc lịch; AI/ML gợi ý: dự báo thời gian giao.</t>
  </si>
  <si>
    <t>LV11-020</t>
  </si>
  <si>
    <t>Hệ thống quản lý dữ liệu và import/export cho dịch vụ giao đồ ăn</t>
  </si>
  <si>
    <t>Đăng nhập phân quyền, CRUD, tìm kiếm/lọc, dashboard thống kê, import/export, báo cáo PDF/Excel, kiểm thử; nghiệp vụ trọng tâm: quản lý dữ liệu và import/export; AI/ML gợi ý: gợi ý món theo lịch sử.</t>
  </si>
  <si>
    <t>LV11-021</t>
  </si>
  <si>
    <t>Ứng dụng mobile app hỗ trợ quản lý tổng thể trong giao đồ ăn</t>
  </si>
  <si>
    <t>LV11-022</t>
  </si>
  <si>
    <t>Ứng dụng desktop app hỗ trợ đặt lịch/đặt chỗ trong giao đồ ăn</t>
  </si>
  <si>
    <t>LV11-023</t>
  </si>
  <si>
    <t>Ứng dụng web + mobile hỗ trợ bán hàng và thanh toán trong giao đồ ăn</t>
  </si>
  <si>
    <t>LV11-024</t>
  </si>
  <si>
    <t>Ứng dụng web + desktop hỗ trợ quản lý khách hàng CRM trong giao đồ ăn</t>
  </si>
  <si>
    <t>LV11-025</t>
  </si>
  <si>
    <t>Ứng dụng website hỗ trợ quản lý kho/tài sản trong giao đồ ăn</t>
  </si>
  <si>
    <t>LV11-026</t>
  </si>
  <si>
    <t>Ứng dụng mobile app hỗ trợ quản lý nhân sự và ca làm trong giao đồ ăn</t>
  </si>
  <si>
    <t>LV11-027</t>
  </si>
  <si>
    <t>Ứng dụng desktop app hỗ trợ quản lý hóa đơn/công nợ trong giao đồ ăn</t>
  </si>
  <si>
    <t>LV11-028</t>
  </si>
  <si>
    <t>Ứng dụng web + mobile hỗ trợ báo cáo thống kê doanh thu trong giao đồ ăn</t>
  </si>
  <si>
    <t>LV11-029</t>
  </si>
  <si>
    <t>Ứng dụng web + desktop hỗ trợ cổng chăm sóc khách hàng trong giao đồ ăn</t>
  </si>
  <si>
    <t>LV11-030</t>
  </si>
  <si>
    <t>Ứng dụng website hỗ trợ ứng dụng loyalty/tích điểm trong giao đồ ăn</t>
  </si>
  <si>
    <t>LV11-031</t>
  </si>
  <si>
    <t>Ứng dụng mobile app hỗ trợ quản lý quy trình nghiệp vụ trong giao đồ ăn</t>
  </si>
  <si>
    <t>LV11-032</t>
  </si>
  <si>
    <t>Ứng dụng desktop app hỗ trợ theo dõi trạng thái thời gian thực trong giao đồ ăn</t>
  </si>
  <si>
    <t>LV11-033</t>
  </si>
  <si>
    <t>Ứng dụng web + mobile hỗ trợ quản lý hợp đồng/hồ sơ trong giao đồ ăn</t>
  </si>
  <si>
    <t>LV11-034</t>
  </si>
  <si>
    <t>Ứng dụng web + desktop hỗ trợ tìm kiếm và lọc nâng cao trong giao đồ ăn</t>
  </si>
  <si>
    <t>LV11-035</t>
  </si>
  <si>
    <t>Ứng dụng website hỗ trợ quản lý phản hồi/đánh giá trong giao đồ ăn</t>
  </si>
  <si>
    <t>LV11-036</t>
  </si>
  <si>
    <t>Ứng dụng mobile app hỗ trợ dashboard điều hành trong giao đồ ăn</t>
  </si>
  <si>
    <t>LV11-037</t>
  </si>
  <si>
    <t>Ứng dụng desktop app hỗ trợ quản lý đa chi nhánh trong giao đồ ăn</t>
  </si>
  <si>
    <t>LV11-038</t>
  </si>
  <si>
    <t>Ứng dụng web + mobile hỗ trợ hệ thống phân quyền vai trò trong giao đồ ăn</t>
  </si>
  <si>
    <t>LV11-039</t>
  </si>
  <si>
    <t>Ứng dụng web + desktop hỗ trợ quản lý thông báo/nhắc lịch trong giao đồ ăn</t>
  </si>
  <si>
    <t>LV11-040</t>
  </si>
  <si>
    <t>Ứng dụng website hỗ trợ quản lý dữ liệu và import/export trong giao đồ ăn</t>
  </si>
  <si>
    <t>LV11-041</t>
  </si>
  <si>
    <t>Nền tảng quản lý tổng thể có phân quyền và báo cáo cho dịch vụ giao đồ ăn</t>
  </si>
  <si>
    <t>LV11-042</t>
  </si>
  <si>
    <t>Nền tảng đặt lịch/đặt chỗ có phân quyền và báo cáo cho dịch vụ giao đồ ăn</t>
  </si>
  <si>
    <t>LV11-043</t>
  </si>
  <si>
    <t>Nền tảng bán hàng và thanh toán có phân quyền và báo cáo cho dịch vụ giao đồ ăn</t>
  </si>
  <si>
    <t>LV11-044</t>
  </si>
  <si>
    <t>Nền tảng quản lý khách hàng CRM có phân quyền và báo cáo cho dịch vụ giao đồ ăn</t>
  </si>
  <si>
    <t>LV11-045</t>
  </si>
  <si>
    <t>Nền tảng quản lý kho/tài sản có phân quyền và báo cáo cho dịch vụ giao đồ ăn</t>
  </si>
  <si>
    <t>LV11-046</t>
  </si>
  <si>
    <t>Nền tảng quản lý nhân sự và ca làm có phân quyền và báo cáo cho dịch vụ giao đồ ăn</t>
  </si>
  <si>
    <t>LV11-047</t>
  </si>
  <si>
    <t>Nền tảng quản lý hóa đơn/công nợ có phân quyền và báo cáo cho dịch vụ giao đồ ăn</t>
  </si>
  <si>
    <t>LV11-048</t>
  </si>
  <si>
    <t>Nền tảng báo cáo thống kê doanh thu có phân quyền và báo cáo cho dịch vụ giao đồ ăn</t>
  </si>
  <si>
    <t>LV11-049</t>
  </si>
  <si>
    <t>Nền tảng cổng chăm sóc khách hàng có phân quyền và báo cáo cho dịch vụ giao đồ ăn</t>
  </si>
  <si>
    <t>LV11-050</t>
  </si>
  <si>
    <t>Nền tảng ứng dụng loyalty/tích điểm có phân quyền và báo cáo cho dịch vụ giao đồ ăn</t>
  </si>
  <si>
    <t>LV11-051</t>
  </si>
  <si>
    <t>Nền tảng quản lý quy trình nghiệp vụ có phân quyền và báo cáo cho dịch vụ giao đồ ăn</t>
  </si>
  <si>
    <t>LV11-052</t>
  </si>
  <si>
    <t>Nền tảng theo dõi trạng thái thời gian thực có phân quyền và báo cáo cho dịch vụ giao đồ ăn</t>
  </si>
  <si>
    <t>LV11-053</t>
  </si>
  <si>
    <t>Nền tảng quản lý hợp đồng/hồ sơ có phân quyền và báo cáo cho dịch vụ giao đồ ăn</t>
  </si>
  <si>
    <t>LV11-054</t>
  </si>
  <si>
    <t>Nền tảng tìm kiếm và lọc nâng cao có phân quyền và báo cáo cho dịch vụ giao đồ ăn</t>
  </si>
  <si>
    <t>LV11-055</t>
  </si>
  <si>
    <t>Nền tảng quản lý phản hồi/đánh giá có phân quyền và báo cáo cho dịch vụ giao đồ ăn</t>
  </si>
  <si>
    <t>LV11-056</t>
  </si>
  <si>
    <t>Nền tảng dashboard điều hành có phân quyền và báo cáo cho dịch vụ giao đồ ăn</t>
  </si>
  <si>
    <t>LV11-057</t>
  </si>
  <si>
    <t>Nền tảng quản lý đa chi nhánh có phân quyền và báo cáo cho dịch vụ giao đồ ăn</t>
  </si>
  <si>
    <t>LV11-058</t>
  </si>
  <si>
    <t>Nền tảng hệ thống phân quyền vai trò có phân quyền và báo cáo cho dịch vụ giao đồ ăn</t>
  </si>
  <si>
    <t>LV11-059</t>
  </si>
  <si>
    <t>Nền tảng quản lý thông báo/nhắc lịch có phân quyền và báo cáo cho dịch vụ giao đồ ăn</t>
  </si>
  <si>
    <t>LV11-060</t>
  </si>
  <si>
    <t>Nền tảng quản lý dữ liệu và import/export có phân quyền và báo cáo cho dịch vụ giao đồ ăn</t>
  </si>
  <si>
    <t>LV11-061</t>
  </si>
  <si>
    <t>Phần mềm quản lý tổng thể tích hợp dashboard dữ liệu cho giao đồ ăn</t>
  </si>
  <si>
    <t>LV11-062</t>
  </si>
  <si>
    <t>Phần mềm đặt lịch/đặt chỗ tích hợp dashboard dữ liệu cho giao đồ ăn</t>
  </si>
  <si>
    <t>LV11-063</t>
  </si>
  <si>
    <t>Phần mềm bán hàng và thanh toán tích hợp dashboard dữ liệu cho giao đồ ăn</t>
  </si>
  <si>
    <t>LV11-064</t>
  </si>
  <si>
    <t>Phần mềm quản lý khách hàng CRM tích hợp dashboard dữ liệu cho giao đồ ăn</t>
  </si>
  <si>
    <t>LV11-065</t>
  </si>
  <si>
    <t>Phần mềm quản lý kho/tài sản tích hợp dashboard dữ liệu cho giao đồ ăn</t>
  </si>
  <si>
    <t>LV11-066</t>
  </si>
  <si>
    <t>Phần mềm quản lý nhân sự và ca làm tích hợp dashboard dữ liệu cho giao đồ ăn</t>
  </si>
  <si>
    <t>LV11-067</t>
  </si>
  <si>
    <t>Phần mềm quản lý hóa đơn/công nợ tích hợp dashboard dữ liệu cho giao đồ ăn</t>
  </si>
  <si>
    <t>LV11-068</t>
  </si>
  <si>
    <t>Phần mềm báo cáo thống kê doanh thu tích hợp dashboard dữ liệu cho giao đồ ăn</t>
  </si>
  <si>
    <t>LV11-069</t>
  </si>
  <si>
    <t>Phần mềm cổng chăm sóc khách hàng tích hợp dashboard dữ liệu cho giao đồ ăn</t>
  </si>
  <si>
    <t>LV11-070</t>
  </si>
  <si>
    <t>Phần mềm ứng dụng loyalty/tích điểm tích hợp dashboard dữ liệu cho giao đồ ăn</t>
  </si>
  <si>
    <t>LV11-071</t>
  </si>
  <si>
    <t>Phần mềm quản lý quy trình nghiệp vụ tích hợp dashboard dữ liệu cho giao đồ ăn</t>
  </si>
  <si>
    <t>LV11-072</t>
  </si>
  <si>
    <t>Phần mềm theo dõi trạng thái thời gian thực tích hợp dashboard dữ liệu cho giao đồ ăn</t>
  </si>
  <si>
    <t>LV11-073</t>
  </si>
  <si>
    <t>Phần mềm quản lý hợp đồng/hồ sơ tích hợp dashboard dữ liệu cho giao đồ ăn</t>
  </si>
  <si>
    <t>LV11-074</t>
  </si>
  <si>
    <t>Phần mềm tìm kiếm và lọc nâng cao tích hợp dashboard dữ liệu cho giao đồ ăn</t>
  </si>
  <si>
    <t>LV11-075</t>
  </si>
  <si>
    <t>Phần mềm quản lý phản hồi/đánh giá tích hợp dashboard dữ liệu cho giao đồ ăn</t>
  </si>
  <si>
    <t>LV11-076</t>
  </si>
  <si>
    <t>Phần mềm dashboard điều hành tích hợp dashboard dữ liệu cho giao đồ ăn</t>
  </si>
  <si>
    <t>LV11-077</t>
  </si>
  <si>
    <t>Phần mềm quản lý đa chi nhánh tích hợp dashboard dữ liệu cho giao đồ ăn</t>
  </si>
  <si>
    <t>LV11-078</t>
  </si>
  <si>
    <t>Phần mềm hệ thống phân quyền vai trò tích hợp dashboard dữ liệu cho giao đồ ăn</t>
  </si>
  <si>
    <t>LV11-079</t>
  </si>
  <si>
    <t>Phần mềm quản lý thông báo/nhắc lịch tích hợp dashboard dữ liệu cho giao đồ ăn</t>
  </si>
  <si>
    <t>LV11-080</t>
  </si>
  <si>
    <t>Phần mềm quản lý dữ liệu và import/export tích hợp dashboard dữ liệu cho giao đồ ăn</t>
  </si>
  <si>
    <t>LV11-081</t>
  </si>
  <si>
    <t>Hệ thống quản lý tổng thể có gợi ý AI: dự báo thời gian giao cho dịch vụ giao đồ ăn</t>
  </si>
  <si>
    <t>LV11-082</t>
  </si>
  <si>
    <t>Hệ thống đặt lịch/đặt chỗ có gợi ý AI: gợi ý món theo lịch sử cho dịch vụ giao đồ ăn</t>
  </si>
  <si>
    <t>LV11-083</t>
  </si>
  <si>
    <t>Hệ thống bán hàng và thanh toán có gợi ý AI: tối ưu lộ trình cho dịch vụ giao đồ ăn</t>
  </si>
  <si>
    <t>LV11-084</t>
  </si>
  <si>
    <t>Hệ thống quản lý khách hàng CRM có gợi ý AI: dự báo thời gian giao cho dịch vụ giao đồ ăn</t>
  </si>
  <si>
    <t>LV11-085</t>
  </si>
  <si>
    <t>Hệ thống quản lý kho/tài sản có gợi ý AI: gợi ý món theo lịch sử cho dịch vụ giao đồ ăn</t>
  </si>
  <si>
    <t>LV11-086</t>
  </si>
  <si>
    <t>Hệ thống quản lý nhân sự và ca làm có gợi ý AI: tối ưu lộ trình cho dịch vụ giao đồ ăn</t>
  </si>
  <si>
    <t>LV11-087</t>
  </si>
  <si>
    <t>Hệ thống quản lý hóa đơn/công nợ có gợi ý AI: dự báo thời gian giao cho dịch vụ giao đồ ăn</t>
  </si>
  <si>
    <t>LV11-088</t>
  </si>
  <si>
    <t>Hệ thống báo cáo thống kê doanh thu có gợi ý AI: gợi ý món theo lịch sử cho dịch vụ giao đồ ăn</t>
  </si>
  <si>
    <t>LV11-089</t>
  </si>
  <si>
    <t>Hệ thống cổng chăm sóc khách hàng có gợi ý AI: tối ưu lộ trình cho dịch vụ giao đồ ăn</t>
  </si>
  <si>
    <t>LV11-090</t>
  </si>
  <si>
    <t>Hệ thống ứng dụng loyalty/tích điểm có gợi ý AI: dự báo thời gian giao cho dịch vụ giao đồ ăn</t>
  </si>
  <si>
    <t>LV11-091</t>
  </si>
  <si>
    <t>Hệ thống quản lý quy trình nghiệp vụ có gợi ý AI: gợi ý món theo lịch sử cho dịch vụ giao đồ ăn</t>
  </si>
  <si>
    <t>LV11-092</t>
  </si>
  <si>
    <t>Hệ thống theo dõi trạng thái thời gian thực có gợi ý AI: tối ưu lộ trình cho dịch vụ giao đồ ăn</t>
  </si>
  <si>
    <t>LV11-093</t>
  </si>
  <si>
    <t>Hệ thống quản lý hợp đồng/hồ sơ có gợi ý AI: dự báo thời gian giao cho dịch vụ giao đồ ăn</t>
  </si>
  <si>
    <t>LV11-094</t>
  </si>
  <si>
    <t>Hệ thống tìm kiếm và lọc nâng cao có gợi ý AI: gợi ý món theo lịch sử cho dịch vụ giao đồ ăn</t>
  </si>
  <si>
    <t>LV11-095</t>
  </si>
  <si>
    <t>Hệ thống quản lý phản hồi/đánh giá có gợi ý AI: tối ưu lộ trình cho dịch vụ giao đồ ăn</t>
  </si>
  <si>
    <t>LV11-096</t>
  </si>
  <si>
    <t>Hệ thống dashboard điều hành có gợi ý AI: dự báo thời gian giao cho dịch vụ giao đồ ăn</t>
  </si>
  <si>
    <t>LV11-097</t>
  </si>
  <si>
    <t>Hệ thống quản lý đa chi nhánh có gợi ý AI: gợi ý món theo lịch sử cho dịch vụ giao đồ ăn</t>
  </si>
  <si>
    <t>LV11-098</t>
  </si>
  <si>
    <t>Hệ thống hệ thống phân quyền vai trò có gợi ý AI: tối ưu lộ trình cho dịch vụ giao đồ ăn</t>
  </si>
  <si>
    <t>LV11-099</t>
  </si>
  <si>
    <t>Hệ thống quản lý thông báo/nhắc lịch có gợi ý AI: dự báo thời gian giao cho dịch vụ giao đồ ăn</t>
  </si>
  <si>
    <t>LV11-100</t>
  </si>
  <si>
    <t>Hệ thống quản lý dữ liệu và import/export có gợi ý AI: gợi ý món theo lịch sử cho dịch vụ giao đồ ăn</t>
  </si>
  <si>
    <t>Khách sạn</t>
  </si>
  <si>
    <t>LV12-001</t>
  </si>
  <si>
    <t>Hệ thống quản lý tổng thể cho khách sạn</t>
  </si>
  <si>
    <t>Đồ án 8 tuần cho nhóm 5 SV: xây dựng Desktop App phục vụ khách sạn; quản lý các thực thể chính: phòng, đặt phòng, khách lưu trú, thanh toán; có CSDL, API, giao diện người dùng, báo cáo và kiểm thử.</t>
  </si>
  <si>
    <t>Đăng nhập phân quyền, CRUD, tìm kiếm/lọc, dashboard thống kê, import/export, báo cáo PDF/Excel, kiểm thử; nghiệp vụ trọng tâm: quản lý tổng thể; AI/ML gợi ý: gợi ý giá phòng.</t>
  </si>
  <si>
    <t>gợi ý giá phòng</t>
  </si>
  <si>
    <t>LV12-002</t>
  </si>
  <si>
    <t>Hệ thống đặt lịch/đặt chỗ cho khách sạn</t>
  </si>
  <si>
    <t>Đồ án 8 tuần cho nhóm 5 SV: xây dựng Web + Mobile phục vụ khách sạn; quản lý các thực thể chính: phòng, đặt phòng, khách lưu trú, thanh toán; có CSDL, API, giao diện người dùng, báo cáo và kiểm thử.</t>
  </si>
  <si>
    <t>Đăng nhập phân quyền, CRUD, tìm kiếm/lọc, dashboard thống kê, import/export, báo cáo PDF/Excel, kiểm thử; nghiệp vụ trọng tâm: đặt lịch/đặt chỗ; AI/ML gợi ý: phân tích đánh giá.</t>
  </si>
  <si>
    <t>phân tích đánh giá</t>
  </si>
  <si>
    <t>LV12-003</t>
  </si>
  <si>
    <t>Hệ thống bán hàng và thanh toán cho khách sạn</t>
  </si>
  <si>
    <t>Đồ án 8 tuần cho nhóm 5 SV: xây dựng Web + Desktop phục vụ khách sạn; quản lý các thực thể chính: phòng, đặt phòng, khách lưu trú, thanh toán; có CSDL, API, giao diện người dùng, báo cáo và kiểm thử.</t>
  </si>
  <si>
    <t>Đăng nhập phân quyền, CRUD, tìm kiếm/lọc, dashboard thống kê, import/export, báo cáo PDF/Excel, kiểm thử; nghiệp vụ trọng tâm: bán hàng và thanh toán; AI/ML gợi ý: dự báo công suất phòng.</t>
  </si>
  <si>
    <t>dự báo công suất phòng</t>
  </si>
  <si>
    <t>LV12-004</t>
  </si>
  <si>
    <t>Hệ thống quản lý khách hàng CRM cho khách sạn</t>
  </si>
  <si>
    <t>Đồ án 8 tuần cho nhóm 5 SV: xây dựng Website phục vụ khách sạn; quản lý các thực thể chính: phòng, đặt phòng, khách lưu trú, thanh toán; có CSDL, API, giao diện người dùng, báo cáo và kiểm thử.</t>
  </si>
  <si>
    <t>Đăng nhập phân quyền, CRUD, tìm kiếm/lọc, dashboard thống kê, import/export, báo cáo PDF/Excel, kiểm thử; nghiệp vụ trọng tâm: quản lý khách hàng CRM; AI/ML gợi ý: gợi ý giá phòng.</t>
  </si>
  <si>
    <t>LV12-005</t>
  </si>
  <si>
    <t>Hệ thống quản lý kho/tài sản cho khách sạn</t>
  </si>
  <si>
    <t>Đồ án 8 tuần cho nhóm 5 SV: xây dựng Mobile App phục vụ khách sạn; quản lý các thực thể chính: phòng, đặt phòng, khách lưu trú, thanh toán; có CSDL, API, giao diện người dùng, báo cáo và kiểm thử.</t>
  </si>
  <si>
    <t>Đăng nhập phân quyền, CRUD, tìm kiếm/lọc, dashboard thống kê, import/export, báo cáo PDF/Excel, kiểm thử; nghiệp vụ trọng tâm: quản lý kho/tài sản; AI/ML gợi ý: phân tích đánh giá.</t>
  </si>
  <si>
    <t>LV12-006</t>
  </si>
  <si>
    <t>Hệ thống quản lý nhân sự và ca làm cho khách sạn</t>
  </si>
  <si>
    <t>Đăng nhập phân quyền, CRUD, tìm kiếm/lọc, dashboard thống kê, import/export, báo cáo PDF/Excel, kiểm thử; nghiệp vụ trọng tâm: quản lý nhân sự và ca làm; AI/ML gợi ý: dự báo công suất phòng.</t>
  </si>
  <si>
    <t>LV12-007</t>
  </si>
  <si>
    <t>Hệ thống quản lý hóa đơn/công nợ cho khách sạn</t>
  </si>
  <si>
    <t>Đăng nhập phân quyền, CRUD, tìm kiếm/lọc, dashboard thống kê, import/export, báo cáo PDF/Excel, kiểm thử; nghiệp vụ trọng tâm: quản lý hóa đơn/công nợ; AI/ML gợi ý: gợi ý giá phòng.</t>
  </si>
  <si>
    <t>LV12-008</t>
  </si>
  <si>
    <t>Hệ thống báo cáo thống kê doanh thu cho khách sạn</t>
  </si>
  <si>
    <t>Đăng nhập phân quyền, CRUD, tìm kiếm/lọc, dashboard thống kê, import/export, báo cáo PDF/Excel, kiểm thử; nghiệp vụ trọng tâm: báo cáo thống kê doanh thu; AI/ML gợi ý: phân tích đánh giá.</t>
  </si>
  <si>
    <t>LV12-009</t>
  </si>
  <si>
    <t>Hệ thống cổng chăm sóc khách hàng cho khách sạn</t>
  </si>
  <si>
    <t>Đăng nhập phân quyền, CRUD, tìm kiếm/lọc, dashboard thống kê, import/export, báo cáo PDF/Excel, kiểm thử; nghiệp vụ trọng tâm: cổng chăm sóc khách hàng; AI/ML gợi ý: dự báo công suất phòng.</t>
  </si>
  <si>
    <t>LV12-010</t>
  </si>
  <si>
    <t>Hệ thống ứng dụng loyalty/tích điểm cho khách sạn</t>
  </si>
  <si>
    <t>Đăng nhập phân quyền, CRUD, tìm kiếm/lọc, dashboard thống kê, import/export, báo cáo PDF/Excel, kiểm thử; nghiệp vụ trọng tâm: ứng dụng loyalty/tích điểm; AI/ML gợi ý: gợi ý giá phòng.</t>
  </si>
  <si>
    <t>LV12-011</t>
  </si>
  <si>
    <t>Hệ thống quản lý quy trình nghiệp vụ cho khách sạn</t>
  </si>
  <si>
    <t>Đăng nhập phân quyền, CRUD, tìm kiếm/lọc, dashboard thống kê, import/export, báo cáo PDF/Excel, kiểm thử; nghiệp vụ trọng tâm: quản lý quy trình nghiệp vụ; AI/ML gợi ý: phân tích đánh giá.</t>
  </si>
  <si>
    <t>LV12-012</t>
  </si>
  <si>
    <t>Hệ thống theo dõi trạng thái thời gian thực cho khách sạn</t>
  </si>
  <si>
    <t>Đăng nhập phân quyền, CRUD, tìm kiếm/lọc, dashboard thống kê, import/export, báo cáo PDF/Excel, kiểm thử; nghiệp vụ trọng tâm: theo dõi trạng thái thời gian thực; AI/ML gợi ý: dự báo công suất phòng.</t>
  </si>
  <si>
    <t>LV12-013</t>
  </si>
  <si>
    <t>Hệ thống quản lý hợp đồng/hồ sơ cho khách sạn</t>
  </si>
  <si>
    <t>Đăng nhập phân quyền, CRUD, tìm kiếm/lọc, dashboard thống kê, import/export, báo cáo PDF/Excel, kiểm thử; nghiệp vụ trọng tâm: quản lý hợp đồng/hồ sơ; AI/ML gợi ý: gợi ý giá phòng.</t>
  </si>
  <si>
    <t>LV12-014</t>
  </si>
  <si>
    <t>Hệ thống tìm kiếm và lọc nâng cao cho khách sạn</t>
  </si>
  <si>
    <t>Đăng nhập phân quyền, CRUD, tìm kiếm/lọc, dashboard thống kê, import/export, báo cáo PDF/Excel, kiểm thử; nghiệp vụ trọng tâm: tìm kiếm và lọc nâng cao; AI/ML gợi ý: phân tích đánh giá.</t>
  </si>
  <si>
    <t>LV12-015</t>
  </si>
  <si>
    <t>Hệ thống quản lý phản hồi/đánh giá cho khách sạn</t>
  </si>
  <si>
    <t>Đăng nhập phân quyền, CRUD, tìm kiếm/lọc, dashboard thống kê, import/export, báo cáo PDF/Excel, kiểm thử; nghiệp vụ trọng tâm: quản lý phản hồi/đánh giá; AI/ML gợi ý: dự báo công suất phòng.</t>
  </si>
  <si>
    <t>LV12-016</t>
  </si>
  <si>
    <t>Hệ thống dashboard điều hành cho khách sạn</t>
  </si>
  <si>
    <t>Đăng nhập phân quyền, CRUD, tìm kiếm/lọc, dashboard thống kê, import/export, báo cáo PDF/Excel, kiểm thử; nghiệp vụ trọng tâm: dashboard điều hành; AI/ML gợi ý: gợi ý giá phòng.</t>
  </si>
  <si>
    <t>LV12-017</t>
  </si>
  <si>
    <t>Hệ thống quản lý đa chi nhánh cho khách sạn</t>
  </si>
  <si>
    <t>Đăng nhập phân quyền, CRUD, tìm kiếm/lọc, dashboard thống kê, import/export, báo cáo PDF/Excel, kiểm thử; nghiệp vụ trọng tâm: quản lý đa chi nhánh; AI/ML gợi ý: phân tích đánh giá.</t>
  </si>
  <si>
    <t>LV12-018</t>
  </si>
  <si>
    <t>Hệ thống hệ thống phân quyền vai trò cho khách sạn</t>
  </si>
  <si>
    <t>Đăng nhập phân quyền, CRUD, tìm kiếm/lọc, dashboard thống kê, import/export, báo cáo PDF/Excel, kiểm thử; nghiệp vụ trọng tâm: hệ thống phân quyền vai trò; AI/ML gợi ý: dự báo công suất phòng.</t>
  </si>
  <si>
    <t>LV12-019</t>
  </si>
  <si>
    <t>Hệ thống quản lý thông báo/nhắc lịch cho khách sạn</t>
  </si>
  <si>
    <t>Đăng nhập phân quyền, CRUD, tìm kiếm/lọc, dashboard thống kê, import/export, báo cáo PDF/Excel, kiểm thử; nghiệp vụ trọng tâm: quản lý thông báo/nhắc lịch; AI/ML gợi ý: gợi ý giá phòng.</t>
  </si>
  <si>
    <t>LV12-020</t>
  </si>
  <si>
    <t>Hệ thống quản lý dữ liệu và import/export cho khách sạn</t>
  </si>
  <si>
    <t>Đăng nhập phân quyền, CRUD, tìm kiếm/lọc, dashboard thống kê, import/export, báo cáo PDF/Excel, kiểm thử; nghiệp vụ trọng tâm: quản lý dữ liệu và import/export; AI/ML gợi ý: phân tích đánh giá.</t>
  </si>
  <si>
    <t>LV12-021</t>
  </si>
  <si>
    <t>Ứng dụng desktop app hỗ trợ quản lý tổng thể trong khách sạn</t>
  </si>
  <si>
    <t>LV12-022</t>
  </si>
  <si>
    <t>Ứng dụng web + mobile hỗ trợ đặt lịch/đặt chỗ trong khách sạn</t>
  </si>
  <si>
    <t>LV12-023</t>
  </si>
  <si>
    <t>Ứng dụng web + desktop hỗ trợ bán hàng và thanh toán trong khách sạn</t>
  </si>
  <si>
    <t>LV12-024</t>
  </si>
  <si>
    <t>Ứng dụng website hỗ trợ quản lý khách hàng CRM trong khách sạn</t>
  </si>
  <si>
    <t>LV12-025</t>
  </si>
  <si>
    <t>Ứng dụng mobile app hỗ trợ quản lý kho/tài sản trong khách sạn</t>
  </si>
  <si>
    <t>LV12-026</t>
  </si>
  <si>
    <t>Ứng dụng desktop app hỗ trợ quản lý nhân sự và ca làm trong khách sạn</t>
  </si>
  <si>
    <t>LV12-027</t>
  </si>
  <si>
    <t>Ứng dụng web + mobile hỗ trợ quản lý hóa đơn/công nợ trong khách sạn</t>
  </si>
  <si>
    <t>LV12-028</t>
  </si>
  <si>
    <t>Ứng dụng web + desktop hỗ trợ báo cáo thống kê doanh thu trong khách sạn</t>
  </si>
  <si>
    <t>LV12-029</t>
  </si>
  <si>
    <t>Ứng dụng website hỗ trợ cổng chăm sóc khách hàng trong khách sạn</t>
  </si>
  <si>
    <t>LV12-030</t>
  </si>
  <si>
    <t>Ứng dụng mobile app hỗ trợ ứng dụng loyalty/tích điểm trong khách sạn</t>
  </si>
  <si>
    <t>LV12-031</t>
  </si>
  <si>
    <t>Ứng dụng desktop app hỗ trợ quản lý quy trình nghiệp vụ trong khách sạn</t>
  </si>
  <si>
    <t>LV12-032</t>
  </si>
  <si>
    <t>Ứng dụng web + mobile hỗ trợ theo dõi trạng thái thời gian thực trong khách sạn</t>
  </si>
  <si>
    <t>LV12-033</t>
  </si>
  <si>
    <t>Ứng dụng web + desktop hỗ trợ quản lý hợp đồng/hồ sơ trong khách sạn</t>
  </si>
  <si>
    <t>LV12-034</t>
  </si>
  <si>
    <t>Ứng dụng website hỗ trợ tìm kiếm và lọc nâng cao trong khách sạn</t>
  </si>
  <si>
    <t>LV12-035</t>
  </si>
  <si>
    <t>Ứng dụng mobile app hỗ trợ quản lý phản hồi/đánh giá trong khách sạn</t>
  </si>
  <si>
    <t>LV12-036</t>
  </si>
  <si>
    <t>Ứng dụng desktop app hỗ trợ dashboard điều hành trong khách sạn</t>
  </si>
  <si>
    <t>LV12-037</t>
  </si>
  <si>
    <t>Ứng dụng web + mobile hỗ trợ quản lý đa chi nhánh trong khách sạn</t>
  </si>
  <si>
    <t>LV12-038</t>
  </si>
  <si>
    <t>Ứng dụng web + desktop hỗ trợ hệ thống phân quyền vai trò trong khách sạn</t>
  </si>
  <si>
    <t>LV12-039</t>
  </si>
  <si>
    <t>Ứng dụng website hỗ trợ quản lý thông báo/nhắc lịch trong khách sạn</t>
  </si>
  <si>
    <t>LV12-040</t>
  </si>
  <si>
    <t>Ứng dụng mobile app hỗ trợ quản lý dữ liệu và import/export trong khách sạn</t>
  </si>
  <si>
    <t>LV12-041</t>
  </si>
  <si>
    <t>Nền tảng quản lý tổng thể có phân quyền và báo cáo cho khách sạn</t>
  </si>
  <si>
    <t>LV12-042</t>
  </si>
  <si>
    <t>Nền tảng đặt lịch/đặt chỗ có phân quyền và báo cáo cho khách sạn</t>
  </si>
  <si>
    <t>LV12-043</t>
  </si>
  <si>
    <t>Nền tảng bán hàng và thanh toán có phân quyền và báo cáo cho khách sạn</t>
  </si>
  <si>
    <t>LV12-044</t>
  </si>
  <si>
    <t>Nền tảng quản lý khách hàng CRM có phân quyền và báo cáo cho khách sạn</t>
  </si>
  <si>
    <t>LV12-045</t>
  </si>
  <si>
    <t>Nền tảng quản lý kho/tài sản có phân quyền và báo cáo cho khách sạn</t>
  </si>
  <si>
    <t>LV12-046</t>
  </si>
  <si>
    <t>Nền tảng quản lý nhân sự và ca làm có phân quyền và báo cáo cho khách sạn</t>
  </si>
  <si>
    <t>LV12-047</t>
  </si>
  <si>
    <t>Nền tảng quản lý hóa đơn/công nợ có phân quyền và báo cáo cho khách sạn</t>
  </si>
  <si>
    <t>LV12-048</t>
  </si>
  <si>
    <t>Nền tảng báo cáo thống kê doanh thu có phân quyền và báo cáo cho khách sạn</t>
  </si>
  <si>
    <t>LV12-049</t>
  </si>
  <si>
    <t>Nền tảng cổng chăm sóc khách hàng có phân quyền và báo cáo cho khách sạn</t>
  </si>
  <si>
    <t>LV12-050</t>
  </si>
  <si>
    <t>Nền tảng ứng dụng loyalty/tích điểm có phân quyền và báo cáo cho khách sạn</t>
  </si>
  <si>
    <t>LV12-051</t>
  </si>
  <si>
    <t>Nền tảng quản lý quy trình nghiệp vụ có phân quyền và báo cáo cho khách sạn</t>
  </si>
  <si>
    <t>LV12-052</t>
  </si>
  <si>
    <t>Nền tảng theo dõi trạng thái thời gian thực có phân quyền và báo cáo cho khách sạn</t>
  </si>
  <si>
    <t>LV12-053</t>
  </si>
  <si>
    <t>Nền tảng quản lý hợp đồng/hồ sơ có phân quyền và báo cáo cho khách sạn</t>
  </si>
  <si>
    <t>LV12-054</t>
  </si>
  <si>
    <t>Nền tảng tìm kiếm và lọc nâng cao có phân quyền và báo cáo cho khách sạn</t>
  </si>
  <si>
    <t>LV12-055</t>
  </si>
  <si>
    <t>Nền tảng quản lý phản hồi/đánh giá có phân quyền và báo cáo cho khách sạn</t>
  </si>
  <si>
    <t>LV12-056</t>
  </si>
  <si>
    <t>Nền tảng dashboard điều hành có phân quyền và báo cáo cho khách sạn</t>
  </si>
  <si>
    <t>LV12-057</t>
  </si>
  <si>
    <t>Nền tảng quản lý đa chi nhánh có phân quyền và báo cáo cho khách sạn</t>
  </si>
  <si>
    <t>LV12-058</t>
  </si>
  <si>
    <t>Nền tảng hệ thống phân quyền vai trò có phân quyền và báo cáo cho khách sạn</t>
  </si>
  <si>
    <t>LV12-059</t>
  </si>
  <si>
    <t>Nền tảng quản lý thông báo/nhắc lịch có phân quyền và báo cáo cho khách sạn</t>
  </si>
  <si>
    <t>LV12-060</t>
  </si>
  <si>
    <t>Nền tảng quản lý dữ liệu và import/export có phân quyền và báo cáo cho khách sạn</t>
  </si>
  <si>
    <t>LV12-061</t>
  </si>
  <si>
    <t>Phần mềm quản lý tổng thể tích hợp dashboard dữ liệu cho khách sạn</t>
  </si>
  <si>
    <t>LV12-062</t>
  </si>
  <si>
    <t>Phần mềm đặt lịch/đặt chỗ tích hợp dashboard dữ liệu cho khách sạn</t>
  </si>
  <si>
    <t>LV12-063</t>
  </si>
  <si>
    <t>Phần mềm bán hàng và thanh toán tích hợp dashboard dữ liệu cho khách sạn</t>
  </si>
  <si>
    <t>LV12-064</t>
  </si>
  <si>
    <t>Phần mềm quản lý khách hàng CRM tích hợp dashboard dữ liệu cho khách sạn</t>
  </si>
  <si>
    <t>LV12-065</t>
  </si>
  <si>
    <t>Phần mềm quản lý kho/tài sản tích hợp dashboard dữ liệu cho khách sạn</t>
  </si>
  <si>
    <t>LV12-066</t>
  </si>
  <si>
    <t>Phần mềm quản lý nhân sự và ca làm tích hợp dashboard dữ liệu cho khách sạn</t>
  </si>
  <si>
    <t>LV12-067</t>
  </si>
  <si>
    <t>Phần mềm quản lý hóa đơn/công nợ tích hợp dashboard dữ liệu cho khách sạn</t>
  </si>
  <si>
    <t>LV12-068</t>
  </si>
  <si>
    <t>Phần mềm báo cáo thống kê doanh thu tích hợp dashboard dữ liệu cho khách sạn</t>
  </si>
  <si>
    <t>LV12-069</t>
  </si>
  <si>
    <t>Phần mềm cổng chăm sóc khách hàng tích hợp dashboard dữ liệu cho khách sạn</t>
  </si>
  <si>
    <t>LV12-070</t>
  </si>
  <si>
    <t>Phần mềm ứng dụng loyalty/tích điểm tích hợp dashboard dữ liệu cho khách sạn</t>
  </si>
  <si>
    <t>LV12-071</t>
  </si>
  <si>
    <t>Phần mềm quản lý quy trình nghiệp vụ tích hợp dashboard dữ liệu cho khách sạn</t>
  </si>
  <si>
    <t>LV12-072</t>
  </si>
  <si>
    <t>Phần mềm theo dõi trạng thái thời gian thực tích hợp dashboard dữ liệu cho khách sạn</t>
  </si>
  <si>
    <t>LV12-073</t>
  </si>
  <si>
    <t>Phần mềm quản lý hợp đồng/hồ sơ tích hợp dashboard dữ liệu cho khách sạn</t>
  </si>
  <si>
    <t>LV12-074</t>
  </si>
  <si>
    <t>Phần mềm tìm kiếm và lọc nâng cao tích hợp dashboard dữ liệu cho khách sạn</t>
  </si>
  <si>
    <t>LV12-075</t>
  </si>
  <si>
    <t>Phần mềm quản lý phản hồi/đánh giá tích hợp dashboard dữ liệu cho khách sạn</t>
  </si>
  <si>
    <t>LV12-076</t>
  </si>
  <si>
    <t>Phần mềm dashboard điều hành tích hợp dashboard dữ liệu cho khách sạn</t>
  </si>
  <si>
    <t>LV12-077</t>
  </si>
  <si>
    <t>Phần mềm quản lý đa chi nhánh tích hợp dashboard dữ liệu cho khách sạn</t>
  </si>
  <si>
    <t>LV12-078</t>
  </si>
  <si>
    <t>Phần mềm hệ thống phân quyền vai trò tích hợp dashboard dữ liệu cho khách sạn</t>
  </si>
  <si>
    <t>LV12-079</t>
  </si>
  <si>
    <t>Phần mềm quản lý thông báo/nhắc lịch tích hợp dashboard dữ liệu cho khách sạn</t>
  </si>
  <si>
    <t>LV12-080</t>
  </si>
  <si>
    <t>Phần mềm quản lý dữ liệu và import/export tích hợp dashboard dữ liệu cho khách sạn</t>
  </si>
  <si>
    <t>LV12-081</t>
  </si>
  <si>
    <t>Hệ thống quản lý tổng thể có gợi ý AI: gợi ý giá phòng cho khách sạn</t>
  </si>
  <si>
    <t>LV12-082</t>
  </si>
  <si>
    <t>Hệ thống đặt lịch/đặt chỗ có gợi ý AI: phân tích đánh giá cho khách sạn</t>
  </si>
  <si>
    <t>LV12-083</t>
  </si>
  <si>
    <t>Hệ thống bán hàng và thanh toán có gợi ý AI: dự báo công suất phòng cho khách sạn</t>
  </si>
  <si>
    <t>LV12-084</t>
  </si>
  <si>
    <t>Hệ thống quản lý khách hàng CRM có gợi ý AI: gợi ý giá phòng cho khách sạn</t>
  </si>
  <si>
    <t>LV12-085</t>
  </si>
  <si>
    <t>Hệ thống quản lý kho/tài sản có gợi ý AI: phân tích đánh giá cho khách sạn</t>
  </si>
  <si>
    <t>LV12-086</t>
  </si>
  <si>
    <t>Hệ thống quản lý nhân sự và ca làm có gợi ý AI: dự báo công suất phòng cho khách sạn</t>
  </si>
  <si>
    <t>LV12-087</t>
  </si>
  <si>
    <t>Hệ thống quản lý hóa đơn/công nợ có gợi ý AI: gợi ý giá phòng cho khách sạn</t>
  </si>
  <si>
    <t>LV12-088</t>
  </si>
  <si>
    <t>Hệ thống báo cáo thống kê doanh thu có gợi ý AI: phân tích đánh giá cho khách sạn</t>
  </si>
  <si>
    <t>LV12-089</t>
  </si>
  <si>
    <t>Hệ thống cổng chăm sóc khách hàng có gợi ý AI: dự báo công suất phòng cho khách sạn</t>
  </si>
  <si>
    <t>LV12-090</t>
  </si>
  <si>
    <t>Hệ thống ứng dụng loyalty/tích điểm có gợi ý AI: gợi ý giá phòng cho khách sạn</t>
  </si>
  <si>
    <t>LV12-091</t>
  </si>
  <si>
    <t>Hệ thống quản lý quy trình nghiệp vụ có gợi ý AI: phân tích đánh giá cho khách sạn</t>
  </si>
  <si>
    <t>LV12-092</t>
  </si>
  <si>
    <t>Hệ thống theo dõi trạng thái thời gian thực có gợi ý AI: dự báo công suất phòng cho khách sạn</t>
  </si>
  <si>
    <t>LV12-093</t>
  </si>
  <si>
    <t>Hệ thống quản lý hợp đồng/hồ sơ có gợi ý AI: gợi ý giá phòng cho khách sạn</t>
  </si>
  <si>
    <t>LV12-094</t>
  </si>
  <si>
    <t>Hệ thống tìm kiếm và lọc nâng cao có gợi ý AI: phân tích đánh giá cho khách sạn</t>
  </si>
  <si>
    <t>LV12-095</t>
  </si>
  <si>
    <t>Hệ thống quản lý phản hồi/đánh giá có gợi ý AI: dự báo công suất phòng cho khách sạn</t>
  </si>
  <si>
    <t>LV12-096</t>
  </si>
  <si>
    <t>Hệ thống dashboard điều hành có gợi ý AI: gợi ý giá phòng cho khách sạn</t>
  </si>
  <si>
    <t>LV12-097</t>
  </si>
  <si>
    <t>Hệ thống quản lý đa chi nhánh có gợi ý AI: phân tích đánh giá cho khách sạn</t>
  </si>
  <si>
    <t>LV12-098</t>
  </si>
  <si>
    <t>Hệ thống hệ thống phân quyền vai trò có gợi ý AI: dự báo công suất phòng cho khách sạn</t>
  </si>
  <si>
    <t>LV12-099</t>
  </si>
  <si>
    <t>Hệ thống quản lý thông báo/nhắc lịch có gợi ý AI: gợi ý giá phòng cho khách sạn</t>
  </si>
  <si>
    <t>LV12-100</t>
  </si>
  <si>
    <t>Hệ thống quản lý dữ liệu và import/export có gợi ý AI: phân tích đánh giá cho khách sạn</t>
  </si>
  <si>
    <t>Du lịch</t>
  </si>
  <si>
    <t>LV13-001</t>
  </si>
  <si>
    <t>Hệ thống quản lý tổng thể cho công ty du lịch</t>
  </si>
  <si>
    <t>Đồ án 8 tuần cho nhóm 5 SV: xây dựng Web + Mobile phục vụ công ty du lịch; quản lý các thực thể chính: tour, khách hàng, lịch trình, hướng dẫn viên; có CSDL, API, giao diện người dùng, báo cáo và kiểm thử.</t>
  </si>
  <si>
    <t>Đăng nhập phân quyền, CRUD, tìm kiếm/lọc, dashboard thống kê, import/export, báo cáo PDF/Excel, kiểm thử; nghiệp vụ trọng tâm: quản lý tổng thể; AI/ML gợi ý: dự báo nhu cầu mùa vụ.</t>
  </si>
  <si>
    <t>dự báo nhu cầu mùa vụ</t>
  </si>
  <si>
    <t>LV13-002</t>
  </si>
  <si>
    <t>Hệ thống đặt lịch/đặt chỗ cho công ty du lịch</t>
  </si>
  <si>
    <t>Đồ án 8 tuần cho nhóm 5 SV: xây dựng Web + Desktop phục vụ công ty du lịch; quản lý các thực thể chính: tour, khách hàng, lịch trình, hướng dẫn viên; có CSDL, API, giao diện người dùng, báo cáo và kiểm thử.</t>
  </si>
  <si>
    <t>Đăng nhập phân quyền, CRUD, tìm kiếm/lọc, dashboard thống kê, import/export, báo cáo PDF/Excel, kiểm thử; nghiệp vụ trọng tâm: đặt lịch/đặt chỗ; AI/ML gợi ý: phân tích phản hồi.</t>
  </si>
  <si>
    <t>phân tích phản hồi</t>
  </si>
  <si>
    <t>LV13-003</t>
  </si>
  <si>
    <t>Hệ thống bán hàng và thanh toán cho công ty du lịch</t>
  </si>
  <si>
    <t>Đồ án 8 tuần cho nhóm 5 SV: xây dựng Website phục vụ công ty du lịch; quản lý các thực thể chính: tour, khách hàng, lịch trình, hướng dẫn viên; có CSDL, API, giao diện người dùng, báo cáo và kiểm thử.</t>
  </si>
  <si>
    <t>Đăng nhập phân quyền, CRUD, tìm kiếm/lọc, dashboard thống kê, import/export, báo cáo PDF/Excel, kiểm thử; nghiệp vụ trọng tâm: bán hàng và thanh toán; AI/ML gợi ý: gợi ý tour.</t>
  </si>
  <si>
    <t>gợi ý tour</t>
  </si>
  <si>
    <t>LV13-004</t>
  </si>
  <si>
    <t>Hệ thống quản lý khách hàng CRM cho công ty du lịch</t>
  </si>
  <si>
    <t>Đồ án 8 tuần cho nhóm 5 SV: xây dựng Mobile App phục vụ công ty du lịch; quản lý các thực thể chính: tour, khách hàng, lịch trình, hướng dẫn viên; có CSDL, API, giao diện người dùng, báo cáo và kiểm thử.</t>
  </si>
  <si>
    <t>Đăng nhập phân quyền, CRUD, tìm kiếm/lọc, dashboard thống kê, import/export, báo cáo PDF/Excel, kiểm thử; nghiệp vụ trọng tâm: quản lý khách hàng CRM; AI/ML gợi ý: dự báo nhu cầu mùa vụ.</t>
  </si>
  <si>
    <t>LV13-005</t>
  </si>
  <si>
    <t>Hệ thống quản lý kho/tài sản cho công ty du lịch</t>
  </si>
  <si>
    <t>Đồ án 8 tuần cho nhóm 5 SV: xây dựng Desktop App phục vụ công ty du lịch; quản lý các thực thể chính: tour, khách hàng, lịch trình, hướng dẫn viên; có CSDL, API, giao diện người dùng, báo cáo và kiểm thử.</t>
  </si>
  <si>
    <t>Đăng nhập phân quyền, CRUD, tìm kiếm/lọc, dashboard thống kê, import/export, báo cáo PDF/Excel, kiểm thử; nghiệp vụ trọng tâm: quản lý kho/tài sản; AI/ML gợi ý: phân tích phản hồi.</t>
  </si>
  <si>
    <t>LV13-006</t>
  </si>
  <si>
    <t>Hệ thống quản lý nhân sự và ca làm cho công ty du lịch</t>
  </si>
  <si>
    <t>Đăng nhập phân quyền, CRUD, tìm kiếm/lọc, dashboard thống kê, import/export, báo cáo PDF/Excel, kiểm thử; nghiệp vụ trọng tâm: quản lý nhân sự và ca làm; AI/ML gợi ý: gợi ý tour.</t>
  </si>
  <si>
    <t>LV13-007</t>
  </si>
  <si>
    <t>Hệ thống quản lý hóa đơn/công nợ cho công ty du lịch</t>
  </si>
  <si>
    <t>Đăng nhập phân quyền, CRUD, tìm kiếm/lọc, dashboard thống kê, import/export, báo cáo PDF/Excel, kiểm thử; nghiệp vụ trọng tâm: quản lý hóa đơn/công nợ; AI/ML gợi ý: dự báo nhu cầu mùa vụ.</t>
  </si>
  <si>
    <t>LV13-008</t>
  </si>
  <si>
    <t>Hệ thống báo cáo thống kê doanh thu cho công ty du lịch</t>
  </si>
  <si>
    <t>Đăng nhập phân quyền, CRUD, tìm kiếm/lọc, dashboard thống kê, import/export, báo cáo PDF/Excel, kiểm thử; nghiệp vụ trọng tâm: báo cáo thống kê doanh thu; AI/ML gợi ý: phân tích phản hồi.</t>
  </si>
  <si>
    <t>LV13-009</t>
  </si>
  <si>
    <t>Hệ thống cổng chăm sóc khách hàng cho công ty du lịch</t>
  </si>
  <si>
    <t>Đăng nhập phân quyền, CRUD, tìm kiếm/lọc, dashboard thống kê, import/export, báo cáo PDF/Excel, kiểm thử; nghiệp vụ trọng tâm: cổng chăm sóc khách hàng; AI/ML gợi ý: gợi ý tour.</t>
  </si>
  <si>
    <t>LV13-010</t>
  </si>
  <si>
    <t>Hệ thống ứng dụng loyalty/tích điểm cho công ty du lịch</t>
  </si>
  <si>
    <t>Đăng nhập phân quyền, CRUD, tìm kiếm/lọc, dashboard thống kê, import/export, báo cáo PDF/Excel, kiểm thử; nghiệp vụ trọng tâm: ứng dụng loyalty/tích điểm; AI/ML gợi ý: dự báo nhu cầu mùa vụ.</t>
  </si>
  <si>
    <t>LV13-011</t>
  </si>
  <si>
    <t>Hệ thống quản lý quy trình nghiệp vụ cho công ty du lịch</t>
  </si>
  <si>
    <t>Đăng nhập phân quyền, CRUD, tìm kiếm/lọc, dashboard thống kê, import/export, báo cáo PDF/Excel, kiểm thử; nghiệp vụ trọng tâm: quản lý quy trình nghiệp vụ; AI/ML gợi ý: phân tích phản hồi.</t>
  </si>
  <si>
    <t>LV13-012</t>
  </si>
  <si>
    <t>Hệ thống theo dõi trạng thái thời gian thực cho công ty du lịch</t>
  </si>
  <si>
    <t>Đăng nhập phân quyền, CRUD, tìm kiếm/lọc, dashboard thống kê, import/export, báo cáo PDF/Excel, kiểm thử; nghiệp vụ trọng tâm: theo dõi trạng thái thời gian thực; AI/ML gợi ý: gợi ý tour.</t>
  </si>
  <si>
    <t>LV13-013</t>
  </si>
  <si>
    <t>Hệ thống quản lý hợp đồng/hồ sơ cho công ty du lịch</t>
  </si>
  <si>
    <t>Đăng nhập phân quyền, CRUD, tìm kiếm/lọc, dashboard thống kê, import/export, báo cáo PDF/Excel, kiểm thử; nghiệp vụ trọng tâm: quản lý hợp đồng/hồ sơ; AI/ML gợi ý: dự báo nhu cầu mùa vụ.</t>
  </si>
  <si>
    <t>LV13-014</t>
  </si>
  <si>
    <t>Hệ thống tìm kiếm và lọc nâng cao cho công ty du lịch</t>
  </si>
  <si>
    <t>Đăng nhập phân quyền, CRUD, tìm kiếm/lọc, dashboard thống kê, import/export, báo cáo PDF/Excel, kiểm thử; nghiệp vụ trọng tâm: tìm kiếm và lọc nâng cao; AI/ML gợi ý: phân tích phản hồi.</t>
  </si>
  <si>
    <t>LV13-015</t>
  </si>
  <si>
    <t>Hệ thống quản lý phản hồi/đánh giá cho công ty du lịch</t>
  </si>
  <si>
    <t>Đăng nhập phân quyền, CRUD, tìm kiếm/lọc, dashboard thống kê, import/export, báo cáo PDF/Excel, kiểm thử; nghiệp vụ trọng tâm: quản lý phản hồi/đánh giá; AI/ML gợi ý: gợi ý tour.</t>
  </si>
  <si>
    <t>LV13-016</t>
  </si>
  <si>
    <t>Hệ thống dashboard điều hành cho công ty du lịch</t>
  </si>
  <si>
    <t>Đăng nhập phân quyền, CRUD, tìm kiếm/lọc, dashboard thống kê, import/export, báo cáo PDF/Excel, kiểm thử; nghiệp vụ trọng tâm: dashboard điều hành; AI/ML gợi ý: dự báo nhu cầu mùa vụ.</t>
  </si>
  <si>
    <t>LV13-017</t>
  </si>
  <si>
    <t>Hệ thống quản lý đa chi nhánh cho công ty du lịch</t>
  </si>
  <si>
    <t>Đăng nhập phân quyền, CRUD, tìm kiếm/lọc, dashboard thống kê, import/export, báo cáo PDF/Excel, kiểm thử; nghiệp vụ trọng tâm: quản lý đa chi nhánh; AI/ML gợi ý: phân tích phản hồi.</t>
  </si>
  <si>
    <t>LV13-018</t>
  </si>
  <si>
    <t>Hệ thống hệ thống phân quyền vai trò cho công ty du lịch</t>
  </si>
  <si>
    <t>Đăng nhập phân quyền, CRUD, tìm kiếm/lọc, dashboard thống kê, import/export, báo cáo PDF/Excel, kiểm thử; nghiệp vụ trọng tâm: hệ thống phân quyền vai trò; AI/ML gợi ý: gợi ý tour.</t>
  </si>
  <si>
    <t>LV13-019</t>
  </si>
  <si>
    <t>Hệ thống quản lý thông báo/nhắc lịch cho công ty du lịch</t>
  </si>
  <si>
    <t>Đăng nhập phân quyền, CRUD, tìm kiếm/lọc, dashboard thống kê, import/export, báo cáo PDF/Excel, kiểm thử; nghiệp vụ trọng tâm: quản lý thông báo/nhắc lịch; AI/ML gợi ý: dự báo nhu cầu mùa vụ.</t>
  </si>
  <si>
    <t>LV13-020</t>
  </si>
  <si>
    <t>Hệ thống quản lý dữ liệu và import/export cho công ty du lịch</t>
  </si>
  <si>
    <t>Đăng nhập phân quyền, CRUD, tìm kiếm/lọc, dashboard thống kê, import/export, báo cáo PDF/Excel, kiểm thử; nghiệp vụ trọng tâm: quản lý dữ liệu và import/export; AI/ML gợi ý: phân tích phản hồi.</t>
  </si>
  <si>
    <t>LV13-021</t>
  </si>
  <si>
    <t>Ứng dụng web + mobile hỗ trợ quản lý tổng thể trong du lịch</t>
  </si>
  <si>
    <t>LV13-022</t>
  </si>
  <si>
    <t>Ứng dụng web + desktop hỗ trợ đặt lịch/đặt chỗ trong du lịch</t>
  </si>
  <si>
    <t>LV13-023</t>
  </si>
  <si>
    <t>Ứng dụng website hỗ trợ bán hàng và thanh toán trong du lịch</t>
  </si>
  <si>
    <t>LV13-024</t>
  </si>
  <si>
    <t>Ứng dụng mobile app hỗ trợ quản lý khách hàng CRM trong du lịch</t>
  </si>
  <si>
    <t>LV13-025</t>
  </si>
  <si>
    <t>Ứng dụng desktop app hỗ trợ quản lý kho/tài sản trong du lịch</t>
  </si>
  <si>
    <t>LV13-026</t>
  </si>
  <si>
    <t>Ứng dụng web + mobile hỗ trợ quản lý nhân sự và ca làm trong du lịch</t>
  </si>
  <si>
    <t>LV13-027</t>
  </si>
  <si>
    <t>Ứng dụng web + desktop hỗ trợ quản lý hóa đơn/công nợ trong du lịch</t>
  </si>
  <si>
    <t>LV13-028</t>
  </si>
  <si>
    <t>Ứng dụng website hỗ trợ báo cáo thống kê doanh thu trong du lịch</t>
  </si>
  <si>
    <t>LV13-029</t>
  </si>
  <si>
    <t>Ứng dụng mobile app hỗ trợ cổng chăm sóc khách hàng trong du lịch</t>
  </si>
  <si>
    <t>LV13-030</t>
  </si>
  <si>
    <t>Ứng dụng desktop app hỗ trợ ứng dụng loyalty/tích điểm trong du lịch</t>
  </si>
  <si>
    <t>LV13-031</t>
  </si>
  <si>
    <t>Ứng dụng web + mobile hỗ trợ quản lý quy trình nghiệp vụ trong du lịch</t>
  </si>
  <si>
    <t>LV13-032</t>
  </si>
  <si>
    <t>Ứng dụng web + desktop hỗ trợ theo dõi trạng thái thời gian thực trong du lịch</t>
  </si>
  <si>
    <t>LV13-033</t>
  </si>
  <si>
    <t>Ứng dụng website hỗ trợ quản lý hợp đồng/hồ sơ trong du lịch</t>
  </si>
  <si>
    <t>LV13-034</t>
  </si>
  <si>
    <t>Ứng dụng mobile app hỗ trợ tìm kiếm và lọc nâng cao trong du lịch</t>
  </si>
  <si>
    <t>LV13-035</t>
  </si>
  <si>
    <t>Ứng dụng desktop app hỗ trợ quản lý phản hồi/đánh giá trong du lịch</t>
  </si>
  <si>
    <t>LV13-036</t>
  </si>
  <si>
    <t>Ứng dụng web + mobile hỗ trợ dashboard điều hành trong du lịch</t>
  </si>
  <si>
    <t>LV13-037</t>
  </si>
  <si>
    <t>Ứng dụng web + desktop hỗ trợ quản lý đa chi nhánh trong du lịch</t>
  </si>
  <si>
    <t>LV13-038</t>
  </si>
  <si>
    <t>Ứng dụng website hỗ trợ hệ thống phân quyền vai trò trong du lịch</t>
  </si>
  <si>
    <t>LV13-039</t>
  </si>
  <si>
    <t>Ứng dụng mobile app hỗ trợ quản lý thông báo/nhắc lịch trong du lịch</t>
  </si>
  <si>
    <t>LV13-040</t>
  </si>
  <si>
    <t>Ứng dụng desktop app hỗ trợ quản lý dữ liệu và import/export trong du lịch</t>
  </si>
  <si>
    <t>LV13-041</t>
  </si>
  <si>
    <t>Nền tảng quản lý tổng thể có phân quyền và báo cáo cho công ty du lịch</t>
  </si>
  <si>
    <t>LV13-042</t>
  </si>
  <si>
    <t>Nền tảng đặt lịch/đặt chỗ có phân quyền và báo cáo cho công ty du lịch</t>
  </si>
  <si>
    <t>LV13-043</t>
  </si>
  <si>
    <t>Nền tảng bán hàng và thanh toán có phân quyền và báo cáo cho công ty du lịch</t>
  </si>
  <si>
    <t>LV13-044</t>
  </si>
  <si>
    <t>Nền tảng quản lý khách hàng CRM có phân quyền và báo cáo cho công ty du lịch</t>
  </si>
  <si>
    <t>LV13-045</t>
  </si>
  <si>
    <t>Nền tảng quản lý kho/tài sản có phân quyền và báo cáo cho công ty du lịch</t>
  </si>
  <si>
    <t>LV13-046</t>
  </si>
  <si>
    <t>Nền tảng quản lý nhân sự và ca làm có phân quyền và báo cáo cho công ty du lịch</t>
  </si>
  <si>
    <t>LV13-047</t>
  </si>
  <si>
    <t>Nền tảng quản lý hóa đơn/công nợ có phân quyền và báo cáo cho công ty du lịch</t>
  </si>
  <si>
    <t>LV13-048</t>
  </si>
  <si>
    <t>Nền tảng báo cáo thống kê doanh thu có phân quyền và báo cáo cho công ty du lịch</t>
  </si>
  <si>
    <t>LV13-049</t>
  </si>
  <si>
    <t>Nền tảng cổng chăm sóc khách hàng có phân quyền và báo cáo cho công ty du lịch</t>
  </si>
  <si>
    <t>LV13-050</t>
  </si>
  <si>
    <t>Nền tảng ứng dụng loyalty/tích điểm có phân quyền và báo cáo cho công ty du lịch</t>
  </si>
  <si>
    <t>LV13-051</t>
  </si>
  <si>
    <t>Nền tảng quản lý quy trình nghiệp vụ có phân quyền và báo cáo cho công ty du lịch</t>
  </si>
  <si>
    <t>LV13-052</t>
  </si>
  <si>
    <t>Nền tảng theo dõi trạng thái thời gian thực có phân quyền và báo cáo cho công ty du lịch</t>
  </si>
  <si>
    <t>LV13-053</t>
  </si>
  <si>
    <t>Nền tảng quản lý hợp đồng/hồ sơ có phân quyền và báo cáo cho công ty du lịch</t>
  </si>
  <si>
    <t>LV13-054</t>
  </si>
  <si>
    <t>Nền tảng tìm kiếm và lọc nâng cao có phân quyền và báo cáo cho công ty du lịch</t>
  </si>
  <si>
    <t>LV13-055</t>
  </si>
  <si>
    <t>Nền tảng quản lý phản hồi/đánh giá có phân quyền và báo cáo cho công ty du lịch</t>
  </si>
  <si>
    <t>LV13-056</t>
  </si>
  <si>
    <t>Nền tảng dashboard điều hành có phân quyền và báo cáo cho công ty du lịch</t>
  </si>
  <si>
    <t>LV13-057</t>
  </si>
  <si>
    <t>Nền tảng quản lý đa chi nhánh có phân quyền và báo cáo cho công ty du lịch</t>
  </si>
  <si>
    <t>LV13-058</t>
  </si>
  <si>
    <t>Nền tảng hệ thống phân quyền vai trò có phân quyền và báo cáo cho công ty du lịch</t>
  </si>
  <si>
    <t>LV13-059</t>
  </si>
  <si>
    <t>Nền tảng quản lý thông báo/nhắc lịch có phân quyền và báo cáo cho công ty du lịch</t>
  </si>
  <si>
    <t>LV13-060</t>
  </si>
  <si>
    <t>Nền tảng quản lý dữ liệu và import/export có phân quyền và báo cáo cho công ty du lịch</t>
  </si>
  <si>
    <t>LV13-061</t>
  </si>
  <si>
    <t>Phần mềm quản lý tổng thể tích hợp dashboard dữ liệu cho du lịch</t>
  </si>
  <si>
    <t>LV13-062</t>
  </si>
  <si>
    <t>Phần mềm đặt lịch/đặt chỗ tích hợp dashboard dữ liệu cho du lịch</t>
  </si>
  <si>
    <t>LV13-063</t>
  </si>
  <si>
    <t>Phần mềm bán hàng và thanh toán tích hợp dashboard dữ liệu cho du lịch</t>
  </si>
  <si>
    <t>LV13-064</t>
  </si>
  <si>
    <t>Phần mềm quản lý khách hàng CRM tích hợp dashboard dữ liệu cho du lịch</t>
  </si>
  <si>
    <t>LV13-065</t>
  </si>
  <si>
    <t>Phần mềm quản lý kho/tài sản tích hợp dashboard dữ liệu cho du lịch</t>
  </si>
  <si>
    <t>LV13-066</t>
  </si>
  <si>
    <t>Phần mềm quản lý nhân sự và ca làm tích hợp dashboard dữ liệu cho du lịch</t>
  </si>
  <si>
    <t>LV13-067</t>
  </si>
  <si>
    <t>Phần mềm quản lý hóa đơn/công nợ tích hợp dashboard dữ liệu cho du lịch</t>
  </si>
  <si>
    <t>LV13-068</t>
  </si>
  <si>
    <t>Phần mềm báo cáo thống kê doanh thu tích hợp dashboard dữ liệu cho du lịch</t>
  </si>
  <si>
    <t>LV13-069</t>
  </si>
  <si>
    <t>Phần mềm cổng chăm sóc khách hàng tích hợp dashboard dữ liệu cho du lịch</t>
  </si>
  <si>
    <t>LV13-070</t>
  </si>
  <si>
    <t>Phần mềm ứng dụng loyalty/tích điểm tích hợp dashboard dữ liệu cho du lịch</t>
  </si>
  <si>
    <t>LV13-071</t>
  </si>
  <si>
    <t>Phần mềm quản lý quy trình nghiệp vụ tích hợp dashboard dữ liệu cho du lịch</t>
  </si>
  <si>
    <t>LV13-072</t>
  </si>
  <si>
    <t>Phần mềm theo dõi trạng thái thời gian thực tích hợp dashboard dữ liệu cho du lịch</t>
  </si>
  <si>
    <t>LV13-073</t>
  </si>
  <si>
    <t>Phần mềm quản lý hợp đồng/hồ sơ tích hợp dashboard dữ liệu cho du lịch</t>
  </si>
  <si>
    <t>LV13-074</t>
  </si>
  <si>
    <t>Phần mềm tìm kiếm và lọc nâng cao tích hợp dashboard dữ liệu cho du lịch</t>
  </si>
  <si>
    <t>LV13-075</t>
  </si>
  <si>
    <t>Phần mềm quản lý phản hồi/đánh giá tích hợp dashboard dữ liệu cho du lịch</t>
  </si>
  <si>
    <t>LV13-076</t>
  </si>
  <si>
    <t>Phần mềm dashboard điều hành tích hợp dashboard dữ liệu cho du lịch</t>
  </si>
  <si>
    <t>LV13-077</t>
  </si>
  <si>
    <t>Phần mềm quản lý đa chi nhánh tích hợp dashboard dữ liệu cho du lịch</t>
  </si>
  <si>
    <t>LV13-078</t>
  </si>
  <si>
    <t>Phần mềm hệ thống phân quyền vai trò tích hợp dashboard dữ liệu cho du lịch</t>
  </si>
  <si>
    <t>LV13-079</t>
  </si>
  <si>
    <t>Phần mềm quản lý thông báo/nhắc lịch tích hợp dashboard dữ liệu cho du lịch</t>
  </si>
  <si>
    <t>LV13-080</t>
  </si>
  <si>
    <t>Phần mềm quản lý dữ liệu và import/export tích hợp dashboard dữ liệu cho du lịch</t>
  </si>
  <si>
    <t>LV13-081</t>
  </si>
  <si>
    <t>Hệ thống quản lý tổng thể có gợi ý AI: dự báo nhu cầu mùa vụ cho công ty du lịch</t>
  </si>
  <si>
    <t>LV13-082</t>
  </si>
  <si>
    <t>Hệ thống đặt lịch/đặt chỗ có gợi ý AI: phân tích phản hồi cho công ty du lịch</t>
  </si>
  <si>
    <t>LV13-083</t>
  </si>
  <si>
    <t>Hệ thống bán hàng và thanh toán có gợi ý AI: gợi ý tour cho công ty du lịch</t>
  </si>
  <si>
    <t>LV13-084</t>
  </si>
  <si>
    <t>Hệ thống quản lý khách hàng CRM có gợi ý AI: dự báo nhu cầu mùa vụ cho công ty du lịch</t>
  </si>
  <si>
    <t>LV13-085</t>
  </si>
  <si>
    <t>Hệ thống quản lý kho/tài sản có gợi ý AI: phân tích phản hồi cho công ty du lịch</t>
  </si>
  <si>
    <t>LV13-086</t>
  </si>
  <si>
    <t>Hệ thống quản lý nhân sự và ca làm có gợi ý AI: gợi ý tour cho công ty du lịch</t>
  </si>
  <si>
    <t>LV13-087</t>
  </si>
  <si>
    <t>Hệ thống quản lý hóa đơn/công nợ có gợi ý AI: dự báo nhu cầu mùa vụ cho công ty du lịch</t>
  </si>
  <si>
    <t>LV13-088</t>
  </si>
  <si>
    <t>Hệ thống báo cáo thống kê doanh thu có gợi ý AI: phân tích phản hồi cho công ty du lịch</t>
  </si>
  <si>
    <t>LV13-089</t>
  </si>
  <si>
    <t>Hệ thống cổng chăm sóc khách hàng có gợi ý AI: gợi ý tour cho công ty du lịch</t>
  </si>
  <si>
    <t>LV13-090</t>
  </si>
  <si>
    <t>Hệ thống ứng dụng loyalty/tích điểm có gợi ý AI: dự báo nhu cầu mùa vụ cho công ty du lịch</t>
  </si>
  <si>
    <t>LV13-091</t>
  </si>
  <si>
    <t>Hệ thống quản lý quy trình nghiệp vụ có gợi ý AI: phân tích phản hồi cho công ty du lịch</t>
  </si>
  <si>
    <t>LV13-092</t>
  </si>
  <si>
    <t>Hệ thống theo dõi trạng thái thời gian thực có gợi ý AI: gợi ý tour cho công ty du lịch</t>
  </si>
  <si>
    <t>LV13-093</t>
  </si>
  <si>
    <t>Hệ thống quản lý hợp đồng/hồ sơ có gợi ý AI: dự báo nhu cầu mùa vụ cho công ty du lịch</t>
  </si>
  <si>
    <t>LV13-094</t>
  </si>
  <si>
    <t>Hệ thống tìm kiếm và lọc nâng cao có gợi ý AI: phân tích phản hồi cho công ty du lịch</t>
  </si>
  <si>
    <t>LV13-095</t>
  </si>
  <si>
    <t>Hệ thống quản lý phản hồi/đánh giá có gợi ý AI: gợi ý tour cho công ty du lịch</t>
  </si>
  <si>
    <t>LV13-096</t>
  </si>
  <si>
    <t>Hệ thống dashboard điều hành có gợi ý AI: dự báo nhu cầu mùa vụ cho công ty du lịch</t>
  </si>
  <si>
    <t>LV13-097</t>
  </si>
  <si>
    <t>Hệ thống quản lý đa chi nhánh có gợi ý AI: phân tích phản hồi cho công ty du lịch</t>
  </si>
  <si>
    <t>LV13-098</t>
  </si>
  <si>
    <t>Hệ thống hệ thống phân quyền vai trò có gợi ý AI: gợi ý tour cho công ty du lịch</t>
  </si>
  <si>
    <t>LV13-099</t>
  </si>
  <si>
    <t>Hệ thống quản lý thông báo/nhắc lịch có gợi ý AI: dự báo nhu cầu mùa vụ cho công ty du lịch</t>
  </si>
  <si>
    <t>LV13-100</t>
  </si>
  <si>
    <t>Hệ thống quản lý dữ liệu và import/export có gợi ý AI: phân tích phản hồi cho công ty du lịch</t>
  </si>
  <si>
    <t>Vé xe / vận tải</t>
  </si>
  <si>
    <t>LV14-001</t>
  </si>
  <si>
    <t>Hệ thống quản lý tổng thể cho hãng xe</t>
  </si>
  <si>
    <t>Đồ án 8 tuần cho nhóm 5 SV: xây dựng Web + Desktop phục vụ hãng xe; quản lý các thực thể chính: chuyến xe, tuyến đường, ghế, vé, tài xế; có CSDL, API, giao diện người dùng, báo cáo và kiểm thử.</t>
  </si>
  <si>
    <t>Đăng nhập phân quyền, CRUD, tìm kiếm/lọc, dashboard thống kê, import/export, báo cáo PDF/Excel, kiểm thử; nghiệp vụ trọng tâm: quản lý tổng thể; AI/ML gợi ý: tối ưu chuyến.</t>
  </si>
  <si>
    <t>tối ưu chuyến</t>
  </si>
  <si>
    <t>LV14-002</t>
  </si>
  <si>
    <t>Hệ thống đặt lịch/đặt chỗ cho hãng xe</t>
  </si>
  <si>
    <t>Đồ án 8 tuần cho nhóm 5 SV: xây dựng Website phục vụ hãng xe; quản lý các thực thể chính: chuyến xe, tuyến đường, ghế, vé, tài xế; có CSDL, API, giao diện người dùng, báo cáo và kiểm thử.</t>
  </si>
  <si>
    <t>Đăng nhập phân quyền, CRUD, tìm kiếm/lọc, dashboard thống kê, import/export, báo cáo PDF/Excel, kiểm thử; nghiệp vụ trọng tâm: đặt lịch/đặt chỗ; AI/ML gợi ý: phát hiện vé trùng.</t>
  </si>
  <si>
    <t>phát hiện vé trùng</t>
  </si>
  <si>
    <t>LV14-003</t>
  </si>
  <si>
    <t>Hệ thống bán hàng và thanh toán cho hãng xe</t>
  </si>
  <si>
    <t>Đồ án 8 tuần cho nhóm 5 SV: xây dựng Mobile App phục vụ hãng xe; quản lý các thực thể chính: chuyến xe, tuyến đường, ghế, vé, tài xế; có CSDL, API, giao diện người dùng, báo cáo và kiểm thử.</t>
  </si>
  <si>
    <t>Đăng nhập phân quyền, CRUD, tìm kiếm/lọc, dashboard thống kê, import/export, báo cáo PDF/Excel, kiểm thử; nghiệp vụ trọng tâm: bán hàng và thanh toán; AI/ML gợi ý: dự báo nhu cầu tuyến.</t>
  </si>
  <si>
    <t>dự báo nhu cầu tuyến</t>
  </si>
  <si>
    <t>LV14-004</t>
  </si>
  <si>
    <t>Hệ thống quản lý khách hàng CRM cho hãng xe</t>
  </si>
  <si>
    <t>Đồ án 8 tuần cho nhóm 5 SV: xây dựng Desktop App phục vụ hãng xe; quản lý các thực thể chính: chuyến xe, tuyến đường, ghế, vé, tài xế; có CSDL, API, giao diện người dùng, báo cáo và kiểm thử.</t>
  </si>
  <si>
    <t>Đăng nhập phân quyền, CRUD, tìm kiếm/lọc, dashboard thống kê, import/export, báo cáo PDF/Excel, kiểm thử; nghiệp vụ trọng tâm: quản lý khách hàng CRM; AI/ML gợi ý: tối ưu chuyến.</t>
  </si>
  <si>
    <t>LV14-005</t>
  </si>
  <si>
    <t>Hệ thống quản lý kho/tài sản cho hãng xe</t>
  </si>
  <si>
    <t>Đồ án 8 tuần cho nhóm 5 SV: xây dựng Web + Mobile phục vụ hãng xe; quản lý các thực thể chính: chuyến xe, tuyến đường, ghế, vé, tài xế; có CSDL, API, giao diện người dùng, báo cáo và kiểm thử.</t>
  </si>
  <si>
    <t>Đăng nhập phân quyền, CRUD, tìm kiếm/lọc, dashboard thống kê, import/export, báo cáo PDF/Excel, kiểm thử; nghiệp vụ trọng tâm: quản lý kho/tài sản; AI/ML gợi ý: phát hiện vé trùng.</t>
  </si>
  <si>
    <t>LV14-006</t>
  </si>
  <si>
    <t>Hệ thống quản lý nhân sự và ca làm cho hãng xe</t>
  </si>
  <si>
    <t>Đăng nhập phân quyền, CRUD, tìm kiếm/lọc, dashboard thống kê, import/export, báo cáo PDF/Excel, kiểm thử; nghiệp vụ trọng tâm: quản lý nhân sự và ca làm; AI/ML gợi ý: dự báo nhu cầu tuyến.</t>
  </si>
  <si>
    <t>LV14-007</t>
  </si>
  <si>
    <t>Hệ thống quản lý hóa đơn/công nợ cho hãng xe</t>
  </si>
  <si>
    <t>Đăng nhập phân quyền, CRUD, tìm kiếm/lọc, dashboard thống kê, import/export, báo cáo PDF/Excel, kiểm thử; nghiệp vụ trọng tâm: quản lý hóa đơn/công nợ; AI/ML gợi ý: tối ưu chuyến.</t>
  </si>
  <si>
    <t>LV14-008</t>
  </si>
  <si>
    <t>Hệ thống báo cáo thống kê doanh thu cho hãng xe</t>
  </si>
  <si>
    <t>Đăng nhập phân quyền, CRUD, tìm kiếm/lọc, dashboard thống kê, import/export, báo cáo PDF/Excel, kiểm thử; nghiệp vụ trọng tâm: báo cáo thống kê doanh thu; AI/ML gợi ý: phát hiện vé trùng.</t>
  </si>
  <si>
    <t>LV14-009</t>
  </si>
  <si>
    <t>Hệ thống cổng chăm sóc khách hàng cho hãng xe</t>
  </si>
  <si>
    <t>Đăng nhập phân quyền, CRUD, tìm kiếm/lọc, dashboard thống kê, import/export, báo cáo PDF/Excel, kiểm thử; nghiệp vụ trọng tâm: cổng chăm sóc khách hàng; AI/ML gợi ý: dự báo nhu cầu tuyến.</t>
  </si>
  <si>
    <t>LV14-010</t>
  </si>
  <si>
    <t>Hệ thống ứng dụng loyalty/tích điểm cho hãng xe</t>
  </si>
  <si>
    <t>Đăng nhập phân quyền, CRUD, tìm kiếm/lọc, dashboard thống kê, import/export, báo cáo PDF/Excel, kiểm thử; nghiệp vụ trọng tâm: ứng dụng loyalty/tích điểm; AI/ML gợi ý: tối ưu chuyến.</t>
  </si>
  <si>
    <t>LV14-011</t>
  </si>
  <si>
    <t>Hệ thống quản lý quy trình nghiệp vụ cho hãng xe</t>
  </si>
  <si>
    <t>Đăng nhập phân quyền, CRUD, tìm kiếm/lọc, dashboard thống kê, import/export, báo cáo PDF/Excel, kiểm thử; nghiệp vụ trọng tâm: quản lý quy trình nghiệp vụ; AI/ML gợi ý: phát hiện vé trùng.</t>
  </si>
  <si>
    <t>LV14-012</t>
  </si>
  <si>
    <t>Hệ thống theo dõi trạng thái thời gian thực cho hãng xe</t>
  </si>
  <si>
    <t>Đăng nhập phân quyền, CRUD, tìm kiếm/lọc, dashboard thống kê, import/export, báo cáo PDF/Excel, kiểm thử; nghiệp vụ trọng tâm: theo dõi trạng thái thời gian thực; AI/ML gợi ý: dự báo nhu cầu tuyến.</t>
  </si>
  <si>
    <t>LV14-013</t>
  </si>
  <si>
    <t>Hệ thống quản lý hợp đồng/hồ sơ cho hãng xe</t>
  </si>
  <si>
    <t>Đăng nhập phân quyền, CRUD, tìm kiếm/lọc, dashboard thống kê, import/export, báo cáo PDF/Excel, kiểm thử; nghiệp vụ trọng tâm: quản lý hợp đồng/hồ sơ; AI/ML gợi ý: tối ưu chuyến.</t>
  </si>
  <si>
    <t>LV14-014</t>
  </si>
  <si>
    <t>Hệ thống tìm kiếm và lọc nâng cao cho hãng xe</t>
  </si>
  <si>
    <t>Đăng nhập phân quyền, CRUD, tìm kiếm/lọc, dashboard thống kê, import/export, báo cáo PDF/Excel, kiểm thử; nghiệp vụ trọng tâm: tìm kiếm và lọc nâng cao; AI/ML gợi ý: phát hiện vé trùng.</t>
  </si>
  <si>
    <t>LV14-015</t>
  </si>
  <si>
    <t>Hệ thống quản lý phản hồi/đánh giá cho hãng xe</t>
  </si>
  <si>
    <t>Đăng nhập phân quyền, CRUD, tìm kiếm/lọc, dashboard thống kê, import/export, báo cáo PDF/Excel, kiểm thử; nghiệp vụ trọng tâm: quản lý phản hồi/đánh giá; AI/ML gợi ý: dự báo nhu cầu tuyến.</t>
  </si>
  <si>
    <t>LV14-016</t>
  </si>
  <si>
    <t>Hệ thống dashboard điều hành cho hãng xe</t>
  </si>
  <si>
    <t>Đăng nhập phân quyền, CRUD, tìm kiếm/lọc, dashboard thống kê, import/export, báo cáo PDF/Excel, kiểm thử; nghiệp vụ trọng tâm: dashboard điều hành; AI/ML gợi ý: tối ưu chuyến.</t>
  </si>
  <si>
    <t>LV14-017</t>
  </si>
  <si>
    <t>Hệ thống quản lý đa chi nhánh cho hãng xe</t>
  </si>
  <si>
    <t>Đăng nhập phân quyền, CRUD, tìm kiếm/lọc, dashboard thống kê, import/export, báo cáo PDF/Excel, kiểm thử; nghiệp vụ trọng tâm: quản lý đa chi nhánh; AI/ML gợi ý: phát hiện vé trùng.</t>
  </si>
  <si>
    <t>LV14-018</t>
  </si>
  <si>
    <t>Hệ thống hệ thống phân quyền vai trò cho hãng xe</t>
  </si>
  <si>
    <t>Đăng nhập phân quyền, CRUD, tìm kiếm/lọc, dashboard thống kê, import/export, báo cáo PDF/Excel, kiểm thử; nghiệp vụ trọng tâm: hệ thống phân quyền vai trò; AI/ML gợi ý: dự báo nhu cầu tuyến.</t>
  </si>
  <si>
    <t>LV14-019</t>
  </si>
  <si>
    <t>Hệ thống quản lý thông báo/nhắc lịch cho hãng xe</t>
  </si>
  <si>
    <t>Đăng nhập phân quyền, CRUD, tìm kiếm/lọc, dashboard thống kê, import/export, báo cáo PDF/Excel, kiểm thử; nghiệp vụ trọng tâm: quản lý thông báo/nhắc lịch; AI/ML gợi ý: tối ưu chuyến.</t>
  </si>
  <si>
    <t>LV14-020</t>
  </si>
  <si>
    <t>Hệ thống quản lý dữ liệu và import/export cho hãng xe</t>
  </si>
  <si>
    <t>Đăng nhập phân quyền, CRUD, tìm kiếm/lọc, dashboard thống kê, import/export, báo cáo PDF/Excel, kiểm thử; nghiệp vụ trọng tâm: quản lý dữ liệu và import/export; AI/ML gợi ý: phát hiện vé trùng.</t>
  </si>
  <si>
    <t>LV14-021</t>
  </si>
  <si>
    <t>Ứng dụng web + desktop hỗ trợ quản lý tổng thể trong vé xe / vận tải</t>
  </si>
  <si>
    <t>LV14-022</t>
  </si>
  <si>
    <t>Ứng dụng website hỗ trợ đặt lịch/đặt chỗ trong vé xe / vận tải</t>
  </si>
  <si>
    <t>LV14-023</t>
  </si>
  <si>
    <t>Ứng dụng mobile app hỗ trợ bán hàng và thanh toán trong vé xe / vận tải</t>
  </si>
  <si>
    <t>LV14-024</t>
  </si>
  <si>
    <t>Ứng dụng desktop app hỗ trợ quản lý khách hàng CRM trong vé xe / vận tải</t>
  </si>
  <si>
    <t>LV14-025</t>
  </si>
  <si>
    <t>Ứng dụng web + mobile hỗ trợ quản lý kho/tài sản trong vé xe / vận tải</t>
  </si>
  <si>
    <t>LV14-026</t>
  </si>
  <si>
    <t>Ứng dụng web + desktop hỗ trợ quản lý nhân sự và ca làm trong vé xe / vận tải</t>
  </si>
  <si>
    <t>LV14-027</t>
  </si>
  <si>
    <t>Ứng dụng website hỗ trợ quản lý hóa đơn/công nợ trong vé xe / vận tải</t>
  </si>
  <si>
    <t>LV14-028</t>
  </si>
  <si>
    <t>Ứng dụng mobile app hỗ trợ báo cáo thống kê doanh thu trong vé xe / vận tải</t>
  </si>
  <si>
    <t>LV14-029</t>
  </si>
  <si>
    <t>Ứng dụng desktop app hỗ trợ cổng chăm sóc khách hàng trong vé xe / vận tải</t>
  </si>
  <si>
    <t>LV14-030</t>
  </si>
  <si>
    <t>Ứng dụng web + mobile hỗ trợ ứng dụng loyalty/tích điểm trong vé xe / vận tải</t>
  </si>
  <si>
    <t>LV14-031</t>
  </si>
  <si>
    <t>Ứng dụng web + desktop hỗ trợ quản lý quy trình nghiệp vụ trong vé xe / vận tải</t>
  </si>
  <si>
    <t>LV14-032</t>
  </si>
  <si>
    <t>Ứng dụng website hỗ trợ theo dõi trạng thái thời gian thực trong vé xe / vận tải</t>
  </si>
  <si>
    <t>LV14-033</t>
  </si>
  <si>
    <t>Ứng dụng mobile app hỗ trợ quản lý hợp đồng/hồ sơ trong vé xe / vận tải</t>
  </si>
  <si>
    <t>LV14-034</t>
  </si>
  <si>
    <t>Ứng dụng desktop app hỗ trợ tìm kiếm và lọc nâng cao trong vé xe / vận tải</t>
  </si>
  <si>
    <t>LV14-035</t>
  </si>
  <si>
    <t>Ứng dụng web + mobile hỗ trợ quản lý phản hồi/đánh giá trong vé xe / vận tải</t>
  </si>
  <si>
    <t>LV14-036</t>
  </si>
  <si>
    <t>Ứng dụng web + desktop hỗ trợ dashboard điều hành trong vé xe / vận tải</t>
  </si>
  <si>
    <t>LV14-037</t>
  </si>
  <si>
    <t>Ứng dụng website hỗ trợ quản lý đa chi nhánh trong vé xe / vận tải</t>
  </si>
  <si>
    <t>LV14-038</t>
  </si>
  <si>
    <t>Ứng dụng mobile app hỗ trợ hệ thống phân quyền vai trò trong vé xe / vận tải</t>
  </si>
  <si>
    <t>LV14-039</t>
  </si>
  <si>
    <t>Ứng dụng desktop app hỗ trợ quản lý thông báo/nhắc lịch trong vé xe / vận tải</t>
  </si>
  <si>
    <t>LV14-040</t>
  </si>
  <si>
    <t>Ứng dụng web + mobile hỗ trợ quản lý dữ liệu và import/export trong vé xe / vận tải</t>
  </si>
  <si>
    <t>LV14-041</t>
  </si>
  <si>
    <t>Nền tảng quản lý tổng thể có phân quyền và báo cáo cho hãng xe</t>
  </si>
  <si>
    <t>LV14-042</t>
  </si>
  <si>
    <t>Nền tảng đặt lịch/đặt chỗ có phân quyền và báo cáo cho hãng xe</t>
  </si>
  <si>
    <t>LV14-043</t>
  </si>
  <si>
    <t>Nền tảng bán hàng và thanh toán có phân quyền và báo cáo cho hãng xe</t>
  </si>
  <si>
    <t>LV14-044</t>
  </si>
  <si>
    <t>Nền tảng quản lý khách hàng CRM có phân quyền và báo cáo cho hãng xe</t>
  </si>
  <si>
    <t>LV14-045</t>
  </si>
  <si>
    <t>Nền tảng quản lý kho/tài sản có phân quyền và báo cáo cho hãng xe</t>
  </si>
  <si>
    <t>LV14-046</t>
  </si>
  <si>
    <t>Nền tảng quản lý nhân sự và ca làm có phân quyền và báo cáo cho hãng xe</t>
  </si>
  <si>
    <t>LV14-047</t>
  </si>
  <si>
    <t>Nền tảng quản lý hóa đơn/công nợ có phân quyền và báo cáo cho hãng xe</t>
  </si>
  <si>
    <t>LV14-048</t>
  </si>
  <si>
    <t>Nền tảng báo cáo thống kê doanh thu có phân quyền và báo cáo cho hãng xe</t>
  </si>
  <si>
    <t>LV14-049</t>
  </si>
  <si>
    <t>Nền tảng cổng chăm sóc khách hàng có phân quyền và báo cáo cho hãng xe</t>
  </si>
  <si>
    <t>LV14-050</t>
  </si>
  <si>
    <t>Nền tảng ứng dụng loyalty/tích điểm có phân quyền và báo cáo cho hãng xe</t>
  </si>
  <si>
    <t>LV14-051</t>
  </si>
  <si>
    <t>Nền tảng quản lý quy trình nghiệp vụ có phân quyền và báo cáo cho hãng xe</t>
  </si>
  <si>
    <t>LV14-052</t>
  </si>
  <si>
    <t>Nền tảng theo dõi trạng thái thời gian thực có phân quyền và báo cáo cho hãng xe</t>
  </si>
  <si>
    <t>LV14-053</t>
  </si>
  <si>
    <t>Nền tảng quản lý hợp đồng/hồ sơ có phân quyền và báo cáo cho hãng xe</t>
  </si>
  <si>
    <t>LV14-054</t>
  </si>
  <si>
    <t>Nền tảng tìm kiếm và lọc nâng cao có phân quyền và báo cáo cho hãng xe</t>
  </si>
  <si>
    <t>LV14-055</t>
  </si>
  <si>
    <t>Nền tảng quản lý phản hồi/đánh giá có phân quyền và báo cáo cho hãng xe</t>
  </si>
  <si>
    <t>LV14-056</t>
  </si>
  <si>
    <t>Nền tảng dashboard điều hành có phân quyền và báo cáo cho hãng xe</t>
  </si>
  <si>
    <t>LV14-057</t>
  </si>
  <si>
    <t>Nền tảng quản lý đa chi nhánh có phân quyền và báo cáo cho hãng xe</t>
  </si>
  <si>
    <t>LV14-058</t>
  </si>
  <si>
    <t>Nền tảng hệ thống phân quyền vai trò có phân quyền và báo cáo cho hãng xe</t>
  </si>
  <si>
    <t>LV14-059</t>
  </si>
  <si>
    <t>Nền tảng quản lý thông báo/nhắc lịch có phân quyền và báo cáo cho hãng xe</t>
  </si>
  <si>
    <t>LV14-060</t>
  </si>
  <si>
    <t>Nền tảng quản lý dữ liệu và import/export có phân quyền và báo cáo cho hãng xe</t>
  </si>
  <si>
    <t>LV14-061</t>
  </si>
  <si>
    <t>Phần mềm quản lý tổng thể tích hợp dashboard dữ liệu cho vé xe / vận tải</t>
  </si>
  <si>
    <t>LV14-062</t>
  </si>
  <si>
    <t>Phần mềm đặt lịch/đặt chỗ tích hợp dashboard dữ liệu cho vé xe / vận tải</t>
  </si>
  <si>
    <t>LV14-063</t>
  </si>
  <si>
    <t>Phần mềm bán hàng và thanh toán tích hợp dashboard dữ liệu cho vé xe / vận tải</t>
  </si>
  <si>
    <t>LV14-064</t>
  </si>
  <si>
    <t>Phần mềm quản lý khách hàng CRM tích hợp dashboard dữ liệu cho vé xe / vận tải</t>
  </si>
  <si>
    <t>LV14-065</t>
  </si>
  <si>
    <t>Phần mềm quản lý kho/tài sản tích hợp dashboard dữ liệu cho vé xe / vận tải</t>
  </si>
  <si>
    <t>LV14-066</t>
  </si>
  <si>
    <t>Phần mềm quản lý nhân sự và ca làm tích hợp dashboard dữ liệu cho vé xe / vận tải</t>
  </si>
  <si>
    <t>LV14-067</t>
  </si>
  <si>
    <t>Phần mềm quản lý hóa đơn/công nợ tích hợp dashboard dữ liệu cho vé xe / vận tải</t>
  </si>
  <si>
    <t>LV14-068</t>
  </si>
  <si>
    <t>Phần mềm báo cáo thống kê doanh thu tích hợp dashboard dữ liệu cho vé xe / vận tải</t>
  </si>
  <si>
    <t>LV14-069</t>
  </si>
  <si>
    <t>Phần mềm cổng chăm sóc khách hàng tích hợp dashboard dữ liệu cho vé xe / vận tải</t>
  </si>
  <si>
    <t>LV14-070</t>
  </si>
  <si>
    <t>Phần mềm ứng dụng loyalty/tích điểm tích hợp dashboard dữ liệu cho vé xe / vận tải</t>
  </si>
  <si>
    <t>LV14-071</t>
  </si>
  <si>
    <t>Phần mềm quản lý quy trình nghiệp vụ tích hợp dashboard dữ liệu cho vé xe / vận tải</t>
  </si>
  <si>
    <t>LV14-072</t>
  </si>
  <si>
    <t>Phần mềm theo dõi trạng thái thời gian thực tích hợp dashboard dữ liệu cho vé xe / vận tải</t>
  </si>
  <si>
    <t>LV14-073</t>
  </si>
  <si>
    <t>Phần mềm quản lý hợp đồng/hồ sơ tích hợp dashboard dữ liệu cho vé xe / vận tải</t>
  </si>
  <si>
    <t>LV14-074</t>
  </si>
  <si>
    <t>Phần mềm tìm kiếm và lọc nâng cao tích hợp dashboard dữ liệu cho vé xe / vận tải</t>
  </si>
  <si>
    <t>LV14-075</t>
  </si>
  <si>
    <t>Phần mềm quản lý phản hồi/đánh giá tích hợp dashboard dữ liệu cho vé xe / vận tải</t>
  </si>
  <si>
    <t>LV14-076</t>
  </si>
  <si>
    <t>Phần mềm dashboard điều hành tích hợp dashboard dữ liệu cho vé xe / vận tải</t>
  </si>
  <si>
    <t>LV14-077</t>
  </si>
  <si>
    <t>Phần mềm quản lý đa chi nhánh tích hợp dashboard dữ liệu cho vé xe / vận tải</t>
  </si>
  <si>
    <t>LV14-078</t>
  </si>
  <si>
    <t>Phần mềm hệ thống phân quyền vai trò tích hợp dashboard dữ liệu cho vé xe / vận tải</t>
  </si>
  <si>
    <t>LV14-079</t>
  </si>
  <si>
    <t>Phần mềm quản lý thông báo/nhắc lịch tích hợp dashboard dữ liệu cho vé xe / vận tải</t>
  </si>
  <si>
    <t>LV14-080</t>
  </si>
  <si>
    <t>Phần mềm quản lý dữ liệu và import/export tích hợp dashboard dữ liệu cho vé xe / vận tải</t>
  </si>
  <si>
    <t>LV14-081</t>
  </si>
  <si>
    <t>Hệ thống quản lý tổng thể có gợi ý AI: tối ưu chuyến cho hãng xe</t>
  </si>
  <si>
    <t>LV14-082</t>
  </si>
  <si>
    <t>Hệ thống đặt lịch/đặt chỗ có gợi ý AI: phát hiện vé trùng cho hãng xe</t>
  </si>
  <si>
    <t>LV14-083</t>
  </si>
  <si>
    <t>Hệ thống bán hàng và thanh toán có gợi ý AI: dự báo nhu cầu tuyến cho hãng xe</t>
  </si>
  <si>
    <t>LV14-084</t>
  </si>
  <si>
    <t>Hệ thống quản lý khách hàng CRM có gợi ý AI: tối ưu chuyến cho hãng xe</t>
  </si>
  <si>
    <t>LV14-085</t>
  </si>
  <si>
    <t>Hệ thống quản lý kho/tài sản có gợi ý AI: phát hiện vé trùng cho hãng xe</t>
  </si>
  <si>
    <t>LV14-086</t>
  </si>
  <si>
    <t>Hệ thống quản lý nhân sự và ca làm có gợi ý AI: dự báo nhu cầu tuyến cho hãng xe</t>
  </si>
  <si>
    <t>LV14-087</t>
  </si>
  <si>
    <t>Hệ thống quản lý hóa đơn/công nợ có gợi ý AI: tối ưu chuyến cho hãng xe</t>
  </si>
  <si>
    <t>LV14-088</t>
  </si>
  <si>
    <t>Hệ thống báo cáo thống kê doanh thu có gợi ý AI: phát hiện vé trùng cho hãng xe</t>
  </si>
  <si>
    <t>LV14-089</t>
  </si>
  <si>
    <t>Hệ thống cổng chăm sóc khách hàng có gợi ý AI: dự báo nhu cầu tuyến cho hãng xe</t>
  </si>
  <si>
    <t>LV14-090</t>
  </si>
  <si>
    <t>Hệ thống ứng dụng loyalty/tích điểm có gợi ý AI: tối ưu chuyến cho hãng xe</t>
  </si>
  <si>
    <t>LV14-091</t>
  </si>
  <si>
    <t>Hệ thống quản lý quy trình nghiệp vụ có gợi ý AI: phát hiện vé trùng cho hãng xe</t>
  </si>
  <si>
    <t>LV14-092</t>
  </si>
  <si>
    <t>Hệ thống theo dõi trạng thái thời gian thực có gợi ý AI: dự báo nhu cầu tuyến cho hãng xe</t>
  </si>
  <si>
    <t>LV14-093</t>
  </si>
  <si>
    <t>Hệ thống quản lý hợp đồng/hồ sơ có gợi ý AI: tối ưu chuyến cho hãng xe</t>
  </si>
  <si>
    <t>LV14-094</t>
  </si>
  <si>
    <t>Hệ thống tìm kiếm và lọc nâng cao có gợi ý AI: phát hiện vé trùng cho hãng xe</t>
  </si>
  <si>
    <t>LV14-095</t>
  </si>
  <si>
    <t>Hệ thống quản lý phản hồi/đánh giá có gợi ý AI: dự báo nhu cầu tuyến cho hãng xe</t>
  </si>
  <si>
    <t>LV14-096</t>
  </si>
  <si>
    <t>Hệ thống dashboard điều hành có gợi ý AI: tối ưu chuyến cho hãng xe</t>
  </si>
  <si>
    <t>LV14-097</t>
  </si>
  <si>
    <t>Hệ thống quản lý đa chi nhánh có gợi ý AI: phát hiện vé trùng cho hãng xe</t>
  </si>
  <si>
    <t>LV14-098</t>
  </si>
  <si>
    <t>Hệ thống hệ thống phân quyền vai trò có gợi ý AI: dự báo nhu cầu tuyến cho hãng xe</t>
  </si>
  <si>
    <t>LV14-099</t>
  </si>
  <si>
    <t>Hệ thống quản lý thông báo/nhắc lịch có gợi ý AI: tối ưu chuyến cho hãng xe</t>
  </si>
  <si>
    <t>LV14-100</t>
  </si>
  <si>
    <t>Hệ thống quản lý dữ liệu và import/export có gợi ý AI: phát hiện vé trùng cho hãng xe</t>
  </si>
  <si>
    <t>Taxi / xe công nghệ</t>
  </si>
  <si>
    <t>LV15-001</t>
  </si>
  <si>
    <t>Hệ thống quản lý tổng thể cho dịch vụ đặt xe</t>
  </si>
  <si>
    <t>Đồ án 8 tuần cho nhóm 5 SV: xây dựng Website phục vụ dịch vụ đặt xe; quản lý các thực thể chính: khách hàng, tài xế, chuyến đi, thanh toán; có CSDL, API, giao diện người dùng, báo cáo và kiểm thử.</t>
  </si>
  <si>
    <t>Đăng nhập phân quyền, CRUD, tìm kiếm/lọc, dashboard thống kê, import/export, báo cáo PDF/Excel, kiểm thử; nghiệp vụ trọng tâm: quản lý tổng thể; AI/ML gợi ý: dự báo cước.</t>
  </si>
  <si>
    <t>dự báo cước</t>
  </si>
  <si>
    <t>LV15-002</t>
  </si>
  <si>
    <t>Hệ thống đặt lịch/đặt chỗ cho dịch vụ đặt xe</t>
  </si>
  <si>
    <t>Đồ án 8 tuần cho nhóm 5 SV: xây dựng Mobile App phục vụ dịch vụ đặt xe; quản lý các thực thể chính: khách hàng, tài xế, chuyến đi, thanh toán; có CSDL, API, giao diện người dùng, báo cáo và kiểm thử.</t>
  </si>
  <si>
    <t>Đăng nhập phân quyền, CRUD, tìm kiếm/lọc, dashboard thống kê, import/export, báo cáo PDF/Excel, kiểm thử; nghiệp vụ trọng tâm: đặt lịch/đặt chỗ; AI/ML gợi ý: phát hiện gian lận.</t>
  </si>
  <si>
    <t>phát hiện gian lận</t>
  </si>
  <si>
    <t>LV15-003</t>
  </si>
  <si>
    <t>Hệ thống bán hàng và thanh toán cho dịch vụ đặt xe</t>
  </si>
  <si>
    <t>Đồ án 8 tuần cho nhóm 5 SV: xây dựng Desktop App phục vụ dịch vụ đặt xe; quản lý các thực thể chính: khách hàng, tài xế, chuyến đi, thanh toán; có CSDL, API, giao diện người dùng, báo cáo và kiểm thử.</t>
  </si>
  <si>
    <t>Đăng nhập phân quyền, CRUD, tìm kiếm/lọc, dashboard thống kê, import/export, báo cáo PDF/Excel, kiểm thử; nghiệp vụ trọng tâm: bán hàng và thanh toán; AI/ML gợi ý: ghép tài xế gần nhất.</t>
  </si>
  <si>
    <t>ghép tài xế gần nhất</t>
  </si>
  <si>
    <t>LV15-004</t>
  </si>
  <si>
    <t>Hệ thống quản lý khách hàng CRM cho dịch vụ đặt xe</t>
  </si>
  <si>
    <t>Đồ án 8 tuần cho nhóm 5 SV: xây dựng Web + Mobile phục vụ dịch vụ đặt xe; quản lý các thực thể chính: khách hàng, tài xế, chuyến đi, thanh toán; có CSDL, API, giao diện người dùng, báo cáo và kiểm thử.</t>
  </si>
  <si>
    <t>Đăng nhập phân quyền, CRUD, tìm kiếm/lọc, dashboard thống kê, import/export, báo cáo PDF/Excel, kiểm thử; nghiệp vụ trọng tâm: quản lý khách hàng CRM; AI/ML gợi ý: dự báo cước.</t>
  </si>
  <si>
    <t>LV15-005</t>
  </si>
  <si>
    <t>Hệ thống quản lý kho/tài sản cho dịch vụ đặt xe</t>
  </si>
  <si>
    <t>Đồ án 8 tuần cho nhóm 5 SV: xây dựng Web + Desktop phục vụ dịch vụ đặt xe; quản lý các thực thể chính: khách hàng, tài xế, chuyến đi, thanh toán; có CSDL, API, giao diện người dùng, báo cáo và kiểm thử.</t>
  </si>
  <si>
    <t>Đăng nhập phân quyền, CRUD, tìm kiếm/lọc, dashboard thống kê, import/export, báo cáo PDF/Excel, kiểm thử; nghiệp vụ trọng tâm: quản lý kho/tài sản; AI/ML gợi ý: phát hiện gian lận.</t>
  </si>
  <si>
    <t>LV15-006</t>
  </si>
  <si>
    <t>Hệ thống quản lý nhân sự và ca làm cho dịch vụ đặt xe</t>
  </si>
  <si>
    <t>Đăng nhập phân quyền, CRUD, tìm kiếm/lọc, dashboard thống kê, import/export, báo cáo PDF/Excel, kiểm thử; nghiệp vụ trọng tâm: quản lý nhân sự và ca làm; AI/ML gợi ý: ghép tài xế gần nhất.</t>
  </si>
  <si>
    <t>LV15-007</t>
  </si>
  <si>
    <t>Hệ thống quản lý hóa đơn/công nợ cho dịch vụ đặt xe</t>
  </si>
  <si>
    <t>Đăng nhập phân quyền, CRUD, tìm kiếm/lọc, dashboard thống kê, import/export, báo cáo PDF/Excel, kiểm thử; nghiệp vụ trọng tâm: quản lý hóa đơn/công nợ; AI/ML gợi ý: dự báo cước.</t>
  </si>
  <si>
    <t>LV15-008</t>
  </si>
  <si>
    <t>Hệ thống báo cáo thống kê doanh thu cho dịch vụ đặt xe</t>
  </si>
  <si>
    <t>Đăng nhập phân quyền, CRUD, tìm kiếm/lọc, dashboard thống kê, import/export, báo cáo PDF/Excel, kiểm thử; nghiệp vụ trọng tâm: báo cáo thống kê doanh thu; AI/ML gợi ý: phát hiện gian lận.</t>
  </si>
  <si>
    <t>LV15-009</t>
  </si>
  <si>
    <t>Hệ thống cổng chăm sóc khách hàng cho dịch vụ đặt xe</t>
  </si>
  <si>
    <t>Đăng nhập phân quyền, CRUD, tìm kiếm/lọc, dashboard thống kê, import/export, báo cáo PDF/Excel, kiểm thử; nghiệp vụ trọng tâm: cổng chăm sóc khách hàng; AI/ML gợi ý: ghép tài xế gần nhất.</t>
  </si>
  <si>
    <t>LV15-010</t>
  </si>
  <si>
    <t>Hệ thống ứng dụng loyalty/tích điểm cho dịch vụ đặt xe</t>
  </si>
  <si>
    <t>Đăng nhập phân quyền, CRUD, tìm kiếm/lọc, dashboard thống kê, import/export, báo cáo PDF/Excel, kiểm thử; nghiệp vụ trọng tâm: ứng dụng loyalty/tích điểm; AI/ML gợi ý: dự báo cước.</t>
  </si>
  <si>
    <t>LV15-011</t>
  </si>
  <si>
    <t>Hệ thống quản lý quy trình nghiệp vụ cho dịch vụ đặt xe</t>
  </si>
  <si>
    <t>Đăng nhập phân quyền, CRUD, tìm kiếm/lọc, dashboard thống kê, import/export, báo cáo PDF/Excel, kiểm thử; nghiệp vụ trọng tâm: quản lý quy trình nghiệp vụ; AI/ML gợi ý: phát hiện gian lận.</t>
  </si>
  <si>
    <t>LV15-012</t>
  </si>
  <si>
    <t>Hệ thống theo dõi trạng thái thời gian thực cho dịch vụ đặt xe</t>
  </si>
  <si>
    <t>Đăng nhập phân quyền, CRUD, tìm kiếm/lọc, dashboard thống kê, import/export, báo cáo PDF/Excel, kiểm thử; nghiệp vụ trọng tâm: theo dõi trạng thái thời gian thực; AI/ML gợi ý: ghép tài xế gần nhất.</t>
  </si>
  <si>
    <t>LV15-013</t>
  </si>
  <si>
    <t>Hệ thống quản lý hợp đồng/hồ sơ cho dịch vụ đặt xe</t>
  </si>
  <si>
    <t>Đăng nhập phân quyền, CRUD, tìm kiếm/lọc, dashboard thống kê, import/export, báo cáo PDF/Excel, kiểm thử; nghiệp vụ trọng tâm: quản lý hợp đồng/hồ sơ; AI/ML gợi ý: dự báo cước.</t>
  </si>
  <si>
    <t>LV15-014</t>
  </si>
  <si>
    <t>Hệ thống tìm kiếm và lọc nâng cao cho dịch vụ đặt xe</t>
  </si>
  <si>
    <t>Đăng nhập phân quyền, CRUD, tìm kiếm/lọc, dashboard thống kê, import/export, báo cáo PDF/Excel, kiểm thử; nghiệp vụ trọng tâm: tìm kiếm và lọc nâng cao; AI/ML gợi ý: phát hiện gian lận.</t>
  </si>
  <si>
    <t>LV15-015</t>
  </si>
  <si>
    <t>Hệ thống quản lý phản hồi/đánh giá cho dịch vụ đặt xe</t>
  </si>
  <si>
    <t>Đăng nhập phân quyền, CRUD, tìm kiếm/lọc, dashboard thống kê, import/export, báo cáo PDF/Excel, kiểm thử; nghiệp vụ trọng tâm: quản lý phản hồi/đánh giá; AI/ML gợi ý: ghép tài xế gần nhất.</t>
  </si>
  <si>
    <t>LV15-016</t>
  </si>
  <si>
    <t>Hệ thống dashboard điều hành cho dịch vụ đặt xe</t>
  </si>
  <si>
    <t>Đăng nhập phân quyền, CRUD, tìm kiếm/lọc, dashboard thống kê, import/export, báo cáo PDF/Excel, kiểm thử; nghiệp vụ trọng tâm: dashboard điều hành; AI/ML gợi ý: dự báo cước.</t>
  </si>
  <si>
    <t>LV15-017</t>
  </si>
  <si>
    <t>Hệ thống quản lý đa chi nhánh cho dịch vụ đặt xe</t>
  </si>
  <si>
    <t>Đăng nhập phân quyền, CRUD, tìm kiếm/lọc, dashboard thống kê, import/export, báo cáo PDF/Excel, kiểm thử; nghiệp vụ trọng tâm: quản lý đa chi nhánh; AI/ML gợi ý: phát hiện gian lận.</t>
  </si>
  <si>
    <t>LV15-018</t>
  </si>
  <si>
    <t>Hệ thống hệ thống phân quyền vai trò cho dịch vụ đặt xe</t>
  </si>
  <si>
    <t>Đăng nhập phân quyền, CRUD, tìm kiếm/lọc, dashboard thống kê, import/export, báo cáo PDF/Excel, kiểm thử; nghiệp vụ trọng tâm: hệ thống phân quyền vai trò; AI/ML gợi ý: ghép tài xế gần nhất.</t>
  </si>
  <si>
    <t>LV15-019</t>
  </si>
  <si>
    <t>Hệ thống quản lý thông báo/nhắc lịch cho dịch vụ đặt xe</t>
  </si>
  <si>
    <t>Đăng nhập phân quyền, CRUD, tìm kiếm/lọc, dashboard thống kê, import/export, báo cáo PDF/Excel, kiểm thử; nghiệp vụ trọng tâm: quản lý thông báo/nhắc lịch; AI/ML gợi ý: dự báo cước.</t>
  </si>
  <si>
    <t>LV15-020</t>
  </si>
  <si>
    <t>Hệ thống quản lý dữ liệu và import/export cho dịch vụ đặt xe</t>
  </si>
  <si>
    <t>Đăng nhập phân quyền, CRUD, tìm kiếm/lọc, dashboard thống kê, import/export, báo cáo PDF/Excel, kiểm thử; nghiệp vụ trọng tâm: quản lý dữ liệu và import/export; AI/ML gợi ý: phát hiện gian lận.</t>
  </si>
  <si>
    <t>LV15-021</t>
  </si>
  <si>
    <t>Ứng dụng website hỗ trợ quản lý tổng thể trong taxi / xe công nghệ</t>
  </si>
  <si>
    <t>LV15-022</t>
  </si>
  <si>
    <t>Ứng dụng mobile app hỗ trợ đặt lịch/đặt chỗ trong taxi / xe công nghệ</t>
  </si>
  <si>
    <t>LV15-023</t>
  </si>
  <si>
    <t>Ứng dụng desktop app hỗ trợ bán hàng và thanh toán trong taxi / xe công nghệ</t>
  </si>
  <si>
    <t>LV15-024</t>
  </si>
  <si>
    <t>Ứng dụng web + mobile hỗ trợ quản lý khách hàng CRM trong taxi / xe công nghệ</t>
  </si>
  <si>
    <t>LV15-025</t>
  </si>
  <si>
    <t>Ứng dụng web + desktop hỗ trợ quản lý kho/tài sản trong taxi / xe công nghệ</t>
  </si>
  <si>
    <t>LV15-026</t>
  </si>
  <si>
    <t>Ứng dụng website hỗ trợ quản lý nhân sự và ca làm trong taxi / xe công nghệ</t>
  </si>
  <si>
    <t>LV15-027</t>
  </si>
  <si>
    <t>Ứng dụng mobile app hỗ trợ quản lý hóa đơn/công nợ trong taxi / xe công nghệ</t>
  </si>
  <si>
    <t>LV15-028</t>
  </si>
  <si>
    <t>Ứng dụng desktop app hỗ trợ báo cáo thống kê doanh thu trong taxi / xe công nghệ</t>
  </si>
  <si>
    <t>LV15-029</t>
  </si>
  <si>
    <t>Ứng dụng web + mobile hỗ trợ cổng chăm sóc khách hàng trong taxi / xe công nghệ</t>
  </si>
  <si>
    <t>LV15-030</t>
  </si>
  <si>
    <t>Ứng dụng web + desktop hỗ trợ ứng dụng loyalty/tích điểm trong taxi / xe công nghệ</t>
  </si>
  <si>
    <t>LV15-031</t>
  </si>
  <si>
    <t>Ứng dụng website hỗ trợ quản lý quy trình nghiệp vụ trong taxi / xe công nghệ</t>
  </si>
  <si>
    <t>LV15-032</t>
  </si>
  <si>
    <t>Ứng dụng mobile app hỗ trợ theo dõi trạng thái thời gian thực trong taxi / xe công nghệ</t>
  </si>
  <si>
    <t>LV15-033</t>
  </si>
  <si>
    <t>Ứng dụng desktop app hỗ trợ quản lý hợp đồng/hồ sơ trong taxi / xe công nghệ</t>
  </si>
  <si>
    <t>LV15-034</t>
  </si>
  <si>
    <t>Ứng dụng web + mobile hỗ trợ tìm kiếm và lọc nâng cao trong taxi / xe công nghệ</t>
  </si>
  <si>
    <t>LV15-035</t>
  </si>
  <si>
    <t>Ứng dụng web + desktop hỗ trợ quản lý phản hồi/đánh giá trong taxi / xe công nghệ</t>
  </si>
  <si>
    <t>LV15-036</t>
  </si>
  <si>
    <t>Ứng dụng website hỗ trợ dashboard điều hành trong taxi / xe công nghệ</t>
  </si>
  <si>
    <t>LV15-037</t>
  </si>
  <si>
    <t>Ứng dụng mobile app hỗ trợ quản lý đa chi nhánh trong taxi / xe công nghệ</t>
  </si>
  <si>
    <t>LV15-038</t>
  </si>
  <si>
    <t>Ứng dụng desktop app hỗ trợ hệ thống phân quyền vai trò trong taxi / xe công nghệ</t>
  </si>
  <si>
    <t>LV15-039</t>
  </si>
  <si>
    <t>Ứng dụng web + mobile hỗ trợ quản lý thông báo/nhắc lịch trong taxi / xe công nghệ</t>
  </si>
  <si>
    <t>LV15-040</t>
  </si>
  <si>
    <t>Ứng dụng web + desktop hỗ trợ quản lý dữ liệu và import/export trong taxi / xe công nghệ</t>
  </si>
  <si>
    <t>LV15-041</t>
  </si>
  <si>
    <t>Nền tảng quản lý tổng thể có phân quyền và báo cáo cho dịch vụ đặt xe</t>
  </si>
  <si>
    <t>LV15-042</t>
  </si>
  <si>
    <t>Nền tảng đặt lịch/đặt chỗ có phân quyền và báo cáo cho dịch vụ đặt xe</t>
  </si>
  <si>
    <t>LV15-043</t>
  </si>
  <si>
    <t>Nền tảng bán hàng và thanh toán có phân quyền và báo cáo cho dịch vụ đặt xe</t>
  </si>
  <si>
    <t>LV15-044</t>
  </si>
  <si>
    <t>Nền tảng quản lý khách hàng CRM có phân quyền và báo cáo cho dịch vụ đặt xe</t>
  </si>
  <si>
    <t>LV15-045</t>
  </si>
  <si>
    <t>Nền tảng quản lý kho/tài sản có phân quyền và báo cáo cho dịch vụ đặt xe</t>
  </si>
  <si>
    <t>LV15-046</t>
  </si>
  <si>
    <t>Nền tảng quản lý nhân sự và ca làm có phân quyền và báo cáo cho dịch vụ đặt xe</t>
  </si>
  <si>
    <t>LV15-047</t>
  </si>
  <si>
    <t>Nền tảng quản lý hóa đơn/công nợ có phân quyền và báo cáo cho dịch vụ đặt xe</t>
  </si>
  <si>
    <t>LV15-048</t>
  </si>
  <si>
    <t>Nền tảng báo cáo thống kê doanh thu có phân quyền và báo cáo cho dịch vụ đặt xe</t>
  </si>
  <si>
    <t>LV15-049</t>
  </si>
  <si>
    <t>Nền tảng cổng chăm sóc khách hàng có phân quyền và báo cáo cho dịch vụ đặt xe</t>
  </si>
  <si>
    <t>LV15-050</t>
  </si>
  <si>
    <t>Nền tảng ứng dụng loyalty/tích điểm có phân quyền và báo cáo cho dịch vụ đặt xe</t>
  </si>
  <si>
    <t>LV15-051</t>
  </si>
  <si>
    <t>Nền tảng quản lý quy trình nghiệp vụ có phân quyền và báo cáo cho dịch vụ đặt xe</t>
  </si>
  <si>
    <t>LV15-052</t>
  </si>
  <si>
    <t>Nền tảng theo dõi trạng thái thời gian thực có phân quyền và báo cáo cho dịch vụ đặt xe</t>
  </si>
  <si>
    <t>LV15-053</t>
  </si>
  <si>
    <t>Nền tảng quản lý hợp đồng/hồ sơ có phân quyền và báo cáo cho dịch vụ đặt xe</t>
  </si>
  <si>
    <t>LV15-054</t>
  </si>
  <si>
    <t>Nền tảng tìm kiếm và lọc nâng cao có phân quyền và báo cáo cho dịch vụ đặt xe</t>
  </si>
  <si>
    <t>LV15-055</t>
  </si>
  <si>
    <t>Nền tảng quản lý phản hồi/đánh giá có phân quyền và báo cáo cho dịch vụ đặt xe</t>
  </si>
  <si>
    <t>LV15-056</t>
  </si>
  <si>
    <t>Nền tảng dashboard điều hành có phân quyền và báo cáo cho dịch vụ đặt xe</t>
  </si>
  <si>
    <t>LV15-057</t>
  </si>
  <si>
    <t>Nền tảng quản lý đa chi nhánh có phân quyền và báo cáo cho dịch vụ đặt xe</t>
  </si>
  <si>
    <t>LV15-058</t>
  </si>
  <si>
    <t>Nền tảng hệ thống phân quyền vai trò có phân quyền và báo cáo cho dịch vụ đặt xe</t>
  </si>
  <si>
    <t>LV15-059</t>
  </si>
  <si>
    <t>Nền tảng quản lý thông báo/nhắc lịch có phân quyền và báo cáo cho dịch vụ đặt xe</t>
  </si>
  <si>
    <t>LV15-060</t>
  </si>
  <si>
    <t>Nền tảng quản lý dữ liệu và import/export có phân quyền và báo cáo cho dịch vụ đặt xe</t>
  </si>
  <si>
    <t>LV15-061</t>
  </si>
  <si>
    <t>Phần mềm quản lý tổng thể tích hợp dashboard dữ liệu cho taxi / xe công nghệ</t>
  </si>
  <si>
    <t>LV15-062</t>
  </si>
  <si>
    <t>Phần mềm đặt lịch/đặt chỗ tích hợp dashboard dữ liệu cho taxi / xe công nghệ</t>
  </si>
  <si>
    <t>LV15-063</t>
  </si>
  <si>
    <t>Phần mềm bán hàng và thanh toán tích hợp dashboard dữ liệu cho taxi / xe công nghệ</t>
  </si>
  <si>
    <t>LV15-064</t>
  </si>
  <si>
    <t>Phần mềm quản lý khách hàng CRM tích hợp dashboard dữ liệu cho taxi / xe công nghệ</t>
  </si>
  <si>
    <t>LV15-065</t>
  </si>
  <si>
    <t>Phần mềm quản lý kho/tài sản tích hợp dashboard dữ liệu cho taxi / xe công nghệ</t>
  </si>
  <si>
    <t>LV15-066</t>
  </si>
  <si>
    <t>Phần mềm quản lý nhân sự và ca làm tích hợp dashboard dữ liệu cho taxi / xe công nghệ</t>
  </si>
  <si>
    <t>LV15-067</t>
  </si>
  <si>
    <t>Phần mềm quản lý hóa đơn/công nợ tích hợp dashboard dữ liệu cho taxi / xe công nghệ</t>
  </si>
  <si>
    <t>LV15-068</t>
  </si>
  <si>
    <t>Phần mềm báo cáo thống kê doanh thu tích hợp dashboard dữ liệu cho taxi / xe công nghệ</t>
  </si>
  <si>
    <t>LV15-069</t>
  </si>
  <si>
    <t>Phần mềm cổng chăm sóc khách hàng tích hợp dashboard dữ liệu cho taxi / xe công nghệ</t>
  </si>
  <si>
    <t>LV15-070</t>
  </si>
  <si>
    <t>Phần mềm ứng dụng loyalty/tích điểm tích hợp dashboard dữ liệu cho taxi / xe công nghệ</t>
  </si>
  <si>
    <t>LV15-071</t>
  </si>
  <si>
    <t>Phần mềm quản lý quy trình nghiệp vụ tích hợp dashboard dữ liệu cho taxi / xe công nghệ</t>
  </si>
  <si>
    <t>LV15-072</t>
  </si>
  <si>
    <t>Phần mềm theo dõi trạng thái thời gian thực tích hợp dashboard dữ liệu cho taxi / xe công nghệ</t>
  </si>
  <si>
    <t>LV15-073</t>
  </si>
  <si>
    <t>Phần mềm quản lý hợp đồng/hồ sơ tích hợp dashboard dữ liệu cho taxi / xe công nghệ</t>
  </si>
  <si>
    <t>LV15-074</t>
  </si>
  <si>
    <t>Phần mềm tìm kiếm và lọc nâng cao tích hợp dashboard dữ liệu cho taxi / xe công nghệ</t>
  </si>
  <si>
    <t>LV15-075</t>
  </si>
  <si>
    <t>Phần mềm quản lý phản hồi/đánh giá tích hợp dashboard dữ liệu cho taxi / xe công nghệ</t>
  </si>
  <si>
    <t>LV15-076</t>
  </si>
  <si>
    <t>Phần mềm dashboard điều hành tích hợp dashboard dữ liệu cho taxi / xe công nghệ</t>
  </si>
  <si>
    <t>LV15-077</t>
  </si>
  <si>
    <t>Phần mềm quản lý đa chi nhánh tích hợp dashboard dữ liệu cho taxi / xe công nghệ</t>
  </si>
  <si>
    <t>LV15-078</t>
  </si>
  <si>
    <t>Phần mềm hệ thống phân quyền vai trò tích hợp dashboard dữ liệu cho taxi / xe công nghệ</t>
  </si>
  <si>
    <t>LV15-079</t>
  </si>
  <si>
    <t>Phần mềm quản lý thông báo/nhắc lịch tích hợp dashboard dữ liệu cho taxi / xe công nghệ</t>
  </si>
  <si>
    <t>LV15-080</t>
  </si>
  <si>
    <t>Phần mềm quản lý dữ liệu và import/export tích hợp dashboard dữ liệu cho taxi / xe công nghệ</t>
  </si>
  <si>
    <t>LV15-081</t>
  </si>
  <si>
    <t>Hệ thống quản lý tổng thể có gợi ý AI: dự báo cước cho dịch vụ đặt xe</t>
  </si>
  <si>
    <t>LV15-082</t>
  </si>
  <si>
    <t>Hệ thống đặt lịch/đặt chỗ có gợi ý AI: phát hiện gian lận cho dịch vụ đặt xe</t>
  </si>
  <si>
    <t>LV15-083</t>
  </si>
  <si>
    <t>Hệ thống bán hàng và thanh toán có gợi ý AI: ghép tài xế gần nhất cho dịch vụ đặt xe</t>
  </si>
  <si>
    <t>LV15-084</t>
  </si>
  <si>
    <t>Hệ thống quản lý khách hàng CRM có gợi ý AI: dự báo cước cho dịch vụ đặt xe</t>
  </si>
  <si>
    <t>LV15-085</t>
  </si>
  <si>
    <t>Hệ thống quản lý kho/tài sản có gợi ý AI: phát hiện gian lận cho dịch vụ đặt xe</t>
  </si>
  <si>
    <t>LV15-086</t>
  </si>
  <si>
    <t>Hệ thống quản lý nhân sự và ca làm có gợi ý AI: ghép tài xế gần nhất cho dịch vụ đặt xe</t>
  </si>
  <si>
    <t>LV15-087</t>
  </si>
  <si>
    <t>Hệ thống quản lý hóa đơn/công nợ có gợi ý AI: dự báo cước cho dịch vụ đặt xe</t>
  </si>
  <si>
    <t>LV15-088</t>
  </si>
  <si>
    <t>Hệ thống báo cáo thống kê doanh thu có gợi ý AI: phát hiện gian lận cho dịch vụ đặt xe</t>
  </si>
  <si>
    <t>LV15-089</t>
  </si>
  <si>
    <t>Hệ thống cổng chăm sóc khách hàng có gợi ý AI: ghép tài xế gần nhất cho dịch vụ đặt xe</t>
  </si>
  <si>
    <t>LV15-090</t>
  </si>
  <si>
    <t>Hệ thống ứng dụng loyalty/tích điểm có gợi ý AI: dự báo cước cho dịch vụ đặt xe</t>
  </si>
  <si>
    <t>LV15-091</t>
  </si>
  <si>
    <t>Hệ thống quản lý quy trình nghiệp vụ có gợi ý AI: phát hiện gian lận cho dịch vụ đặt xe</t>
  </si>
  <si>
    <t>LV15-092</t>
  </si>
  <si>
    <t>Hệ thống theo dõi trạng thái thời gian thực có gợi ý AI: ghép tài xế gần nhất cho dịch vụ đặt xe</t>
  </si>
  <si>
    <t>LV15-093</t>
  </si>
  <si>
    <t>Hệ thống quản lý hợp đồng/hồ sơ có gợi ý AI: dự báo cước cho dịch vụ đặt xe</t>
  </si>
  <si>
    <t>LV15-094</t>
  </si>
  <si>
    <t>Hệ thống tìm kiếm và lọc nâng cao có gợi ý AI: phát hiện gian lận cho dịch vụ đặt xe</t>
  </si>
  <si>
    <t>LV15-095</t>
  </si>
  <si>
    <t>Hệ thống quản lý phản hồi/đánh giá có gợi ý AI: ghép tài xế gần nhất cho dịch vụ đặt xe</t>
  </si>
  <si>
    <t>LV15-096</t>
  </si>
  <si>
    <t>Hệ thống dashboard điều hành có gợi ý AI: dự báo cước cho dịch vụ đặt xe</t>
  </si>
  <si>
    <t>LV15-097</t>
  </si>
  <si>
    <t>Hệ thống quản lý đa chi nhánh có gợi ý AI: phát hiện gian lận cho dịch vụ đặt xe</t>
  </si>
  <si>
    <t>LV15-098</t>
  </si>
  <si>
    <t>Hệ thống hệ thống phân quyền vai trò có gợi ý AI: ghép tài xế gần nhất cho dịch vụ đặt xe</t>
  </si>
  <si>
    <t>LV15-099</t>
  </si>
  <si>
    <t>Hệ thống quản lý thông báo/nhắc lịch có gợi ý AI: dự báo cước cho dịch vụ đặt xe</t>
  </si>
  <si>
    <t>LV15-100</t>
  </si>
  <si>
    <t>Hệ thống quản lý dữ liệu và import/export có gợi ý AI: phát hiện gian lận cho dịch vụ đặt xe</t>
  </si>
  <si>
    <t>Logistics</t>
  </si>
  <si>
    <t>LV16-001</t>
  </si>
  <si>
    <t>Hệ thống quản lý tổng thể cho doanh nghiệp logistics</t>
  </si>
  <si>
    <t>Đồ án 8 tuần cho nhóm 5 SV: xây dựng Mobile App phục vụ doanh nghiệp logistics; quản lý các thực thể chính: đơn hàng, kho, tuyến giao, phương tiện; có CSDL, API, giao diện người dùng, báo cáo và kiểm thử.</t>
  </si>
  <si>
    <t>Đăng nhập phân quyền, CRUD, tìm kiếm/lọc, dashboard thống kê, import/export, báo cáo PDF/Excel, kiểm thử; nghiệp vụ trọng tâm: quản lý tổng thể; AI/ML gợi ý: dự báo trễ đơn.</t>
  </si>
  <si>
    <t>dự báo trễ đơn</t>
  </si>
  <si>
    <t>LV16-002</t>
  </si>
  <si>
    <t>Hệ thống đặt lịch/đặt chỗ cho doanh nghiệp logistics</t>
  </si>
  <si>
    <t>Đồ án 8 tuần cho nhóm 5 SV: xây dựng Desktop App phục vụ doanh nghiệp logistics; quản lý các thực thể chính: đơn hàng, kho, tuyến giao, phương tiện; có CSDL, API, giao diện người dùng, báo cáo và kiểm thử.</t>
  </si>
  <si>
    <t>Đăng nhập phân quyền, CRUD, tìm kiếm/lọc, dashboard thống kê, import/export, báo cáo PDF/Excel, kiểm thử; nghiệp vụ trọng tâm: đặt lịch/đặt chỗ; AI/ML gợi ý: phân loại rủi ro giao hàng.</t>
  </si>
  <si>
    <t>phân loại rủi ro giao hàng</t>
  </si>
  <si>
    <t>LV16-003</t>
  </si>
  <si>
    <t>Hệ thống bán hàng và thanh toán cho doanh nghiệp logistics</t>
  </si>
  <si>
    <t>Đồ án 8 tuần cho nhóm 5 SV: xây dựng Web + Mobile phục vụ doanh nghiệp logistics; quản lý các thực thể chính: đơn hàng, kho, tuyến giao, phương tiện; có CSDL, API, giao diện người dùng, báo cáo và kiểm thử.</t>
  </si>
  <si>
    <t>Đăng nhập phân quyền, CRUD, tìm kiếm/lọc, dashboard thống kê, import/export, báo cáo PDF/Excel, kiểm thử; nghiệp vụ trọng tâm: bán hàng và thanh toán; AI/ML gợi ý: tối ưu tuyến.</t>
  </si>
  <si>
    <t>tối ưu tuyến</t>
  </si>
  <si>
    <t>LV16-004</t>
  </si>
  <si>
    <t>Hệ thống quản lý khách hàng CRM cho doanh nghiệp logistics</t>
  </si>
  <si>
    <t>Đồ án 8 tuần cho nhóm 5 SV: xây dựng Web + Desktop phục vụ doanh nghiệp logistics; quản lý các thực thể chính: đơn hàng, kho, tuyến giao, phương tiện; có CSDL, API, giao diện người dùng, báo cáo và kiểm thử.</t>
  </si>
  <si>
    <t>Đăng nhập phân quyền, CRUD, tìm kiếm/lọc, dashboard thống kê, import/export, báo cáo PDF/Excel, kiểm thử; nghiệp vụ trọng tâm: quản lý khách hàng CRM; AI/ML gợi ý: dự báo trễ đơn.</t>
  </si>
  <si>
    <t>LV16-005</t>
  </si>
  <si>
    <t>Hệ thống quản lý kho/tài sản cho doanh nghiệp logistics</t>
  </si>
  <si>
    <t>Đồ án 8 tuần cho nhóm 5 SV: xây dựng Website phục vụ doanh nghiệp logistics; quản lý các thực thể chính: đơn hàng, kho, tuyến giao, phương tiện; có CSDL, API, giao diện người dùng, báo cáo và kiểm thử.</t>
  </si>
  <si>
    <t>Đăng nhập phân quyền, CRUD, tìm kiếm/lọc, dashboard thống kê, import/export, báo cáo PDF/Excel, kiểm thử; nghiệp vụ trọng tâm: quản lý kho/tài sản; AI/ML gợi ý: phân loại rủi ro giao hàng.</t>
  </si>
  <si>
    <t>LV16-006</t>
  </si>
  <si>
    <t>Hệ thống quản lý nhân sự và ca làm cho doanh nghiệp logistics</t>
  </si>
  <si>
    <t>Đăng nhập phân quyền, CRUD, tìm kiếm/lọc, dashboard thống kê, import/export, báo cáo PDF/Excel, kiểm thử; nghiệp vụ trọng tâm: quản lý nhân sự và ca làm; AI/ML gợi ý: tối ưu tuyến.</t>
  </si>
  <si>
    <t>LV16-007</t>
  </si>
  <si>
    <t>Hệ thống quản lý hóa đơn/công nợ cho doanh nghiệp logistics</t>
  </si>
  <si>
    <t>Đăng nhập phân quyền, CRUD, tìm kiếm/lọc, dashboard thống kê, import/export, báo cáo PDF/Excel, kiểm thử; nghiệp vụ trọng tâm: quản lý hóa đơn/công nợ; AI/ML gợi ý: dự báo trễ đơn.</t>
  </si>
  <si>
    <t>LV16-008</t>
  </si>
  <si>
    <t>Hệ thống báo cáo thống kê doanh thu cho doanh nghiệp logistics</t>
  </si>
  <si>
    <t>Đăng nhập phân quyền, CRUD, tìm kiếm/lọc, dashboard thống kê, import/export, báo cáo PDF/Excel, kiểm thử; nghiệp vụ trọng tâm: báo cáo thống kê doanh thu; AI/ML gợi ý: phân loại rủi ro giao hàng.</t>
  </si>
  <si>
    <t>LV16-009</t>
  </si>
  <si>
    <t>Hệ thống cổng chăm sóc khách hàng cho doanh nghiệp logistics</t>
  </si>
  <si>
    <t>Đăng nhập phân quyền, CRUD, tìm kiếm/lọc, dashboard thống kê, import/export, báo cáo PDF/Excel, kiểm thử; nghiệp vụ trọng tâm: cổng chăm sóc khách hàng; AI/ML gợi ý: tối ưu tuyến.</t>
  </si>
  <si>
    <t>LV16-010</t>
  </si>
  <si>
    <t>Hệ thống ứng dụng loyalty/tích điểm cho doanh nghiệp logistics</t>
  </si>
  <si>
    <t>Đăng nhập phân quyền, CRUD, tìm kiếm/lọc, dashboard thống kê, import/export, báo cáo PDF/Excel, kiểm thử; nghiệp vụ trọng tâm: ứng dụng loyalty/tích điểm; AI/ML gợi ý: dự báo trễ đơn.</t>
  </si>
  <si>
    <t>LV16-011</t>
  </si>
  <si>
    <t>Hệ thống quản lý quy trình nghiệp vụ cho doanh nghiệp logistics</t>
  </si>
  <si>
    <t>Đăng nhập phân quyền, CRUD, tìm kiếm/lọc, dashboard thống kê, import/export, báo cáo PDF/Excel, kiểm thử; nghiệp vụ trọng tâm: quản lý quy trình nghiệp vụ; AI/ML gợi ý: phân loại rủi ro giao hàng.</t>
  </si>
  <si>
    <t>LV16-012</t>
  </si>
  <si>
    <t>Hệ thống theo dõi trạng thái thời gian thực cho doanh nghiệp logistics</t>
  </si>
  <si>
    <t>Đăng nhập phân quyền, CRUD, tìm kiếm/lọc, dashboard thống kê, import/export, báo cáo PDF/Excel, kiểm thử; nghiệp vụ trọng tâm: theo dõi trạng thái thời gian thực; AI/ML gợi ý: tối ưu tuyến.</t>
  </si>
  <si>
    <t>LV16-013</t>
  </si>
  <si>
    <t>Hệ thống quản lý hợp đồng/hồ sơ cho doanh nghiệp logistics</t>
  </si>
  <si>
    <t>Đăng nhập phân quyền, CRUD, tìm kiếm/lọc, dashboard thống kê, import/export, báo cáo PDF/Excel, kiểm thử; nghiệp vụ trọng tâm: quản lý hợp đồng/hồ sơ; AI/ML gợi ý: dự báo trễ đơn.</t>
  </si>
  <si>
    <t>LV16-014</t>
  </si>
  <si>
    <t>Hệ thống tìm kiếm và lọc nâng cao cho doanh nghiệp logistics</t>
  </si>
  <si>
    <t>Đăng nhập phân quyền, CRUD, tìm kiếm/lọc, dashboard thống kê, import/export, báo cáo PDF/Excel, kiểm thử; nghiệp vụ trọng tâm: tìm kiếm và lọc nâng cao; AI/ML gợi ý: phân loại rủi ro giao hàng.</t>
  </si>
  <si>
    <t>LV16-015</t>
  </si>
  <si>
    <t>Hệ thống quản lý phản hồi/đánh giá cho doanh nghiệp logistics</t>
  </si>
  <si>
    <t>Đăng nhập phân quyền, CRUD, tìm kiếm/lọc, dashboard thống kê, import/export, báo cáo PDF/Excel, kiểm thử; nghiệp vụ trọng tâm: quản lý phản hồi/đánh giá; AI/ML gợi ý: tối ưu tuyến.</t>
  </si>
  <si>
    <t>LV16-016</t>
  </si>
  <si>
    <t>Hệ thống dashboard điều hành cho doanh nghiệp logistics</t>
  </si>
  <si>
    <t>Đăng nhập phân quyền, CRUD, tìm kiếm/lọc, dashboard thống kê, import/export, báo cáo PDF/Excel, kiểm thử; nghiệp vụ trọng tâm: dashboard điều hành; AI/ML gợi ý: dự báo trễ đơn.</t>
  </si>
  <si>
    <t>LV16-017</t>
  </si>
  <si>
    <t>Hệ thống quản lý đa chi nhánh cho doanh nghiệp logistics</t>
  </si>
  <si>
    <t>Đăng nhập phân quyền, CRUD, tìm kiếm/lọc, dashboard thống kê, import/export, báo cáo PDF/Excel, kiểm thử; nghiệp vụ trọng tâm: quản lý đa chi nhánh; AI/ML gợi ý: phân loại rủi ro giao hàng.</t>
  </si>
  <si>
    <t>LV16-018</t>
  </si>
  <si>
    <t>Hệ thống hệ thống phân quyền vai trò cho doanh nghiệp logistics</t>
  </si>
  <si>
    <t>Đăng nhập phân quyền, CRUD, tìm kiếm/lọc, dashboard thống kê, import/export, báo cáo PDF/Excel, kiểm thử; nghiệp vụ trọng tâm: hệ thống phân quyền vai trò; AI/ML gợi ý: tối ưu tuyến.</t>
  </si>
  <si>
    <t>LV16-019</t>
  </si>
  <si>
    <t>Hệ thống quản lý thông báo/nhắc lịch cho doanh nghiệp logistics</t>
  </si>
  <si>
    <t>Đăng nhập phân quyền, CRUD, tìm kiếm/lọc, dashboard thống kê, import/export, báo cáo PDF/Excel, kiểm thử; nghiệp vụ trọng tâm: quản lý thông báo/nhắc lịch; AI/ML gợi ý: dự báo trễ đơn.</t>
  </si>
  <si>
    <t>LV16-020</t>
  </si>
  <si>
    <t>Hệ thống quản lý dữ liệu và import/export cho doanh nghiệp logistics</t>
  </si>
  <si>
    <t>Đăng nhập phân quyền, CRUD, tìm kiếm/lọc, dashboard thống kê, import/export, báo cáo PDF/Excel, kiểm thử; nghiệp vụ trọng tâm: quản lý dữ liệu và import/export; AI/ML gợi ý: phân loại rủi ro giao hàng.</t>
  </si>
  <si>
    <t>LV16-021</t>
  </si>
  <si>
    <t>Ứng dụng mobile app hỗ trợ quản lý tổng thể trong logistics</t>
  </si>
  <si>
    <t>LV16-022</t>
  </si>
  <si>
    <t>Ứng dụng desktop app hỗ trợ đặt lịch/đặt chỗ trong logistics</t>
  </si>
  <si>
    <t>LV16-023</t>
  </si>
  <si>
    <t>Ứng dụng web + mobile hỗ trợ bán hàng và thanh toán trong logistics</t>
  </si>
  <si>
    <t>LV16-024</t>
  </si>
  <si>
    <t>Ứng dụng web + desktop hỗ trợ quản lý khách hàng CRM trong logistics</t>
  </si>
  <si>
    <t>LV16-025</t>
  </si>
  <si>
    <t>Ứng dụng website hỗ trợ quản lý kho/tài sản trong logistics</t>
  </si>
  <si>
    <t>LV16-026</t>
  </si>
  <si>
    <t>Ứng dụng mobile app hỗ trợ quản lý nhân sự và ca làm trong logistics</t>
  </si>
  <si>
    <t>LV16-027</t>
  </si>
  <si>
    <t>Ứng dụng desktop app hỗ trợ quản lý hóa đơn/công nợ trong logistics</t>
  </si>
  <si>
    <t>LV16-028</t>
  </si>
  <si>
    <t>Ứng dụng web + mobile hỗ trợ báo cáo thống kê doanh thu trong logistics</t>
  </si>
  <si>
    <t>LV16-029</t>
  </si>
  <si>
    <t>Ứng dụng web + desktop hỗ trợ cổng chăm sóc khách hàng trong logistics</t>
  </si>
  <si>
    <t>LV16-030</t>
  </si>
  <si>
    <t>Ứng dụng website hỗ trợ ứng dụng loyalty/tích điểm trong logistics</t>
  </si>
  <si>
    <t>LV16-031</t>
  </si>
  <si>
    <t>Ứng dụng mobile app hỗ trợ quản lý quy trình nghiệp vụ trong logistics</t>
  </si>
  <si>
    <t>LV16-032</t>
  </si>
  <si>
    <t>Ứng dụng desktop app hỗ trợ theo dõi trạng thái thời gian thực trong logistics</t>
  </si>
  <si>
    <t>LV16-033</t>
  </si>
  <si>
    <t>Ứng dụng web + mobile hỗ trợ quản lý hợp đồng/hồ sơ trong logistics</t>
  </si>
  <si>
    <t>LV16-034</t>
  </si>
  <si>
    <t>Ứng dụng web + desktop hỗ trợ tìm kiếm và lọc nâng cao trong logistics</t>
  </si>
  <si>
    <t>LV16-035</t>
  </si>
  <si>
    <t>Ứng dụng website hỗ trợ quản lý phản hồi/đánh giá trong logistics</t>
  </si>
  <si>
    <t>LV16-036</t>
  </si>
  <si>
    <t>Ứng dụng mobile app hỗ trợ dashboard điều hành trong logistics</t>
  </si>
  <si>
    <t>LV16-037</t>
  </si>
  <si>
    <t>Ứng dụng desktop app hỗ trợ quản lý đa chi nhánh trong logistics</t>
  </si>
  <si>
    <t>LV16-038</t>
  </si>
  <si>
    <t>Ứng dụng web + mobile hỗ trợ hệ thống phân quyền vai trò trong logistics</t>
  </si>
  <si>
    <t>LV16-039</t>
  </si>
  <si>
    <t>Ứng dụng web + desktop hỗ trợ quản lý thông báo/nhắc lịch trong logistics</t>
  </si>
  <si>
    <t>LV16-040</t>
  </si>
  <si>
    <t>Ứng dụng website hỗ trợ quản lý dữ liệu và import/export trong logistics</t>
  </si>
  <si>
    <t>LV16-041</t>
  </si>
  <si>
    <t>Nền tảng quản lý tổng thể có phân quyền và báo cáo cho doanh nghiệp logistics</t>
  </si>
  <si>
    <t>LV16-042</t>
  </si>
  <si>
    <t>Nền tảng đặt lịch/đặt chỗ có phân quyền và báo cáo cho doanh nghiệp logistics</t>
  </si>
  <si>
    <t>LV16-043</t>
  </si>
  <si>
    <t>Nền tảng bán hàng và thanh toán có phân quyền và báo cáo cho doanh nghiệp logistics</t>
  </si>
  <si>
    <t>LV16-044</t>
  </si>
  <si>
    <t>Nền tảng quản lý khách hàng CRM có phân quyền và báo cáo cho doanh nghiệp logistics</t>
  </si>
  <si>
    <t>LV16-045</t>
  </si>
  <si>
    <t>Nền tảng quản lý kho/tài sản có phân quyền và báo cáo cho doanh nghiệp logistics</t>
  </si>
  <si>
    <t>LV16-046</t>
  </si>
  <si>
    <t>Nền tảng quản lý nhân sự và ca làm có phân quyền và báo cáo cho doanh nghiệp logistics</t>
  </si>
  <si>
    <t>LV16-047</t>
  </si>
  <si>
    <t>Nền tảng quản lý hóa đơn/công nợ có phân quyền và báo cáo cho doanh nghiệp logistics</t>
  </si>
  <si>
    <t>LV16-048</t>
  </si>
  <si>
    <t>Nền tảng báo cáo thống kê doanh thu có phân quyền và báo cáo cho doanh nghiệp logistics</t>
  </si>
  <si>
    <t>LV16-049</t>
  </si>
  <si>
    <t>Nền tảng cổng chăm sóc khách hàng có phân quyền và báo cáo cho doanh nghiệp logistics</t>
  </si>
  <si>
    <t>LV16-050</t>
  </si>
  <si>
    <t>Nền tảng ứng dụng loyalty/tích điểm có phân quyền và báo cáo cho doanh nghiệp logistics</t>
  </si>
  <si>
    <t>LV16-051</t>
  </si>
  <si>
    <t>Nền tảng quản lý quy trình nghiệp vụ có phân quyền và báo cáo cho doanh nghiệp logistics</t>
  </si>
  <si>
    <t>LV16-052</t>
  </si>
  <si>
    <t>Nền tảng theo dõi trạng thái thời gian thực có phân quyền và báo cáo cho doanh nghiệp logistics</t>
  </si>
  <si>
    <t>LV16-053</t>
  </si>
  <si>
    <t>Nền tảng quản lý hợp đồng/hồ sơ có phân quyền và báo cáo cho doanh nghiệp logistics</t>
  </si>
  <si>
    <t>LV16-054</t>
  </si>
  <si>
    <t>Nền tảng tìm kiếm và lọc nâng cao có phân quyền và báo cáo cho doanh nghiệp logistics</t>
  </si>
  <si>
    <t>LV16-055</t>
  </si>
  <si>
    <t>Nền tảng quản lý phản hồi/đánh giá có phân quyền và báo cáo cho doanh nghiệp logistics</t>
  </si>
  <si>
    <t>LV16-056</t>
  </si>
  <si>
    <t>Nền tảng dashboard điều hành có phân quyền và báo cáo cho doanh nghiệp logistics</t>
  </si>
  <si>
    <t>LV16-057</t>
  </si>
  <si>
    <t>Nền tảng quản lý đa chi nhánh có phân quyền và báo cáo cho doanh nghiệp logistics</t>
  </si>
  <si>
    <t>LV16-058</t>
  </si>
  <si>
    <t>Nền tảng hệ thống phân quyền vai trò có phân quyền và báo cáo cho doanh nghiệp logistics</t>
  </si>
  <si>
    <t>LV16-059</t>
  </si>
  <si>
    <t>Nền tảng quản lý thông báo/nhắc lịch có phân quyền và báo cáo cho doanh nghiệp logistics</t>
  </si>
  <si>
    <t>LV16-060</t>
  </si>
  <si>
    <t>Nền tảng quản lý dữ liệu và import/export có phân quyền và báo cáo cho doanh nghiệp logistics</t>
  </si>
  <si>
    <t>LV16-061</t>
  </si>
  <si>
    <t>Phần mềm quản lý tổng thể tích hợp dashboard dữ liệu cho logistics</t>
  </si>
  <si>
    <t>LV16-062</t>
  </si>
  <si>
    <t>Phần mềm đặt lịch/đặt chỗ tích hợp dashboard dữ liệu cho logistics</t>
  </si>
  <si>
    <t>LV16-063</t>
  </si>
  <si>
    <t>Phần mềm bán hàng và thanh toán tích hợp dashboard dữ liệu cho logistics</t>
  </si>
  <si>
    <t>LV16-064</t>
  </si>
  <si>
    <t>Phần mềm quản lý khách hàng CRM tích hợp dashboard dữ liệu cho logistics</t>
  </si>
  <si>
    <t>LV16-065</t>
  </si>
  <si>
    <t>Phần mềm quản lý kho/tài sản tích hợp dashboard dữ liệu cho logistics</t>
  </si>
  <si>
    <t>LV16-066</t>
  </si>
  <si>
    <t>Phần mềm quản lý nhân sự và ca làm tích hợp dashboard dữ liệu cho logistics</t>
  </si>
  <si>
    <t>LV16-067</t>
  </si>
  <si>
    <t>Phần mềm quản lý hóa đơn/công nợ tích hợp dashboard dữ liệu cho logistics</t>
  </si>
  <si>
    <t>LV16-068</t>
  </si>
  <si>
    <t>Phần mềm báo cáo thống kê doanh thu tích hợp dashboard dữ liệu cho logistics</t>
  </si>
  <si>
    <t>LV16-069</t>
  </si>
  <si>
    <t>Phần mềm cổng chăm sóc khách hàng tích hợp dashboard dữ liệu cho logistics</t>
  </si>
  <si>
    <t>LV16-070</t>
  </si>
  <si>
    <t>Phần mềm ứng dụng loyalty/tích điểm tích hợp dashboard dữ liệu cho logistics</t>
  </si>
  <si>
    <t>LV16-071</t>
  </si>
  <si>
    <t>Phần mềm quản lý quy trình nghiệp vụ tích hợp dashboard dữ liệu cho logistics</t>
  </si>
  <si>
    <t>LV16-072</t>
  </si>
  <si>
    <t>Phần mềm theo dõi trạng thái thời gian thực tích hợp dashboard dữ liệu cho logistics</t>
  </si>
  <si>
    <t>LV16-073</t>
  </si>
  <si>
    <t>Phần mềm quản lý hợp đồng/hồ sơ tích hợp dashboard dữ liệu cho logistics</t>
  </si>
  <si>
    <t>LV16-074</t>
  </si>
  <si>
    <t>Phần mềm tìm kiếm và lọc nâng cao tích hợp dashboard dữ liệu cho logistics</t>
  </si>
  <si>
    <t>LV16-075</t>
  </si>
  <si>
    <t>Phần mềm quản lý phản hồi/đánh giá tích hợp dashboard dữ liệu cho logistics</t>
  </si>
  <si>
    <t>LV16-076</t>
  </si>
  <si>
    <t>Phần mềm dashboard điều hành tích hợp dashboard dữ liệu cho logistics</t>
  </si>
  <si>
    <t>LV16-077</t>
  </si>
  <si>
    <t>Phần mềm quản lý đa chi nhánh tích hợp dashboard dữ liệu cho logistics</t>
  </si>
  <si>
    <t>LV16-078</t>
  </si>
  <si>
    <t>Phần mềm hệ thống phân quyền vai trò tích hợp dashboard dữ liệu cho logistics</t>
  </si>
  <si>
    <t>LV16-079</t>
  </si>
  <si>
    <t>Phần mềm quản lý thông báo/nhắc lịch tích hợp dashboard dữ liệu cho logistics</t>
  </si>
  <si>
    <t>LV16-080</t>
  </si>
  <si>
    <t>Phần mềm quản lý dữ liệu và import/export tích hợp dashboard dữ liệu cho logistics</t>
  </si>
  <si>
    <t>LV16-081</t>
  </si>
  <si>
    <t>Hệ thống quản lý tổng thể có gợi ý AI: dự báo trễ đơn cho doanh nghiệp logistics</t>
  </si>
  <si>
    <t>LV16-082</t>
  </si>
  <si>
    <t>Hệ thống đặt lịch/đặt chỗ có gợi ý AI: phân loại rủi ro giao hàng cho doanh nghiệp logistics</t>
  </si>
  <si>
    <t>LV16-083</t>
  </si>
  <si>
    <t>Hệ thống bán hàng và thanh toán có gợi ý AI: tối ưu tuyến cho doanh nghiệp logistics</t>
  </si>
  <si>
    <t>LV16-084</t>
  </si>
  <si>
    <t>Hệ thống quản lý khách hàng CRM có gợi ý AI: dự báo trễ đơn cho doanh nghiệp logistics</t>
  </si>
  <si>
    <t>LV16-085</t>
  </si>
  <si>
    <t>Hệ thống quản lý kho/tài sản có gợi ý AI: phân loại rủi ro giao hàng cho doanh nghiệp logistics</t>
  </si>
  <si>
    <t>LV16-086</t>
  </si>
  <si>
    <t>Hệ thống quản lý nhân sự và ca làm có gợi ý AI: tối ưu tuyến cho doanh nghiệp logistics</t>
  </si>
  <si>
    <t>LV16-087</t>
  </si>
  <si>
    <t>Hệ thống quản lý hóa đơn/công nợ có gợi ý AI: dự báo trễ đơn cho doanh nghiệp logistics</t>
  </si>
  <si>
    <t>LV16-088</t>
  </si>
  <si>
    <t>Hệ thống báo cáo thống kê doanh thu có gợi ý AI: phân loại rủi ro giao hàng cho doanh nghiệp logistics</t>
  </si>
  <si>
    <t>LV16-089</t>
  </si>
  <si>
    <t>Hệ thống cổng chăm sóc khách hàng có gợi ý AI: tối ưu tuyến cho doanh nghiệp logistics</t>
  </si>
  <si>
    <t>LV16-090</t>
  </si>
  <si>
    <t>Hệ thống ứng dụng loyalty/tích điểm có gợi ý AI: dự báo trễ đơn cho doanh nghiệp logistics</t>
  </si>
  <si>
    <t>LV16-091</t>
  </si>
  <si>
    <t>Hệ thống quản lý quy trình nghiệp vụ có gợi ý AI: phân loại rủi ro giao hàng cho doanh nghiệp logistics</t>
  </si>
  <si>
    <t>LV16-092</t>
  </si>
  <si>
    <t>Hệ thống theo dõi trạng thái thời gian thực có gợi ý AI: tối ưu tuyến cho doanh nghiệp logistics</t>
  </si>
  <si>
    <t>LV16-093</t>
  </si>
  <si>
    <t>Hệ thống quản lý hợp đồng/hồ sơ có gợi ý AI: dự báo trễ đơn cho doanh nghiệp logistics</t>
  </si>
  <si>
    <t>LV16-094</t>
  </si>
  <si>
    <t>Hệ thống tìm kiếm và lọc nâng cao có gợi ý AI: phân loại rủi ro giao hàng cho doanh nghiệp logistics</t>
  </si>
  <si>
    <t>LV16-095</t>
  </si>
  <si>
    <t>Hệ thống quản lý phản hồi/đánh giá có gợi ý AI: tối ưu tuyến cho doanh nghiệp logistics</t>
  </si>
  <si>
    <t>LV16-096</t>
  </si>
  <si>
    <t>Hệ thống dashboard điều hành có gợi ý AI: dự báo trễ đơn cho doanh nghiệp logistics</t>
  </si>
  <si>
    <t>LV16-097</t>
  </si>
  <si>
    <t>Hệ thống quản lý đa chi nhánh có gợi ý AI: phân loại rủi ro giao hàng cho doanh nghiệp logistics</t>
  </si>
  <si>
    <t>LV16-098</t>
  </si>
  <si>
    <t>Hệ thống hệ thống phân quyền vai trò có gợi ý AI: tối ưu tuyến cho doanh nghiệp logistics</t>
  </si>
  <si>
    <t>LV16-099</t>
  </si>
  <si>
    <t>Hệ thống quản lý thông báo/nhắc lịch có gợi ý AI: dự báo trễ đơn cho doanh nghiệp logistics</t>
  </si>
  <si>
    <t>LV16-100</t>
  </si>
  <si>
    <t>Hệ thống quản lý dữ liệu và import/export có gợi ý AI: phân loại rủi ro giao hàng cho doanh nghiệp logistics</t>
  </si>
  <si>
    <t>Kho hàng</t>
  </si>
  <si>
    <t>LV17-001</t>
  </si>
  <si>
    <t>Hệ thống quản lý tổng thể cho kho hàng</t>
  </si>
  <si>
    <t>Đồ án 8 tuần cho nhóm 5 SV: xây dựng Desktop App phục vụ kho hàng; quản lý các thực thể chính: phiếu nhập, phiếu xuất, vị trí kệ, tồn kho; có CSDL, API, giao diện người dùng, báo cáo và kiểm thử.</t>
  </si>
  <si>
    <t>Đăng nhập phân quyền, CRUD, tìm kiếm/lọc, dashboard thống kê, import/export, báo cáo PDF/Excel, kiểm thử; nghiệp vụ trọng tâm: quản lý tổng thể; AI/ML gợi ý: đề xuất nhập hàng.</t>
  </si>
  <si>
    <t>đề xuất nhập hàng</t>
  </si>
  <si>
    <t>LV17-002</t>
  </si>
  <si>
    <t>Hệ thống đặt lịch/đặt chỗ cho kho hàng</t>
  </si>
  <si>
    <t>Đồ án 8 tuần cho nhóm 5 SV: xây dựng Web + Mobile phục vụ kho hàng; quản lý các thực thể chính: phiếu nhập, phiếu xuất, vị trí kệ, tồn kho; có CSDL, API, giao diện người dùng, báo cáo và kiểm thử.</t>
  </si>
  <si>
    <t>Đăng nhập phân quyền, CRUD, tìm kiếm/lọc, dashboard thống kê, import/export, báo cáo PDF/Excel, kiểm thử; nghiệp vụ trọng tâm: đặt lịch/đặt chỗ; AI/ML gợi ý: phát hiện lệch kho.</t>
  </si>
  <si>
    <t>phát hiện lệch kho</t>
  </si>
  <si>
    <t>LV17-003</t>
  </si>
  <si>
    <t>Hệ thống bán hàng và thanh toán cho kho hàng</t>
  </si>
  <si>
    <t>Đồ án 8 tuần cho nhóm 5 SV: xây dựng Web + Desktop phục vụ kho hàng; quản lý các thực thể chính: phiếu nhập, phiếu xuất, vị trí kệ, tồn kho; có CSDL, API, giao diện người dùng, báo cáo và kiểm thử.</t>
  </si>
  <si>
    <t>Đăng nhập phân quyền, CRUD, tìm kiếm/lọc, dashboard thống kê, import/export, báo cáo PDF/Excel, kiểm thử; nghiệp vụ trọng tâm: bán hàng và thanh toán; AI/ML gợi ý: dự báo tồn kho.</t>
  </si>
  <si>
    <t>LV17-004</t>
  </si>
  <si>
    <t>Hệ thống quản lý khách hàng CRM cho kho hàng</t>
  </si>
  <si>
    <t>Đồ án 8 tuần cho nhóm 5 SV: xây dựng Website phục vụ kho hàng; quản lý các thực thể chính: phiếu nhập, phiếu xuất, vị trí kệ, tồn kho; có CSDL, API, giao diện người dùng, báo cáo và kiểm thử.</t>
  </si>
  <si>
    <t>Đăng nhập phân quyền, CRUD, tìm kiếm/lọc, dashboard thống kê, import/export, báo cáo PDF/Excel, kiểm thử; nghiệp vụ trọng tâm: quản lý khách hàng CRM; AI/ML gợi ý: đề xuất nhập hàng.</t>
  </si>
  <si>
    <t>LV17-005</t>
  </si>
  <si>
    <t>Hệ thống quản lý kho/tài sản cho kho hàng</t>
  </si>
  <si>
    <t>Đồ án 8 tuần cho nhóm 5 SV: xây dựng Mobile App phục vụ kho hàng; quản lý các thực thể chính: phiếu nhập, phiếu xuất, vị trí kệ, tồn kho; có CSDL, API, giao diện người dùng, báo cáo và kiểm thử.</t>
  </si>
  <si>
    <t>Đăng nhập phân quyền, CRUD, tìm kiếm/lọc, dashboard thống kê, import/export, báo cáo PDF/Excel, kiểm thử; nghiệp vụ trọng tâm: quản lý kho/tài sản; AI/ML gợi ý: phát hiện lệch kho.</t>
  </si>
  <si>
    <t>LV17-006</t>
  </si>
  <si>
    <t>Hệ thống quản lý nhân sự và ca làm cho kho hàng</t>
  </si>
  <si>
    <t>Đăng nhập phân quyền, CRUD, tìm kiếm/lọc, dashboard thống kê, import/export, báo cáo PDF/Excel, kiểm thử; nghiệp vụ trọng tâm: quản lý nhân sự và ca làm; AI/ML gợi ý: dự báo tồn kho.</t>
  </si>
  <si>
    <t>LV17-007</t>
  </si>
  <si>
    <t>Hệ thống quản lý hóa đơn/công nợ cho kho hàng</t>
  </si>
  <si>
    <t>Đăng nhập phân quyền, CRUD, tìm kiếm/lọc, dashboard thống kê, import/export, báo cáo PDF/Excel, kiểm thử; nghiệp vụ trọng tâm: quản lý hóa đơn/công nợ; AI/ML gợi ý: đề xuất nhập hàng.</t>
  </si>
  <si>
    <t>LV17-008</t>
  </si>
  <si>
    <t>Hệ thống báo cáo thống kê doanh thu cho kho hàng</t>
  </si>
  <si>
    <t>Đăng nhập phân quyền, CRUD, tìm kiếm/lọc, dashboard thống kê, import/export, báo cáo PDF/Excel, kiểm thử; nghiệp vụ trọng tâm: báo cáo thống kê doanh thu; AI/ML gợi ý: phát hiện lệch kho.</t>
  </si>
  <si>
    <t>LV17-009</t>
  </si>
  <si>
    <t>Hệ thống cổng chăm sóc khách hàng cho kho hàng</t>
  </si>
  <si>
    <t>Đăng nhập phân quyền, CRUD, tìm kiếm/lọc, dashboard thống kê, import/export, báo cáo PDF/Excel, kiểm thử; nghiệp vụ trọng tâm: cổng chăm sóc khách hàng; AI/ML gợi ý: dự báo tồn kho.</t>
  </si>
  <si>
    <t>LV17-010</t>
  </si>
  <si>
    <t>Hệ thống ứng dụng loyalty/tích điểm cho kho hàng</t>
  </si>
  <si>
    <t>Đăng nhập phân quyền, CRUD, tìm kiếm/lọc, dashboard thống kê, import/export, báo cáo PDF/Excel, kiểm thử; nghiệp vụ trọng tâm: ứng dụng loyalty/tích điểm; AI/ML gợi ý: đề xuất nhập hàng.</t>
  </si>
  <si>
    <t>LV17-011</t>
  </si>
  <si>
    <t>Hệ thống quản lý quy trình nghiệp vụ cho kho hàng</t>
  </si>
  <si>
    <t>Đăng nhập phân quyền, CRUD, tìm kiếm/lọc, dashboard thống kê, import/export, báo cáo PDF/Excel, kiểm thử; nghiệp vụ trọng tâm: quản lý quy trình nghiệp vụ; AI/ML gợi ý: phát hiện lệch kho.</t>
  </si>
  <si>
    <t>LV17-012</t>
  </si>
  <si>
    <t>Hệ thống theo dõi trạng thái thời gian thực cho kho hàng</t>
  </si>
  <si>
    <t>Đăng nhập phân quyền, CRUD, tìm kiếm/lọc, dashboard thống kê, import/export, báo cáo PDF/Excel, kiểm thử; nghiệp vụ trọng tâm: theo dõi trạng thái thời gian thực; AI/ML gợi ý: dự báo tồn kho.</t>
  </si>
  <si>
    <t>LV17-013</t>
  </si>
  <si>
    <t>Hệ thống quản lý hợp đồng/hồ sơ cho kho hàng</t>
  </si>
  <si>
    <t>Đăng nhập phân quyền, CRUD, tìm kiếm/lọc, dashboard thống kê, import/export, báo cáo PDF/Excel, kiểm thử; nghiệp vụ trọng tâm: quản lý hợp đồng/hồ sơ; AI/ML gợi ý: đề xuất nhập hàng.</t>
  </si>
  <si>
    <t>LV17-014</t>
  </si>
  <si>
    <t>Hệ thống tìm kiếm và lọc nâng cao cho kho hàng</t>
  </si>
  <si>
    <t>Đăng nhập phân quyền, CRUD, tìm kiếm/lọc, dashboard thống kê, import/export, báo cáo PDF/Excel, kiểm thử; nghiệp vụ trọng tâm: tìm kiếm và lọc nâng cao; AI/ML gợi ý: phát hiện lệch kho.</t>
  </si>
  <si>
    <t>LV17-015</t>
  </si>
  <si>
    <t>Hệ thống quản lý phản hồi/đánh giá cho kho hàng</t>
  </si>
  <si>
    <t>Đăng nhập phân quyền, CRUD, tìm kiếm/lọc, dashboard thống kê, import/export, báo cáo PDF/Excel, kiểm thử; nghiệp vụ trọng tâm: quản lý phản hồi/đánh giá; AI/ML gợi ý: dự báo tồn kho.</t>
  </si>
  <si>
    <t>LV17-016</t>
  </si>
  <si>
    <t>Hệ thống dashboard điều hành cho kho hàng</t>
  </si>
  <si>
    <t>Đăng nhập phân quyền, CRUD, tìm kiếm/lọc, dashboard thống kê, import/export, báo cáo PDF/Excel, kiểm thử; nghiệp vụ trọng tâm: dashboard điều hành; AI/ML gợi ý: đề xuất nhập hàng.</t>
  </si>
  <si>
    <t>LV17-017</t>
  </si>
  <si>
    <t>Hệ thống quản lý đa chi nhánh cho kho hàng</t>
  </si>
  <si>
    <t>Đăng nhập phân quyền, CRUD, tìm kiếm/lọc, dashboard thống kê, import/export, báo cáo PDF/Excel, kiểm thử; nghiệp vụ trọng tâm: quản lý đa chi nhánh; AI/ML gợi ý: phát hiện lệch kho.</t>
  </si>
  <si>
    <t>LV17-018</t>
  </si>
  <si>
    <t>Hệ thống hệ thống phân quyền vai trò cho kho hàng</t>
  </si>
  <si>
    <t>Đăng nhập phân quyền, CRUD, tìm kiếm/lọc, dashboard thống kê, import/export, báo cáo PDF/Excel, kiểm thử; nghiệp vụ trọng tâm: hệ thống phân quyền vai trò; AI/ML gợi ý: dự báo tồn kho.</t>
  </si>
  <si>
    <t>LV17-019</t>
  </si>
  <si>
    <t>Hệ thống quản lý thông báo/nhắc lịch cho kho hàng</t>
  </si>
  <si>
    <t>Đăng nhập phân quyền, CRUD, tìm kiếm/lọc, dashboard thống kê, import/export, báo cáo PDF/Excel, kiểm thử; nghiệp vụ trọng tâm: quản lý thông báo/nhắc lịch; AI/ML gợi ý: đề xuất nhập hàng.</t>
  </si>
  <si>
    <t>LV17-020</t>
  </si>
  <si>
    <t>Hệ thống quản lý dữ liệu và import/export cho kho hàng</t>
  </si>
  <si>
    <t>Đăng nhập phân quyền, CRUD, tìm kiếm/lọc, dashboard thống kê, import/export, báo cáo PDF/Excel, kiểm thử; nghiệp vụ trọng tâm: quản lý dữ liệu và import/export; AI/ML gợi ý: phát hiện lệch kho.</t>
  </si>
  <si>
    <t>LV17-021</t>
  </si>
  <si>
    <t>Ứng dụng desktop app hỗ trợ quản lý tổng thể trong kho hàng</t>
  </si>
  <si>
    <t>LV17-022</t>
  </si>
  <si>
    <t>Ứng dụng web + mobile hỗ trợ đặt lịch/đặt chỗ trong kho hàng</t>
  </si>
  <si>
    <t>LV17-023</t>
  </si>
  <si>
    <t>Ứng dụng web + desktop hỗ trợ bán hàng và thanh toán trong kho hàng</t>
  </si>
  <si>
    <t>LV17-024</t>
  </si>
  <si>
    <t>Ứng dụng website hỗ trợ quản lý khách hàng CRM trong kho hàng</t>
  </si>
  <si>
    <t>LV17-025</t>
  </si>
  <si>
    <t>Ứng dụng mobile app hỗ trợ quản lý kho/tài sản trong kho hàng</t>
  </si>
  <si>
    <t>LV17-026</t>
  </si>
  <si>
    <t>Ứng dụng desktop app hỗ trợ quản lý nhân sự và ca làm trong kho hàng</t>
  </si>
  <si>
    <t>LV17-027</t>
  </si>
  <si>
    <t>Ứng dụng web + mobile hỗ trợ quản lý hóa đơn/công nợ trong kho hàng</t>
  </si>
  <si>
    <t>LV17-028</t>
  </si>
  <si>
    <t>Ứng dụng web + desktop hỗ trợ báo cáo thống kê doanh thu trong kho hàng</t>
  </si>
  <si>
    <t>LV17-029</t>
  </si>
  <si>
    <t>Ứng dụng website hỗ trợ cổng chăm sóc khách hàng trong kho hàng</t>
  </si>
  <si>
    <t>LV17-030</t>
  </si>
  <si>
    <t>Ứng dụng mobile app hỗ trợ ứng dụng loyalty/tích điểm trong kho hàng</t>
  </si>
  <si>
    <t>LV17-031</t>
  </si>
  <si>
    <t>Ứng dụng desktop app hỗ trợ quản lý quy trình nghiệp vụ trong kho hàng</t>
  </si>
  <si>
    <t>LV17-032</t>
  </si>
  <si>
    <t>Ứng dụng web + mobile hỗ trợ theo dõi trạng thái thời gian thực trong kho hàng</t>
  </si>
  <si>
    <t>LV17-033</t>
  </si>
  <si>
    <t>Ứng dụng web + desktop hỗ trợ quản lý hợp đồng/hồ sơ trong kho hàng</t>
  </si>
  <si>
    <t>LV17-034</t>
  </si>
  <si>
    <t>Ứng dụng website hỗ trợ tìm kiếm và lọc nâng cao trong kho hàng</t>
  </si>
  <si>
    <t>LV17-035</t>
  </si>
  <si>
    <t>Ứng dụng mobile app hỗ trợ quản lý phản hồi/đánh giá trong kho hàng</t>
  </si>
  <si>
    <t>LV17-036</t>
  </si>
  <si>
    <t>Ứng dụng desktop app hỗ trợ dashboard điều hành trong kho hàng</t>
  </si>
  <si>
    <t>LV17-037</t>
  </si>
  <si>
    <t>Ứng dụng web + mobile hỗ trợ quản lý đa chi nhánh trong kho hàng</t>
  </si>
  <si>
    <t>LV17-038</t>
  </si>
  <si>
    <t>Ứng dụng web + desktop hỗ trợ hệ thống phân quyền vai trò trong kho hàng</t>
  </si>
  <si>
    <t>LV17-039</t>
  </si>
  <si>
    <t>Ứng dụng website hỗ trợ quản lý thông báo/nhắc lịch trong kho hàng</t>
  </si>
  <si>
    <t>LV17-040</t>
  </si>
  <si>
    <t>Ứng dụng mobile app hỗ trợ quản lý dữ liệu và import/export trong kho hàng</t>
  </si>
  <si>
    <t>LV17-041</t>
  </si>
  <si>
    <t>Nền tảng quản lý tổng thể có phân quyền và báo cáo cho kho hàng</t>
  </si>
  <si>
    <t>LV17-042</t>
  </si>
  <si>
    <t>Nền tảng đặt lịch/đặt chỗ có phân quyền và báo cáo cho kho hàng</t>
  </si>
  <si>
    <t>LV17-043</t>
  </si>
  <si>
    <t>Nền tảng bán hàng và thanh toán có phân quyền và báo cáo cho kho hàng</t>
  </si>
  <si>
    <t>LV17-044</t>
  </si>
  <si>
    <t>Nền tảng quản lý khách hàng CRM có phân quyền và báo cáo cho kho hàng</t>
  </si>
  <si>
    <t>LV17-045</t>
  </si>
  <si>
    <t>Nền tảng quản lý kho/tài sản có phân quyền và báo cáo cho kho hàng</t>
  </si>
  <si>
    <t>LV17-046</t>
  </si>
  <si>
    <t>Nền tảng quản lý nhân sự và ca làm có phân quyền và báo cáo cho kho hàng</t>
  </si>
  <si>
    <t>LV17-047</t>
  </si>
  <si>
    <t>Nền tảng quản lý hóa đơn/công nợ có phân quyền và báo cáo cho kho hàng</t>
  </si>
  <si>
    <t>LV17-048</t>
  </si>
  <si>
    <t>Nền tảng báo cáo thống kê doanh thu có phân quyền và báo cáo cho kho hàng</t>
  </si>
  <si>
    <t>LV17-049</t>
  </si>
  <si>
    <t>Nền tảng cổng chăm sóc khách hàng có phân quyền và báo cáo cho kho hàng</t>
  </si>
  <si>
    <t>LV17-050</t>
  </si>
  <si>
    <t>Nền tảng ứng dụng loyalty/tích điểm có phân quyền và báo cáo cho kho hàng</t>
  </si>
  <si>
    <t>LV17-051</t>
  </si>
  <si>
    <t>Nền tảng quản lý quy trình nghiệp vụ có phân quyền và báo cáo cho kho hàng</t>
  </si>
  <si>
    <t>LV17-052</t>
  </si>
  <si>
    <t>Nền tảng theo dõi trạng thái thời gian thực có phân quyền và báo cáo cho kho hàng</t>
  </si>
  <si>
    <t>LV17-053</t>
  </si>
  <si>
    <t>Nền tảng quản lý hợp đồng/hồ sơ có phân quyền và báo cáo cho kho hàng</t>
  </si>
  <si>
    <t>LV17-054</t>
  </si>
  <si>
    <t>Nền tảng tìm kiếm và lọc nâng cao có phân quyền và báo cáo cho kho hàng</t>
  </si>
  <si>
    <t>LV17-055</t>
  </si>
  <si>
    <t>Nền tảng quản lý phản hồi/đánh giá có phân quyền và báo cáo cho kho hàng</t>
  </si>
  <si>
    <t>LV17-056</t>
  </si>
  <si>
    <t>Nền tảng dashboard điều hành có phân quyền và báo cáo cho kho hàng</t>
  </si>
  <si>
    <t>LV17-057</t>
  </si>
  <si>
    <t>Nền tảng quản lý đa chi nhánh có phân quyền và báo cáo cho kho hàng</t>
  </si>
  <si>
    <t>LV17-058</t>
  </si>
  <si>
    <t>Nền tảng hệ thống phân quyền vai trò có phân quyền và báo cáo cho kho hàng</t>
  </si>
  <si>
    <t>LV17-059</t>
  </si>
  <si>
    <t>Nền tảng quản lý thông báo/nhắc lịch có phân quyền và báo cáo cho kho hàng</t>
  </si>
  <si>
    <t>LV17-060</t>
  </si>
  <si>
    <t>Nền tảng quản lý dữ liệu và import/export có phân quyền và báo cáo cho kho hàng</t>
  </si>
  <si>
    <t>LV17-061</t>
  </si>
  <si>
    <t>Phần mềm quản lý tổng thể tích hợp dashboard dữ liệu cho kho hàng</t>
  </si>
  <si>
    <t>LV17-062</t>
  </si>
  <si>
    <t>Phần mềm đặt lịch/đặt chỗ tích hợp dashboard dữ liệu cho kho hàng</t>
  </si>
  <si>
    <t>LV17-063</t>
  </si>
  <si>
    <t>Phần mềm bán hàng và thanh toán tích hợp dashboard dữ liệu cho kho hàng</t>
  </si>
  <si>
    <t>LV17-064</t>
  </si>
  <si>
    <t>Phần mềm quản lý khách hàng CRM tích hợp dashboard dữ liệu cho kho hàng</t>
  </si>
  <si>
    <t>LV17-065</t>
  </si>
  <si>
    <t>Phần mềm quản lý kho/tài sản tích hợp dashboard dữ liệu cho kho hàng</t>
  </si>
  <si>
    <t>LV17-066</t>
  </si>
  <si>
    <t>Phần mềm quản lý nhân sự và ca làm tích hợp dashboard dữ liệu cho kho hàng</t>
  </si>
  <si>
    <t>LV17-067</t>
  </si>
  <si>
    <t>Phần mềm quản lý hóa đơn/công nợ tích hợp dashboard dữ liệu cho kho hàng</t>
  </si>
  <si>
    <t>LV17-068</t>
  </si>
  <si>
    <t>Phần mềm báo cáo thống kê doanh thu tích hợp dashboard dữ liệu cho kho hàng</t>
  </si>
  <si>
    <t>LV17-069</t>
  </si>
  <si>
    <t>Phần mềm cổng chăm sóc khách hàng tích hợp dashboard dữ liệu cho kho hàng</t>
  </si>
  <si>
    <t>LV17-070</t>
  </si>
  <si>
    <t>Phần mềm ứng dụng loyalty/tích điểm tích hợp dashboard dữ liệu cho kho hàng</t>
  </si>
  <si>
    <t>LV17-071</t>
  </si>
  <si>
    <t>Phần mềm quản lý quy trình nghiệp vụ tích hợp dashboard dữ liệu cho kho hàng</t>
  </si>
  <si>
    <t>LV17-072</t>
  </si>
  <si>
    <t>Phần mềm theo dõi trạng thái thời gian thực tích hợp dashboard dữ liệu cho kho hàng</t>
  </si>
  <si>
    <t>LV17-073</t>
  </si>
  <si>
    <t>Phần mềm quản lý hợp đồng/hồ sơ tích hợp dashboard dữ liệu cho kho hàng</t>
  </si>
  <si>
    <t>LV17-074</t>
  </si>
  <si>
    <t>Phần mềm tìm kiếm và lọc nâng cao tích hợp dashboard dữ liệu cho kho hàng</t>
  </si>
  <si>
    <t>LV17-075</t>
  </si>
  <si>
    <t>Phần mềm quản lý phản hồi/đánh giá tích hợp dashboard dữ liệu cho kho hàng</t>
  </si>
  <si>
    <t>LV17-076</t>
  </si>
  <si>
    <t>Phần mềm dashboard điều hành tích hợp dashboard dữ liệu cho kho hàng</t>
  </si>
  <si>
    <t>LV17-077</t>
  </si>
  <si>
    <t>Phần mềm quản lý đa chi nhánh tích hợp dashboard dữ liệu cho kho hàng</t>
  </si>
  <si>
    <t>LV17-078</t>
  </si>
  <si>
    <t>Phần mềm hệ thống phân quyền vai trò tích hợp dashboard dữ liệu cho kho hàng</t>
  </si>
  <si>
    <t>LV17-079</t>
  </si>
  <si>
    <t>Phần mềm quản lý thông báo/nhắc lịch tích hợp dashboard dữ liệu cho kho hàng</t>
  </si>
  <si>
    <t>LV17-080</t>
  </si>
  <si>
    <t>Phần mềm quản lý dữ liệu và import/export tích hợp dashboard dữ liệu cho kho hàng</t>
  </si>
  <si>
    <t>LV17-081</t>
  </si>
  <si>
    <t>Hệ thống quản lý tổng thể có gợi ý AI: đề xuất nhập hàng cho kho hàng</t>
  </si>
  <si>
    <t>LV17-082</t>
  </si>
  <si>
    <t>Hệ thống đặt lịch/đặt chỗ có gợi ý AI: phát hiện lệch kho cho kho hàng</t>
  </si>
  <si>
    <t>LV17-083</t>
  </si>
  <si>
    <t>Hệ thống bán hàng và thanh toán có gợi ý AI: dự báo tồn kho cho kho hàng</t>
  </si>
  <si>
    <t>LV17-084</t>
  </si>
  <si>
    <t>Hệ thống quản lý khách hàng CRM có gợi ý AI: đề xuất nhập hàng cho kho hàng</t>
  </si>
  <si>
    <t>LV17-085</t>
  </si>
  <si>
    <t>Hệ thống quản lý kho/tài sản có gợi ý AI: phát hiện lệch kho cho kho hàng</t>
  </si>
  <si>
    <t>LV17-086</t>
  </si>
  <si>
    <t>Hệ thống quản lý nhân sự và ca làm có gợi ý AI: dự báo tồn kho cho kho hàng</t>
  </si>
  <si>
    <t>LV17-087</t>
  </si>
  <si>
    <t>Hệ thống quản lý hóa đơn/công nợ có gợi ý AI: đề xuất nhập hàng cho kho hàng</t>
  </si>
  <si>
    <t>LV17-088</t>
  </si>
  <si>
    <t>Hệ thống báo cáo thống kê doanh thu có gợi ý AI: phát hiện lệch kho cho kho hàng</t>
  </si>
  <si>
    <t>LV17-089</t>
  </si>
  <si>
    <t>Hệ thống cổng chăm sóc khách hàng có gợi ý AI: dự báo tồn kho cho kho hàng</t>
  </si>
  <si>
    <t>LV17-090</t>
  </si>
  <si>
    <t>Hệ thống ứng dụng loyalty/tích điểm có gợi ý AI: đề xuất nhập hàng cho kho hàng</t>
  </si>
  <si>
    <t>LV17-091</t>
  </si>
  <si>
    <t>Hệ thống quản lý quy trình nghiệp vụ có gợi ý AI: phát hiện lệch kho cho kho hàng</t>
  </si>
  <si>
    <t>LV17-092</t>
  </si>
  <si>
    <t>Hệ thống theo dõi trạng thái thời gian thực có gợi ý AI: dự báo tồn kho cho kho hàng</t>
  </si>
  <si>
    <t>LV17-093</t>
  </si>
  <si>
    <t>Hệ thống quản lý hợp đồng/hồ sơ có gợi ý AI: đề xuất nhập hàng cho kho hàng</t>
  </si>
  <si>
    <t>LV17-094</t>
  </si>
  <si>
    <t>Hệ thống tìm kiếm và lọc nâng cao có gợi ý AI: phát hiện lệch kho cho kho hàng</t>
  </si>
  <si>
    <t>LV17-095</t>
  </si>
  <si>
    <t>Hệ thống quản lý phản hồi/đánh giá có gợi ý AI: dự báo tồn kho cho kho hàng</t>
  </si>
  <si>
    <t>LV17-096</t>
  </si>
  <si>
    <t>Hệ thống dashboard điều hành có gợi ý AI: đề xuất nhập hàng cho kho hàng</t>
  </si>
  <si>
    <t>LV17-097</t>
  </si>
  <si>
    <t>Hệ thống quản lý đa chi nhánh có gợi ý AI: phát hiện lệch kho cho kho hàng</t>
  </si>
  <si>
    <t>LV17-098</t>
  </si>
  <si>
    <t>Hệ thống hệ thống phân quyền vai trò có gợi ý AI: dự báo tồn kho cho kho hàng</t>
  </si>
  <si>
    <t>LV17-099</t>
  </si>
  <si>
    <t>Hệ thống quản lý thông báo/nhắc lịch có gợi ý AI: đề xuất nhập hàng cho kho hàng</t>
  </si>
  <si>
    <t>LV17-100</t>
  </si>
  <si>
    <t>Hệ thống quản lý dữ liệu và import/export có gợi ý AI: phát hiện lệch kho cho kho hàng</t>
  </si>
  <si>
    <t>Bất động sản</t>
  </si>
  <si>
    <t>LV18-001</t>
  </si>
  <si>
    <t>Hệ thống quản lý tổng thể cho sàn bất động sản</t>
  </si>
  <si>
    <t>Đồ án 8 tuần cho nhóm 5 SV: xây dựng Web + Mobile phục vụ sàn bất động sản; quản lý các thực thể chính: tin đăng, khách hàng, môi giới, giao dịch; có CSDL, API, giao diện người dùng, báo cáo và kiểm thử.</t>
  </si>
  <si>
    <t>Đăng nhập phân quyền, CRUD, tìm kiếm/lọc, dashboard thống kê, import/export, báo cáo PDF/Excel, kiểm thử; nghiệp vụ trọng tâm: quản lý tổng thể; AI/ML gợi ý: định giá sơ bộ.</t>
  </si>
  <si>
    <t>định giá sơ bộ</t>
  </si>
  <si>
    <t>LV18-002</t>
  </si>
  <si>
    <t>Hệ thống đặt lịch/đặt chỗ cho sàn bất động sản</t>
  </si>
  <si>
    <t>Đồ án 8 tuần cho nhóm 5 SV: xây dựng Web + Desktop phục vụ sàn bất động sản; quản lý các thực thể chính: tin đăng, khách hàng, môi giới, giao dịch; có CSDL, API, giao diện người dùng, báo cáo và kiểm thử.</t>
  </si>
  <si>
    <t>Đăng nhập phân quyền, CRUD, tìm kiếm/lọc, dashboard thống kê, import/export, báo cáo PDF/Excel, kiểm thử; nghiệp vụ trọng tâm: đặt lịch/đặt chỗ; AI/ML gợi ý: phân tích nhu cầu khách.</t>
  </si>
  <si>
    <t>phân tích nhu cầu khách</t>
  </si>
  <si>
    <t>LV18-003</t>
  </si>
  <si>
    <t>Hệ thống bán hàng và thanh toán cho sàn bất động sản</t>
  </si>
  <si>
    <t>Đồ án 8 tuần cho nhóm 5 SV: xây dựng Website phục vụ sàn bất động sản; quản lý các thực thể chính: tin đăng, khách hàng, môi giới, giao dịch; có CSDL, API, giao diện người dùng, báo cáo và kiểm thử.</t>
  </si>
  <si>
    <t>Đăng nhập phân quyền, CRUD, tìm kiếm/lọc, dashboard thống kê, import/export, báo cáo PDF/Excel, kiểm thử; nghiệp vụ trọng tâm: bán hàng và thanh toán; AI/ML gợi ý: gợi ý bất động sản.</t>
  </si>
  <si>
    <t>gợi ý bất động sản</t>
  </si>
  <si>
    <t>LV18-004</t>
  </si>
  <si>
    <t>Hệ thống quản lý khách hàng CRM cho sàn bất động sản</t>
  </si>
  <si>
    <t>Đồ án 8 tuần cho nhóm 5 SV: xây dựng Mobile App phục vụ sàn bất động sản; quản lý các thực thể chính: tin đăng, khách hàng, môi giới, giao dịch; có CSDL, API, giao diện người dùng, báo cáo và kiểm thử.</t>
  </si>
  <si>
    <t>Đăng nhập phân quyền, CRUD, tìm kiếm/lọc, dashboard thống kê, import/export, báo cáo PDF/Excel, kiểm thử; nghiệp vụ trọng tâm: quản lý khách hàng CRM; AI/ML gợi ý: định giá sơ bộ.</t>
  </si>
  <si>
    <t>LV18-005</t>
  </si>
  <si>
    <t>Hệ thống quản lý kho/tài sản cho sàn bất động sản</t>
  </si>
  <si>
    <t>Đồ án 8 tuần cho nhóm 5 SV: xây dựng Desktop App phục vụ sàn bất động sản; quản lý các thực thể chính: tin đăng, khách hàng, môi giới, giao dịch; có CSDL, API, giao diện người dùng, báo cáo và kiểm thử.</t>
  </si>
  <si>
    <t>Đăng nhập phân quyền, CRUD, tìm kiếm/lọc, dashboard thống kê, import/export, báo cáo PDF/Excel, kiểm thử; nghiệp vụ trọng tâm: quản lý kho/tài sản; AI/ML gợi ý: phân tích nhu cầu khách.</t>
  </si>
  <si>
    <t>LV18-006</t>
  </si>
  <si>
    <t>Hệ thống quản lý nhân sự và ca làm cho sàn bất động sản</t>
  </si>
  <si>
    <t>Đăng nhập phân quyền, CRUD, tìm kiếm/lọc, dashboard thống kê, import/export, báo cáo PDF/Excel, kiểm thử; nghiệp vụ trọng tâm: quản lý nhân sự và ca làm; AI/ML gợi ý: gợi ý bất động sản.</t>
  </si>
  <si>
    <t>LV18-007</t>
  </si>
  <si>
    <t>Hệ thống quản lý hóa đơn/công nợ cho sàn bất động sản</t>
  </si>
  <si>
    <t>Đăng nhập phân quyền, CRUD, tìm kiếm/lọc, dashboard thống kê, import/export, báo cáo PDF/Excel, kiểm thử; nghiệp vụ trọng tâm: quản lý hóa đơn/công nợ; AI/ML gợi ý: định giá sơ bộ.</t>
  </si>
  <si>
    <t>LV18-008</t>
  </si>
  <si>
    <t>Hệ thống báo cáo thống kê doanh thu cho sàn bất động sản</t>
  </si>
  <si>
    <t>Đăng nhập phân quyền, CRUD, tìm kiếm/lọc, dashboard thống kê, import/export, báo cáo PDF/Excel, kiểm thử; nghiệp vụ trọng tâm: báo cáo thống kê doanh thu; AI/ML gợi ý: phân tích nhu cầu khách.</t>
  </si>
  <si>
    <t>LV18-009</t>
  </si>
  <si>
    <t>Hệ thống cổng chăm sóc khách hàng cho sàn bất động sản</t>
  </si>
  <si>
    <t>Đăng nhập phân quyền, CRUD, tìm kiếm/lọc, dashboard thống kê, import/export, báo cáo PDF/Excel, kiểm thử; nghiệp vụ trọng tâm: cổng chăm sóc khách hàng; AI/ML gợi ý: gợi ý bất động sản.</t>
  </si>
  <si>
    <t>LV18-010</t>
  </si>
  <si>
    <t>Hệ thống ứng dụng loyalty/tích điểm cho sàn bất động sản</t>
  </si>
  <si>
    <t>Đăng nhập phân quyền, CRUD, tìm kiếm/lọc, dashboard thống kê, import/export, báo cáo PDF/Excel, kiểm thử; nghiệp vụ trọng tâm: ứng dụng loyalty/tích điểm; AI/ML gợi ý: định giá sơ bộ.</t>
  </si>
  <si>
    <t>LV18-011</t>
  </si>
  <si>
    <t>Hệ thống quản lý quy trình nghiệp vụ cho sàn bất động sản</t>
  </si>
  <si>
    <t>Đăng nhập phân quyền, CRUD, tìm kiếm/lọc, dashboard thống kê, import/export, báo cáo PDF/Excel, kiểm thử; nghiệp vụ trọng tâm: quản lý quy trình nghiệp vụ; AI/ML gợi ý: phân tích nhu cầu khách.</t>
  </si>
  <si>
    <t>LV18-012</t>
  </si>
  <si>
    <t>Hệ thống theo dõi trạng thái thời gian thực cho sàn bất động sản</t>
  </si>
  <si>
    <t>Đăng nhập phân quyền, CRUD, tìm kiếm/lọc, dashboard thống kê, import/export, báo cáo PDF/Excel, kiểm thử; nghiệp vụ trọng tâm: theo dõi trạng thái thời gian thực; AI/ML gợi ý: gợi ý bất động sản.</t>
  </si>
  <si>
    <t>LV18-013</t>
  </si>
  <si>
    <t>Hệ thống quản lý hợp đồng/hồ sơ cho sàn bất động sản</t>
  </si>
  <si>
    <t>Đăng nhập phân quyền, CRUD, tìm kiếm/lọc, dashboard thống kê, import/export, báo cáo PDF/Excel, kiểm thử; nghiệp vụ trọng tâm: quản lý hợp đồng/hồ sơ; AI/ML gợi ý: định giá sơ bộ.</t>
  </si>
  <si>
    <t>LV18-014</t>
  </si>
  <si>
    <t>Hệ thống tìm kiếm và lọc nâng cao cho sàn bất động sản</t>
  </si>
  <si>
    <t>Đăng nhập phân quyền, CRUD, tìm kiếm/lọc, dashboard thống kê, import/export, báo cáo PDF/Excel, kiểm thử; nghiệp vụ trọng tâm: tìm kiếm và lọc nâng cao; AI/ML gợi ý: phân tích nhu cầu khách.</t>
  </si>
  <si>
    <t>LV18-015</t>
  </si>
  <si>
    <t>Hệ thống quản lý phản hồi/đánh giá cho sàn bất động sản</t>
  </si>
  <si>
    <t>Đăng nhập phân quyền, CRUD, tìm kiếm/lọc, dashboard thống kê, import/export, báo cáo PDF/Excel, kiểm thử; nghiệp vụ trọng tâm: quản lý phản hồi/đánh giá; AI/ML gợi ý: gợi ý bất động sản.</t>
  </si>
  <si>
    <t>LV18-016</t>
  </si>
  <si>
    <t>Hệ thống dashboard điều hành cho sàn bất động sản</t>
  </si>
  <si>
    <t>Đăng nhập phân quyền, CRUD, tìm kiếm/lọc, dashboard thống kê, import/export, báo cáo PDF/Excel, kiểm thử; nghiệp vụ trọng tâm: dashboard điều hành; AI/ML gợi ý: định giá sơ bộ.</t>
  </si>
  <si>
    <t>LV18-017</t>
  </si>
  <si>
    <t>Hệ thống quản lý đa chi nhánh cho sàn bất động sản</t>
  </si>
  <si>
    <t>Đăng nhập phân quyền, CRUD, tìm kiếm/lọc, dashboard thống kê, import/export, báo cáo PDF/Excel, kiểm thử; nghiệp vụ trọng tâm: quản lý đa chi nhánh; AI/ML gợi ý: phân tích nhu cầu khách.</t>
  </si>
  <si>
    <t>LV18-018</t>
  </si>
  <si>
    <t>Hệ thống hệ thống phân quyền vai trò cho sàn bất động sản</t>
  </si>
  <si>
    <t>Đăng nhập phân quyền, CRUD, tìm kiếm/lọc, dashboard thống kê, import/export, báo cáo PDF/Excel, kiểm thử; nghiệp vụ trọng tâm: hệ thống phân quyền vai trò; AI/ML gợi ý: gợi ý bất động sản.</t>
  </si>
  <si>
    <t>LV18-019</t>
  </si>
  <si>
    <t>Hệ thống quản lý thông báo/nhắc lịch cho sàn bất động sản</t>
  </si>
  <si>
    <t>Đăng nhập phân quyền, CRUD, tìm kiếm/lọc, dashboard thống kê, import/export, báo cáo PDF/Excel, kiểm thử; nghiệp vụ trọng tâm: quản lý thông báo/nhắc lịch; AI/ML gợi ý: định giá sơ bộ.</t>
  </si>
  <si>
    <t>LV18-020</t>
  </si>
  <si>
    <t>Hệ thống quản lý dữ liệu và import/export cho sàn bất động sản</t>
  </si>
  <si>
    <t>Đăng nhập phân quyền, CRUD, tìm kiếm/lọc, dashboard thống kê, import/export, báo cáo PDF/Excel, kiểm thử; nghiệp vụ trọng tâm: quản lý dữ liệu và import/export; AI/ML gợi ý: phân tích nhu cầu khách.</t>
  </si>
  <si>
    <t>LV18-021</t>
  </si>
  <si>
    <t>Ứng dụng web + mobile hỗ trợ quản lý tổng thể trong bất động sản</t>
  </si>
  <si>
    <t>LV18-022</t>
  </si>
  <si>
    <t>Ứng dụng web + desktop hỗ trợ đặt lịch/đặt chỗ trong bất động sản</t>
  </si>
  <si>
    <t>LV18-023</t>
  </si>
  <si>
    <t>Ứng dụng website hỗ trợ bán hàng và thanh toán trong bất động sản</t>
  </si>
  <si>
    <t>LV18-024</t>
  </si>
  <si>
    <t>Ứng dụng mobile app hỗ trợ quản lý khách hàng CRM trong bất động sản</t>
  </si>
  <si>
    <t>LV18-025</t>
  </si>
  <si>
    <t>Ứng dụng desktop app hỗ trợ quản lý kho/tài sản trong bất động sản</t>
  </si>
  <si>
    <t>LV18-026</t>
  </si>
  <si>
    <t>Ứng dụng web + mobile hỗ trợ quản lý nhân sự và ca làm trong bất động sản</t>
  </si>
  <si>
    <t>LV18-027</t>
  </si>
  <si>
    <t>Ứng dụng web + desktop hỗ trợ quản lý hóa đơn/công nợ trong bất động sản</t>
  </si>
  <si>
    <t>LV18-028</t>
  </si>
  <si>
    <t>Ứng dụng website hỗ trợ báo cáo thống kê doanh thu trong bất động sản</t>
  </si>
  <si>
    <t>LV18-029</t>
  </si>
  <si>
    <t>Ứng dụng mobile app hỗ trợ cổng chăm sóc khách hàng trong bất động sản</t>
  </si>
  <si>
    <t>LV18-030</t>
  </si>
  <si>
    <t>Ứng dụng desktop app hỗ trợ ứng dụng loyalty/tích điểm trong bất động sản</t>
  </si>
  <si>
    <t>LV18-031</t>
  </si>
  <si>
    <t>Ứng dụng web + mobile hỗ trợ quản lý quy trình nghiệp vụ trong bất động sản</t>
  </si>
  <si>
    <t>LV18-032</t>
  </si>
  <si>
    <t>Ứng dụng web + desktop hỗ trợ theo dõi trạng thái thời gian thực trong bất động sản</t>
  </si>
  <si>
    <t>LV18-033</t>
  </si>
  <si>
    <t>Ứng dụng website hỗ trợ quản lý hợp đồng/hồ sơ trong bất động sản</t>
  </si>
  <si>
    <t>LV18-034</t>
  </si>
  <si>
    <t>Ứng dụng mobile app hỗ trợ tìm kiếm và lọc nâng cao trong bất động sản</t>
  </si>
  <si>
    <t>LV18-035</t>
  </si>
  <si>
    <t>Ứng dụng desktop app hỗ trợ quản lý phản hồi/đánh giá trong bất động sản</t>
  </si>
  <si>
    <t>LV18-036</t>
  </si>
  <si>
    <t>Ứng dụng web + mobile hỗ trợ dashboard điều hành trong bất động sản</t>
  </si>
  <si>
    <t>LV18-037</t>
  </si>
  <si>
    <t>Ứng dụng web + desktop hỗ trợ quản lý đa chi nhánh trong bất động sản</t>
  </si>
  <si>
    <t>LV18-038</t>
  </si>
  <si>
    <t>Ứng dụng website hỗ trợ hệ thống phân quyền vai trò trong bất động sản</t>
  </si>
  <si>
    <t>LV18-039</t>
  </si>
  <si>
    <t>Ứng dụng mobile app hỗ trợ quản lý thông báo/nhắc lịch trong bất động sản</t>
  </si>
  <si>
    <t>LV18-040</t>
  </si>
  <si>
    <t>Ứng dụng desktop app hỗ trợ quản lý dữ liệu và import/export trong bất động sản</t>
  </si>
  <si>
    <t>LV18-041</t>
  </si>
  <si>
    <t>Nền tảng quản lý tổng thể có phân quyền và báo cáo cho sàn bất động sản</t>
  </si>
  <si>
    <t>LV18-042</t>
  </si>
  <si>
    <t>Nền tảng đặt lịch/đặt chỗ có phân quyền và báo cáo cho sàn bất động sản</t>
  </si>
  <si>
    <t>LV18-043</t>
  </si>
  <si>
    <t>Nền tảng bán hàng và thanh toán có phân quyền và báo cáo cho sàn bất động sản</t>
  </si>
  <si>
    <t>LV18-044</t>
  </si>
  <si>
    <t>Nền tảng quản lý khách hàng CRM có phân quyền và báo cáo cho sàn bất động sản</t>
  </si>
  <si>
    <t>LV18-045</t>
  </si>
  <si>
    <t>Nền tảng quản lý kho/tài sản có phân quyền và báo cáo cho sàn bất động sản</t>
  </si>
  <si>
    <t>LV18-046</t>
  </si>
  <si>
    <t>Nền tảng quản lý nhân sự và ca làm có phân quyền và báo cáo cho sàn bất động sản</t>
  </si>
  <si>
    <t>LV18-047</t>
  </si>
  <si>
    <t>Nền tảng quản lý hóa đơn/công nợ có phân quyền và báo cáo cho sàn bất động sản</t>
  </si>
  <si>
    <t>LV18-048</t>
  </si>
  <si>
    <t>Nền tảng báo cáo thống kê doanh thu có phân quyền và báo cáo cho sàn bất động sản</t>
  </si>
  <si>
    <t>LV18-049</t>
  </si>
  <si>
    <t>Nền tảng cổng chăm sóc khách hàng có phân quyền và báo cáo cho sàn bất động sản</t>
  </si>
  <si>
    <t>LV18-050</t>
  </si>
  <si>
    <t>Nền tảng ứng dụng loyalty/tích điểm có phân quyền và báo cáo cho sàn bất động sản</t>
  </si>
  <si>
    <t>LV18-051</t>
  </si>
  <si>
    <t>Nền tảng quản lý quy trình nghiệp vụ có phân quyền và báo cáo cho sàn bất động sản</t>
  </si>
  <si>
    <t>LV18-052</t>
  </si>
  <si>
    <t>Nền tảng theo dõi trạng thái thời gian thực có phân quyền và báo cáo cho sàn bất động sản</t>
  </si>
  <si>
    <t>LV18-053</t>
  </si>
  <si>
    <t>Nền tảng quản lý hợp đồng/hồ sơ có phân quyền và báo cáo cho sàn bất động sản</t>
  </si>
  <si>
    <t>LV18-054</t>
  </si>
  <si>
    <t>Nền tảng tìm kiếm và lọc nâng cao có phân quyền và báo cáo cho sàn bất động sản</t>
  </si>
  <si>
    <t>LV18-055</t>
  </si>
  <si>
    <t>Nền tảng quản lý phản hồi/đánh giá có phân quyền và báo cáo cho sàn bất động sản</t>
  </si>
  <si>
    <t>LV18-056</t>
  </si>
  <si>
    <t>Nền tảng dashboard điều hành có phân quyền và báo cáo cho sàn bất động sản</t>
  </si>
  <si>
    <t>LV18-057</t>
  </si>
  <si>
    <t>Nền tảng quản lý đa chi nhánh có phân quyền và báo cáo cho sàn bất động sản</t>
  </si>
  <si>
    <t>LV18-058</t>
  </si>
  <si>
    <t>Nền tảng hệ thống phân quyền vai trò có phân quyền và báo cáo cho sàn bất động sản</t>
  </si>
  <si>
    <t>LV18-059</t>
  </si>
  <si>
    <t>Nền tảng quản lý thông báo/nhắc lịch có phân quyền và báo cáo cho sàn bất động sản</t>
  </si>
  <si>
    <t>LV18-060</t>
  </si>
  <si>
    <t>Nền tảng quản lý dữ liệu và import/export có phân quyền và báo cáo cho sàn bất động sản</t>
  </si>
  <si>
    <t>LV18-061</t>
  </si>
  <si>
    <t>Phần mềm quản lý tổng thể tích hợp dashboard dữ liệu cho bất động sản</t>
  </si>
  <si>
    <t>LV18-062</t>
  </si>
  <si>
    <t>Phần mềm đặt lịch/đặt chỗ tích hợp dashboard dữ liệu cho bất động sản</t>
  </si>
  <si>
    <t>LV18-063</t>
  </si>
  <si>
    <t>Phần mềm bán hàng và thanh toán tích hợp dashboard dữ liệu cho bất động sản</t>
  </si>
  <si>
    <t>LV18-064</t>
  </si>
  <si>
    <t>Phần mềm quản lý khách hàng CRM tích hợp dashboard dữ liệu cho bất động sản</t>
  </si>
  <si>
    <t>LV18-065</t>
  </si>
  <si>
    <t>Phần mềm quản lý kho/tài sản tích hợp dashboard dữ liệu cho bất động sản</t>
  </si>
  <si>
    <t>LV18-066</t>
  </si>
  <si>
    <t>Phần mềm quản lý nhân sự và ca làm tích hợp dashboard dữ liệu cho bất động sản</t>
  </si>
  <si>
    <t>LV18-067</t>
  </si>
  <si>
    <t>Phần mềm quản lý hóa đơn/công nợ tích hợp dashboard dữ liệu cho bất động sản</t>
  </si>
  <si>
    <t>LV18-068</t>
  </si>
  <si>
    <t>Phần mềm báo cáo thống kê doanh thu tích hợp dashboard dữ liệu cho bất động sản</t>
  </si>
  <si>
    <t>LV18-069</t>
  </si>
  <si>
    <t>Phần mềm cổng chăm sóc khách hàng tích hợp dashboard dữ liệu cho bất động sản</t>
  </si>
  <si>
    <t>LV18-070</t>
  </si>
  <si>
    <t>Phần mềm ứng dụng loyalty/tích điểm tích hợp dashboard dữ liệu cho bất động sản</t>
  </si>
  <si>
    <t>LV18-071</t>
  </si>
  <si>
    <t>Phần mềm quản lý quy trình nghiệp vụ tích hợp dashboard dữ liệu cho bất động sản</t>
  </si>
  <si>
    <t>LV18-072</t>
  </si>
  <si>
    <t>Phần mềm theo dõi trạng thái thời gian thực tích hợp dashboard dữ liệu cho bất động sản</t>
  </si>
  <si>
    <t>LV18-073</t>
  </si>
  <si>
    <t>Phần mềm quản lý hợp đồng/hồ sơ tích hợp dashboard dữ liệu cho bất động sản</t>
  </si>
  <si>
    <t>LV18-074</t>
  </si>
  <si>
    <t>Phần mềm tìm kiếm và lọc nâng cao tích hợp dashboard dữ liệu cho bất động sản</t>
  </si>
  <si>
    <t>LV18-075</t>
  </si>
  <si>
    <t>Phần mềm quản lý phản hồi/đánh giá tích hợp dashboard dữ liệu cho bất động sản</t>
  </si>
  <si>
    <t>LV18-076</t>
  </si>
  <si>
    <t>Phần mềm dashboard điều hành tích hợp dashboard dữ liệu cho bất động sản</t>
  </si>
  <si>
    <t>LV18-077</t>
  </si>
  <si>
    <t>Phần mềm quản lý đa chi nhánh tích hợp dashboard dữ liệu cho bất động sản</t>
  </si>
  <si>
    <t>LV18-078</t>
  </si>
  <si>
    <t>Phần mềm hệ thống phân quyền vai trò tích hợp dashboard dữ liệu cho bất động sản</t>
  </si>
  <si>
    <t>LV18-079</t>
  </si>
  <si>
    <t>Phần mềm quản lý thông báo/nhắc lịch tích hợp dashboard dữ liệu cho bất động sản</t>
  </si>
  <si>
    <t>LV18-080</t>
  </si>
  <si>
    <t>Phần mềm quản lý dữ liệu và import/export tích hợp dashboard dữ liệu cho bất động sản</t>
  </si>
  <si>
    <t>LV18-081</t>
  </si>
  <si>
    <t>Hệ thống quản lý tổng thể có gợi ý AI: định giá sơ bộ cho sàn bất động sản</t>
  </si>
  <si>
    <t>LV18-082</t>
  </si>
  <si>
    <t>Hệ thống đặt lịch/đặt chỗ có gợi ý AI: phân tích nhu cầu khách cho sàn bất động sản</t>
  </si>
  <si>
    <t>LV18-083</t>
  </si>
  <si>
    <t>Hệ thống bán hàng và thanh toán có gợi ý AI: gợi ý bất động sản cho sàn bất động sản</t>
  </si>
  <si>
    <t>LV18-084</t>
  </si>
  <si>
    <t>Hệ thống quản lý khách hàng CRM có gợi ý AI: định giá sơ bộ cho sàn bất động sản</t>
  </si>
  <si>
    <t>LV18-085</t>
  </si>
  <si>
    <t>Hệ thống quản lý kho/tài sản có gợi ý AI: phân tích nhu cầu khách cho sàn bất động sản</t>
  </si>
  <si>
    <t>LV18-086</t>
  </si>
  <si>
    <t>Hệ thống quản lý nhân sự và ca làm có gợi ý AI: gợi ý bất động sản cho sàn bất động sản</t>
  </si>
  <si>
    <t>LV18-087</t>
  </si>
  <si>
    <t>Hệ thống quản lý hóa đơn/công nợ có gợi ý AI: định giá sơ bộ cho sàn bất động sản</t>
  </si>
  <si>
    <t>LV18-088</t>
  </si>
  <si>
    <t>Hệ thống báo cáo thống kê doanh thu có gợi ý AI: phân tích nhu cầu khách cho sàn bất động sản</t>
  </si>
  <si>
    <t>LV18-089</t>
  </si>
  <si>
    <t>Hệ thống cổng chăm sóc khách hàng có gợi ý AI: gợi ý bất động sản cho sàn bất động sản</t>
  </si>
  <si>
    <t>LV18-090</t>
  </si>
  <si>
    <t>Hệ thống ứng dụng loyalty/tích điểm có gợi ý AI: định giá sơ bộ cho sàn bất động sản</t>
  </si>
  <si>
    <t>LV18-091</t>
  </si>
  <si>
    <t>Hệ thống quản lý quy trình nghiệp vụ có gợi ý AI: phân tích nhu cầu khách cho sàn bất động sản</t>
  </si>
  <si>
    <t>LV18-092</t>
  </si>
  <si>
    <t>Hệ thống theo dõi trạng thái thời gian thực có gợi ý AI: gợi ý bất động sản cho sàn bất động sản</t>
  </si>
  <si>
    <t>LV18-093</t>
  </si>
  <si>
    <t>Hệ thống quản lý hợp đồng/hồ sơ có gợi ý AI: định giá sơ bộ cho sàn bất động sản</t>
  </si>
  <si>
    <t>LV18-094</t>
  </si>
  <si>
    <t>Hệ thống tìm kiếm và lọc nâng cao có gợi ý AI: phân tích nhu cầu khách cho sàn bất động sản</t>
  </si>
  <si>
    <t>LV18-095</t>
  </si>
  <si>
    <t>Hệ thống quản lý phản hồi/đánh giá có gợi ý AI: gợi ý bất động sản cho sàn bất động sản</t>
  </si>
  <si>
    <t>LV18-096</t>
  </si>
  <si>
    <t>Hệ thống dashboard điều hành có gợi ý AI: định giá sơ bộ cho sàn bất động sản</t>
  </si>
  <si>
    <t>LV18-097</t>
  </si>
  <si>
    <t>Hệ thống quản lý đa chi nhánh có gợi ý AI: phân tích nhu cầu khách cho sàn bất động sản</t>
  </si>
  <si>
    <t>LV18-098</t>
  </si>
  <si>
    <t>Hệ thống hệ thống phân quyền vai trò có gợi ý AI: gợi ý bất động sản cho sàn bất động sản</t>
  </si>
  <si>
    <t>LV18-099</t>
  </si>
  <si>
    <t>Hệ thống quản lý thông báo/nhắc lịch có gợi ý AI: định giá sơ bộ cho sàn bất động sản</t>
  </si>
  <si>
    <t>LV18-100</t>
  </si>
  <si>
    <t>Hệ thống quản lý dữ liệu và import/export có gợi ý AI: phân tích nhu cầu khách cho sàn bất động sản</t>
  </si>
  <si>
    <t>Xây dựng</t>
  </si>
  <si>
    <t>LV19-001</t>
  </si>
  <si>
    <t>Hệ thống quản lý tổng thể cho công ty xây dựng</t>
  </si>
  <si>
    <t>Đồ án 8 tuần cho nhóm 5 SV: xây dựng Web + Desktop phục vụ công ty xây dựng; quản lý các thực thể chính: công trình, vật tư, nhân sự, tiến độ; có CSDL, API, giao diện người dùng, báo cáo và kiểm thử.</t>
  </si>
  <si>
    <t>Đăng nhập phân quyền, CRUD, tìm kiếm/lọc, dashboard thống kê, import/export, báo cáo PDF/Excel, kiểm thử; nghiệp vụ trọng tâm: quản lý tổng thể; AI/ML gợi ý: ước lượng chi phí.</t>
  </si>
  <si>
    <t>ước lượng chi phí</t>
  </si>
  <si>
    <t>LV19-002</t>
  </si>
  <si>
    <t>Hệ thống đặt lịch/đặt chỗ cho công ty xây dựng</t>
  </si>
  <si>
    <t>Đồ án 8 tuần cho nhóm 5 SV: xây dựng Website phục vụ công ty xây dựng; quản lý các thực thể chính: công trình, vật tư, nhân sự, tiến độ; có CSDL, API, giao diện người dùng, báo cáo và kiểm thử.</t>
  </si>
  <si>
    <t>Đăng nhập phân quyền, CRUD, tìm kiếm/lọc, dashboard thống kê, import/export, báo cáo PDF/Excel, kiểm thử; nghiệp vụ trọng tâm: đặt lịch/đặt chỗ; AI/ML gợi ý: cảnh báo thiếu vật tư.</t>
  </si>
  <si>
    <t>cảnh báo thiếu vật tư</t>
  </si>
  <si>
    <t>LV19-003</t>
  </si>
  <si>
    <t>Hệ thống bán hàng và thanh toán cho công ty xây dựng</t>
  </si>
  <si>
    <t>Đồ án 8 tuần cho nhóm 5 SV: xây dựng Mobile App phục vụ công ty xây dựng; quản lý các thực thể chính: công trình, vật tư, nhân sự, tiến độ; có CSDL, API, giao diện người dùng, báo cáo và kiểm thử.</t>
  </si>
  <si>
    <t>Đăng nhập phân quyền, CRUD, tìm kiếm/lọc, dashboard thống kê, import/export, báo cáo PDF/Excel, kiểm thử; nghiệp vụ trọng tâm: bán hàng và thanh toán; AI/ML gợi ý: dự báo trễ tiến độ.</t>
  </si>
  <si>
    <t>dự báo trễ tiến độ</t>
  </si>
  <si>
    <t>LV19-004</t>
  </si>
  <si>
    <t>Hệ thống quản lý khách hàng CRM cho công ty xây dựng</t>
  </si>
  <si>
    <t>Đồ án 8 tuần cho nhóm 5 SV: xây dựng Desktop App phục vụ công ty xây dựng; quản lý các thực thể chính: công trình, vật tư, nhân sự, tiến độ; có CSDL, API, giao diện người dùng, báo cáo và kiểm thử.</t>
  </si>
  <si>
    <t>Đăng nhập phân quyền, CRUD, tìm kiếm/lọc, dashboard thống kê, import/export, báo cáo PDF/Excel, kiểm thử; nghiệp vụ trọng tâm: quản lý khách hàng CRM; AI/ML gợi ý: ước lượng chi phí.</t>
  </si>
  <si>
    <t>LV19-005</t>
  </si>
  <si>
    <t>Hệ thống quản lý kho/tài sản cho công ty xây dựng</t>
  </si>
  <si>
    <t>Đồ án 8 tuần cho nhóm 5 SV: xây dựng Web + Mobile phục vụ công ty xây dựng; quản lý các thực thể chính: công trình, vật tư, nhân sự, tiến độ; có CSDL, API, giao diện người dùng, báo cáo và kiểm thử.</t>
  </si>
  <si>
    <t>Đăng nhập phân quyền, CRUD, tìm kiếm/lọc, dashboard thống kê, import/export, báo cáo PDF/Excel, kiểm thử; nghiệp vụ trọng tâm: quản lý kho/tài sản; AI/ML gợi ý: cảnh báo thiếu vật tư.</t>
  </si>
  <si>
    <t>LV19-006</t>
  </si>
  <si>
    <t>Hệ thống quản lý nhân sự và ca làm cho công ty xây dựng</t>
  </si>
  <si>
    <t>Đăng nhập phân quyền, CRUD, tìm kiếm/lọc, dashboard thống kê, import/export, báo cáo PDF/Excel, kiểm thử; nghiệp vụ trọng tâm: quản lý nhân sự và ca làm; AI/ML gợi ý: dự báo trễ tiến độ.</t>
  </si>
  <si>
    <t>LV19-007</t>
  </si>
  <si>
    <t>Hệ thống quản lý hóa đơn/công nợ cho công ty xây dựng</t>
  </si>
  <si>
    <t>Đăng nhập phân quyền, CRUD, tìm kiếm/lọc, dashboard thống kê, import/export, báo cáo PDF/Excel, kiểm thử; nghiệp vụ trọng tâm: quản lý hóa đơn/công nợ; AI/ML gợi ý: ước lượng chi phí.</t>
  </si>
  <si>
    <t>LV19-008</t>
  </si>
  <si>
    <t>Hệ thống báo cáo thống kê doanh thu cho công ty xây dựng</t>
  </si>
  <si>
    <t>Đăng nhập phân quyền, CRUD, tìm kiếm/lọc, dashboard thống kê, import/export, báo cáo PDF/Excel, kiểm thử; nghiệp vụ trọng tâm: báo cáo thống kê doanh thu; AI/ML gợi ý: cảnh báo thiếu vật tư.</t>
  </si>
  <si>
    <t>LV19-009</t>
  </si>
  <si>
    <t>Hệ thống cổng chăm sóc khách hàng cho công ty xây dựng</t>
  </si>
  <si>
    <t>Đăng nhập phân quyền, CRUD, tìm kiếm/lọc, dashboard thống kê, import/export, báo cáo PDF/Excel, kiểm thử; nghiệp vụ trọng tâm: cổng chăm sóc khách hàng; AI/ML gợi ý: dự báo trễ tiến độ.</t>
  </si>
  <si>
    <t>LV19-010</t>
  </si>
  <si>
    <t>Hệ thống ứng dụng loyalty/tích điểm cho công ty xây dựng</t>
  </si>
  <si>
    <t>Đăng nhập phân quyền, CRUD, tìm kiếm/lọc, dashboard thống kê, import/export, báo cáo PDF/Excel, kiểm thử; nghiệp vụ trọng tâm: ứng dụng loyalty/tích điểm; AI/ML gợi ý: ước lượng chi phí.</t>
  </si>
  <si>
    <t>LV19-011</t>
  </si>
  <si>
    <t>Hệ thống quản lý quy trình nghiệp vụ cho công ty xây dựng</t>
  </si>
  <si>
    <t>Đăng nhập phân quyền, CRUD, tìm kiếm/lọc, dashboard thống kê, import/export, báo cáo PDF/Excel, kiểm thử; nghiệp vụ trọng tâm: quản lý quy trình nghiệp vụ; AI/ML gợi ý: cảnh báo thiếu vật tư.</t>
  </si>
  <si>
    <t>LV19-012</t>
  </si>
  <si>
    <t>Hệ thống theo dõi trạng thái thời gian thực cho công ty xây dựng</t>
  </si>
  <si>
    <t>Đăng nhập phân quyền, CRUD, tìm kiếm/lọc, dashboard thống kê, import/export, báo cáo PDF/Excel, kiểm thử; nghiệp vụ trọng tâm: theo dõi trạng thái thời gian thực; AI/ML gợi ý: dự báo trễ tiến độ.</t>
  </si>
  <si>
    <t>LV19-013</t>
  </si>
  <si>
    <t>Hệ thống quản lý hợp đồng/hồ sơ cho công ty xây dựng</t>
  </si>
  <si>
    <t>Đăng nhập phân quyền, CRUD, tìm kiếm/lọc, dashboard thống kê, import/export, báo cáo PDF/Excel, kiểm thử; nghiệp vụ trọng tâm: quản lý hợp đồng/hồ sơ; AI/ML gợi ý: ước lượng chi phí.</t>
  </si>
  <si>
    <t>LV19-014</t>
  </si>
  <si>
    <t>Hệ thống tìm kiếm và lọc nâng cao cho công ty xây dựng</t>
  </si>
  <si>
    <t>Đăng nhập phân quyền, CRUD, tìm kiếm/lọc, dashboard thống kê, import/export, báo cáo PDF/Excel, kiểm thử; nghiệp vụ trọng tâm: tìm kiếm và lọc nâng cao; AI/ML gợi ý: cảnh báo thiếu vật tư.</t>
  </si>
  <si>
    <t>LV19-015</t>
  </si>
  <si>
    <t>Hệ thống quản lý phản hồi/đánh giá cho công ty xây dựng</t>
  </si>
  <si>
    <t>Đăng nhập phân quyền, CRUD, tìm kiếm/lọc, dashboard thống kê, import/export, báo cáo PDF/Excel, kiểm thử; nghiệp vụ trọng tâm: quản lý phản hồi/đánh giá; AI/ML gợi ý: dự báo trễ tiến độ.</t>
  </si>
  <si>
    <t>LV19-016</t>
  </si>
  <si>
    <t>Hệ thống dashboard điều hành cho công ty xây dựng</t>
  </si>
  <si>
    <t>Đăng nhập phân quyền, CRUD, tìm kiếm/lọc, dashboard thống kê, import/export, báo cáo PDF/Excel, kiểm thử; nghiệp vụ trọng tâm: dashboard điều hành; AI/ML gợi ý: ước lượng chi phí.</t>
  </si>
  <si>
    <t>LV19-017</t>
  </si>
  <si>
    <t>Hệ thống quản lý đa chi nhánh cho công ty xây dựng</t>
  </si>
  <si>
    <t>Đăng nhập phân quyền, CRUD, tìm kiếm/lọc, dashboard thống kê, import/export, báo cáo PDF/Excel, kiểm thử; nghiệp vụ trọng tâm: quản lý đa chi nhánh; AI/ML gợi ý: cảnh báo thiếu vật tư.</t>
  </si>
  <si>
    <t>LV19-018</t>
  </si>
  <si>
    <t>Hệ thống hệ thống phân quyền vai trò cho công ty xây dựng</t>
  </si>
  <si>
    <t>Đăng nhập phân quyền, CRUD, tìm kiếm/lọc, dashboard thống kê, import/export, báo cáo PDF/Excel, kiểm thử; nghiệp vụ trọng tâm: hệ thống phân quyền vai trò; AI/ML gợi ý: dự báo trễ tiến độ.</t>
  </si>
  <si>
    <t>LV19-019</t>
  </si>
  <si>
    <t>Hệ thống quản lý thông báo/nhắc lịch cho công ty xây dựng</t>
  </si>
  <si>
    <t>Đăng nhập phân quyền, CRUD, tìm kiếm/lọc, dashboard thống kê, import/export, báo cáo PDF/Excel, kiểm thử; nghiệp vụ trọng tâm: quản lý thông báo/nhắc lịch; AI/ML gợi ý: ước lượng chi phí.</t>
  </si>
  <si>
    <t>LV19-020</t>
  </si>
  <si>
    <t>Hệ thống quản lý dữ liệu và import/export cho công ty xây dựng</t>
  </si>
  <si>
    <t>Đăng nhập phân quyền, CRUD, tìm kiếm/lọc, dashboard thống kê, import/export, báo cáo PDF/Excel, kiểm thử; nghiệp vụ trọng tâm: quản lý dữ liệu và import/export; AI/ML gợi ý: cảnh báo thiếu vật tư.</t>
  </si>
  <si>
    <t>LV19-021</t>
  </si>
  <si>
    <t>Ứng dụng web + desktop hỗ trợ quản lý tổng thể trong xây dựng</t>
  </si>
  <si>
    <t>LV19-022</t>
  </si>
  <si>
    <t>Ứng dụng website hỗ trợ đặt lịch/đặt chỗ trong xây dựng</t>
  </si>
  <si>
    <t>LV19-023</t>
  </si>
  <si>
    <t>Ứng dụng mobile app hỗ trợ bán hàng và thanh toán trong xây dựng</t>
  </si>
  <si>
    <t>LV19-024</t>
  </si>
  <si>
    <t>Ứng dụng desktop app hỗ trợ quản lý khách hàng CRM trong xây dựng</t>
  </si>
  <si>
    <t>LV19-025</t>
  </si>
  <si>
    <t>Ứng dụng web + mobile hỗ trợ quản lý kho/tài sản trong xây dựng</t>
  </si>
  <si>
    <t>LV19-026</t>
  </si>
  <si>
    <t>Ứng dụng web + desktop hỗ trợ quản lý nhân sự và ca làm trong xây dựng</t>
  </si>
  <si>
    <t>LV19-027</t>
  </si>
  <si>
    <t>Ứng dụng website hỗ trợ quản lý hóa đơn/công nợ trong xây dựng</t>
  </si>
  <si>
    <t>LV19-028</t>
  </si>
  <si>
    <t>Ứng dụng mobile app hỗ trợ báo cáo thống kê doanh thu trong xây dựng</t>
  </si>
  <si>
    <t>LV19-029</t>
  </si>
  <si>
    <t>Ứng dụng desktop app hỗ trợ cổng chăm sóc khách hàng trong xây dựng</t>
  </si>
  <si>
    <t>LV19-030</t>
  </si>
  <si>
    <t>Ứng dụng web + mobile hỗ trợ ứng dụng loyalty/tích điểm trong xây dựng</t>
  </si>
  <si>
    <t>LV19-031</t>
  </si>
  <si>
    <t>Ứng dụng web + desktop hỗ trợ quản lý quy trình nghiệp vụ trong xây dựng</t>
  </si>
  <si>
    <t>LV19-032</t>
  </si>
  <si>
    <t>Ứng dụng website hỗ trợ theo dõi trạng thái thời gian thực trong xây dựng</t>
  </si>
  <si>
    <t>LV19-033</t>
  </si>
  <si>
    <t>Ứng dụng mobile app hỗ trợ quản lý hợp đồng/hồ sơ trong xây dựng</t>
  </si>
  <si>
    <t>LV19-034</t>
  </si>
  <si>
    <t>Ứng dụng desktop app hỗ trợ tìm kiếm và lọc nâng cao trong xây dựng</t>
  </si>
  <si>
    <t>LV19-035</t>
  </si>
  <si>
    <t>Ứng dụng web + mobile hỗ trợ quản lý phản hồi/đánh giá trong xây dựng</t>
  </si>
  <si>
    <t>LV19-036</t>
  </si>
  <si>
    <t>Ứng dụng web + desktop hỗ trợ dashboard điều hành trong xây dựng</t>
  </si>
  <si>
    <t>LV19-037</t>
  </si>
  <si>
    <t>Ứng dụng website hỗ trợ quản lý đa chi nhánh trong xây dựng</t>
  </si>
  <si>
    <t>LV19-038</t>
  </si>
  <si>
    <t>Ứng dụng mobile app hỗ trợ hệ thống phân quyền vai trò trong xây dựng</t>
  </si>
  <si>
    <t>LV19-039</t>
  </si>
  <si>
    <t>Ứng dụng desktop app hỗ trợ quản lý thông báo/nhắc lịch trong xây dựng</t>
  </si>
  <si>
    <t>LV19-040</t>
  </si>
  <si>
    <t>Ứng dụng web + mobile hỗ trợ quản lý dữ liệu và import/export trong xây dựng</t>
  </si>
  <si>
    <t>LV19-041</t>
  </si>
  <si>
    <t>Nền tảng quản lý tổng thể có phân quyền và báo cáo cho công ty xây dựng</t>
  </si>
  <si>
    <t>LV19-042</t>
  </si>
  <si>
    <t>Nền tảng đặt lịch/đặt chỗ có phân quyền và báo cáo cho công ty xây dựng</t>
  </si>
  <si>
    <t>LV19-043</t>
  </si>
  <si>
    <t>Nền tảng bán hàng và thanh toán có phân quyền và báo cáo cho công ty xây dựng</t>
  </si>
  <si>
    <t>LV19-044</t>
  </si>
  <si>
    <t>Nền tảng quản lý khách hàng CRM có phân quyền và báo cáo cho công ty xây dựng</t>
  </si>
  <si>
    <t>LV19-045</t>
  </si>
  <si>
    <t>Nền tảng quản lý kho/tài sản có phân quyền và báo cáo cho công ty xây dựng</t>
  </si>
  <si>
    <t>LV19-046</t>
  </si>
  <si>
    <t>Nền tảng quản lý nhân sự và ca làm có phân quyền và báo cáo cho công ty xây dựng</t>
  </si>
  <si>
    <t>LV19-047</t>
  </si>
  <si>
    <t>Nền tảng quản lý hóa đơn/công nợ có phân quyền và báo cáo cho công ty xây dựng</t>
  </si>
  <si>
    <t>LV19-048</t>
  </si>
  <si>
    <t>Nền tảng báo cáo thống kê doanh thu có phân quyền và báo cáo cho công ty xây dựng</t>
  </si>
  <si>
    <t>LV19-049</t>
  </si>
  <si>
    <t>Nền tảng cổng chăm sóc khách hàng có phân quyền và báo cáo cho công ty xây dựng</t>
  </si>
  <si>
    <t>LV19-050</t>
  </si>
  <si>
    <t>Nền tảng ứng dụng loyalty/tích điểm có phân quyền và báo cáo cho công ty xây dựng</t>
  </si>
  <si>
    <t>LV19-051</t>
  </si>
  <si>
    <t>Nền tảng quản lý quy trình nghiệp vụ có phân quyền và báo cáo cho công ty xây dựng</t>
  </si>
  <si>
    <t>LV19-052</t>
  </si>
  <si>
    <t>Nền tảng theo dõi trạng thái thời gian thực có phân quyền và báo cáo cho công ty xây dựng</t>
  </si>
  <si>
    <t>LV19-053</t>
  </si>
  <si>
    <t>Nền tảng quản lý hợp đồng/hồ sơ có phân quyền và báo cáo cho công ty xây dựng</t>
  </si>
  <si>
    <t>LV19-054</t>
  </si>
  <si>
    <t>Nền tảng tìm kiếm và lọc nâng cao có phân quyền và báo cáo cho công ty xây dựng</t>
  </si>
  <si>
    <t>LV19-055</t>
  </si>
  <si>
    <t>Nền tảng quản lý phản hồi/đánh giá có phân quyền và báo cáo cho công ty xây dựng</t>
  </si>
  <si>
    <t>LV19-056</t>
  </si>
  <si>
    <t>Nền tảng dashboard điều hành có phân quyền và báo cáo cho công ty xây dựng</t>
  </si>
  <si>
    <t>LV19-057</t>
  </si>
  <si>
    <t>Nền tảng quản lý đa chi nhánh có phân quyền và báo cáo cho công ty xây dựng</t>
  </si>
  <si>
    <t>LV19-058</t>
  </si>
  <si>
    <t>Nền tảng hệ thống phân quyền vai trò có phân quyền và báo cáo cho công ty xây dựng</t>
  </si>
  <si>
    <t>LV19-059</t>
  </si>
  <si>
    <t>Nền tảng quản lý thông báo/nhắc lịch có phân quyền và báo cáo cho công ty xây dựng</t>
  </si>
  <si>
    <t>LV19-060</t>
  </si>
  <si>
    <t>Nền tảng quản lý dữ liệu và import/export có phân quyền và báo cáo cho công ty xây dựng</t>
  </si>
  <si>
    <t>LV19-061</t>
  </si>
  <si>
    <t>Phần mềm quản lý tổng thể tích hợp dashboard dữ liệu cho xây dựng</t>
  </si>
  <si>
    <t>LV19-062</t>
  </si>
  <si>
    <t>Phần mềm đặt lịch/đặt chỗ tích hợp dashboard dữ liệu cho xây dựng</t>
  </si>
  <si>
    <t>LV19-063</t>
  </si>
  <si>
    <t>Phần mềm bán hàng và thanh toán tích hợp dashboard dữ liệu cho xây dựng</t>
  </si>
  <si>
    <t>LV19-064</t>
  </si>
  <si>
    <t>Phần mềm quản lý khách hàng CRM tích hợp dashboard dữ liệu cho xây dựng</t>
  </si>
  <si>
    <t>LV19-065</t>
  </si>
  <si>
    <t>Phần mềm quản lý kho/tài sản tích hợp dashboard dữ liệu cho xây dựng</t>
  </si>
  <si>
    <t>LV19-066</t>
  </si>
  <si>
    <t>Phần mềm quản lý nhân sự và ca làm tích hợp dashboard dữ liệu cho xây dựng</t>
  </si>
  <si>
    <t>LV19-067</t>
  </si>
  <si>
    <t>Phần mềm quản lý hóa đơn/công nợ tích hợp dashboard dữ liệu cho xây dựng</t>
  </si>
  <si>
    <t>LV19-068</t>
  </si>
  <si>
    <t>Phần mềm báo cáo thống kê doanh thu tích hợp dashboard dữ liệu cho xây dựng</t>
  </si>
  <si>
    <t>LV19-069</t>
  </si>
  <si>
    <t>Phần mềm cổng chăm sóc khách hàng tích hợp dashboard dữ liệu cho xây dựng</t>
  </si>
  <si>
    <t>LV19-070</t>
  </si>
  <si>
    <t>Phần mềm ứng dụng loyalty/tích điểm tích hợp dashboard dữ liệu cho xây dựng</t>
  </si>
  <si>
    <t>LV19-071</t>
  </si>
  <si>
    <t>Phần mềm quản lý quy trình nghiệp vụ tích hợp dashboard dữ liệu cho xây dựng</t>
  </si>
  <si>
    <t>LV19-072</t>
  </si>
  <si>
    <t>Phần mềm theo dõi trạng thái thời gian thực tích hợp dashboard dữ liệu cho xây dựng</t>
  </si>
  <si>
    <t>LV19-073</t>
  </si>
  <si>
    <t>Phần mềm quản lý hợp đồng/hồ sơ tích hợp dashboard dữ liệu cho xây dựng</t>
  </si>
  <si>
    <t>LV19-074</t>
  </si>
  <si>
    <t>Phần mềm tìm kiếm và lọc nâng cao tích hợp dashboard dữ liệu cho xây dựng</t>
  </si>
  <si>
    <t>LV19-075</t>
  </si>
  <si>
    <t>Phần mềm quản lý phản hồi/đánh giá tích hợp dashboard dữ liệu cho xây dựng</t>
  </si>
  <si>
    <t>LV19-076</t>
  </si>
  <si>
    <t>Phần mềm dashboard điều hành tích hợp dashboard dữ liệu cho xây dựng</t>
  </si>
  <si>
    <t>LV19-077</t>
  </si>
  <si>
    <t>Phần mềm quản lý đa chi nhánh tích hợp dashboard dữ liệu cho xây dựng</t>
  </si>
  <si>
    <t>LV19-078</t>
  </si>
  <si>
    <t>Phần mềm hệ thống phân quyền vai trò tích hợp dashboard dữ liệu cho xây dựng</t>
  </si>
  <si>
    <t>LV19-079</t>
  </si>
  <si>
    <t>Phần mềm quản lý thông báo/nhắc lịch tích hợp dashboard dữ liệu cho xây dựng</t>
  </si>
  <si>
    <t>LV19-080</t>
  </si>
  <si>
    <t>Phần mềm quản lý dữ liệu và import/export tích hợp dashboard dữ liệu cho xây dựng</t>
  </si>
  <si>
    <t>LV19-081</t>
  </si>
  <si>
    <t>Hệ thống quản lý tổng thể có gợi ý AI: ước lượng chi phí cho công ty xây dựng</t>
  </si>
  <si>
    <t>LV19-082</t>
  </si>
  <si>
    <t>Hệ thống đặt lịch/đặt chỗ có gợi ý AI: cảnh báo thiếu vật tư cho công ty xây dựng</t>
  </si>
  <si>
    <t>LV19-083</t>
  </si>
  <si>
    <t>Hệ thống bán hàng và thanh toán có gợi ý AI: dự báo trễ tiến độ cho công ty xây dựng</t>
  </si>
  <si>
    <t>LV19-084</t>
  </si>
  <si>
    <t>Hệ thống quản lý khách hàng CRM có gợi ý AI: ước lượng chi phí cho công ty xây dựng</t>
  </si>
  <si>
    <t>LV19-085</t>
  </si>
  <si>
    <t>Hệ thống quản lý kho/tài sản có gợi ý AI: cảnh báo thiếu vật tư cho công ty xây dựng</t>
  </si>
  <si>
    <t>LV19-086</t>
  </si>
  <si>
    <t>Hệ thống quản lý nhân sự và ca làm có gợi ý AI: dự báo trễ tiến độ cho công ty xây dựng</t>
  </si>
  <si>
    <t>LV19-087</t>
  </si>
  <si>
    <t>Hệ thống quản lý hóa đơn/công nợ có gợi ý AI: ước lượng chi phí cho công ty xây dựng</t>
  </si>
  <si>
    <t>LV19-088</t>
  </si>
  <si>
    <t>Hệ thống báo cáo thống kê doanh thu có gợi ý AI: cảnh báo thiếu vật tư cho công ty xây dựng</t>
  </si>
  <si>
    <t>LV19-089</t>
  </si>
  <si>
    <t>Hệ thống cổng chăm sóc khách hàng có gợi ý AI: dự báo trễ tiến độ cho công ty xây dựng</t>
  </si>
  <si>
    <t>LV19-090</t>
  </si>
  <si>
    <t>Hệ thống ứng dụng loyalty/tích điểm có gợi ý AI: ước lượng chi phí cho công ty xây dựng</t>
  </si>
  <si>
    <t>LV19-091</t>
  </si>
  <si>
    <t>Hệ thống quản lý quy trình nghiệp vụ có gợi ý AI: cảnh báo thiếu vật tư cho công ty xây dựng</t>
  </si>
  <si>
    <t>LV19-092</t>
  </si>
  <si>
    <t>Hệ thống theo dõi trạng thái thời gian thực có gợi ý AI: dự báo trễ tiến độ cho công ty xây dựng</t>
  </si>
  <si>
    <t>LV19-093</t>
  </si>
  <si>
    <t>Hệ thống quản lý hợp đồng/hồ sơ có gợi ý AI: ước lượng chi phí cho công ty xây dựng</t>
  </si>
  <si>
    <t>LV19-094</t>
  </si>
  <si>
    <t>Hệ thống tìm kiếm và lọc nâng cao có gợi ý AI: cảnh báo thiếu vật tư cho công ty xây dựng</t>
  </si>
  <si>
    <t>LV19-095</t>
  </si>
  <si>
    <t>Hệ thống quản lý phản hồi/đánh giá có gợi ý AI: dự báo trễ tiến độ cho công ty xây dựng</t>
  </si>
  <si>
    <t>LV19-096</t>
  </si>
  <si>
    <t>Hệ thống dashboard điều hành có gợi ý AI: ước lượng chi phí cho công ty xây dựng</t>
  </si>
  <si>
    <t>LV19-097</t>
  </si>
  <si>
    <t>Hệ thống quản lý đa chi nhánh có gợi ý AI: cảnh báo thiếu vật tư cho công ty xây dựng</t>
  </si>
  <si>
    <t>LV19-098</t>
  </si>
  <si>
    <t>Hệ thống hệ thống phân quyền vai trò có gợi ý AI: dự báo trễ tiến độ cho công ty xây dựng</t>
  </si>
  <si>
    <t>LV19-099</t>
  </si>
  <si>
    <t>Hệ thống quản lý thông báo/nhắc lịch có gợi ý AI: ước lượng chi phí cho công ty xây dựng</t>
  </si>
  <si>
    <t>LV19-100</t>
  </si>
  <si>
    <t>Hệ thống quản lý dữ liệu và import/export có gợi ý AI: cảnh báo thiếu vật tư cho công ty xây dựng</t>
  </si>
  <si>
    <t>Giáo dục</t>
  </si>
  <si>
    <t>LV20-001</t>
  </si>
  <si>
    <t>Hệ thống quản lý tổng thể cho nền tảng giáo dục</t>
  </si>
  <si>
    <t>Đồ án 8 tuần cho nhóm 5 SV: xây dựng Website phục vụ nền tảng giáo dục; quản lý các thực thể chính: khóa học, học viên, bài học, bài tập; có CSDL, API, giao diện người dùng, báo cáo và kiểm thử.</t>
  </si>
  <si>
    <t>Đăng nhập phân quyền, CRUD, tìm kiếm/lọc, dashboard thống kê, import/export, báo cáo PDF/Excel, kiểm thử; nghiệp vụ trọng tâm: quản lý tổng thể; AI/ML gợi ý: dự báo nguy cơ bỏ học.</t>
  </si>
  <si>
    <t>dự báo nguy cơ bỏ học</t>
  </si>
  <si>
    <t>LV20-002</t>
  </si>
  <si>
    <t>Hệ thống đặt lịch/đặt chỗ cho nền tảng giáo dục</t>
  </si>
  <si>
    <t>Đồ án 8 tuần cho nhóm 5 SV: xây dựng Mobile App phục vụ nền tảng giáo dục; quản lý các thực thể chính: khóa học, học viên, bài học, bài tập; có CSDL, API, giao diện người dùng, báo cáo và kiểm thử.</t>
  </si>
  <si>
    <t>Đăng nhập phân quyền, CRUD, tìm kiếm/lọc, dashboard thống kê, import/export, báo cáo PDF/Excel, kiểm thử; nghiệp vụ trọng tâm: đặt lịch/đặt chỗ; AI/ML gợi ý: chấm điểm tự động đơn giản.</t>
  </si>
  <si>
    <t>chấm điểm tự động đơn giản</t>
  </si>
  <si>
    <t>LV20-003</t>
  </si>
  <si>
    <t>Hệ thống bán hàng và thanh toán cho nền tảng giáo dục</t>
  </si>
  <si>
    <t>Đồ án 8 tuần cho nhóm 5 SV: xây dựng Desktop App phục vụ nền tảng giáo dục; quản lý các thực thể chính: khóa học, học viên, bài học, bài tập; có CSDL, API, giao diện người dùng, báo cáo và kiểm thử.</t>
  </si>
  <si>
    <t>Đăng nhập phân quyền, CRUD, tìm kiếm/lọc, dashboard thống kê, import/export, báo cáo PDF/Excel, kiểm thử; nghiệp vụ trọng tâm: bán hàng và thanh toán; AI/ML gợi ý: gợi ý khóa học.</t>
  </si>
  <si>
    <t>gợi ý khóa học</t>
  </si>
  <si>
    <t>LV20-004</t>
  </si>
  <si>
    <t>Hệ thống quản lý khách hàng CRM cho nền tảng giáo dục</t>
  </si>
  <si>
    <t>Đồ án 8 tuần cho nhóm 5 SV: xây dựng Web + Mobile phục vụ nền tảng giáo dục; quản lý các thực thể chính: khóa học, học viên, bài học, bài tập; có CSDL, API, giao diện người dùng, báo cáo và kiểm thử.</t>
  </si>
  <si>
    <t>Đăng nhập phân quyền, CRUD, tìm kiếm/lọc, dashboard thống kê, import/export, báo cáo PDF/Excel, kiểm thử; nghiệp vụ trọng tâm: quản lý khách hàng CRM; AI/ML gợi ý: dự báo nguy cơ bỏ học.</t>
  </si>
  <si>
    <t>LV20-005</t>
  </si>
  <si>
    <t>Hệ thống quản lý kho/tài sản cho nền tảng giáo dục</t>
  </si>
  <si>
    <t>Đồ án 8 tuần cho nhóm 5 SV: xây dựng Web + Desktop phục vụ nền tảng giáo dục; quản lý các thực thể chính: khóa học, học viên, bài học, bài tập; có CSDL, API, giao diện người dùng, báo cáo và kiểm thử.</t>
  </si>
  <si>
    <t>Đăng nhập phân quyền, CRUD, tìm kiếm/lọc, dashboard thống kê, import/export, báo cáo PDF/Excel, kiểm thử; nghiệp vụ trọng tâm: quản lý kho/tài sản; AI/ML gợi ý: chấm điểm tự động đơn giản.</t>
  </si>
  <si>
    <t>LV20-006</t>
  </si>
  <si>
    <t>Hệ thống quản lý nhân sự và ca làm cho nền tảng giáo dục</t>
  </si>
  <si>
    <t>Đăng nhập phân quyền, CRUD, tìm kiếm/lọc, dashboard thống kê, import/export, báo cáo PDF/Excel, kiểm thử; nghiệp vụ trọng tâm: quản lý nhân sự và ca làm; AI/ML gợi ý: gợi ý khóa học.</t>
  </si>
  <si>
    <t>LV20-007</t>
  </si>
  <si>
    <t>Hệ thống quản lý hóa đơn/công nợ cho nền tảng giáo dục</t>
  </si>
  <si>
    <t>Đăng nhập phân quyền, CRUD, tìm kiếm/lọc, dashboard thống kê, import/export, báo cáo PDF/Excel, kiểm thử; nghiệp vụ trọng tâm: quản lý hóa đơn/công nợ; AI/ML gợi ý: dự báo nguy cơ bỏ học.</t>
  </si>
  <si>
    <t>LV20-008</t>
  </si>
  <si>
    <t>Hệ thống báo cáo thống kê doanh thu cho nền tảng giáo dục</t>
  </si>
  <si>
    <t>Đăng nhập phân quyền, CRUD, tìm kiếm/lọc, dashboard thống kê, import/export, báo cáo PDF/Excel, kiểm thử; nghiệp vụ trọng tâm: báo cáo thống kê doanh thu; AI/ML gợi ý: chấm điểm tự động đơn giản.</t>
  </si>
  <si>
    <t>LV20-009</t>
  </si>
  <si>
    <t>Hệ thống cổng chăm sóc khách hàng cho nền tảng giáo dục</t>
  </si>
  <si>
    <t>Đăng nhập phân quyền, CRUD, tìm kiếm/lọc, dashboard thống kê, import/export, báo cáo PDF/Excel, kiểm thử; nghiệp vụ trọng tâm: cổng chăm sóc khách hàng; AI/ML gợi ý: gợi ý khóa học.</t>
  </si>
  <si>
    <t>LV20-010</t>
  </si>
  <si>
    <t>Hệ thống ứng dụng loyalty/tích điểm cho nền tảng giáo dục</t>
  </si>
  <si>
    <t>Đăng nhập phân quyền, CRUD, tìm kiếm/lọc, dashboard thống kê, import/export, báo cáo PDF/Excel, kiểm thử; nghiệp vụ trọng tâm: ứng dụng loyalty/tích điểm; AI/ML gợi ý: dự báo nguy cơ bỏ học.</t>
  </si>
  <si>
    <t>LV20-011</t>
  </si>
  <si>
    <t>Hệ thống quản lý quy trình nghiệp vụ cho nền tảng giáo dục</t>
  </si>
  <si>
    <t>Đăng nhập phân quyền, CRUD, tìm kiếm/lọc, dashboard thống kê, import/export, báo cáo PDF/Excel, kiểm thử; nghiệp vụ trọng tâm: quản lý quy trình nghiệp vụ; AI/ML gợi ý: chấm điểm tự động đơn giản.</t>
  </si>
  <si>
    <t>LV20-012</t>
  </si>
  <si>
    <t>Hệ thống theo dõi trạng thái thời gian thực cho nền tảng giáo dục</t>
  </si>
  <si>
    <t>Đăng nhập phân quyền, CRUD, tìm kiếm/lọc, dashboard thống kê, import/export, báo cáo PDF/Excel, kiểm thử; nghiệp vụ trọng tâm: theo dõi trạng thái thời gian thực; AI/ML gợi ý: gợi ý khóa học.</t>
  </si>
  <si>
    <t>LV20-013</t>
  </si>
  <si>
    <t>Hệ thống quản lý hợp đồng/hồ sơ cho nền tảng giáo dục</t>
  </si>
  <si>
    <t>Đăng nhập phân quyền, CRUD, tìm kiếm/lọc, dashboard thống kê, import/export, báo cáo PDF/Excel, kiểm thử; nghiệp vụ trọng tâm: quản lý hợp đồng/hồ sơ; AI/ML gợi ý: dự báo nguy cơ bỏ học.</t>
  </si>
  <si>
    <t>LV20-014</t>
  </si>
  <si>
    <t>Hệ thống tìm kiếm và lọc nâng cao cho nền tảng giáo dục</t>
  </si>
  <si>
    <t>Đăng nhập phân quyền, CRUD, tìm kiếm/lọc, dashboard thống kê, import/export, báo cáo PDF/Excel, kiểm thử; nghiệp vụ trọng tâm: tìm kiếm và lọc nâng cao; AI/ML gợi ý: chấm điểm tự động đơn giản.</t>
  </si>
  <si>
    <t>LV20-015</t>
  </si>
  <si>
    <t>Hệ thống quản lý phản hồi/đánh giá cho nền tảng giáo dục</t>
  </si>
  <si>
    <t>Đăng nhập phân quyền, CRUD, tìm kiếm/lọc, dashboard thống kê, import/export, báo cáo PDF/Excel, kiểm thử; nghiệp vụ trọng tâm: quản lý phản hồi/đánh giá; AI/ML gợi ý: gợi ý khóa học.</t>
  </si>
  <si>
    <t>LV20-016</t>
  </si>
  <si>
    <t>Hệ thống dashboard điều hành cho nền tảng giáo dục</t>
  </si>
  <si>
    <t>Đăng nhập phân quyền, CRUD, tìm kiếm/lọc, dashboard thống kê, import/export, báo cáo PDF/Excel, kiểm thử; nghiệp vụ trọng tâm: dashboard điều hành; AI/ML gợi ý: dự báo nguy cơ bỏ học.</t>
  </si>
  <si>
    <t>LV20-017</t>
  </si>
  <si>
    <t>Hệ thống quản lý đa chi nhánh cho nền tảng giáo dục</t>
  </si>
  <si>
    <t>Đăng nhập phân quyền, CRUD, tìm kiếm/lọc, dashboard thống kê, import/export, báo cáo PDF/Excel, kiểm thử; nghiệp vụ trọng tâm: quản lý đa chi nhánh; AI/ML gợi ý: chấm điểm tự động đơn giản.</t>
  </si>
  <si>
    <t>LV20-018</t>
  </si>
  <si>
    <t>Hệ thống hệ thống phân quyền vai trò cho nền tảng giáo dục</t>
  </si>
  <si>
    <t>Đăng nhập phân quyền, CRUD, tìm kiếm/lọc, dashboard thống kê, import/export, báo cáo PDF/Excel, kiểm thử; nghiệp vụ trọng tâm: hệ thống phân quyền vai trò; AI/ML gợi ý: gợi ý khóa học.</t>
  </si>
  <si>
    <t>LV20-019</t>
  </si>
  <si>
    <t>Hệ thống quản lý thông báo/nhắc lịch cho nền tảng giáo dục</t>
  </si>
  <si>
    <t>Đăng nhập phân quyền, CRUD, tìm kiếm/lọc, dashboard thống kê, import/export, báo cáo PDF/Excel, kiểm thử; nghiệp vụ trọng tâm: quản lý thông báo/nhắc lịch; AI/ML gợi ý: dự báo nguy cơ bỏ học.</t>
  </si>
  <si>
    <t>LV20-020</t>
  </si>
  <si>
    <t>Hệ thống quản lý dữ liệu và import/export cho nền tảng giáo dục</t>
  </si>
  <si>
    <t>Đăng nhập phân quyền, CRUD, tìm kiếm/lọc, dashboard thống kê, import/export, báo cáo PDF/Excel, kiểm thử; nghiệp vụ trọng tâm: quản lý dữ liệu và import/export; AI/ML gợi ý: chấm điểm tự động đơn giản.</t>
  </si>
  <si>
    <t>LV20-021</t>
  </si>
  <si>
    <t>Ứng dụng website hỗ trợ quản lý tổng thể trong giáo dục</t>
  </si>
  <si>
    <t>LV20-022</t>
  </si>
  <si>
    <t>Ứng dụng mobile app hỗ trợ đặt lịch/đặt chỗ trong giáo dục</t>
  </si>
  <si>
    <t>LV20-023</t>
  </si>
  <si>
    <t>Ứng dụng desktop app hỗ trợ bán hàng và thanh toán trong giáo dục</t>
  </si>
  <si>
    <t>LV20-024</t>
  </si>
  <si>
    <t>Ứng dụng web + mobile hỗ trợ quản lý khách hàng CRM trong giáo dục</t>
  </si>
  <si>
    <t>LV20-025</t>
  </si>
  <si>
    <t>Ứng dụng web + desktop hỗ trợ quản lý kho/tài sản trong giáo dục</t>
  </si>
  <si>
    <t>LV20-026</t>
  </si>
  <si>
    <t>Ứng dụng website hỗ trợ quản lý nhân sự và ca làm trong giáo dục</t>
  </si>
  <si>
    <t>LV20-027</t>
  </si>
  <si>
    <t>Ứng dụng mobile app hỗ trợ quản lý hóa đơn/công nợ trong giáo dục</t>
  </si>
  <si>
    <t>LV20-028</t>
  </si>
  <si>
    <t>Ứng dụng desktop app hỗ trợ báo cáo thống kê doanh thu trong giáo dục</t>
  </si>
  <si>
    <t>LV20-029</t>
  </si>
  <si>
    <t>Ứng dụng web + mobile hỗ trợ cổng chăm sóc khách hàng trong giáo dục</t>
  </si>
  <si>
    <t>LV20-030</t>
  </si>
  <si>
    <t>Ứng dụng web + desktop hỗ trợ ứng dụng loyalty/tích điểm trong giáo dục</t>
  </si>
  <si>
    <t>LV20-031</t>
  </si>
  <si>
    <t>Ứng dụng website hỗ trợ quản lý quy trình nghiệp vụ trong giáo dục</t>
  </si>
  <si>
    <t>LV20-032</t>
  </si>
  <si>
    <t>Ứng dụng mobile app hỗ trợ theo dõi trạng thái thời gian thực trong giáo dục</t>
  </si>
  <si>
    <t>LV20-033</t>
  </si>
  <si>
    <t>Ứng dụng desktop app hỗ trợ quản lý hợp đồng/hồ sơ trong giáo dục</t>
  </si>
  <si>
    <t>LV20-034</t>
  </si>
  <si>
    <t>Ứng dụng web + mobile hỗ trợ tìm kiếm và lọc nâng cao trong giáo dục</t>
  </si>
  <si>
    <t>LV20-035</t>
  </si>
  <si>
    <t>Ứng dụng web + desktop hỗ trợ quản lý phản hồi/đánh giá trong giáo dục</t>
  </si>
  <si>
    <t>LV20-036</t>
  </si>
  <si>
    <t>Ứng dụng website hỗ trợ dashboard điều hành trong giáo dục</t>
  </si>
  <si>
    <t>LV20-037</t>
  </si>
  <si>
    <t>Ứng dụng mobile app hỗ trợ quản lý đa chi nhánh trong giáo dục</t>
  </si>
  <si>
    <t>LV20-038</t>
  </si>
  <si>
    <t>Ứng dụng desktop app hỗ trợ hệ thống phân quyền vai trò trong giáo dục</t>
  </si>
  <si>
    <t>LV20-039</t>
  </si>
  <si>
    <t>Ứng dụng web + mobile hỗ trợ quản lý thông báo/nhắc lịch trong giáo dục</t>
  </si>
  <si>
    <t>LV20-040</t>
  </si>
  <si>
    <t>Ứng dụng web + desktop hỗ trợ quản lý dữ liệu và import/export trong giáo dục</t>
  </si>
  <si>
    <t>LV20-041</t>
  </si>
  <si>
    <t>Nền tảng quản lý tổng thể có phân quyền và báo cáo cho nền tảng giáo dục</t>
  </si>
  <si>
    <t>LV20-042</t>
  </si>
  <si>
    <t>Nền tảng đặt lịch/đặt chỗ có phân quyền và báo cáo cho nền tảng giáo dục</t>
  </si>
  <si>
    <t>LV20-043</t>
  </si>
  <si>
    <t>Nền tảng bán hàng và thanh toán có phân quyền và báo cáo cho nền tảng giáo dục</t>
  </si>
  <si>
    <t>LV20-044</t>
  </si>
  <si>
    <t>Nền tảng quản lý khách hàng CRM có phân quyền và báo cáo cho nền tảng giáo dục</t>
  </si>
  <si>
    <t>LV20-045</t>
  </si>
  <si>
    <t>Nền tảng quản lý kho/tài sản có phân quyền và báo cáo cho nền tảng giáo dục</t>
  </si>
  <si>
    <t>LV20-046</t>
  </si>
  <si>
    <t>Nền tảng quản lý nhân sự và ca làm có phân quyền và báo cáo cho nền tảng giáo dục</t>
  </si>
  <si>
    <t>LV20-047</t>
  </si>
  <si>
    <t>Nền tảng quản lý hóa đơn/công nợ có phân quyền và báo cáo cho nền tảng giáo dục</t>
  </si>
  <si>
    <t>LV20-048</t>
  </si>
  <si>
    <t>Nền tảng báo cáo thống kê doanh thu có phân quyền và báo cáo cho nền tảng giáo dục</t>
  </si>
  <si>
    <t>LV20-049</t>
  </si>
  <si>
    <t>Nền tảng cổng chăm sóc khách hàng có phân quyền và báo cáo cho nền tảng giáo dục</t>
  </si>
  <si>
    <t>LV20-050</t>
  </si>
  <si>
    <t>Nền tảng ứng dụng loyalty/tích điểm có phân quyền và báo cáo cho nền tảng giáo dục</t>
  </si>
  <si>
    <t>LV20-051</t>
  </si>
  <si>
    <t>Nền tảng quản lý quy trình nghiệp vụ có phân quyền và báo cáo cho nền tảng giáo dục</t>
  </si>
  <si>
    <t>LV20-052</t>
  </si>
  <si>
    <t>Nền tảng theo dõi trạng thái thời gian thực có phân quyền và báo cáo cho nền tảng giáo dục</t>
  </si>
  <si>
    <t>LV20-053</t>
  </si>
  <si>
    <t>Nền tảng quản lý hợp đồng/hồ sơ có phân quyền và báo cáo cho nền tảng giáo dục</t>
  </si>
  <si>
    <t>LV20-054</t>
  </si>
  <si>
    <t>Nền tảng tìm kiếm và lọc nâng cao có phân quyền và báo cáo cho nền tảng giáo dục</t>
  </si>
  <si>
    <t>LV20-055</t>
  </si>
  <si>
    <t>Nền tảng quản lý phản hồi/đánh giá có phân quyền và báo cáo cho nền tảng giáo dục</t>
  </si>
  <si>
    <t>LV20-056</t>
  </si>
  <si>
    <t>Nền tảng dashboard điều hành có phân quyền và báo cáo cho nền tảng giáo dục</t>
  </si>
  <si>
    <t>LV20-057</t>
  </si>
  <si>
    <t>Nền tảng quản lý đa chi nhánh có phân quyền và báo cáo cho nền tảng giáo dục</t>
  </si>
  <si>
    <t>LV20-058</t>
  </si>
  <si>
    <t>Nền tảng hệ thống phân quyền vai trò có phân quyền và báo cáo cho nền tảng giáo dục</t>
  </si>
  <si>
    <t>LV20-059</t>
  </si>
  <si>
    <t>Nền tảng quản lý thông báo/nhắc lịch có phân quyền và báo cáo cho nền tảng giáo dục</t>
  </si>
  <si>
    <t>LV20-060</t>
  </si>
  <si>
    <t>Nền tảng quản lý dữ liệu và import/export có phân quyền và báo cáo cho nền tảng giáo dục</t>
  </si>
  <si>
    <t>LV20-061</t>
  </si>
  <si>
    <t>Phần mềm quản lý tổng thể tích hợp dashboard dữ liệu cho giáo dục</t>
  </si>
  <si>
    <t>LV20-062</t>
  </si>
  <si>
    <t>Phần mềm đặt lịch/đặt chỗ tích hợp dashboard dữ liệu cho giáo dục</t>
  </si>
  <si>
    <t>LV20-063</t>
  </si>
  <si>
    <t>Phần mềm bán hàng và thanh toán tích hợp dashboard dữ liệu cho giáo dục</t>
  </si>
  <si>
    <t>LV20-064</t>
  </si>
  <si>
    <t>Phần mềm quản lý khách hàng CRM tích hợp dashboard dữ liệu cho giáo dục</t>
  </si>
  <si>
    <t>LV20-065</t>
  </si>
  <si>
    <t>Phần mềm quản lý kho/tài sản tích hợp dashboard dữ liệu cho giáo dục</t>
  </si>
  <si>
    <t>LV20-066</t>
  </si>
  <si>
    <t>Phần mềm quản lý nhân sự và ca làm tích hợp dashboard dữ liệu cho giáo dục</t>
  </si>
  <si>
    <t>LV20-067</t>
  </si>
  <si>
    <t>Phần mềm quản lý hóa đơn/công nợ tích hợp dashboard dữ liệu cho giáo dục</t>
  </si>
  <si>
    <t>LV20-068</t>
  </si>
  <si>
    <t>Phần mềm báo cáo thống kê doanh thu tích hợp dashboard dữ liệu cho giáo dục</t>
  </si>
  <si>
    <t>LV20-069</t>
  </si>
  <si>
    <t>Phần mềm cổng chăm sóc khách hàng tích hợp dashboard dữ liệu cho giáo dục</t>
  </si>
  <si>
    <t>LV20-070</t>
  </si>
  <si>
    <t>Phần mềm ứng dụng loyalty/tích điểm tích hợp dashboard dữ liệu cho giáo dục</t>
  </si>
  <si>
    <t>LV20-071</t>
  </si>
  <si>
    <t>Phần mềm quản lý quy trình nghiệp vụ tích hợp dashboard dữ liệu cho giáo dục</t>
  </si>
  <si>
    <t>LV20-072</t>
  </si>
  <si>
    <t>Phần mềm theo dõi trạng thái thời gian thực tích hợp dashboard dữ liệu cho giáo dục</t>
  </si>
  <si>
    <t>LV20-073</t>
  </si>
  <si>
    <t>Phần mềm quản lý hợp đồng/hồ sơ tích hợp dashboard dữ liệu cho giáo dục</t>
  </si>
  <si>
    <t>LV20-074</t>
  </si>
  <si>
    <t>Phần mềm tìm kiếm và lọc nâng cao tích hợp dashboard dữ liệu cho giáo dục</t>
  </si>
  <si>
    <t>LV20-075</t>
  </si>
  <si>
    <t>Phần mềm quản lý phản hồi/đánh giá tích hợp dashboard dữ liệu cho giáo dục</t>
  </si>
  <si>
    <t>LV20-076</t>
  </si>
  <si>
    <t>Phần mềm dashboard điều hành tích hợp dashboard dữ liệu cho giáo dục</t>
  </si>
  <si>
    <t>LV20-077</t>
  </si>
  <si>
    <t>Phần mềm quản lý đa chi nhánh tích hợp dashboard dữ liệu cho giáo dục</t>
  </si>
  <si>
    <t>LV20-078</t>
  </si>
  <si>
    <t>Phần mềm hệ thống phân quyền vai trò tích hợp dashboard dữ liệu cho giáo dục</t>
  </si>
  <si>
    <t>LV20-079</t>
  </si>
  <si>
    <t>Phần mềm quản lý thông báo/nhắc lịch tích hợp dashboard dữ liệu cho giáo dục</t>
  </si>
  <si>
    <t>LV20-080</t>
  </si>
  <si>
    <t>Phần mềm quản lý dữ liệu và import/export tích hợp dashboard dữ liệu cho giáo dục</t>
  </si>
  <si>
    <t>LV20-081</t>
  </si>
  <si>
    <t>Hệ thống quản lý tổng thể có gợi ý AI: dự báo nguy cơ bỏ học cho nền tảng giáo dục</t>
  </si>
  <si>
    <t>LV20-082</t>
  </si>
  <si>
    <t>Hệ thống đặt lịch/đặt chỗ có gợi ý AI: chấm điểm tự động đơn giản cho nền tảng giáo dục</t>
  </si>
  <si>
    <t>LV20-083</t>
  </si>
  <si>
    <t>Hệ thống bán hàng và thanh toán có gợi ý AI: gợi ý khóa học cho nền tảng giáo dục</t>
  </si>
  <si>
    <t>LV20-084</t>
  </si>
  <si>
    <t>Hệ thống quản lý khách hàng CRM có gợi ý AI: dự báo nguy cơ bỏ học cho nền tảng giáo dục</t>
  </si>
  <si>
    <t>LV20-085</t>
  </si>
  <si>
    <t>Hệ thống quản lý kho/tài sản có gợi ý AI: chấm điểm tự động đơn giản cho nền tảng giáo dục</t>
  </si>
  <si>
    <t>LV20-086</t>
  </si>
  <si>
    <t>Hệ thống quản lý nhân sự và ca làm có gợi ý AI: gợi ý khóa học cho nền tảng giáo dục</t>
  </si>
  <si>
    <t>LV20-087</t>
  </si>
  <si>
    <t>Hệ thống quản lý hóa đơn/công nợ có gợi ý AI: dự báo nguy cơ bỏ học cho nền tảng giáo dục</t>
  </si>
  <si>
    <t>LV20-088</t>
  </si>
  <si>
    <t>Hệ thống báo cáo thống kê doanh thu có gợi ý AI: chấm điểm tự động đơn giản cho nền tảng giáo dục</t>
  </si>
  <si>
    <t>LV20-089</t>
  </si>
  <si>
    <t>Hệ thống cổng chăm sóc khách hàng có gợi ý AI: gợi ý khóa học cho nền tảng giáo dục</t>
  </si>
  <si>
    <t>LV20-090</t>
  </si>
  <si>
    <t>Hệ thống ứng dụng loyalty/tích điểm có gợi ý AI: dự báo nguy cơ bỏ học cho nền tảng giáo dục</t>
  </si>
  <si>
    <t>LV20-091</t>
  </si>
  <si>
    <t>Hệ thống quản lý quy trình nghiệp vụ có gợi ý AI: chấm điểm tự động đơn giản cho nền tảng giáo dục</t>
  </si>
  <si>
    <t>LV20-092</t>
  </si>
  <si>
    <t>Hệ thống theo dõi trạng thái thời gian thực có gợi ý AI: gợi ý khóa học cho nền tảng giáo dục</t>
  </si>
  <si>
    <t>LV20-093</t>
  </si>
  <si>
    <t>Hệ thống quản lý hợp đồng/hồ sơ có gợi ý AI: dự báo nguy cơ bỏ học cho nền tảng giáo dục</t>
  </si>
  <si>
    <t>LV20-094</t>
  </si>
  <si>
    <t>Hệ thống tìm kiếm và lọc nâng cao có gợi ý AI: chấm điểm tự động đơn giản cho nền tảng giáo dục</t>
  </si>
  <si>
    <t>LV20-095</t>
  </si>
  <si>
    <t>Hệ thống quản lý phản hồi/đánh giá có gợi ý AI: gợi ý khóa học cho nền tảng giáo dục</t>
  </si>
  <si>
    <t>LV20-096</t>
  </si>
  <si>
    <t>Hệ thống dashboard điều hành có gợi ý AI: dự báo nguy cơ bỏ học cho nền tảng giáo dục</t>
  </si>
  <si>
    <t>LV20-097</t>
  </si>
  <si>
    <t>Hệ thống quản lý đa chi nhánh có gợi ý AI: chấm điểm tự động đơn giản cho nền tảng giáo dục</t>
  </si>
  <si>
    <t>LV20-098</t>
  </si>
  <si>
    <t>Hệ thống hệ thống phân quyền vai trò có gợi ý AI: gợi ý khóa học cho nền tảng giáo dục</t>
  </si>
  <si>
    <t>LV20-099</t>
  </si>
  <si>
    <t>Hệ thống quản lý thông báo/nhắc lịch có gợi ý AI: dự báo nguy cơ bỏ học cho nền tảng giáo dục</t>
  </si>
  <si>
    <t>LV20-100</t>
  </si>
  <si>
    <t>Hệ thống quản lý dữ liệu và import/export có gợi ý AI: chấm điểm tự động đơn giản cho nền tảng giáo dục</t>
  </si>
  <si>
    <t>Trung tâm ngoại ngữ</t>
  </si>
  <si>
    <t>LV21-001</t>
  </si>
  <si>
    <t>Hệ thống quản lý tổng thể cho trung tâm ngoại ngữ</t>
  </si>
  <si>
    <t>Đồ án 8 tuần cho nhóm 5 SV: xây dựng Mobile App phục vụ trung tâm ngoại ngữ; quản lý các thực thể chính: lớp học, giáo viên, học viên, học phí; có CSDL, API, giao diện người dùng, báo cáo và kiểm thử.</t>
  </si>
  <si>
    <t>Đăng nhập phân quyền, CRUD, tìm kiếm/lọc, dashboard thống kê, import/export, báo cáo PDF/Excel, kiểm thử; nghiệp vụ trọng tâm: quản lý tổng thể; AI/ML gợi ý: nhắc đóng học phí.</t>
  </si>
  <si>
    <t>nhắc đóng học phí</t>
  </si>
  <si>
    <t>LV21-002</t>
  </si>
  <si>
    <t>Hệ thống đặt lịch/đặt chỗ cho trung tâm ngoại ngữ</t>
  </si>
  <si>
    <t>Đồ án 8 tuần cho nhóm 5 SV: xây dựng Desktop App phục vụ trung tâm ngoại ngữ; quản lý các thực thể chính: lớp học, giáo viên, học viên, học phí; có CSDL, API, giao diện người dùng, báo cáo và kiểm thử.</t>
  </si>
  <si>
    <t>Đăng nhập phân quyền, CRUD, tìm kiếm/lọc, dashboard thống kê, import/export, báo cáo PDF/Excel, kiểm thử; nghiệp vụ trọng tâm: đặt lịch/đặt chỗ; AI/ML gợi ý: dự báo điểm.</t>
  </si>
  <si>
    <t>dự báo điểm</t>
  </si>
  <si>
    <t>LV21-003</t>
  </si>
  <si>
    <t>Hệ thống bán hàng và thanh toán cho trung tâm ngoại ngữ</t>
  </si>
  <si>
    <t>Đồ án 8 tuần cho nhóm 5 SV: xây dựng Web + Mobile phục vụ trung tâm ngoại ngữ; quản lý các thực thể chính: lớp học, giáo viên, học viên, học phí; có CSDL, API, giao diện người dùng, báo cáo và kiểm thử.</t>
  </si>
  <si>
    <t>Đăng nhập phân quyền, CRUD, tìm kiếm/lọc, dashboard thống kê, import/export, báo cáo PDF/Excel, kiểm thử; nghiệp vụ trọng tâm: bán hàng và thanh toán; AI/ML gợi ý: xếp lớp theo năng lực.</t>
  </si>
  <si>
    <t>xếp lớp theo năng lực</t>
  </si>
  <si>
    <t>LV21-004</t>
  </si>
  <si>
    <t>Hệ thống quản lý khách hàng CRM cho trung tâm ngoại ngữ</t>
  </si>
  <si>
    <t>Đồ án 8 tuần cho nhóm 5 SV: xây dựng Web + Desktop phục vụ trung tâm ngoại ngữ; quản lý các thực thể chính: lớp học, giáo viên, học viên, học phí; có CSDL, API, giao diện người dùng, báo cáo và kiểm thử.</t>
  </si>
  <si>
    <t>Đăng nhập phân quyền, CRUD, tìm kiếm/lọc, dashboard thống kê, import/export, báo cáo PDF/Excel, kiểm thử; nghiệp vụ trọng tâm: quản lý khách hàng CRM; AI/ML gợi ý: nhắc đóng học phí.</t>
  </si>
  <si>
    <t>LV21-005</t>
  </si>
  <si>
    <t>Hệ thống quản lý kho/tài sản cho trung tâm ngoại ngữ</t>
  </si>
  <si>
    <t>Đồ án 8 tuần cho nhóm 5 SV: xây dựng Website phục vụ trung tâm ngoại ngữ; quản lý các thực thể chính: lớp học, giáo viên, học viên, học phí; có CSDL, API, giao diện người dùng, báo cáo và kiểm thử.</t>
  </si>
  <si>
    <t>Đăng nhập phân quyền, CRUD, tìm kiếm/lọc, dashboard thống kê, import/export, báo cáo PDF/Excel, kiểm thử; nghiệp vụ trọng tâm: quản lý kho/tài sản; AI/ML gợi ý: dự báo điểm.</t>
  </si>
  <si>
    <t>LV21-006</t>
  </si>
  <si>
    <t>Hệ thống quản lý nhân sự và ca làm cho trung tâm ngoại ngữ</t>
  </si>
  <si>
    <t>Đăng nhập phân quyền, CRUD, tìm kiếm/lọc, dashboard thống kê, import/export, báo cáo PDF/Excel, kiểm thử; nghiệp vụ trọng tâm: quản lý nhân sự và ca làm; AI/ML gợi ý: xếp lớp theo năng lực.</t>
  </si>
  <si>
    <t>LV21-007</t>
  </si>
  <si>
    <t>Hệ thống quản lý hóa đơn/công nợ cho trung tâm ngoại ngữ</t>
  </si>
  <si>
    <t>Đăng nhập phân quyền, CRUD, tìm kiếm/lọc, dashboard thống kê, import/export, báo cáo PDF/Excel, kiểm thử; nghiệp vụ trọng tâm: quản lý hóa đơn/công nợ; AI/ML gợi ý: nhắc đóng học phí.</t>
  </si>
  <si>
    <t>LV21-008</t>
  </si>
  <si>
    <t>Hệ thống báo cáo thống kê doanh thu cho trung tâm ngoại ngữ</t>
  </si>
  <si>
    <t>Đăng nhập phân quyền, CRUD, tìm kiếm/lọc, dashboard thống kê, import/export, báo cáo PDF/Excel, kiểm thử; nghiệp vụ trọng tâm: báo cáo thống kê doanh thu; AI/ML gợi ý: dự báo điểm.</t>
  </si>
  <si>
    <t>LV21-009</t>
  </si>
  <si>
    <t>Hệ thống cổng chăm sóc khách hàng cho trung tâm ngoại ngữ</t>
  </si>
  <si>
    <t>Đăng nhập phân quyền, CRUD, tìm kiếm/lọc, dashboard thống kê, import/export, báo cáo PDF/Excel, kiểm thử; nghiệp vụ trọng tâm: cổng chăm sóc khách hàng; AI/ML gợi ý: xếp lớp theo năng lực.</t>
  </si>
  <si>
    <t>LV21-010</t>
  </si>
  <si>
    <t>Hệ thống ứng dụng loyalty/tích điểm cho trung tâm ngoại ngữ</t>
  </si>
  <si>
    <t>Đăng nhập phân quyền, CRUD, tìm kiếm/lọc, dashboard thống kê, import/export, báo cáo PDF/Excel, kiểm thử; nghiệp vụ trọng tâm: ứng dụng loyalty/tích điểm; AI/ML gợi ý: nhắc đóng học phí.</t>
  </si>
  <si>
    <t>LV21-011</t>
  </si>
  <si>
    <t>Hệ thống quản lý quy trình nghiệp vụ cho trung tâm ngoại ngữ</t>
  </si>
  <si>
    <t>Đăng nhập phân quyền, CRUD, tìm kiếm/lọc, dashboard thống kê, import/export, báo cáo PDF/Excel, kiểm thử; nghiệp vụ trọng tâm: quản lý quy trình nghiệp vụ; AI/ML gợi ý: dự báo điểm.</t>
  </si>
  <si>
    <t>LV21-012</t>
  </si>
  <si>
    <t>Hệ thống theo dõi trạng thái thời gian thực cho trung tâm ngoại ngữ</t>
  </si>
  <si>
    <t>Đăng nhập phân quyền, CRUD, tìm kiếm/lọc, dashboard thống kê, import/export, báo cáo PDF/Excel, kiểm thử; nghiệp vụ trọng tâm: theo dõi trạng thái thời gian thực; AI/ML gợi ý: xếp lớp theo năng lực.</t>
  </si>
  <si>
    <t>LV21-013</t>
  </si>
  <si>
    <t>Hệ thống quản lý hợp đồng/hồ sơ cho trung tâm ngoại ngữ</t>
  </si>
  <si>
    <t>Đăng nhập phân quyền, CRUD, tìm kiếm/lọc, dashboard thống kê, import/export, báo cáo PDF/Excel, kiểm thử; nghiệp vụ trọng tâm: quản lý hợp đồng/hồ sơ; AI/ML gợi ý: nhắc đóng học phí.</t>
  </si>
  <si>
    <t>LV21-014</t>
  </si>
  <si>
    <t>Hệ thống tìm kiếm và lọc nâng cao cho trung tâm ngoại ngữ</t>
  </si>
  <si>
    <t>Đăng nhập phân quyền, CRUD, tìm kiếm/lọc, dashboard thống kê, import/export, báo cáo PDF/Excel, kiểm thử; nghiệp vụ trọng tâm: tìm kiếm và lọc nâng cao; AI/ML gợi ý: dự báo điểm.</t>
  </si>
  <si>
    <t>LV21-015</t>
  </si>
  <si>
    <t>Hệ thống quản lý phản hồi/đánh giá cho trung tâm ngoại ngữ</t>
  </si>
  <si>
    <t>Đăng nhập phân quyền, CRUD, tìm kiếm/lọc, dashboard thống kê, import/export, báo cáo PDF/Excel, kiểm thử; nghiệp vụ trọng tâm: quản lý phản hồi/đánh giá; AI/ML gợi ý: xếp lớp theo năng lực.</t>
  </si>
  <si>
    <t>LV21-016</t>
  </si>
  <si>
    <t>Hệ thống dashboard điều hành cho trung tâm ngoại ngữ</t>
  </si>
  <si>
    <t>Đăng nhập phân quyền, CRUD, tìm kiếm/lọc, dashboard thống kê, import/export, báo cáo PDF/Excel, kiểm thử; nghiệp vụ trọng tâm: dashboard điều hành; AI/ML gợi ý: nhắc đóng học phí.</t>
  </si>
  <si>
    <t>LV21-017</t>
  </si>
  <si>
    <t>Hệ thống quản lý đa chi nhánh cho trung tâm ngoại ngữ</t>
  </si>
  <si>
    <t>Đăng nhập phân quyền, CRUD, tìm kiếm/lọc, dashboard thống kê, import/export, báo cáo PDF/Excel, kiểm thử; nghiệp vụ trọng tâm: quản lý đa chi nhánh; AI/ML gợi ý: dự báo điểm.</t>
  </si>
  <si>
    <t>LV21-018</t>
  </si>
  <si>
    <t>Hệ thống hệ thống phân quyền vai trò cho trung tâm ngoại ngữ</t>
  </si>
  <si>
    <t>Đăng nhập phân quyền, CRUD, tìm kiếm/lọc, dashboard thống kê, import/export, báo cáo PDF/Excel, kiểm thử; nghiệp vụ trọng tâm: hệ thống phân quyền vai trò; AI/ML gợi ý: xếp lớp theo năng lực.</t>
  </si>
  <si>
    <t>LV21-019</t>
  </si>
  <si>
    <t>Hệ thống quản lý thông báo/nhắc lịch cho trung tâm ngoại ngữ</t>
  </si>
  <si>
    <t>Đăng nhập phân quyền, CRUD, tìm kiếm/lọc, dashboard thống kê, import/export, báo cáo PDF/Excel, kiểm thử; nghiệp vụ trọng tâm: quản lý thông báo/nhắc lịch; AI/ML gợi ý: nhắc đóng học phí.</t>
  </si>
  <si>
    <t>LV21-020</t>
  </si>
  <si>
    <t>Hệ thống quản lý dữ liệu và import/export cho trung tâm ngoại ngữ</t>
  </si>
  <si>
    <t>Đăng nhập phân quyền, CRUD, tìm kiếm/lọc, dashboard thống kê, import/export, báo cáo PDF/Excel, kiểm thử; nghiệp vụ trọng tâm: quản lý dữ liệu và import/export; AI/ML gợi ý: dự báo điểm.</t>
  </si>
  <si>
    <t>LV21-021</t>
  </si>
  <si>
    <t>Ứng dụng mobile app hỗ trợ quản lý tổng thể trong trung tâm ngoại ngữ</t>
  </si>
  <si>
    <t>LV21-022</t>
  </si>
  <si>
    <t>Ứng dụng desktop app hỗ trợ đặt lịch/đặt chỗ trong trung tâm ngoại ngữ</t>
  </si>
  <si>
    <t>LV21-023</t>
  </si>
  <si>
    <t>Ứng dụng web + mobile hỗ trợ bán hàng và thanh toán trong trung tâm ngoại ngữ</t>
  </si>
  <si>
    <t>LV21-024</t>
  </si>
  <si>
    <t>Ứng dụng web + desktop hỗ trợ quản lý khách hàng CRM trong trung tâm ngoại ngữ</t>
  </si>
  <si>
    <t>LV21-025</t>
  </si>
  <si>
    <t>Ứng dụng website hỗ trợ quản lý kho/tài sản trong trung tâm ngoại ngữ</t>
  </si>
  <si>
    <t>LV21-026</t>
  </si>
  <si>
    <t>Ứng dụng mobile app hỗ trợ quản lý nhân sự và ca làm trong trung tâm ngoại ngữ</t>
  </si>
  <si>
    <t>LV21-027</t>
  </si>
  <si>
    <t>Ứng dụng desktop app hỗ trợ quản lý hóa đơn/công nợ trong trung tâm ngoại ngữ</t>
  </si>
  <si>
    <t>LV21-028</t>
  </si>
  <si>
    <t>Ứng dụng web + mobile hỗ trợ báo cáo thống kê doanh thu trong trung tâm ngoại ngữ</t>
  </si>
  <si>
    <t>LV21-029</t>
  </si>
  <si>
    <t>Ứng dụng web + desktop hỗ trợ cổng chăm sóc khách hàng trong trung tâm ngoại ngữ</t>
  </si>
  <si>
    <t>LV21-030</t>
  </si>
  <si>
    <t>Ứng dụng website hỗ trợ ứng dụng loyalty/tích điểm trong trung tâm ngoại ngữ</t>
  </si>
  <si>
    <t>LV21-031</t>
  </si>
  <si>
    <t>Ứng dụng mobile app hỗ trợ quản lý quy trình nghiệp vụ trong trung tâm ngoại ngữ</t>
  </si>
  <si>
    <t>LV21-032</t>
  </si>
  <si>
    <t>Ứng dụng desktop app hỗ trợ theo dõi trạng thái thời gian thực trong trung tâm ngoại ngữ</t>
  </si>
  <si>
    <t>LV21-033</t>
  </si>
  <si>
    <t>Ứng dụng web + mobile hỗ trợ quản lý hợp đồng/hồ sơ trong trung tâm ngoại ngữ</t>
  </si>
  <si>
    <t>LV21-034</t>
  </si>
  <si>
    <t>Ứng dụng web + desktop hỗ trợ tìm kiếm và lọc nâng cao trong trung tâm ngoại ngữ</t>
  </si>
  <si>
    <t>LV21-035</t>
  </si>
  <si>
    <t>Ứng dụng website hỗ trợ quản lý phản hồi/đánh giá trong trung tâm ngoại ngữ</t>
  </si>
  <si>
    <t>LV21-036</t>
  </si>
  <si>
    <t>Ứng dụng mobile app hỗ trợ dashboard điều hành trong trung tâm ngoại ngữ</t>
  </si>
  <si>
    <t>LV21-037</t>
  </si>
  <si>
    <t>Ứng dụng desktop app hỗ trợ quản lý đa chi nhánh trong trung tâm ngoại ngữ</t>
  </si>
  <si>
    <t>LV21-038</t>
  </si>
  <si>
    <t>Ứng dụng web + mobile hỗ trợ hệ thống phân quyền vai trò trong trung tâm ngoại ngữ</t>
  </si>
  <si>
    <t>LV21-039</t>
  </si>
  <si>
    <t>Ứng dụng web + desktop hỗ trợ quản lý thông báo/nhắc lịch trong trung tâm ngoại ngữ</t>
  </si>
  <si>
    <t>LV21-040</t>
  </si>
  <si>
    <t>Ứng dụng website hỗ trợ quản lý dữ liệu và import/export trong trung tâm ngoại ngữ</t>
  </si>
  <si>
    <t>LV21-041</t>
  </si>
  <si>
    <t>Nền tảng quản lý tổng thể có phân quyền và báo cáo cho trung tâm ngoại ngữ</t>
  </si>
  <si>
    <t>LV21-042</t>
  </si>
  <si>
    <t>Nền tảng đặt lịch/đặt chỗ có phân quyền và báo cáo cho trung tâm ngoại ngữ</t>
  </si>
  <si>
    <t>LV21-043</t>
  </si>
  <si>
    <t>Nền tảng bán hàng và thanh toán có phân quyền và báo cáo cho trung tâm ngoại ngữ</t>
  </si>
  <si>
    <t>LV21-044</t>
  </si>
  <si>
    <t>Nền tảng quản lý khách hàng CRM có phân quyền và báo cáo cho trung tâm ngoại ngữ</t>
  </si>
  <si>
    <t>LV21-045</t>
  </si>
  <si>
    <t>Nền tảng quản lý kho/tài sản có phân quyền và báo cáo cho trung tâm ngoại ngữ</t>
  </si>
  <si>
    <t>LV21-046</t>
  </si>
  <si>
    <t>Nền tảng quản lý nhân sự và ca làm có phân quyền và báo cáo cho trung tâm ngoại ngữ</t>
  </si>
  <si>
    <t>LV21-047</t>
  </si>
  <si>
    <t>Nền tảng quản lý hóa đơn/công nợ có phân quyền và báo cáo cho trung tâm ngoại ngữ</t>
  </si>
  <si>
    <t>LV21-048</t>
  </si>
  <si>
    <t>Nền tảng báo cáo thống kê doanh thu có phân quyền và báo cáo cho trung tâm ngoại ngữ</t>
  </si>
  <si>
    <t>LV21-049</t>
  </si>
  <si>
    <t>Nền tảng cổng chăm sóc khách hàng có phân quyền và báo cáo cho trung tâm ngoại ngữ</t>
  </si>
  <si>
    <t>LV21-050</t>
  </si>
  <si>
    <t>Nền tảng ứng dụng loyalty/tích điểm có phân quyền và báo cáo cho trung tâm ngoại ngữ</t>
  </si>
  <si>
    <t>LV21-051</t>
  </si>
  <si>
    <t>Nền tảng quản lý quy trình nghiệp vụ có phân quyền và báo cáo cho trung tâm ngoại ngữ</t>
  </si>
  <si>
    <t>LV21-052</t>
  </si>
  <si>
    <t>Nền tảng theo dõi trạng thái thời gian thực có phân quyền và báo cáo cho trung tâm ngoại ngữ</t>
  </si>
  <si>
    <t>LV21-053</t>
  </si>
  <si>
    <t>Nền tảng quản lý hợp đồng/hồ sơ có phân quyền và báo cáo cho trung tâm ngoại ngữ</t>
  </si>
  <si>
    <t>LV21-054</t>
  </si>
  <si>
    <t>Nền tảng tìm kiếm và lọc nâng cao có phân quyền và báo cáo cho trung tâm ngoại ngữ</t>
  </si>
  <si>
    <t>LV21-055</t>
  </si>
  <si>
    <t>Nền tảng quản lý phản hồi/đánh giá có phân quyền và báo cáo cho trung tâm ngoại ngữ</t>
  </si>
  <si>
    <t>LV21-056</t>
  </si>
  <si>
    <t>Nền tảng dashboard điều hành có phân quyền và báo cáo cho trung tâm ngoại ngữ</t>
  </si>
  <si>
    <t>LV21-057</t>
  </si>
  <si>
    <t>Nền tảng quản lý đa chi nhánh có phân quyền và báo cáo cho trung tâm ngoại ngữ</t>
  </si>
  <si>
    <t>LV21-058</t>
  </si>
  <si>
    <t>Nền tảng hệ thống phân quyền vai trò có phân quyền và báo cáo cho trung tâm ngoại ngữ</t>
  </si>
  <si>
    <t>LV21-059</t>
  </si>
  <si>
    <t>Nền tảng quản lý thông báo/nhắc lịch có phân quyền và báo cáo cho trung tâm ngoại ngữ</t>
  </si>
  <si>
    <t>LV21-060</t>
  </si>
  <si>
    <t>Nền tảng quản lý dữ liệu và import/export có phân quyền và báo cáo cho trung tâm ngoại ngữ</t>
  </si>
  <si>
    <t>LV21-061</t>
  </si>
  <si>
    <t>Phần mềm quản lý tổng thể tích hợp dashboard dữ liệu cho trung tâm ngoại ngữ</t>
  </si>
  <si>
    <t>LV21-062</t>
  </si>
  <si>
    <t>Phần mềm đặt lịch/đặt chỗ tích hợp dashboard dữ liệu cho trung tâm ngoại ngữ</t>
  </si>
  <si>
    <t>LV21-063</t>
  </si>
  <si>
    <t>Phần mềm bán hàng và thanh toán tích hợp dashboard dữ liệu cho trung tâm ngoại ngữ</t>
  </si>
  <si>
    <t>LV21-064</t>
  </si>
  <si>
    <t>Phần mềm quản lý khách hàng CRM tích hợp dashboard dữ liệu cho trung tâm ngoại ngữ</t>
  </si>
  <si>
    <t>LV21-065</t>
  </si>
  <si>
    <t>Phần mềm quản lý kho/tài sản tích hợp dashboard dữ liệu cho trung tâm ngoại ngữ</t>
  </si>
  <si>
    <t>LV21-066</t>
  </si>
  <si>
    <t>Phần mềm quản lý nhân sự và ca làm tích hợp dashboard dữ liệu cho trung tâm ngoại ngữ</t>
  </si>
  <si>
    <t>LV21-067</t>
  </si>
  <si>
    <t>Phần mềm quản lý hóa đơn/công nợ tích hợp dashboard dữ liệu cho trung tâm ngoại ngữ</t>
  </si>
  <si>
    <t>LV21-068</t>
  </si>
  <si>
    <t>Phần mềm báo cáo thống kê doanh thu tích hợp dashboard dữ liệu cho trung tâm ngoại ngữ</t>
  </si>
  <si>
    <t>LV21-069</t>
  </si>
  <si>
    <t>Phần mềm cổng chăm sóc khách hàng tích hợp dashboard dữ liệu cho trung tâm ngoại ngữ</t>
  </si>
  <si>
    <t>LV21-070</t>
  </si>
  <si>
    <t>Phần mềm ứng dụng loyalty/tích điểm tích hợp dashboard dữ liệu cho trung tâm ngoại ngữ</t>
  </si>
  <si>
    <t>LV21-071</t>
  </si>
  <si>
    <t>Phần mềm quản lý quy trình nghiệp vụ tích hợp dashboard dữ liệu cho trung tâm ngoại ngữ</t>
  </si>
  <si>
    <t>LV21-072</t>
  </si>
  <si>
    <t>Phần mềm theo dõi trạng thái thời gian thực tích hợp dashboard dữ liệu cho trung tâm ngoại ngữ</t>
  </si>
  <si>
    <t>LV21-073</t>
  </si>
  <si>
    <t>Phần mềm quản lý hợp đồng/hồ sơ tích hợp dashboard dữ liệu cho trung tâm ngoại ngữ</t>
  </si>
  <si>
    <t>LV21-074</t>
  </si>
  <si>
    <t>Phần mềm tìm kiếm và lọc nâng cao tích hợp dashboard dữ liệu cho trung tâm ngoại ngữ</t>
  </si>
  <si>
    <t>LV21-075</t>
  </si>
  <si>
    <t>Phần mềm quản lý phản hồi/đánh giá tích hợp dashboard dữ liệu cho trung tâm ngoại ngữ</t>
  </si>
  <si>
    <t>LV21-076</t>
  </si>
  <si>
    <t>Phần mềm dashboard điều hành tích hợp dashboard dữ liệu cho trung tâm ngoại ngữ</t>
  </si>
  <si>
    <t>LV21-077</t>
  </si>
  <si>
    <t>Phần mềm quản lý đa chi nhánh tích hợp dashboard dữ liệu cho trung tâm ngoại ngữ</t>
  </si>
  <si>
    <t>LV21-078</t>
  </si>
  <si>
    <t>Phần mềm hệ thống phân quyền vai trò tích hợp dashboard dữ liệu cho trung tâm ngoại ngữ</t>
  </si>
  <si>
    <t>LV21-079</t>
  </si>
  <si>
    <t>Phần mềm quản lý thông báo/nhắc lịch tích hợp dashboard dữ liệu cho trung tâm ngoại ngữ</t>
  </si>
  <si>
    <t>LV21-080</t>
  </si>
  <si>
    <t>Phần mềm quản lý dữ liệu và import/export tích hợp dashboard dữ liệu cho trung tâm ngoại ngữ</t>
  </si>
  <si>
    <t>LV21-081</t>
  </si>
  <si>
    <t>Hệ thống quản lý tổng thể có gợi ý AI: nhắc đóng học phí cho trung tâm ngoại ngữ</t>
  </si>
  <si>
    <t>LV21-082</t>
  </si>
  <si>
    <t>Hệ thống đặt lịch/đặt chỗ có gợi ý AI: dự báo điểm cho trung tâm ngoại ngữ</t>
  </si>
  <si>
    <t>LV21-083</t>
  </si>
  <si>
    <t>Hệ thống bán hàng và thanh toán có gợi ý AI: xếp lớp theo năng lực cho trung tâm ngoại ngữ</t>
  </si>
  <si>
    <t>LV21-084</t>
  </si>
  <si>
    <t>Hệ thống quản lý khách hàng CRM có gợi ý AI: nhắc đóng học phí cho trung tâm ngoại ngữ</t>
  </si>
  <si>
    <t>LV21-085</t>
  </si>
  <si>
    <t>Hệ thống quản lý kho/tài sản có gợi ý AI: dự báo điểm cho trung tâm ngoại ngữ</t>
  </si>
  <si>
    <t>LV21-086</t>
  </si>
  <si>
    <t>Hệ thống quản lý nhân sự và ca làm có gợi ý AI: xếp lớp theo năng lực cho trung tâm ngoại ngữ</t>
  </si>
  <si>
    <t>LV21-087</t>
  </si>
  <si>
    <t>Hệ thống quản lý hóa đơn/công nợ có gợi ý AI: nhắc đóng học phí cho trung tâm ngoại ngữ</t>
  </si>
  <si>
    <t>LV21-088</t>
  </si>
  <si>
    <t>Hệ thống báo cáo thống kê doanh thu có gợi ý AI: dự báo điểm cho trung tâm ngoại ngữ</t>
  </si>
  <si>
    <t>LV21-089</t>
  </si>
  <si>
    <t>Hệ thống cổng chăm sóc khách hàng có gợi ý AI: xếp lớp theo năng lực cho trung tâm ngoại ngữ</t>
  </si>
  <si>
    <t>LV21-090</t>
  </si>
  <si>
    <t>Hệ thống ứng dụng loyalty/tích điểm có gợi ý AI: nhắc đóng học phí cho trung tâm ngoại ngữ</t>
  </si>
  <si>
    <t>LV21-091</t>
  </si>
  <si>
    <t>Hệ thống quản lý quy trình nghiệp vụ có gợi ý AI: dự báo điểm cho trung tâm ngoại ngữ</t>
  </si>
  <si>
    <t>LV21-092</t>
  </si>
  <si>
    <t>Hệ thống theo dõi trạng thái thời gian thực có gợi ý AI: xếp lớp theo năng lực cho trung tâm ngoại ngữ</t>
  </si>
  <si>
    <t>LV21-093</t>
  </si>
  <si>
    <t>Hệ thống quản lý hợp đồng/hồ sơ có gợi ý AI: nhắc đóng học phí cho trung tâm ngoại ngữ</t>
  </si>
  <si>
    <t>LV21-094</t>
  </si>
  <si>
    <t>Hệ thống tìm kiếm và lọc nâng cao có gợi ý AI: dự báo điểm cho trung tâm ngoại ngữ</t>
  </si>
  <si>
    <t>LV21-095</t>
  </si>
  <si>
    <t>Hệ thống quản lý phản hồi/đánh giá có gợi ý AI: xếp lớp theo năng lực cho trung tâm ngoại ngữ</t>
  </si>
  <si>
    <t>LV21-096</t>
  </si>
  <si>
    <t>Hệ thống dashboard điều hành có gợi ý AI: nhắc đóng học phí cho trung tâm ngoại ngữ</t>
  </si>
  <si>
    <t>LV21-097</t>
  </si>
  <si>
    <t>Hệ thống quản lý đa chi nhánh có gợi ý AI: dự báo điểm cho trung tâm ngoại ngữ</t>
  </si>
  <si>
    <t>LV21-098</t>
  </si>
  <si>
    <t>Hệ thống hệ thống phân quyền vai trò có gợi ý AI: xếp lớp theo năng lực cho trung tâm ngoại ngữ</t>
  </si>
  <si>
    <t>LV21-099</t>
  </si>
  <si>
    <t>Hệ thống quản lý thông báo/nhắc lịch có gợi ý AI: nhắc đóng học phí cho trung tâm ngoại ngữ</t>
  </si>
  <si>
    <t>LV21-100</t>
  </si>
  <si>
    <t>Hệ thống quản lý dữ liệu và import/export có gợi ý AI: dự báo điểm cho trung tâm ngoại ngữ</t>
  </si>
  <si>
    <t>Trường học</t>
  </si>
  <si>
    <t>LV22-001</t>
  </si>
  <si>
    <t>Hệ thống quản lý tổng thể cho trường học</t>
  </si>
  <si>
    <t>Đồ án 8 tuần cho nhóm 5 SV: xây dựng Desktop App phục vụ trường học; quản lý các thực thể chính: học sinh, giáo viên, lớp, điểm, hạnh kiểm; có CSDL, API, giao diện người dùng, báo cáo và kiểm thử.</t>
  </si>
  <si>
    <t>Đăng nhập phân quyền, CRUD, tìm kiếm/lọc, dashboard thống kê, import/export, báo cáo PDF/Excel, kiểm thử; nghiệp vụ trọng tâm: quản lý tổng thể; AI/ML gợi ý: phân tích kết quả học tập.</t>
  </si>
  <si>
    <t>phân tích kết quả học tập</t>
  </si>
  <si>
    <t>LV22-002</t>
  </si>
  <si>
    <t>Hệ thống đặt lịch/đặt chỗ cho trường học</t>
  </si>
  <si>
    <t>Đồ án 8 tuần cho nhóm 5 SV: xây dựng Web + Mobile phục vụ trường học; quản lý các thực thể chính: học sinh, giáo viên, lớp, điểm, hạnh kiểm; có CSDL, API, giao diện người dùng, báo cáo và kiểm thử.</t>
  </si>
  <si>
    <t>Đăng nhập phân quyền, CRUD, tìm kiếm/lọc, dashboard thống kê, import/export, báo cáo PDF/Excel, kiểm thử; nghiệp vụ trọng tâm: đặt lịch/đặt chỗ; AI/ML gợi ý: gợi ý phụ đạo.</t>
  </si>
  <si>
    <t>gợi ý phụ đạo</t>
  </si>
  <si>
    <t>LV22-003</t>
  </si>
  <si>
    <t>Hệ thống bán hàng và thanh toán cho trường học</t>
  </si>
  <si>
    <t>Đồ án 8 tuần cho nhóm 5 SV: xây dựng Web + Desktop phục vụ trường học; quản lý các thực thể chính: học sinh, giáo viên, lớp, điểm, hạnh kiểm; có CSDL, API, giao diện người dùng, báo cáo và kiểm thử.</t>
  </si>
  <si>
    <t>Đăng nhập phân quyền, CRUD, tìm kiếm/lọc, dashboard thống kê, import/export, báo cáo PDF/Excel, kiểm thử; nghiệp vụ trọng tâm: bán hàng và thanh toán; AI/ML gợi ý: cảnh báo nghỉ học.</t>
  </si>
  <si>
    <t>cảnh báo nghỉ học</t>
  </si>
  <si>
    <t>LV22-004</t>
  </si>
  <si>
    <t>Hệ thống quản lý khách hàng CRM cho trường học</t>
  </si>
  <si>
    <t>Đồ án 8 tuần cho nhóm 5 SV: xây dựng Website phục vụ trường học; quản lý các thực thể chính: học sinh, giáo viên, lớp, điểm, hạnh kiểm; có CSDL, API, giao diện người dùng, báo cáo và kiểm thử.</t>
  </si>
  <si>
    <t>Đăng nhập phân quyền, CRUD, tìm kiếm/lọc, dashboard thống kê, import/export, báo cáo PDF/Excel, kiểm thử; nghiệp vụ trọng tâm: quản lý khách hàng CRM; AI/ML gợi ý: phân tích kết quả học tập.</t>
  </si>
  <si>
    <t>LV22-005</t>
  </si>
  <si>
    <t>Hệ thống quản lý kho/tài sản cho trường học</t>
  </si>
  <si>
    <t>Đồ án 8 tuần cho nhóm 5 SV: xây dựng Mobile App phục vụ trường học; quản lý các thực thể chính: học sinh, giáo viên, lớp, điểm, hạnh kiểm; có CSDL, API, giao diện người dùng, báo cáo và kiểm thử.</t>
  </si>
  <si>
    <t>Đăng nhập phân quyền, CRUD, tìm kiếm/lọc, dashboard thống kê, import/export, báo cáo PDF/Excel, kiểm thử; nghiệp vụ trọng tâm: quản lý kho/tài sản; AI/ML gợi ý: gợi ý phụ đạo.</t>
  </si>
  <si>
    <t>LV22-006</t>
  </si>
  <si>
    <t>Hệ thống quản lý nhân sự và ca làm cho trường học</t>
  </si>
  <si>
    <t>Đăng nhập phân quyền, CRUD, tìm kiếm/lọc, dashboard thống kê, import/export, báo cáo PDF/Excel, kiểm thử; nghiệp vụ trọng tâm: quản lý nhân sự và ca làm; AI/ML gợi ý: cảnh báo nghỉ học.</t>
  </si>
  <si>
    <t>LV22-007</t>
  </si>
  <si>
    <t>Hệ thống quản lý hóa đơn/công nợ cho trường học</t>
  </si>
  <si>
    <t>Đăng nhập phân quyền, CRUD, tìm kiếm/lọc, dashboard thống kê, import/export, báo cáo PDF/Excel, kiểm thử; nghiệp vụ trọng tâm: quản lý hóa đơn/công nợ; AI/ML gợi ý: phân tích kết quả học tập.</t>
  </si>
  <si>
    <t>LV22-008</t>
  </si>
  <si>
    <t>Hệ thống báo cáo thống kê doanh thu cho trường học</t>
  </si>
  <si>
    <t>Đăng nhập phân quyền, CRUD, tìm kiếm/lọc, dashboard thống kê, import/export, báo cáo PDF/Excel, kiểm thử; nghiệp vụ trọng tâm: báo cáo thống kê doanh thu; AI/ML gợi ý: gợi ý phụ đạo.</t>
  </si>
  <si>
    <t>LV22-009</t>
  </si>
  <si>
    <t>Hệ thống cổng chăm sóc khách hàng cho trường học</t>
  </si>
  <si>
    <t>Đăng nhập phân quyền, CRUD, tìm kiếm/lọc, dashboard thống kê, import/export, báo cáo PDF/Excel, kiểm thử; nghiệp vụ trọng tâm: cổng chăm sóc khách hàng; AI/ML gợi ý: cảnh báo nghỉ học.</t>
  </si>
  <si>
    <t>LV22-010</t>
  </si>
  <si>
    <t>Hệ thống ứng dụng loyalty/tích điểm cho trường học</t>
  </si>
  <si>
    <t>Đăng nhập phân quyền, CRUD, tìm kiếm/lọc, dashboard thống kê, import/export, báo cáo PDF/Excel, kiểm thử; nghiệp vụ trọng tâm: ứng dụng loyalty/tích điểm; AI/ML gợi ý: phân tích kết quả học tập.</t>
  </si>
  <si>
    <t>LV22-011</t>
  </si>
  <si>
    <t>Hệ thống quản lý quy trình nghiệp vụ cho trường học</t>
  </si>
  <si>
    <t>Đăng nhập phân quyền, CRUD, tìm kiếm/lọc, dashboard thống kê, import/export, báo cáo PDF/Excel, kiểm thử; nghiệp vụ trọng tâm: quản lý quy trình nghiệp vụ; AI/ML gợi ý: gợi ý phụ đạo.</t>
  </si>
  <si>
    <t>LV22-012</t>
  </si>
  <si>
    <t>Hệ thống theo dõi trạng thái thời gian thực cho trường học</t>
  </si>
  <si>
    <t>Đăng nhập phân quyền, CRUD, tìm kiếm/lọc, dashboard thống kê, import/export, báo cáo PDF/Excel, kiểm thử; nghiệp vụ trọng tâm: theo dõi trạng thái thời gian thực; AI/ML gợi ý: cảnh báo nghỉ học.</t>
  </si>
  <si>
    <t>LV22-013</t>
  </si>
  <si>
    <t>Hệ thống quản lý hợp đồng/hồ sơ cho trường học</t>
  </si>
  <si>
    <t>Đăng nhập phân quyền, CRUD, tìm kiếm/lọc, dashboard thống kê, import/export, báo cáo PDF/Excel, kiểm thử; nghiệp vụ trọng tâm: quản lý hợp đồng/hồ sơ; AI/ML gợi ý: phân tích kết quả học tập.</t>
  </si>
  <si>
    <t>LV22-014</t>
  </si>
  <si>
    <t>Hệ thống tìm kiếm và lọc nâng cao cho trường học</t>
  </si>
  <si>
    <t>Đăng nhập phân quyền, CRUD, tìm kiếm/lọc, dashboard thống kê, import/export, báo cáo PDF/Excel, kiểm thử; nghiệp vụ trọng tâm: tìm kiếm và lọc nâng cao; AI/ML gợi ý: gợi ý phụ đạo.</t>
  </si>
  <si>
    <t>LV22-015</t>
  </si>
  <si>
    <t>Hệ thống quản lý phản hồi/đánh giá cho trường học</t>
  </si>
  <si>
    <t>Đăng nhập phân quyền, CRUD, tìm kiếm/lọc, dashboard thống kê, import/export, báo cáo PDF/Excel, kiểm thử; nghiệp vụ trọng tâm: quản lý phản hồi/đánh giá; AI/ML gợi ý: cảnh báo nghỉ học.</t>
  </si>
  <si>
    <t>LV22-016</t>
  </si>
  <si>
    <t>Hệ thống dashboard điều hành cho trường học</t>
  </si>
  <si>
    <t>Đăng nhập phân quyền, CRUD, tìm kiếm/lọc, dashboard thống kê, import/export, báo cáo PDF/Excel, kiểm thử; nghiệp vụ trọng tâm: dashboard điều hành; AI/ML gợi ý: phân tích kết quả học tập.</t>
  </si>
  <si>
    <t>LV22-017</t>
  </si>
  <si>
    <t>Hệ thống quản lý đa chi nhánh cho trường học</t>
  </si>
  <si>
    <t>Đăng nhập phân quyền, CRUD, tìm kiếm/lọc, dashboard thống kê, import/export, báo cáo PDF/Excel, kiểm thử; nghiệp vụ trọng tâm: quản lý đa chi nhánh; AI/ML gợi ý: gợi ý phụ đạo.</t>
  </si>
  <si>
    <t>LV22-018</t>
  </si>
  <si>
    <t>Hệ thống hệ thống phân quyền vai trò cho trường học</t>
  </si>
  <si>
    <t>Đăng nhập phân quyền, CRUD, tìm kiếm/lọc, dashboard thống kê, import/export, báo cáo PDF/Excel, kiểm thử; nghiệp vụ trọng tâm: hệ thống phân quyền vai trò; AI/ML gợi ý: cảnh báo nghỉ học.</t>
  </si>
  <si>
    <t>LV22-019</t>
  </si>
  <si>
    <t>Hệ thống quản lý thông báo/nhắc lịch cho trường học</t>
  </si>
  <si>
    <t>Đăng nhập phân quyền, CRUD, tìm kiếm/lọc, dashboard thống kê, import/export, báo cáo PDF/Excel, kiểm thử; nghiệp vụ trọng tâm: quản lý thông báo/nhắc lịch; AI/ML gợi ý: phân tích kết quả học tập.</t>
  </si>
  <si>
    <t>LV22-020</t>
  </si>
  <si>
    <t>Hệ thống quản lý dữ liệu và import/export cho trường học</t>
  </si>
  <si>
    <t>Đăng nhập phân quyền, CRUD, tìm kiếm/lọc, dashboard thống kê, import/export, báo cáo PDF/Excel, kiểm thử; nghiệp vụ trọng tâm: quản lý dữ liệu và import/export; AI/ML gợi ý: gợi ý phụ đạo.</t>
  </si>
  <si>
    <t>LV22-021</t>
  </si>
  <si>
    <t>Ứng dụng desktop app hỗ trợ quản lý tổng thể trong trường học</t>
  </si>
  <si>
    <t>LV22-022</t>
  </si>
  <si>
    <t>Ứng dụng web + mobile hỗ trợ đặt lịch/đặt chỗ trong trường học</t>
  </si>
  <si>
    <t>LV22-023</t>
  </si>
  <si>
    <t>Ứng dụng web + desktop hỗ trợ bán hàng và thanh toán trong trường học</t>
  </si>
  <si>
    <t>LV22-024</t>
  </si>
  <si>
    <t>Ứng dụng website hỗ trợ quản lý khách hàng CRM trong trường học</t>
  </si>
  <si>
    <t>LV22-025</t>
  </si>
  <si>
    <t>Ứng dụng mobile app hỗ trợ quản lý kho/tài sản trong trường học</t>
  </si>
  <si>
    <t>LV22-026</t>
  </si>
  <si>
    <t>Ứng dụng desktop app hỗ trợ quản lý nhân sự và ca làm trong trường học</t>
  </si>
  <si>
    <t>LV22-027</t>
  </si>
  <si>
    <t>Ứng dụng web + mobile hỗ trợ quản lý hóa đơn/công nợ trong trường học</t>
  </si>
  <si>
    <t>LV22-028</t>
  </si>
  <si>
    <t>Ứng dụng web + desktop hỗ trợ báo cáo thống kê doanh thu trong trường học</t>
  </si>
  <si>
    <t>LV22-029</t>
  </si>
  <si>
    <t>Ứng dụng website hỗ trợ cổng chăm sóc khách hàng trong trường học</t>
  </si>
  <si>
    <t>LV22-030</t>
  </si>
  <si>
    <t>Ứng dụng mobile app hỗ trợ ứng dụng loyalty/tích điểm trong trường học</t>
  </si>
  <si>
    <t>LV22-031</t>
  </si>
  <si>
    <t>Ứng dụng desktop app hỗ trợ quản lý quy trình nghiệp vụ trong trường học</t>
  </si>
  <si>
    <t>LV22-032</t>
  </si>
  <si>
    <t>Ứng dụng web + mobile hỗ trợ theo dõi trạng thái thời gian thực trong trường học</t>
  </si>
  <si>
    <t>LV22-033</t>
  </si>
  <si>
    <t>Ứng dụng web + desktop hỗ trợ quản lý hợp đồng/hồ sơ trong trường học</t>
  </si>
  <si>
    <t>LV22-034</t>
  </si>
  <si>
    <t>Ứng dụng website hỗ trợ tìm kiếm và lọc nâng cao trong trường học</t>
  </si>
  <si>
    <t>LV22-035</t>
  </si>
  <si>
    <t>Ứng dụng mobile app hỗ trợ quản lý phản hồi/đánh giá trong trường học</t>
  </si>
  <si>
    <t>LV22-036</t>
  </si>
  <si>
    <t>Ứng dụng desktop app hỗ trợ dashboard điều hành trong trường học</t>
  </si>
  <si>
    <t>LV22-037</t>
  </si>
  <si>
    <t>Ứng dụng web + mobile hỗ trợ quản lý đa chi nhánh trong trường học</t>
  </si>
  <si>
    <t>LV22-038</t>
  </si>
  <si>
    <t>Ứng dụng web + desktop hỗ trợ hệ thống phân quyền vai trò trong trường học</t>
  </si>
  <si>
    <t>LV22-039</t>
  </si>
  <si>
    <t>Ứng dụng website hỗ trợ quản lý thông báo/nhắc lịch trong trường học</t>
  </si>
  <si>
    <t>LV22-040</t>
  </si>
  <si>
    <t>Ứng dụng mobile app hỗ trợ quản lý dữ liệu và import/export trong trường học</t>
  </si>
  <si>
    <t>LV22-041</t>
  </si>
  <si>
    <t>Nền tảng quản lý tổng thể có phân quyền và báo cáo cho trường học</t>
  </si>
  <si>
    <t>LV22-042</t>
  </si>
  <si>
    <t>Nền tảng đặt lịch/đặt chỗ có phân quyền và báo cáo cho trường học</t>
  </si>
  <si>
    <t>LV22-043</t>
  </si>
  <si>
    <t>Nền tảng bán hàng và thanh toán có phân quyền và báo cáo cho trường học</t>
  </si>
  <si>
    <t>LV22-044</t>
  </si>
  <si>
    <t>Nền tảng quản lý khách hàng CRM có phân quyền và báo cáo cho trường học</t>
  </si>
  <si>
    <t>LV22-045</t>
  </si>
  <si>
    <t>Nền tảng quản lý kho/tài sản có phân quyền và báo cáo cho trường học</t>
  </si>
  <si>
    <t>LV22-046</t>
  </si>
  <si>
    <t>Nền tảng quản lý nhân sự và ca làm có phân quyền và báo cáo cho trường học</t>
  </si>
  <si>
    <t>LV22-047</t>
  </si>
  <si>
    <t>Nền tảng quản lý hóa đơn/công nợ có phân quyền và báo cáo cho trường học</t>
  </si>
  <si>
    <t>LV22-048</t>
  </si>
  <si>
    <t>Nền tảng báo cáo thống kê doanh thu có phân quyền và báo cáo cho trường học</t>
  </si>
  <si>
    <t>LV22-049</t>
  </si>
  <si>
    <t>Nền tảng cổng chăm sóc khách hàng có phân quyền và báo cáo cho trường học</t>
  </si>
  <si>
    <t>LV22-050</t>
  </si>
  <si>
    <t>Nền tảng ứng dụng loyalty/tích điểm có phân quyền và báo cáo cho trường học</t>
  </si>
  <si>
    <t>LV22-051</t>
  </si>
  <si>
    <t>Nền tảng quản lý quy trình nghiệp vụ có phân quyền và báo cáo cho trường học</t>
  </si>
  <si>
    <t>LV22-052</t>
  </si>
  <si>
    <t>Nền tảng theo dõi trạng thái thời gian thực có phân quyền và báo cáo cho trường học</t>
  </si>
  <si>
    <t>LV22-053</t>
  </si>
  <si>
    <t>Nền tảng quản lý hợp đồng/hồ sơ có phân quyền và báo cáo cho trường học</t>
  </si>
  <si>
    <t>LV22-054</t>
  </si>
  <si>
    <t>Nền tảng tìm kiếm và lọc nâng cao có phân quyền và báo cáo cho trường học</t>
  </si>
  <si>
    <t>LV22-055</t>
  </si>
  <si>
    <t>Nền tảng quản lý phản hồi/đánh giá có phân quyền và báo cáo cho trường học</t>
  </si>
  <si>
    <t>LV22-056</t>
  </si>
  <si>
    <t>Nền tảng dashboard điều hành có phân quyền và báo cáo cho trường học</t>
  </si>
  <si>
    <t>LV22-057</t>
  </si>
  <si>
    <t>Nền tảng quản lý đa chi nhánh có phân quyền và báo cáo cho trường học</t>
  </si>
  <si>
    <t>LV22-058</t>
  </si>
  <si>
    <t>Nền tảng hệ thống phân quyền vai trò có phân quyền và báo cáo cho trường học</t>
  </si>
  <si>
    <t>LV22-059</t>
  </si>
  <si>
    <t>Nền tảng quản lý thông báo/nhắc lịch có phân quyền và báo cáo cho trường học</t>
  </si>
  <si>
    <t>LV22-060</t>
  </si>
  <si>
    <t>Nền tảng quản lý dữ liệu và import/export có phân quyền và báo cáo cho trường học</t>
  </si>
  <si>
    <t>LV22-061</t>
  </si>
  <si>
    <t>Phần mềm quản lý tổng thể tích hợp dashboard dữ liệu cho trường học</t>
  </si>
  <si>
    <t>LV22-062</t>
  </si>
  <si>
    <t>Phần mềm đặt lịch/đặt chỗ tích hợp dashboard dữ liệu cho trường học</t>
  </si>
  <si>
    <t>LV22-063</t>
  </si>
  <si>
    <t>Phần mềm bán hàng và thanh toán tích hợp dashboard dữ liệu cho trường học</t>
  </si>
  <si>
    <t>LV22-064</t>
  </si>
  <si>
    <t>Phần mềm quản lý khách hàng CRM tích hợp dashboard dữ liệu cho trường học</t>
  </si>
  <si>
    <t>LV22-065</t>
  </si>
  <si>
    <t>Phần mềm quản lý kho/tài sản tích hợp dashboard dữ liệu cho trường học</t>
  </si>
  <si>
    <t>LV22-066</t>
  </si>
  <si>
    <t>Phần mềm quản lý nhân sự và ca làm tích hợp dashboard dữ liệu cho trường học</t>
  </si>
  <si>
    <t>LV22-067</t>
  </si>
  <si>
    <t>Phần mềm quản lý hóa đơn/công nợ tích hợp dashboard dữ liệu cho trường học</t>
  </si>
  <si>
    <t>LV22-068</t>
  </si>
  <si>
    <t>Phần mềm báo cáo thống kê doanh thu tích hợp dashboard dữ liệu cho trường học</t>
  </si>
  <si>
    <t>LV22-069</t>
  </si>
  <si>
    <t>Phần mềm cổng chăm sóc khách hàng tích hợp dashboard dữ liệu cho trường học</t>
  </si>
  <si>
    <t>LV22-070</t>
  </si>
  <si>
    <t>Phần mềm ứng dụng loyalty/tích điểm tích hợp dashboard dữ liệu cho trường học</t>
  </si>
  <si>
    <t>LV22-071</t>
  </si>
  <si>
    <t>Phần mềm quản lý quy trình nghiệp vụ tích hợp dashboard dữ liệu cho trường học</t>
  </si>
  <si>
    <t>LV22-072</t>
  </si>
  <si>
    <t>Phần mềm theo dõi trạng thái thời gian thực tích hợp dashboard dữ liệu cho trường học</t>
  </si>
  <si>
    <t>LV22-073</t>
  </si>
  <si>
    <t>Phần mềm quản lý hợp đồng/hồ sơ tích hợp dashboard dữ liệu cho trường học</t>
  </si>
  <si>
    <t>LV22-074</t>
  </si>
  <si>
    <t>Phần mềm tìm kiếm và lọc nâng cao tích hợp dashboard dữ liệu cho trường học</t>
  </si>
  <si>
    <t>LV22-075</t>
  </si>
  <si>
    <t>Phần mềm quản lý phản hồi/đánh giá tích hợp dashboard dữ liệu cho trường học</t>
  </si>
  <si>
    <t>LV22-076</t>
  </si>
  <si>
    <t>Phần mềm dashboard điều hành tích hợp dashboard dữ liệu cho trường học</t>
  </si>
  <si>
    <t>LV22-077</t>
  </si>
  <si>
    <t>Phần mềm quản lý đa chi nhánh tích hợp dashboard dữ liệu cho trường học</t>
  </si>
  <si>
    <t>LV22-078</t>
  </si>
  <si>
    <t>Phần mềm hệ thống phân quyền vai trò tích hợp dashboard dữ liệu cho trường học</t>
  </si>
  <si>
    <t>LV22-079</t>
  </si>
  <si>
    <t>Phần mềm quản lý thông báo/nhắc lịch tích hợp dashboard dữ liệu cho trường học</t>
  </si>
  <si>
    <t>LV22-080</t>
  </si>
  <si>
    <t>Phần mềm quản lý dữ liệu và import/export tích hợp dashboard dữ liệu cho trường học</t>
  </si>
  <si>
    <t>LV22-081</t>
  </si>
  <si>
    <t>Hệ thống quản lý tổng thể có gợi ý AI: phân tích kết quả học tập cho trường học</t>
  </si>
  <si>
    <t>LV22-082</t>
  </si>
  <si>
    <t>Hệ thống đặt lịch/đặt chỗ có gợi ý AI: gợi ý phụ đạo cho trường học</t>
  </si>
  <si>
    <t>LV22-083</t>
  </si>
  <si>
    <t>Hệ thống bán hàng và thanh toán có gợi ý AI: cảnh báo nghỉ học cho trường học</t>
  </si>
  <si>
    <t>LV22-084</t>
  </si>
  <si>
    <t>Hệ thống quản lý khách hàng CRM có gợi ý AI: phân tích kết quả học tập cho trường học</t>
  </si>
  <si>
    <t>LV22-085</t>
  </si>
  <si>
    <t>Hệ thống quản lý kho/tài sản có gợi ý AI: gợi ý phụ đạo cho trường học</t>
  </si>
  <si>
    <t>LV22-086</t>
  </si>
  <si>
    <t>Hệ thống quản lý nhân sự và ca làm có gợi ý AI: cảnh báo nghỉ học cho trường học</t>
  </si>
  <si>
    <t>LV22-087</t>
  </si>
  <si>
    <t>Hệ thống quản lý hóa đơn/công nợ có gợi ý AI: phân tích kết quả học tập cho trường học</t>
  </si>
  <si>
    <t>LV22-088</t>
  </si>
  <si>
    <t>Hệ thống báo cáo thống kê doanh thu có gợi ý AI: gợi ý phụ đạo cho trường học</t>
  </si>
  <si>
    <t>LV22-089</t>
  </si>
  <si>
    <t>Hệ thống cổng chăm sóc khách hàng có gợi ý AI: cảnh báo nghỉ học cho trường học</t>
  </si>
  <si>
    <t>LV22-090</t>
  </si>
  <si>
    <t>Hệ thống ứng dụng loyalty/tích điểm có gợi ý AI: phân tích kết quả học tập cho trường học</t>
  </si>
  <si>
    <t>LV22-091</t>
  </si>
  <si>
    <t>Hệ thống quản lý quy trình nghiệp vụ có gợi ý AI: gợi ý phụ đạo cho trường học</t>
  </si>
  <si>
    <t>LV22-092</t>
  </si>
  <si>
    <t>Hệ thống theo dõi trạng thái thời gian thực có gợi ý AI: cảnh báo nghỉ học cho trường học</t>
  </si>
  <si>
    <t>LV22-093</t>
  </si>
  <si>
    <t>Hệ thống quản lý hợp đồng/hồ sơ có gợi ý AI: phân tích kết quả học tập cho trường học</t>
  </si>
  <si>
    <t>LV22-094</t>
  </si>
  <si>
    <t>Hệ thống tìm kiếm và lọc nâng cao có gợi ý AI: gợi ý phụ đạo cho trường học</t>
  </si>
  <si>
    <t>LV22-095</t>
  </si>
  <si>
    <t>Hệ thống quản lý phản hồi/đánh giá có gợi ý AI: cảnh báo nghỉ học cho trường học</t>
  </si>
  <si>
    <t>LV22-096</t>
  </si>
  <si>
    <t>Hệ thống dashboard điều hành có gợi ý AI: phân tích kết quả học tập cho trường học</t>
  </si>
  <si>
    <t>LV22-097</t>
  </si>
  <si>
    <t>Hệ thống quản lý đa chi nhánh có gợi ý AI: gợi ý phụ đạo cho trường học</t>
  </si>
  <si>
    <t>LV22-098</t>
  </si>
  <si>
    <t>Hệ thống hệ thống phân quyền vai trò có gợi ý AI: cảnh báo nghỉ học cho trường học</t>
  </si>
  <si>
    <t>LV22-099</t>
  </si>
  <si>
    <t>Hệ thống quản lý thông báo/nhắc lịch có gợi ý AI: phân tích kết quả học tập cho trường học</t>
  </si>
  <si>
    <t>LV22-100</t>
  </si>
  <si>
    <t>Hệ thống quản lý dữ liệu và import/export có gợi ý AI: gợi ý phụ đạo cho trường học</t>
  </si>
  <si>
    <t>Thư viện</t>
  </si>
  <si>
    <t>LV23-001</t>
  </si>
  <si>
    <t>Hệ thống quản lý tổng thể cho thư viện</t>
  </si>
  <si>
    <t>Đồ án 8 tuần cho nhóm 5 SV: xây dựng Web + Mobile phục vụ thư viện; quản lý các thực thể chính: sách, độc giả, mượn trả, phạt trễ hạn; có CSDL, API, giao diện người dùng, báo cáo và kiểm thử.</t>
  </si>
  <si>
    <t>Đăng nhập phân quyền, CRUD, tìm kiếm/lọc, dashboard thống kê, import/export, báo cáo PDF/Excel, kiểm thử; nghiệp vụ trọng tâm: quản lý tổng thể; AI/ML gợi ý: dự báo sách hot.</t>
  </si>
  <si>
    <t>dự báo sách hot</t>
  </si>
  <si>
    <t>LV23-002</t>
  </si>
  <si>
    <t>Hệ thống đặt lịch/đặt chỗ cho thư viện</t>
  </si>
  <si>
    <t>Đồ án 8 tuần cho nhóm 5 SV: xây dựng Web + Desktop phục vụ thư viện; quản lý các thực thể chính: sách, độc giả, mượn trả, phạt trễ hạn; có CSDL, API, giao diện người dùng, báo cáo và kiểm thử.</t>
  </si>
  <si>
    <t>Đăng nhập phân quyền, CRUD, tìm kiếm/lọc, dashboard thống kê, import/export, báo cáo PDF/Excel, kiểm thử; nghiệp vụ trọng tâm: đặt lịch/đặt chỗ; AI/ML gợi ý: phát hiện trễ hạn.</t>
  </si>
  <si>
    <t>phát hiện trễ hạn</t>
  </si>
  <si>
    <t>LV23-003</t>
  </si>
  <si>
    <t>Hệ thống bán hàng và thanh toán cho thư viện</t>
  </si>
  <si>
    <t>Đồ án 8 tuần cho nhóm 5 SV: xây dựng Website phục vụ thư viện; quản lý các thực thể chính: sách, độc giả, mượn trả, phạt trễ hạn; có CSDL, API, giao diện người dùng, báo cáo và kiểm thử.</t>
  </si>
  <si>
    <t>Đăng nhập phân quyền, CRUD, tìm kiếm/lọc, dashboard thống kê, import/export, báo cáo PDF/Excel, kiểm thử; nghiệp vụ trọng tâm: bán hàng và thanh toán; AI/ML gợi ý: gợi ý sách.</t>
  </si>
  <si>
    <t>gợi ý sách</t>
  </si>
  <si>
    <t>LV23-004</t>
  </si>
  <si>
    <t>Hệ thống quản lý khách hàng CRM cho thư viện</t>
  </si>
  <si>
    <t>Đồ án 8 tuần cho nhóm 5 SV: xây dựng Mobile App phục vụ thư viện; quản lý các thực thể chính: sách, độc giả, mượn trả, phạt trễ hạn; có CSDL, API, giao diện người dùng, báo cáo và kiểm thử.</t>
  </si>
  <si>
    <t>Đăng nhập phân quyền, CRUD, tìm kiếm/lọc, dashboard thống kê, import/export, báo cáo PDF/Excel, kiểm thử; nghiệp vụ trọng tâm: quản lý khách hàng CRM; AI/ML gợi ý: dự báo sách hot.</t>
  </si>
  <si>
    <t>LV23-005</t>
  </si>
  <si>
    <t>Hệ thống quản lý kho/tài sản cho thư viện</t>
  </si>
  <si>
    <t>Đồ án 8 tuần cho nhóm 5 SV: xây dựng Desktop App phục vụ thư viện; quản lý các thực thể chính: sách, độc giả, mượn trả, phạt trễ hạn; có CSDL, API, giao diện người dùng, báo cáo và kiểm thử.</t>
  </si>
  <si>
    <t>Đăng nhập phân quyền, CRUD, tìm kiếm/lọc, dashboard thống kê, import/export, báo cáo PDF/Excel, kiểm thử; nghiệp vụ trọng tâm: quản lý kho/tài sản; AI/ML gợi ý: phát hiện trễ hạn.</t>
  </si>
  <si>
    <t>LV23-006</t>
  </si>
  <si>
    <t>Hệ thống quản lý nhân sự và ca làm cho thư viện</t>
  </si>
  <si>
    <t>Đăng nhập phân quyền, CRUD, tìm kiếm/lọc, dashboard thống kê, import/export, báo cáo PDF/Excel, kiểm thử; nghiệp vụ trọng tâm: quản lý nhân sự và ca làm; AI/ML gợi ý: gợi ý sách.</t>
  </si>
  <si>
    <t>LV23-007</t>
  </si>
  <si>
    <t>Hệ thống quản lý hóa đơn/công nợ cho thư viện</t>
  </si>
  <si>
    <t>Đăng nhập phân quyền, CRUD, tìm kiếm/lọc, dashboard thống kê, import/export, báo cáo PDF/Excel, kiểm thử; nghiệp vụ trọng tâm: quản lý hóa đơn/công nợ; AI/ML gợi ý: dự báo sách hot.</t>
  </si>
  <si>
    <t>LV23-008</t>
  </si>
  <si>
    <t>Hệ thống báo cáo thống kê doanh thu cho thư viện</t>
  </si>
  <si>
    <t>Đăng nhập phân quyền, CRUD, tìm kiếm/lọc, dashboard thống kê, import/export, báo cáo PDF/Excel, kiểm thử; nghiệp vụ trọng tâm: báo cáo thống kê doanh thu; AI/ML gợi ý: phát hiện trễ hạn.</t>
  </si>
  <si>
    <t>LV23-009</t>
  </si>
  <si>
    <t>Hệ thống cổng chăm sóc khách hàng cho thư viện</t>
  </si>
  <si>
    <t>Đăng nhập phân quyền, CRUD, tìm kiếm/lọc, dashboard thống kê, import/export, báo cáo PDF/Excel, kiểm thử; nghiệp vụ trọng tâm: cổng chăm sóc khách hàng; AI/ML gợi ý: gợi ý sách.</t>
  </si>
  <si>
    <t>LV23-010</t>
  </si>
  <si>
    <t>Hệ thống ứng dụng loyalty/tích điểm cho thư viện</t>
  </si>
  <si>
    <t>Đăng nhập phân quyền, CRUD, tìm kiếm/lọc, dashboard thống kê, import/export, báo cáo PDF/Excel, kiểm thử; nghiệp vụ trọng tâm: ứng dụng loyalty/tích điểm; AI/ML gợi ý: dự báo sách hot.</t>
  </si>
  <si>
    <t>LV23-011</t>
  </si>
  <si>
    <t>Hệ thống quản lý quy trình nghiệp vụ cho thư viện</t>
  </si>
  <si>
    <t>Đăng nhập phân quyền, CRUD, tìm kiếm/lọc, dashboard thống kê, import/export, báo cáo PDF/Excel, kiểm thử; nghiệp vụ trọng tâm: quản lý quy trình nghiệp vụ; AI/ML gợi ý: phát hiện trễ hạn.</t>
  </si>
  <si>
    <t>LV23-012</t>
  </si>
  <si>
    <t>Hệ thống theo dõi trạng thái thời gian thực cho thư viện</t>
  </si>
  <si>
    <t>Đăng nhập phân quyền, CRUD, tìm kiếm/lọc, dashboard thống kê, import/export, báo cáo PDF/Excel, kiểm thử; nghiệp vụ trọng tâm: theo dõi trạng thái thời gian thực; AI/ML gợi ý: gợi ý sách.</t>
  </si>
  <si>
    <t>LV23-013</t>
  </si>
  <si>
    <t>Hệ thống quản lý hợp đồng/hồ sơ cho thư viện</t>
  </si>
  <si>
    <t>Đăng nhập phân quyền, CRUD, tìm kiếm/lọc, dashboard thống kê, import/export, báo cáo PDF/Excel, kiểm thử; nghiệp vụ trọng tâm: quản lý hợp đồng/hồ sơ; AI/ML gợi ý: dự báo sách hot.</t>
  </si>
  <si>
    <t>LV23-014</t>
  </si>
  <si>
    <t>Hệ thống tìm kiếm và lọc nâng cao cho thư viện</t>
  </si>
  <si>
    <t>Đăng nhập phân quyền, CRUD, tìm kiếm/lọc, dashboard thống kê, import/export, báo cáo PDF/Excel, kiểm thử; nghiệp vụ trọng tâm: tìm kiếm và lọc nâng cao; AI/ML gợi ý: phát hiện trễ hạn.</t>
  </si>
  <si>
    <t>LV23-015</t>
  </si>
  <si>
    <t>Hệ thống quản lý phản hồi/đánh giá cho thư viện</t>
  </si>
  <si>
    <t>Đăng nhập phân quyền, CRUD, tìm kiếm/lọc, dashboard thống kê, import/export, báo cáo PDF/Excel, kiểm thử; nghiệp vụ trọng tâm: quản lý phản hồi/đánh giá; AI/ML gợi ý: gợi ý sách.</t>
  </si>
  <si>
    <t>LV23-016</t>
  </si>
  <si>
    <t>Hệ thống dashboard điều hành cho thư viện</t>
  </si>
  <si>
    <t>Đăng nhập phân quyền, CRUD, tìm kiếm/lọc, dashboard thống kê, import/export, báo cáo PDF/Excel, kiểm thử; nghiệp vụ trọng tâm: dashboard điều hành; AI/ML gợi ý: dự báo sách hot.</t>
  </si>
  <si>
    <t>LV23-017</t>
  </si>
  <si>
    <t>Hệ thống quản lý đa chi nhánh cho thư viện</t>
  </si>
  <si>
    <t>Đăng nhập phân quyền, CRUD, tìm kiếm/lọc, dashboard thống kê, import/export, báo cáo PDF/Excel, kiểm thử; nghiệp vụ trọng tâm: quản lý đa chi nhánh; AI/ML gợi ý: phát hiện trễ hạn.</t>
  </si>
  <si>
    <t>LV23-018</t>
  </si>
  <si>
    <t>Hệ thống hệ thống phân quyền vai trò cho thư viện</t>
  </si>
  <si>
    <t>Đăng nhập phân quyền, CRUD, tìm kiếm/lọc, dashboard thống kê, import/export, báo cáo PDF/Excel, kiểm thử; nghiệp vụ trọng tâm: hệ thống phân quyền vai trò; AI/ML gợi ý: gợi ý sách.</t>
  </si>
  <si>
    <t>LV23-019</t>
  </si>
  <si>
    <t>Hệ thống quản lý thông báo/nhắc lịch cho thư viện</t>
  </si>
  <si>
    <t>Đăng nhập phân quyền, CRUD, tìm kiếm/lọc, dashboard thống kê, import/export, báo cáo PDF/Excel, kiểm thử; nghiệp vụ trọng tâm: quản lý thông báo/nhắc lịch; AI/ML gợi ý: dự báo sách hot.</t>
  </si>
  <si>
    <t>LV23-020</t>
  </si>
  <si>
    <t>Hệ thống quản lý dữ liệu và import/export cho thư viện</t>
  </si>
  <si>
    <t>Đăng nhập phân quyền, CRUD, tìm kiếm/lọc, dashboard thống kê, import/export, báo cáo PDF/Excel, kiểm thử; nghiệp vụ trọng tâm: quản lý dữ liệu và import/export; AI/ML gợi ý: phát hiện trễ hạn.</t>
  </si>
  <si>
    <t>LV23-021</t>
  </si>
  <si>
    <t>Ứng dụng web + mobile hỗ trợ quản lý tổng thể trong thư viện</t>
  </si>
  <si>
    <t>LV23-022</t>
  </si>
  <si>
    <t>Ứng dụng web + desktop hỗ trợ đặt lịch/đặt chỗ trong thư viện</t>
  </si>
  <si>
    <t>LV23-023</t>
  </si>
  <si>
    <t>Ứng dụng website hỗ trợ bán hàng và thanh toán trong thư viện</t>
  </si>
  <si>
    <t>LV23-024</t>
  </si>
  <si>
    <t>Ứng dụng mobile app hỗ trợ quản lý khách hàng CRM trong thư viện</t>
  </si>
  <si>
    <t>LV23-025</t>
  </si>
  <si>
    <t>Ứng dụng desktop app hỗ trợ quản lý kho/tài sản trong thư viện</t>
  </si>
  <si>
    <t>LV23-026</t>
  </si>
  <si>
    <t>Ứng dụng web + mobile hỗ trợ quản lý nhân sự và ca làm trong thư viện</t>
  </si>
  <si>
    <t>LV23-027</t>
  </si>
  <si>
    <t>Ứng dụng web + desktop hỗ trợ quản lý hóa đơn/công nợ trong thư viện</t>
  </si>
  <si>
    <t>LV23-028</t>
  </si>
  <si>
    <t>Ứng dụng website hỗ trợ báo cáo thống kê doanh thu trong thư viện</t>
  </si>
  <si>
    <t>LV23-029</t>
  </si>
  <si>
    <t>Ứng dụng mobile app hỗ trợ cổng chăm sóc khách hàng trong thư viện</t>
  </si>
  <si>
    <t>LV23-030</t>
  </si>
  <si>
    <t>Ứng dụng desktop app hỗ trợ ứng dụng loyalty/tích điểm trong thư viện</t>
  </si>
  <si>
    <t>LV23-031</t>
  </si>
  <si>
    <t>Ứng dụng web + mobile hỗ trợ quản lý quy trình nghiệp vụ trong thư viện</t>
  </si>
  <si>
    <t>LV23-032</t>
  </si>
  <si>
    <t>Ứng dụng web + desktop hỗ trợ theo dõi trạng thái thời gian thực trong thư viện</t>
  </si>
  <si>
    <t>LV23-033</t>
  </si>
  <si>
    <t>Ứng dụng website hỗ trợ quản lý hợp đồng/hồ sơ trong thư viện</t>
  </si>
  <si>
    <t>LV23-034</t>
  </si>
  <si>
    <t>Ứng dụng mobile app hỗ trợ tìm kiếm và lọc nâng cao trong thư viện</t>
  </si>
  <si>
    <t>LV23-035</t>
  </si>
  <si>
    <t>Ứng dụng desktop app hỗ trợ quản lý phản hồi/đánh giá trong thư viện</t>
  </si>
  <si>
    <t>LV23-036</t>
  </si>
  <si>
    <t>Ứng dụng web + mobile hỗ trợ dashboard điều hành trong thư viện</t>
  </si>
  <si>
    <t>LV23-037</t>
  </si>
  <si>
    <t>Ứng dụng web + desktop hỗ trợ quản lý đa chi nhánh trong thư viện</t>
  </si>
  <si>
    <t>LV23-038</t>
  </si>
  <si>
    <t>Ứng dụng website hỗ trợ hệ thống phân quyền vai trò trong thư viện</t>
  </si>
  <si>
    <t>LV23-039</t>
  </si>
  <si>
    <t>Ứng dụng mobile app hỗ trợ quản lý thông báo/nhắc lịch trong thư viện</t>
  </si>
  <si>
    <t>LV23-040</t>
  </si>
  <si>
    <t>Ứng dụng desktop app hỗ trợ quản lý dữ liệu và import/export trong thư viện</t>
  </si>
  <si>
    <t>LV23-041</t>
  </si>
  <si>
    <t>Nền tảng quản lý tổng thể có phân quyền và báo cáo cho thư viện</t>
  </si>
  <si>
    <t>LV23-042</t>
  </si>
  <si>
    <t>Nền tảng đặt lịch/đặt chỗ có phân quyền và báo cáo cho thư viện</t>
  </si>
  <si>
    <t>LV23-043</t>
  </si>
  <si>
    <t>Nền tảng bán hàng và thanh toán có phân quyền và báo cáo cho thư viện</t>
  </si>
  <si>
    <t>LV23-044</t>
  </si>
  <si>
    <t>Nền tảng quản lý khách hàng CRM có phân quyền và báo cáo cho thư viện</t>
  </si>
  <si>
    <t>LV23-045</t>
  </si>
  <si>
    <t>Nền tảng quản lý kho/tài sản có phân quyền và báo cáo cho thư viện</t>
  </si>
  <si>
    <t>LV23-046</t>
  </si>
  <si>
    <t>Nền tảng quản lý nhân sự và ca làm có phân quyền và báo cáo cho thư viện</t>
  </si>
  <si>
    <t>LV23-047</t>
  </si>
  <si>
    <t>Nền tảng quản lý hóa đơn/công nợ có phân quyền và báo cáo cho thư viện</t>
  </si>
  <si>
    <t>LV23-048</t>
  </si>
  <si>
    <t>Nền tảng báo cáo thống kê doanh thu có phân quyền và báo cáo cho thư viện</t>
  </si>
  <si>
    <t>LV23-049</t>
  </si>
  <si>
    <t>Nền tảng cổng chăm sóc khách hàng có phân quyền và báo cáo cho thư viện</t>
  </si>
  <si>
    <t>LV23-050</t>
  </si>
  <si>
    <t>Nền tảng ứng dụng loyalty/tích điểm có phân quyền và báo cáo cho thư viện</t>
  </si>
  <si>
    <t>LV23-051</t>
  </si>
  <si>
    <t>Nền tảng quản lý quy trình nghiệp vụ có phân quyền và báo cáo cho thư viện</t>
  </si>
  <si>
    <t>LV23-052</t>
  </si>
  <si>
    <t>Nền tảng theo dõi trạng thái thời gian thực có phân quyền và báo cáo cho thư viện</t>
  </si>
  <si>
    <t>LV23-053</t>
  </si>
  <si>
    <t>Nền tảng quản lý hợp đồng/hồ sơ có phân quyền và báo cáo cho thư viện</t>
  </si>
  <si>
    <t>LV23-054</t>
  </si>
  <si>
    <t>Nền tảng tìm kiếm và lọc nâng cao có phân quyền và báo cáo cho thư viện</t>
  </si>
  <si>
    <t>LV23-055</t>
  </si>
  <si>
    <t>Nền tảng quản lý phản hồi/đánh giá có phân quyền và báo cáo cho thư viện</t>
  </si>
  <si>
    <t>LV23-056</t>
  </si>
  <si>
    <t>Nền tảng dashboard điều hành có phân quyền và báo cáo cho thư viện</t>
  </si>
  <si>
    <t>LV23-057</t>
  </si>
  <si>
    <t>Nền tảng quản lý đa chi nhánh có phân quyền và báo cáo cho thư viện</t>
  </si>
  <si>
    <t>LV23-058</t>
  </si>
  <si>
    <t>Nền tảng hệ thống phân quyền vai trò có phân quyền và báo cáo cho thư viện</t>
  </si>
  <si>
    <t>LV23-059</t>
  </si>
  <si>
    <t>Nền tảng quản lý thông báo/nhắc lịch có phân quyền và báo cáo cho thư viện</t>
  </si>
  <si>
    <t>LV23-060</t>
  </si>
  <si>
    <t>Nền tảng quản lý dữ liệu và import/export có phân quyền và báo cáo cho thư viện</t>
  </si>
  <si>
    <t>LV23-061</t>
  </si>
  <si>
    <t>Phần mềm quản lý tổng thể tích hợp dashboard dữ liệu cho thư viện</t>
  </si>
  <si>
    <t>LV23-062</t>
  </si>
  <si>
    <t>Phần mềm đặt lịch/đặt chỗ tích hợp dashboard dữ liệu cho thư viện</t>
  </si>
  <si>
    <t>LV23-063</t>
  </si>
  <si>
    <t>Phần mềm bán hàng và thanh toán tích hợp dashboard dữ liệu cho thư viện</t>
  </si>
  <si>
    <t>LV23-064</t>
  </si>
  <si>
    <t>Phần mềm quản lý khách hàng CRM tích hợp dashboard dữ liệu cho thư viện</t>
  </si>
  <si>
    <t>LV23-065</t>
  </si>
  <si>
    <t>Phần mềm quản lý kho/tài sản tích hợp dashboard dữ liệu cho thư viện</t>
  </si>
  <si>
    <t>LV23-066</t>
  </si>
  <si>
    <t>Phần mềm quản lý nhân sự và ca làm tích hợp dashboard dữ liệu cho thư viện</t>
  </si>
  <si>
    <t>LV23-067</t>
  </si>
  <si>
    <t>Phần mềm quản lý hóa đơn/công nợ tích hợp dashboard dữ liệu cho thư viện</t>
  </si>
  <si>
    <t>LV23-068</t>
  </si>
  <si>
    <t>Phần mềm báo cáo thống kê doanh thu tích hợp dashboard dữ liệu cho thư viện</t>
  </si>
  <si>
    <t>LV23-069</t>
  </si>
  <si>
    <t>Phần mềm cổng chăm sóc khách hàng tích hợp dashboard dữ liệu cho thư viện</t>
  </si>
  <si>
    <t>LV23-070</t>
  </si>
  <si>
    <t>Phần mềm ứng dụng loyalty/tích điểm tích hợp dashboard dữ liệu cho thư viện</t>
  </si>
  <si>
    <t>LV23-071</t>
  </si>
  <si>
    <t>Phần mềm quản lý quy trình nghiệp vụ tích hợp dashboard dữ liệu cho thư viện</t>
  </si>
  <si>
    <t>LV23-072</t>
  </si>
  <si>
    <t>Phần mềm theo dõi trạng thái thời gian thực tích hợp dashboard dữ liệu cho thư viện</t>
  </si>
  <si>
    <t>LV23-073</t>
  </si>
  <si>
    <t>Phần mềm quản lý hợp đồng/hồ sơ tích hợp dashboard dữ liệu cho thư viện</t>
  </si>
  <si>
    <t>LV23-074</t>
  </si>
  <si>
    <t>Phần mềm tìm kiếm và lọc nâng cao tích hợp dashboard dữ liệu cho thư viện</t>
  </si>
  <si>
    <t>LV23-075</t>
  </si>
  <si>
    <t>Phần mềm quản lý phản hồi/đánh giá tích hợp dashboard dữ liệu cho thư viện</t>
  </si>
  <si>
    <t>LV23-076</t>
  </si>
  <si>
    <t>Phần mềm dashboard điều hành tích hợp dashboard dữ liệu cho thư viện</t>
  </si>
  <si>
    <t>LV23-077</t>
  </si>
  <si>
    <t>Phần mềm quản lý đa chi nhánh tích hợp dashboard dữ liệu cho thư viện</t>
  </si>
  <si>
    <t>LV23-078</t>
  </si>
  <si>
    <t>Phần mềm hệ thống phân quyền vai trò tích hợp dashboard dữ liệu cho thư viện</t>
  </si>
  <si>
    <t>LV23-079</t>
  </si>
  <si>
    <t>Phần mềm quản lý thông báo/nhắc lịch tích hợp dashboard dữ liệu cho thư viện</t>
  </si>
  <si>
    <t>LV23-080</t>
  </si>
  <si>
    <t>Phần mềm quản lý dữ liệu và import/export tích hợp dashboard dữ liệu cho thư viện</t>
  </si>
  <si>
    <t>LV23-081</t>
  </si>
  <si>
    <t>Hệ thống quản lý tổng thể có gợi ý AI: dự báo sách hot cho thư viện</t>
  </si>
  <si>
    <t>LV23-082</t>
  </si>
  <si>
    <t>Hệ thống đặt lịch/đặt chỗ có gợi ý AI: phát hiện trễ hạn cho thư viện</t>
  </si>
  <si>
    <t>LV23-083</t>
  </si>
  <si>
    <t>Hệ thống bán hàng và thanh toán có gợi ý AI: gợi ý sách cho thư viện</t>
  </si>
  <si>
    <t>LV23-084</t>
  </si>
  <si>
    <t>Hệ thống quản lý khách hàng CRM có gợi ý AI: dự báo sách hot cho thư viện</t>
  </si>
  <si>
    <t>LV23-085</t>
  </si>
  <si>
    <t>Hệ thống quản lý kho/tài sản có gợi ý AI: phát hiện trễ hạn cho thư viện</t>
  </si>
  <si>
    <t>LV23-086</t>
  </si>
  <si>
    <t>Hệ thống quản lý nhân sự và ca làm có gợi ý AI: gợi ý sách cho thư viện</t>
  </si>
  <si>
    <t>LV23-087</t>
  </si>
  <si>
    <t>Hệ thống quản lý hóa đơn/công nợ có gợi ý AI: dự báo sách hot cho thư viện</t>
  </si>
  <si>
    <t>LV23-088</t>
  </si>
  <si>
    <t>Hệ thống báo cáo thống kê doanh thu có gợi ý AI: phát hiện trễ hạn cho thư viện</t>
  </si>
  <si>
    <t>LV23-089</t>
  </si>
  <si>
    <t>Hệ thống cổng chăm sóc khách hàng có gợi ý AI: gợi ý sách cho thư viện</t>
  </si>
  <si>
    <t>LV23-090</t>
  </si>
  <si>
    <t>Hệ thống ứng dụng loyalty/tích điểm có gợi ý AI: dự báo sách hot cho thư viện</t>
  </si>
  <si>
    <t>LV23-091</t>
  </si>
  <si>
    <t>Hệ thống quản lý quy trình nghiệp vụ có gợi ý AI: phát hiện trễ hạn cho thư viện</t>
  </si>
  <si>
    <t>LV23-092</t>
  </si>
  <si>
    <t>Hệ thống theo dõi trạng thái thời gian thực có gợi ý AI: gợi ý sách cho thư viện</t>
  </si>
  <si>
    <t>LV23-093</t>
  </si>
  <si>
    <t>Hệ thống quản lý hợp đồng/hồ sơ có gợi ý AI: dự báo sách hot cho thư viện</t>
  </si>
  <si>
    <t>LV23-094</t>
  </si>
  <si>
    <t>Hệ thống tìm kiếm và lọc nâng cao có gợi ý AI: phát hiện trễ hạn cho thư viện</t>
  </si>
  <si>
    <t>LV23-095</t>
  </si>
  <si>
    <t>Hệ thống quản lý phản hồi/đánh giá có gợi ý AI: gợi ý sách cho thư viện</t>
  </si>
  <si>
    <t>LV23-096</t>
  </si>
  <si>
    <t>Hệ thống dashboard điều hành có gợi ý AI: dự báo sách hot cho thư viện</t>
  </si>
  <si>
    <t>LV23-097</t>
  </si>
  <si>
    <t>Hệ thống quản lý đa chi nhánh có gợi ý AI: phát hiện trễ hạn cho thư viện</t>
  </si>
  <si>
    <t>LV23-098</t>
  </si>
  <si>
    <t>Hệ thống hệ thống phân quyền vai trò có gợi ý AI: gợi ý sách cho thư viện</t>
  </si>
  <si>
    <t>LV23-099</t>
  </si>
  <si>
    <t>Hệ thống quản lý thông báo/nhắc lịch có gợi ý AI: dự báo sách hot cho thư viện</t>
  </si>
  <si>
    <t>LV23-100</t>
  </si>
  <si>
    <t>Hệ thống quản lý dữ liệu và import/export có gợi ý AI: phát hiện trễ hạn cho thư viện</t>
  </si>
  <si>
    <t>Tuyển dụng</t>
  </si>
  <si>
    <t>LV24-001</t>
  </si>
  <si>
    <t>Hệ thống quản lý tổng thể cho nền tảng tuyển dụng</t>
  </si>
  <si>
    <t>Đồ án 8 tuần cho nhóm 5 SV: xây dựng Web + Desktop phục vụ nền tảng tuyển dụng; quản lý các thực thể chính: ứng viên, CV, việc làm, phỏng vấn; có CSDL, API, giao diện người dùng, báo cáo và kiểm thử.</t>
  </si>
  <si>
    <t>Đăng nhập phân quyền, CRUD, tìm kiếm/lọc, dashboard thống kê, import/export, báo cáo PDF/Excel, kiểm thử; nghiệp vụ trọng tâm: quản lý tổng thể; AI/ML gợi ý: gợi ý việc làm.</t>
  </si>
  <si>
    <t>gợi ý việc làm</t>
  </si>
  <si>
    <t>LV24-002</t>
  </si>
  <si>
    <t>Hệ thống đặt lịch/đặt chỗ cho nền tảng tuyển dụng</t>
  </si>
  <si>
    <t>Đồ án 8 tuần cho nhóm 5 SV: xây dựng Website phục vụ nền tảng tuyển dụng; quản lý các thực thể chính: ứng viên, CV, việc làm, phỏng vấn; có CSDL, API, giao diện người dùng, báo cáo và kiểm thử.</t>
  </si>
  <si>
    <t>Đăng nhập phân quyền, CRUD, tìm kiếm/lọc, dashboard thống kê, import/export, báo cáo PDF/Excel, kiểm thử; nghiệp vụ trọng tâm: đặt lịch/đặt chỗ; AI/ML gợi ý: xếp hạng ứng viên.</t>
  </si>
  <si>
    <t>xếp hạng ứng viên</t>
  </si>
  <si>
    <t>LV24-003</t>
  </si>
  <si>
    <t>Hệ thống bán hàng và thanh toán cho nền tảng tuyển dụng</t>
  </si>
  <si>
    <t>Đồ án 8 tuần cho nhóm 5 SV: xây dựng Mobile App phục vụ nền tảng tuyển dụng; quản lý các thực thể chính: ứng viên, CV, việc làm, phỏng vấn; có CSDL, API, giao diện người dùng, báo cáo và kiểm thử.</t>
  </si>
  <si>
    <t>Đăng nhập phân quyền, CRUD, tìm kiếm/lọc, dashboard thống kê, import/export, báo cáo PDF/Excel, kiểm thử; nghiệp vụ trọng tâm: bán hàng và thanh toán; AI/ML gợi ý: lọc CV theo kỹ năng.</t>
  </si>
  <si>
    <t>lọc CV theo kỹ năng</t>
  </si>
  <si>
    <t>LV24-004</t>
  </si>
  <si>
    <t>Hệ thống quản lý khách hàng CRM cho nền tảng tuyển dụng</t>
  </si>
  <si>
    <t>Đồ án 8 tuần cho nhóm 5 SV: xây dựng Desktop App phục vụ nền tảng tuyển dụng; quản lý các thực thể chính: ứng viên, CV, việc làm, phỏng vấn; có CSDL, API, giao diện người dùng, báo cáo và kiểm thử.</t>
  </si>
  <si>
    <t>Đăng nhập phân quyền, CRUD, tìm kiếm/lọc, dashboard thống kê, import/export, báo cáo PDF/Excel, kiểm thử; nghiệp vụ trọng tâm: quản lý khách hàng CRM; AI/ML gợi ý: gợi ý việc làm.</t>
  </si>
  <si>
    <t>LV24-005</t>
  </si>
  <si>
    <t>Hệ thống quản lý kho/tài sản cho nền tảng tuyển dụng</t>
  </si>
  <si>
    <t>Đồ án 8 tuần cho nhóm 5 SV: xây dựng Web + Mobile phục vụ nền tảng tuyển dụng; quản lý các thực thể chính: ứng viên, CV, việc làm, phỏng vấn; có CSDL, API, giao diện người dùng, báo cáo và kiểm thử.</t>
  </si>
  <si>
    <t>Đăng nhập phân quyền, CRUD, tìm kiếm/lọc, dashboard thống kê, import/export, báo cáo PDF/Excel, kiểm thử; nghiệp vụ trọng tâm: quản lý kho/tài sản; AI/ML gợi ý: xếp hạng ứng viên.</t>
  </si>
  <si>
    <t>LV24-006</t>
  </si>
  <si>
    <t>Hệ thống quản lý nhân sự và ca làm cho nền tảng tuyển dụng</t>
  </si>
  <si>
    <t>Đăng nhập phân quyền, CRUD, tìm kiếm/lọc, dashboard thống kê, import/export, báo cáo PDF/Excel, kiểm thử; nghiệp vụ trọng tâm: quản lý nhân sự và ca làm; AI/ML gợi ý: lọc CV theo kỹ năng.</t>
  </si>
  <si>
    <t>LV24-007</t>
  </si>
  <si>
    <t>Hệ thống quản lý hóa đơn/công nợ cho nền tảng tuyển dụng</t>
  </si>
  <si>
    <t>Đăng nhập phân quyền, CRUD, tìm kiếm/lọc, dashboard thống kê, import/export, báo cáo PDF/Excel, kiểm thử; nghiệp vụ trọng tâm: quản lý hóa đơn/công nợ; AI/ML gợi ý: gợi ý việc làm.</t>
  </si>
  <si>
    <t>LV24-008</t>
  </si>
  <si>
    <t>Hệ thống báo cáo thống kê doanh thu cho nền tảng tuyển dụng</t>
  </si>
  <si>
    <t>Đăng nhập phân quyền, CRUD, tìm kiếm/lọc, dashboard thống kê, import/export, báo cáo PDF/Excel, kiểm thử; nghiệp vụ trọng tâm: báo cáo thống kê doanh thu; AI/ML gợi ý: xếp hạng ứng viên.</t>
  </si>
  <si>
    <t>LV24-009</t>
  </si>
  <si>
    <t>Hệ thống cổng chăm sóc khách hàng cho nền tảng tuyển dụng</t>
  </si>
  <si>
    <t>Đăng nhập phân quyền, CRUD, tìm kiếm/lọc, dashboard thống kê, import/export, báo cáo PDF/Excel, kiểm thử; nghiệp vụ trọng tâm: cổng chăm sóc khách hàng; AI/ML gợi ý: lọc CV theo kỹ năng.</t>
  </si>
  <si>
    <t>LV24-010</t>
  </si>
  <si>
    <t>Hệ thống ứng dụng loyalty/tích điểm cho nền tảng tuyển dụng</t>
  </si>
  <si>
    <t>Đăng nhập phân quyền, CRUD, tìm kiếm/lọc, dashboard thống kê, import/export, báo cáo PDF/Excel, kiểm thử; nghiệp vụ trọng tâm: ứng dụng loyalty/tích điểm; AI/ML gợi ý: gợi ý việc làm.</t>
  </si>
  <si>
    <t>LV24-011</t>
  </si>
  <si>
    <t>Hệ thống quản lý quy trình nghiệp vụ cho nền tảng tuyển dụng</t>
  </si>
  <si>
    <t>Đăng nhập phân quyền, CRUD, tìm kiếm/lọc, dashboard thống kê, import/export, báo cáo PDF/Excel, kiểm thử; nghiệp vụ trọng tâm: quản lý quy trình nghiệp vụ; AI/ML gợi ý: xếp hạng ứng viên.</t>
  </si>
  <si>
    <t>LV24-012</t>
  </si>
  <si>
    <t>Hệ thống theo dõi trạng thái thời gian thực cho nền tảng tuyển dụng</t>
  </si>
  <si>
    <t>Đăng nhập phân quyền, CRUD, tìm kiếm/lọc, dashboard thống kê, import/export, báo cáo PDF/Excel, kiểm thử; nghiệp vụ trọng tâm: theo dõi trạng thái thời gian thực; AI/ML gợi ý: lọc CV theo kỹ năng.</t>
  </si>
  <si>
    <t>LV24-013</t>
  </si>
  <si>
    <t>Hệ thống quản lý hợp đồng/hồ sơ cho nền tảng tuyển dụng</t>
  </si>
  <si>
    <t>Đăng nhập phân quyền, CRUD, tìm kiếm/lọc, dashboard thống kê, import/export, báo cáo PDF/Excel, kiểm thử; nghiệp vụ trọng tâm: quản lý hợp đồng/hồ sơ; AI/ML gợi ý: gợi ý việc làm.</t>
  </si>
  <si>
    <t>LV24-014</t>
  </si>
  <si>
    <t>Hệ thống tìm kiếm và lọc nâng cao cho nền tảng tuyển dụng</t>
  </si>
  <si>
    <t>Đăng nhập phân quyền, CRUD, tìm kiếm/lọc, dashboard thống kê, import/export, báo cáo PDF/Excel, kiểm thử; nghiệp vụ trọng tâm: tìm kiếm và lọc nâng cao; AI/ML gợi ý: xếp hạng ứng viên.</t>
  </si>
  <si>
    <t>LV24-015</t>
  </si>
  <si>
    <t>Hệ thống quản lý phản hồi/đánh giá cho nền tảng tuyển dụng</t>
  </si>
  <si>
    <t>Đăng nhập phân quyền, CRUD, tìm kiếm/lọc, dashboard thống kê, import/export, báo cáo PDF/Excel, kiểm thử; nghiệp vụ trọng tâm: quản lý phản hồi/đánh giá; AI/ML gợi ý: lọc CV theo kỹ năng.</t>
  </si>
  <si>
    <t>LV24-016</t>
  </si>
  <si>
    <t>Hệ thống dashboard điều hành cho nền tảng tuyển dụng</t>
  </si>
  <si>
    <t>Đăng nhập phân quyền, CRUD, tìm kiếm/lọc, dashboard thống kê, import/export, báo cáo PDF/Excel, kiểm thử; nghiệp vụ trọng tâm: dashboard điều hành; AI/ML gợi ý: gợi ý việc làm.</t>
  </si>
  <si>
    <t>LV24-017</t>
  </si>
  <si>
    <t>Hệ thống quản lý đa chi nhánh cho nền tảng tuyển dụng</t>
  </si>
  <si>
    <t>Đăng nhập phân quyền, CRUD, tìm kiếm/lọc, dashboard thống kê, import/export, báo cáo PDF/Excel, kiểm thử; nghiệp vụ trọng tâm: quản lý đa chi nhánh; AI/ML gợi ý: xếp hạng ứng viên.</t>
  </si>
  <si>
    <t>LV24-018</t>
  </si>
  <si>
    <t>Hệ thống hệ thống phân quyền vai trò cho nền tảng tuyển dụng</t>
  </si>
  <si>
    <t>Đăng nhập phân quyền, CRUD, tìm kiếm/lọc, dashboard thống kê, import/export, báo cáo PDF/Excel, kiểm thử; nghiệp vụ trọng tâm: hệ thống phân quyền vai trò; AI/ML gợi ý: lọc CV theo kỹ năng.</t>
  </si>
  <si>
    <t>LV24-019</t>
  </si>
  <si>
    <t>Hệ thống quản lý thông báo/nhắc lịch cho nền tảng tuyển dụng</t>
  </si>
  <si>
    <t>Đăng nhập phân quyền, CRUD, tìm kiếm/lọc, dashboard thống kê, import/export, báo cáo PDF/Excel, kiểm thử; nghiệp vụ trọng tâm: quản lý thông báo/nhắc lịch; AI/ML gợi ý: gợi ý việc làm.</t>
  </si>
  <si>
    <t>LV24-020</t>
  </si>
  <si>
    <t>Hệ thống quản lý dữ liệu và import/export cho nền tảng tuyển dụng</t>
  </si>
  <si>
    <t>Đăng nhập phân quyền, CRUD, tìm kiếm/lọc, dashboard thống kê, import/export, báo cáo PDF/Excel, kiểm thử; nghiệp vụ trọng tâm: quản lý dữ liệu và import/export; AI/ML gợi ý: xếp hạng ứng viên.</t>
  </si>
  <si>
    <t>LV24-021</t>
  </si>
  <si>
    <t>Ứng dụng web + desktop hỗ trợ quản lý tổng thể trong tuyển dụng</t>
  </si>
  <si>
    <t>LV24-022</t>
  </si>
  <si>
    <t>Ứng dụng website hỗ trợ đặt lịch/đặt chỗ trong tuyển dụng</t>
  </si>
  <si>
    <t>LV24-023</t>
  </si>
  <si>
    <t>Ứng dụng mobile app hỗ trợ bán hàng và thanh toán trong tuyển dụng</t>
  </si>
  <si>
    <t>LV24-024</t>
  </si>
  <si>
    <t>Ứng dụng desktop app hỗ trợ quản lý khách hàng CRM trong tuyển dụng</t>
  </si>
  <si>
    <t>LV24-025</t>
  </si>
  <si>
    <t>Ứng dụng web + mobile hỗ trợ quản lý kho/tài sản trong tuyển dụng</t>
  </si>
  <si>
    <t>LV24-026</t>
  </si>
  <si>
    <t>Ứng dụng web + desktop hỗ trợ quản lý nhân sự và ca làm trong tuyển dụng</t>
  </si>
  <si>
    <t>LV24-027</t>
  </si>
  <si>
    <t>Ứng dụng website hỗ trợ quản lý hóa đơn/công nợ trong tuyển dụng</t>
  </si>
  <si>
    <t>LV24-028</t>
  </si>
  <si>
    <t>Ứng dụng mobile app hỗ trợ báo cáo thống kê doanh thu trong tuyển dụng</t>
  </si>
  <si>
    <t>LV24-029</t>
  </si>
  <si>
    <t>Ứng dụng desktop app hỗ trợ cổng chăm sóc khách hàng trong tuyển dụng</t>
  </si>
  <si>
    <t>LV24-030</t>
  </si>
  <si>
    <t>Ứng dụng web + mobile hỗ trợ ứng dụng loyalty/tích điểm trong tuyển dụng</t>
  </si>
  <si>
    <t>LV24-031</t>
  </si>
  <si>
    <t>Ứng dụng web + desktop hỗ trợ quản lý quy trình nghiệp vụ trong tuyển dụng</t>
  </si>
  <si>
    <t>LV24-032</t>
  </si>
  <si>
    <t>Ứng dụng website hỗ trợ theo dõi trạng thái thời gian thực trong tuyển dụng</t>
  </si>
  <si>
    <t>LV24-033</t>
  </si>
  <si>
    <t>Ứng dụng mobile app hỗ trợ quản lý hợp đồng/hồ sơ trong tuyển dụng</t>
  </si>
  <si>
    <t>LV24-034</t>
  </si>
  <si>
    <t>Ứng dụng desktop app hỗ trợ tìm kiếm và lọc nâng cao trong tuyển dụng</t>
  </si>
  <si>
    <t>LV24-035</t>
  </si>
  <si>
    <t>Ứng dụng web + mobile hỗ trợ quản lý phản hồi/đánh giá trong tuyển dụng</t>
  </si>
  <si>
    <t>LV24-036</t>
  </si>
  <si>
    <t>Ứng dụng web + desktop hỗ trợ dashboard điều hành trong tuyển dụng</t>
  </si>
  <si>
    <t>LV24-037</t>
  </si>
  <si>
    <t>Ứng dụng website hỗ trợ quản lý đa chi nhánh trong tuyển dụng</t>
  </si>
  <si>
    <t>LV24-038</t>
  </si>
  <si>
    <t>Ứng dụng mobile app hỗ trợ hệ thống phân quyền vai trò trong tuyển dụng</t>
  </si>
  <si>
    <t>LV24-039</t>
  </si>
  <si>
    <t>Ứng dụng desktop app hỗ trợ quản lý thông báo/nhắc lịch trong tuyển dụng</t>
  </si>
  <si>
    <t>LV24-040</t>
  </si>
  <si>
    <t>Ứng dụng web + mobile hỗ trợ quản lý dữ liệu và import/export trong tuyển dụng</t>
  </si>
  <si>
    <t>LV24-041</t>
  </si>
  <si>
    <t>Nền tảng quản lý tổng thể có phân quyền và báo cáo cho nền tảng tuyển dụng</t>
  </si>
  <si>
    <t>LV24-042</t>
  </si>
  <si>
    <t>Nền tảng đặt lịch/đặt chỗ có phân quyền và báo cáo cho nền tảng tuyển dụng</t>
  </si>
  <si>
    <t>LV24-043</t>
  </si>
  <si>
    <t>Nền tảng bán hàng và thanh toán có phân quyền và báo cáo cho nền tảng tuyển dụng</t>
  </si>
  <si>
    <t>LV24-044</t>
  </si>
  <si>
    <t>Nền tảng quản lý khách hàng CRM có phân quyền và báo cáo cho nền tảng tuyển dụng</t>
  </si>
  <si>
    <t>LV24-045</t>
  </si>
  <si>
    <t>Nền tảng quản lý kho/tài sản có phân quyền và báo cáo cho nền tảng tuyển dụng</t>
  </si>
  <si>
    <t>LV24-046</t>
  </si>
  <si>
    <t>Nền tảng quản lý nhân sự và ca làm có phân quyền và báo cáo cho nền tảng tuyển dụng</t>
  </si>
  <si>
    <t>LV24-047</t>
  </si>
  <si>
    <t>Nền tảng quản lý hóa đơn/công nợ có phân quyền và báo cáo cho nền tảng tuyển dụng</t>
  </si>
  <si>
    <t>LV24-048</t>
  </si>
  <si>
    <t>Nền tảng báo cáo thống kê doanh thu có phân quyền và báo cáo cho nền tảng tuyển dụng</t>
  </si>
  <si>
    <t>LV24-049</t>
  </si>
  <si>
    <t>Nền tảng cổng chăm sóc khách hàng có phân quyền và báo cáo cho nền tảng tuyển dụng</t>
  </si>
  <si>
    <t>LV24-050</t>
  </si>
  <si>
    <t>Nền tảng ứng dụng loyalty/tích điểm có phân quyền và báo cáo cho nền tảng tuyển dụng</t>
  </si>
  <si>
    <t>LV24-051</t>
  </si>
  <si>
    <t>Nền tảng quản lý quy trình nghiệp vụ có phân quyền và báo cáo cho nền tảng tuyển dụng</t>
  </si>
  <si>
    <t>LV24-052</t>
  </si>
  <si>
    <t>Nền tảng theo dõi trạng thái thời gian thực có phân quyền và báo cáo cho nền tảng tuyển dụng</t>
  </si>
  <si>
    <t>LV24-053</t>
  </si>
  <si>
    <t>Nền tảng quản lý hợp đồng/hồ sơ có phân quyền và báo cáo cho nền tảng tuyển dụng</t>
  </si>
  <si>
    <t>LV24-054</t>
  </si>
  <si>
    <t>Nền tảng tìm kiếm và lọc nâng cao có phân quyền và báo cáo cho nền tảng tuyển dụng</t>
  </si>
  <si>
    <t>LV24-055</t>
  </si>
  <si>
    <t>Nền tảng quản lý phản hồi/đánh giá có phân quyền và báo cáo cho nền tảng tuyển dụng</t>
  </si>
  <si>
    <t>LV24-056</t>
  </si>
  <si>
    <t>Nền tảng dashboard điều hành có phân quyền và báo cáo cho nền tảng tuyển dụng</t>
  </si>
  <si>
    <t>LV24-057</t>
  </si>
  <si>
    <t>Nền tảng quản lý đa chi nhánh có phân quyền và báo cáo cho nền tảng tuyển dụng</t>
  </si>
  <si>
    <t>LV24-058</t>
  </si>
  <si>
    <t>Nền tảng hệ thống phân quyền vai trò có phân quyền và báo cáo cho nền tảng tuyển dụng</t>
  </si>
  <si>
    <t>LV24-059</t>
  </si>
  <si>
    <t>Nền tảng quản lý thông báo/nhắc lịch có phân quyền và báo cáo cho nền tảng tuyển dụng</t>
  </si>
  <si>
    <t>LV24-060</t>
  </si>
  <si>
    <t>Nền tảng quản lý dữ liệu và import/export có phân quyền và báo cáo cho nền tảng tuyển dụng</t>
  </si>
  <si>
    <t>LV24-061</t>
  </si>
  <si>
    <t>Phần mềm quản lý tổng thể tích hợp dashboard dữ liệu cho tuyển dụng</t>
  </si>
  <si>
    <t>LV24-062</t>
  </si>
  <si>
    <t>Phần mềm đặt lịch/đặt chỗ tích hợp dashboard dữ liệu cho tuyển dụng</t>
  </si>
  <si>
    <t>LV24-063</t>
  </si>
  <si>
    <t>Phần mềm bán hàng và thanh toán tích hợp dashboard dữ liệu cho tuyển dụng</t>
  </si>
  <si>
    <t>LV24-064</t>
  </si>
  <si>
    <t>Phần mềm quản lý khách hàng CRM tích hợp dashboard dữ liệu cho tuyển dụng</t>
  </si>
  <si>
    <t>LV24-065</t>
  </si>
  <si>
    <t>Phần mềm quản lý kho/tài sản tích hợp dashboard dữ liệu cho tuyển dụng</t>
  </si>
  <si>
    <t>LV24-066</t>
  </si>
  <si>
    <t>Phần mềm quản lý nhân sự và ca làm tích hợp dashboard dữ liệu cho tuyển dụng</t>
  </si>
  <si>
    <t>LV24-067</t>
  </si>
  <si>
    <t>Phần mềm quản lý hóa đơn/công nợ tích hợp dashboard dữ liệu cho tuyển dụng</t>
  </si>
  <si>
    <t>LV24-068</t>
  </si>
  <si>
    <t>Phần mềm báo cáo thống kê doanh thu tích hợp dashboard dữ liệu cho tuyển dụng</t>
  </si>
  <si>
    <t>LV24-069</t>
  </si>
  <si>
    <t>Phần mềm cổng chăm sóc khách hàng tích hợp dashboard dữ liệu cho tuyển dụng</t>
  </si>
  <si>
    <t>LV24-070</t>
  </si>
  <si>
    <t>Phần mềm ứng dụng loyalty/tích điểm tích hợp dashboard dữ liệu cho tuyển dụng</t>
  </si>
  <si>
    <t>LV24-071</t>
  </si>
  <si>
    <t>Phần mềm quản lý quy trình nghiệp vụ tích hợp dashboard dữ liệu cho tuyển dụng</t>
  </si>
  <si>
    <t>LV24-072</t>
  </si>
  <si>
    <t>Phần mềm theo dõi trạng thái thời gian thực tích hợp dashboard dữ liệu cho tuyển dụng</t>
  </si>
  <si>
    <t>LV24-073</t>
  </si>
  <si>
    <t>Phần mềm quản lý hợp đồng/hồ sơ tích hợp dashboard dữ liệu cho tuyển dụng</t>
  </si>
  <si>
    <t>LV24-074</t>
  </si>
  <si>
    <t>Phần mềm tìm kiếm và lọc nâng cao tích hợp dashboard dữ liệu cho tuyển dụng</t>
  </si>
  <si>
    <t>LV24-075</t>
  </si>
  <si>
    <t>Phần mềm quản lý phản hồi/đánh giá tích hợp dashboard dữ liệu cho tuyển dụng</t>
  </si>
  <si>
    <t>LV24-076</t>
  </si>
  <si>
    <t>Phần mềm dashboard điều hành tích hợp dashboard dữ liệu cho tuyển dụng</t>
  </si>
  <si>
    <t>LV24-077</t>
  </si>
  <si>
    <t>Phần mềm quản lý đa chi nhánh tích hợp dashboard dữ liệu cho tuyển dụng</t>
  </si>
  <si>
    <t>LV24-078</t>
  </si>
  <si>
    <t>Phần mềm hệ thống phân quyền vai trò tích hợp dashboard dữ liệu cho tuyển dụng</t>
  </si>
  <si>
    <t>LV24-079</t>
  </si>
  <si>
    <t>Phần mềm quản lý thông báo/nhắc lịch tích hợp dashboard dữ liệu cho tuyển dụng</t>
  </si>
  <si>
    <t>LV24-080</t>
  </si>
  <si>
    <t>Phần mềm quản lý dữ liệu và import/export tích hợp dashboard dữ liệu cho tuyển dụng</t>
  </si>
  <si>
    <t>LV24-081</t>
  </si>
  <si>
    <t>Hệ thống quản lý tổng thể có gợi ý AI: gợi ý việc làm cho nền tảng tuyển dụng</t>
  </si>
  <si>
    <t>LV24-082</t>
  </si>
  <si>
    <t>Hệ thống đặt lịch/đặt chỗ có gợi ý AI: xếp hạng ứng viên cho nền tảng tuyển dụng</t>
  </si>
  <si>
    <t>LV24-083</t>
  </si>
  <si>
    <t>Hệ thống bán hàng và thanh toán có gợi ý AI: lọc CV theo kỹ năng cho nền tảng tuyển dụng</t>
  </si>
  <si>
    <t>LV24-084</t>
  </si>
  <si>
    <t>Hệ thống quản lý khách hàng CRM có gợi ý AI: gợi ý việc làm cho nền tảng tuyển dụng</t>
  </si>
  <si>
    <t>LV24-085</t>
  </si>
  <si>
    <t>Hệ thống quản lý kho/tài sản có gợi ý AI: xếp hạng ứng viên cho nền tảng tuyển dụng</t>
  </si>
  <si>
    <t>LV24-086</t>
  </si>
  <si>
    <t>Hệ thống quản lý nhân sự và ca làm có gợi ý AI: lọc CV theo kỹ năng cho nền tảng tuyển dụng</t>
  </si>
  <si>
    <t>LV24-087</t>
  </si>
  <si>
    <t>Hệ thống quản lý hóa đơn/công nợ có gợi ý AI: gợi ý việc làm cho nền tảng tuyển dụng</t>
  </si>
  <si>
    <t>LV24-088</t>
  </si>
  <si>
    <t>Hệ thống báo cáo thống kê doanh thu có gợi ý AI: xếp hạng ứng viên cho nền tảng tuyển dụng</t>
  </si>
  <si>
    <t>LV24-089</t>
  </si>
  <si>
    <t>Hệ thống cổng chăm sóc khách hàng có gợi ý AI: lọc CV theo kỹ năng cho nền tảng tuyển dụng</t>
  </si>
  <si>
    <t>LV24-090</t>
  </si>
  <si>
    <t>Hệ thống ứng dụng loyalty/tích điểm có gợi ý AI: gợi ý việc làm cho nền tảng tuyển dụng</t>
  </si>
  <si>
    <t>LV24-091</t>
  </si>
  <si>
    <t>Hệ thống quản lý quy trình nghiệp vụ có gợi ý AI: xếp hạng ứng viên cho nền tảng tuyển dụng</t>
  </si>
  <si>
    <t>LV24-092</t>
  </si>
  <si>
    <t>Hệ thống theo dõi trạng thái thời gian thực có gợi ý AI: lọc CV theo kỹ năng cho nền tảng tuyển dụng</t>
  </si>
  <si>
    <t>LV24-093</t>
  </si>
  <si>
    <t>Hệ thống quản lý hợp đồng/hồ sơ có gợi ý AI: gợi ý việc làm cho nền tảng tuyển dụng</t>
  </si>
  <si>
    <t>LV24-094</t>
  </si>
  <si>
    <t>Hệ thống tìm kiếm và lọc nâng cao có gợi ý AI: xếp hạng ứng viên cho nền tảng tuyển dụng</t>
  </si>
  <si>
    <t>LV24-095</t>
  </si>
  <si>
    <t>Hệ thống quản lý phản hồi/đánh giá có gợi ý AI: lọc CV theo kỹ năng cho nền tảng tuyển dụng</t>
  </si>
  <si>
    <t>LV24-096</t>
  </si>
  <si>
    <t>Hệ thống dashboard điều hành có gợi ý AI: gợi ý việc làm cho nền tảng tuyển dụng</t>
  </si>
  <si>
    <t>LV24-097</t>
  </si>
  <si>
    <t>Hệ thống quản lý đa chi nhánh có gợi ý AI: xếp hạng ứng viên cho nền tảng tuyển dụng</t>
  </si>
  <si>
    <t>LV24-098</t>
  </si>
  <si>
    <t>Hệ thống hệ thống phân quyền vai trò có gợi ý AI: lọc CV theo kỹ năng cho nền tảng tuyển dụng</t>
  </si>
  <si>
    <t>LV24-099</t>
  </si>
  <si>
    <t>Hệ thống quản lý thông báo/nhắc lịch có gợi ý AI: gợi ý việc làm cho nền tảng tuyển dụng</t>
  </si>
  <si>
    <t>LV24-100</t>
  </si>
  <si>
    <t>Hệ thống quản lý dữ liệu và import/export có gợi ý AI: xếp hạng ứng viên cho nền tảng tuyển dụng</t>
  </si>
  <si>
    <t>Nhân sự</t>
  </si>
  <si>
    <t>LV25-001</t>
  </si>
  <si>
    <t>Hệ thống quản lý tổng thể cho phòng nhân sự</t>
  </si>
  <si>
    <t>Đồ án 8 tuần cho nhóm 5 SV: xây dựng Website phục vụ phòng nhân sự; quản lý các thực thể chính: nhân viên, chấm công, phép, lương; có CSDL, API, giao diện người dùng, báo cáo và kiểm thử.</t>
  </si>
  <si>
    <t>Đăng nhập phân quyền, CRUD, tìm kiếm/lọc, dashboard thống kê, import/export, báo cáo PDF/Excel, kiểm thử; nghiệp vụ trọng tâm: quản lý tổng thể; AI/ML gợi ý: phân tích hiệu suất.</t>
  </si>
  <si>
    <t>phân tích hiệu suất</t>
  </si>
  <si>
    <t>LV25-002</t>
  </si>
  <si>
    <t>Hệ thống đặt lịch/đặt chỗ cho phòng nhân sự</t>
  </si>
  <si>
    <t>Đồ án 8 tuần cho nhóm 5 SV: xây dựng Mobile App phục vụ phòng nhân sự; quản lý các thực thể chính: nhân viên, chấm công, phép, lương; có CSDL, API, giao diện người dùng, báo cáo và kiểm thử.</t>
  </si>
  <si>
    <t>Đăng nhập phân quyền, CRUD, tìm kiếm/lọc, dashboard thống kê, import/export, báo cáo PDF/Excel, kiểm thử; nghiệp vụ trọng tâm: đặt lịch/đặt chỗ; AI/ML gợi ý: nhắc hạn hợp đồng.</t>
  </si>
  <si>
    <t>nhắc hạn hợp đồng</t>
  </si>
  <si>
    <t>LV25-003</t>
  </si>
  <si>
    <t>Hệ thống bán hàng và thanh toán cho phòng nhân sự</t>
  </si>
  <si>
    <t>Đồ án 8 tuần cho nhóm 5 SV: xây dựng Desktop App phục vụ phòng nhân sự; quản lý các thực thể chính: nhân viên, chấm công, phép, lương; có CSDL, API, giao diện người dùng, báo cáo và kiểm thử.</t>
  </si>
  <si>
    <t>Đăng nhập phân quyền, CRUD, tìm kiếm/lọc, dashboard thống kê, import/export, báo cáo PDF/Excel, kiểm thử; nghiệp vụ trọng tâm: bán hàng và thanh toán; AI/ML gợi ý: dự báo nghỉ việc.</t>
  </si>
  <si>
    <t>dự báo nghỉ việc</t>
  </si>
  <si>
    <t>LV25-004</t>
  </si>
  <si>
    <t>Hệ thống quản lý khách hàng CRM cho phòng nhân sự</t>
  </si>
  <si>
    <t>Đồ án 8 tuần cho nhóm 5 SV: xây dựng Web + Mobile phục vụ phòng nhân sự; quản lý các thực thể chính: nhân viên, chấm công, phép, lương; có CSDL, API, giao diện người dùng, báo cáo và kiểm thử.</t>
  </si>
  <si>
    <t>Đăng nhập phân quyền, CRUD, tìm kiếm/lọc, dashboard thống kê, import/export, báo cáo PDF/Excel, kiểm thử; nghiệp vụ trọng tâm: quản lý khách hàng CRM; AI/ML gợi ý: phân tích hiệu suất.</t>
  </si>
  <si>
    <t>LV25-005</t>
  </si>
  <si>
    <t>Hệ thống quản lý kho/tài sản cho phòng nhân sự</t>
  </si>
  <si>
    <t>Đồ án 8 tuần cho nhóm 5 SV: xây dựng Web + Desktop phục vụ phòng nhân sự; quản lý các thực thể chính: nhân viên, chấm công, phép, lương; có CSDL, API, giao diện người dùng, báo cáo và kiểm thử.</t>
  </si>
  <si>
    <t>Đăng nhập phân quyền, CRUD, tìm kiếm/lọc, dashboard thống kê, import/export, báo cáo PDF/Excel, kiểm thử; nghiệp vụ trọng tâm: quản lý kho/tài sản; AI/ML gợi ý: nhắc hạn hợp đồng.</t>
  </si>
  <si>
    <t>LV25-006</t>
  </si>
  <si>
    <t>Hệ thống quản lý nhân sự và ca làm cho phòng nhân sự</t>
  </si>
  <si>
    <t>Đăng nhập phân quyền, CRUD, tìm kiếm/lọc, dashboard thống kê, import/export, báo cáo PDF/Excel, kiểm thử; nghiệp vụ trọng tâm: quản lý nhân sự và ca làm; AI/ML gợi ý: dự báo nghỉ việc.</t>
  </si>
  <si>
    <t>LV25-007</t>
  </si>
  <si>
    <t>Hệ thống quản lý hóa đơn/công nợ cho phòng nhân sự</t>
  </si>
  <si>
    <t>Đăng nhập phân quyền, CRUD, tìm kiếm/lọc, dashboard thống kê, import/export, báo cáo PDF/Excel, kiểm thử; nghiệp vụ trọng tâm: quản lý hóa đơn/công nợ; AI/ML gợi ý: phân tích hiệu suất.</t>
  </si>
  <si>
    <t>LV25-008</t>
  </si>
  <si>
    <t>Hệ thống báo cáo thống kê doanh thu cho phòng nhân sự</t>
  </si>
  <si>
    <t>Đăng nhập phân quyền, CRUD, tìm kiếm/lọc, dashboard thống kê, import/export, báo cáo PDF/Excel, kiểm thử; nghiệp vụ trọng tâm: báo cáo thống kê doanh thu; AI/ML gợi ý: nhắc hạn hợp đồng.</t>
  </si>
  <si>
    <t>LV25-009</t>
  </si>
  <si>
    <t>Hệ thống cổng chăm sóc khách hàng cho phòng nhân sự</t>
  </si>
  <si>
    <t>Đăng nhập phân quyền, CRUD, tìm kiếm/lọc, dashboard thống kê, import/export, báo cáo PDF/Excel, kiểm thử; nghiệp vụ trọng tâm: cổng chăm sóc khách hàng; AI/ML gợi ý: dự báo nghỉ việc.</t>
  </si>
  <si>
    <t>LV25-010</t>
  </si>
  <si>
    <t>Hệ thống ứng dụng loyalty/tích điểm cho phòng nhân sự</t>
  </si>
  <si>
    <t>Đăng nhập phân quyền, CRUD, tìm kiếm/lọc, dashboard thống kê, import/export, báo cáo PDF/Excel, kiểm thử; nghiệp vụ trọng tâm: ứng dụng loyalty/tích điểm; AI/ML gợi ý: phân tích hiệu suất.</t>
  </si>
  <si>
    <t>LV25-011</t>
  </si>
  <si>
    <t>Hệ thống quản lý quy trình nghiệp vụ cho phòng nhân sự</t>
  </si>
  <si>
    <t>Đăng nhập phân quyền, CRUD, tìm kiếm/lọc, dashboard thống kê, import/export, báo cáo PDF/Excel, kiểm thử; nghiệp vụ trọng tâm: quản lý quy trình nghiệp vụ; AI/ML gợi ý: nhắc hạn hợp đồng.</t>
  </si>
  <si>
    <t>LV25-012</t>
  </si>
  <si>
    <t>Hệ thống theo dõi trạng thái thời gian thực cho phòng nhân sự</t>
  </si>
  <si>
    <t>Đăng nhập phân quyền, CRUD, tìm kiếm/lọc, dashboard thống kê, import/export, báo cáo PDF/Excel, kiểm thử; nghiệp vụ trọng tâm: theo dõi trạng thái thời gian thực; AI/ML gợi ý: dự báo nghỉ việc.</t>
  </si>
  <si>
    <t>LV25-013</t>
  </si>
  <si>
    <t>Hệ thống quản lý hợp đồng/hồ sơ cho phòng nhân sự</t>
  </si>
  <si>
    <t>Đăng nhập phân quyền, CRUD, tìm kiếm/lọc, dashboard thống kê, import/export, báo cáo PDF/Excel, kiểm thử; nghiệp vụ trọng tâm: quản lý hợp đồng/hồ sơ; AI/ML gợi ý: phân tích hiệu suất.</t>
  </si>
  <si>
    <t>LV25-014</t>
  </si>
  <si>
    <t>Hệ thống tìm kiếm và lọc nâng cao cho phòng nhân sự</t>
  </si>
  <si>
    <t>Đăng nhập phân quyền, CRUD, tìm kiếm/lọc, dashboard thống kê, import/export, báo cáo PDF/Excel, kiểm thử; nghiệp vụ trọng tâm: tìm kiếm và lọc nâng cao; AI/ML gợi ý: nhắc hạn hợp đồng.</t>
  </si>
  <si>
    <t>LV25-015</t>
  </si>
  <si>
    <t>Hệ thống quản lý phản hồi/đánh giá cho phòng nhân sự</t>
  </si>
  <si>
    <t>Đăng nhập phân quyền, CRUD, tìm kiếm/lọc, dashboard thống kê, import/export, báo cáo PDF/Excel, kiểm thử; nghiệp vụ trọng tâm: quản lý phản hồi/đánh giá; AI/ML gợi ý: dự báo nghỉ việc.</t>
  </si>
  <si>
    <t>LV25-016</t>
  </si>
  <si>
    <t>Hệ thống dashboard điều hành cho phòng nhân sự</t>
  </si>
  <si>
    <t>Đăng nhập phân quyền, CRUD, tìm kiếm/lọc, dashboard thống kê, import/export, báo cáo PDF/Excel, kiểm thử; nghiệp vụ trọng tâm: dashboard điều hành; AI/ML gợi ý: phân tích hiệu suất.</t>
  </si>
  <si>
    <t>LV25-017</t>
  </si>
  <si>
    <t>Hệ thống quản lý đa chi nhánh cho phòng nhân sự</t>
  </si>
  <si>
    <t>Đăng nhập phân quyền, CRUD, tìm kiếm/lọc, dashboard thống kê, import/export, báo cáo PDF/Excel, kiểm thử; nghiệp vụ trọng tâm: quản lý đa chi nhánh; AI/ML gợi ý: nhắc hạn hợp đồng.</t>
  </si>
  <si>
    <t>LV25-018</t>
  </si>
  <si>
    <t>Hệ thống hệ thống phân quyền vai trò cho phòng nhân sự</t>
  </si>
  <si>
    <t>Đăng nhập phân quyền, CRUD, tìm kiếm/lọc, dashboard thống kê, import/export, báo cáo PDF/Excel, kiểm thử; nghiệp vụ trọng tâm: hệ thống phân quyền vai trò; AI/ML gợi ý: dự báo nghỉ việc.</t>
  </si>
  <si>
    <t>LV25-019</t>
  </si>
  <si>
    <t>Hệ thống quản lý thông báo/nhắc lịch cho phòng nhân sự</t>
  </si>
  <si>
    <t>Đăng nhập phân quyền, CRUD, tìm kiếm/lọc, dashboard thống kê, import/export, báo cáo PDF/Excel, kiểm thử; nghiệp vụ trọng tâm: quản lý thông báo/nhắc lịch; AI/ML gợi ý: phân tích hiệu suất.</t>
  </si>
  <si>
    <t>LV25-020</t>
  </si>
  <si>
    <t>Hệ thống quản lý dữ liệu và import/export cho phòng nhân sự</t>
  </si>
  <si>
    <t>Đăng nhập phân quyền, CRUD, tìm kiếm/lọc, dashboard thống kê, import/export, báo cáo PDF/Excel, kiểm thử; nghiệp vụ trọng tâm: quản lý dữ liệu và import/export; AI/ML gợi ý: nhắc hạn hợp đồng.</t>
  </si>
  <si>
    <t>LV25-021</t>
  </si>
  <si>
    <t>Ứng dụng website hỗ trợ quản lý tổng thể trong nhân sự</t>
  </si>
  <si>
    <t>LV25-022</t>
  </si>
  <si>
    <t>Ứng dụng mobile app hỗ trợ đặt lịch/đặt chỗ trong nhân sự</t>
  </si>
  <si>
    <t>LV25-023</t>
  </si>
  <si>
    <t>Ứng dụng desktop app hỗ trợ bán hàng và thanh toán trong nhân sự</t>
  </si>
  <si>
    <t>LV25-024</t>
  </si>
  <si>
    <t>Ứng dụng web + mobile hỗ trợ quản lý khách hàng CRM trong nhân sự</t>
  </si>
  <si>
    <t>LV25-025</t>
  </si>
  <si>
    <t>Ứng dụng web + desktop hỗ trợ quản lý kho/tài sản trong nhân sự</t>
  </si>
  <si>
    <t>LV25-026</t>
  </si>
  <si>
    <t>Ứng dụng website hỗ trợ quản lý nhân sự và ca làm trong nhân sự</t>
  </si>
  <si>
    <t>LV25-027</t>
  </si>
  <si>
    <t>Ứng dụng mobile app hỗ trợ quản lý hóa đơn/công nợ trong nhân sự</t>
  </si>
  <si>
    <t>LV25-028</t>
  </si>
  <si>
    <t>Ứng dụng desktop app hỗ trợ báo cáo thống kê doanh thu trong nhân sự</t>
  </si>
  <si>
    <t>LV25-029</t>
  </si>
  <si>
    <t>Ứng dụng web + mobile hỗ trợ cổng chăm sóc khách hàng trong nhân sự</t>
  </si>
  <si>
    <t>LV25-030</t>
  </si>
  <si>
    <t>Ứng dụng web + desktop hỗ trợ ứng dụng loyalty/tích điểm trong nhân sự</t>
  </si>
  <si>
    <t>LV25-031</t>
  </si>
  <si>
    <t>Ứng dụng website hỗ trợ quản lý quy trình nghiệp vụ trong nhân sự</t>
  </si>
  <si>
    <t>LV25-032</t>
  </si>
  <si>
    <t>Ứng dụng mobile app hỗ trợ theo dõi trạng thái thời gian thực trong nhân sự</t>
  </si>
  <si>
    <t>LV25-033</t>
  </si>
  <si>
    <t>Ứng dụng desktop app hỗ trợ quản lý hợp đồng/hồ sơ trong nhân sự</t>
  </si>
  <si>
    <t>LV25-034</t>
  </si>
  <si>
    <t>Ứng dụng web + mobile hỗ trợ tìm kiếm và lọc nâng cao trong nhân sự</t>
  </si>
  <si>
    <t>LV25-035</t>
  </si>
  <si>
    <t>Ứng dụng web + desktop hỗ trợ quản lý phản hồi/đánh giá trong nhân sự</t>
  </si>
  <si>
    <t>LV25-036</t>
  </si>
  <si>
    <t>Ứng dụng website hỗ trợ dashboard điều hành trong nhân sự</t>
  </si>
  <si>
    <t>LV25-037</t>
  </si>
  <si>
    <t>Ứng dụng mobile app hỗ trợ quản lý đa chi nhánh trong nhân sự</t>
  </si>
  <si>
    <t>LV25-038</t>
  </si>
  <si>
    <t>Ứng dụng desktop app hỗ trợ hệ thống phân quyền vai trò trong nhân sự</t>
  </si>
  <si>
    <t>LV25-039</t>
  </si>
  <si>
    <t>Ứng dụng web + mobile hỗ trợ quản lý thông báo/nhắc lịch trong nhân sự</t>
  </si>
  <si>
    <t>LV25-040</t>
  </si>
  <si>
    <t>Ứng dụng web + desktop hỗ trợ quản lý dữ liệu và import/export trong nhân sự</t>
  </si>
  <si>
    <t>LV25-041</t>
  </si>
  <si>
    <t>Nền tảng quản lý tổng thể có phân quyền và báo cáo cho phòng nhân sự</t>
  </si>
  <si>
    <t>LV25-042</t>
  </si>
  <si>
    <t>Nền tảng đặt lịch/đặt chỗ có phân quyền và báo cáo cho phòng nhân sự</t>
  </si>
  <si>
    <t>LV25-043</t>
  </si>
  <si>
    <t>Nền tảng bán hàng và thanh toán có phân quyền và báo cáo cho phòng nhân sự</t>
  </si>
  <si>
    <t>LV25-044</t>
  </si>
  <si>
    <t>Nền tảng quản lý khách hàng CRM có phân quyền và báo cáo cho phòng nhân sự</t>
  </si>
  <si>
    <t>LV25-045</t>
  </si>
  <si>
    <t>Nền tảng quản lý kho/tài sản có phân quyền và báo cáo cho phòng nhân sự</t>
  </si>
  <si>
    <t>LV25-046</t>
  </si>
  <si>
    <t>Nền tảng quản lý nhân sự và ca làm có phân quyền và báo cáo cho phòng nhân sự</t>
  </si>
  <si>
    <t>LV25-047</t>
  </si>
  <si>
    <t>Nền tảng quản lý hóa đơn/công nợ có phân quyền và báo cáo cho phòng nhân sự</t>
  </si>
  <si>
    <t>LV25-048</t>
  </si>
  <si>
    <t>Nền tảng báo cáo thống kê doanh thu có phân quyền và báo cáo cho phòng nhân sự</t>
  </si>
  <si>
    <t>LV25-049</t>
  </si>
  <si>
    <t>Nền tảng cổng chăm sóc khách hàng có phân quyền và báo cáo cho phòng nhân sự</t>
  </si>
  <si>
    <t>LV25-050</t>
  </si>
  <si>
    <t>Nền tảng ứng dụng loyalty/tích điểm có phân quyền và báo cáo cho phòng nhân sự</t>
  </si>
  <si>
    <t>LV25-051</t>
  </si>
  <si>
    <t>Nền tảng quản lý quy trình nghiệp vụ có phân quyền và báo cáo cho phòng nhân sự</t>
  </si>
  <si>
    <t>LV25-052</t>
  </si>
  <si>
    <t>Nền tảng theo dõi trạng thái thời gian thực có phân quyền và báo cáo cho phòng nhân sự</t>
  </si>
  <si>
    <t>LV25-053</t>
  </si>
  <si>
    <t>Nền tảng quản lý hợp đồng/hồ sơ có phân quyền và báo cáo cho phòng nhân sự</t>
  </si>
  <si>
    <t>LV25-054</t>
  </si>
  <si>
    <t>Nền tảng tìm kiếm và lọc nâng cao có phân quyền và báo cáo cho phòng nhân sự</t>
  </si>
  <si>
    <t>LV25-055</t>
  </si>
  <si>
    <t>Nền tảng quản lý phản hồi/đánh giá có phân quyền và báo cáo cho phòng nhân sự</t>
  </si>
  <si>
    <t>LV25-056</t>
  </si>
  <si>
    <t>Nền tảng dashboard điều hành có phân quyền và báo cáo cho phòng nhân sự</t>
  </si>
  <si>
    <t>LV25-057</t>
  </si>
  <si>
    <t>Nền tảng quản lý đa chi nhánh có phân quyền và báo cáo cho phòng nhân sự</t>
  </si>
  <si>
    <t>LV25-058</t>
  </si>
  <si>
    <t>Nền tảng hệ thống phân quyền vai trò có phân quyền và báo cáo cho phòng nhân sự</t>
  </si>
  <si>
    <t>LV25-059</t>
  </si>
  <si>
    <t>Nền tảng quản lý thông báo/nhắc lịch có phân quyền và báo cáo cho phòng nhân sự</t>
  </si>
  <si>
    <t>LV25-060</t>
  </si>
  <si>
    <t>Nền tảng quản lý dữ liệu và import/export có phân quyền và báo cáo cho phòng nhân sự</t>
  </si>
  <si>
    <t>LV25-061</t>
  </si>
  <si>
    <t>Phần mềm quản lý tổng thể tích hợp dashboard dữ liệu cho nhân sự</t>
  </si>
  <si>
    <t>LV25-062</t>
  </si>
  <si>
    <t>Phần mềm đặt lịch/đặt chỗ tích hợp dashboard dữ liệu cho nhân sự</t>
  </si>
  <si>
    <t>LV25-063</t>
  </si>
  <si>
    <t>Phần mềm bán hàng và thanh toán tích hợp dashboard dữ liệu cho nhân sự</t>
  </si>
  <si>
    <t>LV25-064</t>
  </si>
  <si>
    <t>Phần mềm quản lý khách hàng CRM tích hợp dashboard dữ liệu cho nhân sự</t>
  </si>
  <si>
    <t>LV25-065</t>
  </si>
  <si>
    <t>Phần mềm quản lý kho/tài sản tích hợp dashboard dữ liệu cho nhân sự</t>
  </si>
  <si>
    <t>LV25-066</t>
  </si>
  <si>
    <t>Phần mềm quản lý nhân sự và ca làm tích hợp dashboard dữ liệu cho nhân sự</t>
  </si>
  <si>
    <t>LV25-067</t>
  </si>
  <si>
    <t>Phần mềm quản lý hóa đơn/công nợ tích hợp dashboard dữ liệu cho nhân sự</t>
  </si>
  <si>
    <t>LV25-068</t>
  </si>
  <si>
    <t>Phần mềm báo cáo thống kê doanh thu tích hợp dashboard dữ liệu cho nhân sự</t>
  </si>
  <si>
    <t>LV25-069</t>
  </si>
  <si>
    <t>Phần mềm cổng chăm sóc khách hàng tích hợp dashboard dữ liệu cho nhân sự</t>
  </si>
  <si>
    <t>LV25-070</t>
  </si>
  <si>
    <t>Phần mềm ứng dụng loyalty/tích điểm tích hợp dashboard dữ liệu cho nhân sự</t>
  </si>
  <si>
    <t>LV25-071</t>
  </si>
  <si>
    <t>Phần mềm quản lý quy trình nghiệp vụ tích hợp dashboard dữ liệu cho nhân sự</t>
  </si>
  <si>
    <t>LV25-072</t>
  </si>
  <si>
    <t>Phần mềm theo dõi trạng thái thời gian thực tích hợp dashboard dữ liệu cho nhân sự</t>
  </si>
  <si>
    <t>LV25-073</t>
  </si>
  <si>
    <t>Phần mềm quản lý hợp đồng/hồ sơ tích hợp dashboard dữ liệu cho nhân sự</t>
  </si>
  <si>
    <t>LV25-074</t>
  </si>
  <si>
    <t>Phần mềm tìm kiếm và lọc nâng cao tích hợp dashboard dữ liệu cho nhân sự</t>
  </si>
  <si>
    <t>LV25-075</t>
  </si>
  <si>
    <t>Phần mềm quản lý phản hồi/đánh giá tích hợp dashboard dữ liệu cho nhân sự</t>
  </si>
  <si>
    <t>LV25-076</t>
  </si>
  <si>
    <t>Phần mềm dashboard điều hành tích hợp dashboard dữ liệu cho nhân sự</t>
  </si>
  <si>
    <t>LV25-077</t>
  </si>
  <si>
    <t>Phần mềm quản lý đa chi nhánh tích hợp dashboard dữ liệu cho nhân sự</t>
  </si>
  <si>
    <t>LV25-078</t>
  </si>
  <si>
    <t>Phần mềm hệ thống phân quyền vai trò tích hợp dashboard dữ liệu cho nhân sự</t>
  </si>
  <si>
    <t>LV25-079</t>
  </si>
  <si>
    <t>Phần mềm quản lý thông báo/nhắc lịch tích hợp dashboard dữ liệu cho nhân sự</t>
  </si>
  <si>
    <t>LV25-080</t>
  </si>
  <si>
    <t>Phần mềm quản lý dữ liệu và import/export tích hợp dashboard dữ liệu cho nhân sự</t>
  </si>
  <si>
    <t>LV25-081</t>
  </si>
  <si>
    <t>Hệ thống quản lý tổng thể có gợi ý AI: phân tích hiệu suất cho phòng nhân sự</t>
  </si>
  <si>
    <t>LV25-082</t>
  </si>
  <si>
    <t>Hệ thống đặt lịch/đặt chỗ có gợi ý AI: nhắc hạn hợp đồng cho phòng nhân sự</t>
  </si>
  <si>
    <t>LV25-083</t>
  </si>
  <si>
    <t>Hệ thống bán hàng và thanh toán có gợi ý AI: dự báo nghỉ việc cho phòng nhân sự</t>
  </si>
  <si>
    <t>LV25-084</t>
  </si>
  <si>
    <t>Hệ thống quản lý khách hàng CRM có gợi ý AI: phân tích hiệu suất cho phòng nhân sự</t>
  </si>
  <si>
    <t>LV25-085</t>
  </si>
  <si>
    <t>Hệ thống quản lý kho/tài sản có gợi ý AI: nhắc hạn hợp đồng cho phòng nhân sự</t>
  </si>
  <si>
    <t>LV25-086</t>
  </si>
  <si>
    <t>Hệ thống quản lý nhân sự và ca làm có gợi ý AI: dự báo nghỉ việc cho phòng nhân sự</t>
  </si>
  <si>
    <t>LV25-087</t>
  </si>
  <si>
    <t>Hệ thống quản lý hóa đơn/công nợ có gợi ý AI: phân tích hiệu suất cho phòng nhân sự</t>
  </si>
  <si>
    <t>LV25-088</t>
  </si>
  <si>
    <t>Hệ thống báo cáo thống kê doanh thu có gợi ý AI: nhắc hạn hợp đồng cho phòng nhân sự</t>
  </si>
  <si>
    <t>LV25-089</t>
  </si>
  <si>
    <t>Hệ thống cổng chăm sóc khách hàng có gợi ý AI: dự báo nghỉ việc cho phòng nhân sự</t>
  </si>
  <si>
    <t>LV25-090</t>
  </si>
  <si>
    <t>Hệ thống ứng dụng loyalty/tích điểm có gợi ý AI: phân tích hiệu suất cho phòng nhân sự</t>
  </si>
  <si>
    <t>LV25-091</t>
  </si>
  <si>
    <t>Hệ thống quản lý quy trình nghiệp vụ có gợi ý AI: nhắc hạn hợp đồng cho phòng nhân sự</t>
  </si>
  <si>
    <t>LV25-092</t>
  </si>
  <si>
    <t>Hệ thống theo dõi trạng thái thời gian thực có gợi ý AI: dự báo nghỉ việc cho phòng nhân sự</t>
  </si>
  <si>
    <t>LV25-093</t>
  </si>
  <si>
    <t>Hệ thống quản lý hợp đồng/hồ sơ có gợi ý AI: phân tích hiệu suất cho phòng nhân sự</t>
  </si>
  <si>
    <t>LV25-094</t>
  </si>
  <si>
    <t>Hệ thống tìm kiếm và lọc nâng cao có gợi ý AI: nhắc hạn hợp đồng cho phòng nhân sự</t>
  </si>
  <si>
    <t>LV25-095</t>
  </si>
  <si>
    <t>Hệ thống quản lý phản hồi/đánh giá có gợi ý AI: dự báo nghỉ việc cho phòng nhân sự</t>
  </si>
  <si>
    <t>LV25-096</t>
  </si>
  <si>
    <t>Hệ thống dashboard điều hành có gợi ý AI: phân tích hiệu suất cho phòng nhân sự</t>
  </si>
  <si>
    <t>LV25-097</t>
  </si>
  <si>
    <t>Hệ thống quản lý đa chi nhánh có gợi ý AI: nhắc hạn hợp đồng cho phòng nhân sự</t>
  </si>
  <si>
    <t>LV25-098</t>
  </si>
  <si>
    <t>Hệ thống hệ thống phân quyền vai trò có gợi ý AI: dự báo nghỉ việc cho phòng nhân sự</t>
  </si>
  <si>
    <t>LV25-099</t>
  </si>
  <si>
    <t>Hệ thống quản lý thông báo/nhắc lịch có gợi ý AI: phân tích hiệu suất cho phòng nhân sự</t>
  </si>
  <si>
    <t>LV25-100</t>
  </si>
  <si>
    <t>Hệ thống quản lý dữ liệu và import/export có gợi ý AI: nhắc hạn hợp đồng cho phòng nhân sự</t>
  </si>
  <si>
    <t>Kế toán</t>
  </si>
  <si>
    <t>LV26-001</t>
  </si>
  <si>
    <t>Hệ thống quản lý tổng thể cho bộ phận kế toán</t>
  </si>
  <si>
    <t>Đồ án 8 tuần cho nhóm 5 SV: xây dựng Mobile App phục vụ bộ phận kế toán; quản lý các thực thể chính: thu chi, hóa đơn, công nợ, báo cáo; có CSDL, API, giao diện người dùng, báo cáo và kiểm thử.</t>
  </si>
  <si>
    <t>Đăng nhập phân quyền, CRUD, tìm kiếm/lọc, dashboard thống kê, import/export, báo cáo PDF/Excel, kiểm thử; nghiệp vụ trọng tâm: quản lý tổng thể; AI/ML gợi ý: dự báo dòng tiền.</t>
  </si>
  <si>
    <t>dự báo dòng tiền</t>
  </si>
  <si>
    <t>LV26-002</t>
  </si>
  <si>
    <t>Hệ thống đặt lịch/đặt chỗ cho bộ phận kế toán</t>
  </si>
  <si>
    <t>Đồ án 8 tuần cho nhóm 5 SV: xây dựng Desktop App phục vụ bộ phận kế toán; quản lý các thực thể chính: thu chi, hóa đơn, công nợ, báo cáo; có CSDL, API, giao diện người dùng, báo cáo và kiểm thử.</t>
  </si>
  <si>
    <t>Đăng nhập phân quyền, CRUD, tìm kiếm/lọc, dashboard thống kê, import/export, báo cáo PDF/Excel, kiểm thử; nghiệp vụ trọng tâm: đặt lịch/đặt chỗ; AI/ML gợi ý: cảnh báo công nợ.</t>
  </si>
  <si>
    <t>cảnh báo công nợ</t>
  </si>
  <si>
    <t>LV26-003</t>
  </si>
  <si>
    <t>Hệ thống bán hàng và thanh toán cho bộ phận kế toán</t>
  </si>
  <si>
    <t>Đồ án 8 tuần cho nhóm 5 SV: xây dựng Web + Mobile phục vụ bộ phận kế toán; quản lý các thực thể chính: thu chi, hóa đơn, công nợ, báo cáo; có CSDL, API, giao diện người dùng, báo cáo và kiểm thử.</t>
  </si>
  <si>
    <t>Đăng nhập phân quyền, CRUD, tìm kiếm/lọc, dashboard thống kê, import/export, báo cáo PDF/Excel, kiểm thử; nghiệp vụ trọng tâm: bán hàng và thanh toán; AI/ML gợi ý: phân loại giao dịch.</t>
  </si>
  <si>
    <t>phân loại giao dịch</t>
  </si>
  <si>
    <t>LV26-004</t>
  </si>
  <si>
    <t>Hệ thống quản lý khách hàng CRM cho bộ phận kế toán</t>
  </si>
  <si>
    <t>Đồ án 8 tuần cho nhóm 5 SV: xây dựng Web + Desktop phục vụ bộ phận kế toán; quản lý các thực thể chính: thu chi, hóa đơn, công nợ, báo cáo; có CSDL, API, giao diện người dùng, báo cáo và kiểm thử.</t>
  </si>
  <si>
    <t>Đăng nhập phân quyền, CRUD, tìm kiếm/lọc, dashboard thống kê, import/export, báo cáo PDF/Excel, kiểm thử; nghiệp vụ trọng tâm: quản lý khách hàng CRM; AI/ML gợi ý: dự báo dòng tiền.</t>
  </si>
  <si>
    <t>LV26-005</t>
  </si>
  <si>
    <t>Hệ thống quản lý kho/tài sản cho bộ phận kế toán</t>
  </si>
  <si>
    <t>Đồ án 8 tuần cho nhóm 5 SV: xây dựng Website phục vụ bộ phận kế toán; quản lý các thực thể chính: thu chi, hóa đơn, công nợ, báo cáo; có CSDL, API, giao diện người dùng, báo cáo và kiểm thử.</t>
  </si>
  <si>
    <t>Đăng nhập phân quyền, CRUD, tìm kiếm/lọc, dashboard thống kê, import/export, báo cáo PDF/Excel, kiểm thử; nghiệp vụ trọng tâm: quản lý kho/tài sản; AI/ML gợi ý: cảnh báo công nợ.</t>
  </si>
  <si>
    <t>LV26-006</t>
  </si>
  <si>
    <t>Hệ thống quản lý nhân sự và ca làm cho bộ phận kế toán</t>
  </si>
  <si>
    <t>Đăng nhập phân quyền, CRUD, tìm kiếm/lọc, dashboard thống kê, import/export, báo cáo PDF/Excel, kiểm thử; nghiệp vụ trọng tâm: quản lý nhân sự và ca làm; AI/ML gợi ý: phân loại giao dịch.</t>
  </si>
  <si>
    <t>LV26-007</t>
  </si>
  <si>
    <t>Hệ thống quản lý hóa đơn/công nợ cho bộ phận kế toán</t>
  </si>
  <si>
    <t>Đăng nhập phân quyền, CRUD, tìm kiếm/lọc, dashboard thống kê, import/export, báo cáo PDF/Excel, kiểm thử; nghiệp vụ trọng tâm: quản lý hóa đơn/công nợ; AI/ML gợi ý: dự báo dòng tiền.</t>
  </si>
  <si>
    <t>LV26-008</t>
  </si>
  <si>
    <t>Hệ thống báo cáo thống kê doanh thu cho bộ phận kế toán</t>
  </si>
  <si>
    <t>Đăng nhập phân quyền, CRUD, tìm kiếm/lọc, dashboard thống kê, import/export, báo cáo PDF/Excel, kiểm thử; nghiệp vụ trọng tâm: báo cáo thống kê doanh thu; AI/ML gợi ý: cảnh báo công nợ.</t>
  </si>
  <si>
    <t>LV26-009</t>
  </si>
  <si>
    <t>Hệ thống cổng chăm sóc khách hàng cho bộ phận kế toán</t>
  </si>
  <si>
    <t>Đăng nhập phân quyền, CRUD, tìm kiếm/lọc, dashboard thống kê, import/export, báo cáo PDF/Excel, kiểm thử; nghiệp vụ trọng tâm: cổng chăm sóc khách hàng; AI/ML gợi ý: phân loại giao dịch.</t>
  </si>
  <si>
    <t>LV26-010</t>
  </si>
  <si>
    <t>Hệ thống ứng dụng loyalty/tích điểm cho bộ phận kế toán</t>
  </si>
  <si>
    <t>Đăng nhập phân quyền, CRUD, tìm kiếm/lọc, dashboard thống kê, import/export, báo cáo PDF/Excel, kiểm thử; nghiệp vụ trọng tâm: ứng dụng loyalty/tích điểm; AI/ML gợi ý: dự báo dòng tiền.</t>
  </si>
  <si>
    <t>LV26-011</t>
  </si>
  <si>
    <t>Hệ thống quản lý quy trình nghiệp vụ cho bộ phận kế toán</t>
  </si>
  <si>
    <t>Đăng nhập phân quyền, CRUD, tìm kiếm/lọc, dashboard thống kê, import/export, báo cáo PDF/Excel, kiểm thử; nghiệp vụ trọng tâm: quản lý quy trình nghiệp vụ; AI/ML gợi ý: cảnh báo công nợ.</t>
  </si>
  <si>
    <t>LV26-012</t>
  </si>
  <si>
    <t>Hệ thống theo dõi trạng thái thời gian thực cho bộ phận kế toán</t>
  </si>
  <si>
    <t>Đăng nhập phân quyền, CRUD, tìm kiếm/lọc, dashboard thống kê, import/export, báo cáo PDF/Excel, kiểm thử; nghiệp vụ trọng tâm: theo dõi trạng thái thời gian thực; AI/ML gợi ý: phân loại giao dịch.</t>
  </si>
  <si>
    <t>LV26-013</t>
  </si>
  <si>
    <t>Hệ thống quản lý hợp đồng/hồ sơ cho bộ phận kế toán</t>
  </si>
  <si>
    <t>Đăng nhập phân quyền, CRUD, tìm kiếm/lọc, dashboard thống kê, import/export, báo cáo PDF/Excel, kiểm thử; nghiệp vụ trọng tâm: quản lý hợp đồng/hồ sơ; AI/ML gợi ý: dự báo dòng tiền.</t>
  </si>
  <si>
    <t>LV26-014</t>
  </si>
  <si>
    <t>Hệ thống tìm kiếm và lọc nâng cao cho bộ phận kế toán</t>
  </si>
  <si>
    <t>Đăng nhập phân quyền, CRUD, tìm kiếm/lọc, dashboard thống kê, import/export, báo cáo PDF/Excel, kiểm thử; nghiệp vụ trọng tâm: tìm kiếm và lọc nâng cao; AI/ML gợi ý: cảnh báo công nợ.</t>
  </si>
  <si>
    <t>LV26-015</t>
  </si>
  <si>
    <t>Hệ thống quản lý phản hồi/đánh giá cho bộ phận kế toán</t>
  </si>
  <si>
    <t>Đăng nhập phân quyền, CRUD, tìm kiếm/lọc, dashboard thống kê, import/export, báo cáo PDF/Excel, kiểm thử; nghiệp vụ trọng tâm: quản lý phản hồi/đánh giá; AI/ML gợi ý: phân loại giao dịch.</t>
  </si>
  <si>
    <t>LV26-016</t>
  </si>
  <si>
    <t>Hệ thống dashboard điều hành cho bộ phận kế toán</t>
  </si>
  <si>
    <t>Đăng nhập phân quyền, CRUD, tìm kiếm/lọc, dashboard thống kê, import/export, báo cáo PDF/Excel, kiểm thử; nghiệp vụ trọng tâm: dashboard điều hành; AI/ML gợi ý: dự báo dòng tiền.</t>
  </si>
  <si>
    <t>LV26-017</t>
  </si>
  <si>
    <t>Hệ thống quản lý đa chi nhánh cho bộ phận kế toán</t>
  </si>
  <si>
    <t>Đăng nhập phân quyền, CRUD, tìm kiếm/lọc, dashboard thống kê, import/export, báo cáo PDF/Excel, kiểm thử; nghiệp vụ trọng tâm: quản lý đa chi nhánh; AI/ML gợi ý: cảnh báo công nợ.</t>
  </si>
  <si>
    <t>LV26-018</t>
  </si>
  <si>
    <t>Hệ thống hệ thống phân quyền vai trò cho bộ phận kế toán</t>
  </si>
  <si>
    <t>Đăng nhập phân quyền, CRUD, tìm kiếm/lọc, dashboard thống kê, import/export, báo cáo PDF/Excel, kiểm thử; nghiệp vụ trọng tâm: hệ thống phân quyền vai trò; AI/ML gợi ý: phân loại giao dịch.</t>
  </si>
  <si>
    <t>LV26-019</t>
  </si>
  <si>
    <t>Hệ thống quản lý thông báo/nhắc lịch cho bộ phận kế toán</t>
  </si>
  <si>
    <t>Đăng nhập phân quyền, CRUD, tìm kiếm/lọc, dashboard thống kê, import/export, báo cáo PDF/Excel, kiểm thử; nghiệp vụ trọng tâm: quản lý thông báo/nhắc lịch; AI/ML gợi ý: dự báo dòng tiền.</t>
  </si>
  <si>
    <t>LV26-020</t>
  </si>
  <si>
    <t>Hệ thống quản lý dữ liệu và import/export cho bộ phận kế toán</t>
  </si>
  <si>
    <t>Đăng nhập phân quyền, CRUD, tìm kiếm/lọc, dashboard thống kê, import/export, báo cáo PDF/Excel, kiểm thử; nghiệp vụ trọng tâm: quản lý dữ liệu và import/export; AI/ML gợi ý: cảnh báo công nợ.</t>
  </si>
  <si>
    <t>LV26-021</t>
  </si>
  <si>
    <t>Ứng dụng mobile app hỗ trợ quản lý tổng thể trong kế toán</t>
  </si>
  <si>
    <t>LV26-022</t>
  </si>
  <si>
    <t>Ứng dụng desktop app hỗ trợ đặt lịch/đặt chỗ trong kế toán</t>
  </si>
  <si>
    <t>LV26-023</t>
  </si>
  <si>
    <t>Ứng dụng web + mobile hỗ trợ bán hàng và thanh toán trong kế toán</t>
  </si>
  <si>
    <t>LV26-024</t>
  </si>
  <si>
    <t>Ứng dụng web + desktop hỗ trợ quản lý khách hàng CRM trong kế toán</t>
  </si>
  <si>
    <t>LV26-025</t>
  </si>
  <si>
    <t>Ứng dụng website hỗ trợ quản lý kho/tài sản trong kế toán</t>
  </si>
  <si>
    <t>LV26-026</t>
  </si>
  <si>
    <t>Ứng dụng mobile app hỗ trợ quản lý nhân sự và ca làm trong kế toán</t>
  </si>
  <si>
    <t>LV26-027</t>
  </si>
  <si>
    <t>Ứng dụng desktop app hỗ trợ quản lý hóa đơn/công nợ trong kế toán</t>
  </si>
  <si>
    <t>LV26-028</t>
  </si>
  <si>
    <t>Ứng dụng web + mobile hỗ trợ báo cáo thống kê doanh thu trong kế toán</t>
  </si>
  <si>
    <t>LV26-029</t>
  </si>
  <si>
    <t>Ứng dụng web + desktop hỗ trợ cổng chăm sóc khách hàng trong kế toán</t>
  </si>
  <si>
    <t>LV26-030</t>
  </si>
  <si>
    <t>Ứng dụng website hỗ trợ ứng dụng loyalty/tích điểm trong kế toán</t>
  </si>
  <si>
    <t>LV26-031</t>
  </si>
  <si>
    <t>Ứng dụng mobile app hỗ trợ quản lý quy trình nghiệp vụ trong kế toán</t>
  </si>
  <si>
    <t>LV26-032</t>
  </si>
  <si>
    <t>Ứng dụng desktop app hỗ trợ theo dõi trạng thái thời gian thực trong kế toán</t>
  </si>
  <si>
    <t>LV26-033</t>
  </si>
  <si>
    <t>Ứng dụng web + mobile hỗ trợ quản lý hợp đồng/hồ sơ trong kế toán</t>
  </si>
  <si>
    <t>LV26-034</t>
  </si>
  <si>
    <t>Ứng dụng web + desktop hỗ trợ tìm kiếm và lọc nâng cao trong kế toán</t>
  </si>
  <si>
    <t>LV26-035</t>
  </si>
  <si>
    <t>Ứng dụng website hỗ trợ quản lý phản hồi/đánh giá trong kế toán</t>
  </si>
  <si>
    <t>LV26-036</t>
  </si>
  <si>
    <t>Ứng dụng mobile app hỗ trợ dashboard điều hành trong kế toán</t>
  </si>
  <si>
    <t>LV26-037</t>
  </si>
  <si>
    <t>Ứng dụng desktop app hỗ trợ quản lý đa chi nhánh trong kế toán</t>
  </si>
  <si>
    <t>LV26-038</t>
  </si>
  <si>
    <t>Ứng dụng web + mobile hỗ trợ hệ thống phân quyền vai trò trong kế toán</t>
  </si>
  <si>
    <t>LV26-039</t>
  </si>
  <si>
    <t>Ứng dụng web + desktop hỗ trợ quản lý thông báo/nhắc lịch trong kế toán</t>
  </si>
  <si>
    <t>LV26-040</t>
  </si>
  <si>
    <t>Ứng dụng website hỗ trợ quản lý dữ liệu và import/export trong kế toán</t>
  </si>
  <si>
    <t>LV26-041</t>
  </si>
  <si>
    <t>Nền tảng quản lý tổng thể có phân quyền và báo cáo cho bộ phận kế toán</t>
  </si>
  <si>
    <t>LV26-042</t>
  </si>
  <si>
    <t>Nền tảng đặt lịch/đặt chỗ có phân quyền và báo cáo cho bộ phận kế toán</t>
  </si>
  <si>
    <t>LV26-043</t>
  </si>
  <si>
    <t>Nền tảng bán hàng và thanh toán có phân quyền và báo cáo cho bộ phận kế toán</t>
  </si>
  <si>
    <t>LV26-044</t>
  </si>
  <si>
    <t>Nền tảng quản lý khách hàng CRM có phân quyền và báo cáo cho bộ phận kế toán</t>
  </si>
  <si>
    <t>LV26-045</t>
  </si>
  <si>
    <t>Nền tảng quản lý kho/tài sản có phân quyền và báo cáo cho bộ phận kế toán</t>
  </si>
  <si>
    <t>LV26-046</t>
  </si>
  <si>
    <t>Nền tảng quản lý nhân sự và ca làm có phân quyền và báo cáo cho bộ phận kế toán</t>
  </si>
  <si>
    <t>LV26-047</t>
  </si>
  <si>
    <t>Nền tảng quản lý hóa đơn/công nợ có phân quyền và báo cáo cho bộ phận kế toán</t>
  </si>
  <si>
    <t>LV26-048</t>
  </si>
  <si>
    <t>Nền tảng báo cáo thống kê doanh thu có phân quyền và báo cáo cho bộ phận kế toán</t>
  </si>
  <si>
    <t>LV26-049</t>
  </si>
  <si>
    <t>Nền tảng cổng chăm sóc khách hàng có phân quyền và báo cáo cho bộ phận kế toán</t>
  </si>
  <si>
    <t>LV26-050</t>
  </si>
  <si>
    <t>Nền tảng ứng dụng loyalty/tích điểm có phân quyền và báo cáo cho bộ phận kế toán</t>
  </si>
  <si>
    <t>LV26-051</t>
  </si>
  <si>
    <t>Nền tảng quản lý quy trình nghiệp vụ có phân quyền và báo cáo cho bộ phận kế toán</t>
  </si>
  <si>
    <t>LV26-052</t>
  </si>
  <si>
    <t>Nền tảng theo dõi trạng thái thời gian thực có phân quyền và báo cáo cho bộ phận kế toán</t>
  </si>
  <si>
    <t>LV26-053</t>
  </si>
  <si>
    <t>Nền tảng quản lý hợp đồng/hồ sơ có phân quyền và báo cáo cho bộ phận kế toán</t>
  </si>
  <si>
    <t>LV26-054</t>
  </si>
  <si>
    <t>Nền tảng tìm kiếm và lọc nâng cao có phân quyền và báo cáo cho bộ phận kế toán</t>
  </si>
  <si>
    <t>LV26-055</t>
  </si>
  <si>
    <t>Nền tảng quản lý phản hồi/đánh giá có phân quyền và báo cáo cho bộ phận kế toán</t>
  </si>
  <si>
    <t>LV26-056</t>
  </si>
  <si>
    <t>Nền tảng dashboard điều hành có phân quyền và báo cáo cho bộ phận kế toán</t>
  </si>
  <si>
    <t>LV26-057</t>
  </si>
  <si>
    <t>Nền tảng quản lý đa chi nhánh có phân quyền và báo cáo cho bộ phận kế toán</t>
  </si>
  <si>
    <t>LV26-058</t>
  </si>
  <si>
    <t>Nền tảng hệ thống phân quyền vai trò có phân quyền và báo cáo cho bộ phận kế toán</t>
  </si>
  <si>
    <t>LV26-059</t>
  </si>
  <si>
    <t>Nền tảng quản lý thông báo/nhắc lịch có phân quyền và báo cáo cho bộ phận kế toán</t>
  </si>
  <si>
    <t>LV26-060</t>
  </si>
  <si>
    <t>Nền tảng quản lý dữ liệu và import/export có phân quyền và báo cáo cho bộ phận kế toán</t>
  </si>
  <si>
    <t>LV26-061</t>
  </si>
  <si>
    <t>Phần mềm quản lý tổng thể tích hợp dashboard dữ liệu cho kế toán</t>
  </si>
  <si>
    <t>LV26-062</t>
  </si>
  <si>
    <t>Phần mềm đặt lịch/đặt chỗ tích hợp dashboard dữ liệu cho kế toán</t>
  </si>
  <si>
    <t>LV26-063</t>
  </si>
  <si>
    <t>Phần mềm bán hàng và thanh toán tích hợp dashboard dữ liệu cho kế toán</t>
  </si>
  <si>
    <t>LV26-064</t>
  </si>
  <si>
    <t>Phần mềm quản lý khách hàng CRM tích hợp dashboard dữ liệu cho kế toán</t>
  </si>
  <si>
    <t>LV26-065</t>
  </si>
  <si>
    <t>Phần mềm quản lý kho/tài sản tích hợp dashboard dữ liệu cho kế toán</t>
  </si>
  <si>
    <t>LV26-066</t>
  </si>
  <si>
    <t>Phần mềm quản lý nhân sự và ca làm tích hợp dashboard dữ liệu cho kế toán</t>
  </si>
  <si>
    <t>LV26-067</t>
  </si>
  <si>
    <t>Phần mềm quản lý hóa đơn/công nợ tích hợp dashboard dữ liệu cho kế toán</t>
  </si>
  <si>
    <t>LV26-068</t>
  </si>
  <si>
    <t>Phần mềm báo cáo thống kê doanh thu tích hợp dashboard dữ liệu cho kế toán</t>
  </si>
  <si>
    <t>LV26-069</t>
  </si>
  <si>
    <t>Phần mềm cổng chăm sóc khách hàng tích hợp dashboard dữ liệu cho kế toán</t>
  </si>
  <si>
    <t>LV26-070</t>
  </si>
  <si>
    <t>Phần mềm ứng dụng loyalty/tích điểm tích hợp dashboard dữ liệu cho kế toán</t>
  </si>
  <si>
    <t>LV26-071</t>
  </si>
  <si>
    <t>Phần mềm quản lý quy trình nghiệp vụ tích hợp dashboard dữ liệu cho kế toán</t>
  </si>
  <si>
    <t>LV26-072</t>
  </si>
  <si>
    <t>Phần mềm theo dõi trạng thái thời gian thực tích hợp dashboard dữ liệu cho kế toán</t>
  </si>
  <si>
    <t>LV26-073</t>
  </si>
  <si>
    <t>Phần mềm quản lý hợp đồng/hồ sơ tích hợp dashboard dữ liệu cho kế toán</t>
  </si>
  <si>
    <t>LV26-074</t>
  </si>
  <si>
    <t>Phần mềm tìm kiếm và lọc nâng cao tích hợp dashboard dữ liệu cho kế toán</t>
  </si>
  <si>
    <t>LV26-075</t>
  </si>
  <si>
    <t>Phần mềm quản lý phản hồi/đánh giá tích hợp dashboard dữ liệu cho kế toán</t>
  </si>
  <si>
    <t>LV26-076</t>
  </si>
  <si>
    <t>Phần mềm dashboard điều hành tích hợp dashboard dữ liệu cho kế toán</t>
  </si>
  <si>
    <t>LV26-077</t>
  </si>
  <si>
    <t>Phần mềm quản lý đa chi nhánh tích hợp dashboard dữ liệu cho kế toán</t>
  </si>
  <si>
    <t>LV26-078</t>
  </si>
  <si>
    <t>Phần mềm hệ thống phân quyền vai trò tích hợp dashboard dữ liệu cho kế toán</t>
  </si>
  <si>
    <t>LV26-079</t>
  </si>
  <si>
    <t>Phần mềm quản lý thông báo/nhắc lịch tích hợp dashboard dữ liệu cho kế toán</t>
  </si>
  <si>
    <t>LV26-080</t>
  </si>
  <si>
    <t>Phần mềm quản lý dữ liệu và import/export tích hợp dashboard dữ liệu cho kế toán</t>
  </si>
  <si>
    <t>LV26-081</t>
  </si>
  <si>
    <t>Hệ thống quản lý tổng thể có gợi ý AI: dự báo dòng tiền cho bộ phận kế toán</t>
  </si>
  <si>
    <t>LV26-082</t>
  </si>
  <si>
    <t>Hệ thống đặt lịch/đặt chỗ có gợi ý AI: cảnh báo công nợ cho bộ phận kế toán</t>
  </si>
  <si>
    <t>LV26-083</t>
  </si>
  <si>
    <t>Hệ thống bán hàng và thanh toán có gợi ý AI: phân loại giao dịch cho bộ phận kế toán</t>
  </si>
  <si>
    <t>LV26-084</t>
  </si>
  <si>
    <t>Hệ thống quản lý khách hàng CRM có gợi ý AI: dự báo dòng tiền cho bộ phận kế toán</t>
  </si>
  <si>
    <t>LV26-085</t>
  </si>
  <si>
    <t>Hệ thống quản lý kho/tài sản có gợi ý AI: cảnh báo công nợ cho bộ phận kế toán</t>
  </si>
  <si>
    <t>LV26-086</t>
  </si>
  <si>
    <t>Hệ thống quản lý nhân sự và ca làm có gợi ý AI: phân loại giao dịch cho bộ phận kế toán</t>
  </si>
  <si>
    <t>LV26-087</t>
  </si>
  <si>
    <t>Hệ thống quản lý hóa đơn/công nợ có gợi ý AI: dự báo dòng tiền cho bộ phận kế toán</t>
  </si>
  <si>
    <t>LV26-088</t>
  </si>
  <si>
    <t>Hệ thống báo cáo thống kê doanh thu có gợi ý AI: cảnh báo công nợ cho bộ phận kế toán</t>
  </si>
  <si>
    <t>LV26-089</t>
  </si>
  <si>
    <t>Hệ thống cổng chăm sóc khách hàng có gợi ý AI: phân loại giao dịch cho bộ phận kế toán</t>
  </si>
  <si>
    <t>LV26-090</t>
  </si>
  <si>
    <t>Hệ thống ứng dụng loyalty/tích điểm có gợi ý AI: dự báo dòng tiền cho bộ phận kế toán</t>
  </si>
  <si>
    <t>LV26-091</t>
  </si>
  <si>
    <t>Hệ thống quản lý quy trình nghiệp vụ có gợi ý AI: cảnh báo công nợ cho bộ phận kế toán</t>
  </si>
  <si>
    <t>LV26-092</t>
  </si>
  <si>
    <t>Hệ thống theo dõi trạng thái thời gian thực có gợi ý AI: phân loại giao dịch cho bộ phận kế toán</t>
  </si>
  <si>
    <t>LV26-093</t>
  </si>
  <si>
    <t>Hệ thống quản lý hợp đồng/hồ sơ có gợi ý AI: dự báo dòng tiền cho bộ phận kế toán</t>
  </si>
  <si>
    <t>LV26-094</t>
  </si>
  <si>
    <t>Hệ thống tìm kiếm và lọc nâng cao có gợi ý AI: cảnh báo công nợ cho bộ phận kế toán</t>
  </si>
  <si>
    <t>LV26-095</t>
  </si>
  <si>
    <t>Hệ thống quản lý phản hồi/đánh giá có gợi ý AI: phân loại giao dịch cho bộ phận kế toán</t>
  </si>
  <si>
    <t>LV26-096</t>
  </si>
  <si>
    <t>Hệ thống dashboard điều hành có gợi ý AI: dự báo dòng tiền cho bộ phận kế toán</t>
  </si>
  <si>
    <t>LV26-097</t>
  </si>
  <si>
    <t>Hệ thống quản lý đa chi nhánh có gợi ý AI: cảnh báo công nợ cho bộ phận kế toán</t>
  </si>
  <si>
    <t>LV26-098</t>
  </si>
  <si>
    <t>Hệ thống hệ thống phân quyền vai trò có gợi ý AI: phân loại giao dịch cho bộ phận kế toán</t>
  </si>
  <si>
    <t>LV26-099</t>
  </si>
  <si>
    <t>Hệ thống quản lý thông báo/nhắc lịch có gợi ý AI: dự báo dòng tiền cho bộ phận kế toán</t>
  </si>
  <si>
    <t>LV26-100</t>
  </si>
  <si>
    <t>Hệ thống quản lý dữ liệu và import/export có gợi ý AI: cảnh báo công nợ cho bộ phận kế toán</t>
  </si>
  <si>
    <t>Ngân hàng / tài chính</t>
  </si>
  <si>
    <t>LV27-001</t>
  </si>
  <si>
    <t>Hệ thống quản lý tổng thể cho dịch vụ tài chính</t>
  </si>
  <si>
    <t>Đồ án 8 tuần cho nhóm 5 SV: xây dựng Desktop App phục vụ dịch vụ tài chính; quản lý các thực thể chính: khách hàng, giao dịch, khoản vay, tài khoản; có CSDL, API, giao diện người dùng, báo cáo và kiểm thử.</t>
  </si>
  <si>
    <t>Đăng nhập phân quyền, CRUD, tìm kiếm/lọc, dashboard thống kê, import/export, báo cáo PDF/Excel, kiểm thử; nghiệp vụ trọng tâm: quản lý tổng thể; AI/ML gợi ý: phát hiện giao dịch bất thường.</t>
  </si>
  <si>
    <t>phát hiện giao dịch bất thường</t>
  </si>
  <si>
    <t>LV27-002</t>
  </si>
  <si>
    <t>Hệ thống đặt lịch/đặt chỗ cho dịch vụ tài chính</t>
  </si>
  <si>
    <t>Đồ án 8 tuần cho nhóm 5 SV: xây dựng Web + Mobile phục vụ dịch vụ tài chính; quản lý các thực thể chính: khách hàng, giao dịch, khoản vay, tài khoản; có CSDL, API, giao diện người dùng, báo cáo và kiểm thử.</t>
  </si>
  <si>
    <t>Đăng nhập phân quyền, CRUD, tìm kiếm/lọc, dashboard thống kê, import/export, báo cáo PDF/Excel, kiểm thử; nghiệp vụ trọng tâm: đặt lịch/đặt chỗ; AI/ML gợi ý: gợi ý gói vay.</t>
  </si>
  <si>
    <t>gợi ý gói vay</t>
  </si>
  <si>
    <t>LV27-003</t>
  </si>
  <si>
    <t>Hệ thống bán hàng và thanh toán cho dịch vụ tài chính</t>
  </si>
  <si>
    <t>Đồ án 8 tuần cho nhóm 5 SV: xây dựng Web + Desktop phục vụ dịch vụ tài chính; quản lý các thực thể chính: khách hàng, giao dịch, khoản vay, tài khoản; có CSDL, API, giao diện người dùng, báo cáo và kiểm thử.</t>
  </si>
  <si>
    <t>Đăng nhập phân quyền, CRUD, tìm kiếm/lọc, dashboard thống kê, import/export, báo cáo PDF/Excel, kiểm thử; nghiệp vụ trọng tâm: bán hàng và thanh toán; AI/ML gợi ý: chấm điểm tín dụng mô phỏng.</t>
  </si>
  <si>
    <t>chấm điểm tín dụng mô phỏng</t>
  </si>
  <si>
    <t>LV27-004</t>
  </si>
  <si>
    <t>Hệ thống quản lý khách hàng CRM cho dịch vụ tài chính</t>
  </si>
  <si>
    <t>Đồ án 8 tuần cho nhóm 5 SV: xây dựng Website phục vụ dịch vụ tài chính; quản lý các thực thể chính: khách hàng, giao dịch, khoản vay, tài khoản; có CSDL, API, giao diện người dùng, báo cáo và kiểm thử.</t>
  </si>
  <si>
    <t>Đăng nhập phân quyền, CRUD, tìm kiếm/lọc, dashboard thống kê, import/export, báo cáo PDF/Excel, kiểm thử; nghiệp vụ trọng tâm: quản lý khách hàng CRM; AI/ML gợi ý: phát hiện giao dịch bất thường.</t>
  </si>
  <si>
    <t>LV27-005</t>
  </si>
  <si>
    <t>Hệ thống quản lý kho/tài sản cho dịch vụ tài chính</t>
  </si>
  <si>
    <t>Đồ án 8 tuần cho nhóm 5 SV: xây dựng Mobile App phục vụ dịch vụ tài chính; quản lý các thực thể chính: khách hàng, giao dịch, khoản vay, tài khoản; có CSDL, API, giao diện người dùng, báo cáo và kiểm thử.</t>
  </si>
  <si>
    <t>Đăng nhập phân quyền, CRUD, tìm kiếm/lọc, dashboard thống kê, import/export, báo cáo PDF/Excel, kiểm thử; nghiệp vụ trọng tâm: quản lý kho/tài sản; AI/ML gợi ý: gợi ý gói vay.</t>
  </si>
  <si>
    <t>LV27-006</t>
  </si>
  <si>
    <t>Hệ thống quản lý nhân sự và ca làm cho dịch vụ tài chính</t>
  </si>
  <si>
    <t>Đăng nhập phân quyền, CRUD, tìm kiếm/lọc, dashboard thống kê, import/export, báo cáo PDF/Excel, kiểm thử; nghiệp vụ trọng tâm: quản lý nhân sự và ca làm; AI/ML gợi ý: chấm điểm tín dụng mô phỏng.</t>
  </si>
  <si>
    <t>LV27-007</t>
  </si>
  <si>
    <t>Hệ thống quản lý hóa đơn/công nợ cho dịch vụ tài chính</t>
  </si>
  <si>
    <t>Đăng nhập phân quyền, CRUD, tìm kiếm/lọc, dashboard thống kê, import/export, báo cáo PDF/Excel, kiểm thử; nghiệp vụ trọng tâm: quản lý hóa đơn/công nợ; AI/ML gợi ý: phát hiện giao dịch bất thường.</t>
  </si>
  <si>
    <t>LV27-008</t>
  </si>
  <si>
    <t>Hệ thống báo cáo thống kê doanh thu cho dịch vụ tài chính</t>
  </si>
  <si>
    <t>Đăng nhập phân quyền, CRUD, tìm kiếm/lọc, dashboard thống kê, import/export, báo cáo PDF/Excel, kiểm thử; nghiệp vụ trọng tâm: báo cáo thống kê doanh thu; AI/ML gợi ý: gợi ý gói vay.</t>
  </si>
  <si>
    <t>LV27-009</t>
  </si>
  <si>
    <t>Hệ thống cổng chăm sóc khách hàng cho dịch vụ tài chính</t>
  </si>
  <si>
    <t>Đăng nhập phân quyền, CRUD, tìm kiếm/lọc, dashboard thống kê, import/export, báo cáo PDF/Excel, kiểm thử; nghiệp vụ trọng tâm: cổng chăm sóc khách hàng; AI/ML gợi ý: chấm điểm tín dụng mô phỏng.</t>
  </si>
  <si>
    <t>LV27-010</t>
  </si>
  <si>
    <t>Hệ thống ứng dụng loyalty/tích điểm cho dịch vụ tài chính</t>
  </si>
  <si>
    <t>Đăng nhập phân quyền, CRUD, tìm kiếm/lọc, dashboard thống kê, import/export, báo cáo PDF/Excel, kiểm thử; nghiệp vụ trọng tâm: ứng dụng loyalty/tích điểm; AI/ML gợi ý: phát hiện giao dịch bất thường.</t>
  </si>
  <si>
    <t>LV27-011</t>
  </si>
  <si>
    <t>Hệ thống quản lý quy trình nghiệp vụ cho dịch vụ tài chính</t>
  </si>
  <si>
    <t>Đăng nhập phân quyền, CRUD, tìm kiếm/lọc, dashboard thống kê, import/export, báo cáo PDF/Excel, kiểm thử; nghiệp vụ trọng tâm: quản lý quy trình nghiệp vụ; AI/ML gợi ý: gợi ý gói vay.</t>
  </si>
  <si>
    <t>LV27-012</t>
  </si>
  <si>
    <t>Hệ thống theo dõi trạng thái thời gian thực cho dịch vụ tài chính</t>
  </si>
  <si>
    <t>Đăng nhập phân quyền, CRUD, tìm kiếm/lọc, dashboard thống kê, import/export, báo cáo PDF/Excel, kiểm thử; nghiệp vụ trọng tâm: theo dõi trạng thái thời gian thực; AI/ML gợi ý: chấm điểm tín dụng mô phỏng.</t>
  </si>
  <si>
    <t>LV27-013</t>
  </si>
  <si>
    <t>Hệ thống quản lý hợp đồng/hồ sơ cho dịch vụ tài chính</t>
  </si>
  <si>
    <t>Đăng nhập phân quyền, CRUD, tìm kiếm/lọc, dashboard thống kê, import/export, báo cáo PDF/Excel, kiểm thử; nghiệp vụ trọng tâm: quản lý hợp đồng/hồ sơ; AI/ML gợi ý: phát hiện giao dịch bất thường.</t>
  </si>
  <si>
    <t>LV27-014</t>
  </si>
  <si>
    <t>Hệ thống tìm kiếm và lọc nâng cao cho dịch vụ tài chính</t>
  </si>
  <si>
    <t>Đăng nhập phân quyền, CRUD, tìm kiếm/lọc, dashboard thống kê, import/export, báo cáo PDF/Excel, kiểm thử; nghiệp vụ trọng tâm: tìm kiếm và lọc nâng cao; AI/ML gợi ý: gợi ý gói vay.</t>
  </si>
  <si>
    <t>LV27-015</t>
  </si>
  <si>
    <t>Hệ thống quản lý phản hồi/đánh giá cho dịch vụ tài chính</t>
  </si>
  <si>
    <t>Đăng nhập phân quyền, CRUD, tìm kiếm/lọc, dashboard thống kê, import/export, báo cáo PDF/Excel, kiểm thử; nghiệp vụ trọng tâm: quản lý phản hồi/đánh giá; AI/ML gợi ý: chấm điểm tín dụng mô phỏng.</t>
  </si>
  <si>
    <t>LV27-016</t>
  </si>
  <si>
    <t>Hệ thống dashboard điều hành cho dịch vụ tài chính</t>
  </si>
  <si>
    <t>Đăng nhập phân quyền, CRUD, tìm kiếm/lọc, dashboard thống kê, import/export, báo cáo PDF/Excel, kiểm thử; nghiệp vụ trọng tâm: dashboard điều hành; AI/ML gợi ý: phát hiện giao dịch bất thường.</t>
  </si>
  <si>
    <t>LV27-017</t>
  </si>
  <si>
    <t>Hệ thống quản lý đa chi nhánh cho dịch vụ tài chính</t>
  </si>
  <si>
    <t>Đăng nhập phân quyền, CRUD, tìm kiếm/lọc, dashboard thống kê, import/export, báo cáo PDF/Excel, kiểm thử; nghiệp vụ trọng tâm: quản lý đa chi nhánh; AI/ML gợi ý: gợi ý gói vay.</t>
  </si>
  <si>
    <t>LV27-018</t>
  </si>
  <si>
    <t>Hệ thống hệ thống phân quyền vai trò cho dịch vụ tài chính</t>
  </si>
  <si>
    <t>Đăng nhập phân quyền, CRUD, tìm kiếm/lọc, dashboard thống kê, import/export, báo cáo PDF/Excel, kiểm thử; nghiệp vụ trọng tâm: hệ thống phân quyền vai trò; AI/ML gợi ý: chấm điểm tín dụng mô phỏng.</t>
  </si>
  <si>
    <t>LV27-019</t>
  </si>
  <si>
    <t>Hệ thống quản lý thông báo/nhắc lịch cho dịch vụ tài chính</t>
  </si>
  <si>
    <t>Đăng nhập phân quyền, CRUD, tìm kiếm/lọc, dashboard thống kê, import/export, báo cáo PDF/Excel, kiểm thử; nghiệp vụ trọng tâm: quản lý thông báo/nhắc lịch; AI/ML gợi ý: phát hiện giao dịch bất thường.</t>
  </si>
  <si>
    <t>LV27-020</t>
  </si>
  <si>
    <t>Hệ thống quản lý dữ liệu và import/export cho dịch vụ tài chính</t>
  </si>
  <si>
    <t>Đăng nhập phân quyền, CRUD, tìm kiếm/lọc, dashboard thống kê, import/export, báo cáo PDF/Excel, kiểm thử; nghiệp vụ trọng tâm: quản lý dữ liệu và import/export; AI/ML gợi ý: gợi ý gói vay.</t>
  </si>
  <si>
    <t>LV27-021</t>
  </si>
  <si>
    <t>Ứng dụng desktop app hỗ trợ quản lý tổng thể trong ngân hàng / tài chính</t>
  </si>
  <si>
    <t>LV27-022</t>
  </si>
  <si>
    <t>Ứng dụng web + mobile hỗ trợ đặt lịch/đặt chỗ trong ngân hàng / tài chính</t>
  </si>
  <si>
    <t>LV27-023</t>
  </si>
  <si>
    <t>Ứng dụng web + desktop hỗ trợ bán hàng và thanh toán trong ngân hàng / tài chính</t>
  </si>
  <si>
    <t>LV27-024</t>
  </si>
  <si>
    <t>Ứng dụng website hỗ trợ quản lý khách hàng CRM trong ngân hàng / tài chính</t>
  </si>
  <si>
    <t>LV27-025</t>
  </si>
  <si>
    <t>Ứng dụng mobile app hỗ trợ quản lý kho/tài sản trong ngân hàng / tài chính</t>
  </si>
  <si>
    <t>LV27-026</t>
  </si>
  <si>
    <t>Ứng dụng desktop app hỗ trợ quản lý nhân sự và ca làm trong ngân hàng / tài chính</t>
  </si>
  <si>
    <t>LV27-027</t>
  </si>
  <si>
    <t>Ứng dụng web + mobile hỗ trợ quản lý hóa đơn/công nợ trong ngân hàng / tài chính</t>
  </si>
  <si>
    <t>LV27-028</t>
  </si>
  <si>
    <t>Ứng dụng web + desktop hỗ trợ báo cáo thống kê doanh thu trong ngân hàng / tài chính</t>
  </si>
  <si>
    <t>LV27-029</t>
  </si>
  <si>
    <t>Ứng dụng website hỗ trợ cổng chăm sóc khách hàng trong ngân hàng / tài chính</t>
  </si>
  <si>
    <t>LV27-030</t>
  </si>
  <si>
    <t>Ứng dụng mobile app hỗ trợ ứng dụng loyalty/tích điểm trong ngân hàng / tài chính</t>
  </si>
  <si>
    <t>LV27-031</t>
  </si>
  <si>
    <t>Ứng dụng desktop app hỗ trợ quản lý quy trình nghiệp vụ trong ngân hàng / tài chính</t>
  </si>
  <si>
    <t>LV27-032</t>
  </si>
  <si>
    <t>Ứng dụng web + mobile hỗ trợ theo dõi trạng thái thời gian thực trong ngân hàng / tài chính</t>
  </si>
  <si>
    <t>LV27-033</t>
  </si>
  <si>
    <t>Ứng dụng web + desktop hỗ trợ quản lý hợp đồng/hồ sơ trong ngân hàng / tài chính</t>
  </si>
  <si>
    <t>LV27-034</t>
  </si>
  <si>
    <t>Ứng dụng website hỗ trợ tìm kiếm và lọc nâng cao trong ngân hàng / tài chính</t>
  </si>
  <si>
    <t>LV27-035</t>
  </si>
  <si>
    <t>Ứng dụng mobile app hỗ trợ quản lý phản hồi/đánh giá trong ngân hàng / tài chính</t>
  </si>
  <si>
    <t>LV27-036</t>
  </si>
  <si>
    <t>Ứng dụng desktop app hỗ trợ dashboard điều hành trong ngân hàng / tài chính</t>
  </si>
  <si>
    <t>LV27-037</t>
  </si>
  <si>
    <t>Ứng dụng web + mobile hỗ trợ quản lý đa chi nhánh trong ngân hàng / tài chính</t>
  </si>
  <si>
    <t>LV27-038</t>
  </si>
  <si>
    <t>Ứng dụng web + desktop hỗ trợ hệ thống phân quyền vai trò trong ngân hàng / tài chính</t>
  </si>
  <si>
    <t>LV27-039</t>
  </si>
  <si>
    <t>Ứng dụng website hỗ trợ quản lý thông báo/nhắc lịch trong ngân hàng / tài chính</t>
  </si>
  <si>
    <t>LV27-040</t>
  </si>
  <si>
    <t>Ứng dụng mobile app hỗ trợ quản lý dữ liệu và import/export trong ngân hàng / tài chính</t>
  </si>
  <si>
    <t>LV27-041</t>
  </si>
  <si>
    <t>Nền tảng quản lý tổng thể có phân quyền và báo cáo cho dịch vụ tài chính</t>
  </si>
  <si>
    <t>LV27-042</t>
  </si>
  <si>
    <t>Nền tảng đặt lịch/đặt chỗ có phân quyền và báo cáo cho dịch vụ tài chính</t>
  </si>
  <si>
    <t>LV27-043</t>
  </si>
  <si>
    <t>Nền tảng bán hàng và thanh toán có phân quyền và báo cáo cho dịch vụ tài chính</t>
  </si>
  <si>
    <t>LV27-044</t>
  </si>
  <si>
    <t>Nền tảng quản lý khách hàng CRM có phân quyền và báo cáo cho dịch vụ tài chính</t>
  </si>
  <si>
    <t>LV27-045</t>
  </si>
  <si>
    <t>Nền tảng quản lý kho/tài sản có phân quyền và báo cáo cho dịch vụ tài chính</t>
  </si>
  <si>
    <t>LV27-046</t>
  </si>
  <si>
    <t>Nền tảng quản lý nhân sự và ca làm có phân quyền và báo cáo cho dịch vụ tài chính</t>
  </si>
  <si>
    <t>LV27-047</t>
  </si>
  <si>
    <t>Nền tảng quản lý hóa đơn/công nợ có phân quyền và báo cáo cho dịch vụ tài chính</t>
  </si>
  <si>
    <t>LV27-048</t>
  </si>
  <si>
    <t>Nền tảng báo cáo thống kê doanh thu có phân quyền và báo cáo cho dịch vụ tài chính</t>
  </si>
  <si>
    <t>LV27-049</t>
  </si>
  <si>
    <t>Nền tảng cổng chăm sóc khách hàng có phân quyền và báo cáo cho dịch vụ tài chính</t>
  </si>
  <si>
    <t>LV27-050</t>
  </si>
  <si>
    <t>Nền tảng ứng dụng loyalty/tích điểm có phân quyền và báo cáo cho dịch vụ tài chính</t>
  </si>
  <si>
    <t>LV27-051</t>
  </si>
  <si>
    <t>Nền tảng quản lý quy trình nghiệp vụ có phân quyền và báo cáo cho dịch vụ tài chính</t>
  </si>
  <si>
    <t>LV27-052</t>
  </si>
  <si>
    <t>Nền tảng theo dõi trạng thái thời gian thực có phân quyền và báo cáo cho dịch vụ tài chính</t>
  </si>
  <si>
    <t>LV27-053</t>
  </si>
  <si>
    <t>Nền tảng quản lý hợp đồng/hồ sơ có phân quyền và báo cáo cho dịch vụ tài chính</t>
  </si>
  <si>
    <t>LV27-054</t>
  </si>
  <si>
    <t>Nền tảng tìm kiếm và lọc nâng cao có phân quyền và báo cáo cho dịch vụ tài chính</t>
  </si>
  <si>
    <t>LV27-055</t>
  </si>
  <si>
    <t>Nền tảng quản lý phản hồi/đánh giá có phân quyền và báo cáo cho dịch vụ tài chính</t>
  </si>
  <si>
    <t>LV27-056</t>
  </si>
  <si>
    <t>Nền tảng dashboard điều hành có phân quyền và báo cáo cho dịch vụ tài chính</t>
  </si>
  <si>
    <t>LV27-057</t>
  </si>
  <si>
    <t>Nền tảng quản lý đa chi nhánh có phân quyền và báo cáo cho dịch vụ tài chính</t>
  </si>
  <si>
    <t>LV27-058</t>
  </si>
  <si>
    <t>Nền tảng hệ thống phân quyền vai trò có phân quyền và báo cáo cho dịch vụ tài chính</t>
  </si>
  <si>
    <t>LV27-059</t>
  </si>
  <si>
    <t>Nền tảng quản lý thông báo/nhắc lịch có phân quyền và báo cáo cho dịch vụ tài chính</t>
  </si>
  <si>
    <t>LV27-060</t>
  </si>
  <si>
    <t>Nền tảng quản lý dữ liệu và import/export có phân quyền và báo cáo cho dịch vụ tài chính</t>
  </si>
  <si>
    <t>LV27-061</t>
  </si>
  <si>
    <t>Phần mềm quản lý tổng thể tích hợp dashboard dữ liệu cho ngân hàng / tài chính</t>
  </si>
  <si>
    <t>LV27-062</t>
  </si>
  <si>
    <t>Phần mềm đặt lịch/đặt chỗ tích hợp dashboard dữ liệu cho ngân hàng / tài chính</t>
  </si>
  <si>
    <t>LV27-063</t>
  </si>
  <si>
    <t>Phần mềm bán hàng và thanh toán tích hợp dashboard dữ liệu cho ngân hàng / tài chính</t>
  </si>
  <si>
    <t>LV27-064</t>
  </si>
  <si>
    <t>Phần mềm quản lý khách hàng CRM tích hợp dashboard dữ liệu cho ngân hàng / tài chính</t>
  </si>
  <si>
    <t>LV27-065</t>
  </si>
  <si>
    <t>Phần mềm quản lý kho/tài sản tích hợp dashboard dữ liệu cho ngân hàng / tài chính</t>
  </si>
  <si>
    <t>LV27-066</t>
  </si>
  <si>
    <t>Phần mềm quản lý nhân sự và ca làm tích hợp dashboard dữ liệu cho ngân hàng / tài chính</t>
  </si>
  <si>
    <t>LV27-067</t>
  </si>
  <si>
    <t>Phần mềm quản lý hóa đơn/công nợ tích hợp dashboard dữ liệu cho ngân hàng / tài chính</t>
  </si>
  <si>
    <t>LV27-068</t>
  </si>
  <si>
    <t>Phần mềm báo cáo thống kê doanh thu tích hợp dashboard dữ liệu cho ngân hàng / tài chính</t>
  </si>
  <si>
    <t>LV27-069</t>
  </si>
  <si>
    <t>Phần mềm cổng chăm sóc khách hàng tích hợp dashboard dữ liệu cho ngân hàng / tài chính</t>
  </si>
  <si>
    <t>LV27-070</t>
  </si>
  <si>
    <t>Phần mềm ứng dụng loyalty/tích điểm tích hợp dashboard dữ liệu cho ngân hàng / tài chính</t>
  </si>
  <si>
    <t>LV27-071</t>
  </si>
  <si>
    <t>Phần mềm quản lý quy trình nghiệp vụ tích hợp dashboard dữ liệu cho ngân hàng / tài chính</t>
  </si>
  <si>
    <t>LV27-072</t>
  </si>
  <si>
    <t>Phần mềm theo dõi trạng thái thời gian thực tích hợp dashboard dữ liệu cho ngân hàng / tài chính</t>
  </si>
  <si>
    <t>LV27-073</t>
  </si>
  <si>
    <t>Phần mềm quản lý hợp đồng/hồ sơ tích hợp dashboard dữ liệu cho ngân hàng / tài chính</t>
  </si>
  <si>
    <t>LV27-074</t>
  </si>
  <si>
    <t>Phần mềm tìm kiếm và lọc nâng cao tích hợp dashboard dữ liệu cho ngân hàng / tài chính</t>
  </si>
  <si>
    <t>LV27-075</t>
  </si>
  <si>
    <t>Phần mềm quản lý phản hồi/đánh giá tích hợp dashboard dữ liệu cho ngân hàng / tài chính</t>
  </si>
  <si>
    <t>LV27-076</t>
  </si>
  <si>
    <t>Phần mềm dashboard điều hành tích hợp dashboard dữ liệu cho ngân hàng / tài chính</t>
  </si>
  <si>
    <t>LV27-077</t>
  </si>
  <si>
    <t>Phần mềm quản lý đa chi nhánh tích hợp dashboard dữ liệu cho ngân hàng / tài chính</t>
  </si>
  <si>
    <t>LV27-078</t>
  </si>
  <si>
    <t>Phần mềm hệ thống phân quyền vai trò tích hợp dashboard dữ liệu cho ngân hàng / tài chính</t>
  </si>
  <si>
    <t>LV27-079</t>
  </si>
  <si>
    <t>Phần mềm quản lý thông báo/nhắc lịch tích hợp dashboard dữ liệu cho ngân hàng / tài chính</t>
  </si>
  <si>
    <t>LV27-080</t>
  </si>
  <si>
    <t>Phần mềm quản lý dữ liệu và import/export tích hợp dashboard dữ liệu cho ngân hàng / tài chính</t>
  </si>
  <si>
    <t>LV27-081</t>
  </si>
  <si>
    <t>Hệ thống quản lý tổng thể có gợi ý AI: phát hiện giao dịch bất thường cho dịch vụ tài chính</t>
  </si>
  <si>
    <t>LV27-082</t>
  </si>
  <si>
    <t>Hệ thống đặt lịch/đặt chỗ có gợi ý AI: gợi ý gói vay cho dịch vụ tài chính</t>
  </si>
  <si>
    <t>LV27-083</t>
  </si>
  <si>
    <t>Hệ thống bán hàng và thanh toán có gợi ý AI: chấm điểm tín dụng mô phỏng cho dịch vụ tài chính</t>
  </si>
  <si>
    <t>LV27-084</t>
  </si>
  <si>
    <t>Hệ thống quản lý khách hàng CRM có gợi ý AI: phát hiện giao dịch bất thường cho dịch vụ tài chính</t>
  </si>
  <si>
    <t>LV27-085</t>
  </si>
  <si>
    <t>Hệ thống quản lý kho/tài sản có gợi ý AI: gợi ý gói vay cho dịch vụ tài chính</t>
  </si>
  <si>
    <t>LV27-086</t>
  </si>
  <si>
    <t>Hệ thống quản lý nhân sự và ca làm có gợi ý AI: chấm điểm tín dụng mô phỏng cho dịch vụ tài chính</t>
  </si>
  <si>
    <t>LV27-087</t>
  </si>
  <si>
    <t>Hệ thống quản lý hóa đơn/công nợ có gợi ý AI: phát hiện giao dịch bất thường cho dịch vụ tài chính</t>
  </si>
  <si>
    <t>LV27-088</t>
  </si>
  <si>
    <t>Hệ thống báo cáo thống kê doanh thu có gợi ý AI: gợi ý gói vay cho dịch vụ tài chính</t>
  </si>
  <si>
    <t>LV27-089</t>
  </si>
  <si>
    <t>Hệ thống cổng chăm sóc khách hàng có gợi ý AI: chấm điểm tín dụng mô phỏng cho dịch vụ tài chính</t>
  </si>
  <si>
    <t>LV27-090</t>
  </si>
  <si>
    <t>Hệ thống ứng dụng loyalty/tích điểm có gợi ý AI: phát hiện giao dịch bất thường cho dịch vụ tài chính</t>
  </si>
  <si>
    <t>LV27-091</t>
  </si>
  <si>
    <t>Hệ thống quản lý quy trình nghiệp vụ có gợi ý AI: gợi ý gói vay cho dịch vụ tài chính</t>
  </si>
  <si>
    <t>LV27-092</t>
  </si>
  <si>
    <t>Hệ thống theo dõi trạng thái thời gian thực có gợi ý AI: chấm điểm tín dụng mô phỏng cho dịch vụ tài chính</t>
  </si>
  <si>
    <t>LV27-093</t>
  </si>
  <si>
    <t>Hệ thống quản lý hợp đồng/hồ sơ có gợi ý AI: phát hiện giao dịch bất thường cho dịch vụ tài chính</t>
  </si>
  <si>
    <t>LV27-094</t>
  </si>
  <si>
    <t>Hệ thống tìm kiếm và lọc nâng cao có gợi ý AI: gợi ý gói vay cho dịch vụ tài chính</t>
  </si>
  <si>
    <t>LV27-095</t>
  </si>
  <si>
    <t>Hệ thống quản lý phản hồi/đánh giá có gợi ý AI: chấm điểm tín dụng mô phỏng cho dịch vụ tài chính</t>
  </si>
  <si>
    <t>LV27-096</t>
  </si>
  <si>
    <t>Hệ thống dashboard điều hành có gợi ý AI: phát hiện giao dịch bất thường cho dịch vụ tài chính</t>
  </si>
  <si>
    <t>LV27-097</t>
  </si>
  <si>
    <t>Hệ thống quản lý đa chi nhánh có gợi ý AI: gợi ý gói vay cho dịch vụ tài chính</t>
  </si>
  <si>
    <t>LV27-098</t>
  </si>
  <si>
    <t>Hệ thống hệ thống phân quyền vai trò có gợi ý AI: chấm điểm tín dụng mô phỏng cho dịch vụ tài chính</t>
  </si>
  <si>
    <t>LV27-099</t>
  </si>
  <si>
    <t>Hệ thống quản lý thông báo/nhắc lịch có gợi ý AI: phát hiện giao dịch bất thường cho dịch vụ tài chính</t>
  </si>
  <si>
    <t>LV27-100</t>
  </si>
  <si>
    <t>Hệ thống quản lý dữ liệu và import/export có gợi ý AI: gợi ý gói vay cho dịch vụ tài chính</t>
  </si>
  <si>
    <t>Bảo hiểm</t>
  </si>
  <si>
    <t>LV28-001</t>
  </si>
  <si>
    <t>Hệ thống quản lý tổng thể cho công ty bảo hiểm</t>
  </si>
  <si>
    <t>Đồ án 8 tuần cho nhóm 5 SV: xây dựng Web + Mobile phục vụ công ty bảo hiểm; quản lý các thực thể chính: hợp đồng, khách hàng, yêu cầu bồi thường; có CSDL, API, giao diện người dùng, báo cáo và kiểm thử.</t>
  </si>
  <si>
    <t>Đăng nhập phân quyền, CRUD, tìm kiếm/lọc, dashboard thống kê, import/export, báo cáo PDF/Excel, kiểm thử; nghiệp vụ trọng tâm: quản lý tổng thể; AI/ML gợi ý: dự báo rủi ro.</t>
  </si>
  <si>
    <t>dự báo rủi ro</t>
  </si>
  <si>
    <t>LV28-002</t>
  </si>
  <si>
    <t>Hệ thống đặt lịch/đặt chỗ cho công ty bảo hiểm</t>
  </si>
  <si>
    <t>Đồ án 8 tuần cho nhóm 5 SV: xây dựng Web + Desktop phục vụ công ty bảo hiểm; quản lý các thực thể chính: hợp đồng, khách hàng, yêu cầu bồi thường; có CSDL, API, giao diện người dùng, báo cáo và kiểm thử.</t>
  </si>
  <si>
    <t>Đăng nhập phân quyền, CRUD, tìm kiếm/lọc, dashboard thống kê, import/export, báo cáo PDF/Excel, kiểm thử; nghiệp vụ trọng tâm: đặt lịch/đặt chỗ; AI/ML gợi ý: nhắc tái tục.</t>
  </si>
  <si>
    <t>nhắc tái tục</t>
  </si>
  <si>
    <t>LV28-003</t>
  </si>
  <si>
    <t>Hệ thống bán hàng và thanh toán cho công ty bảo hiểm</t>
  </si>
  <si>
    <t>Đồ án 8 tuần cho nhóm 5 SV: xây dựng Website phục vụ công ty bảo hiểm; quản lý các thực thể chính: hợp đồng, khách hàng, yêu cầu bồi thường; có CSDL, API, giao diện người dùng, báo cáo và kiểm thử.</t>
  </si>
  <si>
    <t>Đăng nhập phân quyền, CRUD, tìm kiếm/lọc, dashboard thống kê, import/export, báo cáo PDF/Excel, kiểm thử; nghiệp vụ trọng tâm: bán hàng và thanh toán; AI/ML gợi ý: phân loại yêu cầu bồi thường.</t>
  </si>
  <si>
    <t>phân loại yêu cầu bồi thường</t>
  </si>
  <si>
    <t>LV28-004</t>
  </si>
  <si>
    <t>Hệ thống quản lý khách hàng CRM cho công ty bảo hiểm</t>
  </si>
  <si>
    <t>Đồ án 8 tuần cho nhóm 5 SV: xây dựng Mobile App phục vụ công ty bảo hiểm; quản lý các thực thể chính: hợp đồng, khách hàng, yêu cầu bồi thường; có CSDL, API, giao diện người dùng, báo cáo và kiểm thử.</t>
  </si>
  <si>
    <t>Đăng nhập phân quyền, CRUD, tìm kiếm/lọc, dashboard thống kê, import/export, báo cáo PDF/Excel, kiểm thử; nghiệp vụ trọng tâm: quản lý khách hàng CRM; AI/ML gợi ý: dự báo rủi ro.</t>
  </si>
  <si>
    <t>LV28-005</t>
  </si>
  <si>
    <t>Hệ thống quản lý kho/tài sản cho công ty bảo hiểm</t>
  </si>
  <si>
    <t>Đồ án 8 tuần cho nhóm 5 SV: xây dựng Desktop App phục vụ công ty bảo hiểm; quản lý các thực thể chính: hợp đồng, khách hàng, yêu cầu bồi thường; có CSDL, API, giao diện người dùng, báo cáo và kiểm thử.</t>
  </si>
  <si>
    <t>Đăng nhập phân quyền, CRUD, tìm kiếm/lọc, dashboard thống kê, import/export, báo cáo PDF/Excel, kiểm thử; nghiệp vụ trọng tâm: quản lý kho/tài sản; AI/ML gợi ý: nhắc tái tục.</t>
  </si>
  <si>
    <t>LV28-006</t>
  </si>
  <si>
    <t>Hệ thống quản lý nhân sự và ca làm cho công ty bảo hiểm</t>
  </si>
  <si>
    <t>Đăng nhập phân quyền, CRUD, tìm kiếm/lọc, dashboard thống kê, import/export, báo cáo PDF/Excel, kiểm thử; nghiệp vụ trọng tâm: quản lý nhân sự và ca làm; AI/ML gợi ý: phân loại yêu cầu bồi thường.</t>
  </si>
  <si>
    <t>LV28-007</t>
  </si>
  <si>
    <t>Hệ thống quản lý hóa đơn/công nợ cho công ty bảo hiểm</t>
  </si>
  <si>
    <t>Đăng nhập phân quyền, CRUD, tìm kiếm/lọc, dashboard thống kê, import/export, báo cáo PDF/Excel, kiểm thử; nghiệp vụ trọng tâm: quản lý hóa đơn/công nợ; AI/ML gợi ý: dự báo rủi ro.</t>
  </si>
  <si>
    <t>LV28-008</t>
  </si>
  <si>
    <t>Hệ thống báo cáo thống kê doanh thu cho công ty bảo hiểm</t>
  </si>
  <si>
    <t>Đăng nhập phân quyền, CRUD, tìm kiếm/lọc, dashboard thống kê, import/export, báo cáo PDF/Excel, kiểm thử; nghiệp vụ trọng tâm: báo cáo thống kê doanh thu; AI/ML gợi ý: nhắc tái tục.</t>
  </si>
  <si>
    <t>LV28-009</t>
  </si>
  <si>
    <t>Hệ thống cổng chăm sóc khách hàng cho công ty bảo hiểm</t>
  </si>
  <si>
    <t>Đăng nhập phân quyền, CRUD, tìm kiếm/lọc, dashboard thống kê, import/export, báo cáo PDF/Excel, kiểm thử; nghiệp vụ trọng tâm: cổng chăm sóc khách hàng; AI/ML gợi ý: phân loại yêu cầu bồi thường.</t>
  </si>
  <si>
    <t>LV28-010</t>
  </si>
  <si>
    <t>Hệ thống ứng dụng loyalty/tích điểm cho công ty bảo hiểm</t>
  </si>
  <si>
    <t>Đăng nhập phân quyền, CRUD, tìm kiếm/lọc, dashboard thống kê, import/export, báo cáo PDF/Excel, kiểm thử; nghiệp vụ trọng tâm: ứng dụng loyalty/tích điểm; AI/ML gợi ý: dự báo rủi ro.</t>
  </si>
  <si>
    <t>LV28-011</t>
  </si>
  <si>
    <t>Hệ thống quản lý quy trình nghiệp vụ cho công ty bảo hiểm</t>
  </si>
  <si>
    <t>Đăng nhập phân quyền, CRUD, tìm kiếm/lọc, dashboard thống kê, import/export, báo cáo PDF/Excel, kiểm thử; nghiệp vụ trọng tâm: quản lý quy trình nghiệp vụ; AI/ML gợi ý: nhắc tái tục.</t>
  </si>
  <si>
    <t>LV28-012</t>
  </si>
  <si>
    <t>Hệ thống theo dõi trạng thái thời gian thực cho công ty bảo hiểm</t>
  </si>
  <si>
    <t>Đăng nhập phân quyền, CRUD, tìm kiếm/lọc, dashboard thống kê, import/export, báo cáo PDF/Excel, kiểm thử; nghiệp vụ trọng tâm: theo dõi trạng thái thời gian thực; AI/ML gợi ý: phân loại yêu cầu bồi thường.</t>
  </si>
  <si>
    <t>LV28-013</t>
  </si>
  <si>
    <t>Hệ thống quản lý hợp đồng/hồ sơ cho công ty bảo hiểm</t>
  </si>
  <si>
    <t>Đăng nhập phân quyền, CRUD, tìm kiếm/lọc, dashboard thống kê, import/export, báo cáo PDF/Excel, kiểm thử; nghiệp vụ trọng tâm: quản lý hợp đồng/hồ sơ; AI/ML gợi ý: dự báo rủi ro.</t>
  </si>
  <si>
    <t>LV28-014</t>
  </si>
  <si>
    <t>Hệ thống tìm kiếm và lọc nâng cao cho công ty bảo hiểm</t>
  </si>
  <si>
    <t>Đăng nhập phân quyền, CRUD, tìm kiếm/lọc, dashboard thống kê, import/export, báo cáo PDF/Excel, kiểm thử; nghiệp vụ trọng tâm: tìm kiếm và lọc nâng cao; AI/ML gợi ý: nhắc tái tục.</t>
  </si>
  <si>
    <t>LV28-015</t>
  </si>
  <si>
    <t>Hệ thống quản lý phản hồi/đánh giá cho công ty bảo hiểm</t>
  </si>
  <si>
    <t>Đăng nhập phân quyền, CRUD, tìm kiếm/lọc, dashboard thống kê, import/export, báo cáo PDF/Excel, kiểm thử; nghiệp vụ trọng tâm: quản lý phản hồi/đánh giá; AI/ML gợi ý: phân loại yêu cầu bồi thường.</t>
  </si>
  <si>
    <t>LV28-016</t>
  </si>
  <si>
    <t>Hệ thống dashboard điều hành cho công ty bảo hiểm</t>
  </si>
  <si>
    <t>Đăng nhập phân quyền, CRUD, tìm kiếm/lọc, dashboard thống kê, import/export, báo cáo PDF/Excel, kiểm thử; nghiệp vụ trọng tâm: dashboard điều hành; AI/ML gợi ý: dự báo rủi ro.</t>
  </si>
  <si>
    <t>LV28-017</t>
  </si>
  <si>
    <t>Hệ thống quản lý đa chi nhánh cho công ty bảo hiểm</t>
  </si>
  <si>
    <t>Đăng nhập phân quyền, CRUD, tìm kiếm/lọc, dashboard thống kê, import/export, báo cáo PDF/Excel, kiểm thử; nghiệp vụ trọng tâm: quản lý đa chi nhánh; AI/ML gợi ý: nhắc tái tục.</t>
  </si>
  <si>
    <t>LV28-018</t>
  </si>
  <si>
    <t>Hệ thống hệ thống phân quyền vai trò cho công ty bảo hiểm</t>
  </si>
  <si>
    <t>Đăng nhập phân quyền, CRUD, tìm kiếm/lọc, dashboard thống kê, import/export, báo cáo PDF/Excel, kiểm thử; nghiệp vụ trọng tâm: hệ thống phân quyền vai trò; AI/ML gợi ý: phân loại yêu cầu bồi thường.</t>
  </si>
  <si>
    <t>LV28-019</t>
  </si>
  <si>
    <t>Hệ thống quản lý thông báo/nhắc lịch cho công ty bảo hiểm</t>
  </si>
  <si>
    <t>Đăng nhập phân quyền, CRUD, tìm kiếm/lọc, dashboard thống kê, import/export, báo cáo PDF/Excel, kiểm thử; nghiệp vụ trọng tâm: quản lý thông báo/nhắc lịch; AI/ML gợi ý: dự báo rủi ro.</t>
  </si>
  <si>
    <t>LV28-020</t>
  </si>
  <si>
    <t>Hệ thống quản lý dữ liệu và import/export cho công ty bảo hiểm</t>
  </si>
  <si>
    <t>Đăng nhập phân quyền, CRUD, tìm kiếm/lọc, dashboard thống kê, import/export, báo cáo PDF/Excel, kiểm thử; nghiệp vụ trọng tâm: quản lý dữ liệu và import/export; AI/ML gợi ý: nhắc tái tục.</t>
  </si>
  <si>
    <t>LV28-021</t>
  </si>
  <si>
    <t>Ứng dụng web + mobile hỗ trợ quản lý tổng thể trong bảo hiểm</t>
  </si>
  <si>
    <t>LV28-022</t>
  </si>
  <si>
    <t>Ứng dụng web + desktop hỗ trợ đặt lịch/đặt chỗ trong bảo hiểm</t>
  </si>
  <si>
    <t>LV28-023</t>
  </si>
  <si>
    <t>Ứng dụng website hỗ trợ bán hàng và thanh toán trong bảo hiểm</t>
  </si>
  <si>
    <t>LV28-024</t>
  </si>
  <si>
    <t>Ứng dụng mobile app hỗ trợ quản lý khách hàng CRM trong bảo hiểm</t>
  </si>
  <si>
    <t>LV28-025</t>
  </si>
  <si>
    <t>Ứng dụng desktop app hỗ trợ quản lý kho/tài sản trong bảo hiểm</t>
  </si>
  <si>
    <t>LV28-026</t>
  </si>
  <si>
    <t>Ứng dụng web + mobile hỗ trợ quản lý nhân sự và ca làm trong bảo hiểm</t>
  </si>
  <si>
    <t>LV28-027</t>
  </si>
  <si>
    <t>Ứng dụng web + desktop hỗ trợ quản lý hóa đơn/công nợ trong bảo hiểm</t>
  </si>
  <si>
    <t>LV28-028</t>
  </si>
  <si>
    <t>Ứng dụng website hỗ trợ báo cáo thống kê doanh thu trong bảo hiểm</t>
  </si>
  <si>
    <t>LV28-029</t>
  </si>
  <si>
    <t>Ứng dụng mobile app hỗ trợ cổng chăm sóc khách hàng trong bảo hiểm</t>
  </si>
  <si>
    <t>LV28-030</t>
  </si>
  <si>
    <t>Ứng dụng desktop app hỗ trợ ứng dụng loyalty/tích điểm trong bảo hiểm</t>
  </si>
  <si>
    <t>LV28-031</t>
  </si>
  <si>
    <t>Ứng dụng web + mobile hỗ trợ quản lý quy trình nghiệp vụ trong bảo hiểm</t>
  </si>
  <si>
    <t>LV28-032</t>
  </si>
  <si>
    <t>Ứng dụng web + desktop hỗ trợ theo dõi trạng thái thời gian thực trong bảo hiểm</t>
  </si>
  <si>
    <t>LV28-033</t>
  </si>
  <si>
    <t>Ứng dụng website hỗ trợ quản lý hợp đồng/hồ sơ trong bảo hiểm</t>
  </si>
  <si>
    <t>LV28-034</t>
  </si>
  <si>
    <t>Ứng dụng mobile app hỗ trợ tìm kiếm và lọc nâng cao trong bảo hiểm</t>
  </si>
  <si>
    <t>LV28-035</t>
  </si>
  <si>
    <t>Ứng dụng desktop app hỗ trợ quản lý phản hồi/đánh giá trong bảo hiểm</t>
  </si>
  <si>
    <t>LV28-036</t>
  </si>
  <si>
    <t>Ứng dụng web + mobile hỗ trợ dashboard điều hành trong bảo hiểm</t>
  </si>
  <si>
    <t>LV28-037</t>
  </si>
  <si>
    <t>Ứng dụng web + desktop hỗ trợ quản lý đa chi nhánh trong bảo hiểm</t>
  </si>
  <si>
    <t>LV28-038</t>
  </si>
  <si>
    <t>Ứng dụng website hỗ trợ hệ thống phân quyền vai trò trong bảo hiểm</t>
  </si>
  <si>
    <t>LV28-039</t>
  </si>
  <si>
    <t>Ứng dụng mobile app hỗ trợ quản lý thông báo/nhắc lịch trong bảo hiểm</t>
  </si>
  <si>
    <t>LV28-040</t>
  </si>
  <si>
    <t>Ứng dụng desktop app hỗ trợ quản lý dữ liệu và import/export trong bảo hiểm</t>
  </si>
  <si>
    <t>LV28-041</t>
  </si>
  <si>
    <t>Nền tảng quản lý tổng thể có phân quyền và báo cáo cho công ty bảo hiểm</t>
  </si>
  <si>
    <t>LV28-042</t>
  </si>
  <si>
    <t>Nền tảng đặt lịch/đặt chỗ có phân quyền và báo cáo cho công ty bảo hiểm</t>
  </si>
  <si>
    <t>LV28-043</t>
  </si>
  <si>
    <t>Nền tảng bán hàng và thanh toán có phân quyền và báo cáo cho công ty bảo hiểm</t>
  </si>
  <si>
    <t>LV28-044</t>
  </si>
  <si>
    <t>Nền tảng quản lý khách hàng CRM có phân quyền và báo cáo cho công ty bảo hiểm</t>
  </si>
  <si>
    <t>LV28-045</t>
  </si>
  <si>
    <t>Nền tảng quản lý kho/tài sản có phân quyền và báo cáo cho công ty bảo hiểm</t>
  </si>
  <si>
    <t>LV28-046</t>
  </si>
  <si>
    <t>Nền tảng quản lý nhân sự và ca làm có phân quyền và báo cáo cho công ty bảo hiểm</t>
  </si>
  <si>
    <t>LV28-047</t>
  </si>
  <si>
    <t>Nền tảng quản lý hóa đơn/công nợ có phân quyền và báo cáo cho công ty bảo hiểm</t>
  </si>
  <si>
    <t>LV28-048</t>
  </si>
  <si>
    <t>Nền tảng báo cáo thống kê doanh thu có phân quyền và báo cáo cho công ty bảo hiểm</t>
  </si>
  <si>
    <t>LV28-049</t>
  </si>
  <si>
    <t>Nền tảng cổng chăm sóc khách hàng có phân quyền và báo cáo cho công ty bảo hiểm</t>
  </si>
  <si>
    <t>LV28-050</t>
  </si>
  <si>
    <t>Nền tảng ứng dụng loyalty/tích điểm có phân quyền và báo cáo cho công ty bảo hiểm</t>
  </si>
  <si>
    <t>LV28-051</t>
  </si>
  <si>
    <t>Nền tảng quản lý quy trình nghiệp vụ có phân quyền và báo cáo cho công ty bảo hiểm</t>
  </si>
  <si>
    <t>LV28-052</t>
  </si>
  <si>
    <t>Nền tảng theo dõi trạng thái thời gian thực có phân quyền và báo cáo cho công ty bảo hiểm</t>
  </si>
  <si>
    <t>LV28-053</t>
  </si>
  <si>
    <t>Nền tảng quản lý hợp đồng/hồ sơ có phân quyền và báo cáo cho công ty bảo hiểm</t>
  </si>
  <si>
    <t>LV28-054</t>
  </si>
  <si>
    <t>Nền tảng tìm kiếm và lọc nâng cao có phân quyền và báo cáo cho công ty bảo hiểm</t>
  </si>
  <si>
    <t>LV28-055</t>
  </si>
  <si>
    <t>Nền tảng quản lý phản hồi/đánh giá có phân quyền và báo cáo cho công ty bảo hiểm</t>
  </si>
  <si>
    <t>LV28-056</t>
  </si>
  <si>
    <t>Nền tảng dashboard điều hành có phân quyền và báo cáo cho công ty bảo hiểm</t>
  </si>
  <si>
    <t>LV28-057</t>
  </si>
  <si>
    <t>Nền tảng quản lý đa chi nhánh có phân quyền và báo cáo cho công ty bảo hiểm</t>
  </si>
  <si>
    <t>LV28-058</t>
  </si>
  <si>
    <t>Nền tảng hệ thống phân quyền vai trò có phân quyền và báo cáo cho công ty bảo hiểm</t>
  </si>
  <si>
    <t>LV28-059</t>
  </si>
  <si>
    <t>Nền tảng quản lý thông báo/nhắc lịch có phân quyền và báo cáo cho công ty bảo hiểm</t>
  </si>
  <si>
    <t>LV28-060</t>
  </si>
  <si>
    <t>Nền tảng quản lý dữ liệu và import/export có phân quyền và báo cáo cho công ty bảo hiểm</t>
  </si>
  <si>
    <t>LV28-061</t>
  </si>
  <si>
    <t>Phần mềm quản lý tổng thể tích hợp dashboard dữ liệu cho bảo hiểm</t>
  </si>
  <si>
    <t>LV28-062</t>
  </si>
  <si>
    <t>Phần mềm đặt lịch/đặt chỗ tích hợp dashboard dữ liệu cho bảo hiểm</t>
  </si>
  <si>
    <t>LV28-063</t>
  </si>
  <si>
    <t>Phần mềm bán hàng và thanh toán tích hợp dashboard dữ liệu cho bảo hiểm</t>
  </si>
  <si>
    <t>LV28-064</t>
  </si>
  <si>
    <t>Phần mềm quản lý khách hàng CRM tích hợp dashboard dữ liệu cho bảo hiểm</t>
  </si>
  <si>
    <t>LV28-065</t>
  </si>
  <si>
    <t>Phần mềm quản lý kho/tài sản tích hợp dashboard dữ liệu cho bảo hiểm</t>
  </si>
  <si>
    <t>LV28-066</t>
  </si>
  <si>
    <t>Phần mềm quản lý nhân sự và ca làm tích hợp dashboard dữ liệu cho bảo hiểm</t>
  </si>
  <si>
    <t>LV28-067</t>
  </si>
  <si>
    <t>Phần mềm quản lý hóa đơn/công nợ tích hợp dashboard dữ liệu cho bảo hiểm</t>
  </si>
  <si>
    <t>LV28-068</t>
  </si>
  <si>
    <t>Phần mềm báo cáo thống kê doanh thu tích hợp dashboard dữ liệu cho bảo hiểm</t>
  </si>
  <si>
    <t>LV28-069</t>
  </si>
  <si>
    <t>Phần mềm cổng chăm sóc khách hàng tích hợp dashboard dữ liệu cho bảo hiểm</t>
  </si>
  <si>
    <t>LV28-070</t>
  </si>
  <si>
    <t>Phần mềm ứng dụng loyalty/tích điểm tích hợp dashboard dữ liệu cho bảo hiểm</t>
  </si>
  <si>
    <t>LV28-071</t>
  </si>
  <si>
    <t>Phần mềm quản lý quy trình nghiệp vụ tích hợp dashboard dữ liệu cho bảo hiểm</t>
  </si>
  <si>
    <t>LV28-072</t>
  </si>
  <si>
    <t>Phần mềm theo dõi trạng thái thời gian thực tích hợp dashboard dữ liệu cho bảo hiểm</t>
  </si>
  <si>
    <t>LV28-073</t>
  </si>
  <si>
    <t>Phần mềm quản lý hợp đồng/hồ sơ tích hợp dashboard dữ liệu cho bảo hiểm</t>
  </si>
  <si>
    <t>LV28-074</t>
  </si>
  <si>
    <t>Phần mềm tìm kiếm và lọc nâng cao tích hợp dashboard dữ liệu cho bảo hiểm</t>
  </si>
  <si>
    <t>LV28-075</t>
  </si>
  <si>
    <t>Phần mềm quản lý phản hồi/đánh giá tích hợp dashboard dữ liệu cho bảo hiểm</t>
  </si>
  <si>
    <t>LV28-076</t>
  </si>
  <si>
    <t>Phần mềm dashboard điều hành tích hợp dashboard dữ liệu cho bảo hiểm</t>
  </si>
  <si>
    <t>LV28-077</t>
  </si>
  <si>
    <t>Phần mềm quản lý đa chi nhánh tích hợp dashboard dữ liệu cho bảo hiểm</t>
  </si>
  <si>
    <t>LV28-078</t>
  </si>
  <si>
    <t>Phần mềm hệ thống phân quyền vai trò tích hợp dashboard dữ liệu cho bảo hiểm</t>
  </si>
  <si>
    <t>LV28-079</t>
  </si>
  <si>
    <t>Phần mềm quản lý thông báo/nhắc lịch tích hợp dashboard dữ liệu cho bảo hiểm</t>
  </si>
  <si>
    <t>LV28-080</t>
  </si>
  <si>
    <t>Phần mềm quản lý dữ liệu và import/export tích hợp dashboard dữ liệu cho bảo hiểm</t>
  </si>
  <si>
    <t>LV28-081</t>
  </si>
  <si>
    <t>Hệ thống quản lý tổng thể có gợi ý AI: dự báo rủi ro cho công ty bảo hiểm</t>
  </si>
  <si>
    <t>LV28-082</t>
  </si>
  <si>
    <t>Hệ thống đặt lịch/đặt chỗ có gợi ý AI: nhắc tái tục cho công ty bảo hiểm</t>
  </si>
  <si>
    <t>LV28-083</t>
  </si>
  <si>
    <t>Hệ thống bán hàng và thanh toán có gợi ý AI: phân loại yêu cầu bồi thường cho công ty bảo hiểm</t>
  </si>
  <si>
    <t>LV28-084</t>
  </si>
  <si>
    <t>Hệ thống quản lý khách hàng CRM có gợi ý AI: dự báo rủi ro cho công ty bảo hiểm</t>
  </si>
  <si>
    <t>LV28-085</t>
  </si>
  <si>
    <t>Hệ thống quản lý kho/tài sản có gợi ý AI: nhắc tái tục cho công ty bảo hiểm</t>
  </si>
  <si>
    <t>LV28-086</t>
  </si>
  <si>
    <t>Hệ thống quản lý nhân sự và ca làm có gợi ý AI: phân loại yêu cầu bồi thường cho công ty bảo hiểm</t>
  </si>
  <si>
    <t>LV28-087</t>
  </si>
  <si>
    <t>Hệ thống quản lý hóa đơn/công nợ có gợi ý AI: dự báo rủi ro cho công ty bảo hiểm</t>
  </si>
  <si>
    <t>LV28-088</t>
  </si>
  <si>
    <t>Hệ thống báo cáo thống kê doanh thu có gợi ý AI: nhắc tái tục cho công ty bảo hiểm</t>
  </si>
  <si>
    <t>LV28-089</t>
  </si>
  <si>
    <t>Hệ thống cổng chăm sóc khách hàng có gợi ý AI: phân loại yêu cầu bồi thường cho công ty bảo hiểm</t>
  </si>
  <si>
    <t>LV28-090</t>
  </si>
  <si>
    <t>Hệ thống ứng dụng loyalty/tích điểm có gợi ý AI: dự báo rủi ro cho công ty bảo hiểm</t>
  </si>
  <si>
    <t>LV28-091</t>
  </si>
  <si>
    <t>Hệ thống quản lý quy trình nghiệp vụ có gợi ý AI: nhắc tái tục cho công ty bảo hiểm</t>
  </si>
  <si>
    <t>LV28-092</t>
  </si>
  <si>
    <t>Hệ thống theo dõi trạng thái thời gian thực có gợi ý AI: phân loại yêu cầu bồi thường cho công ty bảo hiểm</t>
  </si>
  <si>
    <t>LV28-093</t>
  </si>
  <si>
    <t>Hệ thống quản lý hợp đồng/hồ sơ có gợi ý AI: dự báo rủi ro cho công ty bảo hiểm</t>
  </si>
  <si>
    <t>LV28-094</t>
  </si>
  <si>
    <t>Hệ thống tìm kiếm và lọc nâng cao có gợi ý AI: nhắc tái tục cho công ty bảo hiểm</t>
  </si>
  <si>
    <t>LV28-095</t>
  </si>
  <si>
    <t>Hệ thống quản lý phản hồi/đánh giá có gợi ý AI: phân loại yêu cầu bồi thường cho công ty bảo hiểm</t>
  </si>
  <si>
    <t>LV28-096</t>
  </si>
  <si>
    <t>Hệ thống dashboard điều hành có gợi ý AI: dự báo rủi ro cho công ty bảo hiểm</t>
  </si>
  <si>
    <t>LV28-097</t>
  </si>
  <si>
    <t>Hệ thống quản lý đa chi nhánh có gợi ý AI: nhắc tái tục cho công ty bảo hiểm</t>
  </si>
  <si>
    <t>LV28-098</t>
  </si>
  <si>
    <t>Hệ thống hệ thống phân quyền vai trò có gợi ý AI: phân loại yêu cầu bồi thường cho công ty bảo hiểm</t>
  </si>
  <si>
    <t>LV28-099</t>
  </si>
  <si>
    <t>Hệ thống quản lý thông báo/nhắc lịch có gợi ý AI: dự báo rủi ro cho công ty bảo hiểm</t>
  </si>
  <si>
    <t>LV28-100</t>
  </si>
  <si>
    <t>Hệ thống quản lý dữ liệu và import/export có gợi ý AI: nhắc tái tục cho công ty bảo hiểm</t>
  </si>
  <si>
    <t>Nông nghiệp</t>
  </si>
  <si>
    <t>LV29-001</t>
  </si>
  <si>
    <t>Hệ thống quản lý tổng thể cho trang trại trồng trọt</t>
  </si>
  <si>
    <t>Đồ án 8 tuần cho nhóm 5 SV: xây dựng Web + Desktop phục vụ trang trại trồng trọt; quản lý các thực thể chính: vườn, cây trồng, mùa vụ, vật tư; có CSDL, API, giao diện người dùng, báo cáo và kiểm thử.</t>
  </si>
  <si>
    <t>Đăng nhập phân quyền, CRUD, tìm kiếm/lọc, dashboard thống kê, import/export, báo cáo PDF/Excel, kiểm thử; nghiệp vụ trọng tâm: quản lý tổng thể; AI/ML gợi ý: cảnh báo sâu bệnh.</t>
  </si>
  <si>
    <t>cảnh báo sâu bệnh</t>
  </si>
  <si>
    <t>LV29-002</t>
  </si>
  <si>
    <t>Hệ thống đặt lịch/đặt chỗ cho trang trại trồng trọt</t>
  </si>
  <si>
    <t>Đồ án 8 tuần cho nhóm 5 SV: xây dựng Website phục vụ trang trại trồng trọt; quản lý các thực thể chính: vườn, cây trồng, mùa vụ, vật tư; có CSDL, API, giao diện người dùng, báo cáo và kiểm thử.</t>
  </si>
  <si>
    <t>Đăng nhập phân quyền, CRUD, tìm kiếm/lọc, dashboard thống kê, import/export, báo cáo PDF/Excel, kiểm thử; nghiệp vụ trọng tâm: đặt lịch/đặt chỗ; AI/ML gợi ý: gợi ý lịch tưới.</t>
  </si>
  <si>
    <t>gợi ý lịch tưới</t>
  </si>
  <si>
    <t>LV29-003</t>
  </si>
  <si>
    <t>Hệ thống bán hàng và thanh toán cho trang trại trồng trọt</t>
  </si>
  <si>
    <t>Đồ án 8 tuần cho nhóm 5 SV: xây dựng Mobile App phục vụ trang trại trồng trọt; quản lý các thực thể chính: vườn, cây trồng, mùa vụ, vật tư; có CSDL, API, giao diện người dùng, báo cáo và kiểm thử.</t>
  </si>
  <si>
    <t>Đăng nhập phân quyền, CRUD, tìm kiếm/lọc, dashboard thống kê, import/export, báo cáo PDF/Excel, kiểm thử; nghiệp vụ trọng tâm: bán hàng và thanh toán; AI/ML gợi ý: dự báo năng suất.</t>
  </si>
  <si>
    <t>dự báo năng suất</t>
  </si>
  <si>
    <t>LV29-004</t>
  </si>
  <si>
    <t>Hệ thống quản lý khách hàng CRM cho trang trại trồng trọt</t>
  </si>
  <si>
    <t>Đồ án 8 tuần cho nhóm 5 SV: xây dựng Desktop App phục vụ trang trại trồng trọt; quản lý các thực thể chính: vườn, cây trồng, mùa vụ, vật tư; có CSDL, API, giao diện người dùng, báo cáo và kiểm thử.</t>
  </si>
  <si>
    <t>Đăng nhập phân quyền, CRUD, tìm kiếm/lọc, dashboard thống kê, import/export, báo cáo PDF/Excel, kiểm thử; nghiệp vụ trọng tâm: quản lý khách hàng CRM; AI/ML gợi ý: cảnh báo sâu bệnh.</t>
  </si>
  <si>
    <t>LV29-005</t>
  </si>
  <si>
    <t>Hệ thống quản lý kho/tài sản cho trang trại trồng trọt</t>
  </si>
  <si>
    <t>Đồ án 8 tuần cho nhóm 5 SV: xây dựng Web + Mobile phục vụ trang trại trồng trọt; quản lý các thực thể chính: vườn, cây trồng, mùa vụ, vật tư; có CSDL, API, giao diện người dùng, báo cáo và kiểm thử.</t>
  </si>
  <si>
    <t>Đăng nhập phân quyền, CRUD, tìm kiếm/lọc, dashboard thống kê, import/export, báo cáo PDF/Excel, kiểm thử; nghiệp vụ trọng tâm: quản lý kho/tài sản; AI/ML gợi ý: gợi ý lịch tưới.</t>
  </si>
  <si>
    <t>LV29-006</t>
  </si>
  <si>
    <t>Hệ thống quản lý nhân sự và ca làm cho trang trại trồng trọt</t>
  </si>
  <si>
    <t>Đăng nhập phân quyền, CRUD, tìm kiếm/lọc, dashboard thống kê, import/export, báo cáo PDF/Excel, kiểm thử; nghiệp vụ trọng tâm: quản lý nhân sự và ca làm; AI/ML gợi ý: dự báo năng suất.</t>
  </si>
  <si>
    <t>LV29-007</t>
  </si>
  <si>
    <t>Hệ thống quản lý hóa đơn/công nợ cho trang trại trồng trọt</t>
  </si>
  <si>
    <t>Đăng nhập phân quyền, CRUD, tìm kiếm/lọc, dashboard thống kê, import/export, báo cáo PDF/Excel, kiểm thử; nghiệp vụ trọng tâm: quản lý hóa đơn/công nợ; AI/ML gợi ý: cảnh báo sâu bệnh.</t>
  </si>
  <si>
    <t>LV29-008</t>
  </si>
  <si>
    <t>Hệ thống báo cáo thống kê doanh thu cho trang trại trồng trọt</t>
  </si>
  <si>
    <t>Đăng nhập phân quyền, CRUD, tìm kiếm/lọc, dashboard thống kê, import/export, báo cáo PDF/Excel, kiểm thử; nghiệp vụ trọng tâm: báo cáo thống kê doanh thu; AI/ML gợi ý: gợi ý lịch tưới.</t>
  </si>
  <si>
    <t>LV29-009</t>
  </si>
  <si>
    <t>Hệ thống cổng chăm sóc khách hàng cho trang trại trồng trọt</t>
  </si>
  <si>
    <t>Đăng nhập phân quyền, CRUD, tìm kiếm/lọc, dashboard thống kê, import/export, báo cáo PDF/Excel, kiểm thử; nghiệp vụ trọng tâm: cổng chăm sóc khách hàng; AI/ML gợi ý: dự báo năng suất.</t>
  </si>
  <si>
    <t>LV29-010</t>
  </si>
  <si>
    <t>Hệ thống ứng dụng loyalty/tích điểm cho trang trại trồng trọt</t>
  </si>
  <si>
    <t>Đăng nhập phân quyền, CRUD, tìm kiếm/lọc, dashboard thống kê, import/export, báo cáo PDF/Excel, kiểm thử; nghiệp vụ trọng tâm: ứng dụng loyalty/tích điểm; AI/ML gợi ý: cảnh báo sâu bệnh.</t>
  </si>
  <si>
    <t>LV29-011</t>
  </si>
  <si>
    <t>Hệ thống quản lý quy trình nghiệp vụ cho trang trại trồng trọt</t>
  </si>
  <si>
    <t>Đăng nhập phân quyền, CRUD, tìm kiếm/lọc, dashboard thống kê, import/export, báo cáo PDF/Excel, kiểm thử; nghiệp vụ trọng tâm: quản lý quy trình nghiệp vụ; AI/ML gợi ý: gợi ý lịch tưới.</t>
  </si>
  <si>
    <t>LV29-012</t>
  </si>
  <si>
    <t>Hệ thống theo dõi trạng thái thời gian thực cho trang trại trồng trọt</t>
  </si>
  <si>
    <t>Đăng nhập phân quyền, CRUD, tìm kiếm/lọc, dashboard thống kê, import/export, báo cáo PDF/Excel, kiểm thử; nghiệp vụ trọng tâm: theo dõi trạng thái thời gian thực; AI/ML gợi ý: dự báo năng suất.</t>
  </si>
  <si>
    <t>LV29-013</t>
  </si>
  <si>
    <t>Hệ thống quản lý hợp đồng/hồ sơ cho trang trại trồng trọt</t>
  </si>
  <si>
    <t>Đăng nhập phân quyền, CRUD, tìm kiếm/lọc, dashboard thống kê, import/export, báo cáo PDF/Excel, kiểm thử; nghiệp vụ trọng tâm: quản lý hợp đồng/hồ sơ; AI/ML gợi ý: cảnh báo sâu bệnh.</t>
  </si>
  <si>
    <t>LV29-014</t>
  </si>
  <si>
    <t>Hệ thống tìm kiếm và lọc nâng cao cho trang trại trồng trọt</t>
  </si>
  <si>
    <t>Đăng nhập phân quyền, CRUD, tìm kiếm/lọc, dashboard thống kê, import/export, báo cáo PDF/Excel, kiểm thử; nghiệp vụ trọng tâm: tìm kiếm và lọc nâng cao; AI/ML gợi ý: gợi ý lịch tưới.</t>
  </si>
  <si>
    <t>LV29-015</t>
  </si>
  <si>
    <t>Hệ thống quản lý phản hồi/đánh giá cho trang trại trồng trọt</t>
  </si>
  <si>
    <t>Đăng nhập phân quyền, CRUD, tìm kiếm/lọc, dashboard thống kê, import/export, báo cáo PDF/Excel, kiểm thử; nghiệp vụ trọng tâm: quản lý phản hồi/đánh giá; AI/ML gợi ý: dự báo năng suất.</t>
  </si>
  <si>
    <t>LV29-016</t>
  </si>
  <si>
    <t>Hệ thống dashboard điều hành cho trang trại trồng trọt</t>
  </si>
  <si>
    <t>Đăng nhập phân quyền, CRUD, tìm kiếm/lọc, dashboard thống kê, import/export, báo cáo PDF/Excel, kiểm thử; nghiệp vụ trọng tâm: dashboard điều hành; AI/ML gợi ý: cảnh báo sâu bệnh.</t>
  </si>
  <si>
    <t>LV29-017</t>
  </si>
  <si>
    <t>Hệ thống quản lý đa chi nhánh cho trang trại trồng trọt</t>
  </si>
  <si>
    <t>Đăng nhập phân quyền, CRUD, tìm kiếm/lọc, dashboard thống kê, import/export, báo cáo PDF/Excel, kiểm thử; nghiệp vụ trọng tâm: quản lý đa chi nhánh; AI/ML gợi ý: gợi ý lịch tưới.</t>
  </si>
  <si>
    <t>LV29-018</t>
  </si>
  <si>
    <t>Hệ thống hệ thống phân quyền vai trò cho trang trại trồng trọt</t>
  </si>
  <si>
    <t>Đăng nhập phân quyền, CRUD, tìm kiếm/lọc, dashboard thống kê, import/export, báo cáo PDF/Excel, kiểm thử; nghiệp vụ trọng tâm: hệ thống phân quyền vai trò; AI/ML gợi ý: dự báo năng suất.</t>
  </si>
  <si>
    <t>LV29-019</t>
  </si>
  <si>
    <t>Hệ thống quản lý thông báo/nhắc lịch cho trang trại trồng trọt</t>
  </si>
  <si>
    <t>Đăng nhập phân quyền, CRUD, tìm kiếm/lọc, dashboard thống kê, import/export, báo cáo PDF/Excel, kiểm thử; nghiệp vụ trọng tâm: quản lý thông báo/nhắc lịch; AI/ML gợi ý: cảnh báo sâu bệnh.</t>
  </si>
  <si>
    <t>LV29-020</t>
  </si>
  <si>
    <t>Hệ thống quản lý dữ liệu và import/export cho trang trại trồng trọt</t>
  </si>
  <si>
    <t>Đăng nhập phân quyền, CRUD, tìm kiếm/lọc, dashboard thống kê, import/export, báo cáo PDF/Excel, kiểm thử; nghiệp vụ trọng tâm: quản lý dữ liệu và import/export; AI/ML gợi ý: gợi ý lịch tưới.</t>
  </si>
  <si>
    <t>LV29-021</t>
  </si>
  <si>
    <t>Ứng dụng web + desktop hỗ trợ quản lý tổng thể trong nông nghiệp</t>
  </si>
  <si>
    <t>LV29-022</t>
  </si>
  <si>
    <t>Ứng dụng website hỗ trợ đặt lịch/đặt chỗ trong nông nghiệp</t>
  </si>
  <si>
    <t>LV29-023</t>
  </si>
  <si>
    <t>Ứng dụng mobile app hỗ trợ bán hàng và thanh toán trong nông nghiệp</t>
  </si>
  <si>
    <t>LV29-024</t>
  </si>
  <si>
    <t>Ứng dụng desktop app hỗ trợ quản lý khách hàng CRM trong nông nghiệp</t>
  </si>
  <si>
    <t>LV29-025</t>
  </si>
  <si>
    <t>Ứng dụng web + mobile hỗ trợ quản lý kho/tài sản trong nông nghiệp</t>
  </si>
  <si>
    <t>LV29-026</t>
  </si>
  <si>
    <t>Ứng dụng web + desktop hỗ trợ quản lý nhân sự và ca làm trong nông nghiệp</t>
  </si>
  <si>
    <t>LV29-027</t>
  </si>
  <si>
    <t>Ứng dụng website hỗ trợ quản lý hóa đơn/công nợ trong nông nghiệp</t>
  </si>
  <si>
    <t>LV29-028</t>
  </si>
  <si>
    <t>Ứng dụng mobile app hỗ trợ báo cáo thống kê doanh thu trong nông nghiệp</t>
  </si>
  <si>
    <t>LV29-029</t>
  </si>
  <si>
    <t>Ứng dụng desktop app hỗ trợ cổng chăm sóc khách hàng trong nông nghiệp</t>
  </si>
  <si>
    <t>LV29-030</t>
  </si>
  <si>
    <t>Ứng dụng web + mobile hỗ trợ ứng dụng loyalty/tích điểm trong nông nghiệp</t>
  </si>
  <si>
    <t>LV29-031</t>
  </si>
  <si>
    <t>Ứng dụng web + desktop hỗ trợ quản lý quy trình nghiệp vụ trong nông nghiệp</t>
  </si>
  <si>
    <t>LV29-032</t>
  </si>
  <si>
    <t>Ứng dụng website hỗ trợ theo dõi trạng thái thời gian thực trong nông nghiệp</t>
  </si>
  <si>
    <t>LV29-033</t>
  </si>
  <si>
    <t>Ứng dụng mobile app hỗ trợ quản lý hợp đồng/hồ sơ trong nông nghiệp</t>
  </si>
  <si>
    <t>LV29-034</t>
  </si>
  <si>
    <t>Ứng dụng desktop app hỗ trợ tìm kiếm và lọc nâng cao trong nông nghiệp</t>
  </si>
  <si>
    <t>LV29-035</t>
  </si>
  <si>
    <t>Ứng dụng web + mobile hỗ trợ quản lý phản hồi/đánh giá trong nông nghiệp</t>
  </si>
  <si>
    <t>LV29-036</t>
  </si>
  <si>
    <t>Ứng dụng web + desktop hỗ trợ dashboard điều hành trong nông nghiệp</t>
  </si>
  <si>
    <t>LV29-037</t>
  </si>
  <si>
    <t>Ứng dụng website hỗ trợ quản lý đa chi nhánh trong nông nghiệp</t>
  </si>
  <si>
    <t>LV29-038</t>
  </si>
  <si>
    <t>Ứng dụng mobile app hỗ trợ hệ thống phân quyền vai trò trong nông nghiệp</t>
  </si>
  <si>
    <t>LV29-039</t>
  </si>
  <si>
    <t>Ứng dụng desktop app hỗ trợ quản lý thông báo/nhắc lịch trong nông nghiệp</t>
  </si>
  <si>
    <t>LV29-040</t>
  </si>
  <si>
    <t>Ứng dụng web + mobile hỗ trợ quản lý dữ liệu và import/export trong nông nghiệp</t>
  </si>
  <si>
    <t>LV29-041</t>
  </si>
  <si>
    <t>Nền tảng quản lý tổng thể có phân quyền và báo cáo cho trang trại trồng trọt</t>
  </si>
  <si>
    <t>LV29-042</t>
  </si>
  <si>
    <t>Nền tảng đặt lịch/đặt chỗ có phân quyền và báo cáo cho trang trại trồng trọt</t>
  </si>
  <si>
    <t>LV29-043</t>
  </si>
  <si>
    <t>Nền tảng bán hàng và thanh toán có phân quyền và báo cáo cho trang trại trồng trọt</t>
  </si>
  <si>
    <t>LV29-044</t>
  </si>
  <si>
    <t>Nền tảng quản lý khách hàng CRM có phân quyền và báo cáo cho trang trại trồng trọt</t>
  </si>
  <si>
    <t>LV29-045</t>
  </si>
  <si>
    <t>Nền tảng quản lý kho/tài sản có phân quyền và báo cáo cho trang trại trồng trọt</t>
  </si>
  <si>
    <t>LV29-046</t>
  </si>
  <si>
    <t>Nền tảng quản lý nhân sự và ca làm có phân quyền và báo cáo cho trang trại trồng trọt</t>
  </si>
  <si>
    <t>LV29-047</t>
  </si>
  <si>
    <t>Nền tảng quản lý hóa đơn/công nợ có phân quyền và báo cáo cho trang trại trồng trọt</t>
  </si>
  <si>
    <t>LV29-048</t>
  </si>
  <si>
    <t>Nền tảng báo cáo thống kê doanh thu có phân quyền và báo cáo cho trang trại trồng trọt</t>
  </si>
  <si>
    <t>LV29-049</t>
  </si>
  <si>
    <t>Nền tảng cổng chăm sóc khách hàng có phân quyền và báo cáo cho trang trại trồng trọt</t>
  </si>
  <si>
    <t>LV29-050</t>
  </si>
  <si>
    <t>Nền tảng ứng dụng loyalty/tích điểm có phân quyền và báo cáo cho trang trại trồng trọt</t>
  </si>
  <si>
    <t>LV29-051</t>
  </si>
  <si>
    <t>Nền tảng quản lý quy trình nghiệp vụ có phân quyền và báo cáo cho trang trại trồng trọt</t>
  </si>
  <si>
    <t>LV29-052</t>
  </si>
  <si>
    <t>Nền tảng theo dõi trạng thái thời gian thực có phân quyền và báo cáo cho trang trại trồng trọt</t>
  </si>
  <si>
    <t>LV29-053</t>
  </si>
  <si>
    <t>Nền tảng quản lý hợp đồng/hồ sơ có phân quyền và báo cáo cho trang trại trồng trọt</t>
  </si>
  <si>
    <t>LV29-054</t>
  </si>
  <si>
    <t>Nền tảng tìm kiếm và lọc nâng cao có phân quyền và báo cáo cho trang trại trồng trọt</t>
  </si>
  <si>
    <t>LV29-055</t>
  </si>
  <si>
    <t>Nền tảng quản lý phản hồi/đánh giá có phân quyền và báo cáo cho trang trại trồng trọt</t>
  </si>
  <si>
    <t>LV29-056</t>
  </si>
  <si>
    <t>Nền tảng dashboard điều hành có phân quyền và báo cáo cho trang trại trồng trọt</t>
  </si>
  <si>
    <t>LV29-057</t>
  </si>
  <si>
    <t>Nền tảng quản lý đa chi nhánh có phân quyền và báo cáo cho trang trại trồng trọt</t>
  </si>
  <si>
    <t>LV29-058</t>
  </si>
  <si>
    <t>Nền tảng hệ thống phân quyền vai trò có phân quyền và báo cáo cho trang trại trồng trọt</t>
  </si>
  <si>
    <t>LV29-059</t>
  </si>
  <si>
    <t>Nền tảng quản lý thông báo/nhắc lịch có phân quyền và báo cáo cho trang trại trồng trọt</t>
  </si>
  <si>
    <t>LV29-060</t>
  </si>
  <si>
    <t>Nền tảng quản lý dữ liệu và import/export có phân quyền và báo cáo cho trang trại trồng trọt</t>
  </si>
  <si>
    <t>LV29-061</t>
  </si>
  <si>
    <t>Phần mềm quản lý tổng thể tích hợp dashboard dữ liệu cho nông nghiệp</t>
  </si>
  <si>
    <t>LV29-062</t>
  </si>
  <si>
    <t>Phần mềm đặt lịch/đặt chỗ tích hợp dashboard dữ liệu cho nông nghiệp</t>
  </si>
  <si>
    <t>LV29-063</t>
  </si>
  <si>
    <t>Phần mềm bán hàng và thanh toán tích hợp dashboard dữ liệu cho nông nghiệp</t>
  </si>
  <si>
    <t>LV29-064</t>
  </si>
  <si>
    <t>Phần mềm quản lý khách hàng CRM tích hợp dashboard dữ liệu cho nông nghiệp</t>
  </si>
  <si>
    <t>LV29-065</t>
  </si>
  <si>
    <t>Phần mềm quản lý kho/tài sản tích hợp dashboard dữ liệu cho nông nghiệp</t>
  </si>
  <si>
    <t>LV29-066</t>
  </si>
  <si>
    <t>Phần mềm quản lý nhân sự và ca làm tích hợp dashboard dữ liệu cho nông nghiệp</t>
  </si>
  <si>
    <t>LV29-067</t>
  </si>
  <si>
    <t>Phần mềm quản lý hóa đơn/công nợ tích hợp dashboard dữ liệu cho nông nghiệp</t>
  </si>
  <si>
    <t>LV29-068</t>
  </si>
  <si>
    <t>Phần mềm báo cáo thống kê doanh thu tích hợp dashboard dữ liệu cho nông nghiệp</t>
  </si>
  <si>
    <t>LV29-069</t>
  </si>
  <si>
    <t>Phần mềm cổng chăm sóc khách hàng tích hợp dashboard dữ liệu cho nông nghiệp</t>
  </si>
  <si>
    <t>LV29-070</t>
  </si>
  <si>
    <t>Phần mềm ứng dụng loyalty/tích điểm tích hợp dashboard dữ liệu cho nông nghiệp</t>
  </si>
  <si>
    <t>LV29-071</t>
  </si>
  <si>
    <t>Phần mềm quản lý quy trình nghiệp vụ tích hợp dashboard dữ liệu cho nông nghiệp</t>
  </si>
  <si>
    <t>LV29-072</t>
  </si>
  <si>
    <t>Phần mềm theo dõi trạng thái thời gian thực tích hợp dashboard dữ liệu cho nông nghiệp</t>
  </si>
  <si>
    <t>LV29-073</t>
  </si>
  <si>
    <t>Phần mềm quản lý hợp đồng/hồ sơ tích hợp dashboard dữ liệu cho nông nghiệp</t>
  </si>
  <si>
    <t>LV29-074</t>
  </si>
  <si>
    <t>Phần mềm tìm kiếm và lọc nâng cao tích hợp dashboard dữ liệu cho nông nghiệp</t>
  </si>
  <si>
    <t>LV29-075</t>
  </si>
  <si>
    <t>Phần mềm quản lý phản hồi/đánh giá tích hợp dashboard dữ liệu cho nông nghiệp</t>
  </si>
  <si>
    <t>LV29-076</t>
  </si>
  <si>
    <t>Phần mềm dashboard điều hành tích hợp dashboard dữ liệu cho nông nghiệp</t>
  </si>
  <si>
    <t>LV29-077</t>
  </si>
  <si>
    <t>Phần mềm quản lý đa chi nhánh tích hợp dashboard dữ liệu cho nông nghiệp</t>
  </si>
  <si>
    <t>LV29-078</t>
  </si>
  <si>
    <t>Phần mềm hệ thống phân quyền vai trò tích hợp dashboard dữ liệu cho nông nghiệp</t>
  </si>
  <si>
    <t>LV29-079</t>
  </si>
  <si>
    <t>Phần mềm quản lý thông báo/nhắc lịch tích hợp dashboard dữ liệu cho nông nghiệp</t>
  </si>
  <si>
    <t>LV29-080</t>
  </si>
  <si>
    <t>Phần mềm quản lý dữ liệu và import/export tích hợp dashboard dữ liệu cho nông nghiệp</t>
  </si>
  <si>
    <t>LV29-081</t>
  </si>
  <si>
    <t>Hệ thống quản lý tổng thể có gợi ý AI: cảnh báo sâu bệnh cho trang trại trồng trọt</t>
  </si>
  <si>
    <t>LV29-082</t>
  </si>
  <si>
    <t>Hệ thống đặt lịch/đặt chỗ có gợi ý AI: gợi ý lịch tưới cho trang trại trồng trọt</t>
  </si>
  <si>
    <t>LV29-083</t>
  </si>
  <si>
    <t>Hệ thống bán hàng và thanh toán có gợi ý AI: dự báo năng suất cho trang trại trồng trọt</t>
  </si>
  <si>
    <t>LV29-084</t>
  </si>
  <si>
    <t>Hệ thống quản lý khách hàng CRM có gợi ý AI: cảnh báo sâu bệnh cho trang trại trồng trọt</t>
  </si>
  <si>
    <t>LV29-085</t>
  </si>
  <si>
    <t>Hệ thống quản lý kho/tài sản có gợi ý AI: gợi ý lịch tưới cho trang trại trồng trọt</t>
  </si>
  <si>
    <t>LV29-086</t>
  </si>
  <si>
    <t>Hệ thống quản lý nhân sự và ca làm có gợi ý AI: dự báo năng suất cho trang trại trồng trọt</t>
  </si>
  <si>
    <t>LV29-087</t>
  </si>
  <si>
    <t>Hệ thống quản lý hóa đơn/công nợ có gợi ý AI: cảnh báo sâu bệnh cho trang trại trồng trọt</t>
  </si>
  <si>
    <t>LV29-088</t>
  </si>
  <si>
    <t>Hệ thống báo cáo thống kê doanh thu có gợi ý AI: gợi ý lịch tưới cho trang trại trồng trọt</t>
  </si>
  <si>
    <t>LV29-089</t>
  </si>
  <si>
    <t>Hệ thống cổng chăm sóc khách hàng có gợi ý AI: dự báo năng suất cho trang trại trồng trọt</t>
  </si>
  <si>
    <t>LV29-090</t>
  </si>
  <si>
    <t>Hệ thống ứng dụng loyalty/tích điểm có gợi ý AI: cảnh báo sâu bệnh cho trang trại trồng trọt</t>
  </si>
  <si>
    <t>LV29-091</t>
  </si>
  <si>
    <t>Hệ thống quản lý quy trình nghiệp vụ có gợi ý AI: gợi ý lịch tưới cho trang trại trồng trọt</t>
  </si>
  <si>
    <t>LV29-092</t>
  </si>
  <si>
    <t>Hệ thống theo dõi trạng thái thời gian thực có gợi ý AI: dự báo năng suất cho trang trại trồng trọt</t>
  </si>
  <si>
    <t>LV29-093</t>
  </si>
  <si>
    <t>Hệ thống quản lý hợp đồng/hồ sơ có gợi ý AI: cảnh báo sâu bệnh cho trang trại trồng trọt</t>
  </si>
  <si>
    <t>LV29-094</t>
  </si>
  <si>
    <t>Hệ thống tìm kiếm và lọc nâng cao có gợi ý AI: gợi ý lịch tưới cho trang trại trồng trọt</t>
  </si>
  <si>
    <t>LV29-095</t>
  </si>
  <si>
    <t>Hệ thống quản lý phản hồi/đánh giá có gợi ý AI: dự báo năng suất cho trang trại trồng trọt</t>
  </si>
  <si>
    <t>LV29-096</t>
  </si>
  <si>
    <t>Hệ thống dashboard điều hành có gợi ý AI: cảnh báo sâu bệnh cho trang trại trồng trọt</t>
  </si>
  <si>
    <t>LV29-097</t>
  </si>
  <si>
    <t>Hệ thống quản lý đa chi nhánh có gợi ý AI: gợi ý lịch tưới cho trang trại trồng trọt</t>
  </si>
  <si>
    <t>LV29-098</t>
  </si>
  <si>
    <t>Hệ thống hệ thống phân quyền vai trò có gợi ý AI: dự báo năng suất cho trang trại trồng trọt</t>
  </si>
  <si>
    <t>LV29-099</t>
  </si>
  <si>
    <t>Hệ thống quản lý thông báo/nhắc lịch có gợi ý AI: cảnh báo sâu bệnh cho trang trại trồng trọt</t>
  </si>
  <si>
    <t>LV29-100</t>
  </si>
  <si>
    <t>Hệ thống quản lý dữ liệu và import/export có gợi ý AI: gợi ý lịch tưới cho trang trại trồng trọt</t>
  </si>
  <si>
    <t>Thủy sản</t>
  </si>
  <si>
    <t>LV30-001</t>
  </si>
  <si>
    <t>Hệ thống quản lý tổng thể cho trại nuôi thủy sản</t>
  </si>
  <si>
    <t>Đồ án 8 tuần cho nhóm 5 SV: xây dựng Website phục vụ trại nuôi thủy sản; quản lý các thực thể chính: ao nuôi, con giống, thức ăn, môi trường nước; có CSDL, API, giao diện người dùng, báo cáo và kiểm thử.</t>
  </si>
  <si>
    <t>Đăng nhập phân quyền, CRUD, tìm kiếm/lọc, dashboard thống kê, import/export, báo cáo PDF/Excel, kiểm thử; nghiệp vụ trọng tâm: quản lý tổng thể; AI/ML gợi ý: dự báo sản lượng.</t>
  </si>
  <si>
    <t>dự báo sản lượng</t>
  </si>
  <si>
    <t>LV30-002</t>
  </si>
  <si>
    <t>Hệ thống đặt lịch/đặt chỗ cho trại nuôi thủy sản</t>
  </si>
  <si>
    <t>Đồ án 8 tuần cho nhóm 5 SV: xây dựng Mobile App phục vụ trại nuôi thủy sản; quản lý các thực thể chính: ao nuôi, con giống, thức ăn, môi trường nước; có CSDL, API, giao diện người dùng, báo cáo và kiểm thử.</t>
  </si>
  <si>
    <t>Đăng nhập phân quyền, CRUD, tìm kiếm/lọc, dashboard thống kê, import/export, báo cáo PDF/Excel, kiểm thử; nghiệp vụ trọng tâm: đặt lịch/đặt chỗ; AI/ML gợi ý: tối ưu thức ăn.</t>
  </si>
  <si>
    <t>tối ưu thức ăn</t>
  </si>
  <si>
    <t>LV30-003</t>
  </si>
  <si>
    <t>Hệ thống bán hàng và thanh toán cho trại nuôi thủy sản</t>
  </si>
  <si>
    <t>Đồ án 8 tuần cho nhóm 5 SV: xây dựng Desktop App phục vụ trại nuôi thủy sản; quản lý các thực thể chính: ao nuôi, con giống, thức ăn, môi trường nước; có CSDL, API, giao diện người dùng, báo cáo và kiểm thử.</t>
  </si>
  <si>
    <t>Đăng nhập phân quyền, CRUD, tìm kiếm/lọc, dashboard thống kê, import/export, báo cáo PDF/Excel, kiểm thử; nghiệp vụ trọng tâm: bán hàng và thanh toán; AI/ML gợi ý: cảnh báo chất lượng nước.</t>
  </si>
  <si>
    <t>cảnh báo chất lượng nước</t>
  </si>
  <si>
    <t>LV30-004</t>
  </si>
  <si>
    <t>Hệ thống quản lý khách hàng CRM cho trại nuôi thủy sản</t>
  </si>
  <si>
    <t>Đồ án 8 tuần cho nhóm 5 SV: xây dựng Web + Mobile phục vụ trại nuôi thủy sản; quản lý các thực thể chính: ao nuôi, con giống, thức ăn, môi trường nước; có CSDL, API, giao diện người dùng, báo cáo và kiểm thử.</t>
  </si>
  <si>
    <t>Đăng nhập phân quyền, CRUD, tìm kiếm/lọc, dashboard thống kê, import/export, báo cáo PDF/Excel, kiểm thử; nghiệp vụ trọng tâm: quản lý khách hàng CRM; AI/ML gợi ý: dự báo sản lượng.</t>
  </si>
  <si>
    <t>LV30-005</t>
  </si>
  <si>
    <t>Hệ thống quản lý kho/tài sản cho trại nuôi thủy sản</t>
  </si>
  <si>
    <t>Đồ án 8 tuần cho nhóm 5 SV: xây dựng Web + Desktop phục vụ trại nuôi thủy sản; quản lý các thực thể chính: ao nuôi, con giống, thức ăn, môi trường nước; có CSDL, API, giao diện người dùng, báo cáo và kiểm thử.</t>
  </si>
  <si>
    <t>Đăng nhập phân quyền, CRUD, tìm kiếm/lọc, dashboard thống kê, import/export, báo cáo PDF/Excel, kiểm thử; nghiệp vụ trọng tâm: quản lý kho/tài sản; AI/ML gợi ý: tối ưu thức ăn.</t>
  </si>
  <si>
    <t>LV30-006</t>
  </si>
  <si>
    <t>Hệ thống quản lý nhân sự và ca làm cho trại nuôi thủy sản</t>
  </si>
  <si>
    <t>Đăng nhập phân quyền, CRUD, tìm kiếm/lọc, dashboard thống kê, import/export, báo cáo PDF/Excel, kiểm thử; nghiệp vụ trọng tâm: quản lý nhân sự và ca làm; AI/ML gợi ý: cảnh báo chất lượng nước.</t>
  </si>
  <si>
    <t>LV30-007</t>
  </si>
  <si>
    <t>Hệ thống quản lý hóa đơn/công nợ cho trại nuôi thủy sản</t>
  </si>
  <si>
    <t>Đăng nhập phân quyền, CRUD, tìm kiếm/lọc, dashboard thống kê, import/export, báo cáo PDF/Excel, kiểm thử; nghiệp vụ trọng tâm: quản lý hóa đơn/công nợ; AI/ML gợi ý: dự báo sản lượng.</t>
  </si>
  <si>
    <t>LV30-008</t>
  </si>
  <si>
    <t>Hệ thống báo cáo thống kê doanh thu cho trại nuôi thủy sản</t>
  </si>
  <si>
    <t>Đăng nhập phân quyền, CRUD, tìm kiếm/lọc, dashboard thống kê, import/export, báo cáo PDF/Excel, kiểm thử; nghiệp vụ trọng tâm: báo cáo thống kê doanh thu; AI/ML gợi ý: tối ưu thức ăn.</t>
  </si>
  <si>
    <t>LV30-009</t>
  </si>
  <si>
    <t>Hệ thống cổng chăm sóc khách hàng cho trại nuôi thủy sản</t>
  </si>
  <si>
    <t>Đăng nhập phân quyền, CRUD, tìm kiếm/lọc, dashboard thống kê, import/export, báo cáo PDF/Excel, kiểm thử; nghiệp vụ trọng tâm: cổng chăm sóc khách hàng; AI/ML gợi ý: cảnh báo chất lượng nước.</t>
  </si>
  <si>
    <t>LV30-010</t>
  </si>
  <si>
    <t>Hệ thống ứng dụng loyalty/tích điểm cho trại nuôi thủy sản</t>
  </si>
  <si>
    <t>Đăng nhập phân quyền, CRUD, tìm kiếm/lọc, dashboard thống kê, import/export, báo cáo PDF/Excel, kiểm thử; nghiệp vụ trọng tâm: ứng dụng loyalty/tích điểm; AI/ML gợi ý: dự báo sản lượng.</t>
  </si>
  <si>
    <t>LV30-011</t>
  </si>
  <si>
    <t>Hệ thống quản lý quy trình nghiệp vụ cho trại nuôi thủy sản</t>
  </si>
  <si>
    <t>Đăng nhập phân quyền, CRUD, tìm kiếm/lọc, dashboard thống kê, import/export, báo cáo PDF/Excel, kiểm thử; nghiệp vụ trọng tâm: quản lý quy trình nghiệp vụ; AI/ML gợi ý: tối ưu thức ăn.</t>
  </si>
  <si>
    <t>LV30-012</t>
  </si>
  <si>
    <t>Hệ thống theo dõi trạng thái thời gian thực cho trại nuôi thủy sản</t>
  </si>
  <si>
    <t>Đăng nhập phân quyền, CRUD, tìm kiếm/lọc, dashboard thống kê, import/export, báo cáo PDF/Excel, kiểm thử; nghiệp vụ trọng tâm: theo dõi trạng thái thời gian thực; AI/ML gợi ý: cảnh báo chất lượng nước.</t>
  </si>
  <si>
    <t>LV30-013</t>
  </si>
  <si>
    <t>Hệ thống quản lý hợp đồng/hồ sơ cho trại nuôi thủy sản</t>
  </si>
  <si>
    <t>Đăng nhập phân quyền, CRUD, tìm kiếm/lọc, dashboard thống kê, import/export, báo cáo PDF/Excel, kiểm thử; nghiệp vụ trọng tâm: quản lý hợp đồng/hồ sơ; AI/ML gợi ý: dự báo sản lượng.</t>
  </si>
  <si>
    <t>LV30-014</t>
  </si>
  <si>
    <t>Hệ thống tìm kiếm và lọc nâng cao cho trại nuôi thủy sản</t>
  </si>
  <si>
    <t>Đăng nhập phân quyền, CRUD, tìm kiếm/lọc, dashboard thống kê, import/export, báo cáo PDF/Excel, kiểm thử; nghiệp vụ trọng tâm: tìm kiếm và lọc nâng cao; AI/ML gợi ý: tối ưu thức ăn.</t>
  </si>
  <si>
    <t>LV30-015</t>
  </si>
  <si>
    <t>Hệ thống quản lý phản hồi/đánh giá cho trại nuôi thủy sản</t>
  </si>
  <si>
    <t>Đăng nhập phân quyền, CRUD, tìm kiếm/lọc, dashboard thống kê, import/export, báo cáo PDF/Excel, kiểm thử; nghiệp vụ trọng tâm: quản lý phản hồi/đánh giá; AI/ML gợi ý: cảnh báo chất lượng nước.</t>
  </si>
  <si>
    <t>LV30-016</t>
  </si>
  <si>
    <t>Hệ thống dashboard điều hành cho trại nuôi thủy sản</t>
  </si>
  <si>
    <t>Đăng nhập phân quyền, CRUD, tìm kiếm/lọc, dashboard thống kê, import/export, báo cáo PDF/Excel, kiểm thử; nghiệp vụ trọng tâm: dashboard điều hành; AI/ML gợi ý: dự báo sản lượng.</t>
  </si>
  <si>
    <t>LV30-017</t>
  </si>
  <si>
    <t>Hệ thống quản lý đa chi nhánh cho trại nuôi thủy sản</t>
  </si>
  <si>
    <t>Đăng nhập phân quyền, CRUD, tìm kiếm/lọc, dashboard thống kê, import/export, báo cáo PDF/Excel, kiểm thử; nghiệp vụ trọng tâm: quản lý đa chi nhánh; AI/ML gợi ý: tối ưu thức ăn.</t>
  </si>
  <si>
    <t>LV30-018</t>
  </si>
  <si>
    <t>Hệ thống hệ thống phân quyền vai trò cho trại nuôi thủy sản</t>
  </si>
  <si>
    <t>Đăng nhập phân quyền, CRUD, tìm kiếm/lọc, dashboard thống kê, import/export, báo cáo PDF/Excel, kiểm thử; nghiệp vụ trọng tâm: hệ thống phân quyền vai trò; AI/ML gợi ý: cảnh báo chất lượng nước.</t>
  </si>
  <si>
    <t>LV30-019</t>
  </si>
  <si>
    <t>Hệ thống quản lý thông báo/nhắc lịch cho trại nuôi thủy sản</t>
  </si>
  <si>
    <t>Đăng nhập phân quyền, CRUD, tìm kiếm/lọc, dashboard thống kê, import/export, báo cáo PDF/Excel, kiểm thử; nghiệp vụ trọng tâm: quản lý thông báo/nhắc lịch; AI/ML gợi ý: dự báo sản lượng.</t>
  </si>
  <si>
    <t>LV30-020</t>
  </si>
  <si>
    <t>Hệ thống quản lý dữ liệu và import/export cho trại nuôi thủy sản</t>
  </si>
  <si>
    <t>Đăng nhập phân quyền, CRUD, tìm kiếm/lọc, dashboard thống kê, import/export, báo cáo PDF/Excel, kiểm thử; nghiệp vụ trọng tâm: quản lý dữ liệu và import/export; AI/ML gợi ý: tối ưu thức ăn.</t>
  </si>
  <si>
    <t>LV30-021</t>
  </si>
  <si>
    <t>Ứng dụng website hỗ trợ quản lý tổng thể trong thủy sản</t>
  </si>
  <si>
    <t>LV30-022</t>
  </si>
  <si>
    <t>Ứng dụng mobile app hỗ trợ đặt lịch/đặt chỗ trong thủy sản</t>
  </si>
  <si>
    <t>LV30-023</t>
  </si>
  <si>
    <t>Ứng dụng desktop app hỗ trợ bán hàng và thanh toán trong thủy sản</t>
  </si>
  <si>
    <t>LV30-024</t>
  </si>
  <si>
    <t>Ứng dụng web + mobile hỗ trợ quản lý khách hàng CRM trong thủy sản</t>
  </si>
  <si>
    <t>LV30-025</t>
  </si>
  <si>
    <t>Ứng dụng web + desktop hỗ trợ quản lý kho/tài sản trong thủy sản</t>
  </si>
  <si>
    <t>LV30-026</t>
  </si>
  <si>
    <t>Ứng dụng website hỗ trợ quản lý nhân sự và ca làm trong thủy sản</t>
  </si>
  <si>
    <t>LV30-027</t>
  </si>
  <si>
    <t>Ứng dụng mobile app hỗ trợ quản lý hóa đơn/công nợ trong thủy sản</t>
  </si>
  <si>
    <t>LV30-028</t>
  </si>
  <si>
    <t>Ứng dụng desktop app hỗ trợ báo cáo thống kê doanh thu trong thủy sản</t>
  </si>
  <si>
    <t>LV30-029</t>
  </si>
  <si>
    <t>Ứng dụng web + mobile hỗ trợ cổng chăm sóc khách hàng trong thủy sản</t>
  </si>
  <si>
    <t>LV30-030</t>
  </si>
  <si>
    <t>Ứng dụng web + desktop hỗ trợ ứng dụng loyalty/tích điểm trong thủy sản</t>
  </si>
  <si>
    <t>LV30-031</t>
  </si>
  <si>
    <t>Ứng dụng website hỗ trợ quản lý quy trình nghiệp vụ trong thủy sản</t>
  </si>
  <si>
    <t>LV30-032</t>
  </si>
  <si>
    <t>Ứng dụng mobile app hỗ trợ theo dõi trạng thái thời gian thực trong thủy sản</t>
  </si>
  <si>
    <t>LV30-033</t>
  </si>
  <si>
    <t>Ứng dụng desktop app hỗ trợ quản lý hợp đồng/hồ sơ trong thủy sản</t>
  </si>
  <si>
    <t>LV30-034</t>
  </si>
  <si>
    <t>Ứng dụng web + mobile hỗ trợ tìm kiếm và lọc nâng cao trong thủy sản</t>
  </si>
  <si>
    <t>LV30-035</t>
  </si>
  <si>
    <t>Ứng dụng web + desktop hỗ trợ quản lý phản hồi/đánh giá trong thủy sản</t>
  </si>
  <si>
    <t>LV30-036</t>
  </si>
  <si>
    <t>Ứng dụng website hỗ trợ dashboard điều hành trong thủy sản</t>
  </si>
  <si>
    <t>LV30-037</t>
  </si>
  <si>
    <t>Ứng dụng mobile app hỗ trợ quản lý đa chi nhánh trong thủy sản</t>
  </si>
  <si>
    <t>LV30-038</t>
  </si>
  <si>
    <t>Ứng dụng desktop app hỗ trợ hệ thống phân quyền vai trò trong thủy sản</t>
  </si>
  <si>
    <t>LV30-039</t>
  </si>
  <si>
    <t>Ứng dụng web + mobile hỗ trợ quản lý thông báo/nhắc lịch trong thủy sản</t>
  </si>
  <si>
    <t>LV30-040</t>
  </si>
  <si>
    <t>Ứng dụng web + desktop hỗ trợ quản lý dữ liệu và import/export trong thủy sản</t>
  </si>
  <si>
    <t>LV30-041</t>
  </si>
  <si>
    <t>Nền tảng quản lý tổng thể có phân quyền và báo cáo cho trại nuôi thủy sản</t>
  </si>
  <si>
    <t>LV30-042</t>
  </si>
  <si>
    <t>Nền tảng đặt lịch/đặt chỗ có phân quyền và báo cáo cho trại nuôi thủy sản</t>
  </si>
  <si>
    <t>LV30-043</t>
  </si>
  <si>
    <t>Nền tảng bán hàng và thanh toán có phân quyền và báo cáo cho trại nuôi thủy sản</t>
  </si>
  <si>
    <t>LV30-044</t>
  </si>
  <si>
    <t>Nền tảng quản lý khách hàng CRM có phân quyền và báo cáo cho trại nuôi thủy sản</t>
  </si>
  <si>
    <t>LV30-045</t>
  </si>
  <si>
    <t>Nền tảng quản lý kho/tài sản có phân quyền và báo cáo cho trại nuôi thủy sản</t>
  </si>
  <si>
    <t>LV30-046</t>
  </si>
  <si>
    <t>Nền tảng quản lý nhân sự và ca làm có phân quyền và báo cáo cho trại nuôi thủy sản</t>
  </si>
  <si>
    <t>LV30-047</t>
  </si>
  <si>
    <t>Nền tảng quản lý hóa đơn/công nợ có phân quyền và báo cáo cho trại nuôi thủy sản</t>
  </si>
  <si>
    <t>LV30-048</t>
  </si>
  <si>
    <t>Nền tảng báo cáo thống kê doanh thu có phân quyền và báo cáo cho trại nuôi thủy sản</t>
  </si>
  <si>
    <t>LV30-049</t>
  </si>
  <si>
    <t>Nền tảng cổng chăm sóc khách hàng có phân quyền và báo cáo cho trại nuôi thủy sản</t>
  </si>
  <si>
    <t>LV30-050</t>
  </si>
  <si>
    <t>Nền tảng ứng dụng loyalty/tích điểm có phân quyền và báo cáo cho trại nuôi thủy sản</t>
  </si>
  <si>
    <t>LV30-051</t>
  </si>
  <si>
    <t>Nền tảng quản lý quy trình nghiệp vụ có phân quyền và báo cáo cho trại nuôi thủy sản</t>
  </si>
  <si>
    <t>LV30-052</t>
  </si>
  <si>
    <t>Nền tảng theo dõi trạng thái thời gian thực có phân quyền và báo cáo cho trại nuôi thủy sản</t>
  </si>
  <si>
    <t>LV30-053</t>
  </si>
  <si>
    <t>Nền tảng quản lý hợp đồng/hồ sơ có phân quyền và báo cáo cho trại nuôi thủy sản</t>
  </si>
  <si>
    <t>LV30-054</t>
  </si>
  <si>
    <t>Nền tảng tìm kiếm và lọc nâng cao có phân quyền và báo cáo cho trại nuôi thủy sản</t>
  </si>
  <si>
    <t>LV30-055</t>
  </si>
  <si>
    <t>Nền tảng quản lý phản hồi/đánh giá có phân quyền và báo cáo cho trại nuôi thủy sản</t>
  </si>
  <si>
    <t>LV30-056</t>
  </si>
  <si>
    <t>Nền tảng dashboard điều hành có phân quyền và báo cáo cho trại nuôi thủy sản</t>
  </si>
  <si>
    <t>LV30-057</t>
  </si>
  <si>
    <t>Nền tảng quản lý đa chi nhánh có phân quyền và báo cáo cho trại nuôi thủy sản</t>
  </si>
  <si>
    <t>LV30-058</t>
  </si>
  <si>
    <t>Nền tảng hệ thống phân quyền vai trò có phân quyền và báo cáo cho trại nuôi thủy sản</t>
  </si>
  <si>
    <t>LV30-059</t>
  </si>
  <si>
    <t>Nền tảng quản lý thông báo/nhắc lịch có phân quyền và báo cáo cho trại nuôi thủy sản</t>
  </si>
  <si>
    <t>LV30-060</t>
  </si>
  <si>
    <t>Nền tảng quản lý dữ liệu và import/export có phân quyền và báo cáo cho trại nuôi thủy sản</t>
  </si>
  <si>
    <t>LV30-061</t>
  </si>
  <si>
    <t>Phần mềm quản lý tổng thể tích hợp dashboard dữ liệu cho thủy sản</t>
  </si>
  <si>
    <t>LV30-062</t>
  </si>
  <si>
    <t>Phần mềm đặt lịch/đặt chỗ tích hợp dashboard dữ liệu cho thủy sản</t>
  </si>
  <si>
    <t>LV30-063</t>
  </si>
  <si>
    <t>Phần mềm bán hàng và thanh toán tích hợp dashboard dữ liệu cho thủy sản</t>
  </si>
  <si>
    <t>LV30-064</t>
  </si>
  <si>
    <t>Phần mềm quản lý khách hàng CRM tích hợp dashboard dữ liệu cho thủy sản</t>
  </si>
  <si>
    <t>LV30-065</t>
  </si>
  <si>
    <t>Phần mềm quản lý kho/tài sản tích hợp dashboard dữ liệu cho thủy sản</t>
  </si>
  <si>
    <t>LV30-066</t>
  </si>
  <si>
    <t>Phần mềm quản lý nhân sự và ca làm tích hợp dashboard dữ liệu cho thủy sản</t>
  </si>
  <si>
    <t>LV30-067</t>
  </si>
  <si>
    <t>Phần mềm quản lý hóa đơn/công nợ tích hợp dashboard dữ liệu cho thủy sản</t>
  </si>
  <si>
    <t>LV30-068</t>
  </si>
  <si>
    <t>Phần mềm báo cáo thống kê doanh thu tích hợp dashboard dữ liệu cho thủy sản</t>
  </si>
  <si>
    <t>LV30-069</t>
  </si>
  <si>
    <t>Phần mềm cổng chăm sóc khách hàng tích hợp dashboard dữ liệu cho thủy sản</t>
  </si>
  <si>
    <t>LV30-070</t>
  </si>
  <si>
    <t>Phần mềm ứng dụng loyalty/tích điểm tích hợp dashboard dữ liệu cho thủy sản</t>
  </si>
  <si>
    <t>LV30-071</t>
  </si>
  <si>
    <t>Phần mềm quản lý quy trình nghiệp vụ tích hợp dashboard dữ liệu cho thủy sản</t>
  </si>
  <si>
    <t>LV30-072</t>
  </si>
  <si>
    <t>Phần mềm theo dõi trạng thái thời gian thực tích hợp dashboard dữ liệu cho thủy sản</t>
  </si>
  <si>
    <t>LV30-073</t>
  </si>
  <si>
    <t>Phần mềm quản lý hợp đồng/hồ sơ tích hợp dashboard dữ liệu cho thủy sản</t>
  </si>
  <si>
    <t>LV30-074</t>
  </si>
  <si>
    <t>Phần mềm tìm kiếm và lọc nâng cao tích hợp dashboard dữ liệu cho thủy sản</t>
  </si>
  <si>
    <t>LV30-075</t>
  </si>
  <si>
    <t>Phần mềm quản lý phản hồi/đánh giá tích hợp dashboard dữ liệu cho thủy sản</t>
  </si>
  <si>
    <t>LV30-076</t>
  </si>
  <si>
    <t>Phần mềm dashboard điều hành tích hợp dashboard dữ liệu cho thủy sản</t>
  </si>
  <si>
    <t>LV30-077</t>
  </si>
  <si>
    <t>Phần mềm quản lý đa chi nhánh tích hợp dashboard dữ liệu cho thủy sản</t>
  </si>
  <si>
    <t>LV30-078</t>
  </si>
  <si>
    <t>Phần mềm hệ thống phân quyền vai trò tích hợp dashboard dữ liệu cho thủy sản</t>
  </si>
  <si>
    <t>LV30-079</t>
  </si>
  <si>
    <t>Phần mềm quản lý thông báo/nhắc lịch tích hợp dashboard dữ liệu cho thủy sản</t>
  </si>
  <si>
    <t>LV30-080</t>
  </si>
  <si>
    <t>Phần mềm quản lý dữ liệu và import/export tích hợp dashboard dữ liệu cho thủy sản</t>
  </si>
  <si>
    <t>LV30-081</t>
  </si>
  <si>
    <t>Hệ thống quản lý tổng thể có gợi ý AI: dự báo sản lượng cho trại nuôi thủy sản</t>
  </si>
  <si>
    <t>LV30-082</t>
  </si>
  <si>
    <t>Hệ thống đặt lịch/đặt chỗ có gợi ý AI: tối ưu thức ăn cho trại nuôi thủy sản</t>
  </si>
  <si>
    <t>LV30-083</t>
  </si>
  <si>
    <t>Hệ thống bán hàng và thanh toán có gợi ý AI: cảnh báo chất lượng nước cho trại nuôi thủy sản</t>
  </si>
  <si>
    <t>LV30-084</t>
  </si>
  <si>
    <t>Hệ thống quản lý khách hàng CRM có gợi ý AI: dự báo sản lượng cho trại nuôi thủy sản</t>
  </si>
  <si>
    <t>LV30-085</t>
  </si>
  <si>
    <t>Hệ thống quản lý kho/tài sản có gợi ý AI: tối ưu thức ăn cho trại nuôi thủy sản</t>
  </si>
  <si>
    <t>LV30-086</t>
  </si>
  <si>
    <t>Hệ thống quản lý nhân sự và ca làm có gợi ý AI: cảnh báo chất lượng nước cho trại nuôi thủy sản</t>
  </si>
  <si>
    <t>LV30-087</t>
  </si>
  <si>
    <t>Hệ thống quản lý hóa đơn/công nợ có gợi ý AI: dự báo sản lượng cho trại nuôi thủy sản</t>
  </si>
  <si>
    <t>LV30-088</t>
  </si>
  <si>
    <t>Hệ thống báo cáo thống kê doanh thu có gợi ý AI: tối ưu thức ăn cho trại nuôi thủy sản</t>
  </si>
  <si>
    <t>LV30-089</t>
  </si>
  <si>
    <t>Hệ thống cổng chăm sóc khách hàng có gợi ý AI: cảnh báo chất lượng nước cho trại nuôi thủy sản</t>
  </si>
  <si>
    <t>LV30-090</t>
  </si>
  <si>
    <t>Hệ thống ứng dụng loyalty/tích điểm có gợi ý AI: dự báo sản lượng cho trại nuôi thủy sản</t>
  </si>
  <si>
    <t>LV30-091</t>
  </si>
  <si>
    <t>Hệ thống quản lý quy trình nghiệp vụ có gợi ý AI: tối ưu thức ăn cho trại nuôi thủy sản</t>
  </si>
  <si>
    <t>LV30-092</t>
  </si>
  <si>
    <t>Hệ thống theo dõi trạng thái thời gian thực có gợi ý AI: cảnh báo chất lượng nước cho trại nuôi thủy sản</t>
  </si>
  <si>
    <t>LV30-093</t>
  </si>
  <si>
    <t>Hệ thống quản lý hợp đồng/hồ sơ có gợi ý AI: dự báo sản lượng cho trại nuôi thủy sản</t>
  </si>
  <si>
    <t>LV30-094</t>
  </si>
  <si>
    <t>Hệ thống tìm kiếm và lọc nâng cao có gợi ý AI: tối ưu thức ăn cho trại nuôi thủy sản</t>
  </si>
  <si>
    <t>LV30-095</t>
  </si>
  <si>
    <t>Hệ thống quản lý phản hồi/đánh giá có gợi ý AI: cảnh báo chất lượng nước cho trại nuôi thủy sản</t>
  </si>
  <si>
    <t>LV30-096</t>
  </si>
  <si>
    <t>Hệ thống dashboard điều hành có gợi ý AI: dự báo sản lượng cho trại nuôi thủy sản</t>
  </si>
  <si>
    <t>LV30-097</t>
  </si>
  <si>
    <t>Hệ thống quản lý đa chi nhánh có gợi ý AI: tối ưu thức ăn cho trại nuôi thủy sản</t>
  </si>
  <si>
    <t>LV30-098</t>
  </si>
  <si>
    <t>Hệ thống hệ thống phân quyền vai trò có gợi ý AI: cảnh báo chất lượng nước cho trại nuôi thủy sản</t>
  </si>
  <si>
    <t>LV30-099</t>
  </si>
  <si>
    <t>Hệ thống quản lý thông báo/nhắc lịch có gợi ý AI: dự báo sản lượng cho trại nuôi thủy sản</t>
  </si>
  <si>
    <t>LV30-100</t>
  </si>
  <si>
    <t>Hệ thống quản lý dữ liệu và import/export có gợi ý AI: tối ưu thức ăn cho trại nuôi thủy sản</t>
  </si>
  <si>
    <t>Chăn nuôi</t>
  </si>
  <si>
    <t>LV31-001</t>
  </si>
  <si>
    <t>Hệ thống quản lý tổng thể cho trang trại chăn nuôi</t>
  </si>
  <si>
    <t>Đồ án 8 tuần cho nhóm 5 SV: xây dựng Mobile App phục vụ trang trại chăn nuôi; quản lý các thực thể chính: đàn vật nuôi, tiêm phòng, thức ăn, chi phí; có CSDL, API, giao diện người dùng, báo cáo và kiểm thử.</t>
  </si>
  <si>
    <t>Đăng nhập phân quyền, CRUD, tìm kiếm/lọc, dashboard thống kê, import/export, báo cáo PDF/Excel, kiểm thử; nghiệp vụ trọng tâm: quản lý tổng thể; AI/ML gợi ý: nhắc tiêm phòng.</t>
  </si>
  <si>
    <t>nhắc tiêm phòng</t>
  </si>
  <si>
    <t>LV31-002</t>
  </si>
  <si>
    <t>Hệ thống đặt lịch/đặt chỗ cho trang trại chăn nuôi</t>
  </si>
  <si>
    <t>Đồ án 8 tuần cho nhóm 5 SV: xây dựng Desktop App phục vụ trang trại chăn nuôi; quản lý các thực thể chính: đàn vật nuôi, tiêm phòng, thức ăn, chi phí; có CSDL, API, giao diện người dùng, báo cáo và kiểm thử.</t>
  </si>
  <si>
    <t>Đăng nhập phân quyền, CRUD, tìm kiếm/lọc, dashboard thống kê, import/export, báo cáo PDF/Excel, kiểm thử; nghiệp vụ trọng tâm: đặt lịch/đặt chỗ; AI/ML gợi ý: tối ưu khẩu phần.</t>
  </si>
  <si>
    <t>tối ưu khẩu phần</t>
  </si>
  <si>
    <t>LV31-003</t>
  </si>
  <si>
    <t>Hệ thống bán hàng và thanh toán cho trang trại chăn nuôi</t>
  </si>
  <si>
    <t>Đồ án 8 tuần cho nhóm 5 SV: xây dựng Web + Mobile phục vụ trang trại chăn nuôi; quản lý các thực thể chính: đàn vật nuôi, tiêm phòng, thức ăn, chi phí; có CSDL, API, giao diện người dùng, báo cáo và kiểm thử.</t>
  </si>
  <si>
    <t>Đăng nhập phân quyền, CRUD, tìm kiếm/lọc, dashboard thống kê, import/export, báo cáo PDF/Excel, kiểm thử; nghiệp vụ trọng tâm: bán hàng và thanh toán; AI/ML gợi ý: dự báo dịch bệnh.</t>
  </si>
  <si>
    <t>dự báo dịch bệnh</t>
  </si>
  <si>
    <t>LV31-004</t>
  </si>
  <si>
    <t>Hệ thống quản lý khách hàng CRM cho trang trại chăn nuôi</t>
  </si>
  <si>
    <t>Đồ án 8 tuần cho nhóm 5 SV: xây dựng Web + Desktop phục vụ trang trại chăn nuôi; quản lý các thực thể chính: đàn vật nuôi, tiêm phòng, thức ăn, chi phí; có CSDL, API, giao diện người dùng, báo cáo và kiểm thử.</t>
  </si>
  <si>
    <t>Đăng nhập phân quyền, CRUD, tìm kiếm/lọc, dashboard thống kê, import/export, báo cáo PDF/Excel, kiểm thử; nghiệp vụ trọng tâm: quản lý khách hàng CRM; AI/ML gợi ý: nhắc tiêm phòng.</t>
  </si>
  <si>
    <t>LV31-005</t>
  </si>
  <si>
    <t>Hệ thống quản lý kho/tài sản cho trang trại chăn nuôi</t>
  </si>
  <si>
    <t>Đồ án 8 tuần cho nhóm 5 SV: xây dựng Website phục vụ trang trại chăn nuôi; quản lý các thực thể chính: đàn vật nuôi, tiêm phòng, thức ăn, chi phí; có CSDL, API, giao diện người dùng, báo cáo và kiểm thử.</t>
  </si>
  <si>
    <t>Đăng nhập phân quyền, CRUD, tìm kiếm/lọc, dashboard thống kê, import/export, báo cáo PDF/Excel, kiểm thử; nghiệp vụ trọng tâm: quản lý kho/tài sản; AI/ML gợi ý: tối ưu khẩu phần.</t>
  </si>
  <si>
    <t>LV31-006</t>
  </si>
  <si>
    <t>Hệ thống quản lý nhân sự và ca làm cho trang trại chăn nuôi</t>
  </si>
  <si>
    <t>Đăng nhập phân quyền, CRUD, tìm kiếm/lọc, dashboard thống kê, import/export, báo cáo PDF/Excel, kiểm thử; nghiệp vụ trọng tâm: quản lý nhân sự và ca làm; AI/ML gợi ý: dự báo dịch bệnh.</t>
  </si>
  <si>
    <t>LV31-007</t>
  </si>
  <si>
    <t>Hệ thống quản lý hóa đơn/công nợ cho trang trại chăn nuôi</t>
  </si>
  <si>
    <t>Đăng nhập phân quyền, CRUD, tìm kiếm/lọc, dashboard thống kê, import/export, báo cáo PDF/Excel, kiểm thử; nghiệp vụ trọng tâm: quản lý hóa đơn/công nợ; AI/ML gợi ý: nhắc tiêm phòng.</t>
  </si>
  <si>
    <t>LV31-008</t>
  </si>
  <si>
    <t>Hệ thống báo cáo thống kê doanh thu cho trang trại chăn nuôi</t>
  </si>
  <si>
    <t>Đăng nhập phân quyền, CRUD, tìm kiếm/lọc, dashboard thống kê, import/export, báo cáo PDF/Excel, kiểm thử; nghiệp vụ trọng tâm: báo cáo thống kê doanh thu; AI/ML gợi ý: tối ưu khẩu phần.</t>
  </si>
  <si>
    <t>LV31-009</t>
  </si>
  <si>
    <t>Hệ thống cổng chăm sóc khách hàng cho trang trại chăn nuôi</t>
  </si>
  <si>
    <t>Đăng nhập phân quyền, CRUD, tìm kiếm/lọc, dashboard thống kê, import/export, báo cáo PDF/Excel, kiểm thử; nghiệp vụ trọng tâm: cổng chăm sóc khách hàng; AI/ML gợi ý: dự báo dịch bệnh.</t>
  </si>
  <si>
    <t>LV31-010</t>
  </si>
  <si>
    <t>Hệ thống ứng dụng loyalty/tích điểm cho trang trại chăn nuôi</t>
  </si>
  <si>
    <t>Đăng nhập phân quyền, CRUD, tìm kiếm/lọc, dashboard thống kê, import/export, báo cáo PDF/Excel, kiểm thử; nghiệp vụ trọng tâm: ứng dụng loyalty/tích điểm; AI/ML gợi ý: nhắc tiêm phòng.</t>
  </si>
  <si>
    <t>LV31-011</t>
  </si>
  <si>
    <t>Hệ thống quản lý quy trình nghiệp vụ cho trang trại chăn nuôi</t>
  </si>
  <si>
    <t>Đăng nhập phân quyền, CRUD, tìm kiếm/lọc, dashboard thống kê, import/export, báo cáo PDF/Excel, kiểm thử; nghiệp vụ trọng tâm: quản lý quy trình nghiệp vụ; AI/ML gợi ý: tối ưu khẩu phần.</t>
  </si>
  <si>
    <t>LV31-012</t>
  </si>
  <si>
    <t>Hệ thống theo dõi trạng thái thời gian thực cho trang trại chăn nuôi</t>
  </si>
  <si>
    <t>Đăng nhập phân quyền, CRUD, tìm kiếm/lọc, dashboard thống kê, import/export, báo cáo PDF/Excel, kiểm thử; nghiệp vụ trọng tâm: theo dõi trạng thái thời gian thực; AI/ML gợi ý: dự báo dịch bệnh.</t>
  </si>
  <si>
    <t>LV31-013</t>
  </si>
  <si>
    <t>Hệ thống quản lý hợp đồng/hồ sơ cho trang trại chăn nuôi</t>
  </si>
  <si>
    <t>Đăng nhập phân quyền, CRUD, tìm kiếm/lọc, dashboard thống kê, import/export, báo cáo PDF/Excel, kiểm thử; nghiệp vụ trọng tâm: quản lý hợp đồng/hồ sơ; AI/ML gợi ý: nhắc tiêm phòng.</t>
  </si>
  <si>
    <t>LV31-014</t>
  </si>
  <si>
    <t>Hệ thống tìm kiếm và lọc nâng cao cho trang trại chăn nuôi</t>
  </si>
  <si>
    <t>Đăng nhập phân quyền, CRUD, tìm kiếm/lọc, dashboard thống kê, import/export, báo cáo PDF/Excel, kiểm thử; nghiệp vụ trọng tâm: tìm kiếm và lọc nâng cao; AI/ML gợi ý: tối ưu khẩu phần.</t>
  </si>
  <si>
    <t>LV31-015</t>
  </si>
  <si>
    <t>Hệ thống quản lý phản hồi/đánh giá cho trang trại chăn nuôi</t>
  </si>
  <si>
    <t>Đăng nhập phân quyền, CRUD, tìm kiếm/lọc, dashboard thống kê, import/export, báo cáo PDF/Excel, kiểm thử; nghiệp vụ trọng tâm: quản lý phản hồi/đánh giá; AI/ML gợi ý: dự báo dịch bệnh.</t>
  </si>
  <si>
    <t>LV31-016</t>
  </si>
  <si>
    <t>Hệ thống dashboard điều hành cho trang trại chăn nuôi</t>
  </si>
  <si>
    <t>Đăng nhập phân quyền, CRUD, tìm kiếm/lọc, dashboard thống kê, import/export, báo cáo PDF/Excel, kiểm thử; nghiệp vụ trọng tâm: dashboard điều hành; AI/ML gợi ý: nhắc tiêm phòng.</t>
  </si>
  <si>
    <t>LV31-017</t>
  </si>
  <si>
    <t>Hệ thống quản lý đa chi nhánh cho trang trại chăn nuôi</t>
  </si>
  <si>
    <t>Đăng nhập phân quyền, CRUD, tìm kiếm/lọc, dashboard thống kê, import/export, báo cáo PDF/Excel, kiểm thử; nghiệp vụ trọng tâm: quản lý đa chi nhánh; AI/ML gợi ý: tối ưu khẩu phần.</t>
  </si>
  <si>
    <t>LV31-018</t>
  </si>
  <si>
    <t>Hệ thống hệ thống phân quyền vai trò cho trang trại chăn nuôi</t>
  </si>
  <si>
    <t>Đăng nhập phân quyền, CRUD, tìm kiếm/lọc, dashboard thống kê, import/export, báo cáo PDF/Excel, kiểm thử; nghiệp vụ trọng tâm: hệ thống phân quyền vai trò; AI/ML gợi ý: dự báo dịch bệnh.</t>
  </si>
  <si>
    <t>LV31-019</t>
  </si>
  <si>
    <t>Hệ thống quản lý thông báo/nhắc lịch cho trang trại chăn nuôi</t>
  </si>
  <si>
    <t>Đăng nhập phân quyền, CRUD, tìm kiếm/lọc, dashboard thống kê, import/export, báo cáo PDF/Excel, kiểm thử; nghiệp vụ trọng tâm: quản lý thông báo/nhắc lịch; AI/ML gợi ý: nhắc tiêm phòng.</t>
  </si>
  <si>
    <t>LV31-020</t>
  </si>
  <si>
    <t>Hệ thống quản lý dữ liệu và import/export cho trang trại chăn nuôi</t>
  </si>
  <si>
    <t>Đăng nhập phân quyền, CRUD, tìm kiếm/lọc, dashboard thống kê, import/export, báo cáo PDF/Excel, kiểm thử; nghiệp vụ trọng tâm: quản lý dữ liệu và import/export; AI/ML gợi ý: tối ưu khẩu phần.</t>
  </si>
  <si>
    <t>LV31-021</t>
  </si>
  <si>
    <t>Ứng dụng mobile app hỗ trợ quản lý tổng thể trong chăn nuôi</t>
  </si>
  <si>
    <t>LV31-022</t>
  </si>
  <si>
    <t>Ứng dụng desktop app hỗ trợ đặt lịch/đặt chỗ trong chăn nuôi</t>
  </si>
  <si>
    <t>LV31-023</t>
  </si>
  <si>
    <t>Ứng dụng web + mobile hỗ trợ bán hàng và thanh toán trong chăn nuôi</t>
  </si>
  <si>
    <t>LV31-024</t>
  </si>
  <si>
    <t>Ứng dụng web + desktop hỗ trợ quản lý khách hàng CRM trong chăn nuôi</t>
  </si>
  <si>
    <t>LV31-025</t>
  </si>
  <si>
    <t>Ứng dụng website hỗ trợ quản lý kho/tài sản trong chăn nuôi</t>
  </si>
  <si>
    <t>LV31-026</t>
  </si>
  <si>
    <t>Ứng dụng mobile app hỗ trợ quản lý nhân sự và ca làm trong chăn nuôi</t>
  </si>
  <si>
    <t>LV31-027</t>
  </si>
  <si>
    <t>Ứng dụng desktop app hỗ trợ quản lý hóa đơn/công nợ trong chăn nuôi</t>
  </si>
  <si>
    <t>LV31-028</t>
  </si>
  <si>
    <t>Ứng dụng web + mobile hỗ trợ báo cáo thống kê doanh thu trong chăn nuôi</t>
  </si>
  <si>
    <t>LV31-029</t>
  </si>
  <si>
    <t>Ứng dụng web + desktop hỗ trợ cổng chăm sóc khách hàng trong chăn nuôi</t>
  </si>
  <si>
    <t>LV31-030</t>
  </si>
  <si>
    <t>Ứng dụng website hỗ trợ ứng dụng loyalty/tích điểm trong chăn nuôi</t>
  </si>
  <si>
    <t>LV31-031</t>
  </si>
  <si>
    <t>Ứng dụng mobile app hỗ trợ quản lý quy trình nghiệp vụ trong chăn nuôi</t>
  </si>
  <si>
    <t>LV31-032</t>
  </si>
  <si>
    <t>Ứng dụng desktop app hỗ trợ theo dõi trạng thái thời gian thực trong chăn nuôi</t>
  </si>
  <si>
    <t>LV31-033</t>
  </si>
  <si>
    <t>Ứng dụng web + mobile hỗ trợ quản lý hợp đồng/hồ sơ trong chăn nuôi</t>
  </si>
  <si>
    <t>LV31-034</t>
  </si>
  <si>
    <t>Ứng dụng web + desktop hỗ trợ tìm kiếm và lọc nâng cao trong chăn nuôi</t>
  </si>
  <si>
    <t>LV31-035</t>
  </si>
  <si>
    <t>Ứng dụng website hỗ trợ quản lý phản hồi/đánh giá trong chăn nuôi</t>
  </si>
  <si>
    <t>LV31-036</t>
  </si>
  <si>
    <t>Ứng dụng mobile app hỗ trợ dashboard điều hành trong chăn nuôi</t>
  </si>
  <si>
    <t>LV31-037</t>
  </si>
  <si>
    <t>Ứng dụng desktop app hỗ trợ quản lý đa chi nhánh trong chăn nuôi</t>
  </si>
  <si>
    <t>LV31-038</t>
  </si>
  <si>
    <t>Ứng dụng web + mobile hỗ trợ hệ thống phân quyền vai trò trong chăn nuôi</t>
  </si>
  <si>
    <t>LV31-039</t>
  </si>
  <si>
    <t>Ứng dụng web + desktop hỗ trợ quản lý thông báo/nhắc lịch trong chăn nuôi</t>
  </si>
  <si>
    <t>LV31-040</t>
  </si>
  <si>
    <t>Ứng dụng website hỗ trợ quản lý dữ liệu và import/export trong chăn nuôi</t>
  </si>
  <si>
    <t>LV31-041</t>
  </si>
  <si>
    <t>Nền tảng quản lý tổng thể có phân quyền và báo cáo cho trang trại chăn nuôi</t>
  </si>
  <si>
    <t>LV31-042</t>
  </si>
  <si>
    <t>Nền tảng đặt lịch/đặt chỗ có phân quyền và báo cáo cho trang trại chăn nuôi</t>
  </si>
  <si>
    <t>LV31-043</t>
  </si>
  <si>
    <t>Nền tảng bán hàng và thanh toán có phân quyền và báo cáo cho trang trại chăn nuôi</t>
  </si>
  <si>
    <t>LV31-044</t>
  </si>
  <si>
    <t>Nền tảng quản lý khách hàng CRM có phân quyền và báo cáo cho trang trại chăn nuôi</t>
  </si>
  <si>
    <t>LV31-045</t>
  </si>
  <si>
    <t>Nền tảng quản lý kho/tài sản có phân quyền và báo cáo cho trang trại chăn nuôi</t>
  </si>
  <si>
    <t>LV31-046</t>
  </si>
  <si>
    <t>Nền tảng quản lý nhân sự và ca làm có phân quyền và báo cáo cho trang trại chăn nuôi</t>
  </si>
  <si>
    <t>LV31-047</t>
  </si>
  <si>
    <t>Nền tảng quản lý hóa đơn/công nợ có phân quyền và báo cáo cho trang trại chăn nuôi</t>
  </si>
  <si>
    <t>LV31-048</t>
  </si>
  <si>
    <t>Nền tảng báo cáo thống kê doanh thu có phân quyền và báo cáo cho trang trại chăn nuôi</t>
  </si>
  <si>
    <t>LV31-049</t>
  </si>
  <si>
    <t>Nền tảng cổng chăm sóc khách hàng có phân quyền và báo cáo cho trang trại chăn nuôi</t>
  </si>
  <si>
    <t>LV31-050</t>
  </si>
  <si>
    <t>Nền tảng ứng dụng loyalty/tích điểm có phân quyền và báo cáo cho trang trại chăn nuôi</t>
  </si>
  <si>
    <t>LV31-051</t>
  </si>
  <si>
    <t>Nền tảng quản lý quy trình nghiệp vụ có phân quyền và báo cáo cho trang trại chăn nuôi</t>
  </si>
  <si>
    <t>LV31-052</t>
  </si>
  <si>
    <t>Nền tảng theo dõi trạng thái thời gian thực có phân quyền và báo cáo cho trang trại chăn nuôi</t>
  </si>
  <si>
    <t>LV31-053</t>
  </si>
  <si>
    <t>Nền tảng quản lý hợp đồng/hồ sơ có phân quyền và báo cáo cho trang trại chăn nuôi</t>
  </si>
  <si>
    <t>LV31-054</t>
  </si>
  <si>
    <t>Nền tảng tìm kiếm và lọc nâng cao có phân quyền và báo cáo cho trang trại chăn nuôi</t>
  </si>
  <si>
    <t>LV31-055</t>
  </si>
  <si>
    <t>Nền tảng quản lý phản hồi/đánh giá có phân quyền và báo cáo cho trang trại chăn nuôi</t>
  </si>
  <si>
    <t>LV31-056</t>
  </si>
  <si>
    <t>Nền tảng dashboard điều hành có phân quyền và báo cáo cho trang trại chăn nuôi</t>
  </si>
  <si>
    <t>LV31-057</t>
  </si>
  <si>
    <t>Nền tảng quản lý đa chi nhánh có phân quyền và báo cáo cho trang trại chăn nuôi</t>
  </si>
  <si>
    <t>LV31-058</t>
  </si>
  <si>
    <t>Nền tảng hệ thống phân quyền vai trò có phân quyền và báo cáo cho trang trại chăn nuôi</t>
  </si>
  <si>
    <t>LV31-059</t>
  </si>
  <si>
    <t>Nền tảng quản lý thông báo/nhắc lịch có phân quyền và báo cáo cho trang trại chăn nuôi</t>
  </si>
  <si>
    <t>LV31-060</t>
  </si>
  <si>
    <t>Nền tảng quản lý dữ liệu và import/export có phân quyền và báo cáo cho trang trại chăn nuôi</t>
  </si>
  <si>
    <t>LV31-061</t>
  </si>
  <si>
    <t>Phần mềm quản lý tổng thể tích hợp dashboard dữ liệu cho chăn nuôi</t>
  </si>
  <si>
    <t>LV31-062</t>
  </si>
  <si>
    <t>Phần mềm đặt lịch/đặt chỗ tích hợp dashboard dữ liệu cho chăn nuôi</t>
  </si>
  <si>
    <t>LV31-063</t>
  </si>
  <si>
    <t>Phần mềm bán hàng và thanh toán tích hợp dashboard dữ liệu cho chăn nuôi</t>
  </si>
  <si>
    <t>LV31-064</t>
  </si>
  <si>
    <t>Phần mềm quản lý khách hàng CRM tích hợp dashboard dữ liệu cho chăn nuôi</t>
  </si>
  <si>
    <t>LV31-065</t>
  </si>
  <si>
    <t>Phần mềm quản lý kho/tài sản tích hợp dashboard dữ liệu cho chăn nuôi</t>
  </si>
  <si>
    <t>LV31-066</t>
  </si>
  <si>
    <t>Phần mềm quản lý nhân sự và ca làm tích hợp dashboard dữ liệu cho chăn nuôi</t>
  </si>
  <si>
    <t>LV31-067</t>
  </si>
  <si>
    <t>Phần mềm quản lý hóa đơn/công nợ tích hợp dashboard dữ liệu cho chăn nuôi</t>
  </si>
  <si>
    <t>LV31-068</t>
  </si>
  <si>
    <t>Phần mềm báo cáo thống kê doanh thu tích hợp dashboard dữ liệu cho chăn nuôi</t>
  </si>
  <si>
    <t>LV31-069</t>
  </si>
  <si>
    <t>Phần mềm cổng chăm sóc khách hàng tích hợp dashboard dữ liệu cho chăn nuôi</t>
  </si>
  <si>
    <t>LV31-070</t>
  </si>
  <si>
    <t>Phần mềm ứng dụng loyalty/tích điểm tích hợp dashboard dữ liệu cho chăn nuôi</t>
  </si>
  <si>
    <t>LV31-071</t>
  </si>
  <si>
    <t>Phần mềm quản lý quy trình nghiệp vụ tích hợp dashboard dữ liệu cho chăn nuôi</t>
  </si>
  <si>
    <t>LV31-072</t>
  </si>
  <si>
    <t>Phần mềm theo dõi trạng thái thời gian thực tích hợp dashboard dữ liệu cho chăn nuôi</t>
  </si>
  <si>
    <t>LV31-073</t>
  </si>
  <si>
    <t>Phần mềm quản lý hợp đồng/hồ sơ tích hợp dashboard dữ liệu cho chăn nuôi</t>
  </si>
  <si>
    <t>LV31-074</t>
  </si>
  <si>
    <t>Phần mềm tìm kiếm và lọc nâng cao tích hợp dashboard dữ liệu cho chăn nuôi</t>
  </si>
  <si>
    <t>LV31-075</t>
  </si>
  <si>
    <t>Phần mềm quản lý phản hồi/đánh giá tích hợp dashboard dữ liệu cho chăn nuôi</t>
  </si>
  <si>
    <t>LV31-076</t>
  </si>
  <si>
    <t>Phần mềm dashboard điều hành tích hợp dashboard dữ liệu cho chăn nuôi</t>
  </si>
  <si>
    <t>LV31-077</t>
  </si>
  <si>
    <t>Phần mềm quản lý đa chi nhánh tích hợp dashboard dữ liệu cho chăn nuôi</t>
  </si>
  <si>
    <t>LV31-078</t>
  </si>
  <si>
    <t>Phần mềm hệ thống phân quyền vai trò tích hợp dashboard dữ liệu cho chăn nuôi</t>
  </si>
  <si>
    <t>LV31-079</t>
  </si>
  <si>
    <t>Phần mềm quản lý thông báo/nhắc lịch tích hợp dashboard dữ liệu cho chăn nuôi</t>
  </si>
  <si>
    <t>LV31-080</t>
  </si>
  <si>
    <t>Phần mềm quản lý dữ liệu và import/export tích hợp dashboard dữ liệu cho chăn nuôi</t>
  </si>
  <si>
    <t>LV31-081</t>
  </si>
  <si>
    <t>Hệ thống quản lý tổng thể có gợi ý AI: nhắc tiêm phòng cho trang trại chăn nuôi</t>
  </si>
  <si>
    <t>LV31-082</t>
  </si>
  <si>
    <t>Hệ thống đặt lịch/đặt chỗ có gợi ý AI: tối ưu khẩu phần cho trang trại chăn nuôi</t>
  </si>
  <si>
    <t>LV31-083</t>
  </si>
  <si>
    <t>Hệ thống bán hàng và thanh toán có gợi ý AI: dự báo dịch bệnh cho trang trại chăn nuôi</t>
  </si>
  <si>
    <t>LV31-084</t>
  </si>
  <si>
    <t>Hệ thống quản lý khách hàng CRM có gợi ý AI: nhắc tiêm phòng cho trang trại chăn nuôi</t>
  </si>
  <si>
    <t>LV31-085</t>
  </si>
  <si>
    <t>Hệ thống quản lý kho/tài sản có gợi ý AI: tối ưu khẩu phần cho trang trại chăn nuôi</t>
  </si>
  <si>
    <t>LV31-086</t>
  </si>
  <si>
    <t>Hệ thống quản lý nhân sự và ca làm có gợi ý AI: dự báo dịch bệnh cho trang trại chăn nuôi</t>
  </si>
  <si>
    <t>LV31-087</t>
  </si>
  <si>
    <t>Hệ thống quản lý hóa đơn/công nợ có gợi ý AI: nhắc tiêm phòng cho trang trại chăn nuôi</t>
  </si>
  <si>
    <t>LV31-088</t>
  </si>
  <si>
    <t>Hệ thống báo cáo thống kê doanh thu có gợi ý AI: tối ưu khẩu phần cho trang trại chăn nuôi</t>
  </si>
  <si>
    <t>LV31-089</t>
  </si>
  <si>
    <t>Hệ thống cổng chăm sóc khách hàng có gợi ý AI: dự báo dịch bệnh cho trang trại chăn nuôi</t>
  </si>
  <si>
    <t>LV31-090</t>
  </si>
  <si>
    <t>Hệ thống ứng dụng loyalty/tích điểm có gợi ý AI: nhắc tiêm phòng cho trang trại chăn nuôi</t>
  </si>
  <si>
    <t>LV31-091</t>
  </si>
  <si>
    <t>Hệ thống quản lý quy trình nghiệp vụ có gợi ý AI: tối ưu khẩu phần cho trang trại chăn nuôi</t>
  </si>
  <si>
    <t>LV31-092</t>
  </si>
  <si>
    <t>Hệ thống theo dõi trạng thái thời gian thực có gợi ý AI: dự báo dịch bệnh cho trang trại chăn nuôi</t>
  </si>
  <si>
    <t>LV31-093</t>
  </si>
  <si>
    <t>Hệ thống quản lý hợp đồng/hồ sơ có gợi ý AI: nhắc tiêm phòng cho trang trại chăn nuôi</t>
  </si>
  <si>
    <t>LV31-094</t>
  </si>
  <si>
    <t>Hệ thống tìm kiếm và lọc nâng cao có gợi ý AI: tối ưu khẩu phần cho trang trại chăn nuôi</t>
  </si>
  <si>
    <t>LV31-095</t>
  </si>
  <si>
    <t>Hệ thống quản lý phản hồi/đánh giá có gợi ý AI: dự báo dịch bệnh cho trang trại chăn nuôi</t>
  </si>
  <si>
    <t>LV31-096</t>
  </si>
  <si>
    <t>Hệ thống dashboard điều hành có gợi ý AI: nhắc tiêm phòng cho trang trại chăn nuôi</t>
  </si>
  <si>
    <t>LV31-097</t>
  </si>
  <si>
    <t>Hệ thống quản lý đa chi nhánh có gợi ý AI: tối ưu khẩu phần cho trang trại chăn nuôi</t>
  </si>
  <si>
    <t>LV31-098</t>
  </si>
  <si>
    <t>Hệ thống hệ thống phân quyền vai trò có gợi ý AI: dự báo dịch bệnh cho trang trại chăn nuôi</t>
  </si>
  <si>
    <t>LV31-099</t>
  </si>
  <si>
    <t>Hệ thống quản lý thông báo/nhắc lịch có gợi ý AI: nhắc tiêm phòng cho trang trại chăn nuôi</t>
  </si>
  <si>
    <t>LV31-100</t>
  </si>
  <si>
    <t>Hệ thống quản lý dữ liệu và import/export có gợi ý AI: tối ưu khẩu phần cho trang trại chăn nuôi</t>
  </si>
  <si>
    <t>Sản xuất</t>
  </si>
  <si>
    <t>LV32-001</t>
  </si>
  <si>
    <t>Hệ thống quản lý tổng thể cho nhà máy sản xuất</t>
  </si>
  <si>
    <t>Đồ án 8 tuần cho nhóm 5 SV: xây dựng Desktop App phục vụ nhà máy sản xuất; quản lý các thực thể chính: nguyên liệu, dây chuyền, đơn hàng, QC; có CSDL, API, giao diện người dùng, báo cáo và kiểm thử.</t>
  </si>
  <si>
    <t>Đăng nhập phân quyền, CRUD, tìm kiếm/lọc, dashboard thống kê, import/export, báo cáo PDF/Excel, kiểm thử; nghiệp vụ trọng tâm: quản lý tổng thể; AI/ML gợi ý: tối ưu lịch sản xuất.</t>
  </si>
  <si>
    <t>tối ưu lịch sản xuất</t>
  </si>
  <si>
    <t>LV32-002</t>
  </si>
  <si>
    <t>Hệ thống đặt lịch/đặt chỗ cho nhà máy sản xuất</t>
  </si>
  <si>
    <t>Đồ án 8 tuần cho nhóm 5 SV: xây dựng Web + Mobile phục vụ nhà máy sản xuất; quản lý các thực thể chính: nguyên liệu, dây chuyền, đơn hàng, QC; có CSDL, API, giao diện người dùng, báo cáo và kiểm thử.</t>
  </si>
  <si>
    <t>Đăng nhập phân quyền, CRUD, tìm kiếm/lọc, dashboard thống kê, import/export, báo cáo PDF/Excel, kiểm thử; nghiệp vụ trọng tâm: đặt lịch/đặt chỗ; AI/ML gợi ý: cảnh báo thiếu nguyên liệu.</t>
  </si>
  <si>
    <t>cảnh báo thiếu nguyên liệu</t>
  </si>
  <si>
    <t>LV32-003</t>
  </si>
  <si>
    <t>Hệ thống bán hàng và thanh toán cho nhà máy sản xuất</t>
  </si>
  <si>
    <t>Đồ án 8 tuần cho nhóm 5 SV: xây dựng Web + Desktop phục vụ nhà máy sản xuất; quản lý các thực thể chính: nguyên liệu, dây chuyền, đơn hàng, QC; có CSDL, API, giao diện người dùng, báo cáo và kiểm thử.</t>
  </si>
  <si>
    <t>Đăng nhập phân quyền, CRUD, tìm kiếm/lọc, dashboard thống kê, import/export, báo cáo PDF/Excel, kiểm thử; nghiệp vụ trọng tâm: bán hàng và thanh toán; AI/ML gợi ý: dự báo lỗi sản phẩm.</t>
  </si>
  <si>
    <t>dự báo lỗi sản phẩm</t>
  </si>
  <si>
    <t>LV32-004</t>
  </si>
  <si>
    <t>Hệ thống quản lý khách hàng CRM cho nhà máy sản xuất</t>
  </si>
  <si>
    <t>Đồ án 8 tuần cho nhóm 5 SV: xây dựng Website phục vụ nhà máy sản xuất; quản lý các thực thể chính: nguyên liệu, dây chuyền, đơn hàng, QC; có CSDL, API, giao diện người dùng, báo cáo và kiểm thử.</t>
  </si>
  <si>
    <t>Đăng nhập phân quyền, CRUD, tìm kiếm/lọc, dashboard thống kê, import/export, báo cáo PDF/Excel, kiểm thử; nghiệp vụ trọng tâm: quản lý khách hàng CRM; AI/ML gợi ý: tối ưu lịch sản xuất.</t>
  </si>
  <si>
    <t>LV32-005</t>
  </si>
  <si>
    <t>Hệ thống quản lý kho/tài sản cho nhà máy sản xuất</t>
  </si>
  <si>
    <t>Đồ án 8 tuần cho nhóm 5 SV: xây dựng Mobile App phục vụ nhà máy sản xuất; quản lý các thực thể chính: nguyên liệu, dây chuyền, đơn hàng, QC; có CSDL, API, giao diện người dùng, báo cáo và kiểm thử.</t>
  </si>
  <si>
    <t>Đăng nhập phân quyền, CRUD, tìm kiếm/lọc, dashboard thống kê, import/export, báo cáo PDF/Excel, kiểm thử; nghiệp vụ trọng tâm: quản lý kho/tài sản; AI/ML gợi ý: cảnh báo thiếu nguyên liệu.</t>
  </si>
  <si>
    <t>LV32-006</t>
  </si>
  <si>
    <t>Hệ thống quản lý nhân sự và ca làm cho nhà máy sản xuất</t>
  </si>
  <si>
    <t>Đăng nhập phân quyền, CRUD, tìm kiếm/lọc, dashboard thống kê, import/export, báo cáo PDF/Excel, kiểm thử; nghiệp vụ trọng tâm: quản lý nhân sự và ca làm; AI/ML gợi ý: dự báo lỗi sản phẩm.</t>
  </si>
  <si>
    <t>LV32-007</t>
  </si>
  <si>
    <t>Hệ thống quản lý hóa đơn/công nợ cho nhà máy sản xuất</t>
  </si>
  <si>
    <t>Đăng nhập phân quyền, CRUD, tìm kiếm/lọc, dashboard thống kê, import/export, báo cáo PDF/Excel, kiểm thử; nghiệp vụ trọng tâm: quản lý hóa đơn/công nợ; AI/ML gợi ý: tối ưu lịch sản xuất.</t>
  </si>
  <si>
    <t>LV32-008</t>
  </si>
  <si>
    <t>Hệ thống báo cáo thống kê doanh thu cho nhà máy sản xuất</t>
  </si>
  <si>
    <t>Đăng nhập phân quyền, CRUD, tìm kiếm/lọc, dashboard thống kê, import/export, báo cáo PDF/Excel, kiểm thử; nghiệp vụ trọng tâm: báo cáo thống kê doanh thu; AI/ML gợi ý: cảnh báo thiếu nguyên liệu.</t>
  </si>
  <si>
    <t>LV32-009</t>
  </si>
  <si>
    <t>Hệ thống cổng chăm sóc khách hàng cho nhà máy sản xuất</t>
  </si>
  <si>
    <t>Đăng nhập phân quyền, CRUD, tìm kiếm/lọc, dashboard thống kê, import/export, báo cáo PDF/Excel, kiểm thử; nghiệp vụ trọng tâm: cổng chăm sóc khách hàng; AI/ML gợi ý: dự báo lỗi sản phẩm.</t>
  </si>
  <si>
    <t>LV32-010</t>
  </si>
  <si>
    <t>Hệ thống ứng dụng loyalty/tích điểm cho nhà máy sản xuất</t>
  </si>
  <si>
    <t>Đăng nhập phân quyền, CRUD, tìm kiếm/lọc, dashboard thống kê, import/export, báo cáo PDF/Excel, kiểm thử; nghiệp vụ trọng tâm: ứng dụng loyalty/tích điểm; AI/ML gợi ý: tối ưu lịch sản xuất.</t>
  </si>
  <si>
    <t>LV32-011</t>
  </si>
  <si>
    <t>Hệ thống quản lý quy trình nghiệp vụ cho nhà máy sản xuất</t>
  </si>
  <si>
    <t>Đăng nhập phân quyền, CRUD, tìm kiếm/lọc, dashboard thống kê, import/export, báo cáo PDF/Excel, kiểm thử; nghiệp vụ trọng tâm: quản lý quy trình nghiệp vụ; AI/ML gợi ý: cảnh báo thiếu nguyên liệu.</t>
  </si>
  <si>
    <t>LV32-012</t>
  </si>
  <si>
    <t>Hệ thống theo dõi trạng thái thời gian thực cho nhà máy sản xuất</t>
  </si>
  <si>
    <t>Đăng nhập phân quyền, CRUD, tìm kiếm/lọc, dashboard thống kê, import/export, báo cáo PDF/Excel, kiểm thử; nghiệp vụ trọng tâm: theo dõi trạng thái thời gian thực; AI/ML gợi ý: dự báo lỗi sản phẩm.</t>
  </si>
  <si>
    <t>LV32-013</t>
  </si>
  <si>
    <t>Hệ thống quản lý hợp đồng/hồ sơ cho nhà máy sản xuất</t>
  </si>
  <si>
    <t>Đăng nhập phân quyền, CRUD, tìm kiếm/lọc, dashboard thống kê, import/export, báo cáo PDF/Excel, kiểm thử; nghiệp vụ trọng tâm: quản lý hợp đồng/hồ sơ; AI/ML gợi ý: tối ưu lịch sản xuất.</t>
  </si>
  <si>
    <t>LV32-014</t>
  </si>
  <si>
    <t>Hệ thống tìm kiếm và lọc nâng cao cho nhà máy sản xuất</t>
  </si>
  <si>
    <t>Đăng nhập phân quyền, CRUD, tìm kiếm/lọc, dashboard thống kê, import/export, báo cáo PDF/Excel, kiểm thử; nghiệp vụ trọng tâm: tìm kiếm và lọc nâng cao; AI/ML gợi ý: cảnh báo thiếu nguyên liệu.</t>
  </si>
  <si>
    <t>LV32-015</t>
  </si>
  <si>
    <t>Hệ thống quản lý phản hồi/đánh giá cho nhà máy sản xuất</t>
  </si>
  <si>
    <t>Đăng nhập phân quyền, CRUD, tìm kiếm/lọc, dashboard thống kê, import/export, báo cáo PDF/Excel, kiểm thử; nghiệp vụ trọng tâm: quản lý phản hồi/đánh giá; AI/ML gợi ý: dự báo lỗi sản phẩm.</t>
  </si>
  <si>
    <t>LV32-016</t>
  </si>
  <si>
    <t>Hệ thống dashboard điều hành cho nhà máy sản xuất</t>
  </si>
  <si>
    <t>Đăng nhập phân quyền, CRUD, tìm kiếm/lọc, dashboard thống kê, import/export, báo cáo PDF/Excel, kiểm thử; nghiệp vụ trọng tâm: dashboard điều hành; AI/ML gợi ý: tối ưu lịch sản xuất.</t>
  </si>
  <si>
    <t>LV32-017</t>
  </si>
  <si>
    <t>Hệ thống quản lý đa chi nhánh cho nhà máy sản xuất</t>
  </si>
  <si>
    <t>Đăng nhập phân quyền, CRUD, tìm kiếm/lọc, dashboard thống kê, import/export, báo cáo PDF/Excel, kiểm thử; nghiệp vụ trọng tâm: quản lý đa chi nhánh; AI/ML gợi ý: cảnh báo thiếu nguyên liệu.</t>
  </si>
  <si>
    <t>LV32-018</t>
  </si>
  <si>
    <t>Hệ thống hệ thống phân quyền vai trò cho nhà máy sản xuất</t>
  </si>
  <si>
    <t>Đăng nhập phân quyền, CRUD, tìm kiếm/lọc, dashboard thống kê, import/export, báo cáo PDF/Excel, kiểm thử; nghiệp vụ trọng tâm: hệ thống phân quyền vai trò; AI/ML gợi ý: dự báo lỗi sản phẩm.</t>
  </si>
  <si>
    <t>LV32-019</t>
  </si>
  <si>
    <t>Hệ thống quản lý thông báo/nhắc lịch cho nhà máy sản xuất</t>
  </si>
  <si>
    <t>Đăng nhập phân quyền, CRUD, tìm kiếm/lọc, dashboard thống kê, import/export, báo cáo PDF/Excel, kiểm thử; nghiệp vụ trọng tâm: quản lý thông báo/nhắc lịch; AI/ML gợi ý: tối ưu lịch sản xuất.</t>
  </si>
  <si>
    <t>LV32-020</t>
  </si>
  <si>
    <t>Hệ thống quản lý dữ liệu và import/export cho nhà máy sản xuất</t>
  </si>
  <si>
    <t>Đăng nhập phân quyền, CRUD, tìm kiếm/lọc, dashboard thống kê, import/export, báo cáo PDF/Excel, kiểm thử; nghiệp vụ trọng tâm: quản lý dữ liệu và import/export; AI/ML gợi ý: cảnh báo thiếu nguyên liệu.</t>
  </si>
  <si>
    <t>LV32-021</t>
  </si>
  <si>
    <t>Ứng dụng desktop app hỗ trợ quản lý tổng thể trong sản xuất</t>
  </si>
  <si>
    <t>LV32-022</t>
  </si>
  <si>
    <t>Ứng dụng web + mobile hỗ trợ đặt lịch/đặt chỗ trong sản xuất</t>
  </si>
  <si>
    <t>LV32-023</t>
  </si>
  <si>
    <t>Ứng dụng web + desktop hỗ trợ bán hàng và thanh toán trong sản xuất</t>
  </si>
  <si>
    <t>LV32-024</t>
  </si>
  <si>
    <t>Ứng dụng website hỗ trợ quản lý khách hàng CRM trong sản xuất</t>
  </si>
  <si>
    <t>LV32-025</t>
  </si>
  <si>
    <t>Ứng dụng mobile app hỗ trợ quản lý kho/tài sản trong sản xuất</t>
  </si>
  <si>
    <t>LV32-026</t>
  </si>
  <si>
    <t>Ứng dụng desktop app hỗ trợ quản lý nhân sự và ca làm trong sản xuất</t>
  </si>
  <si>
    <t>LV32-027</t>
  </si>
  <si>
    <t>Ứng dụng web + mobile hỗ trợ quản lý hóa đơn/công nợ trong sản xuất</t>
  </si>
  <si>
    <t>LV32-028</t>
  </si>
  <si>
    <t>Ứng dụng web + desktop hỗ trợ báo cáo thống kê doanh thu trong sản xuất</t>
  </si>
  <si>
    <t>LV32-029</t>
  </si>
  <si>
    <t>Ứng dụng website hỗ trợ cổng chăm sóc khách hàng trong sản xuất</t>
  </si>
  <si>
    <t>LV32-030</t>
  </si>
  <si>
    <t>Ứng dụng mobile app hỗ trợ ứng dụng loyalty/tích điểm trong sản xuất</t>
  </si>
  <si>
    <t>LV32-031</t>
  </si>
  <si>
    <t>Ứng dụng desktop app hỗ trợ quản lý quy trình nghiệp vụ trong sản xuất</t>
  </si>
  <si>
    <t>LV32-032</t>
  </si>
  <si>
    <t>Ứng dụng web + mobile hỗ trợ theo dõi trạng thái thời gian thực trong sản xuất</t>
  </si>
  <si>
    <t>LV32-033</t>
  </si>
  <si>
    <t>Ứng dụng web + desktop hỗ trợ quản lý hợp đồng/hồ sơ trong sản xuất</t>
  </si>
  <si>
    <t>LV32-034</t>
  </si>
  <si>
    <t>Ứng dụng website hỗ trợ tìm kiếm và lọc nâng cao trong sản xuất</t>
  </si>
  <si>
    <t>LV32-035</t>
  </si>
  <si>
    <t>Ứng dụng mobile app hỗ trợ quản lý phản hồi/đánh giá trong sản xuất</t>
  </si>
  <si>
    <t>LV32-036</t>
  </si>
  <si>
    <t>Ứng dụng desktop app hỗ trợ dashboard điều hành trong sản xuất</t>
  </si>
  <si>
    <t>LV32-037</t>
  </si>
  <si>
    <t>Ứng dụng web + mobile hỗ trợ quản lý đa chi nhánh trong sản xuất</t>
  </si>
  <si>
    <t>LV32-038</t>
  </si>
  <si>
    <t>Ứng dụng web + desktop hỗ trợ hệ thống phân quyền vai trò trong sản xuất</t>
  </si>
  <si>
    <t>LV32-039</t>
  </si>
  <si>
    <t>Ứng dụng website hỗ trợ quản lý thông báo/nhắc lịch trong sản xuất</t>
  </si>
  <si>
    <t>LV32-040</t>
  </si>
  <si>
    <t>Ứng dụng mobile app hỗ trợ quản lý dữ liệu và import/export trong sản xuất</t>
  </si>
  <si>
    <t>LV32-041</t>
  </si>
  <si>
    <t>Nền tảng quản lý tổng thể có phân quyền và báo cáo cho nhà máy sản xuất</t>
  </si>
  <si>
    <t>LV32-042</t>
  </si>
  <si>
    <t>Nền tảng đặt lịch/đặt chỗ có phân quyền và báo cáo cho nhà máy sản xuất</t>
  </si>
  <si>
    <t>LV32-043</t>
  </si>
  <si>
    <t>Nền tảng bán hàng và thanh toán có phân quyền và báo cáo cho nhà máy sản xuất</t>
  </si>
  <si>
    <t>LV32-044</t>
  </si>
  <si>
    <t>Nền tảng quản lý khách hàng CRM có phân quyền và báo cáo cho nhà máy sản xuất</t>
  </si>
  <si>
    <t>LV32-045</t>
  </si>
  <si>
    <t>Nền tảng quản lý kho/tài sản có phân quyền và báo cáo cho nhà máy sản xuất</t>
  </si>
  <si>
    <t>LV32-046</t>
  </si>
  <si>
    <t>Nền tảng quản lý nhân sự và ca làm có phân quyền và báo cáo cho nhà máy sản xuất</t>
  </si>
  <si>
    <t>LV32-047</t>
  </si>
  <si>
    <t>Nền tảng quản lý hóa đơn/công nợ có phân quyền và báo cáo cho nhà máy sản xuất</t>
  </si>
  <si>
    <t>LV32-048</t>
  </si>
  <si>
    <t>Nền tảng báo cáo thống kê doanh thu có phân quyền và báo cáo cho nhà máy sản xuất</t>
  </si>
  <si>
    <t>LV32-049</t>
  </si>
  <si>
    <t>Nền tảng cổng chăm sóc khách hàng có phân quyền và báo cáo cho nhà máy sản xuất</t>
  </si>
  <si>
    <t>LV32-050</t>
  </si>
  <si>
    <t>Nền tảng ứng dụng loyalty/tích điểm có phân quyền và báo cáo cho nhà máy sản xuất</t>
  </si>
  <si>
    <t>LV32-051</t>
  </si>
  <si>
    <t>Nền tảng quản lý quy trình nghiệp vụ có phân quyền và báo cáo cho nhà máy sản xuất</t>
  </si>
  <si>
    <t>LV32-052</t>
  </si>
  <si>
    <t>Nền tảng theo dõi trạng thái thời gian thực có phân quyền và báo cáo cho nhà máy sản xuất</t>
  </si>
  <si>
    <t>LV32-053</t>
  </si>
  <si>
    <t>Nền tảng quản lý hợp đồng/hồ sơ có phân quyền và báo cáo cho nhà máy sản xuất</t>
  </si>
  <si>
    <t>LV32-054</t>
  </si>
  <si>
    <t>Nền tảng tìm kiếm và lọc nâng cao có phân quyền và báo cáo cho nhà máy sản xuất</t>
  </si>
  <si>
    <t>LV32-055</t>
  </si>
  <si>
    <t>Nền tảng quản lý phản hồi/đánh giá có phân quyền và báo cáo cho nhà máy sản xuất</t>
  </si>
  <si>
    <t>LV32-056</t>
  </si>
  <si>
    <t>Nền tảng dashboard điều hành có phân quyền và báo cáo cho nhà máy sản xuất</t>
  </si>
  <si>
    <t>LV32-057</t>
  </si>
  <si>
    <t>Nền tảng quản lý đa chi nhánh có phân quyền và báo cáo cho nhà máy sản xuất</t>
  </si>
  <si>
    <t>LV32-058</t>
  </si>
  <si>
    <t>Nền tảng hệ thống phân quyền vai trò có phân quyền và báo cáo cho nhà máy sản xuất</t>
  </si>
  <si>
    <t>LV32-059</t>
  </si>
  <si>
    <t>Nền tảng quản lý thông báo/nhắc lịch có phân quyền và báo cáo cho nhà máy sản xuất</t>
  </si>
  <si>
    <t>LV32-060</t>
  </si>
  <si>
    <t>Nền tảng quản lý dữ liệu và import/export có phân quyền và báo cáo cho nhà máy sản xuất</t>
  </si>
  <si>
    <t>LV32-061</t>
  </si>
  <si>
    <t>Phần mềm quản lý tổng thể tích hợp dashboard dữ liệu cho sản xuất</t>
  </si>
  <si>
    <t>LV32-062</t>
  </si>
  <si>
    <t>Phần mềm đặt lịch/đặt chỗ tích hợp dashboard dữ liệu cho sản xuất</t>
  </si>
  <si>
    <t>LV32-063</t>
  </si>
  <si>
    <t>Phần mềm bán hàng và thanh toán tích hợp dashboard dữ liệu cho sản xuất</t>
  </si>
  <si>
    <t>LV32-064</t>
  </si>
  <si>
    <t>Phần mềm quản lý khách hàng CRM tích hợp dashboard dữ liệu cho sản xuất</t>
  </si>
  <si>
    <t>LV32-065</t>
  </si>
  <si>
    <t>Phần mềm quản lý kho/tài sản tích hợp dashboard dữ liệu cho sản xuất</t>
  </si>
  <si>
    <t>LV32-066</t>
  </si>
  <si>
    <t>Phần mềm quản lý nhân sự và ca làm tích hợp dashboard dữ liệu cho sản xuất</t>
  </si>
  <si>
    <t>LV32-067</t>
  </si>
  <si>
    <t>Phần mềm quản lý hóa đơn/công nợ tích hợp dashboard dữ liệu cho sản xuất</t>
  </si>
  <si>
    <t>LV32-068</t>
  </si>
  <si>
    <t>Phần mềm báo cáo thống kê doanh thu tích hợp dashboard dữ liệu cho sản xuất</t>
  </si>
  <si>
    <t>LV32-069</t>
  </si>
  <si>
    <t>Phần mềm cổng chăm sóc khách hàng tích hợp dashboard dữ liệu cho sản xuất</t>
  </si>
  <si>
    <t>LV32-070</t>
  </si>
  <si>
    <t>Phần mềm ứng dụng loyalty/tích điểm tích hợp dashboard dữ liệu cho sản xuất</t>
  </si>
  <si>
    <t>LV32-071</t>
  </si>
  <si>
    <t>Phần mềm quản lý quy trình nghiệp vụ tích hợp dashboard dữ liệu cho sản xuất</t>
  </si>
  <si>
    <t>LV32-072</t>
  </si>
  <si>
    <t>Phần mềm theo dõi trạng thái thời gian thực tích hợp dashboard dữ liệu cho sản xuất</t>
  </si>
  <si>
    <t>LV32-073</t>
  </si>
  <si>
    <t>Phần mềm quản lý hợp đồng/hồ sơ tích hợp dashboard dữ liệu cho sản xuất</t>
  </si>
  <si>
    <t>LV32-074</t>
  </si>
  <si>
    <t>Phần mềm tìm kiếm và lọc nâng cao tích hợp dashboard dữ liệu cho sản xuất</t>
  </si>
  <si>
    <t>LV32-075</t>
  </si>
  <si>
    <t>Phần mềm quản lý phản hồi/đánh giá tích hợp dashboard dữ liệu cho sản xuất</t>
  </si>
  <si>
    <t>LV32-076</t>
  </si>
  <si>
    <t>Phần mềm dashboard điều hành tích hợp dashboard dữ liệu cho sản xuất</t>
  </si>
  <si>
    <t>LV32-077</t>
  </si>
  <si>
    <t>Phần mềm quản lý đa chi nhánh tích hợp dashboard dữ liệu cho sản xuất</t>
  </si>
  <si>
    <t>LV32-078</t>
  </si>
  <si>
    <t>Phần mềm hệ thống phân quyền vai trò tích hợp dashboard dữ liệu cho sản xuất</t>
  </si>
  <si>
    <t>LV32-079</t>
  </si>
  <si>
    <t>Phần mềm quản lý thông báo/nhắc lịch tích hợp dashboard dữ liệu cho sản xuất</t>
  </si>
  <si>
    <t>LV32-080</t>
  </si>
  <si>
    <t>Phần mềm quản lý dữ liệu và import/export tích hợp dashboard dữ liệu cho sản xuất</t>
  </si>
  <si>
    <t>LV32-081</t>
  </si>
  <si>
    <t>Hệ thống quản lý tổng thể có gợi ý AI: tối ưu lịch sản xuất cho nhà máy sản xuất</t>
  </si>
  <si>
    <t>LV32-082</t>
  </si>
  <si>
    <t>Hệ thống đặt lịch/đặt chỗ có gợi ý AI: cảnh báo thiếu nguyên liệu cho nhà máy sản xuất</t>
  </si>
  <si>
    <t>LV32-083</t>
  </si>
  <si>
    <t>Hệ thống bán hàng và thanh toán có gợi ý AI: dự báo lỗi sản phẩm cho nhà máy sản xuất</t>
  </si>
  <si>
    <t>LV32-084</t>
  </si>
  <si>
    <t>Hệ thống quản lý khách hàng CRM có gợi ý AI: tối ưu lịch sản xuất cho nhà máy sản xuất</t>
  </si>
  <si>
    <t>LV32-085</t>
  </si>
  <si>
    <t>Hệ thống quản lý kho/tài sản có gợi ý AI: cảnh báo thiếu nguyên liệu cho nhà máy sản xuất</t>
  </si>
  <si>
    <t>LV32-086</t>
  </si>
  <si>
    <t>Hệ thống quản lý nhân sự và ca làm có gợi ý AI: dự báo lỗi sản phẩm cho nhà máy sản xuất</t>
  </si>
  <si>
    <t>LV32-087</t>
  </si>
  <si>
    <t>Hệ thống quản lý hóa đơn/công nợ có gợi ý AI: tối ưu lịch sản xuất cho nhà máy sản xuất</t>
  </si>
  <si>
    <t>LV32-088</t>
  </si>
  <si>
    <t>Hệ thống báo cáo thống kê doanh thu có gợi ý AI: cảnh báo thiếu nguyên liệu cho nhà máy sản xuất</t>
  </si>
  <si>
    <t>LV32-089</t>
  </si>
  <si>
    <t>Hệ thống cổng chăm sóc khách hàng có gợi ý AI: dự báo lỗi sản phẩm cho nhà máy sản xuất</t>
  </si>
  <si>
    <t>LV32-090</t>
  </si>
  <si>
    <t>Hệ thống ứng dụng loyalty/tích điểm có gợi ý AI: tối ưu lịch sản xuất cho nhà máy sản xuất</t>
  </si>
  <si>
    <t>LV32-091</t>
  </si>
  <si>
    <t>Hệ thống quản lý quy trình nghiệp vụ có gợi ý AI: cảnh báo thiếu nguyên liệu cho nhà máy sản xuất</t>
  </si>
  <si>
    <t>LV32-092</t>
  </si>
  <si>
    <t>Hệ thống theo dõi trạng thái thời gian thực có gợi ý AI: dự báo lỗi sản phẩm cho nhà máy sản xuất</t>
  </si>
  <si>
    <t>LV32-093</t>
  </si>
  <si>
    <t>Hệ thống quản lý hợp đồng/hồ sơ có gợi ý AI: tối ưu lịch sản xuất cho nhà máy sản xuất</t>
  </si>
  <si>
    <t>LV32-094</t>
  </si>
  <si>
    <t>Hệ thống tìm kiếm và lọc nâng cao có gợi ý AI: cảnh báo thiếu nguyên liệu cho nhà máy sản xuất</t>
  </si>
  <si>
    <t>LV32-095</t>
  </si>
  <si>
    <t>Hệ thống quản lý phản hồi/đánh giá có gợi ý AI: dự báo lỗi sản phẩm cho nhà máy sản xuất</t>
  </si>
  <si>
    <t>LV32-096</t>
  </si>
  <si>
    <t>Hệ thống dashboard điều hành có gợi ý AI: tối ưu lịch sản xuất cho nhà máy sản xuất</t>
  </si>
  <si>
    <t>LV32-097</t>
  </si>
  <si>
    <t>Hệ thống quản lý đa chi nhánh có gợi ý AI: cảnh báo thiếu nguyên liệu cho nhà máy sản xuất</t>
  </si>
  <si>
    <t>LV32-098</t>
  </si>
  <si>
    <t>Hệ thống hệ thống phân quyền vai trò có gợi ý AI: dự báo lỗi sản phẩm cho nhà máy sản xuất</t>
  </si>
  <si>
    <t>LV32-099</t>
  </si>
  <si>
    <t>Hệ thống quản lý thông báo/nhắc lịch có gợi ý AI: tối ưu lịch sản xuất cho nhà máy sản xuất</t>
  </si>
  <si>
    <t>LV32-100</t>
  </si>
  <si>
    <t>Hệ thống quản lý dữ liệu và import/export có gợi ý AI: cảnh báo thiếu nguyên liệu cho nhà máy sản xuất</t>
  </si>
  <si>
    <t>Sửa chữa điện thoại / máy tính</t>
  </si>
  <si>
    <t>LV33-001</t>
  </si>
  <si>
    <t>Hệ thống quản lý tổng thể cho cửa hàng sửa chữa</t>
  </si>
  <si>
    <t>Đồ án 8 tuần cho nhóm 5 SV: xây dựng Web + Mobile phục vụ cửa hàng sửa chữa; quản lý các thực thể chính: phiếu sửa chữa, linh kiện, khách hàng, bảo hành; có CSDL, API, giao diện người dùng, báo cáo và kiểm thử.</t>
  </si>
  <si>
    <t>Đăng nhập phân quyền, CRUD, tìm kiếm/lọc, dashboard thống kê, import/export, báo cáo PDF/Excel, kiểm thử; nghiệp vụ trọng tâm: quản lý tổng thể; AI/ML gợi ý: gợi ý linh kiện.</t>
  </si>
  <si>
    <t>gợi ý linh kiện</t>
  </si>
  <si>
    <t>LV33-002</t>
  </si>
  <si>
    <t>Hệ thống đặt lịch/đặt chỗ cho cửa hàng sửa chữa</t>
  </si>
  <si>
    <t>Đồ án 8 tuần cho nhóm 5 SV: xây dựng Web + Desktop phục vụ cửa hàng sửa chữa; quản lý các thực thể chính: phiếu sửa chữa, linh kiện, khách hàng, bảo hành; có CSDL, API, giao diện người dùng, báo cáo và kiểm thử.</t>
  </si>
  <si>
    <t>Đăng nhập phân quyền, CRUD, tìm kiếm/lọc, dashboard thống kê, import/export, báo cáo PDF/Excel, kiểm thử; nghiệp vụ trọng tâm: đặt lịch/đặt chỗ; AI/ML gợi ý: nhắc bảo hành.</t>
  </si>
  <si>
    <t>nhắc bảo hành</t>
  </si>
  <si>
    <t>LV33-003</t>
  </si>
  <si>
    <t>Hệ thống bán hàng và thanh toán cho cửa hàng sửa chữa</t>
  </si>
  <si>
    <t>Đồ án 8 tuần cho nhóm 5 SV: xây dựng Website phục vụ cửa hàng sửa chữa; quản lý các thực thể chính: phiếu sửa chữa, linh kiện, khách hàng, bảo hành; có CSDL, API, giao diện người dùng, báo cáo và kiểm thử.</t>
  </si>
  <si>
    <t>Đăng nhập phân quyền, CRUD, tìm kiếm/lọc, dashboard thống kê, import/export, báo cáo PDF/Excel, kiểm thử; nghiệp vụ trọng tâm: bán hàng và thanh toán; AI/ML gợi ý: dự đoán lỗi phổ biến.</t>
  </si>
  <si>
    <t>dự đoán lỗi phổ biến</t>
  </si>
  <si>
    <t>LV33-004</t>
  </si>
  <si>
    <t>Hệ thống quản lý khách hàng CRM cho cửa hàng sửa chữa</t>
  </si>
  <si>
    <t>Đồ án 8 tuần cho nhóm 5 SV: xây dựng Mobile App phục vụ cửa hàng sửa chữa; quản lý các thực thể chính: phiếu sửa chữa, linh kiện, khách hàng, bảo hành; có CSDL, API, giao diện người dùng, báo cáo và kiểm thử.</t>
  </si>
  <si>
    <t>Đăng nhập phân quyền, CRUD, tìm kiếm/lọc, dashboard thống kê, import/export, báo cáo PDF/Excel, kiểm thử; nghiệp vụ trọng tâm: quản lý khách hàng CRM; AI/ML gợi ý: gợi ý linh kiện.</t>
  </si>
  <si>
    <t>LV33-005</t>
  </si>
  <si>
    <t>Hệ thống quản lý kho/tài sản cho cửa hàng sửa chữa</t>
  </si>
  <si>
    <t>Đồ án 8 tuần cho nhóm 5 SV: xây dựng Desktop App phục vụ cửa hàng sửa chữa; quản lý các thực thể chính: phiếu sửa chữa, linh kiện, khách hàng, bảo hành; có CSDL, API, giao diện người dùng, báo cáo và kiểm thử.</t>
  </si>
  <si>
    <t>Đăng nhập phân quyền, CRUD, tìm kiếm/lọc, dashboard thống kê, import/export, báo cáo PDF/Excel, kiểm thử; nghiệp vụ trọng tâm: quản lý kho/tài sản; AI/ML gợi ý: nhắc bảo hành.</t>
  </si>
  <si>
    <t>LV33-006</t>
  </si>
  <si>
    <t>Hệ thống quản lý nhân sự và ca làm cho cửa hàng sửa chữa</t>
  </si>
  <si>
    <t>Đăng nhập phân quyền, CRUD, tìm kiếm/lọc, dashboard thống kê, import/export, báo cáo PDF/Excel, kiểm thử; nghiệp vụ trọng tâm: quản lý nhân sự và ca làm; AI/ML gợi ý: dự đoán lỗi phổ biến.</t>
  </si>
  <si>
    <t>LV33-007</t>
  </si>
  <si>
    <t>Hệ thống quản lý hóa đơn/công nợ cho cửa hàng sửa chữa</t>
  </si>
  <si>
    <t>Đăng nhập phân quyền, CRUD, tìm kiếm/lọc, dashboard thống kê, import/export, báo cáo PDF/Excel, kiểm thử; nghiệp vụ trọng tâm: quản lý hóa đơn/công nợ; AI/ML gợi ý: gợi ý linh kiện.</t>
  </si>
  <si>
    <t>LV33-008</t>
  </si>
  <si>
    <t>Hệ thống báo cáo thống kê doanh thu cho cửa hàng sửa chữa</t>
  </si>
  <si>
    <t>Đăng nhập phân quyền, CRUD, tìm kiếm/lọc, dashboard thống kê, import/export, báo cáo PDF/Excel, kiểm thử; nghiệp vụ trọng tâm: báo cáo thống kê doanh thu; AI/ML gợi ý: nhắc bảo hành.</t>
  </si>
  <si>
    <t>LV33-009</t>
  </si>
  <si>
    <t>Hệ thống cổng chăm sóc khách hàng cho cửa hàng sửa chữa</t>
  </si>
  <si>
    <t>Đăng nhập phân quyền, CRUD, tìm kiếm/lọc, dashboard thống kê, import/export, báo cáo PDF/Excel, kiểm thử; nghiệp vụ trọng tâm: cổng chăm sóc khách hàng; AI/ML gợi ý: dự đoán lỗi phổ biến.</t>
  </si>
  <si>
    <t>LV33-010</t>
  </si>
  <si>
    <t>Hệ thống ứng dụng loyalty/tích điểm cho cửa hàng sửa chữa</t>
  </si>
  <si>
    <t>Đăng nhập phân quyền, CRUD, tìm kiếm/lọc, dashboard thống kê, import/export, báo cáo PDF/Excel, kiểm thử; nghiệp vụ trọng tâm: ứng dụng loyalty/tích điểm; AI/ML gợi ý: gợi ý linh kiện.</t>
  </si>
  <si>
    <t>LV33-011</t>
  </si>
  <si>
    <t>Hệ thống quản lý quy trình nghiệp vụ cho cửa hàng sửa chữa</t>
  </si>
  <si>
    <t>Đăng nhập phân quyền, CRUD, tìm kiếm/lọc, dashboard thống kê, import/export, báo cáo PDF/Excel, kiểm thử; nghiệp vụ trọng tâm: quản lý quy trình nghiệp vụ; AI/ML gợi ý: nhắc bảo hành.</t>
  </si>
  <si>
    <t>LV33-012</t>
  </si>
  <si>
    <t>Hệ thống theo dõi trạng thái thời gian thực cho cửa hàng sửa chữa</t>
  </si>
  <si>
    <t>Đăng nhập phân quyền, CRUD, tìm kiếm/lọc, dashboard thống kê, import/export, báo cáo PDF/Excel, kiểm thử; nghiệp vụ trọng tâm: theo dõi trạng thái thời gian thực; AI/ML gợi ý: dự đoán lỗi phổ biến.</t>
  </si>
  <si>
    <t>LV33-013</t>
  </si>
  <si>
    <t>Hệ thống quản lý hợp đồng/hồ sơ cho cửa hàng sửa chữa</t>
  </si>
  <si>
    <t>Đăng nhập phân quyền, CRUD, tìm kiếm/lọc, dashboard thống kê, import/export, báo cáo PDF/Excel, kiểm thử; nghiệp vụ trọng tâm: quản lý hợp đồng/hồ sơ; AI/ML gợi ý: gợi ý linh kiện.</t>
  </si>
  <si>
    <t>LV33-014</t>
  </si>
  <si>
    <t>Hệ thống tìm kiếm và lọc nâng cao cho cửa hàng sửa chữa</t>
  </si>
  <si>
    <t>Đăng nhập phân quyền, CRUD, tìm kiếm/lọc, dashboard thống kê, import/export, báo cáo PDF/Excel, kiểm thử; nghiệp vụ trọng tâm: tìm kiếm và lọc nâng cao; AI/ML gợi ý: nhắc bảo hành.</t>
  </si>
  <si>
    <t>LV33-015</t>
  </si>
  <si>
    <t>Hệ thống quản lý phản hồi/đánh giá cho cửa hàng sửa chữa</t>
  </si>
  <si>
    <t>Đăng nhập phân quyền, CRUD, tìm kiếm/lọc, dashboard thống kê, import/export, báo cáo PDF/Excel, kiểm thử; nghiệp vụ trọng tâm: quản lý phản hồi/đánh giá; AI/ML gợi ý: dự đoán lỗi phổ biến.</t>
  </si>
  <si>
    <t>LV33-016</t>
  </si>
  <si>
    <t>Hệ thống dashboard điều hành cho cửa hàng sửa chữa</t>
  </si>
  <si>
    <t>Đăng nhập phân quyền, CRUD, tìm kiếm/lọc, dashboard thống kê, import/export, báo cáo PDF/Excel, kiểm thử; nghiệp vụ trọng tâm: dashboard điều hành; AI/ML gợi ý: gợi ý linh kiện.</t>
  </si>
  <si>
    <t>LV33-017</t>
  </si>
  <si>
    <t>Hệ thống quản lý đa chi nhánh cho cửa hàng sửa chữa</t>
  </si>
  <si>
    <t>Đăng nhập phân quyền, CRUD, tìm kiếm/lọc, dashboard thống kê, import/export, báo cáo PDF/Excel, kiểm thử; nghiệp vụ trọng tâm: quản lý đa chi nhánh; AI/ML gợi ý: nhắc bảo hành.</t>
  </si>
  <si>
    <t>LV33-018</t>
  </si>
  <si>
    <t>Hệ thống hệ thống phân quyền vai trò cho cửa hàng sửa chữa</t>
  </si>
  <si>
    <t>Đăng nhập phân quyền, CRUD, tìm kiếm/lọc, dashboard thống kê, import/export, báo cáo PDF/Excel, kiểm thử; nghiệp vụ trọng tâm: hệ thống phân quyền vai trò; AI/ML gợi ý: dự đoán lỗi phổ biến.</t>
  </si>
  <si>
    <t>LV33-019</t>
  </si>
  <si>
    <t>Hệ thống quản lý thông báo/nhắc lịch cho cửa hàng sửa chữa</t>
  </si>
  <si>
    <t>Đăng nhập phân quyền, CRUD, tìm kiếm/lọc, dashboard thống kê, import/export, báo cáo PDF/Excel, kiểm thử; nghiệp vụ trọng tâm: quản lý thông báo/nhắc lịch; AI/ML gợi ý: gợi ý linh kiện.</t>
  </si>
  <si>
    <t>LV33-020</t>
  </si>
  <si>
    <t>Hệ thống quản lý dữ liệu và import/export cho cửa hàng sửa chữa</t>
  </si>
  <si>
    <t>Đăng nhập phân quyền, CRUD, tìm kiếm/lọc, dashboard thống kê, import/export, báo cáo PDF/Excel, kiểm thử; nghiệp vụ trọng tâm: quản lý dữ liệu và import/export; AI/ML gợi ý: nhắc bảo hành.</t>
  </si>
  <si>
    <t>LV33-021</t>
  </si>
  <si>
    <t>Ứng dụng web + mobile hỗ trợ quản lý tổng thể trong sửa chữa điện thoại / máy tính</t>
  </si>
  <si>
    <t>LV33-022</t>
  </si>
  <si>
    <t>Ứng dụng web + desktop hỗ trợ đặt lịch/đặt chỗ trong sửa chữa điện thoại / máy tính</t>
  </si>
  <si>
    <t>LV33-023</t>
  </si>
  <si>
    <t>Ứng dụng website hỗ trợ bán hàng và thanh toán trong sửa chữa điện thoại / máy tính</t>
  </si>
  <si>
    <t>LV33-024</t>
  </si>
  <si>
    <t>Ứng dụng mobile app hỗ trợ quản lý khách hàng CRM trong sửa chữa điện thoại / máy tính</t>
  </si>
  <si>
    <t>LV33-025</t>
  </si>
  <si>
    <t>Ứng dụng desktop app hỗ trợ quản lý kho/tài sản trong sửa chữa điện thoại / máy tính</t>
  </si>
  <si>
    <t>LV33-026</t>
  </si>
  <si>
    <t>Ứng dụng web + mobile hỗ trợ quản lý nhân sự và ca làm trong sửa chữa điện thoại / máy tính</t>
  </si>
  <si>
    <t>LV33-027</t>
  </si>
  <si>
    <t>Ứng dụng web + desktop hỗ trợ quản lý hóa đơn/công nợ trong sửa chữa điện thoại / máy tính</t>
  </si>
  <si>
    <t>LV33-028</t>
  </si>
  <si>
    <t>Ứng dụng website hỗ trợ báo cáo thống kê doanh thu trong sửa chữa điện thoại / máy tính</t>
  </si>
  <si>
    <t>LV33-029</t>
  </si>
  <si>
    <t>Ứng dụng mobile app hỗ trợ cổng chăm sóc khách hàng trong sửa chữa điện thoại / máy tính</t>
  </si>
  <si>
    <t>LV33-030</t>
  </si>
  <si>
    <t>Ứng dụng desktop app hỗ trợ ứng dụng loyalty/tích điểm trong sửa chữa điện thoại / máy tính</t>
  </si>
  <si>
    <t>LV33-031</t>
  </si>
  <si>
    <t>Ứng dụng web + mobile hỗ trợ quản lý quy trình nghiệp vụ trong sửa chữa điện thoại / máy tính</t>
  </si>
  <si>
    <t>LV33-032</t>
  </si>
  <si>
    <t>Ứng dụng web + desktop hỗ trợ theo dõi trạng thái thời gian thực trong sửa chữa điện thoại / máy tính</t>
  </si>
  <si>
    <t>LV33-033</t>
  </si>
  <si>
    <t>Ứng dụng website hỗ trợ quản lý hợp đồng/hồ sơ trong sửa chữa điện thoại / máy tính</t>
  </si>
  <si>
    <t>LV33-034</t>
  </si>
  <si>
    <t>Ứng dụng mobile app hỗ trợ tìm kiếm và lọc nâng cao trong sửa chữa điện thoại / máy tính</t>
  </si>
  <si>
    <t>LV33-035</t>
  </si>
  <si>
    <t>Ứng dụng desktop app hỗ trợ quản lý phản hồi/đánh giá trong sửa chữa điện thoại / máy tính</t>
  </si>
  <si>
    <t>LV33-036</t>
  </si>
  <si>
    <t>Ứng dụng web + mobile hỗ trợ dashboard điều hành trong sửa chữa điện thoại / máy tính</t>
  </si>
  <si>
    <t>LV33-037</t>
  </si>
  <si>
    <t>Ứng dụng web + desktop hỗ trợ quản lý đa chi nhánh trong sửa chữa điện thoại / máy tính</t>
  </si>
  <si>
    <t>LV33-038</t>
  </si>
  <si>
    <t>Ứng dụng website hỗ trợ hệ thống phân quyền vai trò trong sửa chữa điện thoại / máy tính</t>
  </si>
  <si>
    <t>LV33-039</t>
  </si>
  <si>
    <t>Ứng dụng mobile app hỗ trợ quản lý thông báo/nhắc lịch trong sửa chữa điện thoại / máy tính</t>
  </si>
  <si>
    <t>LV33-040</t>
  </si>
  <si>
    <t>Ứng dụng desktop app hỗ trợ quản lý dữ liệu và import/export trong sửa chữa điện thoại / máy tính</t>
  </si>
  <si>
    <t>LV33-041</t>
  </si>
  <si>
    <t>Nền tảng quản lý tổng thể có phân quyền và báo cáo cho cửa hàng sửa chữa</t>
  </si>
  <si>
    <t>LV33-042</t>
  </si>
  <si>
    <t>Nền tảng đặt lịch/đặt chỗ có phân quyền và báo cáo cho cửa hàng sửa chữa</t>
  </si>
  <si>
    <t>LV33-043</t>
  </si>
  <si>
    <t>Nền tảng bán hàng và thanh toán có phân quyền và báo cáo cho cửa hàng sửa chữa</t>
  </si>
  <si>
    <t>LV33-044</t>
  </si>
  <si>
    <t>Nền tảng quản lý khách hàng CRM có phân quyền và báo cáo cho cửa hàng sửa chữa</t>
  </si>
  <si>
    <t>LV33-045</t>
  </si>
  <si>
    <t>Nền tảng quản lý kho/tài sản có phân quyền và báo cáo cho cửa hàng sửa chữa</t>
  </si>
  <si>
    <t>LV33-046</t>
  </si>
  <si>
    <t>Nền tảng quản lý nhân sự và ca làm có phân quyền và báo cáo cho cửa hàng sửa chữa</t>
  </si>
  <si>
    <t>LV33-047</t>
  </si>
  <si>
    <t>Nền tảng quản lý hóa đơn/công nợ có phân quyền và báo cáo cho cửa hàng sửa chữa</t>
  </si>
  <si>
    <t>LV33-048</t>
  </si>
  <si>
    <t>Nền tảng báo cáo thống kê doanh thu có phân quyền và báo cáo cho cửa hàng sửa chữa</t>
  </si>
  <si>
    <t>LV33-049</t>
  </si>
  <si>
    <t>Nền tảng cổng chăm sóc khách hàng có phân quyền và báo cáo cho cửa hàng sửa chữa</t>
  </si>
  <si>
    <t>LV33-050</t>
  </si>
  <si>
    <t>Nền tảng ứng dụng loyalty/tích điểm có phân quyền và báo cáo cho cửa hàng sửa chữa</t>
  </si>
  <si>
    <t>LV33-051</t>
  </si>
  <si>
    <t>Nền tảng quản lý quy trình nghiệp vụ có phân quyền và báo cáo cho cửa hàng sửa chữa</t>
  </si>
  <si>
    <t>LV33-052</t>
  </si>
  <si>
    <t>Nền tảng theo dõi trạng thái thời gian thực có phân quyền và báo cáo cho cửa hàng sửa chữa</t>
  </si>
  <si>
    <t>LV33-053</t>
  </si>
  <si>
    <t>Nền tảng quản lý hợp đồng/hồ sơ có phân quyền và báo cáo cho cửa hàng sửa chữa</t>
  </si>
  <si>
    <t>LV33-054</t>
  </si>
  <si>
    <t>Nền tảng tìm kiếm và lọc nâng cao có phân quyền và báo cáo cho cửa hàng sửa chữa</t>
  </si>
  <si>
    <t>LV33-055</t>
  </si>
  <si>
    <t>Nền tảng quản lý phản hồi/đánh giá có phân quyền và báo cáo cho cửa hàng sửa chữa</t>
  </si>
  <si>
    <t>LV33-056</t>
  </si>
  <si>
    <t>Nền tảng dashboard điều hành có phân quyền và báo cáo cho cửa hàng sửa chữa</t>
  </si>
  <si>
    <t>LV33-057</t>
  </si>
  <si>
    <t>Nền tảng quản lý đa chi nhánh có phân quyền và báo cáo cho cửa hàng sửa chữa</t>
  </si>
  <si>
    <t>LV33-058</t>
  </si>
  <si>
    <t>Nền tảng hệ thống phân quyền vai trò có phân quyền và báo cáo cho cửa hàng sửa chữa</t>
  </si>
  <si>
    <t>LV33-059</t>
  </si>
  <si>
    <t>Nền tảng quản lý thông báo/nhắc lịch có phân quyền và báo cáo cho cửa hàng sửa chữa</t>
  </si>
  <si>
    <t>LV33-060</t>
  </si>
  <si>
    <t>Nền tảng quản lý dữ liệu và import/export có phân quyền và báo cáo cho cửa hàng sửa chữa</t>
  </si>
  <si>
    <t>LV33-061</t>
  </si>
  <si>
    <t>Phần mềm quản lý tổng thể tích hợp dashboard dữ liệu cho sửa chữa điện thoại / máy tính</t>
  </si>
  <si>
    <t>LV33-062</t>
  </si>
  <si>
    <t>Phần mềm đặt lịch/đặt chỗ tích hợp dashboard dữ liệu cho sửa chữa điện thoại / máy tính</t>
  </si>
  <si>
    <t>LV33-063</t>
  </si>
  <si>
    <t>Phần mềm bán hàng và thanh toán tích hợp dashboard dữ liệu cho sửa chữa điện thoại / máy tính</t>
  </si>
  <si>
    <t>LV33-064</t>
  </si>
  <si>
    <t>Phần mềm quản lý khách hàng CRM tích hợp dashboard dữ liệu cho sửa chữa điện thoại / máy tính</t>
  </si>
  <si>
    <t>LV33-065</t>
  </si>
  <si>
    <t>Phần mềm quản lý kho/tài sản tích hợp dashboard dữ liệu cho sửa chữa điện thoại / máy tính</t>
  </si>
  <si>
    <t>LV33-066</t>
  </si>
  <si>
    <t>Phần mềm quản lý nhân sự và ca làm tích hợp dashboard dữ liệu cho sửa chữa điện thoại / máy tính</t>
  </si>
  <si>
    <t>LV33-067</t>
  </si>
  <si>
    <t>Phần mềm quản lý hóa đơn/công nợ tích hợp dashboard dữ liệu cho sửa chữa điện thoại / máy tính</t>
  </si>
  <si>
    <t>LV33-068</t>
  </si>
  <si>
    <t>Phần mềm báo cáo thống kê doanh thu tích hợp dashboard dữ liệu cho sửa chữa điện thoại / máy tính</t>
  </si>
  <si>
    <t>LV33-069</t>
  </si>
  <si>
    <t>Phần mềm cổng chăm sóc khách hàng tích hợp dashboard dữ liệu cho sửa chữa điện thoại / máy tính</t>
  </si>
  <si>
    <t>LV33-070</t>
  </si>
  <si>
    <t>Phần mềm ứng dụng loyalty/tích điểm tích hợp dashboard dữ liệu cho sửa chữa điện thoại / máy tính</t>
  </si>
  <si>
    <t>LV33-071</t>
  </si>
  <si>
    <t>Phần mềm quản lý quy trình nghiệp vụ tích hợp dashboard dữ liệu cho sửa chữa điện thoại / máy tính</t>
  </si>
  <si>
    <t>LV33-072</t>
  </si>
  <si>
    <t>Phần mềm theo dõi trạng thái thời gian thực tích hợp dashboard dữ liệu cho sửa chữa điện thoại / máy tính</t>
  </si>
  <si>
    <t>LV33-073</t>
  </si>
  <si>
    <t>Phần mềm quản lý hợp đồng/hồ sơ tích hợp dashboard dữ liệu cho sửa chữa điện thoại / máy tính</t>
  </si>
  <si>
    <t>LV33-074</t>
  </si>
  <si>
    <t>Phần mềm tìm kiếm và lọc nâng cao tích hợp dashboard dữ liệu cho sửa chữa điện thoại / máy tính</t>
  </si>
  <si>
    <t>LV33-075</t>
  </si>
  <si>
    <t>Phần mềm quản lý phản hồi/đánh giá tích hợp dashboard dữ liệu cho sửa chữa điện thoại / máy tính</t>
  </si>
  <si>
    <t>LV33-076</t>
  </si>
  <si>
    <t>Phần mềm dashboard điều hành tích hợp dashboard dữ liệu cho sửa chữa điện thoại / máy tính</t>
  </si>
  <si>
    <t>LV33-077</t>
  </si>
  <si>
    <t>Phần mềm quản lý đa chi nhánh tích hợp dashboard dữ liệu cho sửa chữa điện thoại / máy tính</t>
  </si>
  <si>
    <t>LV33-078</t>
  </si>
  <si>
    <t>Phần mềm hệ thống phân quyền vai trò tích hợp dashboard dữ liệu cho sửa chữa điện thoại / máy tính</t>
  </si>
  <si>
    <t>LV33-079</t>
  </si>
  <si>
    <t>Phần mềm quản lý thông báo/nhắc lịch tích hợp dashboard dữ liệu cho sửa chữa điện thoại / máy tính</t>
  </si>
  <si>
    <t>LV33-080</t>
  </si>
  <si>
    <t>Phần mềm quản lý dữ liệu và import/export tích hợp dashboard dữ liệu cho sửa chữa điện thoại / máy tính</t>
  </si>
  <si>
    <t>LV33-081</t>
  </si>
  <si>
    <t>Hệ thống quản lý tổng thể có gợi ý AI: gợi ý linh kiện cho cửa hàng sửa chữa</t>
  </si>
  <si>
    <t>LV33-082</t>
  </si>
  <si>
    <t>Hệ thống đặt lịch/đặt chỗ có gợi ý AI: nhắc bảo hành cho cửa hàng sửa chữa</t>
  </si>
  <si>
    <t>LV33-083</t>
  </si>
  <si>
    <t>Hệ thống bán hàng và thanh toán có gợi ý AI: dự đoán lỗi phổ biến cho cửa hàng sửa chữa</t>
  </si>
  <si>
    <t>LV33-084</t>
  </si>
  <si>
    <t>Hệ thống quản lý khách hàng CRM có gợi ý AI: gợi ý linh kiện cho cửa hàng sửa chữa</t>
  </si>
  <si>
    <t>LV33-085</t>
  </si>
  <si>
    <t>Hệ thống quản lý kho/tài sản có gợi ý AI: nhắc bảo hành cho cửa hàng sửa chữa</t>
  </si>
  <si>
    <t>LV33-086</t>
  </si>
  <si>
    <t>Hệ thống quản lý nhân sự và ca làm có gợi ý AI: dự đoán lỗi phổ biến cho cửa hàng sửa chữa</t>
  </si>
  <si>
    <t>LV33-087</t>
  </si>
  <si>
    <t>Hệ thống quản lý hóa đơn/công nợ có gợi ý AI: gợi ý linh kiện cho cửa hàng sửa chữa</t>
  </si>
  <si>
    <t>LV33-088</t>
  </si>
  <si>
    <t>Hệ thống báo cáo thống kê doanh thu có gợi ý AI: nhắc bảo hành cho cửa hàng sửa chữa</t>
  </si>
  <si>
    <t>LV33-089</t>
  </si>
  <si>
    <t>Hệ thống cổng chăm sóc khách hàng có gợi ý AI: dự đoán lỗi phổ biến cho cửa hàng sửa chữa</t>
  </si>
  <si>
    <t>LV33-090</t>
  </si>
  <si>
    <t>Hệ thống ứng dụng loyalty/tích điểm có gợi ý AI: gợi ý linh kiện cho cửa hàng sửa chữa</t>
  </si>
  <si>
    <t>LV33-091</t>
  </si>
  <si>
    <t>Hệ thống quản lý quy trình nghiệp vụ có gợi ý AI: nhắc bảo hành cho cửa hàng sửa chữa</t>
  </si>
  <si>
    <t>LV33-092</t>
  </si>
  <si>
    <t>Hệ thống theo dõi trạng thái thời gian thực có gợi ý AI: dự đoán lỗi phổ biến cho cửa hàng sửa chữa</t>
  </si>
  <si>
    <t>LV33-093</t>
  </si>
  <si>
    <t>Hệ thống quản lý hợp đồng/hồ sơ có gợi ý AI: gợi ý linh kiện cho cửa hàng sửa chữa</t>
  </si>
  <si>
    <t>LV33-094</t>
  </si>
  <si>
    <t>Hệ thống tìm kiếm và lọc nâng cao có gợi ý AI: nhắc bảo hành cho cửa hàng sửa chữa</t>
  </si>
  <si>
    <t>LV33-095</t>
  </si>
  <si>
    <t>Hệ thống quản lý phản hồi/đánh giá có gợi ý AI: dự đoán lỗi phổ biến cho cửa hàng sửa chữa</t>
  </si>
  <si>
    <t>LV33-096</t>
  </si>
  <si>
    <t>Hệ thống dashboard điều hành có gợi ý AI: gợi ý linh kiện cho cửa hàng sửa chữa</t>
  </si>
  <si>
    <t>LV33-097</t>
  </si>
  <si>
    <t>Hệ thống quản lý đa chi nhánh có gợi ý AI: nhắc bảo hành cho cửa hàng sửa chữa</t>
  </si>
  <si>
    <t>LV33-098</t>
  </si>
  <si>
    <t>Hệ thống hệ thống phân quyền vai trò có gợi ý AI: dự đoán lỗi phổ biến cho cửa hàng sửa chữa</t>
  </si>
  <si>
    <t>LV33-099</t>
  </si>
  <si>
    <t>Hệ thống quản lý thông báo/nhắc lịch có gợi ý AI: gợi ý linh kiện cho cửa hàng sửa chữa</t>
  </si>
  <si>
    <t>LV33-100</t>
  </si>
  <si>
    <t>Hệ thống quản lý dữ liệu và import/export có gợi ý AI: nhắc bảo hành cho cửa hàng sửa chữa</t>
  </si>
  <si>
    <t>Dịch vụ cưới hỏi / sự kiện</t>
  </si>
  <si>
    <t>LV34-001</t>
  </si>
  <si>
    <t>Hệ thống quản lý tổng thể cho dịch vụ sự kiện</t>
  </si>
  <si>
    <t>Đồ án 8 tuần cho nhóm 5 SV: xây dựng Web + Desktop phục vụ dịch vụ sự kiện; quản lý các thực thể chính: khách hàng, gói dịch vụ, lịch sự kiện, hợp đồng; có CSDL, API, giao diện người dùng, báo cáo và kiểm thử.</t>
  </si>
  <si>
    <t>Đăng nhập phân quyền, CRUD, tìm kiếm/lọc, dashboard thống kê, import/export, báo cáo PDF/Excel, kiểm thử; nghiệp vụ trọng tâm: quản lý tổng thể; AI/ML gợi ý: dự báo chi phí.</t>
  </si>
  <si>
    <t>dự báo chi phí</t>
  </si>
  <si>
    <t>LV34-002</t>
  </si>
  <si>
    <t>Hệ thống đặt lịch/đặt chỗ cho dịch vụ sự kiện</t>
  </si>
  <si>
    <t>Đồ án 8 tuần cho nhóm 5 SV: xây dựng Website phục vụ dịch vụ sự kiện; quản lý các thực thể chính: khách hàng, gói dịch vụ, lịch sự kiện, hợp đồng; có CSDL, API, giao diện người dùng, báo cáo và kiểm thử.</t>
  </si>
  <si>
    <t>Đăng nhập phân quyền, CRUD, tìm kiếm/lọc, dashboard thống kê, import/export, báo cáo PDF/Excel, kiểm thử; nghiệp vụ trọng tâm: đặt lịch/đặt chỗ; AI/ML gợi ý: tối ưu lịch nhân sự.</t>
  </si>
  <si>
    <t>tối ưu lịch nhân sự</t>
  </si>
  <si>
    <t>LV34-003</t>
  </si>
  <si>
    <t>Hệ thống bán hàng và thanh toán cho dịch vụ sự kiện</t>
  </si>
  <si>
    <t>Đồ án 8 tuần cho nhóm 5 SV: xây dựng Mobile App phục vụ dịch vụ sự kiện; quản lý các thực thể chính: khách hàng, gói dịch vụ, lịch sự kiện, hợp đồng; có CSDL, API, giao diện người dùng, báo cáo và kiểm thử.</t>
  </si>
  <si>
    <t>Đăng nhập phân quyền, CRUD, tìm kiếm/lọc, dashboard thống kê, import/export, báo cáo PDF/Excel, kiểm thử; nghiệp vụ trọng tâm: bán hàng và thanh toán; AI/ML gợi ý: gợi ý gói sự kiện.</t>
  </si>
  <si>
    <t>gợi ý gói sự kiện</t>
  </si>
  <si>
    <t>LV34-004</t>
  </si>
  <si>
    <t>Hệ thống quản lý khách hàng CRM cho dịch vụ sự kiện</t>
  </si>
  <si>
    <t>Đồ án 8 tuần cho nhóm 5 SV: xây dựng Desktop App phục vụ dịch vụ sự kiện; quản lý các thực thể chính: khách hàng, gói dịch vụ, lịch sự kiện, hợp đồng; có CSDL, API, giao diện người dùng, báo cáo và kiểm thử.</t>
  </si>
  <si>
    <t>Đăng nhập phân quyền, CRUD, tìm kiếm/lọc, dashboard thống kê, import/export, báo cáo PDF/Excel, kiểm thử; nghiệp vụ trọng tâm: quản lý khách hàng CRM; AI/ML gợi ý: dự báo chi phí.</t>
  </si>
  <si>
    <t>LV34-005</t>
  </si>
  <si>
    <t>Hệ thống quản lý kho/tài sản cho dịch vụ sự kiện</t>
  </si>
  <si>
    <t>Đồ án 8 tuần cho nhóm 5 SV: xây dựng Web + Mobile phục vụ dịch vụ sự kiện; quản lý các thực thể chính: khách hàng, gói dịch vụ, lịch sự kiện, hợp đồng; có CSDL, API, giao diện người dùng, báo cáo và kiểm thử.</t>
  </si>
  <si>
    <t>Đăng nhập phân quyền, CRUD, tìm kiếm/lọc, dashboard thống kê, import/export, báo cáo PDF/Excel, kiểm thử; nghiệp vụ trọng tâm: quản lý kho/tài sản; AI/ML gợi ý: tối ưu lịch nhân sự.</t>
  </si>
  <si>
    <t>LV34-006</t>
  </si>
  <si>
    <t>Hệ thống quản lý nhân sự và ca làm cho dịch vụ sự kiện</t>
  </si>
  <si>
    <t>Đăng nhập phân quyền, CRUD, tìm kiếm/lọc, dashboard thống kê, import/export, báo cáo PDF/Excel, kiểm thử; nghiệp vụ trọng tâm: quản lý nhân sự và ca làm; AI/ML gợi ý: gợi ý gói sự kiện.</t>
  </si>
  <si>
    <t>LV34-007</t>
  </si>
  <si>
    <t>Hệ thống quản lý hóa đơn/công nợ cho dịch vụ sự kiện</t>
  </si>
  <si>
    <t>Đăng nhập phân quyền, CRUD, tìm kiếm/lọc, dashboard thống kê, import/export, báo cáo PDF/Excel, kiểm thử; nghiệp vụ trọng tâm: quản lý hóa đơn/công nợ; AI/ML gợi ý: dự báo chi phí.</t>
  </si>
  <si>
    <t>LV34-008</t>
  </si>
  <si>
    <t>Hệ thống báo cáo thống kê doanh thu cho dịch vụ sự kiện</t>
  </si>
  <si>
    <t>Đăng nhập phân quyền, CRUD, tìm kiếm/lọc, dashboard thống kê, import/export, báo cáo PDF/Excel, kiểm thử; nghiệp vụ trọng tâm: báo cáo thống kê doanh thu; AI/ML gợi ý: tối ưu lịch nhân sự.</t>
  </si>
  <si>
    <t>LV34-009</t>
  </si>
  <si>
    <t>Hệ thống cổng chăm sóc khách hàng cho dịch vụ sự kiện</t>
  </si>
  <si>
    <t>Đăng nhập phân quyền, CRUD, tìm kiếm/lọc, dashboard thống kê, import/export, báo cáo PDF/Excel, kiểm thử; nghiệp vụ trọng tâm: cổng chăm sóc khách hàng; AI/ML gợi ý: gợi ý gói sự kiện.</t>
  </si>
  <si>
    <t>LV34-010</t>
  </si>
  <si>
    <t>Hệ thống ứng dụng loyalty/tích điểm cho dịch vụ sự kiện</t>
  </si>
  <si>
    <t>Đăng nhập phân quyền, CRUD, tìm kiếm/lọc, dashboard thống kê, import/export, báo cáo PDF/Excel, kiểm thử; nghiệp vụ trọng tâm: ứng dụng loyalty/tích điểm; AI/ML gợi ý: dự báo chi phí.</t>
  </si>
  <si>
    <t>LV34-011</t>
  </si>
  <si>
    <t>Hệ thống quản lý quy trình nghiệp vụ cho dịch vụ sự kiện</t>
  </si>
  <si>
    <t>Đăng nhập phân quyền, CRUD, tìm kiếm/lọc, dashboard thống kê, import/export, báo cáo PDF/Excel, kiểm thử; nghiệp vụ trọng tâm: quản lý quy trình nghiệp vụ; AI/ML gợi ý: tối ưu lịch nhân sự.</t>
  </si>
  <si>
    <t>LV34-012</t>
  </si>
  <si>
    <t>Hệ thống theo dõi trạng thái thời gian thực cho dịch vụ sự kiện</t>
  </si>
  <si>
    <t>Đăng nhập phân quyền, CRUD, tìm kiếm/lọc, dashboard thống kê, import/export, báo cáo PDF/Excel, kiểm thử; nghiệp vụ trọng tâm: theo dõi trạng thái thời gian thực; AI/ML gợi ý: gợi ý gói sự kiện.</t>
  </si>
  <si>
    <t>LV34-013</t>
  </si>
  <si>
    <t>Hệ thống quản lý hợp đồng/hồ sơ cho dịch vụ sự kiện</t>
  </si>
  <si>
    <t>Đăng nhập phân quyền, CRUD, tìm kiếm/lọc, dashboard thống kê, import/export, báo cáo PDF/Excel, kiểm thử; nghiệp vụ trọng tâm: quản lý hợp đồng/hồ sơ; AI/ML gợi ý: dự báo chi phí.</t>
  </si>
  <si>
    <t>LV34-014</t>
  </si>
  <si>
    <t>Hệ thống tìm kiếm và lọc nâng cao cho dịch vụ sự kiện</t>
  </si>
  <si>
    <t>Đăng nhập phân quyền, CRUD, tìm kiếm/lọc, dashboard thống kê, import/export, báo cáo PDF/Excel, kiểm thử; nghiệp vụ trọng tâm: tìm kiếm và lọc nâng cao; AI/ML gợi ý: tối ưu lịch nhân sự.</t>
  </si>
  <si>
    <t>LV34-015</t>
  </si>
  <si>
    <t>Hệ thống quản lý phản hồi/đánh giá cho dịch vụ sự kiện</t>
  </si>
  <si>
    <t>Đăng nhập phân quyền, CRUD, tìm kiếm/lọc, dashboard thống kê, import/export, báo cáo PDF/Excel, kiểm thử; nghiệp vụ trọng tâm: quản lý phản hồi/đánh giá; AI/ML gợi ý: gợi ý gói sự kiện.</t>
  </si>
  <si>
    <t>LV34-016</t>
  </si>
  <si>
    <t>Hệ thống dashboard điều hành cho dịch vụ sự kiện</t>
  </si>
  <si>
    <t>Đăng nhập phân quyền, CRUD, tìm kiếm/lọc, dashboard thống kê, import/export, báo cáo PDF/Excel, kiểm thử; nghiệp vụ trọng tâm: dashboard điều hành; AI/ML gợi ý: dự báo chi phí.</t>
  </si>
  <si>
    <t>LV34-017</t>
  </si>
  <si>
    <t>Hệ thống quản lý đa chi nhánh cho dịch vụ sự kiện</t>
  </si>
  <si>
    <t>Đăng nhập phân quyền, CRUD, tìm kiếm/lọc, dashboard thống kê, import/export, báo cáo PDF/Excel, kiểm thử; nghiệp vụ trọng tâm: quản lý đa chi nhánh; AI/ML gợi ý: tối ưu lịch nhân sự.</t>
  </si>
  <si>
    <t>LV34-018</t>
  </si>
  <si>
    <t>Hệ thống hệ thống phân quyền vai trò cho dịch vụ sự kiện</t>
  </si>
  <si>
    <t>Đăng nhập phân quyền, CRUD, tìm kiếm/lọc, dashboard thống kê, import/export, báo cáo PDF/Excel, kiểm thử; nghiệp vụ trọng tâm: hệ thống phân quyền vai trò; AI/ML gợi ý: gợi ý gói sự kiện.</t>
  </si>
  <si>
    <t>LV34-019</t>
  </si>
  <si>
    <t>Hệ thống quản lý thông báo/nhắc lịch cho dịch vụ sự kiện</t>
  </si>
  <si>
    <t>Đăng nhập phân quyền, CRUD, tìm kiếm/lọc, dashboard thống kê, import/export, báo cáo PDF/Excel, kiểm thử; nghiệp vụ trọng tâm: quản lý thông báo/nhắc lịch; AI/ML gợi ý: dự báo chi phí.</t>
  </si>
  <si>
    <t>LV34-020</t>
  </si>
  <si>
    <t>Hệ thống quản lý dữ liệu và import/export cho dịch vụ sự kiện</t>
  </si>
  <si>
    <t>Đăng nhập phân quyền, CRUD, tìm kiếm/lọc, dashboard thống kê, import/export, báo cáo PDF/Excel, kiểm thử; nghiệp vụ trọng tâm: quản lý dữ liệu và import/export; AI/ML gợi ý: tối ưu lịch nhân sự.</t>
  </si>
  <si>
    <t>LV34-021</t>
  </si>
  <si>
    <t>Ứng dụng web + desktop hỗ trợ quản lý tổng thể trong dịch vụ cưới hỏi / sự kiện</t>
  </si>
  <si>
    <t>LV34-022</t>
  </si>
  <si>
    <t>Ứng dụng website hỗ trợ đặt lịch/đặt chỗ trong dịch vụ cưới hỏi / sự kiện</t>
  </si>
  <si>
    <t>LV34-023</t>
  </si>
  <si>
    <t>Ứng dụng mobile app hỗ trợ bán hàng và thanh toán trong dịch vụ cưới hỏi / sự kiện</t>
  </si>
  <si>
    <t>LV34-024</t>
  </si>
  <si>
    <t>Ứng dụng desktop app hỗ trợ quản lý khách hàng CRM trong dịch vụ cưới hỏi / sự kiện</t>
  </si>
  <si>
    <t>LV34-025</t>
  </si>
  <si>
    <t>Ứng dụng web + mobile hỗ trợ quản lý kho/tài sản trong dịch vụ cưới hỏi / sự kiện</t>
  </si>
  <si>
    <t>LV34-026</t>
  </si>
  <si>
    <t>Ứng dụng web + desktop hỗ trợ quản lý nhân sự và ca làm trong dịch vụ cưới hỏi / sự kiện</t>
  </si>
  <si>
    <t>LV34-027</t>
  </si>
  <si>
    <t>Ứng dụng website hỗ trợ quản lý hóa đơn/công nợ trong dịch vụ cưới hỏi / sự kiện</t>
  </si>
  <si>
    <t>LV34-028</t>
  </si>
  <si>
    <t>Ứng dụng mobile app hỗ trợ báo cáo thống kê doanh thu trong dịch vụ cưới hỏi / sự kiện</t>
  </si>
  <si>
    <t>LV34-029</t>
  </si>
  <si>
    <t>Ứng dụng desktop app hỗ trợ cổng chăm sóc khách hàng trong dịch vụ cưới hỏi / sự kiện</t>
  </si>
  <si>
    <t>LV34-030</t>
  </si>
  <si>
    <t>Ứng dụng web + mobile hỗ trợ ứng dụng loyalty/tích điểm trong dịch vụ cưới hỏi / sự kiện</t>
  </si>
  <si>
    <t>LV34-031</t>
  </si>
  <si>
    <t>Ứng dụng web + desktop hỗ trợ quản lý quy trình nghiệp vụ trong dịch vụ cưới hỏi / sự kiện</t>
  </si>
  <si>
    <t>LV34-032</t>
  </si>
  <si>
    <t>Ứng dụng website hỗ trợ theo dõi trạng thái thời gian thực trong dịch vụ cưới hỏi / sự kiện</t>
  </si>
  <si>
    <t>LV34-033</t>
  </si>
  <si>
    <t>Ứng dụng mobile app hỗ trợ quản lý hợp đồng/hồ sơ trong dịch vụ cưới hỏi / sự kiện</t>
  </si>
  <si>
    <t>LV34-034</t>
  </si>
  <si>
    <t>Ứng dụng desktop app hỗ trợ tìm kiếm và lọc nâng cao trong dịch vụ cưới hỏi / sự kiện</t>
  </si>
  <si>
    <t>LV34-035</t>
  </si>
  <si>
    <t>Ứng dụng web + mobile hỗ trợ quản lý phản hồi/đánh giá trong dịch vụ cưới hỏi / sự kiện</t>
  </si>
  <si>
    <t>LV34-036</t>
  </si>
  <si>
    <t>Ứng dụng web + desktop hỗ trợ dashboard điều hành trong dịch vụ cưới hỏi / sự kiện</t>
  </si>
  <si>
    <t>LV34-037</t>
  </si>
  <si>
    <t>Ứng dụng website hỗ trợ quản lý đa chi nhánh trong dịch vụ cưới hỏi / sự kiện</t>
  </si>
  <si>
    <t>LV34-038</t>
  </si>
  <si>
    <t>Ứng dụng mobile app hỗ trợ hệ thống phân quyền vai trò trong dịch vụ cưới hỏi / sự kiện</t>
  </si>
  <si>
    <t>LV34-039</t>
  </si>
  <si>
    <t>Ứng dụng desktop app hỗ trợ quản lý thông báo/nhắc lịch trong dịch vụ cưới hỏi / sự kiện</t>
  </si>
  <si>
    <t>LV34-040</t>
  </si>
  <si>
    <t>Ứng dụng web + mobile hỗ trợ quản lý dữ liệu và import/export trong dịch vụ cưới hỏi / sự kiện</t>
  </si>
  <si>
    <t>LV34-041</t>
  </si>
  <si>
    <t>Nền tảng quản lý tổng thể có phân quyền và báo cáo cho dịch vụ sự kiện</t>
  </si>
  <si>
    <t>LV34-042</t>
  </si>
  <si>
    <t>Nền tảng đặt lịch/đặt chỗ có phân quyền và báo cáo cho dịch vụ sự kiện</t>
  </si>
  <si>
    <t>LV34-043</t>
  </si>
  <si>
    <t>Nền tảng bán hàng và thanh toán có phân quyền và báo cáo cho dịch vụ sự kiện</t>
  </si>
  <si>
    <t>LV34-044</t>
  </si>
  <si>
    <t>Nền tảng quản lý khách hàng CRM có phân quyền và báo cáo cho dịch vụ sự kiện</t>
  </si>
  <si>
    <t>LV34-045</t>
  </si>
  <si>
    <t>Nền tảng quản lý kho/tài sản có phân quyền và báo cáo cho dịch vụ sự kiện</t>
  </si>
  <si>
    <t>LV34-046</t>
  </si>
  <si>
    <t>Nền tảng quản lý nhân sự và ca làm có phân quyền và báo cáo cho dịch vụ sự kiện</t>
  </si>
  <si>
    <t>LV34-047</t>
  </si>
  <si>
    <t>Nền tảng quản lý hóa đơn/công nợ có phân quyền và báo cáo cho dịch vụ sự kiện</t>
  </si>
  <si>
    <t>LV34-048</t>
  </si>
  <si>
    <t>Nền tảng báo cáo thống kê doanh thu có phân quyền và báo cáo cho dịch vụ sự kiện</t>
  </si>
  <si>
    <t>LV34-049</t>
  </si>
  <si>
    <t>Nền tảng cổng chăm sóc khách hàng có phân quyền và báo cáo cho dịch vụ sự kiện</t>
  </si>
  <si>
    <t>LV34-050</t>
  </si>
  <si>
    <t>Nền tảng ứng dụng loyalty/tích điểm có phân quyền và báo cáo cho dịch vụ sự kiện</t>
  </si>
  <si>
    <t>LV34-051</t>
  </si>
  <si>
    <t>Nền tảng quản lý quy trình nghiệp vụ có phân quyền và báo cáo cho dịch vụ sự kiện</t>
  </si>
  <si>
    <t>LV34-052</t>
  </si>
  <si>
    <t>Nền tảng theo dõi trạng thái thời gian thực có phân quyền và báo cáo cho dịch vụ sự kiện</t>
  </si>
  <si>
    <t>LV34-053</t>
  </si>
  <si>
    <t>Nền tảng quản lý hợp đồng/hồ sơ có phân quyền và báo cáo cho dịch vụ sự kiện</t>
  </si>
  <si>
    <t>LV34-054</t>
  </si>
  <si>
    <t>Nền tảng tìm kiếm và lọc nâng cao có phân quyền và báo cáo cho dịch vụ sự kiện</t>
  </si>
  <si>
    <t>LV34-055</t>
  </si>
  <si>
    <t>Nền tảng quản lý phản hồi/đánh giá có phân quyền và báo cáo cho dịch vụ sự kiện</t>
  </si>
  <si>
    <t>LV34-056</t>
  </si>
  <si>
    <t>Nền tảng dashboard điều hành có phân quyền và báo cáo cho dịch vụ sự kiện</t>
  </si>
  <si>
    <t>LV34-057</t>
  </si>
  <si>
    <t>Nền tảng quản lý đa chi nhánh có phân quyền và báo cáo cho dịch vụ sự kiện</t>
  </si>
  <si>
    <t>LV34-058</t>
  </si>
  <si>
    <t>Nền tảng hệ thống phân quyền vai trò có phân quyền và báo cáo cho dịch vụ sự kiện</t>
  </si>
  <si>
    <t>LV34-059</t>
  </si>
  <si>
    <t>Nền tảng quản lý thông báo/nhắc lịch có phân quyền và báo cáo cho dịch vụ sự kiện</t>
  </si>
  <si>
    <t>LV34-060</t>
  </si>
  <si>
    <t>Nền tảng quản lý dữ liệu và import/export có phân quyền và báo cáo cho dịch vụ sự kiện</t>
  </si>
  <si>
    <t>LV34-061</t>
  </si>
  <si>
    <t>Phần mềm quản lý tổng thể tích hợp dashboard dữ liệu cho dịch vụ cưới hỏi / sự kiện</t>
  </si>
  <si>
    <t>LV34-062</t>
  </si>
  <si>
    <t>Phần mềm đặt lịch/đặt chỗ tích hợp dashboard dữ liệu cho dịch vụ cưới hỏi / sự kiện</t>
  </si>
  <si>
    <t>LV34-063</t>
  </si>
  <si>
    <t>Phần mềm bán hàng và thanh toán tích hợp dashboard dữ liệu cho dịch vụ cưới hỏi / sự kiện</t>
  </si>
  <si>
    <t>LV34-064</t>
  </si>
  <si>
    <t>Phần mềm quản lý khách hàng CRM tích hợp dashboard dữ liệu cho dịch vụ cưới hỏi / sự kiện</t>
  </si>
  <si>
    <t>LV34-065</t>
  </si>
  <si>
    <t>Phần mềm quản lý kho/tài sản tích hợp dashboard dữ liệu cho dịch vụ cưới hỏi / sự kiện</t>
  </si>
  <si>
    <t>LV34-066</t>
  </si>
  <si>
    <t>Phần mềm quản lý nhân sự và ca làm tích hợp dashboard dữ liệu cho dịch vụ cưới hỏi / sự kiện</t>
  </si>
  <si>
    <t>LV34-067</t>
  </si>
  <si>
    <t>Phần mềm quản lý hóa đơn/công nợ tích hợp dashboard dữ liệu cho dịch vụ cưới hỏi / sự kiện</t>
  </si>
  <si>
    <t>LV34-068</t>
  </si>
  <si>
    <t>Phần mềm báo cáo thống kê doanh thu tích hợp dashboard dữ liệu cho dịch vụ cưới hỏi / sự kiện</t>
  </si>
  <si>
    <t>LV34-069</t>
  </si>
  <si>
    <t>Phần mềm cổng chăm sóc khách hàng tích hợp dashboard dữ liệu cho dịch vụ cưới hỏi / sự kiện</t>
  </si>
  <si>
    <t>LV34-070</t>
  </si>
  <si>
    <t>Phần mềm ứng dụng loyalty/tích điểm tích hợp dashboard dữ liệu cho dịch vụ cưới hỏi / sự kiện</t>
  </si>
  <si>
    <t>LV34-071</t>
  </si>
  <si>
    <t>Phần mềm quản lý quy trình nghiệp vụ tích hợp dashboard dữ liệu cho dịch vụ cưới hỏi / sự kiện</t>
  </si>
  <si>
    <t>LV34-072</t>
  </si>
  <si>
    <t>Phần mềm theo dõi trạng thái thời gian thực tích hợp dashboard dữ liệu cho dịch vụ cưới hỏi / sự kiện</t>
  </si>
  <si>
    <t>LV34-073</t>
  </si>
  <si>
    <t>Phần mềm quản lý hợp đồng/hồ sơ tích hợp dashboard dữ liệu cho dịch vụ cưới hỏi / sự kiện</t>
  </si>
  <si>
    <t>LV34-074</t>
  </si>
  <si>
    <t>Phần mềm tìm kiếm và lọc nâng cao tích hợp dashboard dữ liệu cho dịch vụ cưới hỏi / sự kiện</t>
  </si>
  <si>
    <t>LV34-075</t>
  </si>
  <si>
    <t>Phần mềm quản lý phản hồi/đánh giá tích hợp dashboard dữ liệu cho dịch vụ cưới hỏi / sự kiện</t>
  </si>
  <si>
    <t>LV34-076</t>
  </si>
  <si>
    <t>Phần mềm dashboard điều hành tích hợp dashboard dữ liệu cho dịch vụ cưới hỏi / sự kiện</t>
  </si>
  <si>
    <t>LV34-077</t>
  </si>
  <si>
    <t>Phần mềm quản lý đa chi nhánh tích hợp dashboard dữ liệu cho dịch vụ cưới hỏi / sự kiện</t>
  </si>
  <si>
    <t>LV34-078</t>
  </si>
  <si>
    <t>Phần mềm hệ thống phân quyền vai trò tích hợp dashboard dữ liệu cho dịch vụ cưới hỏi / sự kiện</t>
  </si>
  <si>
    <t>LV34-079</t>
  </si>
  <si>
    <t>Phần mềm quản lý thông báo/nhắc lịch tích hợp dashboard dữ liệu cho dịch vụ cưới hỏi / sự kiện</t>
  </si>
  <si>
    <t>LV34-080</t>
  </si>
  <si>
    <t>Phần mềm quản lý dữ liệu và import/export tích hợp dashboard dữ liệu cho dịch vụ cưới hỏi / sự kiện</t>
  </si>
  <si>
    <t>LV34-081</t>
  </si>
  <si>
    <t>Hệ thống quản lý tổng thể có gợi ý AI: dự báo chi phí cho dịch vụ sự kiện</t>
  </si>
  <si>
    <t>LV34-082</t>
  </si>
  <si>
    <t>Hệ thống đặt lịch/đặt chỗ có gợi ý AI: tối ưu lịch nhân sự cho dịch vụ sự kiện</t>
  </si>
  <si>
    <t>LV34-083</t>
  </si>
  <si>
    <t>Hệ thống bán hàng và thanh toán có gợi ý AI: gợi ý gói sự kiện cho dịch vụ sự kiện</t>
  </si>
  <si>
    <t>LV34-084</t>
  </si>
  <si>
    <t>Hệ thống quản lý khách hàng CRM có gợi ý AI: dự báo chi phí cho dịch vụ sự kiện</t>
  </si>
  <si>
    <t>LV34-085</t>
  </si>
  <si>
    <t>Hệ thống quản lý kho/tài sản có gợi ý AI: tối ưu lịch nhân sự cho dịch vụ sự kiện</t>
  </si>
  <si>
    <t>LV34-086</t>
  </si>
  <si>
    <t>Hệ thống quản lý nhân sự và ca làm có gợi ý AI: gợi ý gói sự kiện cho dịch vụ sự kiện</t>
  </si>
  <si>
    <t>LV34-087</t>
  </si>
  <si>
    <t>Hệ thống quản lý hóa đơn/công nợ có gợi ý AI: dự báo chi phí cho dịch vụ sự kiện</t>
  </si>
  <si>
    <t>LV34-088</t>
  </si>
  <si>
    <t>Hệ thống báo cáo thống kê doanh thu có gợi ý AI: tối ưu lịch nhân sự cho dịch vụ sự kiện</t>
  </si>
  <si>
    <t>LV34-089</t>
  </si>
  <si>
    <t>Hệ thống cổng chăm sóc khách hàng có gợi ý AI: gợi ý gói sự kiện cho dịch vụ sự kiện</t>
  </si>
  <si>
    <t>LV34-090</t>
  </si>
  <si>
    <t>Hệ thống ứng dụng loyalty/tích điểm có gợi ý AI: dự báo chi phí cho dịch vụ sự kiện</t>
  </si>
  <si>
    <t>LV34-091</t>
  </si>
  <si>
    <t>Hệ thống quản lý quy trình nghiệp vụ có gợi ý AI: tối ưu lịch nhân sự cho dịch vụ sự kiện</t>
  </si>
  <si>
    <t>LV34-092</t>
  </si>
  <si>
    <t>Hệ thống theo dõi trạng thái thời gian thực có gợi ý AI: gợi ý gói sự kiện cho dịch vụ sự kiện</t>
  </si>
  <si>
    <t>LV34-093</t>
  </si>
  <si>
    <t>Hệ thống quản lý hợp đồng/hồ sơ có gợi ý AI: dự báo chi phí cho dịch vụ sự kiện</t>
  </si>
  <si>
    <t>LV34-094</t>
  </si>
  <si>
    <t>Hệ thống tìm kiếm và lọc nâng cao có gợi ý AI: tối ưu lịch nhân sự cho dịch vụ sự kiện</t>
  </si>
  <si>
    <t>LV34-095</t>
  </si>
  <si>
    <t>Hệ thống quản lý phản hồi/đánh giá có gợi ý AI: gợi ý gói sự kiện cho dịch vụ sự kiện</t>
  </si>
  <si>
    <t>LV34-096</t>
  </si>
  <si>
    <t>Hệ thống dashboard điều hành có gợi ý AI: dự báo chi phí cho dịch vụ sự kiện</t>
  </si>
  <si>
    <t>LV34-097</t>
  </si>
  <si>
    <t>Hệ thống quản lý đa chi nhánh có gợi ý AI: tối ưu lịch nhân sự cho dịch vụ sự kiện</t>
  </si>
  <si>
    <t>LV34-098</t>
  </si>
  <si>
    <t>Hệ thống hệ thống phân quyền vai trò có gợi ý AI: gợi ý gói sự kiện cho dịch vụ sự kiện</t>
  </si>
  <si>
    <t>LV34-099</t>
  </si>
  <si>
    <t>Hệ thống quản lý thông báo/nhắc lịch có gợi ý AI: dự báo chi phí cho dịch vụ sự kiện</t>
  </si>
  <si>
    <t>LV34-100</t>
  </si>
  <si>
    <t>Hệ thống quản lý dữ liệu và import/export có gợi ý AI: tối ưu lịch nhân sự cho dịch vụ sự kiện</t>
  </si>
  <si>
    <t>Giải trí</t>
  </si>
  <si>
    <t>LV35-001</t>
  </si>
  <si>
    <t>Hệ thống quản lý tổng thể cho dịch vụ giải trí</t>
  </si>
  <si>
    <t>Đồ án 8 tuần cho nhóm 5 SV: xây dựng Website phục vụ dịch vụ giải trí; quản lý các thực thể chính: vé, phòng, suất chiếu/sự kiện, khách hàng; có CSDL, API, giao diện người dùng, báo cáo và kiểm thử.</t>
  </si>
  <si>
    <t>Đăng nhập phân quyền, CRUD, tìm kiếm/lọc, dashboard thống kê, import/export, báo cáo PDF/Excel, kiểm thử; nghiệp vụ trọng tâm: quản lý tổng thể; AI/ML gợi ý: dự báo lượng khách.</t>
  </si>
  <si>
    <t>dự báo lượng khách</t>
  </si>
  <si>
    <t>LV35-002</t>
  </si>
  <si>
    <t>Hệ thống đặt lịch/đặt chỗ cho dịch vụ giải trí</t>
  </si>
  <si>
    <t>Đồ án 8 tuần cho nhóm 5 SV: xây dựng Mobile App phục vụ dịch vụ giải trí; quản lý các thực thể chính: vé, phòng, suất chiếu/sự kiện, khách hàng; có CSDL, API, giao diện người dùng, báo cáo và kiểm thử.</t>
  </si>
  <si>
    <t>LV35-003</t>
  </si>
  <si>
    <t>Hệ thống bán hàng và thanh toán cho dịch vụ giải trí</t>
  </si>
  <si>
    <t>Đồ án 8 tuần cho nhóm 5 SV: xây dựng Desktop App phục vụ dịch vụ giải trí; quản lý các thực thể chính: vé, phòng, suất chiếu/sự kiện, khách hàng; có CSDL, API, giao diện người dùng, báo cáo và kiểm thử.</t>
  </si>
  <si>
    <t>Đăng nhập phân quyền, CRUD, tìm kiếm/lọc, dashboard thống kê, import/export, báo cáo PDF/Excel, kiểm thử; nghiệp vụ trọng tâm: bán hàng và thanh toán; AI/ML gợi ý: gợi ý chương trình.</t>
  </si>
  <si>
    <t>gợi ý chương trình</t>
  </si>
  <si>
    <t>LV35-004</t>
  </si>
  <si>
    <t>Hệ thống quản lý khách hàng CRM cho dịch vụ giải trí</t>
  </si>
  <si>
    <t>Đồ án 8 tuần cho nhóm 5 SV: xây dựng Web + Mobile phục vụ dịch vụ giải trí; quản lý các thực thể chính: vé, phòng, suất chiếu/sự kiện, khách hàng; có CSDL, API, giao diện người dùng, báo cáo và kiểm thử.</t>
  </si>
  <si>
    <t>Đăng nhập phân quyền, CRUD, tìm kiếm/lọc, dashboard thống kê, import/export, báo cáo PDF/Excel, kiểm thử; nghiệp vụ trọng tâm: quản lý khách hàng CRM; AI/ML gợi ý: dự báo lượng khách.</t>
  </si>
  <si>
    <t>LV35-005</t>
  </si>
  <si>
    <t>Hệ thống quản lý kho/tài sản cho dịch vụ giải trí</t>
  </si>
  <si>
    <t>Đồ án 8 tuần cho nhóm 5 SV: xây dựng Web + Desktop phục vụ dịch vụ giải trí; quản lý các thực thể chính: vé, phòng, suất chiếu/sự kiện, khách hàng; có CSDL, API, giao diện người dùng, báo cáo và kiểm thử.</t>
  </si>
  <si>
    <t>LV35-006</t>
  </si>
  <si>
    <t>Hệ thống quản lý nhân sự và ca làm cho dịch vụ giải trí</t>
  </si>
  <si>
    <t>Đăng nhập phân quyền, CRUD, tìm kiếm/lọc, dashboard thống kê, import/export, báo cáo PDF/Excel, kiểm thử; nghiệp vụ trọng tâm: quản lý nhân sự và ca làm; AI/ML gợi ý: gợi ý chương trình.</t>
  </si>
  <si>
    <t>LV35-007</t>
  </si>
  <si>
    <t>Hệ thống quản lý hóa đơn/công nợ cho dịch vụ giải trí</t>
  </si>
  <si>
    <t>Đăng nhập phân quyền, CRUD, tìm kiếm/lọc, dashboard thống kê, import/export, báo cáo PDF/Excel, kiểm thử; nghiệp vụ trọng tâm: quản lý hóa đơn/công nợ; AI/ML gợi ý: dự báo lượng khách.</t>
  </si>
  <si>
    <t>LV35-008</t>
  </si>
  <si>
    <t>Hệ thống báo cáo thống kê doanh thu cho dịch vụ giải trí</t>
  </si>
  <si>
    <t>LV35-009</t>
  </si>
  <si>
    <t>Hệ thống cổng chăm sóc khách hàng cho dịch vụ giải trí</t>
  </si>
  <si>
    <t>Đăng nhập phân quyền, CRUD, tìm kiếm/lọc, dashboard thống kê, import/export, báo cáo PDF/Excel, kiểm thử; nghiệp vụ trọng tâm: cổng chăm sóc khách hàng; AI/ML gợi ý: gợi ý chương trình.</t>
  </si>
  <si>
    <t>LV35-010</t>
  </si>
  <si>
    <t>Hệ thống ứng dụng loyalty/tích điểm cho dịch vụ giải trí</t>
  </si>
  <si>
    <t>Đăng nhập phân quyền, CRUD, tìm kiếm/lọc, dashboard thống kê, import/export, báo cáo PDF/Excel, kiểm thử; nghiệp vụ trọng tâm: ứng dụng loyalty/tích điểm; AI/ML gợi ý: dự báo lượng khách.</t>
  </si>
  <si>
    <t>LV35-011</t>
  </si>
  <si>
    <t>Hệ thống quản lý quy trình nghiệp vụ cho dịch vụ giải trí</t>
  </si>
  <si>
    <t>LV35-012</t>
  </si>
  <si>
    <t>Hệ thống theo dõi trạng thái thời gian thực cho dịch vụ giải trí</t>
  </si>
  <si>
    <t>Đăng nhập phân quyền, CRUD, tìm kiếm/lọc, dashboard thống kê, import/export, báo cáo PDF/Excel, kiểm thử; nghiệp vụ trọng tâm: theo dõi trạng thái thời gian thực; AI/ML gợi ý: gợi ý chương trình.</t>
  </si>
  <si>
    <t>LV35-013</t>
  </si>
  <si>
    <t>Hệ thống quản lý hợp đồng/hồ sơ cho dịch vụ giải trí</t>
  </si>
  <si>
    <t>Đăng nhập phân quyền, CRUD, tìm kiếm/lọc, dashboard thống kê, import/export, báo cáo PDF/Excel, kiểm thử; nghiệp vụ trọng tâm: quản lý hợp đồng/hồ sơ; AI/ML gợi ý: dự báo lượng khách.</t>
  </si>
  <si>
    <t>LV35-014</t>
  </si>
  <si>
    <t>Hệ thống tìm kiếm và lọc nâng cao cho dịch vụ giải trí</t>
  </si>
  <si>
    <t>LV35-015</t>
  </si>
  <si>
    <t>Hệ thống quản lý phản hồi/đánh giá cho dịch vụ giải trí</t>
  </si>
  <si>
    <t>Đăng nhập phân quyền, CRUD, tìm kiếm/lọc, dashboard thống kê, import/export, báo cáo PDF/Excel, kiểm thử; nghiệp vụ trọng tâm: quản lý phản hồi/đánh giá; AI/ML gợi ý: gợi ý chương trình.</t>
  </si>
  <si>
    <t>LV35-016</t>
  </si>
  <si>
    <t>Hệ thống dashboard điều hành cho dịch vụ giải trí</t>
  </si>
  <si>
    <t>Đăng nhập phân quyền, CRUD, tìm kiếm/lọc, dashboard thống kê, import/export, báo cáo PDF/Excel, kiểm thử; nghiệp vụ trọng tâm: dashboard điều hành; AI/ML gợi ý: dự báo lượng khách.</t>
  </si>
  <si>
    <t>LV35-017</t>
  </si>
  <si>
    <t>Hệ thống quản lý đa chi nhánh cho dịch vụ giải trí</t>
  </si>
  <si>
    <t>LV35-018</t>
  </si>
  <si>
    <t>Hệ thống hệ thống phân quyền vai trò cho dịch vụ giải trí</t>
  </si>
  <si>
    <t>Đăng nhập phân quyền, CRUD, tìm kiếm/lọc, dashboard thống kê, import/export, báo cáo PDF/Excel, kiểm thử; nghiệp vụ trọng tâm: hệ thống phân quyền vai trò; AI/ML gợi ý: gợi ý chương trình.</t>
  </si>
  <si>
    <t>LV35-019</t>
  </si>
  <si>
    <t>Hệ thống quản lý thông báo/nhắc lịch cho dịch vụ giải trí</t>
  </si>
  <si>
    <t>Đăng nhập phân quyền, CRUD, tìm kiếm/lọc, dashboard thống kê, import/export, báo cáo PDF/Excel, kiểm thử; nghiệp vụ trọng tâm: quản lý thông báo/nhắc lịch; AI/ML gợi ý: dự báo lượng khách.</t>
  </si>
  <si>
    <t>LV35-020</t>
  </si>
  <si>
    <t>Hệ thống quản lý dữ liệu và import/export cho dịch vụ giải trí</t>
  </si>
  <si>
    <t>LV35-021</t>
  </si>
  <si>
    <t>Ứng dụng website hỗ trợ quản lý tổng thể trong giải trí</t>
  </si>
  <si>
    <t>LV35-022</t>
  </si>
  <si>
    <t>Ứng dụng mobile app hỗ trợ đặt lịch/đặt chỗ trong giải trí</t>
  </si>
  <si>
    <t>LV35-023</t>
  </si>
  <si>
    <t>Ứng dụng desktop app hỗ trợ bán hàng và thanh toán trong giải trí</t>
  </si>
  <si>
    <t>LV35-024</t>
  </si>
  <si>
    <t>Ứng dụng web + mobile hỗ trợ quản lý khách hàng CRM trong giải trí</t>
  </si>
  <si>
    <t>LV35-025</t>
  </si>
  <si>
    <t>Ứng dụng web + desktop hỗ trợ quản lý kho/tài sản trong giải trí</t>
  </si>
  <si>
    <t>LV35-026</t>
  </si>
  <si>
    <t>Ứng dụng website hỗ trợ quản lý nhân sự và ca làm trong giải trí</t>
  </si>
  <si>
    <t>LV35-027</t>
  </si>
  <si>
    <t>Ứng dụng mobile app hỗ trợ quản lý hóa đơn/công nợ trong giải trí</t>
  </si>
  <si>
    <t>LV35-028</t>
  </si>
  <si>
    <t>Ứng dụng desktop app hỗ trợ báo cáo thống kê doanh thu trong giải trí</t>
  </si>
  <si>
    <t>LV35-029</t>
  </si>
  <si>
    <t>Ứng dụng web + mobile hỗ trợ cổng chăm sóc khách hàng trong giải trí</t>
  </si>
  <si>
    <t>LV35-030</t>
  </si>
  <si>
    <t>Ứng dụng web + desktop hỗ trợ ứng dụng loyalty/tích điểm trong giải trí</t>
  </si>
  <si>
    <t>LV35-031</t>
  </si>
  <si>
    <t>Ứng dụng website hỗ trợ quản lý quy trình nghiệp vụ trong giải trí</t>
  </si>
  <si>
    <t>LV35-032</t>
  </si>
  <si>
    <t>Ứng dụng mobile app hỗ trợ theo dõi trạng thái thời gian thực trong giải trí</t>
  </si>
  <si>
    <t>LV35-033</t>
  </si>
  <si>
    <t>Ứng dụng desktop app hỗ trợ quản lý hợp đồng/hồ sơ trong giải trí</t>
  </si>
  <si>
    <t>LV35-034</t>
  </si>
  <si>
    <t>Ứng dụng web + mobile hỗ trợ tìm kiếm và lọc nâng cao trong giải trí</t>
  </si>
  <si>
    <t>LV35-035</t>
  </si>
  <si>
    <t>Ứng dụng web + desktop hỗ trợ quản lý phản hồi/đánh giá trong giải trí</t>
  </si>
  <si>
    <t>LV35-036</t>
  </si>
  <si>
    <t>Ứng dụng website hỗ trợ dashboard điều hành trong giải trí</t>
  </si>
  <si>
    <t>LV35-037</t>
  </si>
  <si>
    <t>Ứng dụng mobile app hỗ trợ quản lý đa chi nhánh trong giải trí</t>
  </si>
  <si>
    <t>LV35-038</t>
  </si>
  <si>
    <t>Ứng dụng desktop app hỗ trợ hệ thống phân quyền vai trò trong giải trí</t>
  </si>
  <si>
    <t>LV35-039</t>
  </si>
  <si>
    <t>Ứng dụng web + mobile hỗ trợ quản lý thông báo/nhắc lịch trong giải trí</t>
  </si>
  <si>
    <t>LV35-040</t>
  </si>
  <si>
    <t>Ứng dụng web + desktop hỗ trợ quản lý dữ liệu và import/export trong giải trí</t>
  </si>
  <si>
    <t>LV35-041</t>
  </si>
  <si>
    <t>Nền tảng quản lý tổng thể có phân quyền và báo cáo cho dịch vụ giải trí</t>
  </si>
  <si>
    <t>LV35-042</t>
  </si>
  <si>
    <t>Nền tảng đặt lịch/đặt chỗ có phân quyền và báo cáo cho dịch vụ giải trí</t>
  </si>
  <si>
    <t>LV35-043</t>
  </si>
  <si>
    <t>Nền tảng bán hàng và thanh toán có phân quyền và báo cáo cho dịch vụ giải trí</t>
  </si>
  <si>
    <t>LV35-044</t>
  </si>
  <si>
    <t>Nền tảng quản lý khách hàng CRM có phân quyền và báo cáo cho dịch vụ giải trí</t>
  </si>
  <si>
    <t>LV35-045</t>
  </si>
  <si>
    <t>Nền tảng quản lý kho/tài sản có phân quyền và báo cáo cho dịch vụ giải trí</t>
  </si>
  <si>
    <t>LV35-046</t>
  </si>
  <si>
    <t>Nền tảng quản lý nhân sự và ca làm có phân quyền và báo cáo cho dịch vụ giải trí</t>
  </si>
  <si>
    <t>LV35-047</t>
  </si>
  <si>
    <t>Nền tảng quản lý hóa đơn/công nợ có phân quyền và báo cáo cho dịch vụ giải trí</t>
  </si>
  <si>
    <t>LV35-048</t>
  </si>
  <si>
    <t>Nền tảng báo cáo thống kê doanh thu có phân quyền và báo cáo cho dịch vụ giải trí</t>
  </si>
  <si>
    <t>LV35-049</t>
  </si>
  <si>
    <t>Nền tảng cổng chăm sóc khách hàng có phân quyền và báo cáo cho dịch vụ giải trí</t>
  </si>
  <si>
    <t>LV35-050</t>
  </si>
  <si>
    <t>Nền tảng ứng dụng loyalty/tích điểm có phân quyền và báo cáo cho dịch vụ giải trí</t>
  </si>
  <si>
    <t>LV35-051</t>
  </si>
  <si>
    <t>Nền tảng quản lý quy trình nghiệp vụ có phân quyền và báo cáo cho dịch vụ giải trí</t>
  </si>
  <si>
    <t>LV35-052</t>
  </si>
  <si>
    <t>Nền tảng theo dõi trạng thái thời gian thực có phân quyền và báo cáo cho dịch vụ giải trí</t>
  </si>
  <si>
    <t>LV35-053</t>
  </si>
  <si>
    <t>Nền tảng quản lý hợp đồng/hồ sơ có phân quyền và báo cáo cho dịch vụ giải trí</t>
  </si>
  <si>
    <t>LV35-054</t>
  </si>
  <si>
    <t>Nền tảng tìm kiếm và lọc nâng cao có phân quyền và báo cáo cho dịch vụ giải trí</t>
  </si>
  <si>
    <t>LV35-055</t>
  </si>
  <si>
    <t>Nền tảng quản lý phản hồi/đánh giá có phân quyền và báo cáo cho dịch vụ giải trí</t>
  </si>
  <si>
    <t>LV35-056</t>
  </si>
  <si>
    <t>Nền tảng dashboard điều hành có phân quyền và báo cáo cho dịch vụ giải trí</t>
  </si>
  <si>
    <t>LV35-057</t>
  </si>
  <si>
    <t>Nền tảng quản lý đa chi nhánh có phân quyền và báo cáo cho dịch vụ giải trí</t>
  </si>
  <si>
    <t>LV35-058</t>
  </si>
  <si>
    <t>Nền tảng hệ thống phân quyền vai trò có phân quyền và báo cáo cho dịch vụ giải trí</t>
  </si>
  <si>
    <t>LV35-059</t>
  </si>
  <si>
    <t>Nền tảng quản lý thông báo/nhắc lịch có phân quyền và báo cáo cho dịch vụ giải trí</t>
  </si>
  <si>
    <t>LV35-060</t>
  </si>
  <si>
    <t>Nền tảng quản lý dữ liệu và import/export có phân quyền và báo cáo cho dịch vụ giải trí</t>
  </si>
  <si>
    <t>LV35-061</t>
  </si>
  <si>
    <t>Phần mềm quản lý tổng thể tích hợp dashboard dữ liệu cho giải trí</t>
  </si>
  <si>
    <t>LV35-062</t>
  </si>
  <si>
    <t>Phần mềm đặt lịch/đặt chỗ tích hợp dashboard dữ liệu cho giải trí</t>
  </si>
  <si>
    <t>LV35-063</t>
  </si>
  <si>
    <t>Phần mềm bán hàng và thanh toán tích hợp dashboard dữ liệu cho giải trí</t>
  </si>
  <si>
    <t>LV35-064</t>
  </si>
  <si>
    <t>Phần mềm quản lý khách hàng CRM tích hợp dashboard dữ liệu cho giải trí</t>
  </si>
  <si>
    <t>LV35-065</t>
  </si>
  <si>
    <t>Phần mềm quản lý kho/tài sản tích hợp dashboard dữ liệu cho giải trí</t>
  </si>
  <si>
    <t>LV35-066</t>
  </si>
  <si>
    <t>Phần mềm quản lý nhân sự và ca làm tích hợp dashboard dữ liệu cho giải trí</t>
  </si>
  <si>
    <t>LV35-067</t>
  </si>
  <si>
    <t>Phần mềm quản lý hóa đơn/công nợ tích hợp dashboard dữ liệu cho giải trí</t>
  </si>
  <si>
    <t>LV35-068</t>
  </si>
  <si>
    <t>Phần mềm báo cáo thống kê doanh thu tích hợp dashboard dữ liệu cho giải trí</t>
  </si>
  <si>
    <t>LV35-069</t>
  </si>
  <si>
    <t>Phần mềm cổng chăm sóc khách hàng tích hợp dashboard dữ liệu cho giải trí</t>
  </si>
  <si>
    <t>LV35-070</t>
  </si>
  <si>
    <t>Phần mềm ứng dụng loyalty/tích điểm tích hợp dashboard dữ liệu cho giải trí</t>
  </si>
  <si>
    <t>LV35-071</t>
  </si>
  <si>
    <t>Phần mềm quản lý quy trình nghiệp vụ tích hợp dashboard dữ liệu cho giải trí</t>
  </si>
  <si>
    <t>LV35-072</t>
  </si>
  <si>
    <t>Phần mềm theo dõi trạng thái thời gian thực tích hợp dashboard dữ liệu cho giải trí</t>
  </si>
  <si>
    <t>LV35-073</t>
  </si>
  <si>
    <t>Phần mềm quản lý hợp đồng/hồ sơ tích hợp dashboard dữ liệu cho giải trí</t>
  </si>
  <si>
    <t>LV35-074</t>
  </si>
  <si>
    <t>Phần mềm tìm kiếm và lọc nâng cao tích hợp dashboard dữ liệu cho giải trí</t>
  </si>
  <si>
    <t>LV35-075</t>
  </si>
  <si>
    <t>Phần mềm quản lý phản hồi/đánh giá tích hợp dashboard dữ liệu cho giải trí</t>
  </si>
  <si>
    <t>LV35-076</t>
  </si>
  <si>
    <t>Phần mềm dashboard điều hành tích hợp dashboard dữ liệu cho giải trí</t>
  </si>
  <si>
    <t>LV35-077</t>
  </si>
  <si>
    <t>Phần mềm quản lý đa chi nhánh tích hợp dashboard dữ liệu cho giải trí</t>
  </si>
  <si>
    <t>LV35-078</t>
  </si>
  <si>
    <t>Phần mềm hệ thống phân quyền vai trò tích hợp dashboard dữ liệu cho giải trí</t>
  </si>
  <si>
    <t>LV35-079</t>
  </si>
  <si>
    <t>Phần mềm quản lý thông báo/nhắc lịch tích hợp dashboard dữ liệu cho giải trí</t>
  </si>
  <si>
    <t>LV35-080</t>
  </si>
  <si>
    <t>Phần mềm quản lý dữ liệu và import/export tích hợp dashboard dữ liệu cho giải trí</t>
  </si>
  <si>
    <t>LV35-081</t>
  </si>
  <si>
    <t>Hệ thống quản lý tổng thể có gợi ý AI: dự báo lượng khách cho dịch vụ giải trí</t>
  </si>
  <si>
    <t>LV35-082</t>
  </si>
  <si>
    <t>Hệ thống đặt lịch/đặt chỗ có gợi ý AI: phân tích đánh giá cho dịch vụ giải trí</t>
  </si>
  <si>
    <t>LV35-083</t>
  </si>
  <si>
    <t>Hệ thống bán hàng và thanh toán có gợi ý AI: gợi ý chương trình cho dịch vụ giải trí</t>
  </si>
  <si>
    <t>LV35-084</t>
  </si>
  <si>
    <t>Hệ thống quản lý khách hàng CRM có gợi ý AI: dự báo lượng khách cho dịch vụ giải trí</t>
  </si>
  <si>
    <t>LV35-085</t>
  </si>
  <si>
    <t>Hệ thống quản lý kho/tài sản có gợi ý AI: phân tích đánh giá cho dịch vụ giải trí</t>
  </si>
  <si>
    <t>LV35-086</t>
  </si>
  <si>
    <t>Hệ thống quản lý nhân sự và ca làm có gợi ý AI: gợi ý chương trình cho dịch vụ giải trí</t>
  </si>
  <si>
    <t>LV35-087</t>
  </si>
  <si>
    <t>Hệ thống quản lý hóa đơn/công nợ có gợi ý AI: dự báo lượng khách cho dịch vụ giải trí</t>
  </si>
  <si>
    <t>LV35-088</t>
  </si>
  <si>
    <t>Hệ thống báo cáo thống kê doanh thu có gợi ý AI: phân tích đánh giá cho dịch vụ giải trí</t>
  </si>
  <si>
    <t>LV35-089</t>
  </si>
  <si>
    <t>Hệ thống cổng chăm sóc khách hàng có gợi ý AI: gợi ý chương trình cho dịch vụ giải trí</t>
  </si>
  <si>
    <t>LV35-090</t>
  </si>
  <si>
    <t>Hệ thống ứng dụng loyalty/tích điểm có gợi ý AI: dự báo lượng khách cho dịch vụ giải trí</t>
  </si>
  <si>
    <t>LV35-091</t>
  </si>
  <si>
    <t>Hệ thống quản lý quy trình nghiệp vụ có gợi ý AI: phân tích đánh giá cho dịch vụ giải trí</t>
  </si>
  <si>
    <t>LV35-092</t>
  </si>
  <si>
    <t>Hệ thống theo dõi trạng thái thời gian thực có gợi ý AI: gợi ý chương trình cho dịch vụ giải trí</t>
  </si>
  <si>
    <t>LV35-093</t>
  </si>
  <si>
    <t>Hệ thống quản lý hợp đồng/hồ sơ có gợi ý AI: dự báo lượng khách cho dịch vụ giải trí</t>
  </si>
  <si>
    <t>LV35-094</t>
  </si>
  <si>
    <t>Hệ thống tìm kiếm và lọc nâng cao có gợi ý AI: phân tích đánh giá cho dịch vụ giải trí</t>
  </si>
  <si>
    <t>LV35-095</t>
  </si>
  <si>
    <t>Hệ thống quản lý phản hồi/đánh giá có gợi ý AI: gợi ý chương trình cho dịch vụ giải trí</t>
  </si>
  <si>
    <t>LV35-096</t>
  </si>
  <si>
    <t>Hệ thống dashboard điều hành có gợi ý AI: dự báo lượng khách cho dịch vụ giải trí</t>
  </si>
  <si>
    <t>LV35-097</t>
  </si>
  <si>
    <t>Hệ thống quản lý đa chi nhánh có gợi ý AI: phân tích đánh giá cho dịch vụ giải trí</t>
  </si>
  <si>
    <t>LV35-098</t>
  </si>
  <si>
    <t>Hệ thống hệ thống phân quyền vai trò có gợi ý AI: gợi ý chương trình cho dịch vụ giải trí</t>
  </si>
  <si>
    <t>LV35-099</t>
  </si>
  <si>
    <t>Hệ thống quản lý thông báo/nhắc lịch có gợi ý AI: dự báo lượng khách cho dịch vụ giải trí</t>
  </si>
  <si>
    <t>LV35-100</t>
  </si>
  <si>
    <t>Hệ thống quản lý dữ liệu và import/export có gợi ý AI: phân tích đánh giá cho dịch vụ giải trí</t>
  </si>
  <si>
    <t>BẢNG TỔNG HỢP 35 LĨNH VỰC × 100 ĐỀ TÀI = 3.500 ĐỀ TÀI</t>
  </si>
  <si>
    <t>THÔNG TIN TRIỂN KHAI ĐỒ ÁN 8 TUẦN</t>
  </si>
  <si>
    <t>Bắt đầu</t>
  </si>
  <si>
    <t>07.09.2026</t>
  </si>
  <si>
    <t>Kết thúc</t>
  </si>
  <si>
    <t>01.11.2026</t>
  </si>
  <si>
    <t>Số đề tài</t>
  </si>
  <si>
    <t>Ghi chú triển khai</t>
  </si>
  <si>
    <t>Sản phẩm tối thiểu</t>
  </si>
  <si>
    <t>Số tuần</t>
  </si>
  <si>
    <t>Số buổi</t>
  </si>
  <si>
    <t>Phù hợp triển khai Web/Mobile/Desktop cho cửa hàng bán lẻ</t>
  </si>
  <si>
    <t>Frontend, Backend/API, Database, phân quyền, thống kê, báo cáo, kiểm thử</t>
  </si>
  <si>
    <t>Quy mô nhóm</t>
  </si>
  <si>
    <t>Tổng đề tài</t>
  </si>
  <si>
    <t>Phù hợp triển khai Web/Mobile/Desktop cho siêu thị mini</t>
  </si>
  <si>
    <t>Còn trống</t>
  </si>
  <si>
    <t>Đã đăng ký</t>
  </si>
  <si>
    <t>Phù hợp triển khai Web/Mobile/Desktop cho nhà thuốc</t>
  </si>
  <si>
    <t>Chọn đề tài</t>
  </si>
  <si>
    <t>Nhập tên/mã nhóm tại cột O của sheet Tat ca de tai; trạng thái cập nhật tự động.</t>
  </si>
  <si>
    <t>Phù hợp triển khai Web/Mobile/Desktop cho phòng khám</t>
  </si>
  <si>
    <t>Nguyên tắc</t>
  </si>
  <si>
    <t>Mỗi nhóm 01 đề tài, không trùng trong lớp, GV duyệt phạm vi trước khi triển khai.</t>
  </si>
  <si>
    <t>Phù hợp triển khai Web/Mobile/Desktop cho bệnh viện</t>
  </si>
  <si>
    <t>Mốc giữa kỳ</t>
  </si>
  <si>
    <t>04.10.2026 - demo &gt;=50% và thuyết trình nhóm</t>
  </si>
  <si>
    <t>Phù hợp triển khai Web/Mobile/Desktop cho phòng khám nha khoa</t>
  </si>
  <si>
    <t>Bảo vệ</t>
  </si>
  <si>
    <t>26.10–01.11.2026 theo lịch giảng viên</t>
  </si>
  <si>
    <t>Phù hợp triển khai Web/Mobile/Desktop cho spa</t>
  </si>
  <si>
    <t>Phù hợp triển khai Web/Mobile/Desktop cho phòng gym/yoga</t>
  </si>
  <si>
    <t>KIỂM TRA HOÀN THIỆN DỮ LIỆU</t>
  </si>
  <si>
    <t>Giá trị</t>
  </si>
  <si>
    <t>Kỳ vọng</t>
  </si>
  <si>
    <t>Kết quả</t>
  </si>
  <si>
    <t>Phù hợp triển khai Web/Mobile/Desktop cho nhà hàng</t>
  </si>
  <si>
    <t>Tổng dòng đề tài</t>
  </si>
  <si>
    <t>Phù hợp triển khai Web/Mobile/Desktop cho quán cà phê</t>
  </si>
  <si>
    <t>Trống phân công vai trò</t>
  </si>
  <si>
    <t>Phù hợp triển khai Web/Mobile/Desktop cho dịch vụ giao đồ ăn</t>
  </si>
  <si>
    <t>Trống phạm vi MVP</t>
  </si>
  <si>
    <t>Phù hợp triển khai Web/Mobile/Desktop cho khách sạn</t>
  </si>
  <si>
    <t>Trống hồ sơ QLDA</t>
  </si>
  <si>
    <t>Phù hợp triển khai Web/Mobile/Desktop cho công ty du lịch</t>
  </si>
  <si>
    <t>Trống mốc nghiệm thu</t>
  </si>
  <si>
    <t>Phù hợp triển khai Web/Mobile/Desktop cho hãng xe</t>
  </si>
  <si>
    <t>Trống điều kiện đạt</t>
  </si>
  <si>
    <t>Phù hợp triển khai Web/Mobile/Desktop cho dịch vụ đặt xe</t>
  </si>
  <si>
    <t>Trống trạng thái</t>
  </si>
  <si>
    <t>Phù hợp triển khai Web/Mobile/Desktop cho doanh nghiệp logistics</t>
  </si>
  <si>
    <t>Lỗi công thức H:P</t>
  </si>
  <si>
    <t>Phù hợp triển khai Web/Mobile/Desktop cho kho hàng</t>
  </si>
  <si>
    <t>Tổng trạng thái đăng ký</t>
  </si>
  <si>
    <t>Phù hợp triển khai Web/Mobile/Desktop cho sàn bất động sản</t>
  </si>
  <si>
    <t>Phù hợp triển khai Web/Mobile/Desktop cho công ty xây dựng</t>
  </si>
  <si>
    <t>Phù hợp triển khai Web/Mobile/Desktop cho nền tảng giáo dục</t>
  </si>
  <si>
    <t>Phù hợp triển khai Web/Mobile/Desktop cho trung tâm ngoại ngữ</t>
  </si>
  <si>
    <t>Phù hợp triển khai Web/Mobile/Desktop cho trường học</t>
  </si>
  <si>
    <t>Phù hợp triển khai Web/Mobile/Desktop cho thư viện</t>
  </si>
  <si>
    <t>Phù hợp triển khai Web/Mobile/Desktop cho nền tảng tuyển dụng</t>
  </si>
  <si>
    <t>Phù hợp triển khai Web/Mobile/Desktop cho phòng nhân sự</t>
  </si>
  <si>
    <t>Phù hợp triển khai Web/Mobile/Desktop cho bộ phận kế toán</t>
  </si>
  <si>
    <t>Phù hợp triển khai Web/Mobile/Desktop cho dịch vụ tài chính</t>
  </si>
  <si>
    <t>Phù hợp triển khai Web/Mobile/Desktop cho công ty bảo hiểm</t>
  </si>
  <si>
    <t>Phù hợp triển khai Web/Mobile/Desktop cho trang trại trồng trọt</t>
  </si>
  <si>
    <t>Phù hợp triển khai Web/Mobile/Desktop cho trại nuôi thủy sản</t>
  </si>
  <si>
    <t>Phù hợp triển khai Web/Mobile/Desktop cho trang trại chăn nuôi</t>
  </si>
  <si>
    <t>Phù hợp triển khai Web/Mobile/Desktop cho nhà máy sản xuất</t>
  </si>
  <si>
    <t>Phù hợp triển khai Web/Mobile/Desktop cho cửa hàng sửa chữa</t>
  </si>
  <si>
    <t>Phù hợp triển khai Web/Mobile/Desktop cho dịch vụ sự kiện</t>
  </si>
  <si>
    <t>Phù hợp triển khai Web/Mobile/Desktop cho dịch vụ giải trí</t>
  </si>
  <si>
    <t>HƯỚNG DẪN VÀ YÊU CẦU ĐỒ ÁN QUẢN LÝ DỰ ÁN CNTT - 8 TUẦN</t>
  </si>
  <si>
    <t>Học phần</t>
  </si>
  <si>
    <t>MAN104 - Quản lý dự án công nghệ thông tin</t>
  </si>
  <si>
    <t>Thời gian</t>
  </si>
  <si>
    <t>07.09.2026 - 01.11.2026</t>
  </si>
  <si>
    <t>Quy mô</t>
  </si>
  <si>
    <t>Nhóm 5 SV; 8 tuần; 9 buổi</t>
  </si>
  <si>
    <t>Đối tượng</t>
  </si>
  <si>
    <t>SV năm 4 ngành CNTT, chuyên ngành Công nghệ phần mềm</t>
  </si>
  <si>
    <t>Căn cứ</t>
  </si>
  <si>
    <t>CLO2-CLO3; phạm vi, thời gian, chi phí, chất lượng, nhân sự, truyền thông, rủi ro, mua sắm, tích hợp</t>
  </si>
  <si>
    <t>Đánh giá</t>
  </si>
  <si>
    <t>Quá trình 50%; vấn đáp đồ án cuối kỳ 50%</t>
  </si>
  <si>
    <t>1. ĐIỀU KIỆN CHỌN VÀ GIỚI HẠN ĐỀ TÀI</t>
  </si>
  <si>
    <t>Mỗi nhóm chọn 01 mã đề tài trong danh sách 3.500 đề tài; không trùng trong cùng lớp; chỉ được triển khai sau khi giảng viên duyệt phạm vi.</t>
  </si>
  <si>
    <t>Phiếu đăng ký: mã đề tài, tên nhóm, 5 thành viên, vai trò chính, công nghệ dự kiến</t>
  </si>
  <si>
    <t>Tuần 1</t>
  </si>
  <si>
    <t>PM + BA/PO</t>
  </si>
  <si>
    <t>GV duyệt: phù hợp 8 tuần và có dữ liệu/nghiệp vụ khả thi</t>
  </si>
  <si>
    <t>Giới hạn phạm vi</t>
  </si>
  <si>
    <t>Ưu tiên MVP hoàn chỉnh thay vì nhiều chức năng dở dang. Chọn 2-4 quy trình nghiệp vụ lõi, có đầu vào, xử lý, trạng thái và đầu ra rõ ràng.</t>
  </si>
  <si>
    <t>Scope statement; in-scope/out-of-scope; tiêu chí chấp nhận; WBS</t>
  </si>
  <si>
    <t>Cả nhóm</t>
  </si>
  <si>
    <t>Không chọn phạm vi cấp quốc gia, lõi ngân hàng, bệnh án thật hoặc dữ liệu nhạy cảm chưa ẩn danh</t>
  </si>
  <si>
    <t>Mức Trung bình</t>
  </si>
  <si>
    <t>Tối thiểu 3 actor; 8-10 use case; 6-8 bảng dữ liệu; 2 quy trình lõi; đăng nhập/RBAC; 1 dashboard; 1 báo cáo; &gt;=25 test case; triển khai bản demo.</t>
  </si>
  <si>
    <t>SRS, ERD, prototype, source, test report, URL demo</t>
  </si>
  <si>
    <t>Tuần 8</t>
  </si>
  <si>
    <t>Phù hợp nhóm kỹ năng trung bình; ưu tiên chất lượng và hoàn thiện</t>
  </si>
  <si>
    <t>Mức Khá</t>
  </si>
  <si>
    <t>Tối thiểu 4 actor; 10-14 use case; 8-12 bảng; 3 quy trình lõi; phân quyền chi tiết; 2 báo cáo; tích hợp 1 dịch vụ; &gt;=35 test case; CI/CD hoặc deploy cloud.</t>
  </si>
  <si>
    <t>SRS, ERD, API spec, source, test report, URL demo</t>
  </si>
  <si>
    <t>Có xử lý ngoại lệ, nhật ký thao tác và dữ liệu mẫu hợp lý</t>
  </si>
  <si>
    <t>Mức Khó</t>
  </si>
  <si>
    <t>Tối thiểu 5 actor; 14-18 use case; 10-15 bảng; 4 quy trình; tích hợp ngoài/realtime hoặc xử lý nâng cao; 3 báo cáo; &gt;=45 test case; logging, backup và deploy.</t>
  </si>
  <si>
    <t>Hồ sơ kiến trúc, API/integration, source, test và vận hành</t>
  </si>
  <si>
    <t>Chỉ chọn khi nhóm chứng minh năng lực và kế hoạch giảm rủi ro</t>
  </si>
  <si>
    <t>Sản phẩm lõi</t>
  </si>
  <si>
    <t>Bắt buộc có Frontend, Backend/API, Database, xác thực, phân quyền, CRUD có kiểm tra dữ liệu, tìm kiếm/lọc, dashboard/báo cáo, kiểm thử và triển khai demo.</t>
  </si>
  <si>
    <t>Bản chạy được với dữ liệu mẫu; tài khoản demo theo vai trò</t>
  </si>
  <si>
    <t>Tuần 7-8</t>
  </si>
  <si>
    <t>Dev team</t>
  </si>
  <si>
    <t>Không chấp nhận chỉ làm giao diện, prototype hoặc notebook rời rạc</t>
  </si>
  <si>
    <t>AI/ML mở rộng</t>
  </si>
  <si>
    <t>Chỉ là điểm cộng sau khi MVP đạt. Phải mô tả dữ liệu, cách đánh giá, giới hạn và không dùng AI để thay thế toàn bộ phân tích/thiết kế của nhóm.</t>
  </si>
  <si>
    <t>Dataset mẫu; mô tả mô hình; metric; màn hình tích hợp</t>
  </si>
  <si>
    <t>Thành viên phụ trách</t>
  </si>
  <si>
    <t>Ứng dụng phù hợp nghiệp vụ, có giải thích kết quả</t>
  </si>
  <si>
    <t>2. PHÂN CÔNG NHÓM 5 SINH VIÊN</t>
  </si>
  <si>
    <t>Mô hình vai trò</t>
  </si>
  <si>
    <t>5 SV (vai trò chính): 1 PM/Scrum Master kiêm Integration; 2 BA/PO; 3 UI-UX + Frontend; 4 Backend/API + DevOps; 5 Database + QA/Tester. Mỗi SV có nhiệm vụ phụ và minh chứng cá nhân.</t>
  </si>
  <si>
    <t>RACI; backlog theo người; Git commits; issue/ticket; timesheet; biên bản họp</t>
  </si>
  <si>
    <t>Tuần 1-8</t>
  </si>
  <si>
    <t>PM quản lý</t>
  </si>
  <si>
    <t>Không có thành viên chỉ đứng tên hoặc chỉ làm slide</t>
  </si>
  <si>
    <t>SV1</t>
  </si>
  <si>
    <t>PM/Scrum Master + Integration: lập kế hoạch, WBS/Gantt, theo dõi tiến độ/chi phí, quản lý thay đổi, tích hợp và báo cáo tuần.</t>
  </si>
  <si>
    <t>Project plan; status report; change log; release checklist</t>
  </si>
  <si>
    <t>Hàng tuần</t>
  </si>
  <si>
    <t>Duy trì baseline và xử lý chênh lệch</t>
  </si>
  <si>
    <t>SV2</t>
  </si>
  <si>
    <t>BA/PO: khảo sát, stakeholder, yêu cầu, user story/use case, acceptance criteria, ưu tiên backlog và nghiệm thu nghiệp vụ.</t>
  </si>
  <si>
    <t>SRS; backlog; use case; biên bản xác nhận yêu cầu</t>
  </si>
  <si>
    <t>Yêu cầu truy vết được đến chức năng và test case</t>
  </si>
  <si>
    <t>SV3</t>
  </si>
  <si>
    <t>UI/UX + Frontend: user flow, wireframe/prototype, design system, giao diện responsive và tích hợp API phía người dùng.</t>
  </si>
  <si>
    <t>Prototype; source frontend; UI checklist</t>
  </si>
  <si>
    <t>Tuần 2-7</t>
  </si>
  <si>
    <t>Giao diện nhất quán, dễ dùng, xử lý lỗi và trạng thái</t>
  </si>
  <si>
    <t>SV4</t>
  </si>
  <si>
    <t>Backend/API + DevOps: kiến trúc, API, xác thực/phân quyền, business logic, CI/CD, môi trường và triển khai.</t>
  </si>
  <si>
    <t>API spec; source backend; pipeline/deploy guide</t>
  </si>
  <si>
    <t>Tuần 2-8</t>
  </si>
  <si>
    <t>API có validation, error handling, security cơ bản</t>
  </si>
  <si>
    <t>SV5</t>
  </si>
  <si>
    <t>Database + QA/Tester: mô hình dữ liệu, migration/seed, truy vấn/báo cáo, test plan, test case, defect log và kiểm thử hồi quy.</t>
  </si>
  <si>
    <t>ERD; data dictionary; test report; defect log</t>
  </si>
  <si>
    <t>CSDL chuẩn hóa hợp lý; test bao phủ yêu cầu lõi</t>
  </si>
  <si>
    <t>3. HỒ SƠ QUẢN LÝ DỰ ÁN BẮT BUỘC</t>
  </si>
  <si>
    <t>Tích hợp dự án</t>
  </si>
  <si>
    <t>Project Charter; mục tiêu SMART; Project Management Plan; baseline; change request/log; biên bản đóng dự án và lessons learned.</t>
  </si>
  <si>
    <t>01 bộ hồ sơ tích hợp có phiên bản</t>
  </si>
  <si>
    <t>PM</t>
  </si>
  <si>
    <t>Mọi thay đổi phạm vi/tiến độ phải có lý do, tác động và quyết định</t>
  </si>
  <si>
    <t>Quản lý phạm vi</t>
  </si>
  <si>
    <t>Stakeholder needs, SRS/user story, scope statement, in/out scope, WBS, WBS dictionary, requirement traceability và nghiệm thu.</t>
  </si>
  <si>
    <t>SRS + WBS + ma trận truy vết</t>
  </si>
  <si>
    <t>Tuần 1-2</t>
  </si>
  <si>
    <t>BA/PO + PM</t>
  </si>
  <si>
    <t>100% yêu cầu ưu tiên cao có acceptance criteria</t>
  </si>
  <si>
    <t>Quản lý thời gian</t>
  </si>
  <si>
    <t>Danh sách công việc, phụ thuộc, ước lượng, Gantt/PERT, critical path, milestone, baseline và cập nhật planned-versus-actual mỗi tuần.</t>
  </si>
  <si>
    <t>Gantt có người phụ trách, ngày bắt đầu/kết thúc, % hoàn thành</t>
  </si>
  <si>
    <t>Không để công việc quá 5 ngày mà không có đầu ra kiểm chứng</t>
  </si>
  <si>
    <t>Quản lý chi phí</t>
  </si>
  <si>
    <t>Ước lượng effort theo giờ/người; đơn giá giả định; chi phí cloud, domain, công cụ, thiết bị; budget baseline; actual cost và variance.</t>
  </si>
  <si>
    <t>Cost estimate + budget + bảng theo dõi chênh lệch</t>
  </si>
  <si>
    <t>Nêu rõ giả định; kể cả công cụ miễn phí vẫn ghi chi phí 0 và nguồn</t>
  </si>
  <si>
    <t>Quản lý chất lượng</t>
  </si>
  <si>
    <t>Quality plan, Definition of Done, coding convention, review checklist, test strategy, tiêu chí hiệu năng/bảo mật cơ bản, defect và corrective action.</t>
  </si>
  <si>
    <t>Quality plan + test plan + defect log</t>
  </si>
  <si>
    <t>QA + cả nhóm</t>
  </si>
  <si>
    <t>Không còn lỗi Critical/High chưa xử lý khi bảo vệ</t>
  </si>
  <si>
    <t>Quản lý nhân sự</t>
  </si>
  <si>
    <t>RACI, kỹ năng/năng lực, capacity, phân bổ công việc, timesheet, peer review, kế hoạch thay thế và xử lý xung đột.</t>
  </si>
  <si>
    <t>RACI + workload/timesheet + đánh giá chéo</t>
  </si>
  <si>
    <t>Khối lượng hợp lý; mỗi thành viên có đầu ra độc lập</t>
  </si>
  <si>
    <t>Quản lý truyền thông</t>
  </si>
  <si>
    <t>Stakeholder register, communication matrix, lịch họp, kênh trao đổi, weekly status, meeting minutes, quyết định và escalation.</t>
  </si>
  <si>
    <t>Biên bản họp hàng tuần + status report</t>
  </si>
  <si>
    <t>PM/Thư ký luân phiên</t>
  </si>
  <si>
    <t>Ít nhất 01 cuộc họp nhóm/tuần; quyết định quan trọng được ghi nhận</t>
  </si>
  <si>
    <t>Quản lý rủi ro</t>
  </si>
  <si>
    <t>Risk register tối thiểu 10 rủi ro; xác suất, tác động, điểm P×I, owner, trigger, response, contingency và cập nhật trạng thái.</t>
  </si>
  <si>
    <t>Risk matrix + risk register</t>
  </si>
  <si>
    <t>PM + owner</t>
  </si>
  <si>
    <t>Có rủi ro kỹ thuật, yêu cầu, tiến độ, nhân sự, dữ liệu và triển khai</t>
  </si>
  <si>
    <t>Quản lý mua sắm</t>
  </si>
  <si>
    <t>Make-or-buy; danh sách cloud/API/domain/license/thiết bị; tiêu chí chọn nhà cung cấp; ngân sách; điều khoản sử dụng và phương án thay thế.</t>
  </si>
  <si>
    <t>Procurement plan; supplier/tool evaluation</t>
  </si>
  <si>
    <t>Tuần 3-6</t>
  </si>
  <si>
    <t>PM + DevOps</t>
  </si>
  <si>
    <t>Nếu không mua vẫn phải phân tích quyết định dùng giải pháp miễn phí/mã nguồn mở</t>
  </si>
  <si>
    <t>Giám sát và kiểm soát</t>
  </si>
  <si>
    <t>Backlog/board, planned vs actual, milestone review, KPI tiến độ/chất lượng, issue log, change control và hành động khắc phục.</t>
  </si>
  <si>
    <t>Ảnh/export board + báo cáo tuần + issue/change log</t>
  </si>
  <si>
    <t>PM + cả nhóm</t>
  </si>
  <si>
    <t>Báo cáo trung thực; chênh lệch phải có nguyên nhân và kế hoạch xử lý</t>
  </si>
  <si>
    <t>Tóm tắt hồ sơ</t>
  </si>
  <si>
    <t>Bắt buộc: Charter/PMP; SRS + scope/WBS; Gantt/baseline; effort-cost budget; RACI/timesheet; quality-test-defect; communication/minutes; risk register; procurement; change log; closure/lessons learned.</t>
  </si>
  <si>
    <t>Nộp chung trong thư mục /docs của repository</t>
  </si>
  <si>
    <t>Hồ sơ có phiên bản, ngày cập nhật và người chịu trách nhiệm</t>
  </si>
  <si>
    <t>4. TIẾN ĐỘ 8 TUẦN - 9 BUỔI</t>
  </si>
  <si>
    <t>Mốc chung</t>
  </si>
  <si>
    <t>Tuần 1: 07.09–13.09.2026; Tuần 2: 14.09–20.09.2026; Tuần 3: 21.09–27.09.2026; Tuần 4: 28.09–04.10.2026; Tuần 5: 05.10–11.10.2026; Tuần 6: 12.10–18.10.2026; Tuần 7: 19.10–25.10.2026; Tuần 8: 26.10–01.11.2026.</t>
  </si>
  <si>
    <t>Buổi 1-8: hướng dẫn/kiểm tra theo tuần; Buổi 9: bảo vệ cuối kỳ trong Tuần 8 theo lịch GV</t>
  </si>
  <si>
    <t>07.09-01.11.2026</t>
  </si>
  <si>
    <t>GV + các nhóm</t>
  </si>
  <si>
    <t>Nộp đúng mốc; trễ phải có change request được duyệt</t>
  </si>
  <si>
    <t>NỘI DUNG THẢO LUẬN / BÀI ĐĂNG NHÓM</t>
  </si>
  <si>
    <t>Tuần 1 / Buổi 1</t>
  </si>
  <si>
    <t>Khởi động, chọn đề tài, khảo sát, Charter, stakeholder, phân vai, scope và backlog ban đầu.</t>
  </si>
  <si>
    <t>Phiếu đăng ký + Charter + RACI + backlog</t>
  </si>
  <si>
    <t>13.09.2026</t>
  </si>
  <si>
    <t>PM/BA</t>
  </si>
  <si>
    <t>Gate 1: đề tài và phạm vi được GV duyệt</t>
  </si>
  <si>
    <t>THẢO LUẬN NHÓM – BUỔI 1: KHỞI ĐỘNG DỰ ÁN
Mỗi nhóm tạo 01 bài đăng trước 23:59 ngày 13.09.2026, gồm:
1. Mã và tên đề tài; vấn đề cần giải quyết; đối tượng sử dụng chính.
2. Danh sách 5 thành viên, nhóm trưởng và vai trò dự kiến của từng SV.
3. Mục tiêu SMART; 2–4 quy trình nghiệp vụ lõi; phạm vi trong và ngoài dự án.
4. Công nghệ dự kiến, nguồn dữ liệu, khó khăn và rủi ro ban đầu.
5. Kế hoạch công việc Tuần 1 và liên kết thư mục/repository của nhóm.
Minh chứng đính kèm: Phiếu đăng ký đề tài, Project Charter v0.1, RACI và backlog ban đầu.
Yêu cầu tương tác: mỗi thành viên phản hồi ít nhất 01 ý kiến trong bài nhóm; nhóm góp ý cho ít nhất 01 nhóm khác. GV phản hồi và duyệt đề tài/phạm vi trực tiếp trên bài đăng.</t>
  </si>
  <si>
    <t>Tuần 2 / Buổi 2</t>
  </si>
  <si>
    <t>Hoàn tất SRS, use case/user story, WBS, Gantt baseline, effort/cost, risk register v1, UI flow và ERD v1.</t>
  </si>
  <si>
    <t>SRS v1 + WBS/Gantt + budget + risk v1 + prototype/ERD</t>
  </si>
  <si>
    <t>20.09.2026</t>
  </si>
  <si>
    <t>Gate 2: kế hoạch khả thi và truy vết yêu cầu</t>
  </si>
  <si>
    <t>THẢO LUẬN NHÓM – BUỔI 2: PHẠM VI VÀ KẾ HOẠCH
Nhóm trình bày vấn đề, stakeholder, mục tiêu SMART, phạm vi in-scope/out-of-scope và 8–14 use case/user story ưu tiên.
Đính kèm: SRS v1, WBS, Gantt baseline, dự toán effort/chi phí, Risk Register v1, UI flow và ERD v1.
Câu hỏi phản biện: Phạm vi nào có nguy cơ vượt quá 8 tuần? Nhóm sẽ cắt giảm chức năng nào trước?</t>
  </si>
  <si>
    <t>Tuần 3 / Buổi 3</t>
  </si>
  <si>
    <t>Kiến trúc, database, API contract, môi trường, đăng nhập/RBAC và CRUD lõi; procurement decision.</t>
  </si>
  <si>
    <t>Architecture/API spec + schema + demo increment 1</t>
  </si>
  <si>
    <t>27.09.2026</t>
  </si>
  <si>
    <t>Demo được luồng đăng nhập và dữ liệu lõi</t>
  </si>
  <si>
    <t>THẢO LUẬN NHÓM – BUỔI 3: KIẾN TRÚC VÀ TRIỂN KHAI LÕI
Nhóm mô tả kiến trúc hệ thống, công nghệ, mô hình dữ liệu, API contract, xác thực/phân quyền và quy trình nghiệp vụ lõi đầu tiên.
Đính kèm: sơ đồ kiến trúc, ERD/schema, API spec, ảnh/video demo đăng nhập và CRUD lõi.
Câu hỏi phản biện: Quyết định kỹ thuật nào có rủi ro cao nhất và phương án thay thế là gì?</t>
  </si>
  <si>
    <t>Tuần 4 / Buổi 4</t>
  </si>
  <si>
    <t>Hoàn thiện 40-50% nghiệp vụ; cập nhật tiến độ, chi phí, rủi ro; test sớm; thuyết trình giữa kỳ.</t>
  </si>
  <si>
    <t>Demo increment 2 + status report + slide giữa kỳ</t>
  </si>
  <si>
    <t>04.10.2026</t>
  </si>
  <si>
    <t>Mốc &gt;=50% kế hoạch; bài nhóm thuyết trình 10%</t>
  </si>
  <si>
    <t>THẢO LUẬN NHÓM – BUỔI 4: BÁO CÁO GIỮA KỲ
Nhóm báo cáo mức độ hoàn thành so với baseline, chức năng đã demo, tiến độ từng thành viên, chi phí thực tế, lỗi và rủi ro hiện tại.
Đính kèm: demo increment 2, status report, Gantt planned-versus-actual và slide giữa kỳ.
Yêu cầu: nêu rõ nguyên nhân chênh lệch và hành động để đạt tối thiểu 50% kế hoạch.</t>
  </si>
  <si>
    <t>Tuần 5 / Buổi 5</t>
  </si>
  <si>
    <t>Hoàn thiện 70% nghiệp vụ, báo cáo/dashboard, tích hợp dịch vụ; quality review và change control.</t>
  </si>
  <si>
    <t>Demo increment 3 + quality report + change log</t>
  </si>
  <si>
    <t>11.10.2026</t>
  </si>
  <si>
    <t>Các thay đổi đã được đánh giá tác động</t>
  </si>
  <si>
    <t>THẢO LUẬN NHÓM – BUỔI 5: CHẤT LƯỢNG VÀ THAY ĐỔI
Nhóm cập nhật tiến độ 70%, dashboard/báo cáo, tích hợp dịch vụ và các yêu cầu thay đổi phát sinh.
Đính kèm: demo increment 3, quality checklist, change log, test case mẫu và kết quả review.
Câu hỏi phản biện: Thay đổi nào nên chấp nhận hoặc từ chối dựa trên tác động phạm vi, thời gian và chất lượng?</t>
  </si>
  <si>
    <t>Tuần 6 / Buổi 6</t>
  </si>
  <si>
    <t>Feature complete; unit/integration/system test; sửa lỗi; kiểm tra bảo mật/hiệu năng cơ bản; cập nhật tài liệu.</t>
  </si>
  <si>
    <t>Release candidate 1 + test/defect report</t>
  </si>
  <si>
    <t>18.10.2026</t>
  </si>
  <si>
    <t>QA + Dev</t>
  </si>
  <si>
    <t>100% chức năng ưu tiên cao đã code; không còn lỗi Critical</t>
  </si>
  <si>
    <t>THẢO LUẬN NHÓM – BUỔI 6: KIỂM THỬ VÀ QUẢN LÝ LỖI
Nhóm báo cáo trạng thái feature complete, phạm vi unit/integration/system test, số lượng test pass/fail và lỗi theo mức độ.
Đính kèm: Release Candidate 1, test report, defect log và bằng chứng sửa lỗi.
Yêu cầu: phân công owner, thời hạn xử lý và không để lỗi Critical chưa có phương án.</t>
  </si>
  <si>
    <t>Tuần 7 / Buổi 7</t>
  </si>
  <si>
    <t>UAT, regression, deploy demo, dữ liệu mẫu, backup/restore, tối ưu UX; chốt báo cáo và video.</t>
  </si>
  <si>
    <t>Release candidate 2 + URL demo + UAT + draft report</t>
  </si>
  <si>
    <t>25.10.2026</t>
  </si>
  <si>
    <t>Gate 3: sẵn sàng bảo vệ</t>
  </si>
  <si>
    <t>THẢO LUẬN NHÓM – BUỔI 7: UAT VÀ SẴN SÀNG BẢO VỆ
Nhóm trình bày kết quả UAT, regression, deploy demo, dữ liệu mẫu, tài khoản theo vai trò, backup/restore và tình trạng tài liệu.
Đính kèm: URL demo, Release Candidate 2, UAT report, draft báo cáo và kịch bản demo.
Câu hỏi phản biện: Nếu hệ thống lỗi khi bảo vệ, nhóm có phương án dự phòng nào?</t>
  </si>
  <si>
    <t>Tuần 8 / Buổi 8-9</t>
  </si>
  <si>
    <t>Đóng dự án; nộp đủ hồ sơ/source; demo; trình bày; phản biện/vấn đáp cá nhân; lessons learned.</t>
  </si>
  <si>
    <t>Final release + hồ sơ + slide + video + biên bản đóng dự án</t>
  </si>
  <si>
    <t>26.10-01.11.2026</t>
  </si>
  <si>
    <t>Mỗi SV trả lời phần việc và kiến thức quản lý dự án</t>
  </si>
  <si>
    <t>THẢO LUẬN NHÓM – BUỔI 8–9: ĐÓNG DỰ ÁN VÀ BẢO VỆ
Nhóm tổng kết kết quả so với mục tiêu, phạm vi baseline, tiến độ, chi phí, chất lượng, rủi ro, đóng góp từng thành viên và lessons learned.
Đính kèm: Final release, repository, hồ sơ /docs, báo cáo, slide, video, biên bản đóng dự án và minh chứng cá nhân.
Mỗi SV đăng phần việc chính, liên kết commit/ticket và 2 bài học rút ra; chuẩn bị trả lời vấn đáp cá nhân.</t>
  </si>
  <si>
    <t>5. SẢN PHẨM NỘP CUỐI KỲ</t>
  </si>
  <si>
    <t>Repository</t>
  </si>
  <si>
    <t>GitHub/GitLab có README, hướng dẫn cài đặt, cấu trúc nhánh, issue/milestone và lịch sử commit của từng thành viên.</t>
  </si>
  <si>
    <t>URL repository và bản source đóng gói</t>
  </si>
  <si>
    <t>Trước bảo vệ</t>
  </si>
  <si>
    <t>PM/DevOps</t>
  </si>
  <si>
    <t>GV truy cập được; không nộp source mất lịch sử</t>
  </si>
  <si>
    <t>Sản phẩm chạy</t>
  </si>
  <si>
    <t>Ứng dụng đã deploy hoặc cài được; có dữ liệu mẫu và tài khoản theo vai trò; không phụ thuộc máy cá nhân duy nhất.</t>
  </si>
  <si>
    <t>URL/bộ cài + tài khoản demo</t>
  </si>
  <si>
    <t>Demo end-to-end các quy trình lõi</t>
  </si>
  <si>
    <t>Tài liệu phân tích</t>
  </si>
  <si>
    <t>SRS, stakeholder, scope, use case/user story, acceptance criteria, RTM, WBS và UI prototype.</t>
  </si>
  <si>
    <t>PDF + file nguồn</t>
  </si>
  <si>
    <t>BA/UIUX</t>
  </si>
  <si>
    <t>Khớp với phiên bản phần mềm cuối</t>
  </si>
  <si>
    <t>Tài liệu thiết kế</t>
  </si>
  <si>
    <t>Kiến trúc, ERD, data dictionary, API spec, deployment diagram và quyết định kỹ thuật quan trọng.</t>
  </si>
  <si>
    <t>PDF + sơ đồ nguồn</t>
  </si>
  <si>
    <t>Dev/DB</t>
  </si>
  <si>
    <t>Có thể tái tạo hệ thống từ tài liệu</t>
  </si>
  <si>
    <t>Hồ sơ quản lý</t>
  </si>
  <si>
    <t>PMP, Gantt baseline/actual, cost, RACI/timesheet, communication, risk, procurement, quality, issue/change log và closure.</t>
  </si>
  <si>
    <t>Bộ hồ sơ /docs</t>
  </si>
  <si>
    <t>Đầy đủ 9 lĩnh vực học phần và tích hợp</t>
  </si>
  <si>
    <t>Kiểm thử</t>
  </si>
  <si>
    <t>Test plan, test case, test data, traceability, defect log, kết quả unit/integration/system/UAT và regression.</t>
  </si>
  <si>
    <t>Test report + bằng chứng</t>
  </si>
  <si>
    <t>QA</t>
  </si>
  <si>
    <t>Tỷ lệ pass &gt;=90%; 100% test ưu tiên cao pass</t>
  </si>
  <si>
    <t>Báo cáo và trình bày</t>
  </si>
  <si>
    <t>Báo cáo cuối kỳ, slide 12-18 trang, video demo 5-8 phút; trình bày 15 phút và vấn đáp 10-15 phút.</t>
  </si>
  <si>
    <t>PDF/PPTX/video</t>
  </si>
  <si>
    <t>Buổi 9</t>
  </si>
  <si>
    <t>Ngắn gọn, có số liệu kế hoạch-so-thực tế và bài học</t>
  </si>
  <si>
    <t>Minh chứng cá nhân</t>
  </si>
  <si>
    <t>Bảng nhiệm vụ, commit, ticket, timesheet, phần tài liệu phụ trách, tự đánh giá và đánh giá chéo.</t>
  </si>
  <si>
    <t>Phụ lục theo từng SV</t>
  </si>
  <si>
    <t>Từng SV</t>
  </si>
  <si>
    <t>Điểm cá nhân có thể điều chỉnh theo đóng góp và vấn đáp</t>
  </si>
  <si>
    <t>Tóm tắt mốc</t>
  </si>
  <si>
    <t>Chốt đề tài 13.09.2026; kế hoạch 20.09.2026; demo lõi 27.09.2026; giữa kỳ &gt;=50% ngày 04.10.2026; feature complete 18.10.2026; sẵn sàng bảo vệ 25.10.2026; bảo vệ 26.10–01.11.2026.</t>
  </si>
  <si>
    <t>Theo dõi trên Gantt và board</t>
  </si>
  <si>
    <t>Không dồn toàn bộ công việc vào hai tuần cuối</t>
  </si>
  <si>
    <t>6. ĐIỀU KIỆN NGHIỆM THU VÀ ĐẠT ĐỒ ÁN</t>
  </si>
  <si>
    <t>Bắt buộc: đề tài được duyệt; sản phẩm chạy end-to-end; &gt;=80% phạm vi baseline và 100% chức năng Must-have; đủ hồ sơ QLDA; test pass &gt;=90%; không còn lỗi Critical/High; repo có đóng góp của 5 SV; mỗi SV vượt qua vấn đáp.</t>
  </si>
  <si>
    <t>Biên bản nghiệm thu và checklist cuối kỳ</t>
  </si>
  <si>
    <t>GV + nhóm</t>
  </si>
  <si>
    <t>Thiếu một điều kiện bắt buộc: yêu cầu bổ sung hoặc không đạt tùy mức độ</t>
  </si>
  <si>
    <t>Đánh giá cá nhân</t>
  </si>
  <si>
    <t>Điểm nhóm được điều chỉnh theo đóng góp, chất lượng phần việc, kỷ luật báo cáo, peer review và kết quả vấn đáp từng sinh viên.</t>
  </si>
  <si>
    <t>Commit/ticket/timesheet + vấn đáp</t>
  </si>
  <si>
    <t>GV</t>
  </si>
  <si>
    <t>Hệ số cá nhân khuyến nghị 0,7-1,1; không vượt điểm tối đa 10</t>
  </si>
  <si>
    <t>Không chấp nhận</t>
  </si>
  <si>
    <t>Sao chép; mua source; không chứng minh quyền tác giả; dữ liệu cá nhân thật không được phép; demo giả; tài liệu không khớp source; một người làm thay cả nhóm.</t>
  </si>
  <si>
    <t>Kiểm tra repository, lịch sử và vấn đáp</t>
  </si>
  <si>
    <t>Toàn kỳ</t>
  </si>
  <si>
    <t>Xử lý theo quy chế học vụ và liêm chính học thuật</t>
  </si>
  <si>
    <t>7. THANG ĐIỂM BÁM RUBRIC HỌC PHẦN</t>
  </si>
  <si>
    <t>Đánh giá quá trình 50%</t>
  </si>
  <si>
    <t>Chuyên cần và tích cực 20%; bài tập về nhà 10%; kiểm tra tại lớp 10%; bài nhóm thuyết trình giữa kỳ 10%.</t>
  </si>
  <si>
    <t>Bài 1-9 và mốc giữa kỳ</t>
  </si>
  <si>
    <t>Trong 8 tuần</t>
  </si>
  <si>
    <t>Theo rubric/đề cương học phần</t>
  </si>
  <si>
    <t>Đồ án cuối kỳ 50%</t>
  </si>
  <si>
    <t>Chấm vấn đáp đồ án hoàn thành 100% thời gian thực hiện; quy đổi các tiêu chí chi tiết dưới đây trong phần điểm đồ án.</t>
  </si>
  <si>
    <t>Sản phẩm + hồ sơ + demo + vấn đáp</t>
  </si>
  <si>
    <t>CLO2 và CLO3</t>
  </si>
  <si>
    <t>Phạm vi &amp; yêu cầu</t>
  </si>
  <si>
    <t>Charter, stakeholder, SRS, scope, WBS, truy vết và acceptance criteria.</t>
  </si>
  <si>
    <t>Hồ sơ + vấn đáp</t>
  </si>
  <si>
    <t>15% điểm đồ án</t>
  </si>
  <si>
    <t>Thời gian, chi phí &amp; nhân sự</t>
  </si>
  <si>
    <t>Gantt/baseline/actual, effort-cost variance, RACI, workload, kỷ luật cập nhật.</t>
  </si>
  <si>
    <t>Hồ sơ + số liệu</t>
  </si>
  <si>
    <t>Chất lượng &amp; kiểm thử</t>
  </si>
  <si>
    <t>Quality plan, DoD, coverage theo yêu cầu, test result, defect và sửa lỗi.</t>
  </si>
  <si>
    <t>Test report + demo</t>
  </si>
  <si>
    <t>Truyền thông, rủi ro, mua sắm &amp; tích hợp</t>
  </si>
  <si>
    <t>Biên bản/status, risk register, procurement, change control, closure và lessons learned.</t>
  </si>
  <si>
    <t>Sản phẩm phần mềm</t>
  </si>
  <si>
    <t>Kiến trúc, database, API, frontend, bảo mật cơ bản, nghiệp vụ, độ ổn định và triển khai.</t>
  </si>
  <si>
    <t>Source + sản phẩm chạy</t>
  </si>
  <si>
    <t>25% điểm đồ án</t>
  </si>
  <si>
    <t>Demo, báo cáo &amp; phản biện</t>
  </si>
  <si>
    <t>Trình bày rõ, demo đúng kịch bản, số liệu kế hoạch-so-thực tế, trả lời câu hỏi.</t>
  </si>
  <si>
    <t>Slide/video/vấn đáp</t>
  </si>
  <si>
    <t>10% điểm đồ án</t>
  </si>
  <si>
    <t>Đóng góp cá nhân</t>
  </si>
  <si>
    <t>Bằng chứng công việc và khả năng giải thích phần phụ trách; phối hợp nhóm.</t>
  </si>
  <si>
    <t>Commit/ticket/timesheet/vấn đáp</t>
  </si>
  <si>
    <t>5% điểm đồ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</si>
</sst>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name val="Carlito"/>
    </font>
    <font>
      <b/>
      <sz val="11"/>
      <name val="Carlito"/>
    </font>
    <font>
      <b/>
      <sz val="10"/>
      <name val="Arial"/>
      <family val="2"/>
    </font>
    <font>
      <sz val="11"/>
      <name val="Calibri"/>
      <family val="2"/>
    </font>
    <font>
      <b/>
      <sz val="11"/>
      <color rgb="FFFFFFFF"/>
      <name val="Calibri"/>
      <family val="2"/>
    </font>
    <font>
      <b/>
      <sz val="16"/>
      <color rgb="FFFFFFFF"/>
      <name val="Calibri"/>
      <family val="2"/>
    </font>
    <font>
      <b/>
      <sz val="11"/>
      <name val="Calibri"/>
      <family val="2"/>
    </font>
    <font>
      <b/>
      <sz val="10"/>
      <color rgb="FFFFFFFF"/>
      <name val="Arial"/>
      <family val="2"/>
    </font>
    <font>
      <b/>
      <sz val="11"/>
      <color rgb="FFFFFFFF"/>
      <name val="Carlito"/>
    </font>
    <font>
      <b/>
      <sz val="11"/>
      <color rgb="FF0070C0"/>
      <name val="Carlito"/>
    </font>
    <font>
      <sz val="11"/>
      <color rgb="FF0070C0"/>
      <name val="Carlito"/>
    </font>
    <font>
      <b/>
      <sz val="15"/>
      <color rgb="FFFFFFFF"/>
      <name val="Arial"/>
      <family val="2"/>
    </font>
    <font>
      <b/>
      <sz val="11"/>
      <color rgb="FFFFFFFF"/>
      <name val="Calibri"/>
    </font>
    <font>
      <sz val="11"/>
      <color rgb="FF222222"/>
      <name val="Calibri"/>
    </font>
    <font>
      <sz val="9"/>
      <color indexed="81"/>
      <name val="Tahoma"/>
      <charset val="1"/>
    </font>
    <font>
      <b/>
      <sz val="9"/>
      <color indexed="81"/>
      <name val="Tahoma"/>
      <charset val="1"/>
    </font>
  </fonts>
  <fills count="8">
    <fill>
      <patternFill patternType="none"/>
    </fill>
    <fill>
      <patternFill patternType="gray125"/>
    </fill>
    <fill>
      <patternFill patternType="solid">
        <fgColor rgb="FF1D4E78"/>
        <bgColor indexed="64"/>
      </patternFill>
    </fill>
    <fill>
      <patternFill patternType="solid">
        <fgColor rgb="FFD9EAF7"/>
        <bgColor indexed="64"/>
      </patternFill>
    </fill>
    <fill>
      <patternFill patternType="solid">
        <fgColor rgb="FF2F75B5"/>
        <bgColor indexed="64"/>
      </patternFill>
    </fill>
    <fill>
      <patternFill patternType="solid">
        <fgColor rgb="FFFFF2CC"/>
        <bgColor indexed="64"/>
      </patternFill>
    </fill>
    <fill>
      <patternFill patternType="solid">
        <fgColor rgb="FF2F5597"/>
        <bgColor indexed="64"/>
      </patternFill>
    </fill>
    <fill>
      <patternFill patternType="solid">
        <fgColor rgb="FFEAF2F8"/>
        <bgColor indexed="64"/>
      </patternFill>
    </fill>
  </fills>
  <borders count="8">
    <border>
      <left/>
      <right/>
      <top/>
      <bottom/>
      <diagonal/>
    </border>
    <border>
      <left/>
      <right/>
      <top style="thin">
        <color rgb="FFD9D9D9"/>
      </top>
      <bottom style="thin">
        <color rgb="FFD9D9D9"/>
      </bottom>
      <diagonal/>
    </border>
    <border>
      <left style="thin">
        <color rgb="FFD9D9D9"/>
      </left>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s>
  <cellStyleXfs count="1">
    <xf numFmtId="0" fontId="0" fillId="0" borderId="0"/>
  </cellStyleXfs>
  <cellXfs count="35">
    <xf numFmtId="0" fontId="0" fillId="0" borderId="0" xfId="0"/>
    <xf numFmtId="0" fontId="1" fillId="0" borderId="0" xfId="0" applyFont="1"/>
    <xf numFmtId="0" fontId="2" fillId="0" borderId="0" xfId="0" applyFont="1" applyAlignment="1">
      <alignment vertical="center" wrapText="1"/>
    </xf>
    <xf numFmtId="0" fontId="6" fillId="3" borderId="3" xfId="0" applyFont="1" applyFill="1" applyBorder="1" applyAlignment="1">
      <alignment vertical="top" wrapText="1"/>
    </xf>
    <xf numFmtId="0" fontId="3" fillId="3" borderId="3" xfId="0" applyFont="1" applyFill="1" applyBorder="1" applyAlignment="1">
      <alignment vertical="top" wrapText="1"/>
    </xf>
    <xf numFmtId="0" fontId="3" fillId="3" borderId="3"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0" borderId="3" xfId="0" applyFont="1" applyBorder="1" applyAlignment="1">
      <alignment vertical="top" wrapText="1"/>
    </xf>
    <xf numFmtId="0" fontId="3" fillId="0" borderId="3" xfId="0" applyFont="1" applyBorder="1" applyAlignment="1">
      <alignment vertical="top" wrapText="1"/>
    </xf>
    <xf numFmtId="0" fontId="3" fillId="0" borderId="3" xfId="0" applyFont="1" applyBorder="1" applyAlignment="1">
      <alignment horizontal="center" vertical="top" wrapText="1"/>
    </xf>
    <xf numFmtId="0" fontId="4" fillId="4" borderId="3" xfId="0" applyFont="1" applyFill="1" applyBorder="1" applyAlignment="1">
      <alignment vertical="top" wrapText="1"/>
    </xf>
    <xf numFmtId="0" fontId="4" fillId="4" borderId="3" xfId="0" applyFont="1" applyFill="1" applyBorder="1" applyAlignment="1">
      <alignment horizontal="center" vertical="top" wrapText="1"/>
    </xf>
    <xf numFmtId="0" fontId="7" fillId="2" borderId="0" xfId="0" applyFont="1" applyFill="1" applyAlignment="1">
      <alignment vertical="center" wrapText="1"/>
    </xf>
    <xf numFmtId="0" fontId="8" fillId="2" borderId="0" xfId="0" applyFont="1" applyFill="1"/>
    <xf numFmtId="0" fontId="9" fillId="5" borderId="0" xfId="0" applyFont="1" applyFill="1" applyAlignment="1">
      <alignment wrapText="1"/>
    </xf>
    <xf numFmtId="0" fontId="10" fillId="5" borderId="0" xfId="0" applyFont="1" applyFill="1"/>
    <xf numFmtId="0" fontId="8" fillId="2" borderId="0" xfId="0" applyFont="1" applyFill="1" applyAlignment="1">
      <alignment horizontal="center" wrapText="1"/>
    </xf>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49" fontId="3" fillId="3" borderId="3" xfId="0" applyNumberFormat="1" applyFont="1" applyFill="1" applyBorder="1" applyAlignment="1">
      <alignment horizontal="center" vertical="top" wrapText="1"/>
    </xf>
    <xf numFmtId="49" fontId="3" fillId="0" borderId="3" xfId="0" applyNumberFormat="1" applyFont="1" applyBorder="1" applyAlignment="1">
      <alignment horizontal="center" vertical="top" wrapText="1"/>
    </xf>
    <xf numFmtId="49" fontId="0" fillId="0" borderId="0" xfId="0" applyNumberFormat="1" applyAlignment="1">
      <alignment wrapText="1"/>
    </xf>
    <xf numFmtId="0" fontId="8" fillId="2" borderId="5" xfId="0" applyFont="1" applyFill="1" applyBorder="1"/>
    <xf numFmtId="0" fontId="1" fillId="0" borderId="5" xfId="0" applyFont="1" applyBorder="1"/>
    <xf numFmtId="0" fontId="0" fillId="0" borderId="5" xfId="0" applyBorder="1" applyAlignment="1">
      <alignment horizontal="center"/>
    </xf>
    <xf numFmtId="0" fontId="1" fillId="0" borderId="5" xfId="0" applyFont="1" applyBorder="1" applyAlignment="1">
      <alignment horizontal="center"/>
    </xf>
    <xf numFmtId="0" fontId="3" fillId="0" borderId="2" xfId="0" applyFont="1" applyBorder="1" applyAlignment="1">
      <alignment vertical="top" wrapText="1"/>
    </xf>
    <xf numFmtId="0" fontId="12" fillId="6" borderId="7" xfId="0" applyFont="1" applyFill="1" applyBorder="1" applyAlignment="1">
      <alignment horizontal="center" vertical="top" wrapText="1"/>
    </xf>
    <xf numFmtId="0" fontId="13" fillId="7" borderId="6" xfId="0" applyFont="1" applyFill="1" applyBorder="1" applyAlignment="1">
      <alignment horizontal="left" vertical="top" wrapText="1"/>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4" xfId="0" applyFont="1" applyFill="1" applyBorder="1" applyAlignment="1">
      <alignment horizontal="center" vertical="center"/>
    </xf>
    <xf numFmtId="0" fontId="11" fillId="2" borderId="0" xfId="0" applyFont="1" applyFill="1" applyAlignment="1">
      <alignment horizontal="center" vertical="center"/>
    </xf>
    <xf numFmtId="0" fontId="7" fillId="2" borderId="0" xfId="0" applyFont="1" applyFill="1" applyAlignment="1">
      <alignment horizontal="center" vertical="center"/>
    </xf>
  </cellXfs>
  <cellStyles count="1">
    <cellStyle name="Normal" xfId="0" builtinId="0"/>
  </cellStyles>
  <dxfs count="8">
    <dxf>
      <alignment horizontal="center" vertical="bottom" textRotation="0" wrapText="0" indent="0" justifyLastLine="0" shrinkToFit="0" readingOrder="0"/>
    </dxf>
    <dxf>
      <font>
        <b val="0"/>
        <i val="0"/>
        <strike val="0"/>
        <condense val="0"/>
        <extend val="0"/>
        <outline val="0"/>
        <shadow val="0"/>
        <u val="none"/>
        <vertAlign val="baseline"/>
        <sz val="11"/>
        <color rgb="FF0070C0"/>
        <name val="Carlito"/>
        <scheme val="none"/>
      </font>
      <fill>
        <patternFill patternType="solid">
          <fgColor indexed="64"/>
          <bgColor rgb="FFFFF2CC"/>
        </patternFill>
      </fill>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rgb="FFFFFFFF"/>
        <name val="Carlito"/>
        <scheme val="none"/>
      </font>
      <fill>
        <patternFill patternType="solid">
          <fgColor indexed="64"/>
          <bgColor rgb="FF1D4E78"/>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8023C-4414-461D-8EE5-3DFDDE9DBC9C}" name="DanhSachDeTai" displayName="DanhSachDeTai" ref="A1:P3501" totalsRowShown="0" headerRowDxfId="7" dataDxfId="6">
  <autoFilter ref="A1:P3501" xr:uid="{A2C8023C-4414-461D-8EE5-3DFDDE9DBC9C}"/>
  <tableColumns count="16">
    <tableColumn id="1" xr3:uid="{C955AC09-C9E4-458C-A7A6-35A287A97C9B}" name="STT"/>
    <tableColumn id="2" xr3:uid="{D036E332-BD32-4749-AB66-67EB580C28D3}" name="Lĩnh vực"/>
    <tableColumn id="3" xr3:uid="{F052B26C-1536-4161-B7B5-BCAFDD4B8389}" name="Mã đề tài"/>
    <tableColumn id="4" xr3:uid="{A0D60EC3-98C9-4A9A-89D1-A20360AEA9C1}" name="Tên đề tài"/>
    <tableColumn id="5" xr3:uid="{70AB8368-9C68-4C17-A9D8-DD562A62A738}" name="Nền tảng gợi ý"/>
    <tableColumn id="6" xr3:uid="{088BA1C9-3E6F-40BA-BFF9-CD1A673B4E83}" name="Mô tả ngắn"/>
    <tableColumn id="7" xr3:uid="{A1FD3FA1-666E-4786-8E9D-99140C105D67}" name="Module/chức năng chính"/>
    <tableColumn id="8" xr3:uid="{6B264829-5DDD-4178-8EC3-6765E1EED6CC}" name="Phân công nhóm 5 SV (vai trò)">
      <calculatedColumnFormula>'Huong dan giao do an'!$B$14</calculatedColumnFormula>
    </tableColumn>
    <tableColumn id="9" xr3:uid="{FAD47ED0-70D6-4B69-8F67-73C1A0DCB97F}" name="Độ khó"/>
    <tableColumn id="10" xr3:uid="{561E4A1E-BDEC-4A76-AE6D-D8E0305DA32B}" name="Gợi ý AI/ML mở rộng"/>
    <tableColumn id="11" xr3:uid="{D11B97C4-59C9-4613-89BF-79125684C4A1}" name="Phạm vi MVP 8 tuần" dataDxfId="5">
      <calculatedColumnFormula>IF(I2="Trung bình",'Huong dan giao do an'!$B$8,IF(I2="Khá",'Huong dan giao do an'!$B$9,'Huong dan giao do an'!$B$10))</calculatedColumnFormula>
    </tableColumn>
    <tableColumn id="12" xr3:uid="{22DB0D88-42C0-4BCE-B9BB-BA1CDBFAC34D}" name="Hồ sơ QLDA bắt buộc" dataDxfId="4">
      <calculatedColumnFormula>'Huong dan giao do an'!$B$31</calculatedColumnFormula>
    </tableColumn>
    <tableColumn id="13" xr3:uid="{073AB6CD-AE29-4ADE-B12B-4F5AC2144937}" name="Mốc nghiệm thu" dataDxfId="3">
      <calculatedColumnFormula>'Huong dan giao do an'!$B$33</calculatedColumnFormula>
    </tableColumn>
    <tableColumn id="14" xr3:uid="{816CA411-781E-478B-B3BC-9CA9835EA0DD}" name="Điều kiện đạt" dataDxfId="2">
      <calculatedColumnFormula>'Huong dan giao do an'!$B$53</calculatedColumnFormula>
    </tableColumn>
    <tableColumn id="15" xr3:uid="{E7D42A79-70AE-43C8-A0FB-FE6A94B9F3E7}" name="Nhóm đăng ký (GV nhập)" dataDxfId="1"/>
    <tableColumn id="16" xr3:uid="{EEB69B4F-EF97-44A8-8A51-822BA8F270B2}" name="Trạng thái" dataDxfId="0">
      <calculatedColumnFormula>IF(O2="","Còn trống","Đã đăng ký")</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44BAF6D-AC56-4FE9-9596-7AEB7BA4A714}">
  <we:reference id="cba9fc06-6fc9-492e-9525-923870a3b909" version="2.0.0.0" store="EXCatalog" storeType="EXCatalog"/>
  <we:alternateReferences>
    <we:reference id="WA200010215" version="2.0.0.0" store="en-US" storeType="OMEX"/>
  </we:alternateReferences>
  <we:properties>
    <we:property name="bps.codex_control.document_id" value="&quot;03482e03-abe7-4eef-8733-00d65cbfe6f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501"/>
  <sheetViews>
    <sheetView showGridLines="0" tabSelected="1" topLeftCell="L1" zoomScale="98" zoomScaleNormal="98" workbookViewId="0">
      <pane ySplit="1" topLeftCell="A3293" activePane="bottomLeft" state="frozen"/>
      <selection activeCell="F1" sqref="F1"/>
      <selection pane="bottomLeft" activeCell="K3302" sqref="K3302"/>
    </sheetView>
  </sheetViews>
  <sheetFormatPr defaultRowHeight="14.4" x14ac:dyDescent="0.3"/>
  <cols>
    <col min="1" max="1" width="9.21875" customWidth="1"/>
    <col min="2" max="2" width="25" customWidth="1"/>
    <col min="3" max="3" width="14.21875" customWidth="1"/>
    <col min="4" max="4" width="92.5546875" bestFit="1" customWidth="1"/>
    <col min="5" max="5" width="15.77734375" customWidth="1"/>
    <col min="6" max="6" width="184" bestFit="1" customWidth="1"/>
    <col min="7" max="7" width="178.5546875" bestFit="1" customWidth="1"/>
    <col min="8" max="8" width="159.44140625" bestFit="1" customWidth="1"/>
    <col min="9" max="9" width="14.21875" customWidth="1"/>
    <col min="10" max="10" width="25" customWidth="1"/>
    <col min="11" max="11" width="133.109375" bestFit="1" customWidth="1"/>
    <col min="12" max="12" width="174.5546875" bestFit="1" customWidth="1"/>
    <col min="13" max="13" width="185.77734375" bestFit="1" customWidth="1"/>
    <col min="14" max="14" width="193.88671875" bestFit="1" customWidth="1"/>
    <col min="15" max="15" width="26.77734375" style="15" customWidth="1"/>
    <col min="16" max="16" width="15.77734375" style="17" customWidth="1"/>
  </cols>
  <sheetData>
    <row r="1" spans="1:16" ht="34.200000000000003" customHeight="1" x14ac:dyDescent="0.3">
      <c r="A1" s="12" t="s">
        <v>0</v>
      </c>
      <c r="B1" s="12" t="s">
        <v>1</v>
      </c>
      <c r="C1" s="12" t="s">
        <v>2</v>
      </c>
      <c r="D1" s="12" t="s">
        <v>3</v>
      </c>
      <c r="E1" s="12" t="s">
        <v>4</v>
      </c>
      <c r="F1" s="12" t="s">
        <v>5</v>
      </c>
      <c r="G1" s="12" t="s">
        <v>6</v>
      </c>
      <c r="H1" s="12" t="s">
        <v>7</v>
      </c>
      <c r="I1" s="12" t="s">
        <v>8</v>
      </c>
      <c r="J1" s="12" t="s">
        <v>9</v>
      </c>
      <c r="K1" s="13" t="s">
        <v>10</v>
      </c>
      <c r="L1" s="13" t="s">
        <v>11</v>
      </c>
      <c r="M1" s="13" t="s">
        <v>12</v>
      </c>
      <c r="N1" s="13" t="s">
        <v>13</v>
      </c>
      <c r="O1" s="14" t="s">
        <v>14</v>
      </c>
      <c r="P1" s="16" t="s">
        <v>15</v>
      </c>
    </row>
    <row r="2" spans="1:16" x14ac:dyDescent="0.3">
      <c r="A2">
        <v>1</v>
      </c>
      <c r="B2" t="s">
        <v>16</v>
      </c>
      <c r="C2" t="s">
        <v>17</v>
      </c>
      <c r="D2" t="s">
        <v>18</v>
      </c>
      <c r="E2" t="s">
        <v>19</v>
      </c>
      <c r="F2" t="s">
        <v>20</v>
      </c>
      <c r="G2" t="s">
        <v>21</v>
      </c>
      <c r="H2" t="str">
        <f>'Huong dan giao do an'!$B$14</f>
        <v>5 SV (vai trò chính): 1 PM/Scrum Master kiêm Integration; 2 BA/PO; 3 UI-UX + Frontend; 4 Backend/API + DevOps; 5 Database + QA/Tester. Mỗi SV có nhiệm vụ phụ và minh chứng cá nhân.</v>
      </c>
      <c r="I2" t="s">
        <v>22</v>
      </c>
      <c r="J2" t="s">
        <v>23</v>
      </c>
      <c r="K2" t="str">
        <f>IF(I2="Trung bình",'Huong dan giao do an'!$B$8,IF(I2="Khá",'Huong dan giao do an'!$B$9,'Huong dan giao do an'!$B$10))</f>
        <v>Tối thiểu 4 actor; 10-14 use case; 8-12 bảng; 3 quy trình lõi; phân quyền chi tiết; 2 báo cáo; tích hợp 1 dịch vụ; &gt;=35 test case; CI/CD hoặc deploy cloud.</v>
      </c>
      <c r="L2" t="str">
        <f>'Huong dan giao do an'!$B$31</f>
        <v>Bắt buộc: Charter/PMP; SRS + scope/WBS; Gantt/baseline; effort-cost budget; RACI/timesheet; quality-test-defect; communication/minutes; risk register; procurement; change log; closure/lessons learned.</v>
      </c>
      <c r="M2" t="str">
        <f>'Huong dan giao do an'!$B$33</f>
        <v>Tuần 1: 07.09–13.09.2026; Tuần 2: 14.09–20.09.2026; Tuần 3: 21.09–27.09.2026; Tuần 4: 28.09–04.10.2026; Tuần 5: 05.10–11.10.2026; Tuần 6: 12.10–18.10.2026; Tuần 7: 19.10–25.10.2026; Tuần 8: 26.10–01.11.2026.</v>
      </c>
      <c r="N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 s="17" t="str">
        <f>IF(O2="","Còn trống","Đã đăng ký")</f>
        <v>Còn trống</v>
      </c>
    </row>
    <row r="3" spans="1:16" x14ac:dyDescent="0.3">
      <c r="A3">
        <v>2</v>
      </c>
      <c r="B3" t="s">
        <v>16</v>
      </c>
      <c r="C3" t="s">
        <v>24</v>
      </c>
      <c r="D3" t="s">
        <v>25</v>
      </c>
      <c r="E3" t="s">
        <v>26</v>
      </c>
      <c r="F3" t="s">
        <v>27</v>
      </c>
      <c r="G3" t="s">
        <v>28</v>
      </c>
      <c r="H3" t="str">
        <f>'Huong dan giao do an'!$B$14</f>
        <v>5 SV (vai trò chính): 1 PM/Scrum Master kiêm Integration; 2 BA/PO; 3 UI-UX + Frontend; 4 Backend/API + DevOps; 5 Database + QA/Tester. Mỗi SV có nhiệm vụ phụ và minh chứng cá nhân.</v>
      </c>
      <c r="I3" t="s">
        <v>29</v>
      </c>
      <c r="J3" t="s">
        <v>30</v>
      </c>
      <c r="K3" t="str">
        <f>IF(I3="Trung bình",'Huong dan giao do an'!$B$8,IF(I3="Khá",'Huong dan giao do an'!$B$9,'Huong dan giao do an'!$B$10))</f>
        <v>Tối thiểu 5 actor; 14-18 use case; 10-15 bảng; 4 quy trình; tích hợp ngoài/realtime hoặc xử lý nâng cao; 3 báo cáo; &gt;=45 test case; logging, backup và deploy.</v>
      </c>
      <c r="L3" t="str">
        <f>'Huong dan giao do an'!$B$31</f>
        <v>Bắt buộc: Charter/PMP; SRS + scope/WBS; Gantt/baseline; effort-cost budget; RACI/timesheet; quality-test-defect; communication/minutes; risk register; procurement; change log; closure/lessons learned.</v>
      </c>
      <c r="M3" t="str">
        <f>'Huong dan giao do an'!$B$33</f>
        <v>Tuần 1: 07.09–13.09.2026; Tuần 2: 14.09–20.09.2026; Tuần 3: 21.09–27.09.2026; Tuần 4: 28.09–04.10.2026; Tuần 5: 05.10–11.10.2026; Tuần 6: 12.10–18.10.2026; Tuần 7: 19.10–25.10.2026; Tuần 8: 26.10–01.11.2026.</v>
      </c>
      <c r="N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 s="17" t="str">
        <f t="shared" ref="P3:P66" si="0">IF(O3="","Còn trống","Đã đăng ký")</f>
        <v>Còn trống</v>
      </c>
    </row>
    <row r="4" spans="1:16" x14ac:dyDescent="0.3">
      <c r="A4">
        <v>3</v>
      </c>
      <c r="B4" t="s">
        <v>16</v>
      </c>
      <c r="C4" t="s">
        <v>31</v>
      </c>
      <c r="D4" t="s">
        <v>32</v>
      </c>
      <c r="E4" t="s">
        <v>33</v>
      </c>
      <c r="F4" t="s">
        <v>34</v>
      </c>
      <c r="G4" t="s">
        <v>35</v>
      </c>
      <c r="H4" t="str">
        <f>'Huong dan giao do an'!$B$14</f>
        <v>5 SV (vai trò chính): 1 PM/Scrum Master kiêm Integration; 2 BA/PO; 3 UI-UX + Frontend; 4 Backend/API + DevOps; 5 Database + QA/Tester. Mỗi SV có nhiệm vụ phụ và minh chứng cá nhân.</v>
      </c>
      <c r="I4" t="s">
        <v>36</v>
      </c>
      <c r="J4" t="s">
        <v>37</v>
      </c>
      <c r="K4" t="str">
        <f>IF(I4="Trung bình",'Huong dan giao do an'!$B$8,IF(I4="Khá",'Huong dan giao do an'!$B$9,'Huong dan giao do an'!$B$10))</f>
        <v>Tối thiểu 3 actor; 8-10 use case; 6-8 bảng dữ liệu; 2 quy trình lõi; đăng nhập/RBAC; 1 dashboard; 1 báo cáo; &gt;=25 test case; triển khai bản demo.</v>
      </c>
      <c r="L4" t="str">
        <f>'Huong dan giao do an'!$B$31</f>
        <v>Bắt buộc: Charter/PMP; SRS + scope/WBS; Gantt/baseline; effort-cost budget; RACI/timesheet; quality-test-defect; communication/minutes; risk register; procurement; change log; closure/lessons learned.</v>
      </c>
      <c r="M4" t="str">
        <f>'Huong dan giao do an'!$B$33</f>
        <v>Tuần 1: 07.09–13.09.2026; Tuần 2: 14.09–20.09.2026; Tuần 3: 21.09–27.09.2026; Tuần 4: 28.09–04.10.2026; Tuần 5: 05.10–11.10.2026; Tuần 6: 12.10–18.10.2026; Tuần 7: 19.10–25.10.2026; Tuần 8: 26.10–01.11.2026.</v>
      </c>
      <c r="N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 s="17" t="str">
        <f t="shared" si="0"/>
        <v>Còn trống</v>
      </c>
    </row>
    <row r="5" spans="1:16" x14ac:dyDescent="0.3">
      <c r="A5">
        <v>4</v>
      </c>
      <c r="B5" t="s">
        <v>16</v>
      </c>
      <c r="C5" t="s">
        <v>38</v>
      </c>
      <c r="D5" t="s">
        <v>39</v>
      </c>
      <c r="E5" t="s">
        <v>40</v>
      </c>
      <c r="F5" t="s">
        <v>41</v>
      </c>
      <c r="G5" t="s">
        <v>42</v>
      </c>
      <c r="H5" t="str">
        <f>'Huong dan giao do an'!$B$14</f>
        <v>5 SV (vai trò chính): 1 PM/Scrum Master kiêm Integration; 2 BA/PO; 3 UI-UX + Frontend; 4 Backend/API + DevOps; 5 Database + QA/Tester. Mỗi SV có nhiệm vụ phụ và minh chứng cá nhân.</v>
      </c>
      <c r="I5" t="s">
        <v>22</v>
      </c>
      <c r="J5" t="s">
        <v>23</v>
      </c>
      <c r="K5" t="str">
        <f>IF(I5="Trung bình",'Huong dan giao do an'!$B$8,IF(I5="Khá",'Huong dan giao do an'!$B$9,'Huong dan giao do an'!$B$10))</f>
        <v>Tối thiểu 4 actor; 10-14 use case; 8-12 bảng; 3 quy trình lõi; phân quyền chi tiết; 2 báo cáo; tích hợp 1 dịch vụ; &gt;=35 test case; CI/CD hoặc deploy cloud.</v>
      </c>
      <c r="L5" t="str">
        <f>'Huong dan giao do an'!$B$31</f>
        <v>Bắt buộc: Charter/PMP; SRS + scope/WBS; Gantt/baseline; effort-cost budget; RACI/timesheet; quality-test-defect; communication/minutes; risk register; procurement; change log; closure/lessons learned.</v>
      </c>
      <c r="M5" t="str">
        <f>'Huong dan giao do an'!$B$33</f>
        <v>Tuần 1: 07.09–13.09.2026; Tuần 2: 14.09–20.09.2026; Tuần 3: 21.09–27.09.2026; Tuần 4: 28.09–04.10.2026; Tuần 5: 05.10–11.10.2026; Tuần 6: 12.10–18.10.2026; Tuần 7: 19.10–25.10.2026; Tuần 8: 26.10–01.11.2026.</v>
      </c>
      <c r="N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 s="17" t="str">
        <f t="shared" si="0"/>
        <v>Còn trống</v>
      </c>
    </row>
    <row r="6" spans="1:16" x14ac:dyDescent="0.3">
      <c r="A6">
        <v>5</v>
      </c>
      <c r="B6" t="s">
        <v>16</v>
      </c>
      <c r="C6" t="s">
        <v>43</v>
      </c>
      <c r="D6" t="s">
        <v>44</v>
      </c>
      <c r="E6" t="s">
        <v>45</v>
      </c>
      <c r="F6" t="s">
        <v>46</v>
      </c>
      <c r="G6" t="s">
        <v>47</v>
      </c>
      <c r="H6" t="str">
        <f>'Huong dan giao do an'!$B$14</f>
        <v>5 SV (vai trò chính): 1 PM/Scrum Master kiêm Integration; 2 BA/PO; 3 UI-UX + Frontend; 4 Backend/API + DevOps; 5 Database + QA/Tester. Mỗi SV có nhiệm vụ phụ và minh chứng cá nhân.</v>
      </c>
      <c r="I6" t="s">
        <v>29</v>
      </c>
      <c r="J6" t="s">
        <v>30</v>
      </c>
      <c r="K6" t="str">
        <f>IF(I6="Trung bình",'Huong dan giao do an'!$B$8,IF(I6="Khá",'Huong dan giao do an'!$B$9,'Huong dan giao do an'!$B$10))</f>
        <v>Tối thiểu 5 actor; 14-18 use case; 10-15 bảng; 4 quy trình; tích hợp ngoài/realtime hoặc xử lý nâng cao; 3 báo cáo; &gt;=45 test case; logging, backup và deploy.</v>
      </c>
      <c r="L6" t="str">
        <f>'Huong dan giao do an'!$B$31</f>
        <v>Bắt buộc: Charter/PMP; SRS + scope/WBS; Gantt/baseline; effort-cost budget; RACI/timesheet; quality-test-defect; communication/minutes; risk register; procurement; change log; closure/lessons learned.</v>
      </c>
      <c r="M6" t="str">
        <f>'Huong dan giao do an'!$B$33</f>
        <v>Tuần 1: 07.09–13.09.2026; Tuần 2: 14.09–20.09.2026; Tuần 3: 21.09–27.09.2026; Tuần 4: 28.09–04.10.2026; Tuần 5: 05.10–11.10.2026; Tuần 6: 12.10–18.10.2026; Tuần 7: 19.10–25.10.2026; Tuần 8: 26.10–01.11.2026.</v>
      </c>
      <c r="N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 s="17" t="str">
        <f t="shared" si="0"/>
        <v>Còn trống</v>
      </c>
    </row>
    <row r="7" spans="1:16" x14ac:dyDescent="0.3">
      <c r="A7">
        <v>6</v>
      </c>
      <c r="B7" t="s">
        <v>16</v>
      </c>
      <c r="C7" t="s">
        <v>48</v>
      </c>
      <c r="D7" t="s">
        <v>49</v>
      </c>
      <c r="E7" t="s">
        <v>19</v>
      </c>
      <c r="F7" t="s">
        <v>20</v>
      </c>
      <c r="G7" t="s">
        <v>50</v>
      </c>
      <c r="H7" t="str">
        <f>'Huong dan giao do an'!$B$14</f>
        <v>5 SV (vai trò chính): 1 PM/Scrum Master kiêm Integration; 2 BA/PO; 3 UI-UX + Frontend; 4 Backend/API + DevOps; 5 Database + QA/Tester. Mỗi SV có nhiệm vụ phụ và minh chứng cá nhân.</v>
      </c>
      <c r="I7" t="s">
        <v>36</v>
      </c>
      <c r="J7" t="s">
        <v>37</v>
      </c>
      <c r="K7" t="str">
        <f>IF(I7="Trung bình",'Huong dan giao do an'!$B$8,IF(I7="Khá",'Huong dan giao do an'!$B$9,'Huong dan giao do an'!$B$10))</f>
        <v>Tối thiểu 3 actor; 8-10 use case; 6-8 bảng dữ liệu; 2 quy trình lõi; đăng nhập/RBAC; 1 dashboard; 1 báo cáo; &gt;=25 test case; triển khai bản demo.</v>
      </c>
      <c r="L7" t="str">
        <f>'Huong dan giao do an'!$B$31</f>
        <v>Bắt buộc: Charter/PMP; SRS + scope/WBS; Gantt/baseline; effort-cost budget; RACI/timesheet; quality-test-defect; communication/minutes; risk register; procurement; change log; closure/lessons learned.</v>
      </c>
      <c r="M7" t="str">
        <f>'Huong dan giao do an'!$B$33</f>
        <v>Tuần 1: 07.09–13.09.2026; Tuần 2: 14.09–20.09.2026; Tuần 3: 21.09–27.09.2026; Tuần 4: 28.09–04.10.2026; Tuần 5: 05.10–11.10.2026; Tuần 6: 12.10–18.10.2026; Tuần 7: 19.10–25.10.2026; Tuần 8: 26.10–01.11.2026.</v>
      </c>
      <c r="N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 s="17" t="str">
        <f t="shared" si="0"/>
        <v>Còn trống</v>
      </c>
    </row>
    <row r="8" spans="1:16" x14ac:dyDescent="0.3">
      <c r="A8">
        <v>7</v>
      </c>
      <c r="B8" t="s">
        <v>16</v>
      </c>
      <c r="C8" t="s">
        <v>51</v>
      </c>
      <c r="D8" t="s">
        <v>52</v>
      </c>
      <c r="E8" t="s">
        <v>26</v>
      </c>
      <c r="F8" t="s">
        <v>27</v>
      </c>
      <c r="G8" t="s">
        <v>53</v>
      </c>
      <c r="H8" t="str">
        <f>'Huong dan giao do an'!$B$14</f>
        <v>5 SV (vai trò chính): 1 PM/Scrum Master kiêm Integration; 2 BA/PO; 3 UI-UX + Frontend; 4 Backend/API + DevOps; 5 Database + QA/Tester. Mỗi SV có nhiệm vụ phụ và minh chứng cá nhân.</v>
      </c>
      <c r="I8" t="s">
        <v>22</v>
      </c>
      <c r="J8" t="s">
        <v>23</v>
      </c>
      <c r="K8" t="str">
        <f>IF(I8="Trung bình",'Huong dan giao do an'!$B$8,IF(I8="Khá",'Huong dan giao do an'!$B$9,'Huong dan giao do an'!$B$10))</f>
        <v>Tối thiểu 4 actor; 10-14 use case; 8-12 bảng; 3 quy trình lõi; phân quyền chi tiết; 2 báo cáo; tích hợp 1 dịch vụ; &gt;=35 test case; CI/CD hoặc deploy cloud.</v>
      </c>
      <c r="L8" t="str">
        <f>'Huong dan giao do an'!$B$31</f>
        <v>Bắt buộc: Charter/PMP; SRS + scope/WBS; Gantt/baseline; effort-cost budget; RACI/timesheet; quality-test-defect; communication/minutes; risk register; procurement; change log; closure/lessons learned.</v>
      </c>
      <c r="M8" t="str">
        <f>'Huong dan giao do an'!$B$33</f>
        <v>Tuần 1: 07.09–13.09.2026; Tuần 2: 14.09–20.09.2026; Tuần 3: 21.09–27.09.2026; Tuần 4: 28.09–04.10.2026; Tuần 5: 05.10–11.10.2026; Tuần 6: 12.10–18.10.2026; Tuần 7: 19.10–25.10.2026; Tuần 8: 26.10–01.11.2026.</v>
      </c>
      <c r="N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 s="17" t="str">
        <f t="shared" si="0"/>
        <v>Còn trống</v>
      </c>
    </row>
    <row r="9" spans="1:16" x14ac:dyDescent="0.3">
      <c r="A9">
        <v>8</v>
      </c>
      <c r="B9" t="s">
        <v>16</v>
      </c>
      <c r="C9" t="s">
        <v>54</v>
      </c>
      <c r="D9" t="s">
        <v>55</v>
      </c>
      <c r="E9" t="s">
        <v>33</v>
      </c>
      <c r="F9" t="s">
        <v>34</v>
      </c>
      <c r="G9" t="s">
        <v>56</v>
      </c>
      <c r="H9" t="str">
        <f>'Huong dan giao do an'!$B$14</f>
        <v>5 SV (vai trò chính): 1 PM/Scrum Master kiêm Integration; 2 BA/PO; 3 UI-UX + Frontend; 4 Backend/API + DevOps; 5 Database + QA/Tester. Mỗi SV có nhiệm vụ phụ và minh chứng cá nhân.</v>
      </c>
      <c r="I9" t="s">
        <v>29</v>
      </c>
      <c r="J9" t="s">
        <v>30</v>
      </c>
      <c r="K9" t="str">
        <f>IF(I9="Trung bình",'Huong dan giao do an'!$B$8,IF(I9="Khá",'Huong dan giao do an'!$B$9,'Huong dan giao do an'!$B$10))</f>
        <v>Tối thiểu 5 actor; 14-18 use case; 10-15 bảng; 4 quy trình; tích hợp ngoài/realtime hoặc xử lý nâng cao; 3 báo cáo; &gt;=45 test case; logging, backup và deploy.</v>
      </c>
      <c r="L9" t="str">
        <f>'Huong dan giao do an'!$B$31</f>
        <v>Bắt buộc: Charter/PMP; SRS + scope/WBS; Gantt/baseline; effort-cost budget; RACI/timesheet; quality-test-defect; communication/minutes; risk register; procurement; change log; closure/lessons learned.</v>
      </c>
      <c r="M9" t="str">
        <f>'Huong dan giao do an'!$B$33</f>
        <v>Tuần 1: 07.09–13.09.2026; Tuần 2: 14.09–20.09.2026; Tuần 3: 21.09–27.09.2026; Tuần 4: 28.09–04.10.2026; Tuần 5: 05.10–11.10.2026; Tuần 6: 12.10–18.10.2026; Tuần 7: 19.10–25.10.2026; Tuần 8: 26.10–01.11.2026.</v>
      </c>
      <c r="N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 s="17" t="str">
        <f t="shared" si="0"/>
        <v>Còn trống</v>
      </c>
    </row>
    <row r="10" spans="1:16" x14ac:dyDescent="0.3">
      <c r="A10">
        <v>9</v>
      </c>
      <c r="B10" t="s">
        <v>16</v>
      </c>
      <c r="C10" t="s">
        <v>57</v>
      </c>
      <c r="D10" t="s">
        <v>58</v>
      </c>
      <c r="E10" t="s">
        <v>40</v>
      </c>
      <c r="F10" t="s">
        <v>41</v>
      </c>
      <c r="G10" t="s">
        <v>59</v>
      </c>
      <c r="H10" t="str">
        <f>'Huong dan giao do an'!$B$14</f>
        <v>5 SV (vai trò chính): 1 PM/Scrum Master kiêm Integration; 2 BA/PO; 3 UI-UX + Frontend; 4 Backend/API + DevOps; 5 Database + QA/Tester. Mỗi SV có nhiệm vụ phụ và minh chứng cá nhân.</v>
      </c>
      <c r="I10" t="s">
        <v>36</v>
      </c>
      <c r="J10" t="s">
        <v>37</v>
      </c>
      <c r="K10" t="str">
        <f>IF(I10="Trung bình",'Huong dan giao do an'!$B$8,IF(I10="Khá",'Huong dan giao do an'!$B$9,'Huong dan giao do an'!$B$10))</f>
        <v>Tối thiểu 3 actor; 8-10 use case; 6-8 bảng dữ liệu; 2 quy trình lõi; đăng nhập/RBAC; 1 dashboard; 1 báo cáo; &gt;=25 test case; triển khai bản demo.</v>
      </c>
      <c r="L10" t="str">
        <f>'Huong dan giao do an'!$B$31</f>
        <v>Bắt buộc: Charter/PMP; SRS + scope/WBS; Gantt/baseline; effort-cost budget; RACI/timesheet; quality-test-defect; communication/minutes; risk register; procurement; change log; closure/lessons learned.</v>
      </c>
      <c r="M10" t="str">
        <f>'Huong dan giao do an'!$B$33</f>
        <v>Tuần 1: 07.09–13.09.2026; Tuần 2: 14.09–20.09.2026; Tuần 3: 21.09–27.09.2026; Tuần 4: 28.09–04.10.2026; Tuần 5: 05.10–11.10.2026; Tuần 6: 12.10–18.10.2026; Tuần 7: 19.10–25.10.2026; Tuần 8: 26.10–01.11.2026.</v>
      </c>
      <c r="N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 s="17" t="str">
        <f t="shared" si="0"/>
        <v>Còn trống</v>
      </c>
    </row>
    <row r="11" spans="1:16" x14ac:dyDescent="0.3">
      <c r="A11">
        <v>10</v>
      </c>
      <c r="B11" t="s">
        <v>16</v>
      </c>
      <c r="C11" t="s">
        <v>60</v>
      </c>
      <c r="D11" t="s">
        <v>61</v>
      </c>
      <c r="E11" t="s">
        <v>45</v>
      </c>
      <c r="F11" t="s">
        <v>46</v>
      </c>
      <c r="G11" t="s">
        <v>62</v>
      </c>
      <c r="H11" t="str">
        <f>'Huong dan giao do an'!$B$14</f>
        <v>5 SV (vai trò chính): 1 PM/Scrum Master kiêm Integration; 2 BA/PO; 3 UI-UX + Frontend; 4 Backend/API + DevOps; 5 Database + QA/Tester. Mỗi SV có nhiệm vụ phụ và minh chứng cá nhân.</v>
      </c>
      <c r="I11" t="s">
        <v>22</v>
      </c>
      <c r="J11" t="s">
        <v>23</v>
      </c>
      <c r="K11" t="str">
        <f>IF(I11="Trung bình",'Huong dan giao do an'!$B$8,IF(I11="Khá",'Huong dan giao do an'!$B$9,'Huong dan giao do an'!$B$10))</f>
        <v>Tối thiểu 4 actor; 10-14 use case; 8-12 bảng; 3 quy trình lõi; phân quyền chi tiết; 2 báo cáo; tích hợp 1 dịch vụ; &gt;=35 test case; CI/CD hoặc deploy cloud.</v>
      </c>
      <c r="L11" t="str">
        <f>'Huong dan giao do an'!$B$31</f>
        <v>Bắt buộc: Charter/PMP; SRS + scope/WBS; Gantt/baseline; effort-cost budget; RACI/timesheet; quality-test-defect; communication/minutes; risk register; procurement; change log; closure/lessons learned.</v>
      </c>
      <c r="M11" t="str">
        <f>'Huong dan giao do an'!$B$33</f>
        <v>Tuần 1: 07.09–13.09.2026; Tuần 2: 14.09–20.09.2026; Tuần 3: 21.09–27.09.2026; Tuần 4: 28.09–04.10.2026; Tuần 5: 05.10–11.10.2026; Tuần 6: 12.10–18.10.2026; Tuần 7: 19.10–25.10.2026; Tuần 8: 26.10–01.11.2026.</v>
      </c>
      <c r="N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 s="17" t="str">
        <f t="shared" si="0"/>
        <v>Còn trống</v>
      </c>
    </row>
    <row r="12" spans="1:16" x14ac:dyDescent="0.3">
      <c r="A12">
        <v>11</v>
      </c>
      <c r="B12" t="s">
        <v>16</v>
      </c>
      <c r="C12" t="s">
        <v>63</v>
      </c>
      <c r="D12" t="s">
        <v>64</v>
      </c>
      <c r="E12" t="s">
        <v>19</v>
      </c>
      <c r="F12" t="s">
        <v>20</v>
      </c>
      <c r="G12" t="s">
        <v>65</v>
      </c>
      <c r="H12" t="str">
        <f>'Huong dan giao do an'!$B$14</f>
        <v>5 SV (vai trò chính): 1 PM/Scrum Master kiêm Integration; 2 BA/PO; 3 UI-UX + Frontend; 4 Backend/API + DevOps; 5 Database + QA/Tester. Mỗi SV có nhiệm vụ phụ và minh chứng cá nhân.</v>
      </c>
      <c r="I12" t="s">
        <v>29</v>
      </c>
      <c r="J12" t="s">
        <v>30</v>
      </c>
      <c r="K12" t="str">
        <f>IF(I12="Trung bình",'Huong dan giao do an'!$B$8,IF(I12="Khá",'Huong dan giao do an'!$B$9,'Huong dan giao do an'!$B$10))</f>
        <v>Tối thiểu 5 actor; 14-18 use case; 10-15 bảng; 4 quy trình; tích hợp ngoài/realtime hoặc xử lý nâng cao; 3 báo cáo; &gt;=45 test case; logging, backup và deploy.</v>
      </c>
      <c r="L12" t="str">
        <f>'Huong dan giao do an'!$B$31</f>
        <v>Bắt buộc: Charter/PMP; SRS + scope/WBS; Gantt/baseline; effort-cost budget; RACI/timesheet; quality-test-defect; communication/minutes; risk register; procurement; change log; closure/lessons learned.</v>
      </c>
      <c r="M12" t="str">
        <f>'Huong dan giao do an'!$B$33</f>
        <v>Tuần 1: 07.09–13.09.2026; Tuần 2: 14.09–20.09.2026; Tuần 3: 21.09–27.09.2026; Tuần 4: 28.09–04.10.2026; Tuần 5: 05.10–11.10.2026; Tuần 6: 12.10–18.10.2026; Tuần 7: 19.10–25.10.2026; Tuần 8: 26.10–01.11.2026.</v>
      </c>
      <c r="N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 s="17" t="str">
        <f t="shared" si="0"/>
        <v>Còn trống</v>
      </c>
    </row>
    <row r="13" spans="1:16" x14ac:dyDescent="0.3">
      <c r="A13">
        <v>12</v>
      </c>
      <c r="B13" t="s">
        <v>16</v>
      </c>
      <c r="C13" t="s">
        <v>66</v>
      </c>
      <c r="D13" t="s">
        <v>67</v>
      </c>
      <c r="E13" t="s">
        <v>26</v>
      </c>
      <c r="F13" t="s">
        <v>27</v>
      </c>
      <c r="G13" t="s">
        <v>68</v>
      </c>
      <c r="H13" t="str">
        <f>'Huong dan giao do an'!$B$14</f>
        <v>5 SV (vai trò chính): 1 PM/Scrum Master kiêm Integration; 2 BA/PO; 3 UI-UX + Frontend; 4 Backend/API + DevOps; 5 Database + QA/Tester. Mỗi SV có nhiệm vụ phụ và minh chứng cá nhân.</v>
      </c>
      <c r="I13" t="s">
        <v>36</v>
      </c>
      <c r="J13" t="s">
        <v>37</v>
      </c>
      <c r="K13" t="str">
        <f>IF(I13="Trung bình",'Huong dan giao do an'!$B$8,IF(I13="Khá",'Huong dan giao do an'!$B$9,'Huong dan giao do an'!$B$10))</f>
        <v>Tối thiểu 3 actor; 8-10 use case; 6-8 bảng dữ liệu; 2 quy trình lõi; đăng nhập/RBAC; 1 dashboard; 1 báo cáo; &gt;=25 test case; triển khai bản demo.</v>
      </c>
      <c r="L13" t="str">
        <f>'Huong dan giao do an'!$B$31</f>
        <v>Bắt buộc: Charter/PMP; SRS + scope/WBS; Gantt/baseline; effort-cost budget; RACI/timesheet; quality-test-defect; communication/minutes; risk register; procurement; change log; closure/lessons learned.</v>
      </c>
      <c r="M13" t="str">
        <f>'Huong dan giao do an'!$B$33</f>
        <v>Tuần 1: 07.09–13.09.2026; Tuần 2: 14.09–20.09.2026; Tuần 3: 21.09–27.09.2026; Tuần 4: 28.09–04.10.2026; Tuần 5: 05.10–11.10.2026; Tuần 6: 12.10–18.10.2026; Tuần 7: 19.10–25.10.2026; Tuần 8: 26.10–01.11.2026.</v>
      </c>
      <c r="N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 s="17" t="str">
        <f t="shared" si="0"/>
        <v>Còn trống</v>
      </c>
    </row>
    <row r="14" spans="1:16" x14ac:dyDescent="0.3">
      <c r="A14">
        <v>13</v>
      </c>
      <c r="B14" t="s">
        <v>16</v>
      </c>
      <c r="C14" t="s">
        <v>69</v>
      </c>
      <c r="D14" t="s">
        <v>70</v>
      </c>
      <c r="E14" t="s">
        <v>33</v>
      </c>
      <c r="F14" t="s">
        <v>34</v>
      </c>
      <c r="G14" t="s">
        <v>71</v>
      </c>
      <c r="H14" t="str">
        <f>'Huong dan giao do an'!$B$14</f>
        <v>5 SV (vai trò chính): 1 PM/Scrum Master kiêm Integration; 2 BA/PO; 3 UI-UX + Frontend; 4 Backend/API + DevOps; 5 Database + QA/Tester. Mỗi SV có nhiệm vụ phụ và minh chứng cá nhân.</v>
      </c>
      <c r="I14" t="s">
        <v>22</v>
      </c>
      <c r="J14" t="s">
        <v>23</v>
      </c>
      <c r="K14" t="str">
        <f>IF(I14="Trung bình",'Huong dan giao do an'!$B$8,IF(I14="Khá",'Huong dan giao do an'!$B$9,'Huong dan giao do an'!$B$10))</f>
        <v>Tối thiểu 4 actor; 10-14 use case; 8-12 bảng; 3 quy trình lõi; phân quyền chi tiết; 2 báo cáo; tích hợp 1 dịch vụ; &gt;=35 test case; CI/CD hoặc deploy cloud.</v>
      </c>
      <c r="L14" t="str">
        <f>'Huong dan giao do an'!$B$31</f>
        <v>Bắt buộc: Charter/PMP; SRS + scope/WBS; Gantt/baseline; effort-cost budget; RACI/timesheet; quality-test-defect; communication/minutes; risk register; procurement; change log; closure/lessons learned.</v>
      </c>
      <c r="M14" t="str">
        <f>'Huong dan giao do an'!$B$33</f>
        <v>Tuần 1: 07.09–13.09.2026; Tuần 2: 14.09–20.09.2026; Tuần 3: 21.09–27.09.2026; Tuần 4: 28.09–04.10.2026; Tuần 5: 05.10–11.10.2026; Tuần 6: 12.10–18.10.2026; Tuần 7: 19.10–25.10.2026; Tuần 8: 26.10–01.11.2026.</v>
      </c>
      <c r="N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 s="17" t="str">
        <f t="shared" si="0"/>
        <v>Còn trống</v>
      </c>
    </row>
    <row r="15" spans="1:16" x14ac:dyDescent="0.3">
      <c r="A15">
        <v>14</v>
      </c>
      <c r="B15" t="s">
        <v>16</v>
      </c>
      <c r="C15" t="s">
        <v>72</v>
      </c>
      <c r="D15" t="s">
        <v>73</v>
      </c>
      <c r="E15" t="s">
        <v>40</v>
      </c>
      <c r="F15" t="s">
        <v>41</v>
      </c>
      <c r="G15" t="s">
        <v>74</v>
      </c>
      <c r="H15" t="str">
        <f>'Huong dan giao do an'!$B$14</f>
        <v>5 SV (vai trò chính): 1 PM/Scrum Master kiêm Integration; 2 BA/PO; 3 UI-UX + Frontend; 4 Backend/API + DevOps; 5 Database + QA/Tester. Mỗi SV có nhiệm vụ phụ và minh chứng cá nhân.</v>
      </c>
      <c r="I15" t="s">
        <v>29</v>
      </c>
      <c r="J15" t="s">
        <v>30</v>
      </c>
      <c r="K15" t="str">
        <f>IF(I15="Trung bình",'Huong dan giao do an'!$B$8,IF(I15="Khá",'Huong dan giao do an'!$B$9,'Huong dan giao do an'!$B$10))</f>
        <v>Tối thiểu 5 actor; 14-18 use case; 10-15 bảng; 4 quy trình; tích hợp ngoài/realtime hoặc xử lý nâng cao; 3 báo cáo; &gt;=45 test case; logging, backup và deploy.</v>
      </c>
      <c r="L15" t="str">
        <f>'Huong dan giao do an'!$B$31</f>
        <v>Bắt buộc: Charter/PMP; SRS + scope/WBS; Gantt/baseline; effort-cost budget; RACI/timesheet; quality-test-defect; communication/minutes; risk register; procurement; change log; closure/lessons learned.</v>
      </c>
      <c r="M15" t="str">
        <f>'Huong dan giao do an'!$B$33</f>
        <v>Tuần 1: 07.09–13.09.2026; Tuần 2: 14.09–20.09.2026; Tuần 3: 21.09–27.09.2026; Tuần 4: 28.09–04.10.2026; Tuần 5: 05.10–11.10.2026; Tuần 6: 12.10–18.10.2026; Tuần 7: 19.10–25.10.2026; Tuần 8: 26.10–01.11.2026.</v>
      </c>
      <c r="N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 s="17" t="str">
        <f t="shared" si="0"/>
        <v>Còn trống</v>
      </c>
    </row>
    <row r="16" spans="1:16" x14ac:dyDescent="0.3">
      <c r="A16">
        <v>15</v>
      </c>
      <c r="B16" t="s">
        <v>16</v>
      </c>
      <c r="C16" t="s">
        <v>75</v>
      </c>
      <c r="D16" t="s">
        <v>76</v>
      </c>
      <c r="E16" t="s">
        <v>45</v>
      </c>
      <c r="F16" t="s">
        <v>46</v>
      </c>
      <c r="G16" t="s">
        <v>77</v>
      </c>
      <c r="H16" t="str">
        <f>'Huong dan giao do an'!$B$14</f>
        <v>5 SV (vai trò chính): 1 PM/Scrum Master kiêm Integration; 2 BA/PO; 3 UI-UX + Frontend; 4 Backend/API + DevOps; 5 Database + QA/Tester. Mỗi SV có nhiệm vụ phụ và minh chứng cá nhân.</v>
      </c>
      <c r="I16" t="s">
        <v>36</v>
      </c>
      <c r="J16" t="s">
        <v>37</v>
      </c>
      <c r="K16" t="str">
        <f>IF(I16="Trung bình",'Huong dan giao do an'!$B$8,IF(I16="Khá",'Huong dan giao do an'!$B$9,'Huong dan giao do an'!$B$10))</f>
        <v>Tối thiểu 3 actor; 8-10 use case; 6-8 bảng dữ liệu; 2 quy trình lõi; đăng nhập/RBAC; 1 dashboard; 1 báo cáo; &gt;=25 test case; triển khai bản demo.</v>
      </c>
      <c r="L16" t="str">
        <f>'Huong dan giao do an'!$B$31</f>
        <v>Bắt buộc: Charter/PMP; SRS + scope/WBS; Gantt/baseline; effort-cost budget; RACI/timesheet; quality-test-defect; communication/minutes; risk register; procurement; change log; closure/lessons learned.</v>
      </c>
      <c r="M16" t="str">
        <f>'Huong dan giao do an'!$B$33</f>
        <v>Tuần 1: 07.09–13.09.2026; Tuần 2: 14.09–20.09.2026; Tuần 3: 21.09–27.09.2026; Tuần 4: 28.09–04.10.2026; Tuần 5: 05.10–11.10.2026; Tuần 6: 12.10–18.10.2026; Tuần 7: 19.10–25.10.2026; Tuần 8: 26.10–01.11.2026.</v>
      </c>
      <c r="N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 s="17" t="str">
        <f t="shared" si="0"/>
        <v>Còn trống</v>
      </c>
    </row>
    <row r="17" spans="1:16" x14ac:dyDescent="0.3">
      <c r="A17">
        <v>16</v>
      </c>
      <c r="B17" t="s">
        <v>16</v>
      </c>
      <c r="C17" t="s">
        <v>78</v>
      </c>
      <c r="D17" t="s">
        <v>79</v>
      </c>
      <c r="E17" t="s">
        <v>19</v>
      </c>
      <c r="F17" t="s">
        <v>20</v>
      </c>
      <c r="G17" t="s">
        <v>80</v>
      </c>
      <c r="H17" t="str">
        <f>'Huong dan giao do an'!$B$14</f>
        <v>5 SV (vai trò chính): 1 PM/Scrum Master kiêm Integration; 2 BA/PO; 3 UI-UX + Frontend; 4 Backend/API + DevOps; 5 Database + QA/Tester. Mỗi SV có nhiệm vụ phụ và minh chứng cá nhân.</v>
      </c>
      <c r="I17" t="s">
        <v>22</v>
      </c>
      <c r="J17" t="s">
        <v>23</v>
      </c>
      <c r="K17" t="str">
        <f>IF(I17="Trung bình",'Huong dan giao do an'!$B$8,IF(I17="Khá",'Huong dan giao do an'!$B$9,'Huong dan giao do an'!$B$10))</f>
        <v>Tối thiểu 4 actor; 10-14 use case; 8-12 bảng; 3 quy trình lõi; phân quyền chi tiết; 2 báo cáo; tích hợp 1 dịch vụ; &gt;=35 test case; CI/CD hoặc deploy cloud.</v>
      </c>
      <c r="L17" t="str">
        <f>'Huong dan giao do an'!$B$31</f>
        <v>Bắt buộc: Charter/PMP; SRS + scope/WBS; Gantt/baseline; effort-cost budget; RACI/timesheet; quality-test-defect; communication/minutes; risk register; procurement; change log; closure/lessons learned.</v>
      </c>
      <c r="M17" t="str">
        <f>'Huong dan giao do an'!$B$33</f>
        <v>Tuần 1: 07.09–13.09.2026; Tuần 2: 14.09–20.09.2026; Tuần 3: 21.09–27.09.2026; Tuần 4: 28.09–04.10.2026; Tuần 5: 05.10–11.10.2026; Tuần 6: 12.10–18.10.2026; Tuần 7: 19.10–25.10.2026; Tuần 8: 26.10–01.11.2026.</v>
      </c>
      <c r="N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 s="17" t="str">
        <f t="shared" si="0"/>
        <v>Còn trống</v>
      </c>
    </row>
    <row r="18" spans="1:16" x14ac:dyDescent="0.3">
      <c r="A18">
        <v>17</v>
      </c>
      <c r="B18" t="s">
        <v>16</v>
      </c>
      <c r="C18" t="s">
        <v>81</v>
      </c>
      <c r="D18" t="s">
        <v>82</v>
      </c>
      <c r="E18" t="s">
        <v>26</v>
      </c>
      <c r="F18" t="s">
        <v>27</v>
      </c>
      <c r="G18" t="s">
        <v>83</v>
      </c>
      <c r="H18" t="str">
        <f>'Huong dan giao do an'!$B$14</f>
        <v>5 SV (vai trò chính): 1 PM/Scrum Master kiêm Integration; 2 BA/PO; 3 UI-UX + Frontend; 4 Backend/API + DevOps; 5 Database + QA/Tester. Mỗi SV có nhiệm vụ phụ và minh chứng cá nhân.</v>
      </c>
      <c r="I18" t="s">
        <v>29</v>
      </c>
      <c r="J18" t="s">
        <v>30</v>
      </c>
      <c r="K18" t="str">
        <f>IF(I18="Trung bình",'Huong dan giao do an'!$B$8,IF(I18="Khá",'Huong dan giao do an'!$B$9,'Huong dan giao do an'!$B$10))</f>
        <v>Tối thiểu 5 actor; 14-18 use case; 10-15 bảng; 4 quy trình; tích hợp ngoài/realtime hoặc xử lý nâng cao; 3 báo cáo; &gt;=45 test case; logging, backup và deploy.</v>
      </c>
      <c r="L18" t="str">
        <f>'Huong dan giao do an'!$B$31</f>
        <v>Bắt buộc: Charter/PMP; SRS + scope/WBS; Gantt/baseline; effort-cost budget; RACI/timesheet; quality-test-defect; communication/minutes; risk register; procurement; change log; closure/lessons learned.</v>
      </c>
      <c r="M18" t="str">
        <f>'Huong dan giao do an'!$B$33</f>
        <v>Tuần 1: 07.09–13.09.2026; Tuần 2: 14.09–20.09.2026; Tuần 3: 21.09–27.09.2026; Tuần 4: 28.09–04.10.2026; Tuần 5: 05.10–11.10.2026; Tuần 6: 12.10–18.10.2026; Tuần 7: 19.10–25.10.2026; Tuần 8: 26.10–01.11.2026.</v>
      </c>
      <c r="N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 s="17" t="str">
        <f t="shared" si="0"/>
        <v>Còn trống</v>
      </c>
    </row>
    <row r="19" spans="1:16" x14ac:dyDescent="0.3">
      <c r="A19">
        <v>18</v>
      </c>
      <c r="B19" t="s">
        <v>16</v>
      </c>
      <c r="C19" t="s">
        <v>84</v>
      </c>
      <c r="D19" t="s">
        <v>85</v>
      </c>
      <c r="E19" t="s">
        <v>33</v>
      </c>
      <c r="F19" t="s">
        <v>34</v>
      </c>
      <c r="G19" t="s">
        <v>86</v>
      </c>
      <c r="H19" t="str">
        <f>'Huong dan giao do an'!$B$14</f>
        <v>5 SV (vai trò chính): 1 PM/Scrum Master kiêm Integration; 2 BA/PO; 3 UI-UX + Frontend; 4 Backend/API + DevOps; 5 Database + QA/Tester. Mỗi SV có nhiệm vụ phụ và minh chứng cá nhân.</v>
      </c>
      <c r="I19" t="s">
        <v>36</v>
      </c>
      <c r="J19" t="s">
        <v>37</v>
      </c>
      <c r="K19" t="str">
        <f>IF(I19="Trung bình",'Huong dan giao do an'!$B$8,IF(I19="Khá",'Huong dan giao do an'!$B$9,'Huong dan giao do an'!$B$10))</f>
        <v>Tối thiểu 3 actor; 8-10 use case; 6-8 bảng dữ liệu; 2 quy trình lõi; đăng nhập/RBAC; 1 dashboard; 1 báo cáo; &gt;=25 test case; triển khai bản demo.</v>
      </c>
      <c r="L19" t="str">
        <f>'Huong dan giao do an'!$B$31</f>
        <v>Bắt buộc: Charter/PMP; SRS + scope/WBS; Gantt/baseline; effort-cost budget; RACI/timesheet; quality-test-defect; communication/minutes; risk register; procurement; change log; closure/lessons learned.</v>
      </c>
      <c r="M19" t="str">
        <f>'Huong dan giao do an'!$B$33</f>
        <v>Tuần 1: 07.09–13.09.2026; Tuần 2: 14.09–20.09.2026; Tuần 3: 21.09–27.09.2026; Tuần 4: 28.09–04.10.2026; Tuần 5: 05.10–11.10.2026; Tuần 6: 12.10–18.10.2026; Tuần 7: 19.10–25.10.2026; Tuần 8: 26.10–01.11.2026.</v>
      </c>
      <c r="N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 s="17" t="str">
        <f t="shared" si="0"/>
        <v>Còn trống</v>
      </c>
    </row>
    <row r="20" spans="1:16" x14ac:dyDescent="0.3">
      <c r="A20">
        <v>19</v>
      </c>
      <c r="B20" t="s">
        <v>16</v>
      </c>
      <c r="C20" t="s">
        <v>87</v>
      </c>
      <c r="D20" t="s">
        <v>88</v>
      </c>
      <c r="E20" t="s">
        <v>40</v>
      </c>
      <c r="F20" t="s">
        <v>41</v>
      </c>
      <c r="G20" t="s">
        <v>89</v>
      </c>
      <c r="H20" t="str">
        <f>'Huong dan giao do an'!$B$14</f>
        <v>5 SV (vai trò chính): 1 PM/Scrum Master kiêm Integration; 2 BA/PO; 3 UI-UX + Frontend; 4 Backend/API + DevOps; 5 Database + QA/Tester. Mỗi SV có nhiệm vụ phụ và minh chứng cá nhân.</v>
      </c>
      <c r="I20" t="s">
        <v>22</v>
      </c>
      <c r="J20" t="s">
        <v>23</v>
      </c>
      <c r="K20" t="str">
        <f>IF(I20="Trung bình",'Huong dan giao do an'!$B$8,IF(I20="Khá",'Huong dan giao do an'!$B$9,'Huong dan giao do an'!$B$10))</f>
        <v>Tối thiểu 4 actor; 10-14 use case; 8-12 bảng; 3 quy trình lõi; phân quyền chi tiết; 2 báo cáo; tích hợp 1 dịch vụ; &gt;=35 test case; CI/CD hoặc deploy cloud.</v>
      </c>
      <c r="L20" t="str">
        <f>'Huong dan giao do an'!$B$31</f>
        <v>Bắt buộc: Charter/PMP; SRS + scope/WBS; Gantt/baseline; effort-cost budget; RACI/timesheet; quality-test-defect; communication/minutes; risk register; procurement; change log; closure/lessons learned.</v>
      </c>
      <c r="M20" t="str">
        <f>'Huong dan giao do an'!$B$33</f>
        <v>Tuần 1: 07.09–13.09.2026; Tuần 2: 14.09–20.09.2026; Tuần 3: 21.09–27.09.2026; Tuần 4: 28.09–04.10.2026; Tuần 5: 05.10–11.10.2026; Tuần 6: 12.10–18.10.2026; Tuần 7: 19.10–25.10.2026; Tuần 8: 26.10–01.11.2026.</v>
      </c>
      <c r="N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 s="17" t="str">
        <f t="shared" si="0"/>
        <v>Còn trống</v>
      </c>
    </row>
    <row r="21" spans="1:16" x14ac:dyDescent="0.3">
      <c r="A21">
        <v>20</v>
      </c>
      <c r="B21" t="s">
        <v>16</v>
      </c>
      <c r="C21" t="s">
        <v>90</v>
      </c>
      <c r="D21" t="s">
        <v>91</v>
      </c>
      <c r="E21" t="s">
        <v>45</v>
      </c>
      <c r="F21" t="s">
        <v>46</v>
      </c>
      <c r="G21" t="s">
        <v>92</v>
      </c>
      <c r="H21" t="str">
        <f>'Huong dan giao do an'!$B$14</f>
        <v>5 SV (vai trò chính): 1 PM/Scrum Master kiêm Integration; 2 BA/PO; 3 UI-UX + Frontend; 4 Backend/API + DevOps; 5 Database + QA/Tester. Mỗi SV có nhiệm vụ phụ và minh chứng cá nhân.</v>
      </c>
      <c r="I21" t="s">
        <v>29</v>
      </c>
      <c r="J21" t="s">
        <v>30</v>
      </c>
      <c r="K21" t="str">
        <f>IF(I21="Trung bình",'Huong dan giao do an'!$B$8,IF(I21="Khá",'Huong dan giao do an'!$B$9,'Huong dan giao do an'!$B$10))</f>
        <v>Tối thiểu 5 actor; 14-18 use case; 10-15 bảng; 4 quy trình; tích hợp ngoài/realtime hoặc xử lý nâng cao; 3 báo cáo; &gt;=45 test case; logging, backup và deploy.</v>
      </c>
      <c r="L21" t="str">
        <f>'Huong dan giao do an'!$B$31</f>
        <v>Bắt buộc: Charter/PMP; SRS + scope/WBS; Gantt/baseline; effort-cost budget; RACI/timesheet; quality-test-defect; communication/minutes; risk register; procurement; change log; closure/lessons learned.</v>
      </c>
      <c r="M21" t="str">
        <f>'Huong dan giao do an'!$B$33</f>
        <v>Tuần 1: 07.09–13.09.2026; Tuần 2: 14.09–20.09.2026; Tuần 3: 21.09–27.09.2026; Tuần 4: 28.09–04.10.2026; Tuần 5: 05.10–11.10.2026; Tuần 6: 12.10–18.10.2026; Tuần 7: 19.10–25.10.2026; Tuần 8: 26.10–01.11.2026.</v>
      </c>
      <c r="N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 s="17" t="str">
        <f t="shared" si="0"/>
        <v>Còn trống</v>
      </c>
    </row>
    <row r="22" spans="1:16" x14ac:dyDescent="0.3">
      <c r="A22">
        <v>21</v>
      </c>
      <c r="B22" t="s">
        <v>16</v>
      </c>
      <c r="C22" t="s">
        <v>93</v>
      </c>
      <c r="D22" t="s">
        <v>94</v>
      </c>
      <c r="E22" t="s">
        <v>19</v>
      </c>
      <c r="F22" t="s">
        <v>20</v>
      </c>
      <c r="G22" t="s">
        <v>21</v>
      </c>
      <c r="H22" t="str">
        <f>'Huong dan giao do an'!$B$14</f>
        <v>5 SV (vai trò chính): 1 PM/Scrum Master kiêm Integration; 2 BA/PO; 3 UI-UX + Frontend; 4 Backend/API + DevOps; 5 Database + QA/Tester. Mỗi SV có nhiệm vụ phụ và minh chứng cá nhân.</v>
      </c>
      <c r="I22" t="s">
        <v>22</v>
      </c>
      <c r="J22" t="s">
        <v>23</v>
      </c>
      <c r="K22" t="str">
        <f>IF(I22="Trung bình",'Huong dan giao do an'!$B$8,IF(I22="Khá",'Huong dan giao do an'!$B$9,'Huong dan giao do an'!$B$10))</f>
        <v>Tối thiểu 4 actor; 10-14 use case; 8-12 bảng; 3 quy trình lõi; phân quyền chi tiết; 2 báo cáo; tích hợp 1 dịch vụ; &gt;=35 test case; CI/CD hoặc deploy cloud.</v>
      </c>
      <c r="L22" t="str">
        <f>'Huong dan giao do an'!$B$31</f>
        <v>Bắt buộc: Charter/PMP; SRS + scope/WBS; Gantt/baseline; effort-cost budget; RACI/timesheet; quality-test-defect; communication/minutes; risk register; procurement; change log; closure/lessons learned.</v>
      </c>
      <c r="M22" t="str">
        <f>'Huong dan giao do an'!$B$33</f>
        <v>Tuần 1: 07.09–13.09.2026; Tuần 2: 14.09–20.09.2026; Tuần 3: 21.09–27.09.2026; Tuần 4: 28.09–04.10.2026; Tuần 5: 05.10–11.10.2026; Tuần 6: 12.10–18.10.2026; Tuần 7: 19.10–25.10.2026; Tuần 8: 26.10–01.11.2026.</v>
      </c>
      <c r="N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 s="17" t="str">
        <f t="shared" si="0"/>
        <v>Còn trống</v>
      </c>
    </row>
    <row r="23" spans="1:16" x14ac:dyDescent="0.3">
      <c r="A23">
        <v>22</v>
      </c>
      <c r="B23" t="s">
        <v>16</v>
      </c>
      <c r="C23" t="s">
        <v>95</v>
      </c>
      <c r="D23" t="s">
        <v>96</v>
      </c>
      <c r="E23" t="s">
        <v>26</v>
      </c>
      <c r="F23" t="s">
        <v>27</v>
      </c>
      <c r="G23" t="s">
        <v>28</v>
      </c>
      <c r="H23" t="str">
        <f>'Huong dan giao do an'!$B$14</f>
        <v>5 SV (vai trò chính): 1 PM/Scrum Master kiêm Integration; 2 BA/PO; 3 UI-UX + Frontend; 4 Backend/API + DevOps; 5 Database + QA/Tester. Mỗi SV có nhiệm vụ phụ và minh chứng cá nhân.</v>
      </c>
      <c r="I23" t="s">
        <v>29</v>
      </c>
      <c r="J23" t="s">
        <v>30</v>
      </c>
      <c r="K23" t="str">
        <f>IF(I23="Trung bình",'Huong dan giao do an'!$B$8,IF(I23="Khá",'Huong dan giao do an'!$B$9,'Huong dan giao do an'!$B$10))</f>
        <v>Tối thiểu 5 actor; 14-18 use case; 10-15 bảng; 4 quy trình; tích hợp ngoài/realtime hoặc xử lý nâng cao; 3 báo cáo; &gt;=45 test case; logging, backup và deploy.</v>
      </c>
      <c r="L23" t="str">
        <f>'Huong dan giao do an'!$B$31</f>
        <v>Bắt buộc: Charter/PMP; SRS + scope/WBS; Gantt/baseline; effort-cost budget; RACI/timesheet; quality-test-defect; communication/minutes; risk register; procurement; change log; closure/lessons learned.</v>
      </c>
      <c r="M23" t="str">
        <f>'Huong dan giao do an'!$B$33</f>
        <v>Tuần 1: 07.09–13.09.2026; Tuần 2: 14.09–20.09.2026; Tuần 3: 21.09–27.09.2026; Tuần 4: 28.09–04.10.2026; Tuần 5: 05.10–11.10.2026; Tuần 6: 12.10–18.10.2026; Tuần 7: 19.10–25.10.2026; Tuần 8: 26.10–01.11.2026.</v>
      </c>
      <c r="N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 s="17" t="str">
        <f t="shared" si="0"/>
        <v>Còn trống</v>
      </c>
    </row>
    <row r="24" spans="1:16" x14ac:dyDescent="0.3">
      <c r="A24">
        <v>23</v>
      </c>
      <c r="B24" t="s">
        <v>16</v>
      </c>
      <c r="C24" t="s">
        <v>97</v>
      </c>
      <c r="D24" t="s">
        <v>98</v>
      </c>
      <c r="E24" t="s">
        <v>33</v>
      </c>
      <c r="F24" t="s">
        <v>34</v>
      </c>
      <c r="G24" t="s">
        <v>35</v>
      </c>
      <c r="H24" t="str">
        <f>'Huong dan giao do an'!$B$14</f>
        <v>5 SV (vai trò chính): 1 PM/Scrum Master kiêm Integration; 2 BA/PO; 3 UI-UX + Frontend; 4 Backend/API + DevOps; 5 Database + QA/Tester. Mỗi SV có nhiệm vụ phụ và minh chứng cá nhân.</v>
      </c>
      <c r="I24" t="s">
        <v>36</v>
      </c>
      <c r="J24" t="s">
        <v>37</v>
      </c>
      <c r="K24" t="str">
        <f>IF(I24="Trung bình",'Huong dan giao do an'!$B$8,IF(I24="Khá",'Huong dan giao do an'!$B$9,'Huong dan giao do an'!$B$10))</f>
        <v>Tối thiểu 3 actor; 8-10 use case; 6-8 bảng dữ liệu; 2 quy trình lõi; đăng nhập/RBAC; 1 dashboard; 1 báo cáo; &gt;=25 test case; triển khai bản demo.</v>
      </c>
      <c r="L24" t="str">
        <f>'Huong dan giao do an'!$B$31</f>
        <v>Bắt buộc: Charter/PMP; SRS + scope/WBS; Gantt/baseline; effort-cost budget; RACI/timesheet; quality-test-defect; communication/minutes; risk register; procurement; change log; closure/lessons learned.</v>
      </c>
      <c r="M24" t="str">
        <f>'Huong dan giao do an'!$B$33</f>
        <v>Tuần 1: 07.09–13.09.2026; Tuần 2: 14.09–20.09.2026; Tuần 3: 21.09–27.09.2026; Tuần 4: 28.09–04.10.2026; Tuần 5: 05.10–11.10.2026; Tuần 6: 12.10–18.10.2026; Tuần 7: 19.10–25.10.2026; Tuần 8: 26.10–01.11.2026.</v>
      </c>
      <c r="N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 s="17" t="str">
        <f t="shared" si="0"/>
        <v>Còn trống</v>
      </c>
    </row>
    <row r="25" spans="1:16" x14ac:dyDescent="0.3">
      <c r="A25">
        <v>24</v>
      </c>
      <c r="B25" t="s">
        <v>16</v>
      </c>
      <c r="C25" t="s">
        <v>99</v>
      </c>
      <c r="D25" t="s">
        <v>100</v>
      </c>
      <c r="E25" t="s">
        <v>40</v>
      </c>
      <c r="F25" t="s">
        <v>41</v>
      </c>
      <c r="G25" t="s">
        <v>42</v>
      </c>
      <c r="H25" t="str">
        <f>'Huong dan giao do an'!$B$14</f>
        <v>5 SV (vai trò chính): 1 PM/Scrum Master kiêm Integration; 2 BA/PO; 3 UI-UX + Frontend; 4 Backend/API + DevOps; 5 Database + QA/Tester. Mỗi SV có nhiệm vụ phụ và minh chứng cá nhân.</v>
      </c>
      <c r="I25" t="s">
        <v>22</v>
      </c>
      <c r="J25" t="s">
        <v>23</v>
      </c>
      <c r="K25" t="str">
        <f>IF(I25="Trung bình",'Huong dan giao do an'!$B$8,IF(I25="Khá",'Huong dan giao do an'!$B$9,'Huong dan giao do an'!$B$10))</f>
        <v>Tối thiểu 4 actor; 10-14 use case; 8-12 bảng; 3 quy trình lõi; phân quyền chi tiết; 2 báo cáo; tích hợp 1 dịch vụ; &gt;=35 test case; CI/CD hoặc deploy cloud.</v>
      </c>
      <c r="L25" t="str">
        <f>'Huong dan giao do an'!$B$31</f>
        <v>Bắt buộc: Charter/PMP; SRS + scope/WBS; Gantt/baseline; effort-cost budget; RACI/timesheet; quality-test-defect; communication/minutes; risk register; procurement; change log; closure/lessons learned.</v>
      </c>
      <c r="M25" t="str">
        <f>'Huong dan giao do an'!$B$33</f>
        <v>Tuần 1: 07.09–13.09.2026; Tuần 2: 14.09–20.09.2026; Tuần 3: 21.09–27.09.2026; Tuần 4: 28.09–04.10.2026; Tuần 5: 05.10–11.10.2026; Tuần 6: 12.10–18.10.2026; Tuần 7: 19.10–25.10.2026; Tuần 8: 26.10–01.11.2026.</v>
      </c>
      <c r="N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 s="17" t="str">
        <f t="shared" si="0"/>
        <v>Còn trống</v>
      </c>
    </row>
    <row r="26" spans="1:16" x14ac:dyDescent="0.3">
      <c r="A26">
        <v>25</v>
      </c>
      <c r="B26" t="s">
        <v>16</v>
      </c>
      <c r="C26" t="s">
        <v>101</v>
      </c>
      <c r="D26" t="s">
        <v>102</v>
      </c>
      <c r="E26" t="s">
        <v>45</v>
      </c>
      <c r="F26" t="s">
        <v>46</v>
      </c>
      <c r="G26" t="s">
        <v>47</v>
      </c>
      <c r="H26" t="str">
        <f>'Huong dan giao do an'!$B$14</f>
        <v>5 SV (vai trò chính): 1 PM/Scrum Master kiêm Integration; 2 BA/PO; 3 UI-UX + Frontend; 4 Backend/API + DevOps; 5 Database + QA/Tester. Mỗi SV có nhiệm vụ phụ và minh chứng cá nhân.</v>
      </c>
      <c r="I26" t="s">
        <v>29</v>
      </c>
      <c r="J26" t="s">
        <v>30</v>
      </c>
      <c r="K26" t="str">
        <f>IF(I26="Trung bình",'Huong dan giao do an'!$B$8,IF(I26="Khá",'Huong dan giao do an'!$B$9,'Huong dan giao do an'!$B$10))</f>
        <v>Tối thiểu 5 actor; 14-18 use case; 10-15 bảng; 4 quy trình; tích hợp ngoài/realtime hoặc xử lý nâng cao; 3 báo cáo; &gt;=45 test case; logging, backup và deploy.</v>
      </c>
      <c r="L26" t="str">
        <f>'Huong dan giao do an'!$B$31</f>
        <v>Bắt buộc: Charter/PMP; SRS + scope/WBS; Gantt/baseline; effort-cost budget; RACI/timesheet; quality-test-defect; communication/minutes; risk register; procurement; change log; closure/lessons learned.</v>
      </c>
      <c r="M26" t="str">
        <f>'Huong dan giao do an'!$B$33</f>
        <v>Tuần 1: 07.09–13.09.2026; Tuần 2: 14.09–20.09.2026; Tuần 3: 21.09–27.09.2026; Tuần 4: 28.09–04.10.2026; Tuần 5: 05.10–11.10.2026; Tuần 6: 12.10–18.10.2026; Tuần 7: 19.10–25.10.2026; Tuần 8: 26.10–01.11.2026.</v>
      </c>
      <c r="N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 s="17" t="str">
        <f t="shared" si="0"/>
        <v>Còn trống</v>
      </c>
    </row>
    <row r="27" spans="1:16" x14ac:dyDescent="0.3">
      <c r="A27">
        <v>26</v>
      </c>
      <c r="B27" t="s">
        <v>16</v>
      </c>
      <c r="C27" t="s">
        <v>103</v>
      </c>
      <c r="D27" t="s">
        <v>104</v>
      </c>
      <c r="E27" t="s">
        <v>19</v>
      </c>
      <c r="F27" t="s">
        <v>20</v>
      </c>
      <c r="G27" t="s">
        <v>50</v>
      </c>
      <c r="H27" t="str">
        <f>'Huong dan giao do an'!$B$14</f>
        <v>5 SV (vai trò chính): 1 PM/Scrum Master kiêm Integration; 2 BA/PO; 3 UI-UX + Frontend; 4 Backend/API + DevOps; 5 Database + QA/Tester. Mỗi SV có nhiệm vụ phụ và minh chứng cá nhân.</v>
      </c>
      <c r="I27" t="s">
        <v>36</v>
      </c>
      <c r="J27" t="s">
        <v>37</v>
      </c>
      <c r="K27" t="str">
        <f>IF(I27="Trung bình",'Huong dan giao do an'!$B$8,IF(I27="Khá",'Huong dan giao do an'!$B$9,'Huong dan giao do an'!$B$10))</f>
        <v>Tối thiểu 3 actor; 8-10 use case; 6-8 bảng dữ liệu; 2 quy trình lõi; đăng nhập/RBAC; 1 dashboard; 1 báo cáo; &gt;=25 test case; triển khai bản demo.</v>
      </c>
      <c r="L27" t="str">
        <f>'Huong dan giao do an'!$B$31</f>
        <v>Bắt buộc: Charter/PMP; SRS + scope/WBS; Gantt/baseline; effort-cost budget; RACI/timesheet; quality-test-defect; communication/minutes; risk register; procurement; change log; closure/lessons learned.</v>
      </c>
      <c r="M27" t="str">
        <f>'Huong dan giao do an'!$B$33</f>
        <v>Tuần 1: 07.09–13.09.2026; Tuần 2: 14.09–20.09.2026; Tuần 3: 21.09–27.09.2026; Tuần 4: 28.09–04.10.2026; Tuần 5: 05.10–11.10.2026; Tuần 6: 12.10–18.10.2026; Tuần 7: 19.10–25.10.2026; Tuần 8: 26.10–01.11.2026.</v>
      </c>
      <c r="N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 s="17" t="str">
        <f t="shared" si="0"/>
        <v>Còn trống</v>
      </c>
    </row>
    <row r="28" spans="1:16" x14ac:dyDescent="0.3">
      <c r="A28">
        <v>27</v>
      </c>
      <c r="B28" t="s">
        <v>16</v>
      </c>
      <c r="C28" t="s">
        <v>105</v>
      </c>
      <c r="D28" t="s">
        <v>106</v>
      </c>
      <c r="E28" t="s">
        <v>26</v>
      </c>
      <c r="F28" t="s">
        <v>27</v>
      </c>
      <c r="G28" t="s">
        <v>53</v>
      </c>
      <c r="H28" t="str">
        <f>'Huong dan giao do an'!$B$14</f>
        <v>5 SV (vai trò chính): 1 PM/Scrum Master kiêm Integration; 2 BA/PO; 3 UI-UX + Frontend; 4 Backend/API + DevOps; 5 Database + QA/Tester. Mỗi SV có nhiệm vụ phụ và minh chứng cá nhân.</v>
      </c>
      <c r="I28" t="s">
        <v>22</v>
      </c>
      <c r="J28" t="s">
        <v>23</v>
      </c>
      <c r="K28" t="str">
        <f>IF(I28="Trung bình",'Huong dan giao do an'!$B$8,IF(I28="Khá",'Huong dan giao do an'!$B$9,'Huong dan giao do an'!$B$10))</f>
        <v>Tối thiểu 4 actor; 10-14 use case; 8-12 bảng; 3 quy trình lõi; phân quyền chi tiết; 2 báo cáo; tích hợp 1 dịch vụ; &gt;=35 test case; CI/CD hoặc deploy cloud.</v>
      </c>
      <c r="L28" t="str">
        <f>'Huong dan giao do an'!$B$31</f>
        <v>Bắt buộc: Charter/PMP; SRS + scope/WBS; Gantt/baseline; effort-cost budget; RACI/timesheet; quality-test-defect; communication/minutes; risk register; procurement; change log; closure/lessons learned.</v>
      </c>
      <c r="M28" t="str">
        <f>'Huong dan giao do an'!$B$33</f>
        <v>Tuần 1: 07.09–13.09.2026; Tuần 2: 14.09–20.09.2026; Tuần 3: 21.09–27.09.2026; Tuần 4: 28.09–04.10.2026; Tuần 5: 05.10–11.10.2026; Tuần 6: 12.10–18.10.2026; Tuần 7: 19.10–25.10.2026; Tuần 8: 26.10–01.11.2026.</v>
      </c>
      <c r="N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 s="17" t="str">
        <f t="shared" si="0"/>
        <v>Còn trống</v>
      </c>
    </row>
    <row r="29" spans="1:16" x14ac:dyDescent="0.3">
      <c r="A29">
        <v>28</v>
      </c>
      <c r="B29" t="s">
        <v>16</v>
      </c>
      <c r="C29" t="s">
        <v>107</v>
      </c>
      <c r="D29" t="s">
        <v>108</v>
      </c>
      <c r="E29" t="s">
        <v>33</v>
      </c>
      <c r="F29" t="s">
        <v>34</v>
      </c>
      <c r="G29" t="s">
        <v>56</v>
      </c>
      <c r="H29" t="str">
        <f>'Huong dan giao do an'!$B$14</f>
        <v>5 SV (vai trò chính): 1 PM/Scrum Master kiêm Integration; 2 BA/PO; 3 UI-UX + Frontend; 4 Backend/API + DevOps; 5 Database + QA/Tester. Mỗi SV có nhiệm vụ phụ và minh chứng cá nhân.</v>
      </c>
      <c r="I29" t="s">
        <v>29</v>
      </c>
      <c r="J29" t="s">
        <v>30</v>
      </c>
      <c r="K29" t="str">
        <f>IF(I29="Trung bình",'Huong dan giao do an'!$B$8,IF(I29="Khá",'Huong dan giao do an'!$B$9,'Huong dan giao do an'!$B$10))</f>
        <v>Tối thiểu 5 actor; 14-18 use case; 10-15 bảng; 4 quy trình; tích hợp ngoài/realtime hoặc xử lý nâng cao; 3 báo cáo; &gt;=45 test case; logging, backup và deploy.</v>
      </c>
      <c r="L29" t="str">
        <f>'Huong dan giao do an'!$B$31</f>
        <v>Bắt buộc: Charter/PMP; SRS + scope/WBS; Gantt/baseline; effort-cost budget; RACI/timesheet; quality-test-defect; communication/minutes; risk register; procurement; change log; closure/lessons learned.</v>
      </c>
      <c r="M29" t="str">
        <f>'Huong dan giao do an'!$B$33</f>
        <v>Tuần 1: 07.09–13.09.2026; Tuần 2: 14.09–20.09.2026; Tuần 3: 21.09–27.09.2026; Tuần 4: 28.09–04.10.2026; Tuần 5: 05.10–11.10.2026; Tuần 6: 12.10–18.10.2026; Tuần 7: 19.10–25.10.2026; Tuần 8: 26.10–01.11.2026.</v>
      </c>
      <c r="N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 s="17" t="str">
        <f t="shared" si="0"/>
        <v>Còn trống</v>
      </c>
    </row>
    <row r="30" spans="1:16" x14ac:dyDescent="0.3">
      <c r="A30">
        <v>29</v>
      </c>
      <c r="B30" t="s">
        <v>16</v>
      </c>
      <c r="C30" t="s">
        <v>109</v>
      </c>
      <c r="D30" t="s">
        <v>110</v>
      </c>
      <c r="E30" t="s">
        <v>40</v>
      </c>
      <c r="F30" t="s">
        <v>41</v>
      </c>
      <c r="G30" t="s">
        <v>59</v>
      </c>
      <c r="H30" t="str">
        <f>'Huong dan giao do an'!$B$14</f>
        <v>5 SV (vai trò chính): 1 PM/Scrum Master kiêm Integration; 2 BA/PO; 3 UI-UX + Frontend; 4 Backend/API + DevOps; 5 Database + QA/Tester. Mỗi SV có nhiệm vụ phụ và minh chứng cá nhân.</v>
      </c>
      <c r="I30" t="s">
        <v>36</v>
      </c>
      <c r="J30" t="s">
        <v>37</v>
      </c>
      <c r="K30" t="str">
        <f>IF(I30="Trung bình",'Huong dan giao do an'!$B$8,IF(I30="Khá",'Huong dan giao do an'!$B$9,'Huong dan giao do an'!$B$10))</f>
        <v>Tối thiểu 3 actor; 8-10 use case; 6-8 bảng dữ liệu; 2 quy trình lõi; đăng nhập/RBAC; 1 dashboard; 1 báo cáo; &gt;=25 test case; triển khai bản demo.</v>
      </c>
      <c r="L30" t="str">
        <f>'Huong dan giao do an'!$B$31</f>
        <v>Bắt buộc: Charter/PMP; SRS + scope/WBS; Gantt/baseline; effort-cost budget; RACI/timesheet; quality-test-defect; communication/minutes; risk register; procurement; change log; closure/lessons learned.</v>
      </c>
      <c r="M30" t="str">
        <f>'Huong dan giao do an'!$B$33</f>
        <v>Tuần 1: 07.09–13.09.2026; Tuần 2: 14.09–20.09.2026; Tuần 3: 21.09–27.09.2026; Tuần 4: 28.09–04.10.2026; Tuần 5: 05.10–11.10.2026; Tuần 6: 12.10–18.10.2026; Tuần 7: 19.10–25.10.2026; Tuần 8: 26.10–01.11.2026.</v>
      </c>
      <c r="N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 s="17" t="str">
        <f t="shared" si="0"/>
        <v>Còn trống</v>
      </c>
    </row>
    <row r="31" spans="1:16" x14ac:dyDescent="0.3">
      <c r="A31">
        <v>30</v>
      </c>
      <c r="B31" t="s">
        <v>16</v>
      </c>
      <c r="C31" t="s">
        <v>111</v>
      </c>
      <c r="D31" t="s">
        <v>112</v>
      </c>
      <c r="E31" t="s">
        <v>45</v>
      </c>
      <c r="F31" t="s">
        <v>46</v>
      </c>
      <c r="G31" t="s">
        <v>62</v>
      </c>
      <c r="H31" t="str">
        <f>'Huong dan giao do an'!$B$14</f>
        <v>5 SV (vai trò chính): 1 PM/Scrum Master kiêm Integration; 2 BA/PO; 3 UI-UX + Frontend; 4 Backend/API + DevOps; 5 Database + QA/Tester. Mỗi SV có nhiệm vụ phụ và minh chứng cá nhân.</v>
      </c>
      <c r="I31" t="s">
        <v>22</v>
      </c>
      <c r="J31" t="s">
        <v>23</v>
      </c>
      <c r="K31" t="str">
        <f>IF(I31="Trung bình",'Huong dan giao do an'!$B$8,IF(I31="Khá",'Huong dan giao do an'!$B$9,'Huong dan giao do an'!$B$10))</f>
        <v>Tối thiểu 4 actor; 10-14 use case; 8-12 bảng; 3 quy trình lõi; phân quyền chi tiết; 2 báo cáo; tích hợp 1 dịch vụ; &gt;=35 test case; CI/CD hoặc deploy cloud.</v>
      </c>
      <c r="L31" t="str">
        <f>'Huong dan giao do an'!$B$31</f>
        <v>Bắt buộc: Charter/PMP; SRS + scope/WBS; Gantt/baseline; effort-cost budget; RACI/timesheet; quality-test-defect; communication/minutes; risk register; procurement; change log; closure/lessons learned.</v>
      </c>
      <c r="M31" t="str">
        <f>'Huong dan giao do an'!$B$33</f>
        <v>Tuần 1: 07.09–13.09.2026; Tuần 2: 14.09–20.09.2026; Tuần 3: 21.09–27.09.2026; Tuần 4: 28.09–04.10.2026; Tuần 5: 05.10–11.10.2026; Tuần 6: 12.10–18.10.2026; Tuần 7: 19.10–25.10.2026; Tuần 8: 26.10–01.11.2026.</v>
      </c>
      <c r="N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 s="17" t="str">
        <f t="shared" si="0"/>
        <v>Còn trống</v>
      </c>
    </row>
    <row r="32" spans="1:16" x14ac:dyDescent="0.3">
      <c r="A32">
        <v>31</v>
      </c>
      <c r="B32" t="s">
        <v>16</v>
      </c>
      <c r="C32" t="s">
        <v>113</v>
      </c>
      <c r="D32" t="s">
        <v>114</v>
      </c>
      <c r="E32" t="s">
        <v>19</v>
      </c>
      <c r="F32" t="s">
        <v>20</v>
      </c>
      <c r="G32" t="s">
        <v>65</v>
      </c>
      <c r="H32" t="str">
        <f>'Huong dan giao do an'!$B$14</f>
        <v>5 SV (vai trò chính): 1 PM/Scrum Master kiêm Integration; 2 BA/PO; 3 UI-UX + Frontend; 4 Backend/API + DevOps; 5 Database + QA/Tester. Mỗi SV có nhiệm vụ phụ và minh chứng cá nhân.</v>
      </c>
      <c r="I32" t="s">
        <v>29</v>
      </c>
      <c r="J32" t="s">
        <v>30</v>
      </c>
      <c r="K32" t="str">
        <f>IF(I32="Trung bình",'Huong dan giao do an'!$B$8,IF(I32="Khá",'Huong dan giao do an'!$B$9,'Huong dan giao do an'!$B$10))</f>
        <v>Tối thiểu 5 actor; 14-18 use case; 10-15 bảng; 4 quy trình; tích hợp ngoài/realtime hoặc xử lý nâng cao; 3 báo cáo; &gt;=45 test case; logging, backup và deploy.</v>
      </c>
      <c r="L32" t="str">
        <f>'Huong dan giao do an'!$B$31</f>
        <v>Bắt buộc: Charter/PMP; SRS + scope/WBS; Gantt/baseline; effort-cost budget; RACI/timesheet; quality-test-defect; communication/minutes; risk register; procurement; change log; closure/lessons learned.</v>
      </c>
      <c r="M32" t="str">
        <f>'Huong dan giao do an'!$B$33</f>
        <v>Tuần 1: 07.09–13.09.2026; Tuần 2: 14.09–20.09.2026; Tuần 3: 21.09–27.09.2026; Tuần 4: 28.09–04.10.2026; Tuần 5: 05.10–11.10.2026; Tuần 6: 12.10–18.10.2026; Tuần 7: 19.10–25.10.2026; Tuần 8: 26.10–01.11.2026.</v>
      </c>
      <c r="N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 s="17" t="str">
        <f t="shared" si="0"/>
        <v>Còn trống</v>
      </c>
    </row>
    <row r="33" spans="1:16" x14ac:dyDescent="0.3">
      <c r="A33">
        <v>32</v>
      </c>
      <c r="B33" t="s">
        <v>16</v>
      </c>
      <c r="C33" t="s">
        <v>115</v>
      </c>
      <c r="D33" t="s">
        <v>116</v>
      </c>
      <c r="E33" t="s">
        <v>26</v>
      </c>
      <c r="F33" t="s">
        <v>27</v>
      </c>
      <c r="G33" t="s">
        <v>68</v>
      </c>
      <c r="H33" t="str">
        <f>'Huong dan giao do an'!$B$14</f>
        <v>5 SV (vai trò chính): 1 PM/Scrum Master kiêm Integration; 2 BA/PO; 3 UI-UX + Frontend; 4 Backend/API + DevOps; 5 Database + QA/Tester. Mỗi SV có nhiệm vụ phụ và minh chứng cá nhân.</v>
      </c>
      <c r="I33" t="s">
        <v>36</v>
      </c>
      <c r="J33" t="s">
        <v>37</v>
      </c>
      <c r="K33" t="str">
        <f>IF(I33="Trung bình",'Huong dan giao do an'!$B$8,IF(I33="Khá",'Huong dan giao do an'!$B$9,'Huong dan giao do an'!$B$10))</f>
        <v>Tối thiểu 3 actor; 8-10 use case; 6-8 bảng dữ liệu; 2 quy trình lõi; đăng nhập/RBAC; 1 dashboard; 1 báo cáo; &gt;=25 test case; triển khai bản demo.</v>
      </c>
      <c r="L33" t="str">
        <f>'Huong dan giao do an'!$B$31</f>
        <v>Bắt buộc: Charter/PMP; SRS + scope/WBS; Gantt/baseline; effort-cost budget; RACI/timesheet; quality-test-defect; communication/minutes; risk register; procurement; change log; closure/lessons learned.</v>
      </c>
      <c r="M33" t="str">
        <f>'Huong dan giao do an'!$B$33</f>
        <v>Tuần 1: 07.09–13.09.2026; Tuần 2: 14.09–20.09.2026; Tuần 3: 21.09–27.09.2026; Tuần 4: 28.09–04.10.2026; Tuần 5: 05.10–11.10.2026; Tuần 6: 12.10–18.10.2026; Tuần 7: 19.10–25.10.2026; Tuần 8: 26.10–01.11.2026.</v>
      </c>
      <c r="N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 s="17" t="str">
        <f t="shared" si="0"/>
        <v>Còn trống</v>
      </c>
    </row>
    <row r="34" spans="1:16" x14ac:dyDescent="0.3">
      <c r="A34">
        <v>33</v>
      </c>
      <c r="B34" t="s">
        <v>16</v>
      </c>
      <c r="C34" t="s">
        <v>117</v>
      </c>
      <c r="D34" t="s">
        <v>118</v>
      </c>
      <c r="E34" t="s">
        <v>33</v>
      </c>
      <c r="F34" t="s">
        <v>34</v>
      </c>
      <c r="G34" t="s">
        <v>71</v>
      </c>
      <c r="H34" t="str">
        <f>'Huong dan giao do an'!$B$14</f>
        <v>5 SV (vai trò chính): 1 PM/Scrum Master kiêm Integration; 2 BA/PO; 3 UI-UX + Frontend; 4 Backend/API + DevOps; 5 Database + QA/Tester. Mỗi SV có nhiệm vụ phụ và minh chứng cá nhân.</v>
      </c>
      <c r="I34" t="s">
        <v>22</v>
      </c>
      <c r="J34" t="s">
        <v>23</v>
      </c>
      <c r="K34" t="str">
        <f>IF(I34="Trung bình",'Huong dan giao do an'!$B$8,IF(I34="Khá",'Huong dan giao do an'!$B$9,'Huong dan giao do an'!$B$10))</f>
        <v>Tối thiểu 4 actor; 10-14 use case; 8-12 bảng; 3 quy trình lõi; phân quyền chi tiết; 2 báo cáo; tích hợp 1 dịch vụ; &gt;=35 test case; CI/CD hoặc deploy cloud.</v>
      </c>
      <c r="L34" t="str">
        <f>'Huong dan giao do an'!$B$31</f>
        <v>Bắt buộc: Charter/PMP; SRS + scope/WBS; Gantt/baseline; effort-cost budget; RACI/timesheet; quality-test-defect; communication/minutes; risk register; procurement; change log; closure/lessons learned.</v>
      </c>
      <c r="M34" t="str">
        <f>'Huong dan giao do an'!$B$33</f>
        <v>Tuần 1: 07.09–13.09.2026; Tuần 2: 14.09–20.09.2026; Tuần 3: 21.09–27.09.2026; Tuần 4: 28.09–04.10.2026; Tuần 5: 05.10–11.10.2026; Tuần 6: 12.10–18.10.2026; Tuần 7: 19.10–25.10.2026; Tuần 8: 26.10–01.11.2026.</v>
      </c>
      <c r="N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 s="17" t="str">
        <f t="shared" si="0"/>
        <v>Còn trống</v>
      </c>
    </row>
    <row r="35" spans="1:16" x14ac:dyDescent="0.3">
      <c r="A35">
        <v>34</v>
      </c>
      <c r="B35" t="s">
        <v>16</v>
      </c>
      <c r="C35" t="s">
        <v>119</v>
      </c>
      <c r="D35" t="s">
        <v>120</v>
      </c>
      <c r="E35" t="s">
        <v>40</v>
      </c>
      <c r="F35" t="s">
        <v>41</v>
      </c>
      <c r="G35" t="s">
        <v>74</v>
      </c>
      <c r="H35" t="str">
        <f>'Huong dan giao do an'!$B$14</f>
        <v>5 SV (vai trò chính): 1 PM/Scrum Master kiêm Integration; 2 BA/PO; 3 UI-UX + Frontend; 4 Backend/API + DevOps; 5 Database + QA/Tester. Mỗi SV có nhiệm vụ phụ và minh chứng cá nhân.</v>
      </c>
      <c r="I35" t="s">
        <v>29</v>
      </c>
      <c r="J35" t="s">
        <v>30</v>
      </c>
      <c r="K35" t="str">
        <f>IF(I35="Trung bình",'Huong dan giao do an'!$B$8,IF(I35="Khá",'Huong dan giao do an'!$B$9,'Huong dan giao do an'!$B$10))</f>
        <v>Tối thiểu 5 actor; 14-18 use case; 10-15 bảng; 4 quy trình; tích hợp ngoài/realtime hoặc xử lý nâng cao; 3 báo cáo; &gt;=45 test case; logging, backup và deploy.</v>
      </c>
      <c r="L35" t="str">
        <f>'Huong dan giao do an'!$B$31</f>
        <v>Bắt buộc: Charter/PMP; SRS + scope/WBS; Gantt/baseline; effort-cost budget; RACI/timesheet; quality-test-defect; communication/minutes; risk register; procurement; change log; closure/lessons learned.</v>
      </c>
      <c r="M35" t="str">
        <f>'Huong dan giao do an'!$B$33</f>
        <v>Tuần 1: 07.09–13.09.2026; Tuần 2: 14.09–20.09.2026; Tuần 3: 21.09–27.09.2026; Tuần 4: 28.09–04.10.2026; Tuần 5: 05.10–11.10.2026; Tuần 6: 12.10–18.10.2026; Tuần 7: 19.10–25.10.2026; Tuần 8: 26.10–01.11.2026.</v>
      </c>
      <c r="N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 s="17" t="str">
        <f t="shared" si="0"/>
        <v>Còn trống</v>
      </c>
    </row>
    <row r="36" spans="1:16" x14ac:dyDescent="0.3">
      <c r="A36">
        <v>35</v>
      </c>
      <c r="B36" t="s">
        <v>16</v>
      </c>
      <c r="C36" t="s">
        <v>121</v>
      </c>
      <c r="D36" t="s">
        <v>122</v>
      </c>
      <c r="E36" t="s">
        <v>45</v>
      </c>
      <c r="F36" t="s">
        <v>46</v>
      </c>
      <c r="G36" t="s">
        <v>77</v>
      </c>
      <c r="H36" t="str">
        <f>'Huong dan giao do an'!$B$14</f>
        <v>5 SV (vai trò chính): 1 PM/Scrum Master kiêm Integration; 2 BA/PO; 3 UI-UX + Frontend; 4 Backend/API + DevOps; 5 Database + QA/Tester. Mỗi SV có nhiệm vụ phụ và minh chứng cá nhân.</v>
      </c>
      <c r="I36" t="s">
        <v>36</v>
      </c>
      <c r="J36" t="s">
        <v>37</v>
      </c>
      <c r="K36" t="str">
        <f>IF(I36="Trung bình",'Huong dan giao do an'!$B$8,IF(I36="Khá",'Huong dan giao do an'!$B$9,'Huong dan giao do an'!$B$10))</f>
        <v>Tối thiểu 3 actor; 8-10 use case; 6-8 bảng dữ liệu; 2 quy trình lõi; đăng nhập/RBAC; 1 dashboard; 1 báo cáo; &gt;=25 test case; triển khai bản demo.</v>
      </c>
      <c r="L36" t="str">
        <f>'Huong dan giao do an'!$B$31</f>
        <v>Bắt buộc: Charter/PMP; SRS + scope/WBS; Gantt/baseline; effort-cost budget; RACI/timesheet; quality-test-defect; communication/minutes; risk register; procurement; change log; closure/lessons learned.</v>
      </c>
      <c r="M36" t="str">
        <f>'Huong dan giao do an'!$B$33</f>
        <v>Tuần 1: 07.09–13.09.2026; Tuần 2: 14.09–20.09.2026; Tuần 3: 21.09–27.09.2026; Tuần 4: 28.09–04.10.2026; Tuần 5: 05.10–11.10.2026; Tuần 6: 12.10–18.10.2026; Tuần 7: 19.10–25.10.2026; Tuần 8: 26.10–01.11.2026.</v>
      </c>
      <c r="N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 s="17" t="str">
        <f t="shared" si="0"/>
        <v>Còn trống</v>
      </c>
    </row>
    <row r="37" spans="1:16" x14ac:dyDescent="0.3">
      <c r="A37">
        <v>36</v>
      </c>
      <c r="B37" t="s">
        <v>16</v>
      </c>
      <c r="C37" t="s">
        <v>123</v>
      </c>
      <c r="D37" t="s">
        <v>124</v>
      </c>
      <c r="E37" t="s">
        <v>19</v>
      </c>
      <c r="F37" t="s">
        <v>20</v>
      </c>
      <c r="G37" t="s">
        <v>80</v>
      </c>
      <c r="H37" t="str">
        <f>'Huong dan giao do an'!$B$14</f>
        <v>5 SV (vai trò chính): 1 PM/Scrum Master kiêm Integration; 2 BA/PO; 3 UI-UX + Frontend; 4 Backend/API + DevOps; 5 Database + QA/Tester. Mỗi SV có nhiệm vụ phụ và minh chứng cá nhân.</v>
      </c>
      <c r="I37" t="s">
        <v>22</v>
      </c>
      <c r="J37" t="s">
        <v>23</v>
      </c>
      <c r="K37" t="str">
        <f>IF(I37="Trung bình",'Huong dan giao do an'!$B$8,IF(I37="Khá",'Huong dan giao do an'!$B$9,'Huong dan giao do an'!$B$10))</f>
        <v>Tối thiểu 4 actor; 10-14 use case; 8-12 bảng; 3 quy trình lõi; phân quyền chi tiết; 2 báo cáo; tích hợp 1 dịch vụ; &gt;=35 test case; CI/CD hoặc deploy cloud.</v>
      </c>
      <c r="L37" t="str">
        <f>'Huong dan giao do an'!$B$31</f>
        <v>Bắt buộc: Charter/PMP; SRS + scope/WBS; Gantt/baseline; effort-cost budget; RACI/timesheet; quality-test-defect; communication/minutes; risk register; procurement; change log; closure/lessons learned.</v>
      </c>
      <c r="M37" t="str">
        <f>'Huong dan giao do an'!$B$33</f>
        <v>Tuần 1: 07.09–13.09.2026; Tuần 2: 14.09–20.09.2026; Tuần 3: 21.09–27.09.2026; Tuần 4: 28.09–04.10.2026; Tuần 5: 05.10–11.10.2026; Tuần 6: 12.10–18.10.2026; Tuần 7: 19.10–25.10.2026; Tuần 8: 26.10–01.11.2026.</v>
      </c>
      <c r="N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 s="17" t="str">
        <f t="shared" si="0"/>
        <v>Còn trống</v>
      </c>
    </row>
    <row r="38" spans="1:16" x14ac:dyDescent="0.3">
      <c r="A38">
        <v>37</v>
      </c>
      <c r="B38" t="s">
        <v>16</v>
      </c>
      <c r="C38" t="s">
        <v>125</v>
      </c>
      <c r="D38" t="s">
        <v>126</v>
      </c>
      <c r="E38" t="s">
        <v>26</v>
      </c>
      <c r="F38" t="s">
        <v>27</v>
      </c>
      <c r="G38" t="s">
        <v>83</v>
      </c>
      <c r="H38" t="str">
        <f>'Huong dan giao do an'!$B$14</f>
        <v>5 SV (vai trò chính): 1 PM/Scrum Master kiêm Integration; 2 BA/PO; 3 UI-UX + Frontend; 4 Backend/API + DevOps; 5 Database + QA/Tester. Mỗi SV có nhiệm vụ phụ và minh chứng cá nhân.</v>
      </c>
      <c r="I38" t="s">
        <v>29</v>
      </c>
      <c r="J38" t="s">
        <v>30</v>
      </c>
      <c r="K38" t="str">
        <f>IF(I38="Trung bình",'Huong dan giao do an'!$B$8,IF(I38="Khá",'Huong dan giao do an'!$B$9,'Huong dan giao do an'!$B$10))</f>
        <v>Tối thiểu 5 actor; 14-18 use case; 10-15 bảng; 4 quy trình; tích hợp ngoài/realtime hoặc xử lý nâng cao; 3 báo cáo; &gt;=45 test case; logging, backup và deploy.</v>
      </c>
      <c r="L38" t="str">
        <f>'Huong dan giao do an'!$B$31</f>
        <v>Bắt buộc: Charter/PMP; SRS + scope/WBS; Gantt/baseline; effort-cost budget; RACI/timesheet; quality-test-defect; communication/minutes; risk register; procurement; change log; closure/lessons learned.</v>
      </c>
      <c r="M38" t="str">
        <f>'Huong dan giao do an'!$B$33</f>
        <v>Tuần 1: 07.09–13.09.2026; Tuần 2: 14.09–20.09.2026; Tuần 3: 21.09–27.09.2026; Tuần 4: 28.09–04.10.2026; Tuần 5: 05.10–11.10.2026; Tuần 6: 12.10–18.10.2026; Tuần 7: 19.10–25.10.2026; Tuần 8: 26.10–01.11.2026.</v>
      </c>
      <c r="N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 s="17" t="str">
        <f t="shared" si="0"/>
        <v>Còn trống</v>
      </c>
    </row>
    <row r="39" spans="1:16" x14ac:dyDescent="0.3">
      <c r="A39">
        <v>38</v>
      </c>
      <c r="B39" t="s">
        <v>16</v>
      </c>
      <c r="C39" t="s">
        <v>127</v>
      </c>
      <c r="D39" t="s">
        <v>128</v>
      </c>
      <c r="E39" t="s">
        <v>33</v>
      </c>
      <c r="F39" t="s">
        <v>34</v>
      </c>
      <c r="G39" t="s">
        <v>86</v>
      </c>
      <c r="H39" t="str">
        <f>'Huong dan giao do an'!$B$14</f>
        <v>5 SV (vai trò chính): 1 PM/Scrum Master kiêm Integration; 2 BA/PO; 3 UI-UX + Frontend; 4 Backend/API + DevOps; 5 Database + QA/Tester. Mỗi SV có nhiệm vụ phụ và minh chứng cá nhân.</v>
      </c>
      <c r="I39" t="s">
        <v>36</v>
      </c>
      <c r="J39" t="s">
        <v>37</v>
      </c>
      <c r="K39" t="str">
        <f>IF(I39="Trung bình",'Huong dan giao do an'!$B$8,IF(I39="Khá",'Huong dan giao do an'!$B$9,'Huong dan giao do an'!$B$10))</f>
        <v>Tối thiểu 3 actor; 8-10 use case; 6-8 bảng dữ liệu; 2 quy trình lõi; đăng nhập/RBAC; 1 dashboard; 1 báo cáo; &gt;=25 test case; triển khai bản demo.</v>
      </c>
      <c r="L39" t="str">
        <f>'Huong dan giao do an'!$B$31</f>
        <v>Bắt buộc: Charter/PMP; SRS + scope/WBS; Gantt/baseline; effort-cost budget; RACI/timesheet; quality-test-defect; communication/minutes; risk register; procurement; change log; closure/lessons learned.</v>
      </c>
      <c r="M39" t="str">
        <f>'Huong dan giao do an'!$B$33</f>
        <v>Tuần 1: 07.09–13.09.2026; Tuần 2: 14.09–20.09.2026; Tuần 3: 21.09–27.09.2026; Tuần 4: 28.09–04.10.2026; Tuần 5: 05.10–11.10.2026; Tuần 6: 12.10–18.10.2026; Tuần 7: 19.10–25.10.2026; Tuần 8: 26.10–01.11.2026.</v>
      </c>
      <c r="N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 s="17" t="str">
        <f t="shared" si="0"/>
        <v>Còn trống</v>
      </c>
    </row>
    <row r="40" spans="1:16" x14ac:dyDescent="0.3">
      <c r="A40">
        <v>39</v>
      </c>
      <c r="B40" t="s">
        <v>16</v>
      </c>
      <c r="C40" t="s">
        <v>129</v>
      </c>
      <c r="D40" t="s">
        <v>130</v>
      </c>
      <c r="E40" t="s">
        <v>40</v>
      </c>
      <c r="F40" t="s">
        <v>41</v>
      </c>
      <c r="G40" t="s">
        <v>89</v>
      </c>
      <c r="H40" t="str">
        <f>'Huong dan giao do an'!$B$14</f>
        <v>5 SV (vai trò chính): 1 PM/Scrum Master kiêm Integration; 2 BA/PO; 3 UI-UX + Frontend; 4 Backend/API + DevOps; 5 Database + QA/Tester. Mỗi SV có nhiệm vụ phụ và minh chứng cá nhân.</v>
      </c>
      <c r="I40" t="s">
        <v>22</v>
      </c>
      <c r="J40" t="s">
        <v>23</v>
      </c>
      <c r="K40" t="str">
        <f>IF(I40="Trung bình",'Huong dan giao do an'!$B$8,IF(I40="Khá",'Huong dan giao do an'!$B$9,'Huong dan giao do an'!$B$10))</f>
        <v>Tối thiểu 4 actor; 10-14 use case; 8-12 bảng; 3 quy trình lõi; phân quyền chi tiết; 2 báo cáo; tích hợp 1 dịch vụ; &gt;=35 test case; CI/CD hoặc deploy cloud.</v>
      </c>
      <c r="L40" t="str">
        <f>'Huong dan giao do an'!$B$31</f>
        <v>Bắt buộc: Charter/PMP; SRS + scope/WBS; Gantt/baseline; effort-cost budget; RACI/timesheet; quality-test-defect; communication/minutes; risk register; procurement; change log; closure/lessons learned.</v>
      </c>
      <c r="M40" t="str">
        <f>'Huong dan giao do an'!$B$33</f>
        <v>Tuần 1: 07.09–13.09.2026; Tuần 2: 14.09–20.09.2026; Tuần 3: 21.09–27.09.2026; Tuần 4: 28.09–04.10.2026; Tuần 5: 05.10–11.10.2026; Tuần 6: 12.10–18.10.2026; Tuần 7: 19.10–25.10.2026; Tuần 8: 26.10–01.11.2026.</v>
      </c>
      <c r="N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 s="17" t="str">
        <f t="shared" si="0"/>
        <v>Còn trống</v>
      </c>
    </row>
    <row r="41" spans="1:16" x14ac:dyDescent="0.3">
      <c r="A41">
        <v>40</v>
      </c>
      <c r="B41" t="s">
        <v>16</v>
      </c>
      <c r="C41" t="s">
        <v>131</v>
      </c>
      <c r="D41" t="s">
        <v>132</v>
      </c>
      <c r="E41" t="s">
        <v>45</v>
      </c>
      <c r="F41" t="s">
        <v>46</v>
      </c>
      <c r="G41" t="s">
        <v>92</v>
      </c>
      <c r="H41" t="str">
        <f>'Huong dan giao do an'!$B$14</f>
        <v>5 SV (vai trò chính): 1 PM/Scrum Master kiêm Integration; 2 BA/PO; 3 UI-UX + Frontend; 4 Backend/API + DevOps; 5 Database + QA/Tester. Mỗi SV có nhiệm vụ phụ và minh chứng cá nhân.</v>
      </c>
      <c r="I41" t="s">
        <v>29</v>
      </c>
      <c r="J41" t="s">
        <v>30</v>
      </c>
      <c r="K41" t="str">
        <f>IF(I41="Trung bình",'Huong dan giao do an'!$B$8,IF(I41="Khá",'Huong dan giao do an'!$B$9,'Huong dan giao do an'!$B$10))</f>
        <v>Tối thiểu 5 actor; 14-18 use case; 10-15 bảng; 4 quy trình; tích hợp ngoài/realtime hoặc xử lý nâng cao; 3 báo cáo; &gt;=45 test case; logging, backup và deploy.</v>
      </c>
      <c r="L41" t="str">
        <f>'Huong dan giao do an'!$B$31</f>
        <v>Bắt buộc: Charter/PMP; SRS + scope/WBS; Gantt/baseline; effort-cost budget; RACI/timesheet; quality-test-defect; communication/minutes; risk register; procurement; change log; closure/lessons learned.</v>
      </c>
      <c r="M41" t="str">
        <f>'Huong dan giao do an'!$B$33</f>
        <v>Tuần 1: 07.09–13.09.2026; Tuần 2: 14.09–20.09.2026; Tuần 3: 21.09–27.09.2026; Tuần 4: 28.09–04.10.2026; Tuần 5: 05.10–11.10.2026; Tuần 6: 12.10–18.10.2026; Tuần 7: 19.10–25.10.2026; Tuần 8: 26.10–01.11.2026.</v>
      </c>
      <c r="N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 s="17" t="str">
        <f t="shared" si="0"/>
        <v>Còn trống</v>
      </c>
    </row>
    <row r="42" spans="1:16" x14ac:dyDescent="0.3">
      <c r="A42">
        <v>41</v>
      </c>
      <c r="B42" t="s">
        <v>16</v>
      </c>
      <c r="C42" t="s">
        <v>133</v>
      </c>
      <c r="D42" t="s">
        <v>134</v>
      </c>
      <c r="E42" t="s">
        <v>19</v>
      </c>
      <c r="F42" t="s">
        <v>20</v>
      </c>
      <c r="G42" t="s">
        <v>21</v>
      </c>
      <c r="H42" t="str">
        <f>'Huong dan giao do an'!$B$14</f>
        <v>5 SV (vai trò chính): 1 PM/Scrum Master kiêm Integration; 2 BA/PO; 3 UI-UX + Frontend; 4 Backend/API + DevOps; 5 Database + QA/Tester. Mỗi SV có nhiệm vụ phụ và minh chứng cá nhân.</v>
      </c>
      <c r="I42" t="s">
        <v>22</v>
      </c>
      <c r="J42" t="s">
        <v>23</v>
      </c>
      <c r="K42" t="str">
        <f>IF(I42="Trung bình",'Huong dan giao do an'!$B$8,IF(I42="Khá",'Huong dan giao do an'!$B$9,'Huong dan giao do an'!$B$10))</f>
        <v>Tối thiểu 4 actor; 10-14 use case; 8-12 bảng; 3 quy trình lõi; phân quyền chi tiết; 2 báo cáo; tích hợp 1 dịch vụ; &gt;=35 test case; CI/CD hoặc deploy cloud.</v>
      </c>
      <c r="L42" t="str">
        <f>'Huong dan giao do an'!$B$31</f>
        <v>Bắt buộc: Charter/PMP; SRS + scope/WBS; Gantt/baseline; effort-cost budget; RACI/timesheet; quality-test-defect; communication/minutes; risk register; procurement; change log; closure/lessons learned.</v>
      </c>
      <c r="M42" t="str">
        <f>'Huong dan giao do an'!$B$33</f>
        <v>Tuần 1: 07.09–13.09.2026; Tuần 2: 14.09–20.09.2026; Tuần 3: 21.09–27.09.2026; Tuần 4: 28.09–04.10.2026; Tuần 5: 05.10–11.10.2026; Tuần 6: 12.10–18.10.2026; Tuần 7: 19.10–25.10.2026; Tuần 8: 26.10–01.11.2026.</v>
      </c>
      <c r="N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 s="17" t="str">
        <f t="shared" si="0"/>
        <v>Còn trống</v>
      </c>
    </row>
    <row r="43" spans="1:16" x14ac:dyDescent="0.3">
      <c r="A43">
        <v>42</v>
      </c>
      <c r="B43" t="s">
        <v>16</v>
      </c>
      <c r="C43" t="s">
        <v>135</v>
      </c>
      <c r="D43" t="s">
        <v>136</v>
      </c>
      <c r="E43" t="s">
        <v>26</v>
      </c>
      <c r="F43" t="s">
        <v>27</v>
      </c>
      <c r="G43" t="s">
        <v>28</v>
      </c>
      <c r="H43" t="str">
        <f>'Huong dan giao do an'!$B$14</f>
        <v>5 SV (vai trò chính): 1 PM/Scrum Master kiêm Integration; 2 BA/PO; 3 UI-UX + Frontend; 4 Backend/API + DevOps; 5 Database + QA/Tester. Mỗi SV có nhiệm vụ phụ và minh chứng cá nhân.</v>
      </c>
      <c r="I43" t="s">
        <v>29</v>
      </c>
      <c r="J43" t="s">
        <v>30</v>
      </c>
      <c r="K43" t="str">
        <f>IF(I43="Trung bình",'Huong dan giao do an'!$B$8,IF(I43="Khá",'Huong dan giao do an'!$B$9,'Huong dan giao do an'!$B$10))</f>
        <v>Tối thiểu 5 actor; 14-18 use case; 10-15 bảng; 4 quy trình; tích hợp ngoài/realtime hoặc xử lý nâng cao; 3 báo cáo; &gt;=45 test case; logging, backup và deploy.</v>
      </c>
      <c r="L43" t="str">
        <f>'Huong dan giao do an'!$B$31</f>
        <v>Bắt buộc: Charter/PMP; SRS + scope/WBS; Gantt/baseline; effort-cost budget; RACI/timesheet; quality-test-defect; communication/minutes; risk register; procurement; change log; closure/lessons learned.</v>
      </c>
      <c r="M43" t="str">
        <f>'Huong dan giao do an'!$B$33</f>
        <v>Tuần 1: 07.09–13.09.2026; Tuần 2: 14.09–20.09.2026; Tuần 3: 21.09–27.09.2026; Tuần 4: 28.09–04.10.2026; Tuần 5: 05.10–11.10.2026; Tuần 6: 12.10–18.10.2026; Tuần 7: 19.10–25.10.2026; Tuần 8: 26.10–01.11.2026.</v>
      </c>
      <c r="N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 s="17" t="str">
        <f t="shared" si="0"/>
        <v>Còn trống</v>
      </c>
    </row>
    <row r="44" spans="1:16" x14ac:dyDescent="0.3">
      <c r="A44">
        <v>43</v>
      </c>
      <c r="B44" t="s">
        <v>16</v>
      </c>
      <c r="C44" t="s">
        <v>137</v>
      </c>
      <c r="D44" t="s">
        <v>138</v>
      </c>
      <c r="E44" t="s">
        <v>33</v>
      </c>
      <c r="F44" t="s">
        <v>34</v>
      </c>
      <c r="G44" t="s">
        <v>35</v>
      </c>
      <c r="H44" t="str">
        <f>'Huong dan giao do an'!$B$14</f>
        <v>5 SV (vai trò chính): 1 PM/Scrum Master kiêm Integration; 2 BA/PO; 3 UI-UX + Frontend; 4 Backend/API + DevOps; 5 Database + QA/Tester. Mỗi SV có nhiệm vụ phụ và minh chứng cá nhân.</v>
      </c>
      <c r="I44" t="s">
        <v>36</v>
      </c>
      <c r="J44" t="s">
        <v>37</v>
      </c>
      <c r="K44" t="str">
        <f>IF(I44="Trung bình",'Huong dan giao do an'!$B$8,IF(I44="Khá",'Huong dan giao do an'!$B$9,'Huong dan giao do an'!$B$10))</f>
        <v>Tối thiểu 3 actor; 8-10 use case; 6-8 bảng dữ liệu; 2 quy trình lõi; đăng nhập/RBAC; 1 dashboard; 1 báo cáo; &gt;=25 test case; triển khai bản demo.</v>
      </c>
      <c r="L44" t="str">
        <f>'Huong dan giao do an'!$B$31</f>
        <v>Bắt buộc: Charter/PMP; SRS + scope/WBS; Gantt/baseline; effort-cost budget; RACI/timesheet; quality-test-defect; communication/minutes; risk register; procurement; change log; closure/lessons learned.</v>
      </c>
      <c r="M44" t="str">
        <f>'Huong dan giao do an'!$B$33</f>
        <v>Tuần 1: 07.09–13.09.2026; Tuần 2: 14.09–20.09.2026; Tuần 3: 21.09–27.09.2026; Tuần 4: 28.09–04.10.2026; Tuần 5: 05.10–11.10.2026; Tuần 6: 12.10–18.10.2026; Tuần 7: 19.10–25.10.2026; Tuần 8: 26.10–01.11.2026.</v>
      </c>
      <c r="N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 s="17" t="str">
        <f t="shared" si="0"/>
        <v>Còn trống</v>
      </c>
    </row>
    <row r="45" spans="1:16" x14ac:dyDescent="0.3">
      <c r="A45">
        <v>44</v>
      </c>
      <c r="B45" t="s">
        <v>16</v>
      </c>
      <c r="C45" t="s">
        <v>139</v>
      </c>
      <c r="D45" t="s">
        <v>140</v>
      </c>
      <c r="E45" t="s">
        <v>40</v>
      </c>
      <c r="F45" t="s">
        <v>41</v>
      </c>
      <c r="G45" t="s">
        <v>42</v>
      </c>
      <c r="H45" t="str">
        <f>'Huong dan giao do an'!$B$14</f>
        <v>5 SV (vai trò chính): 1 PM/Scrum Master kiêm Integration; 2 BA/PO; 3 UI-UX + Frontend; 4 Backend/API + DevOps; 5 Database + QA/Tester. Mỗi SV có nhiệm vụ phụ và minh chứng cá nhân.</v>
      </c>
      <c r="I45" t="s">
        <v>22</v>
      </c>
      <c r="J45" t="s">
        <v>23</v>
      </c>
      <c r="K45" t="str">
        <f>IF(I45="Trung bình",'Huong dan giao do an'!$B$8,IF(I45="Khá",'Huong dan giao do an'!$B$9,'Huong dan giao do an'!$B$10))</f>
        <v>Tối thiểu 4 actor; 10-14 use case; 8-12 bảng; 3 quy trình lõi; phân quyền chi tiết; 2 báo cáo; tích hợp 1 dịch vụ; &gt;=35 test case; CI/CD hoặc deploy cloud.</v>
      </c>
      <c r="L45" t="str">
        <f>'Huong dan giao do an'!$B$31</f>
        <v>Bắt buộc: Charter/PMP; SRS + scope/WBS; Gantt/baseline; effort-cost budget; RACI/timesheet; quality-test-defect; communication/minutes; risk register; procurement; change log; closure/lessons learned.</v>
      </c>
      <c r="M45" t="str">
        <f>'Huong dan giao do an'!$B$33</f>
        <v>Tuần 1: 07.09–13.09.2026; Tuần 2: 14.09–20.09.2026; Tuần 3: 21.09–27.09.2026; Tuần 4: 28.09–04.10.2026; Tuần 5: 05.10–11.10.2026; Tuần 6: 12.10–18.10.2026; Tuần 7: 19.10–25.10.2026; Tuần 8: 26.10–01.11.2026.</v>
      </c>
      <c r="N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 s="17" t="str">
        <f t="shared" si="0"/>
        <v>Còn trống</v>
      </c>
    </row>
    <row r="46" spans="1:16" x14ac:dyDescent="0.3">
      <c r="A46">
        <v>45</v>
      </c>
      <c r="B46" t="s">
        <v>16</v>
      </c>
      <c r="C46" t="s">
        <v>141</v>
      </c>
      <c r="D46" t="s">
        <v>142</v>
      </c>
      <c r="E46" t="s">
        <v>45</v>
      </c>
      <c r="F46" t="s">
        <v>46</v>
      </c>
      <c r="G46" t="s">
        <v>47</v>
      </c>
      <c r="H46" t="str">
        <f>'Huong dan giao do an'!$B$14</f>
        <v>5 SV (vai trò chính): 1 PM/Scrum Master kiêm Integration; 2 BA/PO; 3 UI-UX + Frontend; 4 Backend/API + DevOps; 5 Database + QA/Tester. Mỗi SV có nhiệm vụ phụ và minh chứng cá nhân.</v>
      </c>
      <c r="I46" t="s">
        <v>29</v>
      </c>
      <c r="J46" t="s">
        <v>30</v>
      </c>
      <c r="K46" t="str">
        <f>IF(I46="Trung bình",'Huong dan giao do an'!$B$8,IF(I46="Khá",'Huong dan giao do an'!$B$9,'Huong dan giao do an'!$B$10))</f>
        <v>Tối thiểu 5 actor; 14-18 use case; 10-15 bảng; 4 quy trình; tích hợp ngoài/realtime hoặc xử lý nâng cao; 3 báo cáo; &gt;=45 test case; logging, backup và deploy.</v>
      </c>
      <c r="L46" t="str">
        <f>'Huong dan giao do an'!$B$31</f>
        <v>Bắt buộc: Charter/PMP; SRS + scope/WBS; Gantt/baseline; effort-cost budget; RACI/timesheet; quality-test-defect; communication/minutes; risk register; procurement; change log; closure/lessons learned.</v>
      </c>
      <c r="M46" t="str">
        <f>'Huong dan giao do an'!$B$33</f>
        <v>Tuần 1: 07.09–13.09.2026; Tuần 2: 14.09–20.09.2026; Tuần 3: 21.09–27.09.2026; Tuần 4: 28.09–04.10.2026; Tuần 5: 05.10–11.10.2026; Tuần 6: 12.10–18.10.2026; Tuần 7: 19.10–25.10.2026; Tuần 8: 26.10–01.11.2026.</v>
      </c>
      <c r="N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 s="17" t="str">
        <f t="shared" si="0"/>
        <v>Còn trống</v>
      </c>
    </row>
    <row r="47" spans="1:16" x14ac:dyDescent="0.3">
      <c r="A47">
        <v>46</v>
      </c>
      <c r="B47" t="s">
        <v>16</v>
      </c>
      <c r="C47" t="s">
        <v>143</v>
      </c>
      <c r="D47" t="s">
        <v>144</v>
      </c>
      <c r="E47" t="s">
        <v>19</v>
      </c>
      <c r="F47" t="s">
        <v>20</v>
      </c>
      <c r="G47" t="s">
        <v>50</v>
      </c>
      <c r="H47" t="str">
        <f>'Huong dan giao do an'!$B$14</f>
        <v>5 SV (vai trò chính): 1 PM/Scrum Master kiêm Integration; 2 BA/PO; 3 UI-UX + Frontend; 4 Backend/API + DevOps; 5 Database + QA/Tester. Mỗi SV có nhiệm vụ phụ và minh chứng cá nhân.</v>
      </c>
      <c r="I47" t="s">
        <v>36</v>
      </c>
      <c r="J47" t="s">
        <v>37</v>
      </c>
      <c r="K47" t="str">
        <f>IF(I47="Trung bình",'Huong dan giao do an'!$B$8,IF(I47="Khá",'Huong dan giao do an'!$B$9,'Huong dan giao do an'!$B$10))</f>
        <v>Tối thiểu 3 actor; 8-10 use case; 6-8 bảng dữ liệu; 2 quy trình lõi; đăng nhập/RBAC; 1 dashboard; 1 báo cáo; &gt;=25 test case; triển khai bản demo.</v>
      </c>
      <c r="L47" t="str">
        <f>'Huong dan giao do an'!$B$31</f>
        <v>Bắt buộc: Charter/PMP; SRS + scope/WBS; Gantt/baseline; effort-cost budget; RACI/timesheet; quality-test-defect; communication/minutes; risk register; procurement; change log; closure/lessons learned.</v>
      </c>
      <c r="M47" t="str">
        <f>'Huong dan giao do an'!$B$33</f>
        <v>Tuần 1: 07.09–13.09.2026; Tuần 2: 14.09–20.09.2026; Tuần 3: 21.09–27.09.2026; Tuần 4: 28.09–04.10.2026; Tuần 5: 05.10–11.10.2026; Tuần 6: 12.10–18.10.2026; Tuần 7: 19.10–25.10.2026; Tuần 8: 26.10–01.11.2026.</v>
      </c>
      <c r="N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 s="17" t="str">
        <f t="shared" si="0"/>
        <v>Còn trống</v>
      </c>
    </row>
    <row r="48" spans="1:16" x14ac:dyDescent="0.3">
      <c r="A48">
        <v>47</v>
      </c>
      <c r="B48" t="s">
        <v>16</v>
      </c>
      <c r="C48" t="s">
        <v>145</v>
      </c>
      <c r="D48" t="s">
        <v>146</v>
      </c>
      <c r="E48" t="s">
        <v>26</v>
      </c>
      <c r="F48" t="s">
        <v>27</v>
      </c>
      <c r="G48" t="s">
        <v>53</v>
      </c>
      <c r="H48" t="str">
        <f>'Huong dan giao do an'!$B$14</f>
        <v>5 SV (vai trò chính): 1 PM/Scrum Master kiêm Integration; 2 BA/PO; 3 UI-UX + Frontend; 4 Backend/API + DevOps; 5 Database + QA/Tester. Mỗi SV có nhiệm vụ phụ và minh chứng cá nhân.</v>
      </c>
      <c r="I48" t="s">
        <v>22</v>
      </c>
      <c r="J48" t="s">
        <v>23</v>
      </c>
      <c r="K48" t="str">
        <f>IF(I48="Trung bình",'Huong dan giao do an'!$B$8,IF(I48="Khá",'Huong dan giao do an'!$B$9,'Huong dan giao do an'!$B$10))</f>
        <v>Tối thiểu 4 actor; 10-14 use case; 8-12 bảng; 3 quy trình lõi; phân quyền chi tiết; 2 báo cáo; tích hợp 1 dịch vụ; &gt;=35 test case; CI/CD hoặc deploy cloud.</v>
      </c>
      <c r="L48" t="str">
        <f>'Huong dan giao do an'!$B$31</f>
        <v>Bắt buộc: Charter/PMP; SRS + scope/WBS; Gantt/baseline; effort-cost budget; RACI/timesheet; quality-test-defect; communication/minutes; risk register; procurement; change log; closure/lessons learned.</v>
      </c>
      <c r="M48" t="str">
        <f>'Huong dan giao do an'!$B$33</f>
        <v>Tuần 1: 07.09–13.09.2026; Tuần 2: 14.09–20.09.2026; Tuần 3: 21.09–27.09.2026; Tuần 4: 28.09–04.10.2026; Tuần 5: 05.10–11.10.2026; Tuần 6: 12.10–18.10.2026; Tuần 7: 19.10–25.10.2026; Tuần 8: 26.10–01.11.2026.</v>
      </c>
      <c r="N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 s="17" t="str">
        <f t="shared" si="0"/>
        <v>Còn trống</v>
      </c>
    </row>
    <row r="49" spans="1:16" x14ac:dyDescent="0.3">
      <c r="A49">
        <v>48</v>
      </c>
      <c r="B49" t="s">
        <v>16</v>
      </c>
      <c r="C49" t="s">
        <v>147</v>
      </c>
      <c r="D49" t="s">
        <v>148</v>
      </c>
      <c r="E49" t="s">
        <v>33</v>
      </c>
      <c r="F49" t="s">
        <v>34</v>
      </c>
      <c r="G49" t="s">
        <v>56</v>
      </c>
      <c r="H49" t="str">
        <f>'Huong dan giao do an'!$B$14</f>
        <v>5 SV (vai trò chính): 1 PM/Scrum Master kiêm Integration; 2 BA/PO; 3 UI-UX + Frontend; 4 Backend/API + DevOps; 5 Database + QA/Tester. Mỗi SV có nhiệm vụ phụ và minh chứng cá nhân.</v>
      </c>
      <c r="I49" t="s">
        <v>29</v>
      </c>
      <c r="J49" t="s">
        <v>30</v>
      </c>
      <c r="K49" t="str">
        <f>IF(I49="Trung bình",'Huong dan giao do an'!$B$8,IF(I49="Khá",'Huong dan giao do an'!$B$9,'Huong dan giao do an'!$B$10))</f>
        <v>Tối thiểu 5 actor; 14-18 use case; 10-15 bảng; 4 quy trình; tích hợp ngoài/realtime hoặc xử lý nâng cao; 3 báo cáo; &gt;=45 test case; logging, backup và deploy.</v>
      </c>
      <c r="L49" t="str">
        <f>'Huong dan giao do an'!$B$31</f>
        <v>Bắt buộc: Charter/PMP; SRS + scope/WBS; Gantt/baseline; effort-cost budget; RACI/timesheet; quality-test-defect; communication/minutes; risk register; procurement; change log; closure/lessons learned.</v>
      </c>
      <c r="M49" t="str">
        <f>'Huong dan giao do an'!$B$33</f>
        <v>Tuần 1: 07.09–13.09.2026; Tuần 2: 14.09–20.09.2026; Tuần 3: 21.09–27.09.2026; Tuần 4: 28.09–04.10.2026; Tuần 5: 05.10–11.10.2026; Tuần 6: 12.10–18.10.2026; Tuần 7: 19.10–25.10.2026; Tuần 8: 26.10–01.11.2026.</v>
      </c>
      <c r="N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 s="17" t="str">
        <f t="shared" si="0"/>
        <v>Còn trống</v>
      </c>
    </row>
    <row r="50" spans="1:16" x14ac:dyDescent="0.3">
      <c r="A50">
        <v>49</v>
      </c>
      <c r="B50" t="s">
        <v>16</v>
      </c>
      <c r="C50" t="s">
        <v>149</v>
      </c>
      <c r="D50" t="s">
        <v>150</v>
      </c>
      <c r="E50" t="s">
        <v>40</v>
      </c>
      <c r="F50" t="s">
        <v>41</v>
      </c>
      <c r="G50" t="s">
        <v>59</v>
      </c>
      <c r="H50" t="str">
        <f>'Huong dan giao do an'!$B$14</f>
        <v>5 SV (vai trò chính): 1 PM/Scrum Master kiêm Integration; 2 BA/PO; 3 UI-UX + Frontend; 4 Backend/API + DevOps; 5 Database + QA/Tester. Mỗi SV có nhiệm vụ phụ và minh chứng cá nhân.</v>
      </c>
      <c r="I50" t="s">
        <v>36</v>
      </c>
      <c r="J50" t="s">
        <v>37</v>
      </c>
      <c r="K50" t="str">
        <f>IF(I50="Trung bình",'Huong dan giao do an'!$B$8,IF(I50="Khá",'Huong dan giao do an'!$B$9,'Huong dan giao do an'!$B$10))</f>
        <v>Tối thiểu 3 actor; 8-10 use case; 6-8 bảng dữ liệu; 2 quy trình lõi; đăng nhập/RBAC; 1 dashboard; 1 báo cáo; &gt;=25 test case; triển khai bản demo.</v>
      </c>
      <c r="L50" t="str">
        <f>'Huong dan giao do an'!$B$31</f>
        <v>Bắt buộc: Charter/PMP; SRS + scope/WBS; Gantt/baseline; effort-cost budget; RACI/timesheet; quality-test-defect; communication/minutes; risk register; procurement; change log; closure/lessons learned.</v>
      </c>
      <c r="M50" t="str">
        <f>'Huong dan giao do an'!$B$33</f>
        <v>Tuần 1: 07.09–13.09.2026; Tuần 2: 14.09–20.09.2026; Tuần 3: 21.09–27.09.2026; Tuần 4: 28.09–04.10.2026; Tuần 5: 05.10–11.10.2026; Tuần 6: 12.10–18.10.2026; Tuần 7: 19.10–25.10.2026; Tuần 8: 26.10–01.11.2026.</v>
      </c>
      <c r="N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 s="17" t="str">
        <f t="shared" si="0"/>
        <v>Còn trống</v>
      </c>
    </row>
    <row r="51" spans="1:16" x14ac:dyDescent="0.3">
      <c r="A51">
        <v>50</v>
      </c>
      <c r="B51" t="s">
        <v>16</v>
      </c>
      <c r="C51" t="s">
        <v>151</v>
      </c>
      <c r="D51" t="s">
        <v>152</v>
      </c>
      <c r="E51" t="s">
        <v>45</v>
      </c>
      <c r="F51" t="s">
        <v>46</v>
      </c>
      <c r="G51" t="s">
        <v>62</v>
      </c>
      <c r="H51" t="str">
        <f>'Huong dan giao do an'!$B$14</f>
        <v>5 SV (vai trò chính): 1 PM/Scrum Master kiêm Integration; 2 BA/PO; 3 UI-UX + Frontend; 4 Backend/API + DevOps; 5 Database + QA/Tester. Mỗi SV có nhiệm vụ phụ và minh chứng cá nhân.</v>
      </c>
      <c r="I51" t="s">
        <v>22</v>
      </c>
      <c r="J51" t="s">
        <v>23</v>
      </c>
      <c r="K51" t="str">
        <f>IF(I51="Trung bình",'Huong dan giao do an'!$B$8,IF(I51="Khá",'Huong dan giao do an'!$B$9,'Huong dan giao do an'!$B$10))</f>
        <v>Tối thiểu 4 actor; 10-14 use case; 8-12 bảng; 3 quy trình lõi; phân quyền chi tiết; 2 báo cáo; tích hợp 1 dịch vụ; &gt;=35 test case; CI/CD hoặc deploy cloud.</v>
      </c>
      <c r="L51" t="str">
        <f>'Huong dan giao do an'!$B$31</f>
        <v>Bắt buộc: Charter/PMP; SRS + scope/WBS; Gantt/baseline; effort-cost budget; RACI/timesheet; quality-test-defect; communication/minutes; risk register; procurement; change log; closure/lessons learned.</v>
      </c>
      <c r="M51" t="str">
        <f>'Huong dan giao do an'!$B$33</f>
        <v>Tuần 1: 07.09–13.09.2026; Tuần 2: 14.09–20.09.2026; Tuần 3: 21.09–27.09.2026; Tuần 4: 28.09–04.10.2026; Tuần 5: 05.10–11.10.2026; Tuần 6: 12.10–18.10.2026; Tuần 7: 19.10–25.10.2026; Tuần 8: 26.10–01.11.2026.</v>
      </c>
      <c r="N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 s="17" t="str">
        <f t="shared" si="0"/>
        <v>Còn trống</v>
      </c>
    </row>
    <row r="52" spans="1:16" x14ac:dyDescent="0.3">
      <c r="A52">
        <v>51</v>
      </c>
      <c r="B52" t="s">
        <v>16</v>
      </c>
      <c r="C52" t="s">
        <v>153</v>
      </c>
      <c r="D52" t="s">
        <v>154</v>
      </c>
      <c r="E52" t="s">
        <v>19</v>
      </c>
      <c r="F52" t="s">
        <v>20</v>
      </c>
      <c r="G52" t="s">
        <v>65</v>
      </c>
      <c r="H52" t="str">
        <f>'Huong dan giao do an'!$B$14</f>
        <v>5 SV (vai trò chính): 1 PM/Scrum Master kiêm Integration; 2 BA/PO; 3 UI-UX + Frontend; 4 Backend/API + DevOps; 5 Database + QA/Tester. Mỗi SV có nhiệm vụ phụ và minh chứng cá nhân.</v>
      </c>
      <c r="I52" t="s">
        <v>29</v>
      </c>
      <c r="J52" t="s">
        <v>30</v>
      </c>
      <c r="K52" t="str">
        <f>IF(I52="Trung bình",'Huong dan giao do an'!$B$8,IF(I52="Khá",'Huong dan giao do an'!$B$9,'Huong dan giao do an'!$B$10))</f>
        <v>Tối thiểu 5 actor; 14-18 use case; 10-15 bảng; 4 quy trình; tích hợp ngoài/realtime hoặc xử lý nâng cao; 3 báo cáo; &gt;=45 test case; logging, backup và deploy.</v>
      </c>
      <c r="L52" t="str">
        <f>'Huong dan giao do an'!$B$31</f>
        <v>Bắt buộc: Charter/PMP; SRS + scope/WBS; Gantt/baseline; effort-cost budget; RACI/timesheet; quality-test-defect; communication/minutes; risk register; procurement; change log; closure/lessons learned.</v>
      </c>
      <c r="M52" t="str">
        <f>'Huong dan giao do an'!$B$33</f>
        <v>Tuần 1: 07.09–13.09.2026; Tuần 2: 14.09–20.09.2026; Tuần 3: 21.09–27.09.2026; Tuần 4: 28.09–04.10.2026; Tuần 5: 05.10–11.10.2026; Tuần 6: 12.10–18.10.2026; Tuần 7: 19.10–25.10.2026; Tuần 8: 26.10–01.11.2026.</v>
      </c>
      <c r="N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 s="17" t="str">
        <f t="shared" si="0"/>
        <v>Còn trống</v>
      </c>
    </row>
    <row r="53" spans="1:16" x14ac:dyDescent="0.3">
      <c r="A53">
        <v>52</v>
      </c>
      <c r="B53" t="s">
        <v>16</v>
      </c>
      <c r="C53" t="s">
        <v>155</v>
      </c>
      <c r="D53" t="s">
        <v>156</v>
      </c>
      <c r="E53" t="s">
        <v>26</v>
      </c>
      <c r="F53" t="s">
        <v>27</v>
      </c>
      <c r="G53" t="s">
        <v>68</v>
      </c>
      <c r="H53" t="str">
        <f>'Huong dan giao do an'!$B$14</f>
        <v>5 SV (vai trò chính): 1 PM/Scrum Master kiêm Integration; 2 BA/PO; 3 UI-UX + Frontend; 4 Backend/API + DevOps; 5 Database + QA/Tester. Mỗi SV có nhiệm vụ phụ và minh chứng cá nhân.</v>
      </c>
      <c r="I53" t="s">
        <v>36</v>
      </c>
      <c r="J53" t="s">
        <v>37</v>
      </c>
      <c r="K53" t="str">
        <f>IF(I53="Trung bình",'Huong dan giao do an'!$B$8,IF(I53="Khá",'Huong dan giao do an'!$B$9,'Huong dan giao do an'!$B$10))</f>
        <v>Tối thiểu 3 actor; 8-10 use case; 6-8 bảng dữ liệu; 2 quy trình lõi; đăng nhập/RBAC; 1 dashboard; 1 báo cáo; &gt;=25 test case; triển khai bản demo.</v>
      </c>
      <c r="L53" t="str">
        <f>'Huong dan giao do an'!$B$31</f>
        <v>Bắt buộc: Charter/PMP; SRS + scope/WBS; Gantt/baseline; effort-cost budget; RACI/timesheet; quality-test-defect; communication/minutes; risk register; procurement; change log; closure/lessons learned.</v>
      </c>
      <c r="M53" t="str">
        <f>'Huong dan giao do an'!$B$33</f>
        <v>Tuần 1: 07.09–13.09.2026; Tuần 2: 14.09–20.09.2026; Tuần 3: 21.09–27.09.2026; Tuần 4: 28.09–04.10.2026; Tuần 5: 05.10–11.10.2026; Tuần 6: 12.10–18.10.2026; Tuần 7: 19.10–25.10.2026; Tuần 8: 26.10–01.11.2026.</v>
      </c>
      <c r="N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 s="17" t="str">
        <f t="shared" si="0"/>
        <v>Còn trống</v>
      </c>
    </row>
    <row r="54" spans="1:16" x14ac:dyDescent="0.3">
      <c r="A54">
        <v>53</v>
      </c>
      <c r="B54" t="s">
        <v>16</v>
      </c>
      <c r="C54" t="s">
        <v>157</v>
      </c>
      <c r="D54" t="s">
        <v>158</v>
      </c>
      <c r="E54" t="s">
        <v>33</v>
      </c>
      <c r="F54" t="s">
        <v>34</v>
      </c>
      <c r="G54" t="s">
        <v>71</v>
      </c>
      <c r="H54" t="str">
        <f>'Huong dan giao do an'!$B$14</f>
        <v>5 SV (vai trò chính): 1 PM/Scrum Master kiêm Integration; 2 BA/PO; 3 UI-UX + Frontend; 4 Backend/API + DevOps; 5 Database + QA/Tester. Mỗi SV có nhiệm vụ phụ và minh chứng cá nhân.</v>
      </c>
      <c r="I54" t="s">
        <v>22</v>
      </c>
      <c r="J54" t="s">
        <v>23</v>
      </c>
      <c r="K54" t="str">
        <f>IF(I54="Trung bình",'Huong dan giao do an'!$B$8,IF(I54="Khá",'Huong dan giao do an'!$B$9,'Huong dan giao do an'!$B$10))</f>
        <v>Tối thiểu 4 actor; 10-14 use case; 8-12 bảng; 3 quy trình lõi; phân quyền chi tiết; 2 báo cáo; tích hợp 1 dịch vụ; &gt;=35 test case; CI/CD hoặc deploy cloud.</v>
      </c>
      <c r="L54" t="str">
        <f>'Huong dan giao do an'!$B$31</f>
        <v>Bắt buộc: Charter/PMP; SRS + scope/WBS; Gantt/baseline; effort-cost budget; RACI/timesheet; quality-test-defect; communication/minutes; risk register; procurement; change log; closure/lessons learned.</v>
      </c>
      <c r="M54" t="str">
        <f>'Huong dan giao do an'!$B$33</f>
        <v>Tuần 1: 07.09–13.09.2026; Tuần 2: 14.09–20.09.2026; Tuần 3: 21.09–27.09.2026; Tuần 4: 28.09–04.10.2026; Tuần 5: 05.10–11.10.2026; Tuần 6: 12.10–18.10.2026; Tuần 7: 19.10–25.10.2026; Tuần 8: 26.10–01.11.2026.</v>
      </c>
      <c r="N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 s="17" t="str">
        <f t="shared" si="0"/>
        <v>Còn trống</v>
      </c>
    </row>
    <row r="55" spans="1:16" x14ac:dyDescent="0.3">
      <c r="A55">
        <v>54</v>
      </c>
      <c r="B55" t="s">
        <v>16</v>
      </c>
      <c r="C55" t="s">
        <v>159</v>
      </c>
      <c r="D55" t="s">
        <v>160</v>
      </c>
      <c r="E55" t="s">
        <v>40</v>
      </c>
      <c r="F55" t="s">
        <v>41</v>
      </c>
      <c r="G55" t="s">
        <v>74</v>
      </c>
      <c r="H55" t="str">
        <f>'Huong dan giao do an'!$B$14</f>
        <v>5 SV (vai trò chính): 1 PM/Scrum Master kiêm Integration; 2 BA/PO; 3 UI-UX + Frontend; 4 Backend/API + DevOps; 5 Database + QA/Tester. Mỗi SV có nhiệm vụ phụ và minh chứng cá nhân.</v>
      </c>
      <c r="I55" t="s">
        <v>29</v>
      </c>
      <c r="J55" t="s">
        <v>30</v>
      </c>
      <c r="K55" t="str">
        <f>IF(I55="Trung bình",'Huong dan giao do an'!$B$8,IF(I55="Khá",'Huong dan giao do an'!$B$9,'Huong dan giao do an'!$B$10))</f>
        <v>Tối thiểu 5 actor; 14-18 use case; 10-15 bảng; 4 quy trình; tích hợp ngoài/realtime hoặc xử lý nâng cao; 3 báo cáo; &gt;=45 test case; logging, backup và deploy.</v>
      </c>
      <c r="L55" t="str">
        <f>'Huong dan giao do an'!$B$31</f>
        <v>Bắt buộc: Charter/PMP; SRS + scope/WBS; Gantt/baseline; effort-cost budget; RACI/timesheet; quality-test-defect; communication/minutes; risk register; procurement; change log; closure/lessons learned.</v>
      </c>
      <c r="M55" t="str">
        <f>'Huong dan giao do an'!$B$33</f>
        <v>Tuần 1: 07.09–13.09.2026; Tuần 2: 14.09–20.09.2026; Tuần 3: 21.09–27.09.2026; Tuần 4: 28.09–04.10.2026; Tuần 5: 05.10–11.10.2026; Tuần 6: 12.10–18.10.2026; Tuần 7: 19.10–25.10.2026; Tuần 8: 26.10–01.11.2026.</v>
      </c>
      <c r="N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 s="17" t="str">
        <f t="shared" si="0"/>
        <v>Còn trống</v>
      </c>
    </row>
    <row r="56" spans="1:16" x14ac:dyDescent="0.3">
      <c r="A56">
        <v>55</v>
      </c>
      <c r="B56" t="s">
        <v>16</v>
      </c>
      <c r="C56" t="s">
        <v>161</v>
      </c>
      <c r="D56" t="s">
        <v>162</v>
      </c>
      <c r="E56" t="s">
        <v>45</v>
      </c>
      <c r="F56" t="s">
        <v>46</v>
      </c>
      <c r="G56" t="s">
        <v>77</v>
      </c>
      <c r="H56" t="str">
        <f>'Huong dan giao do an'!$B$14</f>
        <v>5 SV (vai trò chính): 1 PM/Scrum Master kiêm Integration; 2 BA/PO; 3 UI-UX + Frontend; 4 Backend/API + DevOps; 5 Database + QA/Tester. Mỗi SV có nhiệm vụ phụ và minh chứng cá nhân.</v>
      </c>
      <c r="I56" t="s">
        <v>36</v>
      </c>
      <c r="J56" t="s">
        <v>37</v>
      </c>
      <c r="K56" t="str">
        <f>IF(I56="Trung bình",'Huong dan giao do an'!$B$8,IF(I56="Khá",'Huong dan giao do an'!$B$9,'Huong dan giao do an'!$B$10))</f>
        <v>Tối thiểu 3 actor; 8-10 use case; 6-8 bảng dữ liệu; 2 quy trình lõi; đăng nhập/RBAC; 1 dashboard; 1 báo cáo; &gt;=25 test case; triển khai bản demo.</v>
      </c>
      <c r="L56" t="str">
        <f>'Huong dan giao do an'!$B$31</f>
        <v>Bắt buộc: Charter/PMP; SRS + scope/WBS; Gantt/baseline; effort-cost budget; RACI/timesheet; quality-test-defect; communication/minutes; risk register; procurement; change log; closure/lessons learned.</v>
      </c>
      <c r="M56" t="str">
        <f>'Huong dan giao do an'!$B$33</f>
        <v>Tuần 1: 07.09–13.09.2026; Tuần 2: 14.09–20.09.2026; Tuần 3: 21.09–27.09.2026; Tuần 4: 28.09–04.10.2026; Tuần 5: 05.10–11.10.2026; Tuần 6: 12.10–18.10.2026; Tuần 7: 19.10–25.10.2026; Tuần 8: 26.10–01.11.2026.</v>
      </c>
      <c r="N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 s="17" t="str">
        <f t="shared" si="0"/>
        <v>Còn trống</v>
      </c>
    </row>
    <row r="57" spans="1:16" x14ac:dyDescent="0.3">
      <c r="A57">
        <v>56</v>
      </c>
      <c r="B57" t="s">
        <v>16</v>
      </c>
      <c r="C57" t="s">
        <v>163</v>
      </c>
      <c r="D57" t="s">
        <v>164</v>
      </c>
      <c r="E57" t="s">
        <v>19</v>
      </c>
      <c r="F57" t="s">
        <v>20</v>
      </c>
      <c r="G57" t="s">
        <v>80</v>
      </c>
      <c r="H57" t="str">
        <f>'Huong dan giao do an'!$B$14</f>
        <v>5 SV (vai trò chính): 1 PM/Scrum Master kiêm Integration; 2 BA/PO; 3 UI-UX + Frontend; 4 Backend/API + DevOps; 5 Database + QA/Tester. Mỗi SV có nhiệm vụ phụ và minh chứng cá nhân.</v>
      </c>
      <c r="I57" t="s">
        <v>22</v>
      </c>
      <c r="J57" t="s">
        <v>23</v>
      </c>
      <c r="K57" t="str">
        <f>IF(I57="Trung bình",'Huong dan giao do an'!$B$8,IF(I57="Khá",'Huong dan giao do an'!$B$9,'Huong dan giao do an'!$B$10))</f>
        <v>Tối thiểu 4 actor; 10-14 use case; 8-12 bảng; 3 quy trình lõi; phân quyền chi tiết; 2 báo cáo; tích hợp 1 dịch vụ; &gt;=35 test case; CI/CD hoặc deploy cloud.</v>
      </c>
      <c r="L57" t="str">
        <f>'Huong dan giao do an'!$B$31</f>
        <v>Bắt buộc: Charter/PMP; SRS + scope/WBS; Gantt/baseline; effort-cost budget; RACI/timesheet; quality-test-defect; communication/minutes; risk register; procurement; change log; closure/lessons learned.</v>
      </c>
      <c r="M57" t="str">
        <f>'Huong dan giao do an'!$B$33</f>
        <v>Tuần 1: 07.09–13.09.2026; Tuần 2: 14.09–20.09.2026; Tuần 3: 21.09–27.09.2026; Tuần 4: 28.09–04.10.2026; Tuần 5: 05.10–11.10.2026; Tuần 6: 12.10–18.10.2026; Tuần 7: 19.10–25.10.2026; Tuần 8: 26.10–01.11.2026.</v>
      </c>
      <c r="N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 s="17" t="str">
        <f t="shared" si="0"/>
        <v>Còn trống</v>
      </c>
    </row>
    <row r="58" spans="1:16" x14ac:dyDescent="0.3">
      <c r="A58">
        <v>57</v>
      </c>
      <c r="B58" t="s">
        <v>16</v>
      </c>
      <c r="C58" t="s">
        <v>165</v>
      </c>
      <c r="D58" t="s">
        <v>166</v>
      </c>
      <c r="E58" t="s">
        <v>26</v>
      </c>
      <c r="F58" t="s">
        <v>27</v>
      </c>
      <c r="G58" t="s">
        <v>83</v>
      </c>
      <c r="H58" t="str">
        <f>'Huong dan giao do an'!$B$14</f>
        <v>5 SV (vai trò chính): 1 PM/Scrum Master kiêm Integration; 2 BA/PO; 3 UI-UX + Frontend; 4 Backend/API + DevOps; 5 Database + QA/Tester. Mỗi SV có nhiệm vụ phụ và minh chứng cá nhân.</v>
      </c>
      <c r="I58" t="s">
        <v>29</v>
      </c>
      <c r="J58" t="s">
        <v>30</v>
      </c>
      <c r="K58" t="str">
        <f>IF(I58="Trung bình",'Huong dan giao do an'!$B$8,IF(I58="Khá",'Huong dan giao do an'!$B$9,'Huong dan giao do an'!$B$10))</f>
        <v>Tối thiểu 5 actor; 14-18 use case; 10-15 bảng; 4 quy trình; tích hợp ngoài/realtime hoặc xử lý nâng cao; 3 báo cáo; &gt;=45 test case; logging, backup và deploy.</v>
      </c>
      <c r="L58" t="str">
        <f>'Huong dan giao do an'!$B$31</f>
        <v>Bắt buộc: Charter/PMP; SRS + scope/WBS; Gantt/baseline; effort-cost budget; RACI/timesheet; quality-test-defect; communication/minutes; risk register; procurement; change log; closure/lessons learned.</v>
      </c>
      <c r="M58" t="str">
        <f>'Huong dan giao do an'!$B$33</f>
        <v>Tuần 1: 07.09–13.09.2026; Tuần 2: 14.09–20.09.2026; Tuần 3: 21.09–27.09.2026; Tuần 4: 28.09–04.10.2026; Tuần 5: 05.10–11.10.2026; Tuần 6: 12.10–18.10.2026; Tuần 7: 19.10–25.10.2026; Tuần 8: 26.10–01.11.2026.</v>
      </c>
      <c r="N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 s="17" t="str">
        <f t="shared" si="0"/>
        <v>Còn trống</v>
      </c>
    </row>
    <row r="59" spans="1:16" x14ac:dyDescent="0.3">
      <c r="A59">
        <v>58</v>
      </c>
      <c r="B59" t="s">
        <v>16</v>
      </c>
      <c r="C59" t="s">
        <v>167</v>
      </c>
      <c r="D59" t="s">
        <v>168</v>
      </c>
      <c r="E59" t="s">
        <v>33</v>
      </c>
      <c r="F59" t="s">
        <v>34</v>
      </c>
      <c r="G59" t="s">
        <v>86</v>
      </c>
      <c r="H59" t="str">
        <f>'Huong dan giao do an'!$B$14</f>
        <v>5 SV (vai trò chính): 1 PM/Scrum Master kiêm Integration; 2 BA/PO; 3 UI-UX + Frontend; 4 Backend/API + DevOps; 5 Database + QA/Tester. Mỗi SV có nhiệm vụ phụ và minh chứng cá nhân.</v>
      </c>
      <c r="I59" t="s">
        <v>36</v>
      </c>
      <c r="J59" t="s">
        <v>37</v>
      </c>
      <c r="K59" t="str">
        <f>IF(I59="Trung bình",'Huong dan giao do an'!$B$8,IF(I59="Khá",'Huong dan giao do an'!$B$9,'Huong dan giao do an'!$B$10))</f>
        <v>Tối thiểu 3 actor; 8-10 use case; 6-8 bảng dữ liệu; 2 quy trình lõi; đăng nhập/RBAC; 1 dashboard; 1 báo cáo; &gt;=25 test case; triển khai bản demo.</v>
      </c>
      <c r="L59" t="str">
        <f>'Huong dan giao do an'!$B$31</f>
        <v>Bắt buộc: Charter/PMP; SRS + scope/WBS; Gantt/baseline; effort-cost budget; RACI/timesheet; quality-test-defect; communication/minutes; risk register; procurement; change log; closure/lessons learned.</v>
      </c>
      <c r="M59" t="str">
        <f>'Huong dan giao do an'!$B$33</f>
        <v>Tuần 1: 07.09–13.09.2026; Tuần 2: 14.09–20.09.2026; Tuần 3: 21.09–27.09.2026; Tuần 4: 28.09–04.10.2026; Tuần 5: 05.10–11.10.2026; Tuần 6: 12.10–18.10.2026; Tuần 7: 19.10–25.10.2026; Tuần 8: 26.10–01.11.2026.</v>
      </c>
      <c r="N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 s="17" t="str">
        <f t="shared" si="0"/>
        <v>Còn trống</v>
      </c>
    </row>
    <row r="60" spans="1:16" x14ac:dyDescent="0.3">
      <c r="A60">
        <v>59</v>
      </c>
      <c r="B60" t="s">
        <v>16</v>
      </c>
      <c r="C60" t="s">
        <v>169</v>
      </c>
      <c r="D60" t="s">
        <v>170</v>
      </c>
      <c r="E60" t="s">
        <v>40</v>
      </c>
      <c r="F60" t="s">
        <v>41</v>
      </c>
      <c r="G60" t="s">
        <v>89</v>
      </c>
      <c r="H60" t="str">
        <f>'Huong dan giao do an'!$B$14</f>
        <v>5 SV (vai trò chính): 1 PM/Scrum Master kiêm Integration; 2 BA/PO; 3 UI-UX + Frontend; 4 Backend/API + DevOps; 5 Database + QA/Tester. Mỗi SV có nhiệm vụ phụ và minh chứng cá nhân.</v>
      </c>
      <c r="I60" t="s">
        <v>22</v>
      </c>
      <c r="J60" t="s">
        <v>23</v>
      </c>
      <c r="K60" t="str">
        <f>IF(I60="Trung bình",'Huong dan giao do an'!$B$8,IF(I60="Khá",'Huong dan giao do an'!$B$9,'Huong dan giao do an'!$B$10))</f>
        <v>Tối thiểu 4 actor; 10-14 use case; 8-12 bảng; 3 quy trình lõi; phân quyền chi tiết; 2 báo cáo; tích hợp 1 dịch vụ; &gt;=35 test case; CI/CD hoặc deploy cloud.</v>
      </c>
      <c r="L60" t="str">
        <f>'Huong dan giao do an'!$B$31</f>
        <v>Bắt buộc: Charter/PMP; SRS + scope/WBS; Gantt/baseline; effort-cost budget; RACI/timesheet; quality-test-defect; communication/minutes; risk register; procurement; change log; closure/lessons learned.</v>
      </c>
      <c r="M60" t="str">
        <f>'Huong dan giao do an'!$B$33</f>
        <v>Tuần 1: 07.09–13.09.2026; Tuần 2: 14.09–20.09.2026; Tuần 3: 21.09–27.09.2026; Tuần 4: 28.09–04.10.2026; Tuần 5: 05.10–11.10.2026; Tuần 6: 12.10–18.10.2026; Tuần 7: 19.10–25.10.2026; Tuần 8: 26.10–01.11.2026.</v>
      </c>
      <c r="N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 s="17" t="str">
        <f t="shared" si="0"/>
        <v>Còn trống</v>
      </c>
    </row>
    <row r="61" spans="1:16" x14ac:dyDescent="0.3">
      <c r="A61">
        <v>60</v>
      </c>
      <c r="B61" t="s">
        <v>16</v>
      </c>
      <c r="C61" t="s">
        <v>171</v>
      </c>
      <c r="D61" t="s">
        <v>172</v>
      </c>
      <c r="E61" t="s">
        <v>45</v>
      </c>
      <c r="F61" t="s">
        <v>46</v>
      </c>
      <c r="G61" t="s">
        <v>92</v>
      </c>
      <c r="H61" t="str">
        <f>'Huong dan giao do an'!$B$14</f>
        <v>5 SV (vai trò chính): 1 PM/Scrum Master kiêm Integration; 2 BA/PO; 3 UI-UX + Frontend; 4 Backend/API + DevOps; 5 Database + QA/Tester. Mỗi SV có nhiệm vụ phụ và minh chứng cá nhân.</v>
      </c>
      <c r="I61" t="s">
        <v>29</v>
      </c>
      <c r="J61" t="s">
        <v>30</v>
      </c>
      <c r="K61" t="str">
        <f>IF(I61="Trung bình",'Huong dan giao do an'!$B$8,IF(I61="Khá",'Huong dan giao do an'!$B$9,'Huong dan giao do an'!$B$10))</f>
        <v>Tối thiểu 5 actor; 14-18 use case; 10-15 bảng; 4 quy trình; tích hợp ngoài/realtime hoặc xử lý nâng cao; 3 báo cáo; &gt;=45 test case; logging, backup và deploy.</v>
      </c>
      <c r="L61" t="str">
        <f>'Huong dan giao do an'!$B$31</f>
        <v>Bắt buộc: Charter/PMP; SRS + scope/WBS; Gantt/baseline; effort-cost budget; RACI/timesheet; quality-test-defect; communication/minutes; risk register; procurement; change log; closure/lessons learned.</v>
      </c>
      <c r="M61" t="str">
        <f>'Huong dan giao do an'!$B$33</f>
        <v>Tuần 1: 07.09–13.09.2026; Tuần 2: 14.09–20.09.2026; Tuần 3: 21.09–27.09.2026; Tuần 4: 28.09–04.10.2026; Tuần 5: 05.10–11.10.2026; Tuần 6: 12.10–18.10.2026; Tuần 7: 19.10–25.10.2026; Tuần 8: 26.10–01.11.2026.</v>
      </c>
      <c r="N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 s="17" t="str">
        <f t="shared" si="0"/>
        <v>Còn trống</v>
      </c>
    </row>
    <row r="62" spans="1:16" x14ac:dyDescent="0.3">
      <c r="A62">
        <v>61</v>
      </c>
      <c r="B62" t="s">
        <v>16</v>
      </c>
      <c r="C62" t="s">
        <v>173</v>
      </c>
      <c r="D62" t="s">
        <v>174</v>
      </c>
      <c r="E62" t="s">
        <v>19</v>
      </c>
      <c r="F62" t="s">
        <v>20</v>
      </c>
      <c r="G62" t="s">
        <v>21</v>
      </c>
      <c r="H62" t="str">
        <f>'Huong dan giao do an'!$B$14</f>
        <v>5 SV (vai trò chính): 1 PM/Scrum Master kiêm Integration; 2 BA/PO; 3 UI-UX + Frontend; 4 Backend/API + DevOps; 5 Database + QA/Tester. Mỗi SV có nhiệm vụ phụ và minh chứng cá nhân.</v>
      </c>
      <c r="I62" t="s">
        <v>22</v>
      </c>
      <c r="J62" t="s">
        <v>23</v>
      </c>
      <c r="K62" t="str">
        <f>IF(I62="Trung bình",'Huong dan giao do an'!$B$8,IF(I62="Khá",'Huong dan giao do an'!$B$9,'Huong dan giao do an'!$B$10))</f>
        <v>Tối thiểu 4 actor; 10-14 use case; 8-12 bảng; 3 quy trình lõi; phân quyền chi tiết; 2 báo cáo; tích hợp 1 dịch vụ; &gt;=35 test case; CI/CD hoặc deploy cloud.</v>
      </c>
      <c r="L62" t="str">
        <f>'Huong dan giao do an'!$B$31</f>
        <v>Bắt buộc: Charter/PMP; SRS + scope/WBS; Gantt/baseline; effort-cost budget; RACI/timesheet; quality-test-defect; communication/minutes; risk register; procurement; change log; closure/lessons learned.</v>
      </c>
      <c r="M62" t="str">
        <f>'Huong dan giao do an'!$B$33</f>
        <v>Tuần 1: 07.09–13.09.2026; Tuần 2: 14.09–20.09.2026; Tuần 3: 21.09–27.09.2026; Tuần 4: 28.09–04.10.2026; Tuần 5: 05.10–11.10.2026; Tuần 6: 12.10–18.10.2026; Tuần 7: 19.10–25.10.2026; Tuần 8: 26.10–01.11.2026.</v>
      </c>
      <c r="N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 s="17" t="str">
        <f t="shared" si="0"/>
        <v>Còn trống</v>
      </c>
    </row>
    <row r="63" spans="1:16" x14ac:dyDescent="0.3">
      <c r="A63">
        <v>62</v>
      </c>
      <c r="B63" t="s">
        <v>16</v>
      </c>
      <c r="C63" t="s">
        <v>175</v>
      </c>
      <c r="D63" t="s">
        <v>176</v>
      </c>
      <c r="E63" t="s">
        <v>26</v>
      </c>
      <c r="F63" t="s">
        <v>27</v>
      </c>
      <c r="G63" t="s">
        <v>28</v>
      </c>
      <c r="H63" t="str">
        <f>'Huong dan giao do an'!$B$14</f>
        <v>5 SV (vai trò chính): 1 PM/Scrum Master kiêm Integration; 2 BA/PO; 3 UI-UX + Frontend; 4 Backend/API + DevOps; 5 Database + QA/Tester. Mỗi SV có nhiệm vụ phụ và minh chứng cá nhân.</v>
      </c>
      <c r="I63" t="s">
        <v>29</v>
      </c>
      <c r="J63" t="s">
        <v>30</v>
      </c>
      <c r="K63" t="str">
        <f>IF(I63="Trung bình",'Huong dan giao do an'!$B$8,IF(I63="Khá",'Huong dan giao do an'!$B$9,'Huong dan giao do an'!$B$10))</f>
        <v>Tối thiểu 5 actor; 14-18 use case; 10-15 bảng; 4 quy trình; tích hợp ngoài/realtime hoặc xử lý nâng cao; 3 báo cáo; &gt;=45 test case; logging, backup và deploy.</v>
      </c>
      <c r="L63" t="str">
        <f>'Huong dan giao do an'!$B$31</f>
        <v>Bắt buộc: Charter/PMP; SRS + scope/WBS; Gantt/baseline; effort-cost budget; RACI/timesheet; quality-test-defect; communication/minutes; risk register; procurement; change log; closure/lessons learned.</v>
      </c>
      <c r="M63" t="str">
        <f>'Huong dan giao do an'!$B$33</f>
        <v>Tuần 1: 07.09–13.09.2026; Tuần 2: 14.09–20.09.2026; Tuần 3: 21.09–27.09.2026; Tuần 4: 28.09–04.10.2026; Tuần 5: 05.10–11.10.2026; Tuần 6: 12.10–18.10.2026; Tuần 7: 19.10–25.10.2026; Tuần 8: 26.10–01.11.2026.</v>
      </c>
      <c r="N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 s="17" t="str">
        <f t="shared" si="0"/>
        <v>Còn trống</v>
      </c>
    </row>
    <row r="64" spans="1:16" x14ac:dyDescent="0.3">
      <c r="A64">
        <v>63</v>
      </c>
      <c r="B64" t="s">
        <v>16</v>
      </c>
      <c r="C64" t="s">
        <v>177</v>
      </c>
      <c r="D64" t="s">
        <v>178</v>
      </c>
      <c r="E64" t="s">
        <v>33</v>
      </c>
      <c r="F64" t="s">
        <v>34</v>
      </c>
      <c r="G64" t="s">
        <v>35</v>
      </c>
      <c r="H64" t="str">
        <f>'Huong dan giao do an'!$B$14</f>
        <v>5 SV (vai trò chính): 1 PM/Scrum Master kiêm Integration; 2 BA/PO; 3 UI-UX + Frontend; 4 Backend/API + DevOps; 5 Database + QA/Tester. Mỗi SV có nhiệm vụ phụ và minh chứng cá nhân.</v>
      </c>
      <c r="I64" t="s">
        <v>36</v>
      </c>
      <c r="J64" t="s">
        <v>37</v>
      </c>
      <c r="K64" t="str">
        <f>IF(I64="Trung bình",'Huong dan giao do an'!$B$8,IF(I64="Khá",'Huong dan giao do an'!$B$9,'Huong dan giao do an'!$B$10))</f>
        <v>Tối thiểu 3 actor; 8-10 use case; 6-8 bảng dữ liệu; 2 quy trình lõi; đăng nhập/RBAC; 1 dashboard; 1 báo cáo; &gt;=25 test case; triển khai bản demo.</v>
      </c>
      <c r="L64" t="str">
        <f>'Huong dan giao do an'!$B$31</f>
        <v>Bắt buộc: Charter/PMP; SRS + scope/WBS; Gantt/baseline; effort-cost budget; RACI/timesheet; quality-test-defect; communication/minutes; risk register; procurement; change log; closure/lessons learned.</v>
      </c>
      <c r="M64" t="str">
        <f>'Huong dan giao do an'!$B$33</f>
        <v>Tuần 1: 07.09–13.09.2026; Tuần 2: 14.09–20.09.2026; Tuần 3: 21.09–27.09.2026; Tuần 4: 28.09–04.10.2026; Tuần 5: 05.10–11.10.2026; Tuần 6: 12.10–18.10.2026; Tuần 7: 19.10–25.10.2026; Tuần 8: 26.10–01.11.2026.</v>
      </c>
      <c r="N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 s="17" t="str">
        <f t="shared" si="0"/>
        <v>Còn trống</v>
      </c>
    </row>
    <row r="65" spans="1:16" x14ac:dyDescent="0.3">
      <c r="A65">
        <v>64</v>
      </c>
      <c r="B65" t="s">
        <v>16</v>
      </c>
      <c r="C65" t="s">
        <v>179</v>
      </c>
      <c r="D65" t="s">
        <v>180</v>
      </c>
      <c r="E65" t="s">
        <v>40</v>
      </c>
      <c r="F65" t="s">
        <v>41</v>
      </c>
      <c r="G65" t="s">
        <v>42</v>
      </c>
      <c r="H65" t="str">
        <f>'Huong dan giao do an'!$B$14</f>
        <v>5 SV (vai trò chính): 1 PM/Scrum Master kiêm Integration; 2 BA/PO; 3 UI-UX + Frontend; 4 Backend/API + DevOps; 5 Database + QA/Tester. Mỗi SV có nhiệm vụ phụ và minh chứng cá nhân.</v>
      </c>
      <c r="I65" t="s">
        <v>22</v>
      </c>
      <c r="J65" t="s">
        <v>23</v>
      </c>
      <c r="K65" t="str">
        <f>IF(I65="Trung bình",'Huong dan giao do an'!$B$8,IF(I65="Khá",'Huong dan giao do an'!$B$9,'Huong dan giao do an'!$B$10))</f>
        <v>Tối thiểu 4 actor; 10-14 use case; 8-12 bảng; 3 quy trình lõi; phân quyền chi tiết; 2 báo cáo; tích hợp 1 dịch vụ; &gt;=35 test case; CI/CD hoặc deploy cloud.</v>
      </c>
      <c r="L65" t="str">
        <f>'Huong dan giao do an'!$B$31</f>
        <v>Bắt buộc: Charter/PMP; SRS + scope/WBS; Gantt/baseline; effort-cost budget; RACI/timesheet; quality-test-defect; communication/minutes; risk register; procurement; change log; closure/lessons learned.</v>
      </c>
      <c r="M65" t="str">
        <f>'Huong dan giao do an'!$B$33</f>
        <v>Tuần 1: 07.09–13.09.2026; Tuần 2: 14.09–20.09.2026; Tuần 3: 21.09–27.09.2026; Tuần 4: 28.09–04.10.2026; Tuần 5: 05.10–11.10.2026; Tuần 6: 12.10–18.10.2026; Tuần 7: 19.10–25.10.2026; Tuần 8: 26.10–01.11.2026.</v>
      </c>
      <c r="N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 s="17" t="str">
        <f t="shared" si="0"/>
        <v>Còn trống</v>
      </c>
    </row>
    <row r="66" spans="1:16" x14ac:dyDescent="0.3">
      <c r="A66">
        <v>65</v>
      </c>
      <c r="B66" t="s">
        <v>16</v>
      </c>
      <c r="C66" t="s">
        <v>181</v>
      </c>
      <c r="D66" t="s">
        <v>182</v>
      </c>
      <c r="E66" t="s">
        <v>45</v>
      </c>
      <c r="F66" t="s">
        <v>46</v>
      </c>
      <c r="G66" t="s">
        <v>47</v>
      </c>
      <c r="H66" t="str">
        <f>'Huong dan giao do an'!$B$14</f>
        <v>5 SV (vai trò chính): 1 PM/Scrum Master kiêm Integration; 2 BA/PO; 3 UI-UX + Frontend; 4 Backend/API + DevOps; 5 Database + QA/Tester. Mỗi SV có nhiệm vụ phụ và minh chứng cá nhân.</v>
      </c>
      <c r="I66" t="s">
        <v>29</v>
      </c>
      <c r="J66" t="s">
        <v>30</v>
      </c>
      <c r="K66" t="str">
        <f>IF(I66="Trung bình",'Huong dan giao do an'!$B$8,IF(I66="Khá",'Huong dan giao do an'!$B$9,'Huong dan giao do an'!$B$10))</f>
        <v>Tối thiểu 5 actor; 14-18 use case; 10-15 bảng; 4 quy trình; tích hợp ngoài/realtime hoặc xử lý nâng cao; 3 báo cáo; &gt;=45 test case; logging, backup và deploy.</v>
      </c>
      <c r="L66" t="str">
        <f>'Huong dan giao do an'!$B$31</f>
        <v>Bắt buộc: Charter/PMP; SRS + scope/WBS; Gantt/baseline; effort-cost budget; RACI/timesheet; quality-test-defect; communication/minutes; risk register; procurement; change log; closure/lessons learned.</v>
      </c>
      <c r="M66" t="str">
        <f>'Huong dan giao do an'!$B$33</f>
        <v>Tuần 1: 07.09–13.09.2026; Tuần 2: 14.09–20.09.2026; Tuần 3: 21.09–27.09.2026; Tuần 4: 28.09–04.10.2026; Tuần 5: 05.10–11.10.2026; Tuần 6: 12.10–18.10.2026; Tuần 7: 19.10–25.10.2026; Tuần 8: 26.10–01.11.2026.</v>
      </c>
      <c r="N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 s="17" t="str">
        <f t="shared" si="0"/>
        <v>Còn trống</v>
      </c>
    </row>
    <row r="67" spans="1:16" x14ac:dyDescent="0.3">
      <c r="A67">
        <v>66</v>
      </c>
      <c r="B67" t="s">
        <v>16</v>
      </c>
      <c r="C67" t="s">
        <v>183</v>
      </c>
      <c r="D67" t="s">
        <v>184</v>
      </c>
      <c r="E67" t="s">
        <v>19</v>
      </c>
      <c r="F67" t="s">
        <v>20</v>
      </c>
      <c r="G67" t="s">
        <v>50</v>
      </c>
      <c r="H67" t="str">
        <f>'Huong dan giao do an'!$B$14</f>
        <v>5 SV (vai trò chính): 1 PM/Scrum Master kiêm Integration; 2 BA/PO; 3 UI-UX + Frontend; 4 Backend/API + DevOps; 5 Database + QA/Tester. Mỗi SV có nhiệm vụ phụ và minh chứng cá nhân.</v>
      </c>
      <c r="I67" t="s">
        <v>36</v>
      </c>
      <c r="J67" t="s">
        <v>37</v>
      </c>
      <c r="K67" t="str">
        <f>IF(I67="Trung bình",'Huong dan giao do an'!$B$8,IF(I67="Khá",'Huong dan giao do an'!$B$9,'Huong dan giao do an'!$B$10))</f>
        <v>Tối thiểu 3 actor; 8-10 use case; 6-8 bảng dữ liệu; 2 quy trình lõi; đăng nhập/RBAC; 1 dashboard; 1 báo cáo; &gt;=25 test case; triển khai bản demo.</v>
      </c>
      <c r="L67" t="str">
        <f>'Huong dan giao do an'!$B$31</f>
        <v>Bắt buộc: Charter/PMP; SRS + scope/WBS; Gantt/baseline; effort-cost budget; RACI/timesheet; quality-test-defect; communication/minutes; risk register; procurement; change log; closure/lessons learned.</v>
      </c>
      <c r="M67" t="str">
        <f>'Huong dan giao do an'!$B$33</f>
        <v>Tuần 1: 07.09–13.09.2026; Tuần 2: 14.09–20.09.2026; Tuần 3: 21.09–27.09.2026; Tuần 4: 28.09–04.10.2026; Tuần 5: 05.10–11.10.2026; Tuần 6: 12.10–18.10.2026; Tuần 7: 19.10–25.10.2026; Tuần 8: 26.10–01.11.2026.</v>
      </c>
      <c r="N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 s="17" t="str">
        <f t="shared" ref="P67:P130" si="1">IF(O67="","Còn trống","Đã đăng ký")</f>
        <v>Còn trống</v>
      </c>
    </row>
    <row r="68" spans="1:16" x14ac:dyDescent="0.3">
      <c r="A68">
        <v>67</v>
      </c>
      <c r="B68" t="s">
        <v>16</v>
      </c>
      <c r="C68" t="s">
        <v>185</v>
      </c>
      <c r="D68" t="s">
        <v>186</v>
      </c>
      <c r="E68" t="s">
        <v>26</v>
      </c>
      <c r="F68" t="s">
        <v>27</v>
      </c>
      <c r="G68" t="s">
        <v>53</v>
      </c>
      <c r="H68" t="str">
        <f>'Huong dan giao do an'!$B$14</f>
        <v>5 SV (vai trò chính): 1 PM/Scrum Master kiêm Integration; 2 BA/PO; 3 UI-UX + Frontend; 4 Backend/API + DevOps; 5 Database + QA/Tester. Mỗi SV có nhiệm vụ phụ và minh chứng cá nhân.</v>
      </c>
      <c r="I68" t="s">
        <v>22</v>
      </c>
      <c r="J68" t="s">
        <v>23</v>
      </c>
      <c r="K68" t="str">
        <f>IF(I68="Trung bình",'Huong dan giao do an'!$B$8,IF(I68="Khá",'Huong dan giao do an'!$B$9,'Huong dan giao do an'!$B$10))</f>
        <v>Tối thiểu 4 actor; 10-14 use case; 8-12 bảng; 3 quy trình lõi; phân quyền chi tiết; 2 báo cáo; tích hợp 1 dịch vụ; &gt;=35 test case; CI/CD hoặc deploy cloud.</v>
      </c>
      <c r="L68" t="str">
        <f>'Huong dan giao do an'!$B$31</f>
        <v>Bắt buộc: Charter/PMP; SRS + scope/WBS; Gantt/baseline; effort-cost budget; RACI/timesheet; quality-test-defect; communication/minutes; risk register; procurement; change log; closure/lessons learned.</v>
      </c>
      <c r="M68" t="str">
        <f>'Huong dan giao do an'!$B$33</f>
        <v>Tuần 1: 07.09–13.09.2026; Tuần 2: 14.09–20.09.2026; Tuần 3: 21.09–27.09.2026; Tuần 4: 28.09–04.10.2026; Tuần 5: 05.10–11.10.2026; Tuần 6: 12.10–18.10.2026; Tuần 7: 19.10–25.10.2026; Tuần 8: 26.10–01.11.2026.</v>
      </c>
      <c r="N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 s="17" t="str">
        <f t="shared" si="1"/>
        <v>Còn trống</v>
      </c>
    </row>
    <row r="69" spans="1:16" x14ac:dyDescent="0.3">
      <c r="A69">
        <v>68</v>
      </c>
      <c r="B69" t="s">
        <v>16</v>
      </c>
      <c r="C69" t="s">
        <v>187</v>
      </c>
      <c r="D69" t="s">
        <v>188</v>
      </c>
      <c r="E69" t="s">
        <v>33</v>
      </c>
      <c r="F69" t="s">
        <v>34</v>
      </c>
      <c r="G69" t="s">
        <v>56</v>
      </c>
      <c r="H69" t="str">
        <f>'Huong dan giao do an'!$B$14</f>
        <v>5 SV (vai trò chính): 1 PM/Scrum Master kiêm Integration; 2 BA/PO; 3 UI-UX + Frontend; 4 Backend/API + DevOps; 5 Database + QA/Tester. Mỗi SV có nhiệm vụ phụ và minh chứng cá nhân.</v>
      </c>
      <c r="I69" t="s">
        <v>29</v>
      </c>
      <c r="J69" t="s">
        <v>30</v>
      </c>
      <c r="K69" t="str">
        <f>IF(I69="Trung bình",'Huong dan giao do an'!$B$8,IF(I69="Khá",'Huong dan giao do an'!$B$9,'Huong dan giao do an'!$B$10))</f>
        <v>Tối thiểu 5 actor; 14-18 use case; 10-15 bảng; 4 quy trình; tích hợp ngoài/realtime hoặc xử lý nâng cao; 3 báo cáo; &gt;=45 test case; logging, backup và deploy.</v>
      </c>
      <c r="L69" t="str">
        <f>'Huong dan giao do an'!$B$31</f>
        <v>Bắt buộc: Charter/PMP; SRS + scope/WBS; Gantt/baseline; effort-cost budget; RACI/timesheet; quality-test-defect; communication/minutes; risk register; procurement; change log; closure/lessons learned.</v>
      </c>
      <c r="M69" t="str">
        <f>'Huong dan giao do an'!$B$33</f>
        <v>Tuần 1: 07.09–13.09.2026; Tuần 2: 14.09–20.09.2026; Tuần 3: 21.09–27.09.2026; Tuần 4: 28.09–04.10.2026; Tuần 5: 05.10–11.10.2026; Tuần 6: 12.10–18.10.2026; Tuần 7: 19.10–25.10.2026; Tuần 8: 26.10–01.11.2026.</v>
      </c>
      <c r="N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 s="17" t="str">
        <f t="shared" si="1"/>
        <v>Còn trống</v>
      </c>
    </row>
    <row r="70" spans="1:16" x14ac:dyDescent="0.3">
      <c r="A70">
        <v>69</v>
      </c>
      <c r="B70" t="s">
        <v>16</v>
      </c>
      <c r="C70" t="s">
        <v>189</v>
      </c>
      <c r="D70" t="s">
        <v>190</v>
      </c>
      <c r="E70" t="s">
        <v>40</v>
      </c>
      <c r="F70" t="s">
        <v>41</v>
      </c>
      <c r="G70" t="s">
        <v>59</v>
      </c>
      <c r="H70" t="str">
        <f>'Huong dan giao do an'!$B$14</f>
        <v>5 SV (vai trò chính): 1 PM/Scrum Master kiêm Integration; 2 BA/PO; 3 UI-UX + Frontend; 4 Backend/API + DevOps; 5 Database + QA/Tester. Mỗi SV có nhiệm vụ phụ và minh chứng cá nhân.</v>
      </c>
      <c r="I70" t="s">
        <v>36</v>
      </c>
      <c r="J70" t="s">
        <v>37</v>
      </c>
      <c r="K70" t="str">
        <f>IF(I70="Trung bình",'Huong dan giao do an'!$B$8,IF(I70="Khá",'Huong dan giao do an'!$B$9,'Huong dan giao do an'!$B$10))</f>
        <v>Tối thiểu 3 actor; 8-10 use case; 6-8 bảng dữ liệu; 2 quy trình lõi; đăng nhập/RBAC; 1 dashboard; 1 báo cáo; &gt;=25 test case; triển khai bản demo.</v>
      </c>
      <c r="L70" t="str">
        <f>'Huong dan giao do an'!$B$31</f>
        <v>Bắt buộc: Charter/PMP; SRS + scope/WBS; Gantt/baseline; effort-cost budget; RACI/timesheet; quality-test-defect; communication/minutes; risk register; procurement; change log; closure/lessons learned.</v>
      </c>
      <c r="M70" t="str">
        <f>'Huong dan giao do an'!$B$33</f>
        <v>Tuần 1: 07.09–13.09.2026; Tuần 2: 14.09–20.09.2026; Tuần 3: 21.09–27.09.2026; Tuần 4: 28.09–04.10.2026; Tuần 5: 05.10–11.10.2026; Tuần 6: 12.10–18.10.2026; Tuần 7: 19.10–25.10.2026; Tuần 8: 26.10–01.11.2026.</v>
      </c>
      <c r="N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 s="17" t="str">
        <f t="shared" si="1"/>
        <v>Còn trống</v>
      </c>
    </row>
    <row r="71" spans="1:16" x14ac:dyDescent="0.3">
      <c r="A71">
        <v>70</v>
      </c>
      <c r="B71" t="s">
        <v>16</v>
      </c>
      <c r="C71" t="s">
        <v>191</v>
      </c>
      <c r="D71" t="s">
        <v>192</v>
      </c>
      <c r="E71" t="s">
        <v>45</v>
      </c>
      <c r="F71" t="s">
        <v>46</v>
      </c>
      <c r="G71" t="s">
        <v>62</v>
      </c>
      <c r="H71" t="str">
        <f>'Huong dan giao do an'!$B$14</f>
        <v>5 SV (vai trò chính): 1 PM/Scrum Master kiêm Integration; 2 BA/PO; 3 UI-UX + Frontend; 4 Backend/API + DevOps; 5 Database + QA/Tester. Mỗi SV có nhiệm vụ phụ và minh chứng cá nhân.</v>
      </c>
      <c r="I71" t="s">
        <v>22</v>
      </c>
      <c r="J71" t="s">
        <v>23</v>
      </c>
      <c r="K71" t="str">
        <f>IF(I71="Trung bình",'Huong dan giao do an'!$B$8,IF(I71="Khá",'Huong dan giao do an'!$B$9,'Huong dan giao do an'!$B$10))</f>
        <v>Tối thiểu 4 actor; 10-14 use case; 8-12 bảng; 3 quy trình lõi; phân quyền chi tiết; 2 báo cáo; tích hợp 1 dịch vụ; &gt;=35 test case; CI/CD hoặc deploy cloud.</v>
      </c>
      <c r="L71" t="str">
        <f>'Huong dan giao do an'!$B$31</f>
        <v>Bắt buộc: Charter/PMP; SRS + scope/WBS; Gantt/baseline; effort-cost budget; RACI/timesheet; quality-test-defect; communication/minutes; risk register; procurement; change log; closure/lessons learned.</v>
      </c>
      <c r="M71" t="str">
        <f>'Huong dan giao do an'!$B$33</f>
        <v>Tuần 1: 07.09–13.09.2026; Tuần 2: 14.09–20.09.2026; Tuần 3: 21.09–27.09.2026; Tuần 4: 28.09–04.10.2026; Tuần 5: 05.10–11.10.2026; Tuần 6: 12.10–18.10.2026; Tuần 7: 19.10–25.10.2026; Tuần 8: 26.10–01.11.2026.</v>
      </c>
      <c r="N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 s="17" t="str">
        <f t="shared" si="1"/>
        <v>Còn trống</v>
      </c>
    </row>
    <row r="72" spans="1:16" x14ac:dyDescent="0.3">
      <c r="A72">
        <v>71</v>
      </c>
      <c r="B72" t="s">
        <v>16</v>
      </c>
      <c r="C72" t="s">
        <v>193</v>
      </c>
      <c r="D72" t="s">
        <v>194</v>
      </c>
      <c r="E72" t="s">
        <v>19</v>
      </c>
      <c r="F72" t="s">
        <v>20</v>
      </c>
      <c r="G72" t="s">
        <v>65</v>
      </c>
      <c r="H72" t="str">
        <f>'Huong dan giao do an'!$B$14</f>
        <v>5 SV (vai trò chính): 1 PM/Scrum Master kiêm Integration; 2 BA/PO; 3 UI-UX + Frontend; 4 Backend/API + DevOps; 5 Database + QA/Tester. Mỗi SV có nhiệm vụ phụ và minh chứng cá nhân.</v>
      </c>
      <c r="I72" t="s">
        <v>29</v>
      </c>
      <c r="J72" t="s">
        <v>30</v>
      </c>
      <c r="K72" t="str">
        <f>IF(I72="Trung bình",'Huong dan giao do an'!$B$8,IF(I72="Khá",'Huong dan giao do an'!$B$9,'Huong dan giao do an'!$B$10))</f>
        <v>Tối thiểu 5 actor; 14-18 use case; 10-15 bảng; 4 quy trình; tích hợp ngoài/realtime hoặc xử lý nâng cao; 3 báo cáo; &gt;=45 test case; logging, backup và deploy.</v>
      </c>
      <c r="L72" t="str">
        <f>'Huong dan giao do an'!$B$31</f>
        <v>Bắt buộc: Charter/PMP; SRS + scope/WBS; Gantt/baseline; effort-cost budget; RACI/timesheet; quality-test-defect; communication/minutes; risk register; procurement; change log; closure/lessons learned.</v>
      </c>
      <c r="M72" t="str">
        <f>'Huong dan giao do an'!$B$33</f>
        <v>Tuần 1: 07.09–13.09.2026; Tuần 2: 14.09–20.09.2026; Tuần 3: 21.09–27.09.2026; Tuần 4: 28.09–04.10.2026; Tuần 5: 05.10–11.10.2026; Tuần 6: 12.10–18.10.2026; Tuần 7: 19.10–25.10.2026; Tuần 8: 26.10–01.11.2026.</v>
      </c>
      <c r="N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 s="17" t="str">
        <f t="shared" si="1"/>
        <v>Còn trống</v>
      </c>
    </row>
    <row r="73" spans="1:16" x14ac:dyDescent="0.3">
      <c r="A73">
        <v>72</v>
      </c>
      <c r="B73" t="s">
        <v>16</v>
      </c>
      <c r="C73" t="s">
        <v>195</v>
      </c>
      <c r="D73" t="s">
        <v>196</v>
      </c>
      <c r="E73" t="s">
        <v>26</v>
      </c>
      <c r="F73" t="s">
        <v>27</v>
      </c>
      <c r="G73" t="s">
        <v>68</v>
      </c>
      <c r="H73" t="str">
        <f>'Huong dan giao do an'!$B$14</f>
        <v>5 SV (vai trò chính): 1 PM/Scrum Master kiêm Integration; 2 BA/PO; 3 UI-UX + Frontend; 4 Backend/API + DevOps; 5 Database + QA/Tester. Mỗi SV có nhiệm vụ phụ và minh chứng cá nhân.</v>
      </c>
      <c r="I73" t="s">
        <v>36</v>
      </c>
      <c r="J73" t="s">
        <v>37</v>
      </c>
      <c r="K73" t="str">
        <f>IF(I73="Trung bình",'Huong dan giao do an'!$B$8,IF(I73="Khá",'Huong dan giao do an'!$B$9,'Huong dan giao do an'!$B$10))</f>
        <v>Tối thiểu 3 actor; 8-10 use case; 6-8 bảng dữ liệu; 2 quy trình lõi; đăng nhập/RBAC; 1 dashboard; 1 báo cáo; &gt;=25 test case; triển khai bản demo.</v>
      </c>
      <c r="L73" t="str">
        <f>'Huong dan giao do an'!$B$31</f>
        <v>Bắt buộc: Charter/PMP; SRS + scope/WBS; Gantt/baseline; effort-cost budget; RACI/timesheet; quality-test-defect; communication/minutes; risk register; procurement; change log; closure/lessons learned.</v>
      </c>
      <c r="M73" t="str">
        <f>'Huong dan giao do an'!$B$33</f>
        <v>Tuần 1: 07.09–13.09.2026; Tuần 2: 14.09–20.09.2026; Tuần 3: 21.09–27.09.2026; Tuần 4: 28.09–04.10.2026; Tuần 5: 05.10–11.10.2026; Tuần 6: 12.10–18.10.2026; Tuần 7: 19.10–25.10.2026; Tuần 8: 26.10–01.11.2026.</v>
      </c>
      <c r="N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 s="17" t="str">
        <f t="shared" si="1"/>
        <v>Còn trống</v>
      </c>
    </row>
    <row r="74" spans="1:16" x14ac:dyDescent="0.3">
      <c r="A74">
        <v>73</v>
      </c>
      <c r="B74" t="s">
        <v>16</v>
      </c>
      <c r="C74" t="s">
        <v>197</v>
      </c>
      <c r="D74" t="s">
        <v>198</v>
      </c>
      <c r="E74" t="s">
        <v>33</v>
      </c>
      <c r="F74" t="s">
        <v>34</v>
      </c>
      <c r="G74" t="s">
        <v>71</v>
      </c>
      <c r="H74" t="str">
        <f>'Huong dan giao do an'!$B$14</f>
        <v>5 SV (vai trò chính): 1 PM/Scrum Master kiêm Integration; 2 BA/PO; 3 UI-UX + Frontend; 4 Backend/API + DevOps; 5 Database + QA/Tester. Mỗi SV có nhiệm vụ phụ và minh chứng cá nhân.</v>
      </c>
      <c r="I74" t="s">
        <v>22</v>
      </c>
      <c r="J74" t="s">
        <v>23</v>
      </c>
      <c r="K74" t="str">
        <f>IF(I74="Trung bình",'Huong dan giao do an'!$B$8,IF(I74="Khá",'Huong dan giao do an'!$B$9,'Huong dan giao do an'!$B$10))</f>
        <v>Tối thiểu 4 actor; 10-14 use case; 8-12 bảng; 3 quy trình lõi; phân quyền chi tiết; 2 báo cáo; tích hợp 1 dịch vụ; &gt;=35 test case; CI/CD hoặc deploy cloud.</v>
      </c>
      <c r="L74" t="str">
        <f>'Huong dan giao do an'!$B$31</f>
        <v>Bắt buộc: Charter/PMP; SRS + scope/WBS; Gantt/baseline; effort-cost budget; RACI/timesheet; quality-test-defect; communication/minutes; risk register; procurement; change log; closure/lessons learned.</v>
      </c>
      <c r="M74" t="str">
        <f>'Huong dan giao do an'!$B$33</f>
        <v>Tuần 1: 07.09–13.09.2026; Tuần 2: 14.09–20.09.2026; Tuần 3: 21.09–27.09.2026; Tuần 4: 28.09–04.10.2026; Tuần 5: 05.10–11.10.2026; Tuần 6: 12.10–18.10.2026; Tuần 7: 19.10–25.10.2026; Tuần 8: 26.10–01.11.2026.</v>
      </c>
      <c r="N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 s="17" t="str">
        <f t="shared" si="1"/>
        <v>Còn trống</v>
      </c>
    </row>
    <row r="75" spans="1:16" x14ac:dyDescent="0.3">
      <c r="A75">
        <v>74</v>
      </c>
      <c r="B75" t="s">
        <v>16</v>
      </c>
      <c r="C75" t="s">
        <v>199</v>
      </c>
      <c r="D75" t="s">
        <v>200</v>
      </c>
      <c r="E75" t="s">
        <v>201</v>
      </c>
      <c r="F75" t="s">
        <v>202</v>
      </c>
      <c r="G75" t="s">
        <v>201</v>
      </c>
      <c r="H75" t="str">
        <f>'Huong dan giao do an'!$B$14</f>
        <v>5 SV (vai trò chính): 1 PM/Scrum Master kiêm Integration; 2 BA/PO; 3 UI-UX + Frontend; 4 Backend/API + DevOps; 5 Database + QA/Tester. Mỗi SV có nhiệm vụ phụ và minh chứng cá nhân.</v>
      </c>
      <c r="I75" t="s">
        <v>29</v>
      </c>
      <c r="J75" t="s">
        <v>30</v>
      </c>
      <c r="K75" t="str">
        <f>IF(I75="Trung bình",'Huong dan giao do an'!$B$8,IF(I75="Khá",'Huong dan giao do an'!$B$9,'Huong dan giao do an'!$B$10))</f>
        <v>Tối thiểu 5 actor; 14-18 use case; 10-15 bảng; 4 quy trình; tích hợp ngoài/realtime hoặc xử lý nâng cao; 3 báo cáo; &gt;=45 test case; logging, backup và deploy.</v>
      </c>
      <c r="L75" t="str">
        <f>'Huong dan giao do an'!$B$31</f>
        <v>Bắt buộc: Charter/PMP; SRS + scope/WBS; Gantt/baseline; effort-cost budget; RACI/timesheet; quality-test-defect; communication/minutes; risk register; procurement; change log; closure/lessons learned.</v>
      </c>
      <c r="M75" t="str">
        <f>'Huong dan giao do an'!$B$33</f>
        <v>Tuần 1: 07.09–13.09.2026; Tuần 2: 14.09–20.09.2026; Tuần 3: 21.09–27.09.2026; Tuần 4: 28.09–04.10.2026; Tuần 5: 05.10–11.10.2026; Tuần 6: 12.10–18.10.2026; Tuần 7: 19.10–25.10.2026; Tuần 8: 26.10–01.11.2026.</v>
      </c>
      <c r="N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 s="17" t="str">
        <f t="shared" si="1"/>
        <v>Còn trống</v>
      </c>
    </row>
    <row r="76" spans="1:16" x14ac:dyDescent="0.3">
      <c r="A76">
        <v>75</v>
      </c>
      <c r="B76" t="s">
        <v>16</v>
      </c>
      <c r="C76" t="s">
        <v>203</v>
      </c>
      <c r="D76" t="s">
        <v>204</v>
      </c>
      <c r="E76" t="s">
        <v>45</v>
      </c>
      <c r="F76" t="s">
        <v>46</v>
      </c>
      <c r="G76" t="s">
        <v>77</v>
      </c>
      <c r="H76" t="str">
        <f>'Huong dan giao do an'!$B$14</f>
        <v>5 SV (vai trò chính): 1 PM/Scrum Master kiêm Integration; 2 BA/PO; 3 UI-UX + Frontend; 4 Backend/API + DevOps; 5 Database + QA/Tester. Mỗi SV có nhiệm vụ phụ và minh chứng cá nhân.</v>
      </c>
      <c r="I76" t="s">
        <v>36</v>
      </c>
      <c r="J76" t="s">
        <v>37</v>
      </c>
      <c r="K76" t="str">
        <f>IF(I76="Trung bình",'Huong dan giao do an'!$B$8,IF(I76="Khá",'Huong dan giao do an'!$B$9,'Huong dan giao do an'!$B$10))</f>
        <v>Tối thiểu 3 actor; 8-10 use case; 6-8 bảng dữ liệu; 2 quy trình lõi; đăng nhập/RBAC; 1 dashboard; 1 báo cáo; &gt;=25 test case; triển khai bản demo.</v>
      </c>
      <c r="L76" t="str">
        <f>'Huong dan giao do an'!$B$31</f>
        <v>Bắt buộc: Charter/PMP; SRS + scope/WBS; Gantt/baseline; effort-cost budget; RACI/timesheet; quality-test-defect; communication/minutes; risk register; procurement; change log; closure/lessons learned.</v>
      </c>
      <c r="M76" t="str">
        <f>'Huong dan giao do an'!$B$33</f>
        <v>Tuần 1: 07.09–13.09.2026; Tuần 2: 14.09–20.09.2026; Tuần 3: 21.09–27.09.2026; Tuần 4: 28.09–04.10.2026; Tuần 5: 05.10–11.10.2026; Tuần 6: 12.10–18.10.2026; Tuần 7: 19.10–25.10.2026; Tuần 8: 26.10–01.11.2026.</v>
      </c>
      <c r="N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 s="17" t="str">
        <f t="shared" si="1"/>
        <v>Còn trống</v>
      </c>
    </row>
    <row r="77" spans="1:16" x14ac:dyDescent="0.3">
      <c r="A77">
        <v>76</v>
      </c>
      <c r="B77" t="s">
        <v>16</v>
      </c>
      <c r="C77" t="s">
        <v>205</v>
      </c>
      <c r="D77" t="s">
        <v>206</v>
      </c>
      <c r="E77" t="s">
        <v>19</v>
      </c>
      <c r="F77" t="s">
        <v>20</v>
      </c>
      <c r="G77" t="s">
        <v>80</v>
      </c>
      <c r="H77" t="str">
        <f>'Huong dan giao do an'!$B$14</f>
        <v>5 SV (vai trò chính): 1 PM/Scrum Master kiêm Integration; 2 BA/PO; 3 UI-UX + Frontend; 4 Backend/API + DevOps; 5 Database + QA/Tester. Mỗi SV có nhiệm vụ phụ và minh chứng cá nhân.</v>
      </c>
      <c r="I77" t="s">
        <v>22</v>
      </c>
      <c r="J77" t="s">
        <v>23</v>
      </c>
      <c r="K77" t="str">
        <f>IF(I77="Trung bình",'Huong dan giao do an'!$B$8,IF(I77="Khá",'Huong dan giao do an'!$B$9,'Huong dan giao do an'!$B$10))</f>
        <v>Tối thiểu 4 actor; 10-14 use case; 8-12 bảng; 3 quy trình lõi; phân quyền chi tiết; 2 báo cáo; tích hợp 1 dịch vụ; &gt;=35 test case; CI/CD hoặc deploy cloud.</v>
      </c>
      <c r="L77" t="str">
        <f>'Huong dan giao do an'!$B$31</f>
        <v>Bắt buộc: Charter/PMP; SRS + scope/WBS; Gantt/baseline; effort-cost budget; RACI/timesheet; quality-test-defect; communication/minutes; risk register; procurement; change log; closure/lessons learned.</v>
      </c>
      <c r="M77" t="str">
        <f>'Huong dan giao do an'!$B$33</f>
        <v>Tuần 1: 07.09–13.09.2026; Tuần 2: 14.09–20.09.2026; Tuần 3: 21.09–27.09.2026; Tuần 4: 28.09–04.10.2026; Tuần 5: 05.10–11.10.2026; Tuần 6: 12.10–18.10.2026; Tuần 7: 19.10–25.10.2026; Tuần 8: 26.10–01.11.2026.</v>
      </c>
      <c r="N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 s="17" t="str">
        <f t="shared" si="1"/>
        <v>Còn trống</v>
      </c>
    </row>
    <row r="78" spans="1:16" x14ac:dyDescent="0.3">
      <c r="A78">
        <v>77</v>
      </c>
      <c r="B78" t="s">
        <v>16</v>
      </c>
      <c r="C78" t="s">
        <v>207</v>
      </c>
      <c r="D78" t="s">
        <v>208</v>
      </c>
      <c r="E78" t="s">
        <v>26</v>
      </c>
      <c r="F78" t="s">
        <v>27</v>
      </c>
      <c r="G78" t="s">
        <v>83</v>
      </c>
      <c r="H78" t="str">
        <f>'Huong dan giao do an'!$B$14</f>
        <v>5 SV (vai trò chính): 1 PM/Scrum Master kiêm Integration; 2 BA/PO; 3 UI-UX + Frontend; 4 Backend/API + DevOps; 5 Database + QA/Tester. Mỗi SV có nhiệm vụ phụ và minh chứng cá nhân.</v>
      </c>
      <c r="I78" t="s">
        <v>29</v>
      </c>
      <c r="J78" t="s">
        <v>30</v>
      </c>
      <c r="K78" t="str">
        <f>IF(I78="Trung bình",'Huong dan giao do an'!$B$8,IF(I78="Khá",'Huong dan giao do an'!$B$9,'Huong dan giao do an'!$B$10))</f>
        <v>Tối thiểu 5 actor; 14-18 use case; 10-15 bảng; 4 quy trình; tích hợp ngoài/realtime hoặc xử lý nâng cao; 3 báo cáo; &gt;=45 test case; logging, backup và deploy.</v>
      </c>
      <c r="L78" t="str">
        <f>'Huong dan giao do an'!$B$31</f>
        <v>Bắt buộc: Charter/PMP; SRS + scope/WBS; Gantt/baseline; effort-cost budget; RACI/timesheet; quality-test-defect; communication/minutes; risk register; procurement; change log; closure/lessons learned.</v>
      </c>
      <c r="M78" t="str">
        <f>'Huong dan giao do an'!$B$33</f>
        <v>Tuần 1: 07.09–13.09.2026; Tuần 2: 14.09–20.09.2026; Tuần 3: 21.09–27.09.2026; Tuần 4: 28.09–04.10.2026; Tuần 5: 05.10–11.10.2026; Tuần 6: 12.10–18.10.2026; Tuần 7: 19.10–25.10.2026; Tuần 8: 26.10–01.11.2026.</v>
      </c>
      <c r="N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 s="17" t="str">
        <f t="shared" si="1"/>
        <v>Còn trống</v>
      </c>
    </row>
    <row r="79" spans="1:16" x14ac:dyDescent="0.3">
      <c r="A79">
        <v>78</v>
      </c>
      <c r="B79" t="s">
        <v>16</v>
      </c>
      <c r="C79" t="s">
        <v>209</v>
      </c>
      <c r="D79" t="s">
        <v>210</v>
      </c>
      <c r="E79" t="s">
        <v>33</v>
      </c>
      <c r="F79" t="s">
        <v>34</v>
      </c>
      <c r="G79" t="s">
        <v>86</v>
      </c>
      <c r="H79" t="str">
        <f>'Huong dan giao do an'!$B$14</f>
        <v>5 SV (vai trò chính): 1 PM/Scrum Master kiêm Integration; 2 BA/PO; 3 UI-UX + Frontend; 4 Backend/API + DevOps; 5 Database + QA/Tester. Mỗi SV có nhiệm vụ phụ và minh chứng cá nhân.</v>
      </c>
      <c r="I79" t="s">
        <v>36</v>
      </c>
      <c r="J79" t="s">
        <v>37</v>
      </c>
      <c r="K79" t="str">
        <f>IF(I79="Trung bình",'Huong dan giao do an'!$B$8,IF(I79="Khá",'Huong dan giao do an'!$B$9,'Huong dan giao do an'!$B$10))</f>
        <v>Tối thiểu 3 actor; 8-10 use case; 6-8 bảng dữ liệu; 2 quy trình lõi; đăng nhập/RBAC; 1 dashboard; 1 báo cáo; &gt;=25 test case; triển khai bản demo.</v>
      </c>
      <c r="L79" t="str">
        <f>'Huong dan giao do an'!$B$31</f>
        <v>Bắt buộc: Charter/PMP; SRS + scope/WBS; Gantt/baseline; effort-cost budget; RACI/timesheet; quality-test-defect; communication/minutes; risk register; procurement; change log; closure/lessons learned.</v>
      </c>
      <c r="M79" t="str">
        <f>'Huong dan giao do an'!$B$33</f>
        <v>Tuần 1: 07.09–13.09.2026; Tuần 2: 14.09–20.09.2026; Tuần 3: 21.09–27.09.2026; Tuần 4: 28.09–04.10.2026; Tuần 5: 05.10–11.10.2026; Tuần 6: 12.10–18.10.2026; Tuần 7: 19.10–25.10.2026; Tuần 8: 26.10–01.11.2026.</v>
      </c>
      <c r="N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 s="17" t="str">
        <f t="shared" si="1"/>
        <v>Còn trống</v>
      </c>
    </row>
    <row r="80" spans="1:16" x14ac:dyDescent="0.3">
      <c r="A80">
        <v>79</v>
      </c>
      <c r="B80" t="s">
        <v>16</v>
      </c>
      <c r="C80" t="s">
        <v>211</v>
      </c>
      <c r="D80" t="s">
        <v>212</v>
      </c>
      <c r="E80" t="s">
        <v>40</v>
      </c>
      <c r="F80" t="s">
        <v>41</v>
      </c>
      <c r="G80" t="s">
        <v>89</v>
      </c>
      <c r="H80" t="str">
        <f>'Huong dan giao do an'!$B$14</f>
        <v>5 SV (vai trò chính): 1 PM/Scrum Master kiêm Integration; 2 BA/PO; 3 UI-UX + Frontend; 4 Backend/API + DevOps; 5 Database + QA/Tester. Mỗi SV có nhiệm vụ phụ và minh chứng cá nhân.</v>
      </c>
      <c r="I80" t="s">
        <v>22</v>
      </c>
      <c r="J80" t="s">
        <v>23</v>
      </c>
      <c r="K80" t="str">
        <f>IF(I80="Trung bình",'Huong dan giao do an'!$B$8,IF(I80="Khá",'Huong dan giao do an'!$B$9,'Huong dan giao do an'!$B$10))</f>
        <v>Tối thiểu 4 actor; 10-14 use case; 8-12 bảng; 3 quy trình lõi; phân quyền chi tiết; 2 báo cáo; tích hợp 1 dịch vụ; &gt;=35 test case; CI/CD hoặc deploy cloud.</v>
      </c>
      <c r="L80" t="str">
        <f>'Huong dan giao do an'!$B$31</f>
        <v>Bắt buộc: Charter/PMP; SRS + scope/WBS; Gantt/baseline; effort-cost budget; RACI/timesheet; quality-test-defect; communication/minutes; risk register; procurement; change log; closure/lessons learned.</v>
      </c>
      <c r="M80" t="str">
        <f>'Huong dan giao do an'!$B$33</f>
        <v>Tuần 1: 07.09–13.09.2026; Tuần 2: 14.09–20.09.2026; Tuần 3: 21.09–27.09.2026; Tuần 4: 28.09–04.10.2026; Tuần 5: 05.10–11.10.2026; Tuần 6: 12.10–18.10.2026; Tuần 7: 19.10–25.10.2026; Tuần 8: 26.10–01.11.2026.</v>
      </c>
      <c r="N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 s="17" t="str">
        <f t="shared" si="1"/>
        <v>Còn trống</v>
      </c>
    </row>
    <row r="81" spans="1:16" x14ac:dyDescent="0.3">
      <c r="A81">
        <v>80</v>
      </c>
      <c r="B81" t="s">
        <v>16</v>
      </c>
      <c r="C81" t="s">
        <v>213</v>
      </c>
      <c r="D81" t="s">
        <v>214</v>
      </c>
      <c r="E81" t="s">
        <v>45</v>
      </c>
      <c r="F81" t="s">
        <v>46</v>
      </c>
      <c r="G81" t="s">
        <v>92</v>
      </c>
      <c r="H81" t="str">
        <f>'Huong dan giao do an'!$B$14</f>
        <v>5 SV (vai trò chính): 1 PM/Scrum Master kiêm Integration; 2 BA/PO; 3 UI-UX + Frontend; 4 Backend/API + DevOps; 5 Database + QA/Tester. Mỗi SV có nhiệm vụ phụ và minh chứng cá nhân.</v>
      </c>
      <c r="I81" t="s">
        <v>29</v>
      </c>
      <c r="J81" t="s">
        <v>30</v>
      </c>
      <c r="K81" t="str">
        <f>IF(I81="Trung bình",'Huong dan giao do an'!$B$8,IF(I81="Khá",'Huong dan giao do an'!$B$9,'Huong dan giao do an'!$B$10))</f>
        <v>Tối thiểu 5 actor; 14-18 use case; 10-15 bảng; 4 quy trình; tích hợp ngoài/realtime hoặc xử lý nâng cao; 3 báo cáo; &gt;=45 test case; logging, backup và deploy.</v>
      </c>
      <c r="L81" t="str">
        <f>'Huong dan giao do an'!$B$31</f>
        <v>Bắt buộc: Charter/PMP; SRS + scope/WBS; Gantt/baseline; effort-cost budget; RACI/timesheet; quality-test-defect; communication/minutes; risk register; procurement; change log; closure/lessons learned.</v>
      </c>
      <c r="M81" t="str">
        <f>'Huong dan giao do an'!$B$33</f>
        <v>Tuần 1: 07.09–13.09.2026; Tuần 2: 14.09–20.09.2026; Tuần 3: 21.09–27.09.2026; Tuần 4: 28.09–04.10.2026; Tuần 5: 05.10–11.10.2026; Tuần 6: 12.10–18.10.2026; Tuần 7: 19.10–25.10.2026; Tuần 8: 26.10–01.11.2026.</v>
      </c>
      <c r="N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 s="17" t="str">
        <f t="shared" si="1"/>
        <v>Còn trống</v>
      </c>
    </row>
    <row r="82" spans="1:16" x14ac:dyDescent="0.3">
      <c r="A82">
        <v>81</v>
      </c>
      <c r="B82" t="s">
        <v>16</v>
      </c>
      <c r="C82" t="s">
        <v>215</v>
      </c>
      <c r="D82" t="s">
        <v>216</v>
      </c>
      <c r="E82" t="s">
        <v>19</v>
      </c>
      <c r="F82" t="s">
        <v>20</v>
      </c>
      <c r="G82" t="s">
        <v>21</v>
      </c>
      <c r="H82" t="str">
        <f>'Huong dan giao do an'!$B$14</f>
        <v>5 SV (vai trò chính): 1 PM/Scrum Master kiêm Integration; 2 BA/PO; 3 UI-UX + Frontend; 4 Backend/API + DevOps; 5 Database + QA/Tester. Mỗi SV có nhiệm vụ phụ và minh chứng cá nhân.</v>
      </c>
      <c r="I82" t="s">
        <v>22</v>
      </c>
      <c r="J82" t="s">
        <v>23</v>
      </c>
      <c r="K82" t="str">
        <f>IF(I82="Trung bình",'Huong dan giao do an'!$B$8,IF(I82="Khá",'Huong dan giao do an'!$B$9,'Huong dan giao do an'!$B$10))</f>
        <v>Tối thiểu 4 actor; 10-14 use case; 8-12 bảng; 3 quy trình lõi; phân quyền chi tiết; 2 báo cáo; tích hợp 1 dịch vụ; &gt;=35 test case; CI/CD hoặc deploy cloud.</v>
      </c>
      <c r="L82" t="str">
        <f>'Huong dan giao do an'!$B$31</f>
        <v>Bắt buộc: Charter/PMP; SRS + scope/WBS; Gantt/baseline; effort-cost budget; RACI/timesheet; quality-test-defect; communication/minutes; risk register; procurement; change log; closure/lessons learned.</v>
      </c>
      <c r="M82" t="str">
        <f>'Huong dan giao do an'!$B$33</f>
        <v>Tuần 1: 07.09–13.09.2026; Tuần 2: 14.09–20.09.2026; Tuần 3: 21.09–27.09.2026; Tuần 4: 28.09–04.10.2026; Tuần 5: 05.10–11.10.2026; Tuần 6: 12.10–18.10.2026; Tuần 7: 19.10–25.10.2026; Tuần 8: 26.10–01.11.2026.</v>
      </c>
      <c r="N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 s="17" t="str">
        <f t="shared" si="1"/>
        <v>Còn trống</v>
      </c>
    </row>
    <row r="83" spans="1:16" x14ac:dyDescent="0.3">
      <c r="A83">
        <v>82</v>
      </c>
      <c r="B83" t="s">
        <v>16</v>
      </c>
      <c r="C83" t="s">
        <v>217</v>
      </c>
      <c r="D83" t="s">
        <v>218</v>
      </c>
      <c r="E83" t="s">
        <v>26</v>
      </c>
      <c r="F83" t="s">
        <v>27</v>
      </c>
      <c r="G83" t="s">
        <v>28</v>
      </c>
      <c r="H83" t="str">
        <f>'Huong dan giao do an'!$B$14</f>
        <v>5 SV (vai trò chính): 1 PM/Scrum Master kiêm Integration; 2 BA/PO; 3 UI-UX + Frontend; 4 Backend/API + DevOps; 5 Database + QA/Tester. Mỗi SV có nhiệm vụ phụ và minh chứng cá nhân.</v>
      </c>
      <c r="I83" t="s">
        <v>29</v>
      </c>
      <c r="J83" t="s">
        <v>30</v>
      </c>
      <c r="K83" t="str">
        <f>IF(I83="Trung bình",'Huong dan giao do an'!$B$8,IF(I83="Khá",'Huong dan giao do an'!$B$9,'Huong dan giao do an'!$B$10))</f>
        <v>Tối thiểu 5 actor; 14-18 use case; 10-15 bảng; 4 quy trình; tích hợp ngoài/realtime hoặc xử lý nâng cao; 3 báo cáo; &gt;=45 test case; logging, backup và deploy.</v>
      </c>
      <c r="L83" t="str">
        <f>'Huong dan giao do an'!$B$31</f>
        <v>Bắt buộc: Charter/PMP; SRS + scope/WBS; Gantt/baseline; effort-cost budget; RACI/timesheet; quality-test-defect; communication/minutes; risk register; procurement; change log; closure/lessons learned.</v>
      </c>
      <c r="M83" t="str">
        <f>'Huong dan giao do an'!$B$33</f>
        <v>Tuần 1: 07.09–13.09.2026; Tuần 2: 14.09–20.09.2026; Tuần 3: 21.09–27.09.2026; Tuần 4: 28.09–04.10.2026; Tuần 5: 05.10–11.10.2026; Tuần 6: 12.10–18.10.2026; Tuần 7: 19.10–25.10.2026; Tuần 8: 26.10–01.11.2026.</v>
      </c>
      <c r="N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 s="17" t="str">
        <f t="shared" si="1"/>
        <v>Còn trống</v>
      </c>
    </row>
    <row r="84" spans="1:16" x14ac:dyDescent="0.3">
      <c r="A84">
        <v>83</v>
      </c>
      <c r="B84" t="s">
        <v>16</v>
      </c>
      <c r="C84" t="s">
        <v>219</v>
      </c>
      <c r="D84" t="s">
        <v>220</v>
      </c>
      <c r="E84" t="s">
        <v>33</v>
      </c>
      <c r="F84" t="s">
        <v>34</v>
      </c>
      <c r="G84" t="s">
        <v>35</v>
      </c>
      <c r="H84" t="str">
        <f>'Huong dan giao do an'!$B$14</f>
        <v>5 SV (vai trò chính): 1 PM/Scrum Master kiêm Integration; 2 BA/PO; 3 UI-UX + Frontend; 4 Backend/API + DevOps; 5 Database + QA/Tester. Mỗi SV có nhiệm vụ phụ và minh chứng cá nhân.</v>
      </c>
      <c r="I84" t="s">
        <v>36</v>
      </c>
      <c r="J84" t="s">
        <v>37</v>
      </c>
      <c r="K84" t="str">
        <f>IF(I84="Trung bình",'Huong dan giao do an'!$B$8,IF(I84="Khá",'Huong dan giao do an'!$B$9,'Huong dan giao do an'!$B$10))</f>
        <v>Tối thiểu 3 actor; 8-10 use case; 6-8 bảng dữ liệu; 2 quy trình lõi; đăng nhập/RBAC; 1 dashboard; 1 báo cáo; &gt;=25 test case; triển khai bản demo.</v>
      </c>
      <c r="L84" t="str">
        <f>'Huong dan giao do an'!$B$31</f>
        <v>Bắt buộc: Charter/PMP; SRS + scope/WBS; Gantt/baseline; effort-cost budget; RACI/timesheet; quality-test-defect; communication/minutes; risk register; procurement; change log; closure/lessons learned.</v>
      </c>
      <c r="M84" t="str">
        <f>'Huong dan giao do an'!$B$33</f>
        <v>Tuần 1: 07.09–13.09.2026; Tuần 2: 14.09–20.09.2026; Tuần 3: 21.09–27.09.2026; Tuần 4: 28.09–04.10.2026; Tuần 5: 05.10–11.10.2026; Tuần 6: 12.10–18.10.2026; Tuần 7: 19.10–25.10.2026; Tuần 8: 26.10–01.11.2026.</v>
      </c>
      <c r="N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 s="17" t="str">
        <f t="shared" si="1"/>
        <v>Còn trống</v>
      </c>
    </row>
    <row r="85" spans="1:16" x14ac:dyDescent="0.3">
      <c r="A85">
        <v>84</v>
      </c>
      <c r="B85" t="s">
        <v>16</v>
      </c>
      <c r="C85" t="s">
        <v>221</v>
      </c>
      <c r="D85" t="s">
        <v>222</v>
      </c>
      <c r="E85" t="s">
        <v>40</v>
      </c>
      <c r="F85" t="s">
        <v>41</v>
      </c>
      <c r="G85" t="s">
        <v>42</v>
      </c>
      <c r="H85" t="str">
        <f>'Huong dan giao do an'!$B$14</f>
        <v>5 SV (vai trò chính): 1 PM/Scrum Master kiêm Integration; 2 BA/PO; 3 UI-UX + Frontend; 4 Backend/API + DevOps; 5 Database + QA/Tester. Mỗi SV có nhiệm vụ phụ và minh chứng cá nhân.</v>
      </c>
      <c r="I85" t="s">
        <v>22</v>
      </c>
      <c r="J85" t="s">
        <v>23</v>
      </c>
      <c r="K85" t="str">
        <f>IF(I85="Trung bình",'Huong dan giao do an'!$B$8,IF(I85="Khá",'Huong dan giao do an'!$B$9,'Huong dan giao do an'!$B$10))</f>
        <v>Tối thiểu 4 actor; 10-14 use case; 8-12 bảng; 3 quy trình lõi; phân quyền chi tiết; 2 báo cáo; tích hợp 1 dịch vụ; &gt;=35 test case; CI/CD hoặc deploy cloud.</v>
      </c>
      <c r="L85" t="str">
        <f>'Huong dan giao do an'!$B$31</f>
        <v>Bắt buộc: Charter/PMP; SRS + scope/WBS; Gantt/baseline; effort-cost budget; RACI/timesheet; quality-test-defect; communication/minutes; risk register; procurement; change log; closure/lessons learned.</v>
      </c>
      <c r="M85" t="str">
        <f>'Huong dan giao do an'!$B$33</f>
        <v>Tuần 1: 07.09–13.09.2026; Tuần 2: 14.09–20.09.2026; Tuần 3: 21.09–27.09.2026; Tuần 4: 28.09–04.10.2026; Tuần 5: 05.10–11.10.2026; Tuần 6: 12.10–18.10.2026; Tuần 7: 19.10–25.10.2026; Tuần 8: 26.10–01.11.2026.</v>
      </c>
      <c r="N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 s="17" t="str">
        <f t="shared" si="1"/>
        <v>Còn trống</v>
      </c>
    </row>
    <row r="86" spans="1:16" x14ac:dyDescent="0.3">
      <c r="A86">
        <v>85</v>
      </c>
      <c r="B86" t="s">
        <v>16</v>
      </c>
      <c r="C86" t="s">
        <v>223</v>
      </c>
      <c r="D86" t="s">
        <v>224</v>
      </c>
      <c r="E86" t="s">
        <v>45</v>
      </c>
      <c r="F86" t="s">
        <v>46</v>
      </c>
      <c r="G86" t="s">
        <v>47</v>
      </c>
      <c r="H86" t="str">
        <f>'Huong dan giao do an'!$B$14</f>
        <v>5 SV (vai trò chính): 1 PM/Scrum Master kiêm Integration; 2 BA/PO; 3 UI-UX + Frontend; 4 Backend/API + DevOps; 5 Database + QA/Tester. Mỗi SV có nhiệm vụ phụ và minh chứng cá nhân.</v>
      </c>
      <c r="I86" t="s">
        <v>29</v>
      </c>
      <c r="J86" t="s">
        <v>30</v>
      </c>
      <c r="K86" t="str">
        <f>IF(I86="Trung bình",'Huong dan giao do an'!$B$8,IF(I86="Khá",'Huong dan giao do an'!$B$9,'Huong dan giao do an'!$B$10))</f>
        <v>Tối thiểu 5 actor; 14-18 use case; 10-15 bảng; 4 quy trình; tích hợp ngoài/realtime hoặc xử lý nâng cao; 3 báo cáo; &gt;=45 test case; logging, backup và deploy.</v>
      </c>
      <c r="L86" t="str">
        <f>'Huong dan giao do an'!$B$31</f>
        <v>Bắt buộc: Charter/PMP; SRS + scope/WBS; Gantt/baseline; effort-cost budget; RACI/timesheet; quality-test-defect; communication/minutes; risk register; procurement; change log; closure/lessons learned.</v>
      </c>
      <c r="M86" t="str">
        <f>'Huong dan giao do an'!$B$33</f>
        <v>Tuần 1: 07.09–13.09.2026; Tuần 2: 14.09–20.09.2026; Tuần 3: 21.09–27.09.2026; Tuần 4: 28.09–04.10.2026; Tuần 5: 05.10–11.10.2026; Tuần 6: 12.10–18.10.2026; Tuần 7: 19.10–25.10.2026; Tuần 8: 26.10–01.11.2026.</v>
      </c>
      <c r="N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 s="17" t="str">
        <f t="shared" si="1"/>
        <v>Còn trống</v>
      </c>
    </row>
    <row r="87" spans="1:16" x14ac:dyDescent="0.3">
      <c r="A87">
        <v>86</v>
      </c>
      <c r="B87" t="s">
        <v>16</v>
      </c>
      <c r="C87" t="s">
        <v>225</v>
      </c>
      <c r="D87" t="s">
        <v>226</v>
      </c>
      <c r="E87" t="s">
        <v>19</v>
      </c>
      <c r="F87" t="s">
        <v>20</v>
      </c>
      <c r="G87" t="s">
        <v>50</v>
      </c>
      <c r="H87" t="str">
        <f>'Huong dan giao do an'!$B$14</f>
        <v>5 SV (vai trò chính): 1 PM/Scrum Master kiêm Integration; 2 BA/PO; 3 UI-UX + Frontend; 4 Backend/API + DevOps; 5 Database + QA/Tester. Mỗi SV có nhiệm vụ phụ và minh chứng cá nhân.</v>
      </c>
      <c r="I87" t="s">
        <v>36</v>
      </c>
      <c r="J87" t="s">
        <v>37</v>
      </c>
      <c r="K87" t="str">
        <f>IF(I87="Trung bình",'Huong dan giao do an'!$B$8,IF(I87="Khá",'Huong dan giao do an'!$B$9,'Huong dan giao do an'!$B$10))</f>
        <v>Tối thiểu 3 actor; 8-10 use case; 6-8 bảng dữ liệu; 2 quy trình lõi; đăng nhập/RBAC; 1 dashboard; 1 báo cáo; &gt;=25 test case; triển khai bản demo.</v>
      </c>
      <c r="L87" t="str">
        <f>'Huong dan giao do an'!$B$31</f>
        <v>Bắt buộc: Charter/PMP; SRS + scope/WBS; Gantt/baseline; effort-cost budget; RACI/timesheet; quality-test-defect; communication/minutes; risk register; procurement; change log; closure/lessons learned.</v>
      </c>
      <c r="M87" t="str">
        <f>'Huong dan giao do an'!$B$33</f>
        <v>Tuần 1: 07.09–13.09.2026; Tuần 2: 14.09–20.09.2026; Tuần 3: 21.09–27.09.2026; Tuần 4: 28.09–04.10.2026; Tuần 5: 05.10–11.10.2026; Tuần 6: 12.10–18.10.2026; Tuần 7: 19.10–25.10.2026; Tuần 8: 26.10–01.11.2026.</v>
      </c>
      <c r="N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 s="17" t="str">
        <f t="shared" si="1"/>
        <v>Còn trống</v>
      </c>
    </row>
    <row r="88" spans="1:16" x14ac:dyDescent="0.3">
      <c r="A88">
        <v>87</v>
      </c>
      <c r="B88" t="s">
        <v>16</v>
      </c>
      <c r="C88" t="s">
        <v>227</v>
      </c>
      <c r="D88" t="s">
        <v>228</v>
      </c>
      <c r="E88" t="s">
        <v>26</v>
      </c>
      <c r="F88" t="s">
        <v>27</v>
      </c>
      <c r="G88" t="s">
        <v>53</v>
      </c>
      <c r="H88" t="str">
        <f>'Huong dan giao do an'!$B$14</f>
        <v>5 SV (vai trò chính): 1 PM/Scrum Master kiêm Integration; 2 BA/PO; 3 UI-UX + Frontend; 4 Backend/API + DevOps; 5 Database + QA/Tester. Mỗi SV có nhiệm vụ phụ và minh chứng cá nhân.</v>
      </c>
      <c r="I88" t="s">
        <v>22</v>
      </c>
      <c r="J88" t="s">
        <v>23</v>
      </c>
      <c r="K88" t="str">
        <f>IF(I88="Trung bình",'Huong dan giao do an'!$B$8,IF(I88="Khá",'Huong dan giao do an'!$B$9,'Huong dan giao do an'!$B$10))</f>
        <v>Tối thiểu 4 actor; 10-14 use case; 8-12 bảng; 3 quy trình lõi; phân quyền chi tiết; 2 báo cáo; tích hợp 1 dịch vụ; &gt;=35 test case; CI/CD hoặc deploy cloud.</v>
      </c>
      <c r="L88" t="str">
        <f>'Huong dan giao do an'!$B$31</f>
        <v>Bắt buộc: Charter/PMP; SRS + scope/WBS; Gantt/baseline; effort-cost budget; RACI/timesheet; quality-test-defect; communication/minutes; risk register; procurement; change log; closure/lessons learned.</v>
      </c>
      <c r="M88" t="str">
        <f>'Huong dan giao do an'!$B$33</f>
        <v>Tuần 1: 07.09–13.09.2026; Tuần 2: 14.09–20.09.2026; Tuần 3: 21.09–27.09.2026; Tuần 4: 28.09–04.10.2026; Tuần 5: 05.10–11.10.2026; Tuần 6: 12.10–18.10.2026; Tuần 7: 19.10–25.10.2026; Tuần 8: 26.10–01.11.2026.</v>
      </c>
      <c r="N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 s="17" t="str">
        <f t="shared" si="1"/>
        <v>Còn trống</v>
      </c>
    </row>
    <row r="89" spans="1:16" x14ac:dyDescent="0.3">
      <c r="A89">
        <v>88</v>
      </c>
      <c r="B89" t="s">
        <v>16</v>
      </c>
      <c r="C89" t="s">
        <v>229</v>
      </c>
      <c r="D89" t="s">
        <v>230</v>
      </c>
      <c r="E89" t="s">
        <v>33</v>
      </c>
      <c r="F89" t="s">
        <v>34</v>
      </c>
      <c r="G89" t="s">
        <v>56</v>
      </c>
      <c r="H89" t="str">
        <f>'Huong dan giao do an'!$B$14</f>
        <v>5 SV (vai trò chính): 1 PM/Scrum Master kiêm Integration; 2 BA/PO; 3 UI-UX + Frontend; 4 Backend/API + DevOps; 5 Database + QA/Tester. Mỗi SV có nhiệm vụ phụ và minh chứng cá nhân.</v>
      </c>
      <c r="I89" t="s">
        <v>29</v>
      </c>
      <c r="J89" t="s">
        <v>30</v>
      </c>
      <c r="K89" t="str">
        <f>IF(I89="Trung bình",'Huong dan giao do an'!$B$8,IF(I89="Khá",'Huong dan giao do an'!$B$9,'Huong dan giao do an'!$B$10))</f>
        <v>Tối thiểu 5 actor; 14-18 use case; 10-15 bảng; 4 quy trình; tích hợp ngoài/realtime hoặc xử lý nâng cao; 3 báo cáo; &gt;=45 test case; logging, backup và deploy.</v>
      </c>
      <c r="L89" t="str">
        <f>'Huong dan giao do an'!$B$31</f>
        <v>Bắt buộc: Charter/PMP; SRS + scope/WBS; Gantt/baseline; effort-cost budget; RACI/timesheet; quality-test-defect; communication/minutes; risk register; procurement; change log; closure/lessons learned.</v>
      </c>
      <c r="M89" t="str">
        <f>'Huong dan giao do an'!$B$33</f>
        <v>Tuần 1: 07.09–13.09.2026; Tuần 2: 14.09–20.09.2026; Tuần 3: 21.09–27.09.2026; Tuần 4: 28.09–04.10.2026; Tuần 5: 05.10–11.10.2026; Tuần 6: 12.10–18.10.2026; Tuần 7: 19.10–25.10.2026; Tuần 8: 26.10–01.11.2026.</v>
      </c>
      <c r="N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 s="17" t="str">
        <f t="shared" si="1"/>
        <v>Còn trống</v>
      </c>
    </row>
    <row r="90" spans="1:16" x14ac:dyDescent="0.3">
      <c r="A90">
        <v>89</v>
      </c>
      <c r="B90" t="s">
        <v>16</v>
      </c>
      <c r="C90" t="s">
        <v>231</v>
      </c>
      <c r="D90" t="s">
        <v>232</v>
      </c>
      <c r="E90" t="s">
        <v>40</v>
      </c>
      <c r="F90" t="s">
        <v>41</v>
      </c>
      <c r="G90" t="s">
        <v>59</v>
      </c>
      <c r="H90" t="str">
        <f>'Huong dan giao do an'!$B$14</f>
        <v>5 SV (vai trò chính): 1 PM/Scrum Master kiêm Integration; 2 BA/PO; 3 UI-UX + Frontend; 4 Backend/API + DevOps; 5 Database + QA/Tester. Mỗi SV có nhiệm vụ phụ và minh chứng cá nhân.</v>
      </c>
      <c r="I90" t="s">
        <v>36</v>
      </c>
      <c r="J90" t="s">
        <v>37</v>
      </c>
      <c r="K90" t="str">
        <f>IF(I90="Trung bình",'Huong dan giao do an'!$B$8,IF(I90="Khá",'Huong dan giao do an'!$B$9,'Huong dan giao do an'!$B$10))</f>
        <v>Tối thiểu 3 actor; 8-10 use case; 6-8 bảng dữ liệu; 2 quy trình lõi; đăng nhập/RBAC; 1 dashboard; 1 báo cáo; &gt;=25 test case; triển khai bản demo.</v>
      </c>
      <c r="L90" t="str">
        <f>'Huong dan giao do an'!$B$31</f>
        <v>Bắt buộc: Charter/PMP; SRS + scope/WBS; Gantt/baseline; effort-cost budget; RACI/timesheet; quality-test-defect; communication/minutes; risk register; procurement; change log; closure/lessons learned.</v>
      </c>
      <c r="M90" t="str">
        <f>'Huong dan giao do an'!$B$33</f>
        <v>Tuần 1: 07.09–13.09.2026; Tuần 2: 14.09–20.09.2026; Tuần 3: 21.09–27.09.2026; Tuần 4: 28.09–04.10.2026; Tuần 5: 05.10–11.10.2026; Tuần 6: 12.10–18.10.2026; Tuần 7: 19.10–25.10.2026; Tuần 8: 26.10–01.11.2026.</v>
      </c>
      <c r="N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 s="17" t="str">
        <f t="shared" si="1"/>
        <v>Còn trống</v>
      </c>
    </row>
    <row r="91" spans="1:16" x14ac:dyDescent="0.3">
      <c r="A91">
        <v>90</v>
      </c>
      <c r="B91" t="s">
        <v>16</v>
      </c>
      <c r="C91" t="s">
        <v>233</v>
      </c>
      <c r="D91" t="s">
        <v>234</v>
      </c>
      <c r="E91" t="s">
        <v>45</v>
      </c>
      <c r="F91" t="s">
        <v>46</v>
      </c>
      <c r="G91" t="s">
        <v>62</v>
      </c>
      <c r="H91" t="str">
        <f>'Huong dan giao do an'!$B$14</f>
        <v>5 SV (vai trò chính): 1 PM/Scrum Master kiêm Integration; 2 BA/PO; 3 UI-UX + Frontend; 4 Backend/API + DevOps; 5 Database + QA/Tester. Mỗi SV có nhiệm vụ phụ và minh chứng cá nhân.</v>
      </c>
      <c r="I91" t="s">
        <v>22</v>
      </c>
      <c r="J91" t="s">
        <v>23</v>
      </c>
      <c r="K91" t="str">
        <f>IF(I91="Trung bình",'Huong dan giao do an'!$B$8,IF(I91="Khá",'Huong dan giao do an'!$B$9,'Huong dan giao do an'!$B$10))</f>
        <v>Tối thiểu 4 actor; 10-14 use case; 8-12 bảng; 3 quy trình lõi; phân quyền chi tiết; 2 báo cáo; tích hợp 1 dịch vụ; &gt;=35 test case; CI/CD hoặc deploy cloud.</v>
      </c>
      <c r="L91" t="str">
        <f>'Huong dan giao do an'!$B$31</f>
        <v>Bắt buộc: Charter/PMP; SRS + scope/WBS; Gantt/baseline; effort-cost budget; RACI/timesheet; quality-test-defect; communication/minutes; risk register; procurement; change log; closure/lessons learned.</v>
      </c>
      <c r="M91" t="str">
        <f>'Huong dan giao do an'!$B$33</f>
        <v>Tuần 1: 07.09–13.09.2026; Tuần 2: 14.09–20.09.2026; Tuần 3: 21.09–27.09.2026; Tuần 4: 28.09–04.10.2026; Tuần 5: 05.10–11.10.2026; Tuần 6: 12.10–18.10.2026; Tuần 7: 19.10–25.10.2026; Tuần 8: 26.10–01.11.2026.</v>
      </c>
      <c r="N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 s="17" t="str">
        <f t="shared" si="1"/>
        <v>Còn trống</v>
      </c>
    </row>
    <row r="92" spans="1:16" x14ac:dyDescent="0.3">
      <c r="A92">
        <v>91</v>
      </c>
      <c r="B92" t="s">
        <v>16</v>
      </c>
      <c r="C92" t="s">
        <v>235</v>
      </c>
      <c r="D92" t="s">
        <v>236</v>
      </c>
      <c r="E92" t="s">
        <v>19</v>
      </c>
      <c r="F92" t="s">
        <v>20</v>
      </c>
      <c r="G92" t="s">
        <v>65</v>
      </c>
      <c r="H92" t="str">
        <f>'Huong dan giao do an'!$B$14</f>
        <v>5 SV (vai trò chính): 1 PM/Scrum Master kiêm Integration; 2 BA/PO; 3 UI-UX + Frontend; 4 Backend/API + DevOps; 5 Database + QA/Tester. Mỗi SV có nhiệm vụ phụ và minh chứng cá nhân.</v>
      </c>
      <c r="I92" t="s">
        <v>29</v>
      </c>
      <c r="J92" t="s">
        <v>30</v>
      </c>
      <c r="K92" t="str">
        <f>IF(I92="Trung bình",'Huong dan giao do an'!$B$8,IF(I92="Khá",'Huong dan giao do an'!$B$9,'Huong dan giao do an'!$B$10))</f>
        <v>Tối thiểu 5 actor; 14-18 use case; 10-15 bảng; 4 quy trình; tích hợp ngoài/realtime hoặc xử lý nâng cao; 3 báo cáo; &gt;=45 test case; logging, backup và deploy.</v>
      </c>
      <c r="L92" t="str">
        <f>'Huong dan giao do an'!$B$31</f>
        <v>Bắt buộc: Charter/PMP; SRS + scope/WBS; Gantt/baseline; effort-cost budget; RACI/timesheet; quality-test-defect; communication/minutes; risk register; procurement; change log; closure/lessons learned.</v>
      </c>
      <c r="M92" t="str">
        <f>'Huong dan giao do an'!$B$33</f>
        <v>Tuần 1: 07.09–13.09.2026; Tuần 2: 14.09–20.09.2026; Tuần 3: 21.09–27.09.2026; Tuần 4: 28.09–04.10.2026; Tuần 5: 05.10–11.10.2026; Tuần 6: 12.10–18.10.2026; Tuần 7: 19.10–25.10.2026; Tuần 8: 26.10–01.11.2026.</v>
      </c>
      <c r="N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 s="17" t="str">
        <f t="shared" si="1"/>
        <v>Còn trống</v>
      </c>
    </row>
    <row r="93" spans="1:16" x14ac:dyDescent="0.3">
      <c r="A93">
        <v>92</v>
      </c>
      <c r="B93" t="s">
        <v>16</v>
      </c>
      <c r="C93" t="s">
        <v>237</v>
      </c>
      <c r="D93" t="s">
        <v>238</v>
      </c>
      <c r="E93" t="s">
        <v>26</v>
      </c>
      <c r="F93" t="s">
        <v>27</v>
      </c>
      <c r="G93" t="s">
        <v>68</v>
      </c>
      <c r="H93" t="str">
        <f>'Huong dan giao do an'!$B$14</f>
        <v>5 SV (vai trò chính): 1 PM/Scrum Master kiêm Integration; 2 BA/PO; 3 UI-UX + Frontend; 4 Backend/API + DevOps; 5 Database + QA/Tester. Mỗi SV có nhiệm vụ phụ và minh chứng cá nhân.</v>
      </c>
      <c r="I93" t="s">
        <v>36</v>
      </c>
      <c r="J93" t="s">
        <v>37</v>
      </c>
      <c r="K93" t="str">
        <f>IF(I93="Trung bình",'Huong dan giao do an'!$B$8,IF(I93="Khá",'Huong dan giao do an'!$B$9,'Huong dan giao do an'!$B$10))</f>
        <v>Tối thiểu 3 actor; 8-10 use case; 6-8 bảng dữ liệu; 2 quy trình lõi; đăng nhập/RBAC; 1 dashboard; 1 báo cáo; &gt;=25 test case; triển khai bản demo.</v>
      </c>
      <c r="L93" t="str">
        <f>'Huong dan giao do an'!$B$31</f>
        <v>Bắt buộc: Charter/PMP; SRS + scope/WBS; Gantt/baseline; effort-cost budget; RACI/timesheet; quality-test-defect; communication/minutes; risk register; procurement; change log; closure/lessons learned.</v>
      </c>
      <c r="M93" t="str">
        <f>'Huong dan giao do an'!$B$33</f>
        <v>Tuần 1: 07.09–13.09.2026; Tuần 2: 14.09–20.09.2026; Tuần 3: 21.09–27.09.2026; Tuần 4: 28.09–04.10.2026; Tuần 5: 05.10–11.10.2026; Tuần 6: 12.10–18.10.2026; Tuần 7: 19.10–25.10.2026; Tuần 8: 26.10–01.11.2026.</v>
      </c>
      <c r="N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 s="17" t="str">
        <f t="shared" si="1"/>
        <v>Còn trống</v>
      </c>
    </row>
    <row r="94" spans="1:16" x14ac:dyDescent="0.3">
      <c r="A94">
        <v>93</v>
      </c>
      <c r="B94" t="s">
        <v>16</v>
      </c>
      <c r="C94" t="s">
        <v>239</v>
      </c>
      <c r="D94" t="s">
        <v>240</v>
      </c>
      <c r="E94" t="s">
        <v>33</v>
      </c>
      <c r="F94" t="s">
        <v>34</v>
      </c>
      <c r="G94" t="s">
        <v>71</v>
      </c>
      <c r="H94" t="str">
        <f>'Huong dan giao do an'!$B$14</f>
        <v>5 SV (vai trò chính): 1 PM/Scrum Master kiêm Integration; 2 BA/PO; 3 UI-UX + Frontend; 4 Backend/API + DevOps; 5 Database + QA/Tester. Mỗi SV có nhiệm vụ phụ và minh chứng cá nhân.</v>
      </c>
      <c r="I94" t="s">
        <v>22</v>
      </c>
      <c r="J94" t="s">
        <v>23</v>
      </c>
      <c r="K94" t="str">
        <f>IF(I94="Trung bình",'Huong dan giao do an'!$B$8,IF(I94="Khá",'Huong dan giao do an'!$B$9,'Huong dan giao do an'!$B$10))</f>
        <v>Tối thiểu 4 actor; 10-14 use case; 8-12 bảng; 3 quy trình lõi; phân quyền chi tiết; 2 báo cáo; tích hợp 1 dịch vụ; &gt;=35 test case; CI/CD hoặc deploy cloud.</v>
      </c>
      <c r="L94" t="str">
        <f>'Huong dan giao do an'!$B$31</f>
        <v>Bắt buộc: Charter/PMP; SRS + scope/WBS; Gantt/baseline; effort-cost budget; RACI/timesheet; quality-test-defect; communication/minutes; risk register; procurement; change log; closure/lessons learned.</v>
      </c>
      <c r="M94" t="str">
        <f>'Huong dan giao do an'!$B$33</f>
        <v>Tuần 1: 07.09–13.09.2026; Tuần 2: 14.09–20.09.2026; Tuần 3: 21.09–27.09.2026; Tuần 4: 28.09–04.10.2026; Tuần 5: 05.10–11.10.2026; Tuần 6: 12.10–18.10.2026; Tuần 7: 19.10–25.10.2026; Tuần 8: 26.10–01.11.2026.</v>
      </c>
      <c r="N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 s="17" t="str">
        <f t="shared" si="1"/>
        <v>Còn trống</v>
      </c>
    </row>
    <row r="95" spans="1:16" x14ac:dyDescent="0.3">
      <c r="A95">
        <v>94</v>
      </c>
      <c r="B95" t="s">
        <v>16</v>
      </c>
      <c r="C95" t="s">
        <v>241</v>
      </c>
      <c r="D95" t="s">
        <v>242</v>
      </c>
      <c r="E95" t="s">
        <v>40</v>
      </c>
      <c r="F95" t="s">
        <v>41</v>
      </c>
      <c r="G95" t="s">
        <v>74</v>
      </c>
      <c r="H95" t="str">
        <f>'Huong dan giao do an'!$B$14</f>
        <v>5 SV (vai trò chính): 1 PM/Scrum Master kiêm Integration; 2 BA/PO; 3 UI-UX + Frontend; 4 Backend/API + DevOps; 5 Database + QA/Tester. Mỗi SV có nhiệm vụ phụ và minh chứng cá nhân.</v>
      </c>
      <c r="I95" t="s">
        <v>29</v>
      </c>
      <c r="J95" t="s">
        <v>30</v>
      </c>
      <c r="K95" t="str">
        <f>IF(I95="Trung bình",'Huong dan giao do an'!$B$8,IF(I95="Khá",'Huong dan giao do an'!$B$9,'Huong dan giao do an'!$B$10))</f>
        <v>Tối thiểu 5 actor; 14-18 use case; 10-15 bảng; 4 quy trình; tích hợp ngoài/realtime hoặc xử lý nâng cao; 3 báo cáo; &gt;=45 test case; logging, backup và deploy.</v>
      </c>
      <c r="L95" t="str">
        <f>'Huong dan giao do an'!$B$31</f>
        <v>Bắt buộc: Charter/PMP; SRS + scope/WBS; Gantt/baseline; effort-cost budget; RACI/timesheet; quality-test-defect; communication/minutes; risk register; procurement; change log; closure/lessons learned.</v>
      </c>
      <c r="M95" t="str">
        <f>'Huong dan giao do an'!$B$33</f>
        <v>Tuần 1: 07.09–13.09.2026; Tuần 2: 14.09–20.09.2026; Tuần 3: 21.09–27.09.2026; Tuần 4: 28.09–04.10.2026; Tuần 5: 05.10–11.10.2026; Tuần 6: 12.10–18.10.2026; Tuần 7: 19.10–25.10.2026; Tuần 8: 26.10–01.11.2026.</v>
      </c>
      <c r="N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 s="17" t="str">
        <f t="shared" si="1"/>
        <v>Còn trống</v>
      </c>
    </row>
    <row r="96" spans="1:16" x14ac:dyDescent="0.3">
      <c r="A96">
        <v>95</v>
      </c>
      <c r="B96" t="s">
        <v>16</v>
      </c>
      <c r="C96" t="s">
        <v>243</v>
      </c>
      <c r="D96" t="s">
        <v>244</v>
      </c>
      <c r="E96" t="s">
        <v>45</v>
      </c>
      <c r="F96" t="s">
        <v>46</v>
      </c>
      <c r="G96" t="s">
        <v>77</v>
      </c>
      <c r="H96" t="str">
        <f>'Huong dan giao do an'!$B$14</f>
        <v>5 SV (vai trò chính): 1 PM/Scrum Master kiêm Integration; 2 BA/PO; 3 UI-UX + Frontend; 4 Backend/API + DevOps; 5 Database + QA/Tester. Mỗi SV có nhiệm vụ phụ và minh chứng cá nhân.</v>
      </c>
      <c r="I96" t="s">
        <v>36</v>
      </c>
      <c r="J96" t="s">
        <v>37</v>
      </c>
      <c r="K96" t="str">
        <f>IF(I96="Trung bình",'Huong dan giao do an'!$B$8,IF(I96="Khá",'Huong dan giao do an'!$B$9,'Huong dan giao do an'!$B$10))</f>
        <v>Tối thiểu 3 actor; 8-10 use case; 6-8 bảng dữ liệu; 2 quy trình lõi; đăng nhập/RBAC; 1 dashboard; 1 báo cáo; &gt;=25 test case; triển khai bản demo.</v>
      </c>
      <c r="L96" t="str">
        <f>'Huong dan giao do an'!$B$31</f>
        <v>Bắt buộc: Charter/PMP; SRS + scope/WBS; Gantt/baseline; effort-cost budget; RACI/timesheet; quality-test-defect; communication/minutes; risk register; procurement; change log; closure/lessons learned.</v>
      </c>
      <c r="M96" t="str">
        <f>'Huong dan giao do an'!$B$33</f>
        <v>Tuần 1: 07.09–13.09.2026; Tuần 2: 14.09–20.09.2026; Tuần 3: 21.09–27.09.2026; Tuần 4: 28.09–04.10.2026; Tuần 5: 05.10–11.10.2026; Tuần 6: 12.10–18.10.2026; Tuần 7: 19.10–25.10.2026; Tuần 8: 26.10–01.11.2026.</v>
      </c>
      <c r="N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 s="17" t="str">
        <f t="shared" si="1"/>
        <v>Còn trống</v>
      </c>
    </row>
    <row r="97" spans="1:16" x14ac:dyDescent="0.3">
      <c r="A97">
        <v>96</v>
      </c>
      <c r="B97" t="s">
        <v>16</v>
      </c>
      <c r="C97" t="s">
        <v>245</v>
      </c>
      <c r="D97" t="s">
        <v>246</v>
      </c>
      <c r="E97" t="s">
        <v>19</v>
      </c>
      <c r="F97" t="s">
        <v>20</v>
      </c>
      <c r="G97" t="s">
        <v>80</v>
      </c>
      <c r="H97" t="str">
        <f>'Huong dan giao do an'!$B$14</f>
        <v>5 SV (vai trò chính): 1 PM/Scrum Master kiêm Integration; 2 BA/PO; 3 UI-UX + Frontend; 4 Backend/API + DevOps; 5 Database + QA/Tester. Mỗi SV có nhiệm vụ phụ và minh chứng cá nhân.</v>
      </c>
      <c r="I97" t="s">
        <v>22</v>
      </c>
      <c r="J97" t="s">
        <v>23</v>
      </c>
      <c r="K97" t="str">
        <f>IF(I97="Trung bình",'Huong dan giao do an'!$B$8,IF(I97="Khá",'Huong dan giao do an'!$B$9,'Huong dan giao do an'!$B$10))</f>
        <v>Tối thiểu 4 actor; 10-14 use case; 8-12 bảng; 3 quy trình lõi; phân quyền chi tiết; 2 báo cáo; tích hợp 1 dịch vụ; &gt;=35 test case; CI/CD hoặc deploy cloud.</v>
      </c>
      <c r="L97" t="str">
        <f>'Huong dan giao do an'!$B$31</f>
        <v>Bắt buộc: Charter/PMP; SRS + scope/WBS; Gantt/baseline; effort-cost budget; RACI/timesheet; quality-test-defect; communication/minutes; risk register; procurement; change log; closure/lessons learned.</v>
      </c>
      <c r="M97" t="str">
        <f>'Huong dan giao do an'!$B$33</f>
        <v>Tuần 1: 07.09–13.09.2026; Tuần 2: 14.09–20.09.2026; Tuần 3: 21.09–27.09.2026; Tuần 4: 28.09–04.10.2026; Tuần 5: 05.10–11.10.2026; Tuần 6: 12.10–18.10.2026; Tuần 7: 19.10–25.10.2026; Tuần 8: 26.10–01.11.2026.</v>
      </c>
      <c r="N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 s="17" t="str">
        <f t="shared" si="1"/>
        <v>Còn trống</v>
      </c>
    </row>
    <row r="98" spans="1:16" x14ac:dyDescent="0.3">
      <c r="A98">
        <v>97</v>
      </c>
      <c r="B98" t="s">
        <v>16</v>
      </c>
      <c r="C98" t="s">
        <v>247</v>
      </c>
      <c r="D98" t="s">
        <v>248</v>
      </c>
      <c r="E98" t="s">
        <v>26</v>
      </c>
      <c r="F98" t="s">
        <v>27</v>
      </c>
      <c r="G98" t="s">
        <v>83</v>
      </c>
      <c r="H98" t="str">
        <f>'Huong dan giao do an'!$B$14</f>
        <v>5 SV (vai trò chính): 1 PM/Scrum Master kiêm Integration; 2 BA/PO; 3 UI-UX + Frontend; 4 Backend/API + DevOps; 5 Database + QA/Tester. Mỗi SV có nhiệm vụ phụ và minh chứng cá nhân.</v>
      </c>
      <c r="I98" t="s">
        <v>29</v>
      </c>
      <c r="J98" t="s">
        <v>30</v>
      </c>
      <c r="K98" t="str">
        <f>IF(I98="Trung bình",'Huong dan giao do an'!$B$8,IF(I98="Khá",'Huong dan giao do an'!$B$9,'Huong dan giao do an'!$B$10))</f>
        <v>Tối thiểu 5 actor; 14-18 use case; 10-15 bảng; 4 quy trình; tích hợp ngoài/realtime hoặc xử lý nâng cao; 3 báo cáo; &gt;=45 test case; logging, backup và deploy.</v>
      </c>
      <c r="L98" t="str">
        <f>'Huong dan giao do an'!$B$31</f>
        <v>Bắt buộc: Charter/PMP; SRS + scope/WBS; Gantt/baseline; effort-cost budget; RACI/timesheet; quality-test-defect; communication/minutes; risk register; procurement; change log; closure/lessons learned.</v>
      </c>
      <c r="M98" t="str">
        <f>'Huong dan giao do an'!$B$33</f>
        <v>Tuần 1: 07.09–13.09.2026; Tuần 2: 14.09–20.09.2026; Tuần 3: 21.09–27.09.2026; Tuần 4: 28.09–04.10.2026; Tuần 5: 05.10–11.10.2026; Tuần 6: 12.10–18.10.2026; Tuần 7: 19.10–25.10.2026; Tuần 8: 26.10–01.11.2026.</v>
      </c>
      <c r="N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 s="17" t="str">
        <f t="shared" si="1"/>
        <v>Còn trống</v>
      </c>
    </row>
    <row r="99" spans="1:16" x14ac:dyDescent="0.3">
      <c r="A99">
        <v>98</v>
      </c>
      <c r="B99" t="s">
        <v>16</v>
      </c>
      <c r="C99" t="s">
        <v>249</v>
      </c>
      <c r="D99" t="s">
        <v>250</v>
      </c>
      <c r="E99" t="s">
        <v>33</v>
      </c>
      <c r="F99" t="s">
        <v>34</v>
      </c>
      <c r="G99" t="s">
        <v>86</v>
      </c>
      <c r="H99" t="str">
        <f>'Huong dan giao do an'!$B$14</f>
        <v>5 SV (vai trò chính): 1 PM/Scrum Master kiêm Integration; 2 BA/PO; 3 UI-UX + Frontend; 4 Backend/API + DevOps; 5 Database + QA/Tester. Mỗi SV có nhiệm vụ phụ và minh chứng cá nhân.</v>
      </c>
      <c r="I99" t="s">
        <v>36</v>
      </c>
      <c r="J99" t="s">
        <v>37</v>
      </c>
      <c r="K99" t="str">
        <f>IF(I99="Trung bình",'Huong dan giao do an'!$B$8,IF(I99="Khá",'Huong dan giao do an'!$B$9,'Huong dan giao do an'!$B$10))</f>
        <v>Tối thiểu 3 actor; 8-10 use case; 6-8 bảng dữ liệu; 2 quy trình lõi; đăng nhập/RBAC; 1 dashboard; 1 báo cáo; &gt;=25 test case; triển khai bản demo.</v>
      </c>
      <c r="L99" t="str">
        <f>'Huong dan giao do an'!$B$31</f>
        <v>Bắt buộc: Charter/PMP; SRS + scope/WBS; Gantt/baseline; effort-cost budget; RACI/timesheet; quality-test-defect; communication/minutes; risk register; procurement; change log; closure/lessons learned.</v>
      </c>
      <c r="M99" t="str">
        <f>'Huong dan giao do an'!$B$33</f>
        <v>Tuần 1: 07.09–13.09.2026; Tuần 2: 14.09–20.09.2026; Tuần 3: 21.09–27.09.2026; Tuần 4: 28.09–04.10.2026; Tuần 5: 05.10–11.10.2026; Tuần 6: 12.10–18.10.2026; Tuần 7: 19.10–25.10.2026; Tuần 8: 26.10–01.11.2026.</v>
      </c>
      <c r="N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 s="17" t="str">
        <f t="shared" si="1"/>
        <v>Còn trống</v>
      </c>
    </row>
    <row r="100" spans="1:16" x14ac:dyDescent="0.3">
      <c r="A100">
        <v>99</v>
      </c>
      <c r="B100" t="s">
        <v>16</v>
      </c>
      <c r="C100" t="s">
        <v>251</v>
      </c>
      <c r="D100" t="s">
        <v>252</v>
      </c>
      <c r="E100" t="s">
        <v>40</v>
      </c>
      <c r="F100" t="s">
        <v>41</v>
      </c>
      <c r="G100" t="s">
        <v>89</v>
      </c>
      <c r="H100" t="str">
        <f>'Huong dan giao do an'!$B$14</f>
        <v>5 SV (vai trò chính): 1 PM/Scrum Master kiêm Integration; 2 BA/PO; 3 UI-UX + Frontend; 4 Backend/API + DevOps; 5 Database + QA/Tester. Mỗi SV có nhiệm vụ phụ và minh chứng cá nhân.</v>
      </c>
      <c r="I100" t="s">
        <v>22</v>
      </c>
      <c r="J100" t="s">
        <v>23</v>
      </c>
      <c r="K100" t="str">
        <f>IF(I100="Trung bình",'Huong dan giao do an'!$B$8,IF(I100="Khá",'Huong dan giao do an'!$B$9,'Huong dan giao do an'!$B$10))</f>
        <v>Tối thiểu 4 actor; 10-14 use case; 8-12 bảng; 3 quy trình lõi; phân quyền chi tiết; 2 báo cáo; tích hợp 1 dịch vụ; &gt;=35 test case; CI/CD hoặc deploy cloud.</v>
      </c>
      <c r="L100" t="str">
        <f>'Huong dan giao do an'!$B$31</f>
        <v>Bắt buộc: Charter/PMP; SRS + scope/WBS; Gantt/baseline; effort-cost budget; RACI/timesheet; quality-test-defect; communication/minutes; risk register; procurement; change log; closure/lessons learned.</v>
      </c>
      <c r="M100" t="str">
        <f>'Huong dan giao do an'!$B$33</f>
        <v>Tuần 1: 07.09–13.09.2026; Tuần 2: 14.09–20.09.2026; Tuần 3: 21.09–27.09.2026; Tuần 4: 28.09–04.10.2026; Tuần 5: 05.10–11.10.2026; Tuần 6: 12.10–18.10.2026; Tuần 7: 19.10–25.10.2026; Tuần 8: 26.10–01.11.2026.</v>
      </c>
      <c r="N1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 s="17" t="str">
        <f t="shared" si="1"/>
        <v>Còn trống</v>
      </c>
    </row>
    <row r="101" spans="1:16" x14ac:dyDescent="0.3">
      <c r="A101">
        <v>100</v>
      </c>
      <c r="B101" t="s">
        <v>16</v>
      </c>
      <c r="C101" t="s">
        <v>253</v>
      </c>
      <c r="D101" t="s">
        <v>254</v>
      </c>
      <c r="E101" t="s">
        <v>45</v>
      </c>
      <c r="F101" t="s">
        <v>46</v>
      </c>
      <c r="G101" t="s">
        <v>92</v>
      </c>
      <c r="H101" t="str">
        <f>'Huong dan giao do an'!$B$14</f>
        <v>5 SV (vai trò chính): 1 PM/Scrum Master kiêm Integration; 2 BA/PO; 3 UI-UX + Frontend; 4 Backend/API + DevOps; 5 Database + QA/Tester. Mỗi SV có nhiệm vụ phụ và minh chứng cá nhân.</v>
      </c>
      <c r="I101" t="s">
        <v>29</v>
      </c>
      <c r="J101" t="s">
        <v>30</v>
      </c>
      <c r="K101" t="str">
        <f>IF(I101="Trung bình",'Huong dan giao do an'!$B$8,IF(I101="Khá",'Huong dan giao do an'!$B$9,'Huong dan giao do an'!$B$10))</f>
        <v>Tối thiểu 5 actor; 14-18 use case; 10-15 bảng; 4 quy trình; tích hợp ngoài/realtime hoặc xử lý nâng cao; 3 báo cáo; &gt;=45 test case; logging, backup và deploy.</v>
      </c>
      <c r="L101" t="str">
        <f>'Huong dan giao do an'!$B$31</f>
        <v>Bắt buộc: Charter/PMP; SRS + scope/WBS; Gantt/baseline; effort-cost budget; RACI/timesheet; quality-test-defect; communication/minutes; risk register; procurement; change log; closure/lessons learned.</v>
      </c>
      <c r="M101" t="str">
        <f>'Huong dan giao do an'!$B$33</f>
        <v>Tuần 1: 07.09–13.09.2026; Tuần 2: 14.09–20.09.2026; Tuần 3: 21.09–27.09.2026; Tuần 4: 28.09–04.10.2026; Tuần 5: 05.10–11.10.2026; Tuần 6: 12.10–18.10.2026; Tuần 7: 19.10–25.10.2026; Tuần 8: 26.10–01.11.2026.</v>
      </c>
      <c r="N1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 s="17" t="str">
        <f t="shared" si="1"/>
        <v>Còn trống</v>
      </c>
    </row>
    <row r="102" spans="1:16" x14ac:dyDescent="0.3">
      <c r="A102">
        <v>101</v>
      </c>
      <c r="B102" t="s">
        <v>255</v>
      </c>
      <c r="C102" t="s">
        <v>256</v>
      </c>
      <c r="D102" t="s">
        <v>257</v>
      </c>
      <c r="E102" t="s">
        <v>26</v>
      </c>
      <c r="F102" t="s">
        <v>258</v>
      </c>
      <c r="G102" t="s">
        <v>259</v>
      </c>
      <c r="H102" t="str">
        <f>'Huong dan giao do an'!$B$14</f>
        <v>5 SV (vai trò chính): 1 PM/Scrum Master kiêm Integration; 2 BA/PO; 3 UI-UX + Frontend; 4 Backend/API + DevOps; 5 Database + QA/Tester. Mỗi SV có nhiệm vụ phụ và minh chứng cá nhân.</v>
      </c>
      <c r="I102" t="s">
        <v>22</v>
      </c>
      <c r="J102" t="s">
        <v>260</v>
      </c>
      <c r="K102" t="str">
        <f>IF(I102="Trung bình",'Huong dan giao do an'!$B$8,IF(I102="Khá",'Huong dan giao do an'!$B$9,'Huong dan giao do an'!$B$10))</f>
        <v>Tối thiểu 4 actor; 10-14 use case; 8-12 bảng; 3 quy trình lõi; phân quyền chi tiết; 2 báo cáo; tích hợp 1 dịch vụ; &gt;=35 test case; CI/CD hoặc deploy cloud.</v>
      </c>
      <c r="L102" t="str">
        <f>'Huong dan giao do an'!$B$31</f>
        <v>Bắt buộc: Charter/PMP; SRS + scope/WBS; Gantt/baseline; effort-cost budget; RACI/timesheet; quality-test-defect; communication/minutes; risk register; procurement; change log; closure/lessons learned.</v>
      </c>
      <c r="M102" t="str">
        <f>'Huong dan giao do an'!$B$33</f>
        <v>Tuần 1: 07.09–13.09.2026; Tuần 2: 14.09–20.09.2026; Tuần 3: 21.09–27.09.2026; Tuần 4: 28.09–04.10.2026; Tuần 5: 05.10–11.10.2026; Tuần 6: 12.10–18.10.2026; Tuần 7: 19.10–25.10.2026; Tuần 8: 26.10–01.11.2026.</v>
      </c>
      <c r="N1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 s="17" t="str">
        <f t="shared" si="1"/>
        <v>Còn trống</v>
      </c>
    </row>
    <row r="103" spans="1:16" x14ac:dyDescent="0.3">
      <c r="A103">
        <v>102</v>
      </c>
      <c r="B103" t="s">
        <v>255</v>
      </c>
      <c r="C103" t="s">
        <v>261</v>
      </c>
      <c r="D103" t="s">
        <v>262</v>
      </c>
      <c r="E103" t="s">
        <v>33</v>
      </c>
      <c r="F103" t="s">
        <v>263</v>
      </c>
      <c r="G103" t="s">
        <v>264</v>
      </c>
      <c r="H103" t="str">
        <f>'Huong dan giao do an'!$B$14</f>
        <v>5 SV (vai trò chính): 1 PM/Scrum Master kiêm Integration; 2 BA/PO; 3 UI-UX + Frontend; 4 Backend/API + DevOps; 5 Database + QA/Tester. Mỗi SV có nhiệm vụ phụ và minh chứng cá nhân.</v>
      </c>
      <c r="I103" t="s">
        <v>29</v>
      </c>
      <c r="J103" t="s">
        <v>265</v>
      </c>
      <c r="K103" t="str">
        <f>IF(I103="Trung bình",'Huong dan giao do an'!$B$8,IF(I103="Khá",'Huong dan giao do an'!$B$9,'Huong dan giao do an'!$B$10))</f>
        <v>Tối thiểu 5 actor; 14-18 use case; 10-15 bảng; 4 quy trình; tích hợp ngoài/realtime hoặc xử lý nâng cao; 3 báo cáo; &gt;=45 test case; logging, backup và deploy.</v>
      </c>
      <c r="L103" t="str">
        <f>'Huong dan giao do an'!$B$31</f>
        <v>Bắt buộc: Charter/PMP; SRS + scope/WBS; Gantt/baseline; effort-cost budget; RACI/timesheet; quality-test-defect; communication/minutes; risk register; procurement; change log; closure/lessons learned.</v>
      </c>
      <c r="M103" t="str">
        <f>'Huong dan giao do an'!$B$33</f>
        <v>Tuần 1: 07.09–13.09.2026; Tuần 2: 14.09–20.09.2026; Tuần 3: 21.09–27.09.2026; Tuần 4: 28.09–04.10.2026; Tuần 5: 05.10–11.10.2026; Tuần 6: 12.10–18.10.2026; Tuần 7: 19.10–25.10.2026; Tuần 8: 26.10–01.11.2026.</v>
      </c>
      <c r="N1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 s="17" t="str">
        <f t="shared" si="1"/>
        <v>Còn trống</v>
      </c>
    </row>
    <row r="104" spans="1:16" x14ac:dyDescent="0.3">
      <c r="A104">
        <v>103</v>
      </c>
      <c r="B104" t="s">
        <v>255</v>
      </c>
      <c r="C104" t="s">
        <v>266</v>
      </c>
      <c r="D104" t="s">
        <v>267</v>
      </c>
      <c r="E104" t="s">
        <v>40</v>
      </c>
      <c r="F104" t="s">
        <v>268</v>
      </c>
      <c r="G104" t="s">
        <v>269</v>
      </c>
      <c r="H104" t="str">
        <f>'Huong dan giao do an'!$B$14</f>
        <v>5 SV (vai trò chính): 1 PM/Scrum Master kiêm Integration; 2 BA/PO; 3 UI-UX + Frontend; 4 Backend/API + DevOps; 5 Database + QA/Tester. Mỗi SV có nhiệm vụ phụ và minh chứng cá nhân.</v>
      </c>
      <c r="I104" t="s">
        <v>36</v>
      </c>
      <c r="J104" t="s">
        <v>270</v>
      </c>
      <c r="K104" t="str">
        <f>IF(I104="Trung bình",'Huong dan giao do an'!$B$8,IF(I104="Khá",'Huong dan giao do an'!$B$9,'Huong dan giao do an'!$B$10))</f>
        <v>Tối thiểu 3 actor; 8-10 use case; 6-8 bảng dữ liệu; 2 quy trình lõi; đăng nhập/RBAC; 1 dashboard; 1 báo cáo; &gt;=25 test case; triển khai bản demo.</v>
      </c>
      <c r="L104" t="str">
        <f>'Huong dan giao do an'!$B$31</f>
        <v>Bắt buộc: Charter/PMP; SRS + scope/WBS; Gantt/baseline; effort-cost budget; RACI/timesheet; quality-test-defect; communication/minutes; risk register; procurement; change log; closure/lessons learned.</v>
      </c>
      <c r="M104" t="str">
        <f>'Huong dan giao do an'!$B$33</f>
        <v>Tuần 1: 07.09–13.09.2026; Tuần 2: 14.09–20.09.2026; Tuần 3: 21.09–27.09.2026; Tuần 4: 28.09–04.10.2026; Tuần 5: 05.10–11.10.2026; Tuần 6: 12.10–18.10.2026; Tuần 7: 19.10–25.10.2026; Tuần 8: 26.10–01.11.2026.</v>
      </c>
      <c r="N1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 s="17" t="str">
        <f t="shared" si="1"/>
        <v>Còn trống</v>
      </c>
    </row>
    <row r="105" spans="1:16" x14ac:dyDescent="0.3">
      <c r="A105">
        <v>104</v>
      </c>
      <c r="B105" t="s">
        <v>255</v>
      </c>
      <c r="C105" t="s">
        <v>271</v>
      </c>
      <c r="D105" t="s">
        <v>272</v>
      </c>
      <c r="E105" t="s">
        <v>45</v>
      </c>
      <c r="F105" t="s">
        <v>273</v>
      </c>
      <c r="G105" t="s">
        <v>274</v>
      </c>
      <c r="H105" t="str">
        <f>'Huong dan giao do an'!$B$14</f>
        <v>5 SV (vai trò chính): 1 PM/Scrum Master kiêm Integration; 2 BA/PO; 3 UI-UX + Frontend; 4 Backend/API + DevOps; 5 Database + QA/Tester. Mỗi SV có nhiệm vụ phụ và minh chứng cá nhân.</v>
      </c>
      <c r="I105" t="s">
        <v>22</v>
      </c>
      <c r="J105" t="s">
        <v>260</v>
      </c>
      <c r="K105" t="str">
        <f>IF(I105="Trung bình",'Huong dan giao do an'!$B$8,IF(I105="Khá",'Huong dan giao do an'!$B$9,'Huong dan giao do an'!$B$10))</f>
        <v>Tối thiểu 4 actor; 10-14 use case; 8-12 bảng; 3 quy trình lõi; phân quyền chi tiết; 2 báo cáo; tích hợp 1 dịch vụ; &gt;=35 test case; CI/CD hoặc deploy cloud.</v>
      </c>
      <c r="L105" t="str">
        <f>'Huong dan giao do an'!$B$31</f>
        <v>Bắt buộc: Charter/PMP; SRS + scope/WBS; Gantt/baseline; effort-cost budget; RACI/timesheet; quality-test-defect; communication/minutes; risk register; procurement; change log; closure/lessons learned.</v>
      </c>
      <c r="M105" t="str">
        <f>'Huong dan giao do an'!$B$33</f>
        <v>Tuần 1: 07.09–13.09.2026; Tuần 2: 14.09–20.09.2026; Tuần 3: 21.09–27.09.2026; Tuần 4: 28.09–04.10.2026; Tuần 5: 05.10–11.10.2026; Tuần 6: 12.10–18.10.2026; Tuần 7: 19.10–25.10.2026; Tuần 8: 26.10–01.11.2026.</v>
      </c>
      <c r="N1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 s="17" t="str">
        <f t="shared" si="1"/>
        <v>Còn trống</v>
      </c>
    </row>
    <row r="106" spans="1:16" x14ac:dyDescent="0.3">
      <c r="A106">
        <v>105</v>
      </c>
      <c r="B106" t="s">
        <v>255</v>
      </c>
      <c r="C106" t="s">
        <v>275</v>
      </c>
      <c r="D106" t="s">
        <v>276</v>
      </c>
      <c r="E106" t="s">
        <v>19</v>
      </c>
      <c r="F106" t="s">
        <v>277</v>
      </c>
      <c r="G106" t="s">
        <v>278</v>
      </c>
      <c r="H106" t="str">
        <f>'Huong dan giao do an'!$B$14</f>
        <v>5 SV (vai trò chính): 1 PM/Scrum Master kiêm Integration; 2 BA/PO; 3 UI-UX + Frontend; 4 Backend/API + DevOps; 5 Database + QA/Tester. Mỗi SV có nhiệm vụ phụ và minh chứng cá nhân.</v>
      </c>
      <c r="I106" t="s">
        <v>29</v>
      </c>
      <c r="J106" t="s">
        <v>265</v>
      </c>
      <c r="K106" t="str">
        <f>IF(I106="Trung bình",'Huong dan giao do an'!$B$8,IF(I106="Khá",'Huong dan giao do an'!$B$9,'Huong dan giao do an'!$B$10))</f>
        <v>Tối thiểu 5 actor; 14-18 use case; 10-15 bảng; 4 quy trình; tích hợp ngoài/realtime hoặc xử lý nâng cao; 3 báo cáo; &gt;=45 test case; logging, backup và deploy.</v>
      </c>
      <c r="L106" t="str">
        <f>'Huong dan giao do an'!$B$31</f>
        <v>Bắt buộc: Charter/PMP; SRS + scope/WBS; Gantt/baseline; effort-cost budget; RACI/timesheet; quality-test-defect; communication/minutes; risk register; procurement; change log; closure/lessons learned.</v>
      </c>
      <c r="M106" t="str">
        <f>'Huong dan giao do an'!$B$33</f>
        <v>Tuần 1: 07.09–13.09.2026; Tuần 2: 14.09–20.09.2026; Tuần 3: 21.09–27.09.2026; Tuần 4: 28.09–04.10.2026; Tuần 5: 05.10–11.10.2026; Tuần 6: 12.10–18.10.2026; Tuần 7: 19.10–25.10.2026; Tuần 8: 26.10–01.11.2026.</v>
      </c>
      <c r="N1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 s="17" t="str">
        <f t="shared" si="1"/>
        <v>Còn trống</v>
      </c>
    </row>
    <row r="107" spans="1:16" x14ac:dyDescent="0.3">
      <c r="A107">
        <v>106</v>
      </c>
      <c r="B107" t="s">
        <v>255</v>
      </c>
      <c r="C107" t="s">
        <v>279</v>
      </c>
      <c r="D107" t="s">
        <v>280</v>
      </c>
      <c r="E107" t="s">
        <v>26</v>
      </c>
      <c r="F107" t="s">
        <v>258</v>
      </c>
      <c r="G107" t="s">
        <v>281</v>
      </c>
      <c r="H107" t="str">
        <f>'Huong dan giao do an'!$B$14</f>
        <v>5 SV (vai trò chính): 1 PM/Scrum Master kiêm Integration; 2 BA/PO; 3 UI-UX + Frontend; 4 Backend/API + DevOps; 5 Database + QA/Tester. Mỗi SV có nhiệm vụ phụ và minh chứng cá nhân.</v>
      </c>
      <c r="I107" t="s">
        <v>36</v>
      </c>
      <c r="J107" t="s">
        <v>270</v>
      </c>
      <c r="K107" t="str">
        <f>IF(I107="Trung bình",'Huong dan giao do an'!$B$8,IF(I107="Khá",'Huong dan giao do an'!$B$9,'Huong dan giao do an'!$B$10))</f>
        <v>Tối thiểu 3 actor; 8-10 use case; 6-8 bảng dữ liệu; 2 quy trình lõi; đăng nhập/RBAC; 1 dashboard; 1 báo cáo; &gt;=25 test case; triển khai bản demo.</v>
      </c>
      <c r="L107" t="str">
        <f>'Huong dan giao do an'!$B$31</f>
        <v>Bắt buộc: Charter/PMP; SRS + scope/WBS; Gantt/baseline; effort-cost budget; RACI/timesheet; quality-test-defect; communication/minutes; risk register; procurement; change log; closure/lessons learned.</v>
      </c>
      <c r="M107" t="str">
        <f>'Huong dan giao do an'!$B$33</f>
        <v>Tuần 1: 07.09–13.09.2026; Tuần 2: 14.09–20.09.2026; Tuần 3: 21.09–27.09.2026; Tuần 4: 28.09–04.10.2026; Tuần 5: 05.10–11.10.2026; Tuần 6: 12.10–18.10.2026; Tuần 7: 19.10–25.10.2026; Tuần 8: 26.10–01.11.2026.</v>
      </c>
      <c r="N1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 s="17" t="str">
        <f t="shared" si="1"/>
        <v>Còn trống</v>
      </c>
    </row>
    <row r="108" spans="1:16" x14ac:dyDescent="0.3">
      <c r="A108">
        <v>107</v>
      </c>
      <c r="B108" t="s">
        <v>255</v>
      </c>
      <c r="C108" t="s">
        <v>282</v>
      </c>
      <c r="D108" t="s">
        <v>283</v>
      </c>
      <c r="E108" t="s">
        <v>33</v>
      </c>
      <c r="F108" t="s">
        <v>263</v>
      </c>
      <c r="G108" t="s">
        <v>284</v>
      </c>
      <c r="H108" t="str">
        <f>'Huong dan giao do an'!$B$14</f>
        <v>5 SV (vai trò chính): 1 PM/Scrum Master kiêm Integration; 2 BA/PO; 3 UI-UX + Frontend; 4 Backend/API + DevOps; 5 Database + QA/Tester. Mỗi SV có nhiệm vụ phụ và minh chứng cá nhân.</v>
      </c>
      <c r="I108" t="s">
        <v>22</v>
      </c>
      <c r="J108" t="s">
        <v>260</v>
      </c>
      <c r="K108" t="str">
        <f>IF(I108="Trung bình",'Huong dan giao do an'!$B$8,IF(I108="Khá",'Huong dan giao do an'!$B$9,'Huong dan giao do an'!$B$10))</f>
        <v>Tối thiểu 4 actor; 10-14 use case; 8-12 bảng; 3 quy trình lõi; phân quyền chi tiết; 2 báo cáo; tích hợp 1 dịch vụ; &gt;=35 test case; CI/CD hoặc deploy cloud.</v>
      </c>
      <c r="L108" t="str">
        <f>'Huong dan giao do an'!$B$31</f>
        <v>Bắt buộc: Charter/PMP; SRS + scope/WBS; Gantt/baseline; effort-cost budget; RACI/timesheet; quality-test-defect; communication/minutes; risk register; procurement; change log; closure/lessons learned.</v>
      </c>
      <c r="M108" t="str">
        <f>'Huong dan giao do an'!$B$33</f>
        <v>Tuần 1: 07.09–13.09.2026; Tuần 2: 14.09–20.09.2026; Tuần 3: 21.09–27.09.2026; Tuần 4: 28.09–04.10.2026; Tuần 5: 05.10–11.10.2026; Tuần 6: 12.10–18.10.2026; Tuần 7: 19.10–25.10.2026; Tuần 8: 26.10–01.11.2026.</v>
      </c>
      <c r="N1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 s="17" t="str">
        <f t="shared" si="1"/>
        <v>Còn trống</v>
      </c>
    </row>
    <row r="109" spans="1:16" x14ac:dyDescent="0.3">
      <c r="A109">
        <v>108</v>
      </c>
      <c r="B109" t="s">
        <v>255</v>
      </c>
      <c r="C109" t="s">
        <v>285</v>
      </c>
      <c r="D109" t="s">
        <v>286</v>
      </c>
      <c r="E109" t="s">
        <v>40</v>
      </c>
      <c r="F109" t="s">
        <v>268</v>
      </c>
      <c r="G109" t="s">
        <v>287</v>
      </c>
      <c r="H109" t="str">
        <f>'Huong dan giao do an'!$B$14</f>
        <v>5 SV (vai trò chính): 1 PM/Scrum Master kiêm Integration; 2 BA/PO; 3 UI-UX + Frontend; 4 Backend/API + DevOps; 5 Database + QA/Tester. Mỗi SV có nhiệm vụ phụ và minh chứng cá nhân.</v>
      </c>
      <c r="I109" t="s">
        <v>29</v>
      </c>
      <c r="J109" t="s">
        <v>265</v>
      </c>
      <c r="K109" t="str">
        <f>IF(I109="Trung bình",'Huong dan giao do an'!$B$8,IF(I109="Khá",'Huong dan giao do an'!$B$9,'Huong dan giao do an'!$B$10))</f>
        <v>Tối thiểu 5 actor; 14-18 use case; 10-15 bảng; 4 quy trình; tích hợp ngoài/realtime hoặc xử lý nâng cao; 3 báo cáo; &gt;=45 test case; logging, backup và deploy.</v>
      </c>
      <c r="L109" t="str">
        <f>'Huong dan giao do an'!$B$31</f>
        <v>Bắt buộc: Charter/PMP; SRS + scope/WBS; Gantt/baseline; effort-cost budget; RACI/timesheet; quality-test-defect; communication/minutes; risk register; procurement; change log; closure/lessons learned.</v>
      </c>
      <c r="M109" t="str">
        <f>'Huong dan giao do an'!$B$33</f>
        <v>Tuần 1: 07.09–13.09.2026; Tuần 2: 14.09–20.09.2026; Tuần 3: 21.09–27.09.2026; Tuần 4: 28.09–04.10.2026; Tuần 5: 05.10–11.10.2026; Tuần 6: 12.10–18.10.2026; Tuần 7: 19.10–25.10.2026; Tuần 8: 26.10–01.11.2026.</v>
      </c>
      <c r="N1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 s="17" t="str">
        <f t="shared" si="1"/>
        <v>Còn trống</v>
      </c>
    </row>
    <row r="110" spans="1:16" x14ac:dyDescent="0.3">
      <c r="A110">
        <v>109</v>
      </c>
      <c r="B110" t="s">
        <v>255</v>
      </c>
      <c r="C110" t="s">
        <v>288</v>
      </c>
      <c r="D110" t="s">
        <v>289</v>
      </c>
      <c r="E110" t="s">
        <v>45</v>
      </c>
      <c r="F110" t="s">
        <v>273</v>
      </c>
      <c r="G110" t="s">
        <v>290</v>
      </c>
      <c r="H110" t="str">
        <f>'Huong dan giao do an'!$B$14</f>
        <v>5 SV (vai trò chính): 1 PM/Scrum Master kiêm Integration; 2 BA/PO; 3 UI-UX + Frontend; 4 Backend/API + DevOps; 5 Database + QA/Tester. Mỗi SV có nhiệm vụ phụ và minh chứng cá nhân.</v>
      </c>
      <c r="I110" t="s">
        <v>36</v>
      </c>
      <c r="J110" t="s">
        <v>270</v>
      </c>
      <c r="K110" t="str">
        <f>IF(I110="Trung bình",'Huong dan giao do an'!$B$8,IF(I110="Khá",'Huong dan giao do an'!$B$9,'Huong dan giao do an'!$B$10))</f>
        <v>Tối thiểu 3 actor; 8-10 use case; 6-8 bảng dữ liệu; 2 quy trình lõi; đăng nhập/RBAC; 1 dashboard; 1 báo cáo; &gt;=25 test case; triển khai bản demo.</v>
      </c>
      <c r="L110" t="str">
        <f>'Huong dan giao do an'!$B$31</f>
        <v>Bắt buộc: Charter/PMP; SRS + scope/WBS; Gantt/baseline; effort-cost budget; RACI/timesheet; quality-test-defect; communication/minutes; risk register; procurement; change log; closure/lessons learned.</v>
      </c>
      <c r="M110" t="str">
        <f>'Huong dan giao do an'!$B$33</f>
        <v>Tuần 1: 07.09–13.09.2026; Tuần 2: 14.09–20.09.2026; Tuần 3: 21.09–27.09.2026; Tuần 4: 28.09–04.10.2026; Tuần 5: 05.10–11.10.2026; Tuần 6: 12.10–18.10.2026; Tuần 7: 19.10–25.10.2026; Tuần 8: 26.10–01.11.2026.</v>
      </c>
      <c r="N1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 s="17" t="str">
        <f t="shared" si="1"/>
        <v>Còn trống</v>
      </c>
    </row>
    <row r="111" spans="1:16" x14ac:dyDescent="0.3">
      <c r="A111">
        <v>110</v>
      </c>
      <c r="B111" t="s">
        <v>255</v>
      </c>
      <c r="C111" t="s">
        <v>291</v>
      </c>
      <c r="D111" t="s">
        <v>292</v>
      </c>
      <c r="E111" t="s">
        <v>19</v>
      </c>
      <c r="F111" t="s">
        <v>277</v>
      </c>
      <c r="G111" t="s">
        <v>293</v>
      </c>
      <c r="H111" t="str">
        <f>'Huong dan giao do an'!$B$14</f>
        <v>5 SV (vai trò chính): 1 PM/Scrum Master kiêm Integration; 2 BA/PO; 3 UI-UX + Frontend; 4 Backend/API + DevOps; 5 Database + QA/Tester. Mỗi SV có nhiệm vụ phụ và minh chứng cá nhân.</v>
      </c>
      <c r="I111" t="s">
        <v>22</v>
      </c>
      <c r="J111" t="s">
        <v>260</v>
      </c>
      <c r="K111" t="str">
        <f>IF(I111="Trung bình",'Huong dan giao do an'!$B$8,IF(I111="Khá",'Huong dan giao do an'!$B$9,'Huong dan giao do an'!$B$10))</f>
        <v>Tối thiểu 4 actor; 10-14 use case; 8-12 bảng; 3 quy trình lõi; phân quyền chi tiết; 2 báo cáo; tích hợp 1 dịch vụ; &gt;=35 test case; CI/CD hoặc deploy cloud.</v>
      </c>
      <c r="L111" t="str">
        <f>'Huong dan giao do an'!$B$31</f>
        <v>Bắt buộc: Charter/PMP; SRS + scope/WBS; Gantt/baseline; effort-cost budget; RACI/timesheet; quality-test-defect; communication/minutes; risk register; procurement; change log; closure/lessons learned.</v>
      </c>
      <c r="M111" t="str">
        <f>'Huong dan giao do an'!$B$33</f>
        <v>Tuần 1: 07.09–13.09.2026; Tuần 2: 14.09–20.09.2026; Tuần 3: 21.09–27.09.2026; Tuần 4: 28.09–04.10.2026; Tuần 5: 05.10–11.10.2026; Tuần 6: 12.10–18.10.2026; Tuần 7: 19.10–25.10.2026; Tuần 8: 26.10–01.11.2026.</v>
      </c>
      <c r="N1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 s="17" t="str">
        <f t="shared" si="1"/>
        <v>Còn trống</v>
      </c>
    </row>
    <row r="112" spans="1:16" x14ac:dyDescent="0.3">
      <c r="A112">
        <v>111</v>
      </c>
      <c r="B112" t="s">
        <v>255</v>
      </c>
      <c r="C112" t="s">
        <v>294</v>
      </c>
      <c r="D112" t="s">
        <v>295</v>
      </c>
      <c r="E112" t="s">
        <v>26</v>
      </c>
      <c r="F112" t="s">
        <v>258</v>
      </c>
      <c r="G112" t="s">
        <v>296</v>
      </c>
      <c r="H112" t="str">
        <f>'Huong dan giao do an'!$B$14</f>
        <v>5 SV (vai trò chính): 1 PM/Scrum Master kiêm Integration; 2 BA/PO; 3 UI-UX + Frontend; 4 Backend/API + DevOps; 5 Database + QA/Tester. Mỗi SV có nhiệm vụ phụ và minh chứng cá nhân.</v>
      </c>
      <c r="I112" t="s">
        <v>29</v>
      </c>
      <c r="J112" t="s">
        <v>265</v>
      </c>
      <c r="K112" t="str">
        <f>IF(I112="Trung bình",'Huong dan giao do an'!$B$8,IF(I112="Khá",'Huong dan giao do an'!$B$9,'Huong dan giao do an'!$B$10))</f>
        <v>Tối thiểu 5 actor; 14-18 use case; 10-15 bảng; 4 quy trình; tích hợp ngoài/realtime hoặc xử lý nâng cao; 3 báo cáo; &gt;=45 test case; logging, backup và deploy.</v>
      </c>
      <c r="L112" t="str">
        <f>'Huong dan giao do an'!$B$31</f>
        <v>Bắt buộc: Charter/PMP; SRS + scope/WBS; Gantt/baseline; effort-cost budget; RACI/timesheet; quality-test-defect; communication/minutes; risk register; procurement; change log; closure/lessons learned.</v>
      </c>
      <c r="M112" t="str">
        <f>'Huong dan giao do an'!$B$33</f>
        <v>Tuần 1: 07.09–13.09.2026; Tuần 2: 14.09–20.09.2026; Tuần 3: 21.09–27.09.2026; Tuần 4: 28.09–04.10.2026; Tuần 5: 05.10–11.10.2026; Tuần 6: 12.10–18.10.2026; Tuần 7: 19.10–25.10.2026; Tuần 8: 26.10–01.11.2026.</v>
      </c>
      <c r="N1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 s="17" t="str">
        <f t="shared" si="1"/>
        <v>Còn trống</v>
      </c>
    </row>
    <row r="113" spans="1:16" x14ac:dyDescent="0.3">
      <c r="A113">
        <v>112</v>
      </c>
      <c r="B113" t="s">
        <v>255</v>
      </c>
      <c r="C113" t="s">
        <v>297</v>
      </c>
      <c r="D113" t="s">
        <v>298</v>
      </c>
      <c r="E113" t="s">
        <v>33</v>
      </c>
      <c r="F113" t="s">
        <v>263</v>
      </c>
      <c r="G113" t="s">
        <v>299</v>
      </c>
      <c r="H113" t="str">
        <f>'Huong dan giao do an'!$B$14</f>
        <v>5 SV (vai trò chính): 1 PM/Scrum Master kiêm Integration; 2 BA/PO; 3 UI-UX + Frontend; 4 Backend/API + DevOps; 5 Database + QA/Tester. Mỗi SV có nhiệm vụ phụ và minh chứng cá nhân.</v>
      </c>
      <c r="I113" t="s">
        <v>36</v>
      </c>
      <c r="J113" t="s">
        <v>270</v>
      </c>
      <c r="K113" t="str">
        <f>IF(I113="Trung bình",'Huong dan giao do an'!$B$8,IF(I113="Khá",'Huong dan giao do an'!$B$9,'Huong dan giao do an'!$B$10))</f>
        <v>Tối thiểu 3 actor; 8-10 use case; 6-8 bảng dữ liệu; 2 quy trình lõi; đăng nhập/RBAC; 1 dashboard; 1 báo cáo; &gt;=25 test case; triển khai bản demo.</v>
      </c>
      <c r="L113" t="str">
        <f>'Huong dan giao do an'!$B$31</f>
        <v>Bắt buộc: Charter/PMP; SRS + scope/WBS; Gantt/baseline; effort-cost budget; RACI/timesheet; quality-test-defect; communication/minutes; risk register; procurement; change log; closure/lessons learned.</v>
      </c>
      <c r="M113" t="str">
        <f>'Huong dan giao do an'!$B$33</f>
        <v>Tuần 1: 07.09–13.09.2026; Tuần 2: 14.09–20.09.2026; Tuần 3: 21.09–27.09.2026; Tuần 4: 28.09–04.10.2026; Tuần 5: 05.10–11.10.2026; Tuần 6: 12.10–18.10.2026; Tuần 7: 19.10–25.10.2026; Tuần 8: 26.10–01.11.2026.</v>
      </c>
      <c r="N1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 s="17" t="str">
        <f t="shared" si="1"/>
        <v>Còn trống</v>
      </c>
    </row>
    <row r="114" spans="1:16" x14ac:dyDescent="0.3">
      <c r="A114">
        <v>113</v>
      </c>
      <c r="B114" t="s">
        <v>255</v>
      </c>
      <c r="C114" t="s">
        <v>300</v>
      </c>
      <c r="D114" t="s">
        <v>301</v>
      </c>
      <c r="E114" t="s">
        <v>40</v>
      </c>
      <c r="F114" t="s">
        <v>268</v>
      </c>
      <c r="G114" t="s">
        <v>302</v>
      </c>
      <c r="H114" t="str">
        <f>'Huong dan giao do an'!$B$14</f>
        <v>5 SV (vai trò chính): 1 PM/Scrum Master kiêm Integration; 2 BA/PO; 3 UI-UX + Frontend; 4 Backend/API + DevOps; 5 Database + QA/Tester. Mỗi SV có nhiệm vụ phụ và minh chứng cá nhân.</v>
      </c>
      <c r="I114" t="s">
        <v>22</v>
      </c>
      <c r="J114" t="s">
        <v>260</v>
      </c>
      <c r="K114" t="str">
        <f>IF(I114="Trung bình",'Huong dan giao do an'!$B$8,IF(I114="Khá",'Huong dan giao do an'!$B$9,'Huong dan giao do an'!$B$10))</f>
        <v>Tối thiểu 4 actor; 10-14 use case; 8-12 bảng; 3 quy trình lõi; phân quyền chi tiết; 2 báo cáo; tích hợp 1 dịch vụ; &gt;=35 test case; CI/CD hoặc deploy cloud.</v>
      </c>
      <c r="L114" t="str">
        <f>'Huong dan giao do an'!$B$31</f>
        <v>Bắt buộc: Charter/PMP; SRS + scope/WBS; Gantt/baseline; effort-cost budget; RACI/timesheet; quality-test-defect; communication/minutes; risk register; procurement; change log; closure/lessons learned.</v>
      </c>
      <c r="M114" t="str">
        <f>'Huong dan giao do an'!$B$33</f>
        <v>Tuần 1: 07.09–13.09.2026; Tuần 2: 14.09–20.09.2026; Tuần 3: 21.09–27.09.2026; Tuần 4: 28.09–04.10.2026; Tuần 5: 05.10–11.10.2026; Tuần 6: 12.10–18.10.2026; Tuần 7: 19.10–25.10.2026; Tuần 8: 26.10–01.11.2026.</v>
      </c>
      <c r="N1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 s="17" t="str">
        <f t="shared" si="1"/>
        <v>Còn trống</v>
      </c>
    </row>
    <row r="115" spans="1:16" x14ac:dyDescent="0.3">
      <c r="A115">
        <v>114</v>
      </c>
      <c r="B115" t="s">
        <v>255</v>
      </c>
      <c r="C115" t="s">
        <v>303</v>
      </c>
      <c r="D115" t="s">
        <v>304</v>
      </c>
      <c r="E115" t="s">
        <v>45</v>
      </c>
      <c r="F115" t="s">
        <v>273</v>
      </c>
      <c r="G115" t="s">
        <v>305</v>
      </c>
      <c r="H115" t="str">
        <f>'Huong dan giao do an'!$B$14</f>
        <v>5 SV (vai trò chính): 1 PM/Scrum Master kiêm Integration; 2 BA/PO; 3 UI-UX + Frontend; 4 Backend/API + DevOps; 5 Database + QA/Tester. Mỗi SV có nhiệm vụ phụ và minh chứng cá nhân.</v>
      </c>
      <c r="I115" t="s">
        <v>29</v>
      </c>
      <c r="J115" t="s">
        <v>265</v>
      </c>
      <c r="K115" t="str">
        <f>IF(I115="Trung bình",'Huong dan giao do an'!$B$8,IF(I115="Khá",'Huong dan giao do an'!$B$9,'Huong dan giao do an'!$B$10))</f>
        <v>Tối thiểu 5 actor; 14-18 use case; 10-15 bảng; 4 quy trình; tích hợp ngoài/realtime hoặc xử lý nâng cao; 3 báo cáo; &gt;=45 test case; logging, backup và deploy.</v>
      </c>
      <c r="L115" t="str">
        <f>'Huong dan giao do an'!$B$31</f>
        <v>Bắt buộc: Charter/PMP; SRS + scope/WBS; Gantt/baseline; effort-cost budget; RACI/timesheet; quality-test-defect; communication/minutes; risk register; procurement; change log; closure/lessons learned.</v>
      </c>
      <c r="M115" t="str">
        <f>'Huong dan giao do an'!$B$33</f>
        <v>Tuần 1: 07.09–13.09.2026; Tuần 2: 14.09–20.09.2026; Tuần 3: 21.09–27.09.2026; Tuần 4: 28.09–04.10.2026; Tuần 5: 05.10–11.10.2026; Tuần 6: 12.10–18.10.2026; Tuần 7: 19.10–25.10.2026; Tuần 8: 26.10–01.11.2026.</v>
      </c>
      <c r="N1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 s="17" t="str">
        <f t="shared" si="1"/>
        <v>Còn trống</v>
      </c>
    </row>
    <row r="116" spans="1:16" x14ac:dyDescent="0.3">
      <c r="A116">
        <v>115</v>
      </c>
      <c r="B116" t="s">
        <v>255</v>
      </c>
      <c r="C116" t="s">
        <v>306</v>
      </c>
      <c r="D116" t="s">
        <v>307</v>
      </c>
      <c r="E116" t="s">
        <v>19</v>
      </c>
      <c r="F116" t="s">
        <v>277</v>
      </c>
      <c r="G116" t="s">
        <v>308</v>
      </c>
      <c r="H116" t="str">
        <f>'Huong dan giao do an'!$B$14</f>
        <v>5 SV (vai trò chính): 1 PM/Scrum Master kiêm Integration; 2 BA/PO; 3 UI-UX + Frontend; 4 Backend/API + DevOps; 5 Database + QA/Tester. Mỗi SV có nhiệm vụ phụ và minh chứng cá nhân.</v>
      </c>
      <c r="I116" t="s">
        <v>36</v>
      </c>
      <c r="J116" t="s">
        <v>270</v>
      </c>
      <c r="K116" t="str">
        <f>IF(I116="Trung bình",'Huong dan giao do an'!$B$8,IF(I116="Khá",'Huong dan giao do an'!$B$9,'Huong dan giao do an'!$B$10))</f>
        <v>Tối thiểu 3 actor; 8-10 use case; 6-8 bảng dữ liệu; 2 quy trình lõi; đăng nhập/RBAC; 1 dashboard; 1 báo cáo; &gt;=25 test case; triển khai bản demo.</v>
      </c>
      <c r="L116" t="str">
        <f>'Huong dan giao do an'!$B$31</f>
        <v>Bắt buộc: Charter/PMP; SRS + scope/WBS; Gantt/baseline; effort-cost budget; RACI/timesheet; quality-test-defect; communication/minutes; risk register; procurement; change log; closure/lessons learned.</v>
      </c>
      <c r="M116" t="str">
        <f>'Huong dan giao do an'!$B$33</f>
        <v>Tuần 1: 07.09–13.09.2026; Tuần 2: 14.09–20.09.2026; Tuần 3: 21.09–27.09.2026; Tuần 4: 28.09–04.10.2026; Tuần 5: 05.10–11.10.2026; Tuần 6: 12.10–18.10.2026; Tuần 7: 19.10–25.10.2026; Tuần 8: 26.10–01.11.2026.</v>
      </c>
      <c r="N1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 s="17" t="str">
        <f t="shared" si="1"/>
        <v>Còn trống</v>
      </c>
    </row>
    <row r="117" spans="1:16" x14ac:dyDescent="0.3">
      <c r="A117">
        <v>116</v>
      </c>
      <c r="B117" t="s">
        <v>255</v>
      </c>
      <c r="C117" t="s">
        <v>309</v>
      </c>
      <c r="D117" t="s">
        <v>310</v>
      </c>
      <c r="E117" t="s">
        <v>26</v>
      </c>
      <c r="F117" t="s">
        <v>258</v>
      </c>
      <c r="G117" t="s">
        <v>311</v>
      </c>
      <c r="H117" t="str">
        <f>'Huong dan giao do an'!$B$14</f>
        <v>5 SV (vai trò chính): 1 PM/Scrum Master kiêm Integration; 2 BA/PO; 3 UI-UX + Frontend; 4 Backend/API + DevOps; 5 Database + QA/Tester. Mỗi SV có nhiệm vụ phụ và minh chứng cá nhân.</v>
      </c>
      <c r="I117" t="s">
        <v>22</v>
      </c>
      <c r="J117" t="s">
        <v>260</v>
      </c>
      <c r="K117" t="str">
        <f>IF(I117="Trung bình",'Huong dan giao do an'!$B$8,IF(I117="Khá",'Huong dan giao do an'!$B$9,'Huong dan giao do an'!$B$10))</f>
        <v>Tối thiểu 4 actor; 10-14 use case; 8-12 bảng; 3 quy trình lõi; phân quyền chi tiết; 2 báo cáo; tích hợp 1 dịch vụ; &gt;=35 test case; CI/CD hoặc deploy cloud.</v>
      </c>
      <c r="L117" t="str">
        <f>'Huong dan giao do an'!$B$31</f>
        <v>Bắt buộc: Charter/PMP; SRS + scope/WBS; Gantt/baseline; effort-cost budget; RACI/timesheet; quality-test-defect; communication/minutes; risk register; procurement; change log; closure/lessons learned.</v>
      </c>
      <c r="M117" t="str">
        <f>'Huong dan giao do an'!$B$33</f>
        <v>Tuần 1: 07.09–13.09.2026; Tuần 2: 14.09–20.09.2026; Tuần 3: 21.09–27.09.2026; Tuần 4: 28.09–04.10.2026; Tuần 5: 05.10–11.10.2026; Tuần 6: 12.10–18.10.2026; Tuần 7: 19.10–25.10.2026; Tuần 8: 26.10–01.11.2026.</v>
      </c>
      <c r="N1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 s="17" t="str">
        <f t="shared" si="1"/>
        <v>Còn trống</v>
      </c>
    </row>
    <row r="118" spans="1:16" x14ac:dyDescent="0.3">
      <c r="A118">
        <v>117</v>
      </c>
      <c r="B118" t="s">
        <v>255</v>
      </c>
      <c r="C118" t="s">
        <v>312</v>
      </c>
      <c r="D118" t="s">
        <v>313</v>
      </c>
      <c r="E118" t="s">
        <v>33</v>
      </c>
      <c r="F118" t="s">
        <v>263</v>
      </c>
      <c r="G118" t="s">
        <v>314</v>
      </c>
      <c r="H118" t="str">
        <f>'Huong dan giao do an'!$B$14</f>
        <v>5 SV (vai trò chính): 1 PM/Scrum Master kiêm Integration; 2 BA/PO; 3 UI-UX + Frontend; 4 Backend/API + DevOps; 5 Database + QA/Tester. Mỗi SV có nhiệm vụ phụ và minh chứng cá nhân.</v>
      </c>
      <c r="I118" t="s">
        <v>29</v>
      </c>
      <c r="J118" t="s">
        <v>265</v>
      </c>
      <c r="K118" t="str">
        <f>IF(I118="Trung bình",'Huong dan giao do an'!$B$8,IF(I118="Khá",'Huong dan giao do an'!$B$9,'Huong dan giao do an'!$B$10))</f>
        <v>Tối thiểu 5 actor; 14-18 use case; 10-15 bảng; 4 quy trình; tích hợp ngoài/realtime hoặc xử lý nâng cao; 3 báo cáo; &gt;=45 test case; logging, backup và deploy.</v>
      </c>
      <c r="L118" t="str">
        <f>'Huong dan giao do an'!$B$31</f>
        <v>Bắt buộc: Charter/PMP; SRS + scope/WBS; Gantt/baseline; effort-cost budget; RACI/timesheet; quality-test-defect; communication/minutes; risk register; procurement; change log; closure/lessons learned.</v>
      </c>
      <c r="M118" t="str">
        <f>'Huong dan giao do an'!$B$33</f>
        <v>Tuần 1: 07.09–13.09.2026; Tuần 2: 14.09–20.09.2026; Tuần 3: 21.09–27.09.2026; Tuần 4: 28.09–04.10.2026; Tuần 5: 05.10–11.10.2026; Tuần 6: 12.10–18.10.2026; Tuần 7: 19.10–25.10.2026; Tuần 8: 26.10–01.11.2026.</v>
      </c>
      <c r="N1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 s="17" t="str">
        <f t="shared" si="1"/>
        <v>Còn trống</v>
      </c>
    </row>
    <row r="119" spans="1:16" x14ac:dyDescent="0.3">
      <c r="A119">
        <v>118</v>
      </c>
      <c r="B119" t="s">
        <v>255</v>
      </c>
      <c r="C119" t="s">
        <v>315</v>
      </c>
      <c r="D119" t="s">
        <v>316</v>
      </c>
      <c r="E119" t="s">
        <v>40</v>
      </c>
      <c r="F119" t="s">
        <v>268</v>
      </c>
      <c r="G119" t="s">
        <v>317</v>
      </c>
      <c r="H119" t="str">
        <f>'Huong dan giao do an'!$B$14</f>
        <v>5 SV (vai trò chính): 1 PM/Scrum Master kiêm Integration; 2 BA/PO; 3 UI-UX + Frontend; 4 Backend/API + DevOps; 5 Database + QA/Tester. Mỗi SV có nhiệm vụ phụ và minh chứng cá nhân.</v>
      </c>
      <c r="I119" t="s">
        <v>36</v>
      </c>
      <c r="J119" t="s">
        <v>270</v>
      </c>
      <c r="K119" t="str">
        <f>IF(I119="Trung bình",'Huong dan giao do an'!$B$8,IF(I119="Khá",'Huong dan giao do an'!$B$9,'Huong dan giao do an'!$B$10))</f>
        <v>Tối thiểu 3 actor; 8-10 use case; 6-8 bảng dữ liệu; 2 quy trình lõi; đăng nhập/RBAC; 1 dashboard; 1 báo cáo; &gt;=25 test case; triển khai bản demo.</v>
      </c>
      <c r="L119" t="str">
        <f>'Huong dan giao do an'!$B$31</f>
        <v>Bắt buộc: Charter/PMP; SRS + scope/WBS; Gantt/baseline; effort-cost budget; RACI/timesheet; quality-test-defect; communication/minutes; risk register; procurement; change log; closure/lessons learned.</v>
      </c>
      <c r="M119" t="str">
        <f>'Huong dan giao do an'!$B$33</f>
        <v>Tuần 1: 07.09–13.09.2026; Tuần 2: 14.09–20.09.2026; Tuần 3: 21.09–27.09.2026; Tuần 4: 28.09–04.10.2026; Tuần 5: 05.10–11.10.2026; Tuần 6: 12.10–18.10.2026; Tuần 7: 19.10–25.10.2026; Tuần 8: 26.10–01.11.2026.</v>
      </c>
      <c r="N1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 s="17" t="str">
        <f t="shared" si="1"/>
        <v>Còn trống</v>
      </c>
    </row>
    <row r="120" spans="1:16" x14ac:dyDescent="0.3">
      <c r="A120">
        <v>119</v>
      </c>
      <c r="B120" t="s">
        <v>255</v>
      </c>
      <c r="C120" t="s">
        <v>318</v>
      </c>
      <c r="D120" t="s">
        <v>319</v>
      </c>
      <c r="E120" t="s">
        <v>45</v>
      </c>
      <c r="F120" t="s">
        <v>273</v>
      </c>
      <c r="G120" t="s">
        <v>320</v>
      </c>
      <c r="H120" t="str">
        <f>'Huong dan giao do an'!$B$14</f>
        <v>5 SV (vai trò chính): 1 PM/Scrum Master kiêm Integration; 2 BA/PO; 3 UI-UX + Frontend; 4 Backend/API + DevOps; 5 Database + QA/Tester. Mỗi SV có nhiệm vụ phụ và minh chứng cá nhân.</v>
      </c>
      <c r="I120" t="s">
        <v>22</v>
      </c>
      <c r="J120" t="s">
        <v>260</v>
      </c>
      <c r="K120" t="str">
        <f>IF(I120="Trung bình",'Huong dan giao do an'!$B$8,IF(I120="Khá",'Huong dan giao do an'!$B$9,'Huong dan giao do an'!$B$10))</f>
        <v>Tối thiểu 4 actor; 10-14 use case; 8-12 bảng; 3 quy trình lõi; phân quyền chi tiết; 2 báo cáo; tích hợp 1 dịch vụ; &gt;=35 test case; CI/CD hoặc deploy cloud.</v>
      </c>
      <c r="L120" t="str">
        <f>'Huong dan giao do an'!$B$31</f>
        <v>Bắt buộc: Charter/PMP; SRS + scope/WBS; Gantt/baseline; effort-cost budget; RACI/timesheet; quality-test-defect; communication/minutes; risk register; procurement; change log; closure/lessons learned.</v>
      </c>
      <c r="M120" t="str">
        <f>'Huong dan giao do an'!$B$33</f>
        <v>Tuần 1: 07.09–13.09.2026; Tuần 2: 14.09–20.09.2026; Tuần 3: 21.09–27.09.2026; Tuần 4: 28.09–04.10.2026; Tuần 5: 05.10–11.10.2026; Tuần 6: 12.10–18.10.2026; Tuần 7: 19.10–25.10.2026; Tuần 8: 26.10–01.11.2026.</v>
      </c>
      <c r="N1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 s="17" t="str">
        <f t="shared" si="1"/>
        <v>Còn trống</v>
      </c>
    </row>
    <row r="121" spans="1:16" x14ac:dyDescent="0.3">
      <c r="A121">
        <v>120</v>
      </c>
      <c r="B121" t="s">
        <v>255</v>
      </c>
      <c r="C121" t="s">
        <v>321</v>
      </c>
      <c r="D121" t="s">
        <v>322</v>
      </c>
      <c r="E121" t="s">
        <v>19</v>
      </c>
      <c r="F121" t="s">
        <v>277</v>
      </c>
      <c r="G121" t="s">
        <v>323</v>
      </c>
      <c r="H121" t="str">
        <f>'Huong dan giao do an'!$B$14</f>
        <v>5 SV (vai trò chính): 1 PM/Scrum Master kiêm Integration; 2 BA/PO; 3 UI-UX + Frontend; 4 Backend/API + DevOps; 5 Database + QA/Tester. Mỗi SV có nhiệm vụ phụ và minh chứng cá nhân.</v>
      </c>
      <c r="I121" t="s">
        <v>29</v>
      </c>
      <c r="J121" t="s">
        <v>265</v>
      </c>
      <c r="K121" t="str">
        <f>IF(I121="Trung bình",'Huong dan giao do an'!$B$8,IF(I121="Khá",'Huong dan giao do an'!$B$9,'Huong dan giao do an'!$B$10))</f>
        <v>Tối thiểu 5 actor; 14-18 use case; 10-15 bảng; 4 quy trình; tích hợp ngoài/realtime hoặc xử lý nâng cao; 3 báo cáo; &gt;=45 test case; logging, backup và deploy.</v>
      </c>
      <c r="L121" t="str">
        <f>'Huong dan giao do an'!$B$31</f>
        <v>Bắt buộc: Charter/PMP; SRS + scope/WBS; Gantt/baseline; effort-cost budget; RACI/timesheet; quality-test-defect; communication/minutes; risk register; procurement; change log; closure/lessons learned.</v>
      </c>
      <c r="M121" t="str">
        <f>'Huong dan giao do an'!$B$33</f>
        <v>Tuần 1: 07.09–13.09.2026; Tuần 2: 14.09–20.09.2026; Tuần 3: 21.09–27.09.2026; Tuần 4: 28.09–04.10.2026; Tuần 5: 05.10–11.10.2026; Tuần 6: 12.10–18.10.2026; Tuần 7: 19.10–25.10.2026; Tuần 8: 26.10–01.11.2026.</v>
      </c>
      <c r="N1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 s="17" t="str">
        <f t="shared" si="1"/>
        <v>Còn trống</v>
      </c>
    </row>
    <row r="122" spans="1:16" x14ac:dyDescent="0.3">
      <c r="A122">
        <v>121</v>
      </c>
      <c r="B122" t="s">
        <v>255</v>
      </c>
      <c r="C122" t="s">
        <v>324</v>
      </c>
      <c r="D122" t="s">
        <v>325</v>
      </c>
      <c r="E122" t="s">
        <v>26</v>
      </c>
      <c r="F122" t="s">
        <v>258</v>
      </c>
      <c r="G122" t="s">
        <v>259</v>
      </c>
      <c r="H122" t="str">
        <f>'Huong dan giao do an'!$B$14</f>
        <v>5 SV (vai trò chính): 1 PM/Scrum Master kiêm Integration; 2 BA/PO; 3 UI-UX + Frontend; 4 Backend/API + DevOps; 5 Database + QA/Tester. Mỗi SV có nhiệm vụ phụ và minh chứng cá nhân.</v>
      </c>
      <c r="I122" t="s">
        <v>22</v>
      </c>
      <c r="J122" t="s">
        <v>260</v>
      </c>
      <c r="K122" t="str">
        <f>IF(I122="Trung bình",'Huong dan giao do an'!$B$8,IF(I122="Khá",'Huong dan giao do an'!$B$9,'Huong dan giao do an'!$B$10))</f>
        <v>Tối thiểu 4 actor; 10-14 use case; 8-12 bảng; 3 quy trình lõi; phân quyền chi tiết; 2 báo cáo; tích hợp 1 dịch vụ; &gt;=35 test case; CI/CD hoặc deploy cloud.</v>
      </c>
      <c r="L122" t="str">
        <f>'Huong dan giao do an'!$B$31</f>
        <v>Bắt buộc: Charter/PMP; SRS + scope/WBS; Gantt/baseline; effort-cost budget; RACI/timesheet; quality-test-defect; communication/minutes; risk register; procurement; change log; closure/lessons learned.</v>
      </c>
      <c r="M122" t="str">
        <f>'Huong dan giao do an'!$B$33</f>
        <v>Tuần 1: 07.09–13.09.2026; Tuần 2: 14.09–20.09.2026; Tuần 3: 21.09–27.09.2026; Tuần 4: 28.09–04.10.2026; Tuần 5: 05.10–11.10.2026; Tuần 6: 12.10–18.10.2026; Tuần 7: 19.10–25.10.2026; Tuần 8: 26.10–01.11.2026.</v>
      </c>
      <c r="N1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 s="17" t="str">
        <f t="shared" si="1"/>
        <v>Còn trống</v>
      </c>
    </row>
    <row r="123" spans="1:16" x14ac:dyDescent="0.3">
      <c r="A123">
        <v>122</v>
      </c>
      <c r="B123" t="s">
        <v>255</v>
      </c>
      <c r="C123" t="s">
        <v>326</v>
      </c>
      <c r="D123" t="s">
        <v>327</v>
      </c>
      <c r="E123" t="s">
        <v>33</v>
      </c>
      <c r="F123" t="s">
        <v>263</v>
      </c>
      <c r="G123" t="s">
        <v>264</v>
      </c>
      <c r="H123" t="str">
        <f>'Huong dan giao do an'!$B$14</f>
        <v>5 SV (vai trò chính): 1 PM/Scrum Master kiêm Integration; 2 BA/PO; 3 UI-UX + Frontend; 4 Backend/API + DevOps; 5 Database + QA/Tester. Mỗi SV có nhiệm vụ phụ và minh chứng cá nhân.</v>
      </c>
      <c r="I123" t="s">
        <v>29</v>
      </c>
      <c r="J123" t="s">
        <v>265</v>
      </c>
      <c r="K123" t="str">
        <f>IF(I123="Trung bình",'Huong dan giao do an'!$B$8,IF(I123="Khá",'Huong dan giao do an'!$B$9,'Huong dan giao do an'!$B$10))</f>
        <v>Tối thiểu 5 actor; 14-18 use case; 10-15 bảng; 4 quy trình; tích hợp ngoài/realtime hoặc xử lý nâng cao; 3 báo cáo; &gt;=45 test case; logging, backup và deploy.</v>
      </c>
      <c r="L123" t="str">
        <f>'Huong dan giao do an'!$B$31</f>
        <v>Bắt buộc: Charter/PMP; SRS + scope/WBS; Gantt/baseline; effort-cost budget; RACI/timesheet; quality-test-defect; communication/minutes; risk register; procurement; change log; closure/lessons learned.</v>
      </c>
      <c r="M123" t="str">
        <f>'Huong dan giao do an'!$B$33</f>
        <v>Tuần 1: 07.09–13.09.2026; Tuần 2: 14.09–20.09.2026; Tuần 3: 21.09–27.09.2026; Tuần 4: 28.09–04.10.2026; Tuần 5: 05.10–11.10.2026; Tuần 6: 12.10–18.10.2026; Tuần 7: 19.10–25.10.2026; Tuần 8: 26.10–01.11.2026.</v>
      </c>
      <c r="N1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 s="17" t="str">
        <f t="shared" si="1"/>
        <v>Còn trống</v>
      </c>
    </row>
    <row r="124" spans="1:16" x14ac:dyDescent="0.3">
      <c r="A124">
        <v>123</v>
      </c>
      <c r="B124" t="s">
        <v>255</v>
      </c>
      <c r="C124" t="s">
        <v>328</v>
      </c>
      <c r="D124" t="s">
        <v>329</v>
      </c>
      <c r="E124" t="s">
        <v>40</v>
      </c>
      <c r="F124" t="s">
        <v>268</v>
      </c>
      <c r="G124" t="s">
        <v>269</v>
      </c>
      <c r="H124" t="str">
        <f>'Huong dan giao do an'!$B$14</f>
        <v>5 SV (vai trò chính): 1 PM/Scrum Master kiêm Integration; 2 BA/PO; 3 UI-UX + Frontend; 4 Backend/API + DevOps; 5 Database + QA/Tester. Mỗi SV có nhiệm vụ phụ và minh chứng cá nhân.</v>
      </c>
      <c r="I124" t="s">
        <v>36</v>
      </c>
      <c r="J124" t="s">
        <v>270</v>
      </c>
      <c r="K124" t="str">
        <f>IF(I124="Trung bình",'Huong dan giao do an'!$B$8,IF(I124="Khá",'Huong dan giao do an'!$B$9,'Huong dan giao do an'!$B$10))</f>
        <v>Tối thiểu 3 actor; 8-10 use case; 6-8 bảng dữ liệu; 2 quy trình lõi; đăng nhập/RBAC; 1 dashboard; 1 báo cáo; &gt;=25 test case; triển khai bản demo.</v>
      </c>
      <c r="L124" t="str">
        <f>'Huong dan giao do an'!$B$31</f>
        <v>Bắt buộc: Charter/PMP; SRS + scope/WBS; Gantt/baseline; effort-cost budget; RACI/timesheet; quality-test-defect; communication/minutes; risk register; procurement; change log; closure/lessons learned.</v>
      </c>
      <c r="M124" t="str">
        <f>'Huong dan giao do an'!$B$33</f>
        <v>Tuần 1: 07.09–13.09.2026; Tuần 2: 14.09–20.09.2026; Tuần 3: 21.09–27.09.2026; Tuần 4: 28.09–04.10.2026; Tuần 5: 05.10–11.10.2026; Tuần 6: 12.10–18.10.2026; Tuần 7: 19.10–25.10.2026; Tuần 8: 26.10–01.11.2026.</v>
      </c>
      <c r="N1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 s="17" t="str">
        <f t="shared" si="1"/>
        <v>Còn trống</v>
      </c>
    </row>
    <row r="125" spans="1:16" x14ac:dyDescent="0.3">
      <c r="A125">
        <v>124</v>
      </c>
      <c r="B125" t="s">
        <v>255</v>
      </c>
      <c r="C125" t="s">
        <v>330</v>
      </c>
      <c r="D125" t="s">
        <v>331</v>
      </c>
      <c r="E125" t="s">
        <v>45</v>
      </c>
      <c r="F125" t="s">
        <v>273</v>
      </c>
      <c r="G125" t="s">
        <v>274</v>
      </c>
      <c r="H125" t="str">
        <f>'Huong dan giao do an'!$B$14</f>
        <v>5 SV (vai trò chính): 1 PM/Scrum Master kiêm Integration; 2 BA/PO; 3 UI-UX + Frontend; 4 Backend/API + DevOps; 5 Database + QA/Tester. Mỗi SV có nhiệm vụ phụ và minh chứng cá nhân.</v>
      </c>
      <c r="I125" t="s">
        <v>22</v>
      </c>
      <c r="J125" t="s">
        <v>260</v>
      </c>
      <c r="K125" t="str">
        <f>IF(I125="Trung bình",'Huong dan giao do an'!$B$8,IF(I125="Khá",'Huong dan giao do an'!$B$9,'Huong dan giao do an'!$B$10))</f>
        <v>Tối thiểu 4 actor; 10-14 use case; 8-12 bảng; 3 quy trình lõi; phân quyền chi tiết; 2 báo cáo; tích hợp 1 dịch vụ; &gt;=35 test case; CI/CD hoặc deploy cloud.</v>
      </c>
      <c r="L125" t="str">
        <f>'Huong dan giao do an'!$B$31</f>
        <v>Bắt buộc: Charter/PMP; SRS + scope/WBS; Gantt/baseline; effort-cost budget; RACI/timesheet; quality-test-defect; communication/minutes; risk register; procurement; change log; closure/lessons learned.</v>
      </c>
      <c r="M125" t="str">
        <f>'Huong dan giao do an'!$B$33</f>
        <v>Tuần 1: 07.09–13.09.2026; Tuần 2: 14.09–20.09.2026; Tuần 3: 21.09–27.09.2026; Tuần 4: 28.09–04.10.2026; Tuần 5: 05.10–11.10.2026; Tuần 6: 12.10–18.10.2026; Tuần 7: 19.10–25.10.2026; Tuần 8: 26.10–01.11.2026.</v>
      </c>
      <c r="N1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 s="17" t="str">
        <f t="shared" si="1"/>
        <v>Còn trống</v>
      </c>
    </row>
    <row r="126" spans="1:16" x14ac:dyDescent="0.3">
      <c r="A126">
        <v>125</v>
      </c>
      <c r="B126" t="s">
        <v>255</v>
      </c>
      <c r="C126" t="s">
        <v>332</v>
      </c>
      <c r="D126" t="s">
        <v>333</v>
      </c>
      <c r="E126" t="s">
        <v>19</v>
      </c>
      <c r="F126" t="s">
        <v>277</v>
      </c>
      <c r="G126" t="s">
        <v>278</v>
      </c>
      <c r="H126" t="str">
        <f>'Huong dan giao do an'!$B$14</f>
        <v>5 SV (vai trò chính): 1 PM/Scrum Master kiêm Integration; 2 BA/PO; 3 UI-UX + Frontend; 4 Backend/API + DevOps; 5 Database + QA/Tester. Mỗi SV có nhiệm vụ phụ và minh chứng cá nhân.</v>
      </c>
      <c r="I126" t="s">
        <v>29</v>
      </c>
      <c r="J126" t="s">
        <v>265</v>
      </c>
      <c r="K126" t="str">
        <f>IF(I126="Trung bình",'Huong dan giao do an'!$B$8,IF(I126="Khá",'Huong dan giao do an'!$B$9,'Huong dan giao do an'!$B$10))</f>
        <v>Tối thiểu 5 actor; 14-18 use case; 10-15 bảng; 4 quy trình; tích hợp ngoài/realtime hoặc xử lý nâng cao; 3 báo cáo; &gt;=45 test case; logging, backup và deploy.</v>
      </c>
      <c r="L126" t="str">
        <f>'Huong dan giao do an'!$B$31</f>
        <v>Bắt buộc: Charter/PMP; SRS + scope/WBS; Gantt/baseline; effort-cost budget; RACI/timesheet; quality-test-defect; communication/minutes; risk register; procurement; change log; closure/lessons learned.</v>
      </c>
      <c r="M126" t="str">
        <f>'Huong dan giao do an'!$B$33</f>
        <v>Tuần 1: 07.09–13.09.2026; Tuần 2: 14.09–20.09.2026; Tuần 3: 21.09–27.09.2026; Tuần 4: 28.09–04.10.2026; Tuần 5: 05.10–11.10.2026; Tuần 6: 12.10–18.10.2026; Tuần 7: 19.10–25.10.2026; Tuần 8: 26.10–01.11.2026.</v>
      </c>
      <c r="N1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 s="17" t="str">
        <f t="shared" si="1"/>
        <v>Còn trống</v>
      </c>
    </row>
    <row r="127" spans="1:16" x14ac:dyDescent="0.3">
      <c r="A127">
        <v>126</v>
      </c>
      <c r="B127" t="s">
        <v>255</v>
      </c>
      <c r="C127" t="s">
        <v>334</v>
      </c>
      <c r="D127" t="s">
        <v>335</v>
      </c>
      <c r="E127" t="s">
        <v>26</v>
      </c>
      <c r="F127" t="s">
        <v>258</v>
      </c>
      <c r="G127" t="s">
        <v>281</v>
      </c>
      <c r="H127" t="str">
        <f>'Huong dan giao do an'!$B$14</f>
        <v>5 SV (vai trò chính): 1 PM/Scrum Master kiêm Integration; 2 BA/PO; 3 UI-UX + Frontend; 4 Backend/API + DevOps; 5 Database + QA/Tester. Mỗi SV có nhiệm vụ phụ và minh chứng cá nhân.</v>
      </c>
      <c r="I127" t="s">
        <v>36</v>
      </c>
      <c r="J127" t="s">
        <v>270</v>
      </c>
      <c r="K127" t="str">
        <f>IF(I127="Trung bình",'Huong dan giao do an'!$B$8,IF(I127="Khá",'Huong dan giao do an'!$B$9,'Huong dan giao do an'!$B$10))</f>
        <v>Tối thiểu 3 actor; 8-10 use case; 6-8 bảng dữ liệu; 2 quy trình lõi; đăng nhập/RBAC; 1 dashboard; 1 báo cáo; &gt;=25 test case; triển khai bản demo.</v>
      </c>
      <c r="L127" t="str">
        <f>'Huong dan giao do an'!$B$31</f>
        <v>Bắt buộc: Charter/PMP; SRS + scope/WBS; Gantt/baseline; effort-cost budget; RACI/timesheet; quality-test-defect; communication/minutes; risk register; procurement; change log; closure/lessons learned.</v>
      </c>
      <c r="M127" t="str">
        <f>'Huong dan giao do an'!$B$33</f>
        <v>Tuần 1: 07.09–13.09.2026; Tuần 2: 14.09–20.09.2026; Tuần 3: 21.09–27.09.2026; Tuần 4: 28.09–04.10.2026; Tuần 5: 05.10–11.10.2026; Tuần 6: 12.10–18.10.2026; Tuần 7: 19.10–25.10.2026; Tuần 8: 26.10–01.11.2026.</v>
      </c>
      <c r="N1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 s="17" t="str">
        <f t="shared" si="1"/>
        <v>Còn trống</v>
      </c>
    </row>
    <row r="128" spans="1:16" x14ac:dyDescent="0.3">
      <c r="A128">
        <v>127</v>
      </c>
      <c r="B128" t="s">
        <v>255</v>
      </c>
      <c r="C128" t="s">
        <v>336</v>
      </c>
      <c r="D128" t="s">
        <v>337</v>
      </c>
      <c r="E128" t="s">
        <v>33</v>
      </c>
      <c r="F128" t="s">
        <v>263</v>
      </c>
      <c r="G128" t="s">
        <v>284</v>
      </c>
      <c r="H128" t="str">
        <f>'Huong dan giao do an'!$B$14</f>
        <v>5 SV (vai trò chính): 1 PM/Scrum Master kiêm Integration; 2 BA/PO; 3 UI-UX + Frontend; 4 Backend/API + DevOps; 5 Database + QA/Tester. Mỗi SV có nhiệm vụ phụ và minh chứng cá nhân.</v>
      </c>
      <c r="I128" t="s">
        <v>22</v>
      </c>
      <c r="J128" t="s">
        <v>260</v>
      </c>
      <c r="K128" t="str">
        <f>IF(I128="Trung bình",'Huong dan giao do an'!$B$8,IF(I128="Khá",'Huong dan giao do an'!$B$9,'Huong dan giao do an'!$B$10))</f>
        <v>Tối thiểu 4 actor; 10-14 use case; 8-12 bảng; 3 quy trình lõi; phân quyền chi tiết; 2 báo cáo; tích hợp 1 dịch vụ; &gt;=35 test case; CI/CD hoặc deploy cloud.</v>
      </c>
      <c r="L128" t="str">
        <f>'Huong dan giao do an'!$B$31</f>
        <v>Bắt buộc: Charter/PMP; SRS + scope/WBS; Gantt/baseline; effort-cost budget; RACI/timesheet; quality-test-defect; communication/minutes; risk register; procurement; change log; closure/lessons learned.</v>
      </c>
      <c r="M128" t="str">
        <f>'Huong dan giao do an'!$B$33</f>
        <v>Tuần 1: 07.09–13.09.2026; Tuần 2: 14.09–20.09.2026; Tuần 3: 21.09–27.09.2026; Tuần 4: 28.09–04.10.2026; Tuần 5: 05.10–11.10.2026; Tuần 6: 12.10–18.10.2026; Tuần 7: 19.10–25.10.2026; Tuần 8: 26.10–01.11.2026.</v>
      </c>
      <c r="N1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 s="17" t="str">
        <f t="shared" si="1"/>
        <v>Còn trống</v>
      </c>
    </row>
    <row r="129" spans="1:16" x14ac:dyDescent="0.3">
      <c r="A129">
        <v>128</v>
      </c>
      <c r="B129" t="s">
        <v>255</v>
      </c>
      <c r="C129" t="s">
        <v>338</v>
      </c>
      <c r="D129" t="s">
        <v>339</v>
      </c>
      <c r="E129" t="s">
        <v>40</v>
      </c>
      <c r="F129" t="s">
        <v>268</v>
      </c>
      <c r="G129" t="s">
        <v>287</v>
      </c>
      <c r="H129" t="str">
        <f>'Huong dan giao do an'!$B$14</f>
        <v>5 SV (vai trò chính): 1 PM/Scrum Master kiêm Integration; 2 BA/PO; 3 UI-UX + Frontend; 4 Backend/API + DevOps; 5 Database + QA/Tester. Mỗi SV có nhiệm vụ phụ và minh chứng cá nhân.</v>
      </c>
      <c r="I129" t="s">
        <v>29</v>
      </c>
      <c r="J129" t="s">
        <v>265</v>
      </c>
      <c r="K129" t="str">
        <f>IF(I129="Trung bình",'Huong dan giao do an'!$B$8,IF(I129="Khá",'Huong dan giao do an'!$B$9,'Huong dan giao do an'!$B$10))</f>
        <v>Tối thiểu 5 actor; 14-18 use case; 10-15 bảng; 4 quy trình; tích hợp ngoài/realtime hoặc xử lý nâng cao; 3 báo cáo; &gt;=45 test case; logging, backup và deploy.</v>
      </c>
      <c r="L129" t="str">
        <f>'Huong dan giao do an'!$B$31</f>
        <v>Bắt buộc: Charter/PMP; SRS + scope/WBS; Gantt/baseline; effort-cost budget; RACI/timesheet; quality-test-defect; communication/minutes; risk register; procurement; change log; closure/lessons learned.</v>
      </c>
      <c r="M129" t="str">
        <f>'Huong dan giao do an'!$B$33</f>
        <v>Tuần 1: 07.09–13.09.2026; Tuần 2: 14.09–20.09.2026; Tuần 3: 21.09–27.09.2026; Tuần 4: 28.09–04.10.2026; Tuần 5: 05.10–11.10.2026; Tuần 6: 12.10–18.10.2026; Tuần 7: 19.10–25.10.2026; Tuần 8: 26.10–01.11.2026.</v>
      </c>
      <c r="N1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 s="17" t="str">
        <f t="shared" si="1"/>
        <v>Còn trống</v>
      </c>
    </row>
    <row r="130" spans="1:16" x14ac:dyDescent="0.3">
      <c r="A130">
        <v>129</v>
      </c>
      <c r="B130" t="s">
        <v>255</v>
      </c>
      <c r="C130" t="s">
        <v>340</v>
      </c>
      <c r="D130" t="s">
        <v>341</v>
      </c>
      <c r="E130" t="s">
        <v>45</v>
      </c>
      <c r="F130" t="s">
        <v>273</v>
      </c>
      <c r="G130" t="s">
        <v>290</v>
      </c>
      <c r="H130" t="str">
        <f>'Huong dan giao do an'!$B$14</f>
        <v>5 SV (vai trò chính): 1 PM/Scrum Master kiêm Integration; 2 BA/PO; 3 UI-UX + Frontend; 4 Backend/API + DevOps; 5 Database + QA/Tester. Mỗi SV có nhiệm vụ phụ và minh chứng cá nhân.</v>
      </c>
      <c r="I130" t="s">
        <v>36</v>
      </c>
      <c r="J130" t="s">
        <v>270</v>
      </c>
      <c r="K130" t="str">
        <f>IF(I130="Trung bình",'Huong dan giao do an'!$B$8,IF(I130="Khá",'Huong dan giao do an'!$B$9,'Huong dan giao do an'!$B$10))</f>
        <v>Tối thiểu 3 actor; 8-10 use case; 6-8 bảng dữ liệu; 2 quy trình lõi; đăng nhập/RBAC; 1 dashboard; 1 báo cáo; &gt;=25 test case; triển khai bản demo.</v>
      </c>
      <c r="L130" t="str">
        <f>'Huong dan giao do an'!$B$31</f>
        <v>Bắt buộc: Charter/PMP; SRS + scope/WBS; Gantt/baseline; effort-cost budget; RACI/timesheet; quality-test-defect; communication/minutes; risk register; procurement; change log; closure/lessons learned.</v>
      </c>
      <c r="M130" t="str">
        <f>'Huong dan giao do an'!$B$33</f>
        <v>Tuần 1: 07.09–13.09.2026; Tuần 2: 14.09–20.09.2026; Tuần 3: 21.09–27.09.2026; Tuần 4: 28.09–04.10.2026; Tuần 5: 05.10–11.10.2026; Tuần 6: 12.10–18.10.2026; Tuần 7: 19.10–25.10.2026; Tuần 8: 26.10–01.11.2026.</v>
      </c>
      <c r="N1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 s="17" t="str">
        <f t="shared" si="1"/>
        <v>Còn trống</v>
      </c>
    </row>
    <row r="131" spans="1:16" x14ac:dyDescent="0.3">
      <c r="A131">
        <v>130</v>
      </c>
      <c r="B131" t="s">
        <v>255</v>
      </c>
      <c r="C131" t="s">
        <v>342</v>
      </c>
      <c r="D131" t="s">
        <v>343</v>
      </c>
      <c r="E131" t="s">
        <v>19</v>
      </c>
      <c r="F131" t="s">
        <v>277</v>
      </c>
      <c r="G131" t="s">
        <v>293</v>
      </c>
      <c r="H131" t="str">
        <f>'Huong dan giao do an'!$B$14</f>
        <v>5 SV (vai trò chính): 1 PM/Scrum Master kiêm Integration; 2 BA/PO; 3 UI-UX + Frontend; 4 Backend/API + DevOps; 5 Database + QA/Tester. Mỗi SV có nhiệm vụ phụ và minh chứng cá nhân.</v>
      </c>
      <c r="I131" t="s">
        <v>22</v>
      </c>
      <c r="J131" t="s">
        <v>260</v>
      </c>
      <c r="K131" t="str">
        <f>IF(I131="Trung bình",'Huong dan giao do an'!$B$8,IF(I131="Khá",'Huong dan giao do an'!$B$9,'Huong dan giao do an'!$B$10))</f>
        <v>Tối thiểu 4 actor; 10-14 use case; 8-12 bảng; 3 quy trình lõi; phân quyền chi tiết; 2 báo cáo; tích hợp 1 dịch vụ; &gt;=35 test case; CI/CD hoặc deploy cloud.</v>
      </c>
      <c r="L131" t="str">
        <f>'Huong dan giao do an'!$B$31</f>
        <v>Bắt buộc: Charter/PMP; SRS + scope/WBS; Gantt/baseline; effort-cost budget; RACI/timesheet; quality-test-defect; communication/minutes; risk register; procurement; change log; closure/lessons learned.</v>
      </c>
      <c r="M131" t="str">
        <f>'Huong dan giao do an'!$B$33</f>
        <v>Tuần 1: 07.09–13.09.2026; Tuần 2: 14.09–20.09.2026; Tuần 3: 21.09–27.09.2026; Tuần 4: 28.09–04.10.2026; Tuần 5: 05.10–11.10.2026; Tuần 6: 12.10–18.10.2026; Tuần 7: 19.10–25.10.2026; Tuần 8: 26.10–01.11.2026.</v>
      </c>
      <c r="N1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 s="17" t="str">
        <f t="shared" ref="P131:P194" si="2">IF(O131="","Còn trống","Đã đăng ký")</f>
        <v>Còn trống</v>
      </c>
    </row>
    <row r="132" spans="1:16" x14ac:dyDescent="0.3">
      <c r="A132">
        <v>131</v>
      </c>
      <c r="B132" t="s">
        <v>255</v>
      </c>
      <c r="C132" t="s">
        <v>344</v>
      </c>
      <c r="D132" t="s">
        <v>345</v>
      </c>
      <c r="E132" t="s">
        <v>26</v>
      </c>
      <c r="F132" t="s">
        <v>258</v>
      </c>
      <c r="G132" t="s">
        <v>296</v>
      </c>
      <c r="H132" t="str">
        <f>'Huong dan giao do an'!$B$14</f>
        <v>5 SV (vai trò chính): 1 PM/Scrum Master kiêm Integration; 2 BA/PO; 3 UI-UX + Frontend; 4 Backend/API + DevOps; 5 Database + QA/Tester. Mỗi SV có nhiệm vụ phụ và minh chứng cá nhân.</v>
      </c>
      <c r="I132" t="s">
        <v>29</v>
      </c>
      <c r="J132" t="s">
        <v>265</v>
      </c>
      <c r="K132" t="str">
        <f>IF(I132="Trung bình",'Huong dan giao do an'!$B$8,IF(I132="Khá",'Huong dan giao do an'!$B$9,'Huong dan giao do an'!$B$10))</f>
        <v>Tối thiểu 5 actor; 14-18 use case; 10-15 bảng; 4 quy trình; tích hợp ngoài/realtime hoặc xử lý nâng cao; 3 báo cáo; &gt;=45 test case; logging, backup và deploy.</v>
      </c>
      <c r="L132" t="str">
        <f>'Huong dan giao do an'!$B$31</f>
        <v>Bắt buộc: Charter/PMP; SRS + scope/WBS; Gantt/baseline; effort-cost budget; RACI/timesheet; quality-test-defect; communication/minutes; risk register; procurement; change log; closure/lessons learned.</v>
      </c>
      <c r="M132" t="str">
        <f>'Huong dan giao do an'!$B$33</f>
        <v>Tuần 1: 07.09–13.09.2026; Tuần 2: 14.09–20.09.2026; Tuần 3: 21.09–27.09.2026; Tuần 4: 28.09–04.10.2026; Tuần 5: 05.10–11.10.2026; Tuần 6: 12.10–18.10.2026; Tuần 7: 19.10–25.10.2026; Tuần 8: 26.10–01.11.2026.</v>
      </c>
      <c r="N1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 s="17" t="str">
        <f t="shared" si="2"/>
        <v>Còn trống</v>
      </c>
    </row>
    <row r="133" spans="1:16" x14ac:dyDescent="0.3">
      <c r="A133">
        <v>132</v>
      </c>
      <c r="B133" t="s">
        <v>255</v>
      </c>
      <c r="C133" t="s">
        <v>346</v>
      </c>
      <c r="D133" t="s">
        <v>347</v>
      </c>
      <c r="E133" t="s">
        <v>33</v>
      </c>
      <c r="F133" t="s">
        <v>263</v>
      </c>
      <c r="G133" t="s">
        <v>299</v>
      </c>
      <c r="H133" t="str">
        <f>'Huong dan giao do an'!$B$14</f>
        <v>5 SV (vai trò chính): 1 PM/Scrum Master kiêm Integration; 2 BA/PO; 3 UI-UX + Frontend; 4 Backend/API + DevOps; 5 Database + QA/Tester. Mỗi SV có nhiệm vụ phụ và minh chứng cá nhân.</v>
      </c>
      <c r="I133" t="s">
        <v>36</v>
      </c>
      <c r="J133" t="s">
        <v>270</v>
      </c>
      <c r="K133" t="str">
        <f>IF(I133="Trung bình",'Huong dan giao do an'!$B$8,IF(I133="Khá",'Huong dan giao do an'!$B$9,'Huong dan giao do an'!$B$10))</f>
        <v>Tối thiểu 3 actor; 8-10 use case; 6-8 bảng dữ liệu; 2 quy trình lõi; đăng nhập/RBAC; 1 dashboard; 1 báo cáo; &gt;=25 test case; triển khai bản demo.</v>
      </c>
      <c r="L133" t="str">
        <f>'Huong dan giao do an'!$B$31</f>
        <v>Bắt buộc: Charter/PMP; SRS + scope/WBS; Gantt/baseline; effort-cost budget; RACI/timesheet; quality-test-defect; communication/minutes; risk register; procurement; change log; closure/lessons learned.</v>
      </c>
      <c r="M133" t="str">
        <f>'Huong dan giao do an'!$B$33</f>
        <v>Tuần 1: 07.09–13.09.2026; Tuần 2: 14.09–20.09.2026; Tuần 3: 21.09–27.09.2026; Tuần 4: 28.09–04.10.2026; Tuần 5: 05.10–11.10.2026; Tuần 6: 12.10–18.10.2026; Tuần 7: 19.10–25.10.2026; Tuần 8: 26.10–01.11.2026.</v>
      </c>
      <c r="N1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 s="17" t="str">
        <f t="shared" si="2"/>
        <v>Còn trống</v>
      </c>
    </row>
    <row r="134" spans="1:16" x14ac:dyDescent="0.3">
      <c r="A134">
        <v>133</v>
      </c>
      <c r="B134" t="s">
        <v>255</v>
      </c>
      <c r="C134" t="s">
        <v>348</v>
      </c>
      <c r="D134" t="s">
        <v>349</v>
      </c>
      <c r="E134" t="s">
        <v>40</v>
      </c>
      <c r="F134" t="s">
        <v>268</v>
      </c>
      <c r="G134" t="s">
        <v>302</v>
      </c>
      <c r="H134" t="str">
        <f>'Huong dan giao do an'!$B$14</f>
        <v>5 SV (vai trò chính): 1 PM/Scrum Master kiêm Integration; 2 BA/PO; 3 UI-UX + Frontend; 4 Backend/API + DevOps; 5 Database + QA/Tester. Mỗi SV có nhiệm vụ phụ và minh chứng cá nhân.</v>
      </c>
      <c r="I134" t="s">
        <v>22</v>
      </c>
      <c r="J134" t="s">
        <v>260</v>
      </c>
      <c r="K134" t="str">
        <f>IF(I134="Trung bình",'Huong dan giao do an'!$B$8,IF(I134="Khá",'Huong dan giao do an'!$B$9,'Huong dan giao do an'!$B$10))</f>
        <v>Tối thiểu 4 actor; 10-14 use case; 8-12 bảng; 3 quy trình lõi; phân quyền chi tiết; 2 báo cáo; tích hợp 1 dịch vụ; &gt;=35 test case; CI/CD hoặc deploy cloud.</v>
      </c>
      <c r="L134" t="str">
        <f>'Huong dan giao do an'!$B$31</f>
        <v>Bắt buộc: Charter/PMP; SRS + scope/WBS; Gantt/baseline; effort-cost budget; RACI/timesheet; quality-test-defect; communication/minutes; risk register; procurement; change log; closure/lessons learned.</v>
      </c>
      <c r="M134" t="str">
        <f>'Huong dan giao do an'!$B$33</f>
        <v>Tuần 1: 07.09–13.09.2026; Tuần 2: 14.09–20.09.2026; Tuần 3: 21.09–27.09.2026; Tuần 4: 28.09–04.10.2026; Tuần 5: 05.10–11.10.2026; Tuần 6: 12.10–18.10.2026; Tuần 7: 19.10–25.10.2026; Tuần 8: 26.10–01.11.2026.</v>
      </c>
      <c r="N1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 s="17" t="str">
        <f t="shared" si="2"/>
        <v>Còn trống</v>
      </c>
    </row>
    <row r="135" spans="1:16" x14ac:dyDescent="0.3">
      <c r="A135">
        <v>134</v>
      </c>
      <c r="B135" t="s">
        <v>255</v>
      </c>
      <c r="C135" t="s">
        <v>350</v>
      </c>
      <c r="D135" t="s">
        <v>351</v>
      </c>
      <c r="E135" t="s">
        <v>45</v>
      </c>
      <c r="F135" t="s">
        <v>273</v>
      </c>
      <c r="G135" t="s">
        <v>305</v>
      </c>
      <c r="H135" t="str">
        <f>'Huong dan giao do an'!$B$14</f>
        <v>5 SV (vai trò chính): 1 PM/Scrum Master kiêm Integration; 2 BA/PO; 3 UI-UX + Frontend; 4 Backend/API + DevOps; 5 Database + QA/Tester. Mỗi SV có nhiệm vụ phụ và minh chứng cá nhân.</v>
      </c>
      <c r="I135" t="s">
        <v>29</v>
      </c>
      <c r="J135" t="s">
        <v>265</v>
      </c>
      <c r="K135" t="str">
        <f>IF(I135="Trung bình",'Huong dan giao do an'!$B$8,IF(I135="Khá",'Huong dan giao do an'!$B$9,'Huong dan giao do an'!$B$10))</f>
        <v>Tối thiểu 5 actor; 14-18 use case; 10-15 bảng; 4 quy trình; tích hợp ngoài/realtime hoặc xử lý nâng cao; 3 báo cáo; &gt;=45 test case; logging, backup và deploy.</v>
      </c>
      <c r="L135" t="str">
        <f>'Huong dan giao do an'!$B$31</f>
        <v>Bắt buộc: Charter/PMP; SRS + scope/WBS; Gantt/baseline; effort-cost budget; RACI/timesheet; quality-test-defect; communication/minutes; risk register; procurement; change log; closure/lessons learned.</v>
      </c>
      <c r="M135" t="str">
        <f>'Huong dan giao do an'!$B$33</f>
        <v>Tuần 1: 07.09–13.09.2026; Tuần 2: 14.09–20.09.2026; Tuần 3: 21.09–27.09.2026; Tuần 4: 28.09–04.10.2026; Tuần 5: 05.10–11.10.2026; Tuần 6: 12.10–18.10.2026; Tuần 7: 19.10–25.10.2026; Tuần 8: 26.10–01.11.2026.</v>
      </c>
      <c r="N1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 s="17" t="str">
        <f t="shared" si="2"/>
        <v>Còn trống</v>
      </c>
    </row>
    <row r="136" spans="1:16" x14ac:dyDescent="0.3">
      <c r="A136">
        <v>135</v>
      </c>
      <c r="B136" t="s">
        <v>255</v>
      </c>
      <c r="C136" t="s">
        <v>352</v>
      </c>
      <c r="D136" t="s">
        <v>353</v>
      </c>
      <c r="E136" t="s">
        <v>19</v>
      </c>
      <c r="F136" t="s">
        <v>277</v>
      </c>
      <c r="G136" t="s">
        <v>308</v>
      </c>
      <c r="H136" t="str">
        <f>'Huong dan giao do an'!$B$14</f>
        <v>5 SV (vai trò chính): 1 PM/Scrum Master kiêm Integration; 2 BA/PO; 3 UI-UX + Frontend; 4 Backend/API + DevOps; 5 Database + QA/Tester. Mỗi SV có nhiệm vụ phụ và minh chứng cá nhân.</v>
      </c>
      <c r="I136" t="s">
        <v>36</v>
      </c>
      <c r="J136" t="s">
        <v>270</v>
      </c>
      <c r="K136" t="str">
        <f>IF(I136="Trung bình",'Huong dan giao do an'!$B$8,IF(I136="Khá",'Huong dan giao do an'!$B$9,'Huong dan giao do an'!$B$10))</f>
        <v>Tối thiểu 3 actor; 8-10 use case; 6-8 bảng dữ liệu; 2 quy trình lõi; đăng nhập/RBAC; 1 dashboard; 1 báo cáo; &gt;=25 test case; triển khai bản demo.</v>
      </c>
      <c r="L136" t="str">
        <f>'Huong dan giao do an'!$B$31</f>
        <v>Bắt buộc: Charter/PMP; SRS + scope/WBS; Gantt/baseline; effort-cost budget; RACI/timesheet; quality-test-defect; communication/minutes; risk register; procurement; change log; closure/lessons learned.</v>
      </c>
      <c r="M136" t="str">
        <f>'Huong dan giao do an'!$B$33</f>
        <v>Tuần 1: 07.09–13.09.2026; Tuần 2: 14.09–20.09.2026; Tuần 3: 21.09–27.09.2026; Tuần 4: 28.09–04.10.2026; Tuần 5: 05.10–11.10.2026; Tuần 6: 12.10–18.10.2026; Tuần 7: 19.10–25.10.2026; Tuần 8: 26.10–01.11.2026.</v>
      </c>
      <c r="N1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 s="17" t="str">
        <f t="shared" si="2"/>
        <v>Còn trống</v>
      </c>
    </row>
    <row r="137" spans="1:16" x14ac:dyDescent="0.3">
      <c r="A137">
        <v>136</v>
      </c>
      <c r="B137" t="s">
        <v>255</v>
      </c>
      <c r="C137" t="s">
        <v>354</v>
      </c>
      <c r="D137" t="s">
        <v>355</v>
      </c>
      <c r="E137" t="s">
        <v>26</v>
      </c>
      <c r="F137" t="s">
        <v>258</v>
      </c>
      <c r="G137" t="s">
        <v>311</v>
      </c>
      <c r="H137" t="str">
        <f>'Huong dan giao do an'!$B$14</f>
        <v>5 SV (vai trò chính): 1 PM/Scrum Master kiêm Integration; 2 BA/PO; 3 UI-UX + Frontend; 4 Backend/API + DevOps; 5 Database + QA/Tester. Mỗi SV có nhiệm vụ phụ và minh chứng cá nhân.</v>
      </c>
      <c r="I137" t="s">
        <v>22</v>
      </c>
      <c r="J137" t="s">
        <v>260</v>
      </c>
      <c r="K137" t="str">
        <f>IF(I137="Trung bình",'Huong dan giao do an'!$B$8,IF(I137="Khá",'Huong dan giao do an'!$B$9,'Huong dan giao do an'!$B$10))</f>
        <v>Tối thiểu 4 actor; 10-14 use case; 8-12 bảng; 3 quy trình lõi; phân quyền chi tiết; 2 báo cáo; tích hợp 1 dịch vụ; &gt;=35 test case; CI/CD hoặc deploy cloud.</v>
      </c>
      <c r="L137" t="str">
        <f>'Huong dan giao do an'!$B$31</f>
        <v>Bắt buộc: Charter/PMP; SRS + scope/WBS; Gantt/baseline; effort-cost budget; RACI/timesheet; quality-test-defect; communication/minutes; risk register; procurement; change log; closure/lessons learned.</v>
      </c>
      <c r="M137" t="str">
        <f>'Huong dan giao do an'!$B$33</f>
        <v>Tuần 1: 07.09–13.09.2026; Tuần 2: 14.09–20.09.2026; Tuần 3: 21.09–27.09.2026; Tuần 4: 28.09–04.10.2026; Tuần 5: 05.10–11.10.2026; Tuần 6: 12.10–18.10.2026; Tuần 7: 19.10–25.10.2026; Tuần 8: 26.10–01.11.2026.</v>
      </c>
      <c r="N1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 s="17" t="str">
        <f t="shared" si="2"/>
        <v>Còn trống</v>
      </c>
    </row>
    <row r="138" spans="1:16" x14ac:dyDescent="0.3">
      <c r="A138">
        <v>137</v>
      </c>
      <c r="B138" t="s">
        <v>255</v>
      </c>
      <c r="C138" t="s">
        <v>356</v>
      </c>
      <c r="D138" t="s">
        <v>357</v>
      </c>
      <c r="E138" t="s">
        <v>33</v>
      </c>
      <c r="F138" t="s">
        <v>263</v>
      </c>
      <c r="G138" t="s">
        <v>314</v>
      </c>
      <c r="H138" t="str">
        <f>'Huong dan giao do an'!$B$14</f>
        <v>5 SV (vai trò chính): 1 PM/Scrum Master kiêm Integration; 2 BA/PO; 3 UI-UX + Frontend; 4 Backend/API + DevOps; 5 Database + QA/Tester. Mỗi SV có nhiệm vụ phụ và minh chứng cá nhân.</v>
      </c>
      <c r="I138" t="s">
        <v>29</v>
      </c>
      <c r="J138" t="s">
        <v>265</v>
      </c>
      <c r="K138" t="str">
        <f>IF(I138="Trung bình",'Huong dan giao do an'!$B$8,IF(I138="Khá",'Huong dan giao do an'!$B$9,'Huong dan giao do an'!$B$10))</f>
        <v>Tối thiểu 5 actor; 14-18 use case; 10-15 bảng; 4 quy trình; tích hợp ngoài/realtime hoặc xử lý nâng cao; 3 báo cáo; &gt;=45 test case; logging, backup và deploy.</v>
      </c>
      <c r="L138" t="str">
        <f>'Huong dan giao do an'!$B$31</f>
        <v>Bắt buộc: Charter/PMP; SRS + scope/WBS; Gantt/baseline; effort-cost budget; RACI/timesheet; quality-test-defect; communication/minutes; risk register; procurement; change log; closure/lessons learned.</v>
      </c>
      <c r="M138" t="str">
        <f>'Huong dan giao do an'!$B$33</f>
        <v>Tuần 1: 07.09–13.09.2026; Tuần 2: 14.09–20.09.2026; Tuần 3: 21.09–27.09.2026; Tuần 4: 28.09–04.10.2026; Tuần 5: 05.10–11.10.2026; Tuần 6: 12.10–18.10.2026; Tuần 7: 19.10–25.10.2026; Tuần 8: 26.10–01.11.2026.</v>
      </c>
      <c r="N1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 s="17" t="str">
        <f t="shared" si="2"/>
        <v>Còn trống</v>
      </c>
    </row>
    <row r="139" spans="1:16" x14ac:dyDescent="0.3">
      <c r="A139">
        <v>138</v>
      </c>
      <c r="B139" t="s">
        <v>255</v>
      </c>
      <c r="C139" t="s">
        <v>358</v>
      </c>
      <c r="D139" t="s">
        <v>359</v>
      </c>
      <c r="E139" t="s">
        <v>40</v>
      </c>
      <c r="F139" t="s">
        <v>268</v>
      </c>
      <c r="G139" t="s">
        <v>317</v>
      </c>
      <c r="H139" t="str">
        <f>'Huong dan giao do an'!$B$14</f>
        <v>5 SV (vai trò chính): 1 PM/Scrum Master kiêm Integration; 2 BA/PO; 3 UI-UX + Frontend; 4 Backend/API + DevOps; 5 Database + QA/Tester. Mỗi SV có nhiệm vụ phụ và minh chứng cá nhân.</v>
      </c>
      <c r="I139" t="s">
        <v>36</v>
      </c>
      <c r="J139" t="s">
        <v>270</v>
      </c>
      <c r="K139" t="str">
        <f>IF(I139="Trung bình",'Huong dan giao do an'!$B$8,IF(I139="Khá",'Huong dan giao do an'!$B$9,'Huong dan giao do an'!$B$10))</f>
        <v>Tối thiểu 3 actor; 8-10 use case; 6-8 bảng dữ liệu; 2 quy trình lõi; đăng nhập/RBAC; 1 dashboard; 1 báo cáo; &gt;=25 test case; triển khai bản demo.</v>
      </c>
      <c r="L139" t="str">
        <f>'Huong dan giao do an'!$B$31</f>
        <v>Bắt buộc: Charter/PMP; SRS + scope/WBS; Gantt/baseline; effort-cost budget; RACI/timesheet; quality-test-defect; communication/minutes; risk register; procurement; change log; closure/lessons learned.</v>
      </c>
      <c r="M139" t="str">
        <f>'Huong dan giao do an'!$B$33</f>
        <v>Tuần 1: 07.09–13.09.2026; Tuần 2: 14.09–20.09.2026; Tuần 3: 21.09–27.09.2026; Tuần 4: 28.09–04.10.2026; Tuần 5: 05.10–11.10.2026; Tuần 6: 12.10–18.10.2026; Tuần 7: 19.10–25.10.2026; Tuần 8: 26.10–01.11.2026.</v>
      </c>
      <c r="N1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 s="17" t="str">
        <f t="shared" si="2"/>
        <v>Còn trống</v>
      </c>
    </row>
    <row r="140" spans="1:16" x14ac:dyDescent="0.3">
      <c r="A140">
        <v>139</v>
      </c>
      <c r="B140" t="s">
        <v>255</v>
      </c>
      <c r="C140" t="s">
        <v>360</v>
      </c>
      <c r="D140" t="s">
        <v>361</v>
      </c>
      <c r="E140" t="s">
        <v>45</v>
      </c>
      <c r="F140" t="s">
        <v>273</v>
      </c>
      <c r="G140" t="s">
        <v>320</v>
      </c>
      <c r="H140" t="str">
        <f>'Huong dan giao do an'!$B$14</f>
        <v>5 SV (vai trò chính): 1 PM/Scrum Master kiêm Integration; 2 BA/PO; 3 UI-UX + Frontend; 4 Backend/API + DevOps; 5 Database + QA/Tester. Mỗi SV có nhiệm vụ phụ và minh chứng cá nhân.</v>
      </c>
      <c r="I140" t="s">
        <v>22</v>
      </c>
      <c r="J140" t="s">
        <v>260</v>
      </c>
      <c r="K140" t="str">
        <f>IF(I140="Trung bình",'Huong dan giao do an'!$B$8,IF(I140="Khá",'Huong dan giao do an'!$B$9,'Huong dan giao do an'!$B$10))</f>
        <v>Tối thiểu 4 actor; 10-14 use case; 8-12 bảng; 3 quy trình lõi; phân quyền chi tiết; 2 báo cáo; tích hợp 1 dịch vụ; &gt;=35 test case; CI/CD hoặc deploy cloud.</v>
      </c>
      <c r="L140" t="str">
        <f>'Huong dan giao do an'!$B$31</f>
        <v>Bắt buộc: Charter/PMP; SRS + scope/WBS; Gantt/baseline; effort-cost budget; RACI/timesheet; quality-test-defect; communication/minutes; risk register; procurement; change log; closure/lessons learned.</v>
      </c>
      <c r="M140" t="str">
        <f>'Huong dan giao do an'!$B$33</f>
        <v>Tuần 1: 07.09–13.09.2026; Tuần 2: 14.09–20.09.2026; Tuần 3: 21.09–27.09.2026; Tuần 4: 28.09–04.10.2026; Tuần 5: 05.10–11.10.2026; Tuần 6: 12.10–18.10.2026; Tuần 7: 19.10–25.10.2026; Tuần 8: 26.10–01.11.2026.</v>
      </c>
      <c r="N1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 s="17" t="str">
        <f t="shared" si="2"/>
        <v>Còn trống</v>
      </c>
    </row>
    <row r="141" spans="1:16" x14ac:dyDescent="0.3">
      <c r="A141">
        <v>140</v>
      </c>
      <c r="B141" t="s">
        <v>255</v>
      </c>
      <c r="C141" t="s">
        <v>362</v>
      </c>
      <c r="D141" t="s">
        <v>363</v>
      </c>
      <c r="E141" t="s">
        <v>19</v>
      </c>
      <c r="F141" t="s">
        <v>277</v>
      </c>
      <c r="G141" t="s">
        <v>323</v>
      </c>
      <c r="H141" t="str">
        <f>'Huong dan giao do an'!$B$14</f>
        <v>5 SV (vai trò chính): 1 PM/Scrum Master kiêm Integration; 2 BA/PO; 3 UI-UX + Frontend; 4 Backend/API + DevOps; 5 Database + QA/Tester. Mỗi SV có nhiệm vụ phụ và minh chứng cá nhân.</v>
      </c>
      <c r="I141" t="s">
        <v>29</v>
      </c>
      <c r="J141" t="s">
        <v>265</v>
      </c>
      <c r="K141" t="str">
        <f>IF(I141="Trung bình",'Huong dan giao do an'!$B$8,IF(I141="Khá",'Huong dan giao do an'!$B$9,'Huong dan giao do an'!$B$10))</f>
        <v>Tối thiểu 5 actor; 14-18 use case; 10-15 bảng; 4 quy trình; tích hợp ngoài/realtime hoặc xử lý nâng cao; 3 báo cáo; &gt;=45 test case; logging, backup và deploy.</v>
      </c>
      <c r="L141" t="str">
        <f>'Huong dan giao do an'!$B$31</f>
        <v>Bắt buộc: Charter/PMP; SRS + scope/WBS; Gantt/baseline; effort-cost budget; RACI/timesheet; quality-test-defect; communication/minutes; risk register; procurement; change log; closure/lessons learned.</v>
      </c>
      <c r="M141" t="str">
        <f>'Huong dan giao do an'!$B$33</f>
        <v>Tuần 1: 07.09–13.09.2026; Tuần 2: 14.09–20.09.2026; Tuần 3: 21.09–27.09.2026; Tuần 4: 28.09–04.10.2026; Tuần 5: 05.10–11.10.2026; Tuần 6: 12.10–18.10.2026; Tuần 7: 19.10–25.10.2026; Tuần 8: 26.10–01.11.2026.</v>
      </c>
      <c r="N1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 s="17" t="str">
        <f t="shared" si="2"/>
        <v>Còn trống</v>
      </c>
    </row>
    <row r="142" spans="1:16" x14ac:dyDescent="0.3">
      <c r="A142">
        <v>141</v>
      </c>
      <c r="B142" t="s">
        <v>255</v>
      </c>
      <c r="C142" t="s">
        <v>364</v>
      </c>
      <c r="D142" t="s">
        <v>365</v>
      </c>
      <c r="E142" t="s">
        <v>26</v>
      </c>
      <c r="F142" t="s">
        <v>258</v>
      </c>
      <c r="G142" t="s">
        <v>259</v>
      </c>
      <c r="H142" t="str">
        <f>'Huong dan giao do an'!$B$14</f>
        <v>5 SV (vai trò chính): 1 PM/Scrum Master kiêm Integration; 2 BA/PO; 3 UI-UX + Frontend; 4 Backend/API + DevOps; 5 Database + QA/Tester. Mỗi SV có nhiệm vụ phụ và minh chứng cá nhân.</v>
      </c>
      <c r="I142" t="s">
        <v>22</v>
      </c>
      <c r="J142" t="s">
        <v>260</v>
      </c>
      <c r="K142" t="str">
        <f>IF(I142="Trung bình",'Huong dan giao do an'!$B$8,IF(I142="Khá",'Huong dan giao do an'!$B$9,'Huong dan giao do an'!$B$10))</f>
        <v>Tối thiểu 4 actor; 10-14 use case; 8-12 bảng; 3 quy trình lõi; phân quyền chi tiết; 2 báo cáo; tích hợp 1 dịch vụ; &gt;=35 test case; CI/CD hoặc deploy cloud.</v>
      </c>
      <c r="L142" t="str">
        <f>'Huong dan giao do an'!$B$31</f>
        <v>Bắt buộc: Charter/PMP; SRS + scope/WBS; Gantt/baseline; effort-cost budget; RACI/timesheet; quality-test-defect; communication/minutes; risk register; procurement; change log; closure/lessons learned.</v>
      </c>
      <c r="M142" t="str">
        <f>'Huong dan giao do an'!$B$33</f>
        <v>Tuần 1: 07.09–13.09.2026; Tuần 2: 14.09–20.09.2026; Tuần 3: 21.09–27.09.2026; Tuần 4: 28.09–04.10.2026; Tuần 5: 05.10–11.10.2026; Tuần 6: 12.10–18.10.2026; Tuần 7: 19.10–25.10.2026; Tuần 8: 26.10–01.11.2026.</v>
      </c>
      <c r="N1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 s="17" t="str">
        <f t="shared" si="2"/>
        <v>Còn trống</v>
      </c>
    </row>
    <row r="143" spans="1:16" x14ac:dyDescent="0.3">
      <c r="A143">
        <v>142</v>
      </c>
      <c r="B143" t="s">
        <v>255</v>
      </c>
      <c r="C143" t="s">
        <v>366</v>
      </c>
      <c r="D143" t="s">
        <v>367</v>
      </c>
      <c r="E143" t="s">
        <v>33</v>
      </c>
      <c r="F143" t="s">
        <v>263</v>
      </c>
      <c r="G143" t="s">
        <v>264</v>
      </c>
      <c r="H143" t="str">
        <f>'Huong dan giao do an'!$B$14</f>
        <v>5 SV (vai trò chính): 1 PM/Scrum Master kiêm Integration; 2 BA/PO; 3 UI-UX + Frontend; 4 Backend/API + DevOps; 5 Database + QA/Tester. Mỗi SV có nhiệm vụ phụ và minh chứng cá nhân.</v>
      </c>
      <c r="I143" t="s">
        <v>29</v>
      </c>
      <c r="J143" t="s">
        <v>265</v>
      </c>
      <c r="K143" t="str">
        <f>IF(I143="Trung bình",'Huong dan giao do an'!$B$8,IF(I143="Khá",'Huong dan giao do an'!$B$9,'Huong dan giao do an'!$B$10))</f>
        <v>Tối thiểu 5 actor; 14-18 use case; 10-15 bảng; 4 quy trình; tích hợp ngoài/realtime hoặc xử lý nâng cao; 3 báo cáo; &gt;=45 test case; logging, backup và deploy.</v>
      </c>
      <c r="L143" t="str">
        <f>'Huong dan giao do an'!$B$31</f>
        <v>Bắt buộc: Charter/PMP; SRS + scope/WBS; Gantt/baseline; effort-cost budget; RACI/timesheet; quality-test-defect; communication/minutes; risk register; procurement; change log; closure/lessons learned.</v>
      </c>
      <c r="M143" t="str">
        <f>'Huong dan giao do an'!$B$33</f>
        <v>Tuần 1: 07.09–13.09.2026; Tuần 2: 14.09–20.09.2026; Tuần 3: 21.09–27.09.2026; Tuần 4: 28.09–04.10.2026; Tuần 5: 05.10–11.10.2026; Tuần 6: 12.10–18.10.2026; Tuần 7: 19.10–25.10.2026; Tuần 8: 26.10–01.11.2026.</v>
      </c>
      <c r="N1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 s="17" t="str">
        <f t="shared" si="2"/>
        <v>Còn trống</v>
      </c>
    </row>
    <row r="144" spans="1:16" x14ac:dyDescent="0.3">
      <c r="A144">
        <v>143</v>
      </c>
      <c r="B144" t="s">
        <v>255</v>
      </c>
      <c r="C144" t="s">
        <v>368</v>
      </c>
      <c r="D144" t="s">
        <v>369</v>
      </c>
      <c r="E144" t="s">
        <v>40</v>
      </c>
      <c r="F144" t="s">
        <v>268</v>
      </c>
      <c r="G144" t="s">
        <v>269</v>
      </c>
      <c r="H144" t="str">
        <f>'Huong dan giao do an'!$B$14</f>
        <v>5 SV (vai trò chính): 1 PM/Scrum Master kiêm Integration; 2 BA/PO; 3 UI-UX + Frontend; 4 Backend/API + DevOps; 5 Database + QA/Tester. Mỗi SV có nhiệm vụ phụ và minh chứng cá nhân.</v>
      </c>
      <c r="I144" t="s">
        <v>36</v>
      </c>
      <c r="J144" t="s">
        <v>270</v>
      </c>
      <c r="K144" t="str">
        <f>IF(I144="Trung bình",'Huong dan giao do an'!$B$8,IF(I144="Khá",'Huong dan giao do an'!$B$9,'Huong dan giao do an'!$B$10))</f>
        <v>Tối thiểu 3 actor; 8-10 use case; 6-8 bảng dữ liệu; 2 quy trình lõi; đăng nhập/RBAC; 1 dashboard; 1 báo cáo; &gt;=25 test case; triển khai bản demo.</v>
      </c>
      <c r="L144" t="str">
        <f>'Huong dan giao do an'!$B$31</f>
        <v>Bắt buộc: Charter/PMP; SRS + scope/WBS; Gantt/baseline; effort-cost budget; RACI/timesheet; quality-test-defect; communication/minutes; risk register; procurement; change log; closure/lessons learned.</v>
      </c>
      <c r="M144" t="str">
        <f>'Huong dan giao do an'!$B$33</f>
        <v>Tuần 1: 07.09–13.09.2026; Tuần 2: 14.09–20.09.2026; Tuần 3: 21.09–27.09.2026; Tuần 4: 28.09–04.10.2026; Tuần 5: 05.10–11.10.2026; Tuần 6: 12.10–18.10.2026; Tuần 7: 19.10–25.10.2026; Tuần 8: 26.10–01.11.2026.</v>
      </c>
      <c r="N1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 s="17" t="str">
        <f t="shared" si="2"/>
        <v>Còn trống</v>
      </c>
    </row>
    <row r="145" spans="1:16" x14ac:dyDescent="0.3">
      <c r="A145">
        <v>144</v>
      </c>
      <c r="B145" t="s">
        <v>255</v>
      </c>
      <c r="C145" t="s">
        <v>370</v>
      </c>
      <c r="D145" t="s">
        <v>371</v>
      </c>
      <c r="E145" t="s">
        <v>45</v>
      </c>
      <c r="F145" t="s">
        <v>273</v>
      </c>
      <c r="G145" t="s">
        <v>274</v>
      </c>
      <c r="H145" t="str">
        <f>'Huong dan giao do an'!$B$14</f>
        <v>5 SV (vai trò chính): 1 PM/Scrum Master kiêm Integration; 2 BA/PO; 3 UI-UX + Frontend; 4 Backend/API + DevOps; 5 Database + QA/Tester. Mỗi SV có nhiệm vụ phụ và minh chứng cá nhân.</v>
      </c>
      <c r="I145" t="s">
        <v>22</v>
      </c>
      <c r="J145" t="s">
        <v>260</v>
      </c>
      <c r="K145" t="str">
        <f>IF(I145="Trung bình",'Huong dan giao do an'!$B$8,IF(I145="Khá",'Huong dan giao do an'!$B$9,'Huong dan giao do an'!$B$10))</f>
        <v>Tối thiểu 4 actor; 10-14 use case; 8-12 bảng; 3 quy trình lõi; phân quyền chi tiết; 2 báo cáo; tích hợp 1 dịch vụ; &gt;=35 test case; CI/CD hoặc deploy cloud.</v>
      </c>
      <c r="L145" t="str">
        <f>'Huong dan giao do an'!$B$31</f>
        <v>Bắt buộc: Charter/PMP; SRS + scope/WBS; Gantt/baseline; effort-cost budget; RACI/timesheet; quality-test-defect; communication/minutes; risk register; procurement; change log; closure/lessons learned.</v>
      </c>
      <c r="M145" t="str">
        <f>'Huong dan giao do an'!$B$33</f>
        <v>Tuần 1: 07.09–13.09.2026; Tuần 2: 14.09–20.09.2026; Tuần 3: 21.09–27.09.2026; Tuần 4: 28.09–04.10.2026; Tuần 5: 05.10–11.10.2026; Tuần 6: 12.10–18.10.2026; Tuần 7: 19.10–25.10.2026; Tuần 8: 26.10–01.11.2026.</v>
      </c>
      <c r="N1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 s="17" t="str">
        <f t="shared" si="2"/>
        <v>Còn trống</v>
      </c>
    </row>
    <row r="146" spans="1:16" x14ac:dyDescent="0.3">
      <c r="A146">
        <v>145</v>
      </c>
      <c r="B146" t="s">
        <v>255</v>
      </c>
      <c r="C146" t="s">
        <v>372</v>
      </c>
      <c r="D146" t="s">
        <v>373</v>
      </c>
      <c r="E146" t="s">
        <v>19</v>
      </c>
      <c r="F146" t="s">
        <v>277</v>
      </c>
      <c r="G146" t="s">
        <v>278</v>
      </c>
      <c r="H146" t="str">
        <f>'Huong dan giao do an'!$B$14</f>
        <v>5 SV (vai trò chính): 1 PM/Scrum Master kiêm Integration; 2 BA/PO; 3 UI-UX + Frontend; 4 Backend/API + DevOps; 5 Database + QA/Tester. Mỗi SV có nhiệm vụ phụ và minh chứng cá nhân.</v>
      </c>
      <c r="I146" t="s">
        <v>29</v>
      </c>
      <c r="J146" t="s">
        <v>265</v>
      </c>
      <c r="K146" t="str">
        <f>IF(I146="Trung bình",'Huong dan giao do an'!$B$8,IF(I146="Khá",'Huong dan giao do an'!$B$9,'Huong dan giao do an'!$B$10))</f>
        <v>Tối thiểu 5 actor; 14-18 use case; 10-15 bảng; 4 quy trình; tích hợp ngoài/realtime hoặc xử lý nâng cao; 3 báo cáo; &gt;=45 test case; logging, backup và deploy.</v>
      </c>
      <c r="L146" t="str">
        <f>'Huong dan giao do an'!$B$31</f>
        <v>Bắt buộc: Charter/PMP; SRS + scope/WBS; Gantt/baseline; effort-cost budget; RACI/timesheet; quality-test-defect; communication/minutes; risk register; procurement; change log; closure/lessons learned.</v>
      </c>
      <c r="M146" t="str">
        <f>'Huong dan giao do an'!$B$33</f>
        <v>Tuần 1: 07.09–13.09.2026; Tuần 2: 14.09–20.09.2026; Tuần 3: 21.09–27.09.2026; Tuần 4: 28.09–04.10.2026; Tuần 5: 05.10–11.10.2026; Tuần 6: 12.10–18.10.2026; Tuần 7: 19.10–25.10.2026; Tuần 8: 26.10–01.11.2026.</v>
      </c>
      <c r="N1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 s="17" t="str">
        <f t="shared" si="2"/>
        <v>Còn trống</v>
      </c>
    </row>
    <row r="147" spans="1:16" x14ac:dyDescent="0.3">
      <c r="A147">
        <v>146</v>
      </c>
      <c r="B147" t="s">
        <v>255</v>
      </c>
      <c r="C147" t="s">
        <v>374</v>
      </c>
      <c r="D147" t="s">
        <v>375</v>
      </c>
      <c r="E147" t="s">
        <v>26</v>
      </c>
      <c r="F147" t="s">
        <v>258</v>
      </c>
      <c r="G147" t="s">
        <v>281</v>
      </c>
      <c r="H147" t="str">
        <f>'Huong dan giao do an'!$B$14</f>
        <v>5 SV (vai trò chính): 1 PM/Scrum Master kiêm Integration; 2 BA/PO; 3 UI-UX + Frontend; 4 Backend/API + DevOps; 5 Database + QA/Tester. Mỗi SV có nhiệm vụ phụ và minh chứng cá nhân.</v>
      </c>
      <c r="I147" t="s">
        <v>36</v>
      </c>
      <c r="J147" t="s">
        <v>270</v>
      </c>
      <c r="K147" t="str">
        <f>IF(I147="Trung bình",'Huong dan giao do an'!$B$8,IF(I147="Khá",'Huong dan giao do an'!$B$9,'Huong dan giao do an'!$B$10))</f>
        <v>Tối thiểu 3 actor; 8-10 use case; 6-8 bảng dữ liệu; 2 quy trình lõi; đăng nhập/RBAC; 1 dashboard; 1 báo cáo; &gt;=25 test case; triển khai bản demo.</v>
      </c>
      <c r="L147" t="str">
        <f>'Huong dan giao do an'!$B$31</f>
        <v>Bắt buộc: Charter/PMP; SRS + scope/WBS; Gantt/baseline; effort-cost budget; RACI/timesheet; quality-test-defect; communication/minutes; risk register; procurement; change log; closure/lessons learned.</v>
      </c>
      <c r="M147" t="str">
        <f>'Huong dan giao do an'!$B$33</f>
        <v>Tuần 1: 07.09–13.09.2026; Tuần 2: 14.09–20.09.2026; Tuần 3: 21.09–27.09.2026; Tuần 4: 28.09–04.10.2026; Tuần 5: 05.10–11.10.2026; Tuần 6: 12.10–18.10.2026; Tuần 7: 19.10–25.10.2026; Tuần 8: 26.10–01.11.2026.</v>
      </c>
      <c r="N1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 s="17" t="str">
        <f t="shared" si="2"/>
        <v>Còn trống</v>
      </c>
    </row>
    <row r="148" spans="1:16" x14ac:dyDescent="0.3">
      <c r="A148">
        <v>147</v>
      </c>
      <c r="B148" t="s">
        <v>255</v>
      </c>
      <c r="C148" t="s">
        <v>376</v>
      </c>
      <c r="D148" t="s">
        <v>377</v>
      </c>
      <c r="E148" t="s">
        <v>33</v>
      </c>
      <c r="F148" t="s">
        <v>263</v>
      </c>
      <c r="G148" t="s">
        <v>284</v>
      </c>
      <c r="H148" t="str">
        <f>'Huong dan giao do an'!$B$14</f>
        <v>5 SV (vai trò chính): 1 PM/Scrum Master kiêm Integration; 2 BA/PO; 3 UI-UX + Frontend; 4 Backend/API + DevOps; 5 Database + QA/Tester. Mỗi SV có nhiệm vụ phụ và minh chứng cá nhân.</v>
      </c>
      <c r="I148" t="s">
        <v>22</v>
      </c>
      <c r="J148" t="s">
        <v>260</v>
      </c>
      <c r="K148" t="str">
        <f>IF(I148="Trung bình",'Huong dan giao do an'!$B$8,IF(I148="Khá",'Huong dan giao do an'!$B$9,'Huong dan giao do an'!$B$10))</f>
        <v>Tối thiểu 4 actor; 10-14 use case; 8-12 bảng; 3 quy trình lõi; phân quyền chi tiết; 2 báo cáo; tích hợp 1 dịch vụ; &gt;=35 test case; CI/CD hoặc deploy cloud.</v>
      </c>
      <c r="L148" t="str">
        <f>'Huong dan giao do an'!$B$31</f>
        <v>Bắt buộc: Charter/PMP; SRS + scope/WBS; Gantt/baseline; effort-cost budget; RACI/timesheet; quality-test-defect; communication/minutes; risk register; procurement; change log; closure/lessons learned.</v>
      </c>
      <c r="M148" t="str">
        <f>'Huong dan giao do an'!$B$33</f>
        <v>Tuần 1: 07.09–13.09.2026; Tuần 2: 14.09–20.09.2026; Tuần 3: 21.09–27.09.2026; Tuần 4: 28.09–04.10.2026; Tuần 5: 05.10–11.10.2026; Tuần 6: 12.10–18.10.2026; Tuần 7: 19.10–25.10.2026; Tuần 8: 26.10–01.11.2026.</v>
      </c>
      <c r="N1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 s="17" t="str">
        <f t="shared" si="2"/>
        <v>Còn trống</v>
      </c>
    </row>
    <row r="149" spans="1:16" x14ac:dyDescent="0.3">
      <c r="A149">
        <v>148</v>
      </c>
      <c r="B149" t="s">
        <v>255</v>
      </c>
      <c r="C149" t="s">
        <v>378</v>
      </c>
      <c r="D149" t="s">
        <v>379</v>
      </c>
      <c r="E149" t="s">
        <v>40</v>
      </c>
      <c r="F149" t="s">
        <v>268</v>
      </c>
      <c r="G149" t="s">
        <v>287</v>
      </c>
      <c r="H149" t="str">
        <f>'Huong dan giao do an'!$B$14</f>
        <v>5 SV (vai trò chính): 1 PM/Scrum Master kiêm Integration; 2 BA/PO; 3 UI-UX + Frontend; 4 Backend/API + DevOps; 5 Database + QA/Tester. Mỗi SV có nhiệm vụ phụ và minh chứng cá nhân.</v>
      </c>
      <c r="I149" t="s">
        <v>29</v>
      </c>
      <c r="J149" t="s">
        <v>265</v>
      </c>
      <c r="K149" t="str">
        <f>IF(I149="Trung bình",'Huong dan giao do an'!$B$8,IF(I149="Khá",'Huong dan giao do an'!$B$9,'Huong dan giao do an'!$B$10))</f>
        <v>Tối thiểu 5 actor; 14-18 use case; 10-15 bảng; 4 quy trình; tích hợp ngoài/realtime hoặc xử lý nâng cao; 3 báo cáo; &gt;=45 test case; logging, backup và deploy.</v>
      </c>
      <c r="L149" t="str">
        <f>'Huong dan giao do an'!$B$31</f>
        <v>Bắt buộc: Charter/PMP; SRS + scope/WBS; Gantt/baseline; effort-cost budget; RACI/timesheet; quality-test-defect; communication/minutes; risk register; procurement; change log; closure/lessons learned.</v>
      </c>
      <c r="M149" t="str">
        <f>'Huong dan giao do an'!$B$33</f>
        <v>Tuần 1: 07.09–13.09.2026; Tuần 2: 14.09–20.09.2026; Tuần 3: 21.09–27.09.2026; Tuần 4: 28.09–04.10.2026; Tuần 5: 05.10–11.10.2026; Tuần 6: 12.10–18.10.2026; Tuần 7: 19.10–25.10.2026; Tuần 8: 26.10–01.11.2026.</v>
      </c>
      <c r="N1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 s="17" t="str">
        <f t="shared" si="2"/>
        <v>Còn trống</v>
      </c>
    </row>
    <row r="150" spans="1:16" x14ac:dyDescent="0.3">
      <c r="A150">
        <v>149</v>
      </c>
      <c r="B150" t="s">
        <v>255</v>
      </c>
      <c r="C150" t="s">
        <v>380</v>
      </c>
      <c r="D150" t="s">
        <v>381</v>
      </c>
      <c r="E150" t="s">
        <v>45</v>
      </c>
      <c r="F150" t="s">
        <v>273</v>
      </c>
      <c r="G150" t="s">
        <v>290</v>
      </c>
      <c r="H150" t="str">
        <f>'Huong dan giao do an'!$B$14</f>
        <v>5 SV (vai trò chính): 1 PM/Scrum Master kiêm Integration; 2 BA/PO; 3 UI-UX + Frontend; 4 Backend/API + DevOps; 5 Database + QA/Tester. Mỗi SV có nhiệm vụ phụ và minh chứng cá nhân.</v>
      </c>
      <c r="I150" t="s">
        <v>36</v>
      </c>
      <c r="J150" t="s">
        <v>270</v>
      </c>
      <c r="K150" t="str">
        <f>IF(I150="Trung bình",'Huong dan giao do an'!$B$8,IF(I150="Khá",'Huong dan giao do an'!$B$9,'Huong dan giao do an'!$B$10))</f>
        <v>Tối thiểu 3 actor; 8-10 use case; 6-8 bảng dữ liệu; 2 quy trình lõi; đăng nhập/RBAC; 1 dashboard; 1 báo cáo; &gt;=25 test case; triển khai bản demo.</v>
      </c>
      <c r="L150" t="str">
        <f>'Huong dan giao do an'!$B$31</f>
        <v>Bắt buộc: Charter/PMP; SRS + scope/WBS; Gantt/baseline; effort-cost budget; RACI/timesheet; quality-test-defect; communication/minutes; risk register; procurement; change log; closure/lessons learned.</v>
      </c>
      <c r="M150" t="str">
        <f>'Huong dan giao do an'!$B$33</f>
        <v>Tuần 1: 07.09–13.09.2026; Tuần 2: 14.09–20.09.2026; Tuần 3: 21.09–27.09.2026; Tuần 4: 28.09–04.10.2026; Tuần 5: 05.10–11.10.2026; Tuần 6: 12.10–18.10.2026; Tuần 7: 19.10–25.10.2026; Tuần 8: 26.10–01.11.2026.</v>
      </c>
      <c r="N1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 s="17" t="str">
        <f t="shared" si="2"/>
        <v>Còn trống</v>
      </c>
    </row>
    <row r="151" spans="1:16" x14ac:dyDescent="0.3">
      <c r="A151">
        <v>150</v>
      </c>
      <c r="B151" t="s">
        <v>255</v>
      </c>
      <c r="C151" t="s">
        <v>382</v>
      </c>
      <c r="D151" t="s">
        <v>383</v>
      </c>
      <c r="E151" t="s">
        <v>19</v>
      </c>
      <c r="F151" t="s">
        <v>277</v>
      </c>
      <c r="G151" t="s">
        <v>293</v>
      </c>
      <c r="H151" t="str">
        <f>'Huong dan giao do an'!$B$14</f>
        <v>5 SV (vai trò chính): 1 PM/Scrum Master kiêm Integration; 2 BA/PO; 3 UI-UX + Frontend; 4 Backend/API + DevOps; 5 Database + QA/Tester. Mỗi SV có nhiệm vụ phụ và minh chứng cá nhân.</v>
      </c>
      <c r="I151" t="s">
        <v>22</v>
      </c>
      <c r="J151" t="s">
        <v>260</v>
      </c>
      <c r="K151" t="str">
        <f>IF(I151="Trung bình",'Huong dan giao do an'!$B$8,IF(I151="Khá",'Huong dan giao do an'!$B$9,'Huong dan giao do an'!$B$10))</f>
        <v>Tối thiểu 4 actor; 10-14 use case; 8-12 bảng; 3 quy trình lõi; phân quyền chi tiết; 2 báo cáo; tích hợp 1 dịch vụ; &gt;=35 test case; CI/CD hoặc deploy cloud.</v>
      </c>
      <c r="L151" t="str">
        <f>'Huong dan giao do an'!$B$31</f>
        <v>Bắt buộc: Charter/PMP; SRS + scope/WBS; Gantt/baseline; effort-cost budget; RACI/timesheet; quality-test-defect; communication/minutes; risk register; procurement; change log; closure/lessons learned.</v>
      </c>
      <c r="M151" t="str">
        <f>'Huong dan giao do an'!$B$33</f>
        <v>Tuần 1: 07.09–13.09.2026; Tuần 2: 14.09–20.09.2026; Tuần 3: 21.09–27.09.2026; Tuần 4: 28.09–04.10.2026; Tuần 5: 05.10–11.10.2026; Tuần 6: 12.10–18.10.2026; Tuần 7: 19.10–25.10.2026; Tuần 8: 26.10–01.11.2026.</v>
      </c>
      <c r="N1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 s="17" t="str">
        <f t="shared" si="2"/>
        <v>Còn trống</v>
      </c>
    </row>
    <row r="152" spans="1:16" x14ac:dyDescent="0.3">
      <c r="A152">
        <v>151</v>
      </c>
      <c r="B152" t="s">
        <v>255</v>
      </c>
      <c r="C152" t="s">
        <v>384</v>
      </c>
      <c r="D152" t="s">
        <v>385</v>
      </c>
      <c r="E152" t="s">
        <v>26</v>
      </c>
      <c r="F152" t="s">
        <v>258</v>
      </c>
      <c r="G152" t="s">
        <v>296</v>
      </c>
      <c r="H152" t="str">
        <f>'Huong dan giao do an'!$B$14</f>
        <v>5 SV (vai trò chính): 1 PM/Scrum Master kiêm Integration; 2 BA/PO; 3 UI-UX + Frontend; 4 Backend/API + DevOps; 5 Database + QA/Tester. Mỗi SV có nhiệm vụ phụ và minh chứng cá nhân.</v>
      </c>
      <c r="I152" t="s">
        <v>29</v>
      </c>
      <c r="J152" t="s">
        <v>265</v>
      </c>
      <c r="K152" t="str">
        <f>IF(I152="Trung bình",'Huong dan giao do an'!$B$8,IF(I152="Khá",'Huong dan giao do an'!$B$9,'Huong dan giao do an'!$B$10))</f>
        <v>Tối thiểu 5 actor; 14-18 use case; 10-15 bảng; 4 quy trình; tích hợp ngoài/realtime hoặc xử lý nâng cao; 3 báo cáo; &gt;=45 test case; logging, backup và deploy.</v>
      </c>
      <c r="L152" t="str">
        <f>'Huong dan giao do an'!$B$31</f>
        <v>Bắt buộc: Charter/PMP; SRS + scope/WBS; Gantt/baseline; effort-cost budget; RACI/timesheet; quality-test-defect; communication/minutes; risk register; procurement; change log; closure/lessons learned.</v>
      </c>
      <c r="M152" t="str">
        <f>'Huong dan giao do an'!$B$33</f>
        <v>Tuần 1: 07.09–13.09.2026; Tuần 2: 14.09–20.09.2026; Tuần 3: 21.09–27.09.2026; Tuần 4: 28.09–04.10.2026; Tuần 5: 05.10–11.10.2026; Tuần 6: 12.10–18.10.2026; Tuần 7: 19.10–25.10.2026; Tuần 8: 26.10–01.11.2026.</v>
      </c>
      <c r="N1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 s="17" t="str">
        <f t="shared" si="2"/>
        <v>Còn trống</v>
      </c>
    </row>
    <row r="153" spans="1:16" x14ac:dyDescent="0.3">
      <c r="A153">
        <v>152</v>
      </c>
      <c r="B153" t="s">
        <v>255</v>
      </c>
      <c r="C153" t="s">
        <v>386</v>
      </c>
      <c r="D153" t="s">
        <v>387</v>
      </c>
      <c r="E153" t="s">
        <v>33</v>
      </c>
      <c r="F153" t="s">
        <v>263</v>
      </c>
      <c r="G153" t="s">
        <v>299</v>
      </c>
      <c r="H153" t="str">
        <f>'Huong dan giao do an'!$B$14</f>
        <v>5 SV (vai trò chính): 1 PM/Scrum Master kiêm Integration; 2 BA/PO; 3 UI-UX + Frontend; 4 Backend/API + DevOps; 5 Database + QA/Tester. Mỗi SV có nhiệm vụ phụ và minh chứng cá nhân.</v>
      </c>
      <c r="I153" t="s">
        <v>36</v>
      </c>
      <c r="J153" t="s">
        <v>270</v>
      </c>
      <c r="K153" t="str">
        <f>IF(I153="Trung bình",'Huong dan giao do an'!$B$8,IF(I153="Khá",'Huong dan giao do an'!$B$9,'Huong dan giao do an'!$B$10))</f>
        <v>Tối thiểu 3 actor; 8-10 use case; 6-8 bảng dữ liệu; 2 quy trình lõi; đăng nhập/RBAC; 1 dashboard; 1 báo cáo; &gt;=25 test case; triển khai bản demo.</v>
      </c>
      <c r="L153" t="str">
        <f>'Huong dan giao do an'!$B$31</f>
        <v>Bắt buộc: Charter/PMP; SRS + scope/WBS; Gantt/baseline; effort-cost budget; RACI/timesheet; quality-test-defect; communication/minutes; risk register; procurement; change log; closure/lessons learned.</v>
      </c>
      <c r="M153" t="str">
        <f>'Huong dan giao do an'!$B$33</f>
        <v>Tuần 1: 07.09–13.09.2026; Tuần 2: 14.09–20.09.2026; Tuần 3: 21.09–27.09.2026; Tuần 4: 28.09–04.10.2026; Tuần 5: 05.10–11.10.2026; Tuần 6: 12.10–18.10.2026; Tuần 7: 19.10–25.10.2026; Tuần 8: 26.10–01.11.2026.</v>
      </c>
      <c r="N1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 s="17" t="str">
        <f t="shared" si="2"/>
        <v>Còn trống</v>
      </c>
    </row>
    <row r="154" spans="1:16" x14ac:dyDescent="0.3">
      <c r="A154">
        <v>153</v>
      </c>
      <c r="B154" t="s">
        <v>255</v>
      </c>
      <c r="C154" t="s">
        <v>388</v>
      </c>
      <c r="D154" t="s">
        <v>389</v>
      </c>
      <c r="E154" t="s">
        <v>40</v>
      </c>
      <c r="F154" t="s">
        <v>268</v>
      </c>
      <c r="G154" t="s">
        <v>302</v>
      </c>
      <c r="H154" t="str">
        <f>'Huong dan giao do an'!$B$14</f>
        <v>5 SV (vai trò chính): 1 PM/Scrum Master kiêm Integration; 2 BA/PO; 3 UI-UX + Frontend; 4 Backend/API + DevOps; 5 Database + QA/Tester. Mỗi SV có nhiệm vụ phụ và minh chứng cá nhân.</v>
      </c>
      <c r="I154" t="s">
        <v>22</v>
      </c>
      <c r="J154" t="s">
        <v>260</v>
      </c>
      <c r="K154" t="str">
        <f>IF(I154="Trung bình",'Huong dan giao do an'!$B$8,IF(I154="Khá",'Huong dan giao do an'!$B$9,'Huong dan giao do an'!$B$10))</f>
        <v>Tối thiểu 4 actor; 10-14 use case; 8-12 bảng; 3 quy trình lõi; phân quyền chi tiết; 2 báo cáo; tích hợp 1 dịch vụ; &gt;=35 test case; CI/CD hoặc deploy cloud.</v>
      </c>
      <c r="L154" t="str">
        <f>'Huong dan giao do an'!$B$31</f>
        <v>Bắt buộc: Charter/PMP; SRS + scope/WBS; Gantt/baseline; effort-cost budget; RACI/timesheet; quality-test-defect; communication/minutes; risk register; procurement; change log; closure/lessons learned.</v>
      </c>
      <c r="M154" t="str">
        <f>'Huong dan giao do an'!$B$33</f>
        <v>Tuần 1: 07.09–13.09.2026; Tuần 2: 14.09–20.09.2026; Tuần 3: 21.09–27.09.2026; Tuần 4: 28.09–04.10.2026; Tuần 5: 05.10–11.10.2026; Tuần 6: 12.10–18.10.2026; Tuần 7: 19.10–25.10.2026; Tuần 8: 26.10–01.11.2026.</v>
      </c>
      <c r="N1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 s="17" t="str">
        <f t="shared" si="2"/>
        <v>Còn trống</v>
      </c>
    </row>
    <row r="155" spans="1:16" x14ac:dyDescent="0.3">
      <c r="A155">
        <v>154</v>
      </c>
      <c r="B155" t="s">
        <v>255</v>
      </c>
      <c r="C155" t="s">
        <v>390</v>
      </c>
      <c r="D155" t="s">
        <v>391</v>
      </c>
      <c r="E155" t="s">
        <v>45</v>
      </c>
      <c r="F155" t="s">
        <v>273</v>
      </c>
      <c r="G155" t="s">
        <v>305</v>
      </c>
      <c r="H155" t="str">
        <f>'Huong dan giao do an'!$B$14</f>
        <v>5 SV (vai trò chính): 1 PM/Scrum Master kiêm Integration; 2 BA/PO; 3 UI-UX + Frontend; 4 Backend/API + DevOps; 5 Database + QA/Tester. Mỗi SV có nhiệm vụ phụ và minh chứng cá nhân.</v>
      </c>
      <c r="I155" t="s">
        <v>29</v>
      </c>
      <c r="J155" t="s">
        <v>265</v>
      </c>
      <c r="K155" t="str">
        <f>IF(I155="Trung bình",'Huong dan giao do an'!$B$8,IF(I155="Khá",'Huong dan giao do an'!$B$9,'Huong dan giao do an'!$B$10))</f>
        <v>Tối thiểu 5 actor; 14-18 use case; 10-15 bảng; 4 quy trình; tích hợp ngoài/realtime hoặc xử lý nâng cao; 3 báo cáo; &gt;=45 test case; logging, backup và deploy.</v>
      </c>
      <c r="L155" t="str">
        <f>'Huong dan giao do an'!$B$31</f>
        <v>Bắt buộc: Charter/PMP; SRS + scope/WBS; Gantt/baseline; effort-cost budget; RACI/timesheet; quality-test-defect; communication/minutes; risk register; procurement; change log; closure/lessons learned.</v>
      </c>
      <c r="M155" t="str">
        <f>'Huong dan giao do an'!$B$33</f>
        <v>Tuần 1: 07.09–13.09.2026; Tuần 2: 14.09–20.09.2026; Tuần 3: 21.09–27.09.2026; Tuần 4: 28.09–04.10.2026; Tuần 5: 05.10–11.10.2026; Tuần 6: 12.10–18.10.2026; Tuần 7: 19.10–25.10.2026; Tuần 8: 26.10–01.11.2026.</v>
      </c>
      <c r="N1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 s="17" t="str">
        <f t="shared" si="2"/>
        <v>Còn trống</v>
      </c>
    </row>
    <row r="156" spans="1:16" x14ac:dyDescent="0.3">
      <c r="A156">
        <v>155</v>
      </c>
      <c r="B156" t="s">
        <v>255</v>
      </c>
      <c r="C156" t="s">
        <v>392</v>
      </c>
      <c r="D156" t="s">
        <v>393</v>
      </c>
      <c r="E156" t="s">
        <v>19</v>
      </c>
      <c r="F156" t="s">
        <v>277</v>
      </c>
      <c r="G156" t="s">
        <v>308</v>
      </c>
      <c r="H156" t="str">
        <f>'Huong dan giao do an'!$B$14</f>
        <v>5 SV (vai trò chính): 1 PM/Scrum Master kiêm Integration; 2 BA/PO; 3 UI-UX + Frontend; 4 Backend/API + DevOps; 5 Database + QA/Tester. Mỗi SV có nhiệm vụ phụ và minh chứng cá nhân.</v>
      </c>
      <c r="I156" t="s">
        <v>36</v>
      </c>
      <c r="J156" t="s">
        <v>270</v>
      </c>
      <c r="K156" t="str">
        <f>IF(I156="Trung bình",'Huong dan giao do an'!$B$8,IF(I156="Khá",'Huong dan giao do an'!$B$9,'Huong dan giao do an'!$B$10))</f>
        <v>Tối thiểu 3 actor; 8-10 use case; 6-8 bảng dữ liệu; 2 quy trình lõi; đăng nhập/RBAC; 1 dashboard; 1 báo cáo; &gt;=25 test case; triển khai bản demo.</v>
      </c>
      <c r="L156" t="str">
        <f>'Huong dan giao do an'!$B$31</f>
        <v>Bắt buộc: Charter/PMP; SRS + scope/WBS; Gantt/baseline; effort-cost budget; RACI/timesheet; quality-test-defect; communication/minutes; risk register; procurement; change log; closure/lessons learned.</v>
      </c>
      <c r="M156" t="str">
        <f>'Huong dan giao do an'!$B$33</f>
        <v>Tuần 1: 07.09–13.09.2026; Tuần 2: 14.09–20.09.2026; Tuần 3: 21.09–27.09.2026; Tuần 4: 28.09–04.10.2026; Tuần 5: 05.10–11.10.2026; Tuần 6: 12.10–18.10.2026; Tuần 7: 19.10–25.10.2026; Tuần 8: 26.10–01.11.2026.</v>
      </c>
      <c r="N1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 s="17" t="str">
        <f t="shared" si="2"/>
        <v>Còn trống</v>
      </c>
    </row>
    <row r="157" spans="1:16" x14ac:dyDescent="0.3">
      <c r="A157">
        <v>156</v>
      </c>
      <c r="B157" t="s">
        <v>255</v>
      </c>
      <c r="C157" t="s">
        <v>394</v>
      </c>
      <c r="D157" t="s">
        <v>395</v>
      </c>
      <c r="E157" t="s">
        <v>26</v>
      </c>
      <c r="F157" t="s">
        <v>258</v>
      </c>
      <c r="G157" t="s">
        <v>311</v>
      </c>
      <c r="H157" t="str">
        <f>'Huong dan giao do an'!$B$14</f>
        <v>5 SV (vai trò chính): 1 PM/Scrum Master kiêm Integration; 2 BA/PO; 3 UI-UX + Frontend; 4 Backend/API + DevOps; 5 Database + QA/Tester. Mỗi SV có nhiệm vụ phụ và minh chứng cá nhân.</v>
      </c>
      <c r="I157" t="s">
        <v>22</v>
      </c>
      <c r="J157" t="s">
        <v>260</v>
      </c>
      <c r="K157" t="str">
        <f>IF(I157="Trung bình",'Huong dan giao do an'!$B$8,IF(I157="Khá",'Huong dan giao do an'!$B$9,'Huong dan giao do an'!$B$10))</f>
        <v>Tối thiểu 4 actor; 10-14 use case; 8-12 bảng; 3 quy trình lõi; phân quyền chi tiết; 2 báo cáo; tích hợp 1 dịch vụ; &gt;=35 test case; CI/CD hoặc deploy cloud.</v>
      </c>
      <c r="L157" t="str">
        <f>'Huong dan giao do an'!$B$31</f>
        <v>Bắt buộc: Charter/PMP; SRS + scope/WBS; Gantt/baseline; effort-cost budget; RACI/timesheet; quality-test-defect; communication/minutes; risk register; procurement; change log; closure/lessons learned.</v>
      </c>
      <c r="M157" t="str">
        <f>'Huong dan giao do an'!$B$33</f>
        <v>Tuần 1: 07.09–13.09.2026; Tuần 2: 14.09–20.09.2026; Tuần 3: 21.09–27.09.2026; Tuần 4: 28.09–04.10.2026; Tuần 5: 05.10–11.10.2026; Tuần 6: 12.10–18.10.2026; Tuần 7: 19.10–25.10.2026; Tuần 8: 26.10–01.11.2026.</v>
      </c>
      <c r="N1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 s="17" t="str">
        <f t="shared" si="2"/>
        <v>Còn trống</v>
      </c>
    </row>
    <row r="158" spans="1:16" x14ac:dyDescent="0.3">
      <c r="A158">
        <v>157</v>
      </c>
      <c r="B158" t="s">
        <v>255</v>
      </c>
      <c r="C158" t="s">
        <v>396</v>
      </c>
      <c r="D158" t="s">
        <v>397</v>
      </c>
      <c r="E158" t="s">
        <v>33</v>
      </c>
      <c r="F158" t="s">
        <v>263</v>
      </c>
      <c r="G158" t="s">
        <v>314</v>
      </c>
      <c r="H158" t="str">
        <f>'Huong dan giao do an'!$B$14</f>
        <v>5 SV (vai trò chính): 1 PM/Scrum Master kiêm Integration; 2 BA/PO; 3 UI-UX + Frontend; 4 Backend/API + DevOps; 5 Database + QA/Tester. Mỗi SV có nhiệm vụ phụ và minh chứng cá nhân.</v>
      </c>
      <c r="I158" t="s">
        <v>29</v>
      </c>
      <c r="J158" t="s">
        <v>265</v>
      </c>
      <c r="K158" t="str">
        <f>IF(I158="Trung bình",'Huong dan giao do an'!$B$8,IF(I158="Khá",'Huong dan giao do an'!$B$9,'Huong dan giao do an'!$B$10))</f>
        <v>Tối thiểu 5 actor; 14-18 use case; 10-15 bảng; 4 quy trình; tích hợp ngoài/realtime hoặc xử lý nâng cao; 3 báo cáo; &gt;=45 test case; logging, backup và deploy.</v>
      </c>
      <c r="L158" t="str">
        <f>'Huong dan giao do an'!$B$31</f>
        <v>Bắt buộc: Charter/PMP; SRS + scope/WBS; Gantt/baseline; effort-cost budget; RACI/timesheet; quality-test-defect; communication/minutes; risk register; procurement; change log; closure/lessons learned.</v>
      </c>
      <c r="M158" t="str">
        <f>'Huong dan giao do an'!$B$33</f>
        <v>Tuần 1: 07.09–13.09.2026; Tuần 2: 14.09–20.09.2026; Tuần 3: 21.09–27.09.2026; Tuần 4: 28.09–04.10.2026; Tuần 5: 05.10–11.10.2026; Tuần 6: 12.10–18.10.2026; Tuần 7: 19.10–25.10.2026; Tuần 8: 26.10–01.11.2026.</v>
      </c>
      <c r="N1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 s="17" t="str">
        <f t="shared" si="2"/>
        <v>Còn trống</v>
      </c>
    </row>
    <row r="159" spans="1:16" x14ac:dyDescent="0.3">
      <c r="A159">
        <v>158</v>
      </c>
      <c r="B159" t="s">
        <v>255</v>
      </c>
      <c r="C159" t="s">
        <v>398</v>
      </c>
      <c r="D159" t="s">
        <v>399</v>
      </c>
      <c r="E159" t="s">
        <v>40</v>
      </c>
      <c r="F159" t="s">
        <v>268</v>
      </c>
      <c r="G159" t="s">
        <v>317</v>
      </c>
      <c r="H159" t="str">
        <f>'Huong dan giao do an'!$B$14</f>
        <v>5 SV (vai trò chính): 1 PM/Scrum Master kiêm Integration; 2 BA/PO; 3 UI-UX + Frontend; 4 Backend/API + DevOps; 5 Database + QA/Tester. Mỗi SV có nhiệm vụ phụ và minh chứng cá nhân.</v>
      </c>
      <c r="I159" t="s">
        <v>36</v>
      </c>
      <c r="J159" t="s">
        <v>270</v>
      </c>
      <c r="K159" t="str">
        <f>IF(I159="Trung bình",'Huong dan giao do an'!$B$8,IF(I159="Khá",'Huong dan giao do an'!$B$9,'Huong dan giao do an'!$B$10))</f>
        <v>Tối thiểu 3 actor; 8-10 use case; 6-8 bảng dữ liệu; 2 quy trình lõi; đăng nhập/RBAC; 1 dashboard; 1 báo cáo; &gt;=25 test case; triển khai bản demo.</v>
      </c>
      <c r="L159" t="str">
        <f>'Huong dan giao do an'!$B$31</f>
        <v>Bắt buộc: Charter/PMP; SRS + scope/WBS; Gantt/baseline; effort-cost budget; RACI/timesheet; quality-test-defect; communication/minutes; risk register; procurement; change log; closure/lessons learned.</v>
      </c>
      <c r="M159" t="str">
        <f>'Huong dan giao do an'!$B$33</f>
        <v>Tuần 1: 07.09–13.09.2026; Tuần 2: 14.09–20.09.2026; Tuần 3: 21.09–27.09.2026; Tuần 4: 28.09–04.10.2026; Tuần 5: 05.10–11.10.2026; Tuần 6: 12.10–18.10.2026; Tuần 7: 19.10–25.10.2026; Tuần 8: 26.10–01.11.2026.</v>
      </c>
      <c r="N1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 s="17" t="str">
        <f t="shared" si="2"/>
        <v>Còn trống</v>
      </c>
    </row>
    <row r="160" spans="1:16" x14ac:dyDescent="0.3">
      <c r="A160">
        <v>159</v>
      </c>
      <c r="B160" t="s">
        <v>255</v>
      </c>
      <c r="C160" t="s">
        <v>400</v>
      </c>
      <c r="D160" t="s">
        <v>401</v>
      </c>
      <c r="E160" t="s">
        <v>45</v>
      </c>
      <c r="F160" t="s">
        <v>273</v>
      </c>
      <c r="G160" t="s">
        <v>320</v>
      </c>
      <c r="H160" t="str">
        <f>'Huong dan giao do an'!$B$14</f>
        <v>5 SV (vai trò chính): 1 PM/Scrum Master kiêm Integration; 2 BA/PO; 3 UI-UX + Frontend; 4 Backend/API + DevOps; 5 Database + QA/Tester. Mỗi SV có nhiệm vụ phụ và minh chứng cá nhân.</v>
      </c>
      <c r="I160" t="s">
        <v>22</v>
      </c>
      <c r="J160" t="s">
        <v>260</v>
      </c>
      <c r="K160" t="str">
        <f>IF(I160="Trung bình",'Huong dan giao do an'!$B$8,IF(I160="Khá",'Huong dan giao do an'!$B$9,'Huong dan giao do an'!$B$10))</f>
        <v>Tối thiểu 4 actor; 10-14 use case; 8-12 bảng; 3 quy trình lõi; phân quyền chi tiết; 2 báo cáo; tích hợp 1 dịch vụ; &gt;=35 test case; CI/CD hoặc deploy cloud.</v>
      </c>
      <c r="L160" t="str">
        <f>'Huong dan giao do an'!$B$31</f>
        <v>Bắt buộc: Charter/PMP; SRS + scope/WBS; Gantt/baseline; effort-cost budget; RACI/timesheet; quality-test-defect; communication/minutes; risk register; procurement; change log; closure/lessons learned.</v>
      </c>
      <c r="M160" t="str">
        <f>'Huong dan giao do an'!$B$33</f>
        <v>Tuần 1: 07.09–13.09.2026; Tuần 2: 14.09–20.09.2026; Tuần 3: 21.09–27.09.2026; Tuần 4: 28.09–04.10.2026; Tuần 5: 05.10–11.10.2026; Tuần 6: 12.10–18.10.2026; Tuần 7: 19.10–25.10.2026; Tuần 8: 26.10–01.11.2026.</v>
      </c>
      <c r="N1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 s="17" t="str">
        <f t="shared" si="2"/>
        <v>Còn trống</v>
      </c>
    </row>
    <row r="161" spans="1:16" x14ac:dyDescent="0.3">
      <c r="A161">
        <v>160</v>
      </c>
      <c r="B161" t="s">
        <v>255</v>
      </c>
      <c r="C161" t="s">
        <v>402</v>
      </c>
      <c r="D161" t="s">
        <v>403</v>
      </c>
      <c r="E161" t="s">
        <v>19</v>
      </c>
      <c r="F161" t="s">
        <v>277</v>
      </c>
      <c r="G161" t="s">
        <v>323</v>
      </c>
      <c r="H161" t="str">
        <f>'Huong dan giao do an'!$B$14</f>
        <v>5 SV (vai trò chính): 1 PM/Scrum Master kiêm Integration; 2 BA/PO; 3 UI-UX + Frontend; 4 Backend/API + DevOps; 5 Database + QA/Tester. Mỗi SV có nhiệm vụ phụ và minh chứng cá nhân.</v>
      </c>
      <c r="I161" t="s">
        <v>29</v>
      </c>
      <c r="J161" t="s">
        <v>265</v>
      </c>
      <c r="K161" t="str">
        <f>IF(I161="Trung bình",'Huong dan giao do an'!$B$8,IF(I161="Khá",'Huong dan giao do an'!$B$9,'Huong dan giao do an'!$B$10))</f>
        <v>Tối thiểu 5 actor; 14-18 use case; 10-15 bảng; 4 quy trình; tích hợp ngoài/realtime hoặc xử lý nâng cao; 3 báo cáo; &gt;=45 test case; logging, backup và deploy.</v>
      </c>
      <c r="L161" t="str">
        <f>'Huong dan giao do an'!$B$31</f>
        <v>Bắt buộc: Charter/PMP; SRS + scope/WBS; Gantt/baseline; effort-cost budget; RACI/timesheet; quality-test-defect; communication/minutes; risk register; procurement; change log; closure/lessons learned.</v>
      </c>
      <c r="M161" t="str">
        <f>'Huong dan giao do an'!$B$33</f>
        <v>Tuần 1: 07.09–13.09.2026; Tuần 2: 14.09–20.09.2026; Tuần 3: 21.09–27.09.2026; Tuần 4: 28.09–04.10.2026; Tuần 5: 05.10–11.10.2026; Tuần 6: 12.10–18.10.2026; Tuần 7: 19.10–25.10.2026; Tuần 8: 26.10–01.11.2026.</v>
      </c>
      <c r="N1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 s="17" t="str">
        <f t="shared" si="2"/>
        <v>Còn trống</v>
      </c>
    </row>
    <row r="162" spans="1:16" x14ac:dyDescent="0.3">
      <c r="A162">
        <v>161</v>
      </c>
      <c r="B162" t="s">
        <v>255</v>
      </c>
      <c r="C162" t="s">
        <v>404</v>
      </c>
      <c r="D162" t="s">
        <v>405</v>
      </c>
      <c r="E162" t="s">
        <v>26</v>
      </c>
      <c r="F162" t="s">
        <v>258</v>
      </c>
      <c r="G162" t="s">
        <v>259</v>
      </c>
      <c r="H162" t="str">
        <f>'Huong dan giao do an'!$B$14</f>
        <v>5 SV (vai trò chính): 1 PM/Scrum Master kiêm Integration; 2 BA/PO; 3 UI-UX + Frontend; 4 Backend/API + DevOps; 5 Database + QA/Tester. Mỗi SV có nhiệm vụ phụ và minh chứng cá nhân.</v>
      </c>
      <c r="I162" t="s">
        <v>22</v>
      </c>
      <c r="J162" t="s">
        <v>260</v>
      </c>
      <c r="K162" t="str">
        <f>IF(I162="Trung bình",'Huong dan giao do an'!$B$8,IF(I162="Khá",'Huong dan giao do an'!$B$9,'Huong dan giao do an'!$B$10))</f>
        <v>Tối thiểu 4 actor; 10-14 use case; 8-12 bảng; 3 quy trình lõi; phân quyền chi tiết; 2 báo cáo; tích hợp 1 dịch vụ; &gt;=35 test case; CI/CD hoặc deploy cloud.</v>
      </c>
      <c r="L162" t="str">
        <f>'Huong dan giao do an'!$B$31</f>
        <v>Bắt buộc: Charter/PMP; SRS + scope/WBS; Gantt/baseline; effort-cost budget; RACI/timesheet; quality-test-defect; communication/minutes; risk register; procurement; change log; closure/lessons learned.</v>
      </c>
      <c r="M162" t="str">
        <f>'Huong dan giao do an'!$B$33</f>
        <v>Tuần 1: 07.09–13.09.2026; Tuần 2: 14.09–20.09.2026; Tuần 3: 21.09–27.09.2026; Tuần 4: 28.09–04.10.2026; Tuần 5: 05.10–11.10.2026; Tuần 6: 12.10–18.10.2026; Tuần 7: 19.10–25.10.2026; Tuần 8: 26.10–01.11.2026.</v>
      </c>
      <c r="N1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 s="17" t="str">
        <f t="shared" si="2"/>
        <v>Còn trống</v>
      </c>
    </row>
    <row r="163" spans="1:16" x14ac:dyDescent="0.3">
      <c r="A163">
        <v>162</v>
      </c>
      <c r="B163" t="s">
        <v>255</v>
      </c>
      <c r="C163" t="s">
        <v>406</v>
      </c>
      <c r="D163" t="s">
        <v>407</v>
      </c>
      <c r="E163" t="s">
        <v>33</v>
      </c>
      <c r="F163" t="s">
        <v>263</v>
      </c>
      <c r="G163" t="s">
        <v>264</v>
      </c>
      <c r="H163" t="str">
        <f>'Huong dan giao do an'!$B$14</f>
        <v>5 SV (vai trò chính): 1 PM/Scrum Master kiêm Integration; 2 BA/PO; 3 UI-UX + Frontend; 4 Backend/API + DevOps; 5 Database + QA/Tester. Mỗi SV có nhiệm vụ phụ và minh chứng cá nhân.</v>
      </c>
      <c r="I163" t="s">
        <v>29</v>
      </c>
      <c r="J163" t="s">
        <v>265</v>
      </c>
      <c r="K163" t="str">
        <f>IF(I163="Trung bình",'Huong dan giao do an'!$B$8,IF(I163="Khá",'Huong dan giao do an'!$B$9,'Huong dan giao do an'!$B$10))</f>
        <v>Tối thiểu 5 actor; 14-18 use case; 10-15 bảng; 4 quy trình; tích hợp ngoài/realtime hoặc xử lý nâng cao; 3 báo cáo; &gt;=45 test case; logging, backup và deploy.</v>
      </c>
      <c r="L163" t="str">
        <f>'Huong dan giao do an'!$B$31</f>
        <v>Bắt buộc: Charter/PMP; SRS + scope/WBS; Gantt/baseline; effort-cost budget; RACI/timesheet; quality-test-defect; communication/minutes; risk register; procurement; change log; closure/lessons learned.</v>
      </c>
      <c r="M163" t="str">
        <f>'Huong dan giao do an'!$B$33</f>
        <v>Tuần 1: 07.09–13.09.2026; Tuần 2: 14.09–20.09.2026; Tuần 3: 21.09–27.09.2026; Tuần 4: 28.09–04.10.2026; Tuần 5: 05.10–11.10.2026; Tuần 6: 12.10–18.10.2026; Tuần 7: 19.10–25.10.2026; Tuần 8: 26.10–01.11.2026.</v>
      </c>
      <c r="N1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 s="17" t="str">
        <f t="shared" si="2"/>
        <v>Còn trống</v>
      </c>
    </row>
    <row r="164" spans="1:16" x14ac:dyDescent="0.3">
      <c r="A164">
        <v>163</v>
      </c>
      <c r="B164" t="s">
        <v>255</v>
      </c>
      <c r="C164" t="s">
        <v>408</v>
      </c>
      <c r="D164" t="s">
        <v>409</v>
      </c>
      <c r="E164" t="s">
        <v>40</v>
      </c>
      <c r="F164" t="s">
        <v>268</v>
      </c>
      <c r="G164" t="s">
        <v>269</v>
      </c>
      <c r="H164" t="str">
        <f>'Huong dan giao do an'!$B$14</f>
        <v>5 SV (vai trò chính): 1 PM/Scrum Master kiêm Integration; 2 BA/PO; 3 UI-UX + Frontend; 4 Backend/API + DevOps; 5 Database + QA/Tester. Mỗi SV có nhiệm vụ phụ và minh chứng cá nhân.</v>
      </c>
      <c r="I164" t="s">
        <v>36</v>
      </c>
      <c r="J164" t="s">
        <v>270</v>
      </c>
      <c r="K164" t="str">
        <f>IF(I164="Trung bình",'Huong dan giao do an'!$B$8,IF(I164="Khá",'Huong dan giao do an'!$B$9,'Huong dan giao do an'!$B$10))</f>
        <v>Tối thiểu 3 actor; 8-10 use case; 6-8 bảng dữ liệu; 2 quy trình lõi; đăng nhập/RBAC; 1 dashboard; 1 báo cáo; &gt;=25 test case; triển khai bản demo.</v>
      </c>
      <c r="L164" t="str">
        <f>'Huong dan giao do an'!$B$31</f>
        <v>Bắt buộc: Charter/PMP; SRS + scope/WBS; Gantt/baseline; effort-cost budget; RACI/timesheet; quality-test-defect; communication/minutes; risk register; procurement; change log; closure/lessons learned.</v>
      </c>
      <c r="M164" t="str">
        <f>'Huong dan giao do an'!$B$33</f>
        <v>Tuần 1: 07.09–13.09.2026; Tuần 2: 14.09–20.09.2026; Tuần 3: 21.09–27.09.2026; Tuần 4: 28.09–04.10.2026; Tuần 5: 05.10–11.10.2026; Tuần 6: 12.10–18.10.2026; Tuần 7: 19.10–25.10.2026; Tuần 8: 26.10–01.11.2026.</v>
      </c>
      <c r="N1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 s="17" t="str">
        <f t="shared" si="2"/>
        <v>Còn trống</v>
      </c>
    </row>
    <row r="165" spans="1:16" x14ac:dyDescent="0.3">
      <c r="A165">
        <v>164</v>
      </c>
      <c r="B165" t="s">
        <v>255</v>
      </c>
      <c r="C165" t="s">
        <v>410</v>
      </c>
      <c r="D165" t="s">
        <v>411</v>
      </c>
      <c r="E165" t="s">
        <v>45</v>
      </c>
      <c r="F165" t="s">
        <v>273</v>
      </c>
      <c r="G165" t="s">
        <v>274</v>
      </c>
      <c r="H165" t="str">
        <f>'Huong dan giao do an'!$B$14</f>
        <v>5 SV (vai trò chính): 1 PM/Scrum Master kiêm Integration; 2 BA/PO; 3 UI-UX + Frontend; 4 Backend/API + DevOps; 5 Database + QA/Tester. Mỗi SV có nhiệm vụ phụ và minh chứng cá nhân.</v>
      </c>
      <c r="I165" t="s">
        <v>22</v>
      </c>
      <c r="J165" t="s">
        <v>260</v>
      </c>
      <c r="K165" t="str">
        <f>IF(I165="Trung bình",'Huong dan giao do an'!$B$8,IF(I165="Khá",'Huong dan giao do an'!$B$9,'Huong dan giao do an'!$B$10))</f>
        <v>Tối thiểu 4 actor; 10-14 use case; 8-12 bảng; 3 quy trình lõi; phân quyền chi tiết; 2 báo cáo; tích hợp 1 dịch vụ; &gt;=35 test case; CI/CD hoặc deploy cloud.</v>
      </c>
      <c r="L165" t="str">
        <f>'Huong dan giao do an'!$B$31</f>
        <v>Bắt buộc: Charter/PMP; SRS + scope/WBS; Gantt/baseline; effort-cost budget; RACI/timesheet; quality-test-defect; communication/minutes; risk register; procurement; change log; closure/lessons learned.</v>
      </c>
      <c r="M165" t="str">
        <f>'Huong dan giao do an'!$B$33</f>
        <v>Tuần 1: 07.09–13.09.2026; Tuần 2: 14.09–20.09.2026; Tuần 3: 21.09–27.09.2026; Tuần 4: 28.09–04.10.2026; Tuần 5: 05.10–11.10.2026; Tuần 6: 12.10–18.10.2026; Tuần 7: 19.10–25.10.2026; Tuần 8: 26.10–01.11.2026.</v>
      </c>
      <c r="N1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 s="17" t="str">
        <f t="shared" si="2"/>
        <v>Còn trống</v>
      </c>
    </row>
    <row r="166" spans="1:16" x14ac:dyDescent="0.3">
      <c r="A166">
        <v>165</v>
      </c>
      <c r="B166" t="s">
        <v>255</v>
      </c>
      <c r="C166" t="s">
        <v>412</v>
      </c>
      <c r="D166" t="s">
        <v>413</v>
      </c>
      <c r="E166" t="s">
        <v>19</v>
      </c>
      <c r="F166" t="s">
        <v>277</v>
      </c>
      <c r="G166" t="s">
        <v>278</v>
      </c>
      <c r="H166" t="str">
        <f>'Huong dan giao do an'!$B$14</f>
        <v>5 SV (vai trò chính): 1 PM/Scrum Master kiêm Integration; 2 BA/PO; 3 UI-UX + Frontend; 4 Backend/API + DevOps; 5 Database + QA/Tester. Mỗi SV có nhiệm vụ phụ và minh chứng cá nhân.</v>
      </c>
      <c r="I166" t="s">
        <v>29</v>
      </c>
      <c r="J166" t="s">
        <v>265</v>
      </c>
      <c r="K166" t="str">
        <f>IF(I166="Trung bình",'Huong dan giao do an'!$B$8,IF(I166="Khá",'Huong dan giao do an'!$B$9,'Huong dan giao do an'!$B$10))</f>
        <v>Tối thiểu 5 actor; 14-18 use case; 10-15 bảng; 4 quy trình; tích hợp ngoài/realtime hoặc xử lý nâng cao; 3 báo cáo; &gt;=45 test case; logging, backup và deploy.</v>
      </c>
      <c r="L166" t="str">
        <f>'Huong dan giao do an'!$B$31</f>
        <v>Bắt buộc: Charter/PMP; SRS + scope/WBS; Gantt/baseline; effort-cost budget; RACI/timesheet; quality-test-defect; communication/minutes; risk register; procurement; change log; closure/lessons learned.</v>
      </c>
      <c r="M166" t="str">
        <f>'Huong dan giao do an'!$B$33</f>
        <v>Tuần 1: 07.09–13.09.2026; Tuần 2: 14.09–20.09.2026; Tuần 3: 21.09–27.09.2026; Tuần 4: 28.09–04.10.2026; Tuần 5: 05.10–11.10.2026; Tuần 6: 12.10–18.10.2026; Tuần 7: 19.10–25.10.2026; Tuần 8: 26.10–01.11.2026.</v>
      </c>
      <c r="N1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 s="17" t="str">
        <f t="shared" si="2"/>
        <v>Còn trống</v>
      </c>
    </row>
    <row r="167" spans="1:16" x14ac:dyDescent="0.3">
      <c r="A167">
        <v>166</v>
      </c>
      <c r="B167" t="s">
        <v>255</v>
      </c>
      <c r="C167" t="s">
        <v>414</v>
      </c>
      <c r="D167" t="s">
        <v>415</v>
      </c>
      <c r="E167" t="s">
        <v>26</v>
      </c>
      <c r="F167" t="s">
        <v>258</v>
      </c>
      <c r="G167" t="s">
        <v>281</v>
      </c>
      <c r="H167" t="str">
        <f>'Huong dan giao do an'!$B$14</f>
        <v>5 SV (vai trò chính): 1 PM/Scrum Master kiêm Integration; 2 BA/PO; 3 UI-UX + Frontend; 4 Backend/API + DevOps; 5 Database + QA/Tester. Mỗi SV có nhiệm vụ phụ và minh chứng cá nhân.</v>
      </c>
      <c r="I167" t="s">
        <v>36</v>
      </c>
      <c r="J167" t="s">
        <v>270</v>
      </c>
      <c r="K167" t="str">
        <f>IF(I167="Trung bình",'Huong dan giao do an'!$B$8,IF(I167="Khá",'Huong dan giao do an'!$B$9,'Huong dan giao do an'!$B$10))</f>
        <v>Tối thiểu 3 actor; 8-10 use case; 6-8 bảng dữ liệu; 2 quy trình lõi; đăng nhập/RBAC; 1 dashboard; 1 báo cáo; &gt;=25 test case; triển khai bản demo.</v>
      </c>
      <c r="L167" t="str">
        <f>'Huong dan giao do an'!$B$31</f>
        <v>Bắt buộc: Charter/PMP; SRS + scope/WBS; Gantt/baseline; effort-cost budget; RACI/timesheet; quality-test-defect; communication/minutes; risk register; procurement; change log; closure/lessons learned.</v>
      </c>
      <c r="M167" t="str">
        <f>'Huong dan giao do an'!$B$33</f>
        <v>Tuần 1: 07.09–13.09.2026; Tuần 2: 14.09–20.09.2026; Tuần 3: 21.09–27.09.2026; Tuần 4: 28.09–04.10.2026; Tuần 5: 05.10–11.10.2026; Tuần 6: 12.10–18.10.2026; Tuần 7: 19.10–25.10.2026; Tuần 8: 26.10–01.11.2026.</v>
      </c>
      <c r="N1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 s="17" t="str">
        <f t="shared" si="2"/>
        <v>Còn trống</v>
      </c>
    </row>
    <row r="168" spans="1:16" x14ac:dyDescent="0.3">
      <c r="A168">
        <v>167</v>
      </c>
      <c r="B168" t="s">
        <v>255</v>
      </c>
      <c r="C168" t="s">
        <v>416</v>
      </c>
      <c r="D168" t="s">
        <v>417</v>
      </c>
      <c r="E168" t="s">
        <v>33</v>
      </c>
      <c r="F168" t="s">
        <v>263</v>
      </c>
      <c r="G168" t="s">
        <v>284</v>
      </c>
      <c r="H168" t="str">
        <f>'Huong dan giao do an'!$B$14</f>
        <v>5 SV (vai trò chính): 1 PM/Scrum Master kiêm Integration; 2 BA/PO; 3 UI-UX + Frontend; 4 Backend/API + DevOps; 5 Database + QA/Tester. Mỗi SV có nhiệm vụ phụ và minh chứng cá nhân.</v>
      </c>
      <c r="I168" t="s">
        <v>22</v>
      </c>
      <c r="J168" t="s">
        <v>260</v>
      </c>
      <c r="K168" t="str">
        <f>IF(I168="Trung bình",'Huong dan giao do an'!$B$8,IF(I168="Khá",'Huong dan giao do an'!$B$9,'Huong dan giao do an'!$B$10))</f>
        <v>Tối thiểu 4 actor; 10-14 use case; 8-12 bảng; 3 quy trình lõi; phân quyền chi tiết; 2 báo cáo; tích hợp 1 dịch vụ; &gt;=35 test case; CI/CD hoặc deploy cloud.</v>
      </c>
      <c r="L168" t="str">
        <f>'Huong dan giao do an'!$B$31</f>
        <v>Bắt buộc: Charter/PMP; SRS + scope/WBS; Gantt/baseline; effort-cost budget; RACI/timesheet; quality-test-defect; communication/minutes; risk register; procurement; change log; closure/lessons learned.</v>
      </c>
      <c r="M168" t="str">
        <f>'Huong dan giao do an'!$B$33</f>
        <v>Tuần 1: 07.09–13.09.2026; Tuần 2: 14.09–20.09.2026; Tuần 3: 21.09–27.09.2026; Tuần 4: 28.09–04.10.2026; Tuần 5: 05.10–11.10.2026; Tuần 6: 12.10–18.10.2026; Tuần 7: 19.10–25.10.2026; Tuần 8: 26.10–01.11.2026.</v>
      </c>
      <c r="N1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 s="17" t="str">
        <f t="shared" si="2"/>
        <v>Còn trống</v>
      </c>
    </row>
    <row r="169" spans="1:16" x14ac:dyDescent="0.3">
      <c r="A169">
        <v>168</v>
      </c>
      <c r="B169" t="s">
        <v>255</v>
      </c>
      <c r="C169" t="s">
        <v>418</v>
      </c>
      <c r="D169" t="s">
        <v>419</v>
      </c>
      <c r="E169" t="s">
        <v>40</v>
      </c>
      <c r="F169" t="s">
        <v>268</v>
      </c>
      <c r="G169" t="s">
        <v>287</v>
      </c>
      <c r="H169" t="str">
        <f>'Huong dan giao do an'!$B$14</f>
        <v>5 SV (vai trò chính): 1 PM/Scrum Master kiêm Integration; 2 BA/PO; 3 UI-UX + Frontend; 4 Backend/API + DevOps; 5 Database + QA/Tester. Mỗi SV có nhiệm vụ phụ và minh chứng cá nhân.</v>
      </c>
      <c r="I169" t="s">
        <v>29</v>
      </c>
      <c r="J169" t="s">
        <v>265</v>
      </c>
      <c r="K169" t="str">
        <f>IF(I169="Trung bình",'Huong dan giao do an'!$B$8,IF(I169="Khá",'Huong dan giao do an'!$B$9,'Huong dan giao do an'!$B$10))</f>
        <v>Tối thiểu 5 actor; 14-18 use case; 10-15 bảng; 4 quy trình; tích hợp ngoài/realtime hoặc xử lý nâng cao; 3 báo cáo; &gt;=45 test case; logging, backup và deploy.</v>
      </c>
      <c r="L169" t="str">
        <f>'Huong dan giao do an'!$B$31</f>
        <v>Bắt buộc: Charter/PMP; SRS + scope/WBS; Gantt/baseline; effort-cost budget; RACI/timesheet; quality-test-defect; communication/minutes; risk register; procurement; change log; closure/lessons learned.</v>
      </c>
      <c r="M169" t="str">
        <f>'Huong dan giao do an'!$B$33</f>
        <v>Tuần 1: 07.09–13.09.2026; Tuần 2: 14.09–20.09.2026; Tuần 3: 21.09–27.09.2026; Tuần 4: 28.09–04.10.2026; Tuần 5: 05.10–11.10.2026; Tuần 6: 12.10–18.10.2026; Tuần 7: 19.10–25.10.2026; Tuần 8: 26.10–01.11.2026.</v>
      </c>
      <c r="N1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 s="17" t="str">
        <f t="shared" si="2"/>
        <v>Còn trống</v>
      </c>
    </row>
    <row r="170" spans="1:16" x14ac:dyDescent="0.3">
      <c r="A170">
        <v>169</v>
      </c>
      <c r="B170" t="s">
        <v>255</v>
      </c>
      <c r="C170" t="s">
        <v>420</v>
      </c>
      <c r="D170" t="s">
        <v>421</v>
      </c>
      <c r="E170" t="s">
        <v>45</v>
      </c>
      <c r="F170" t="s">
        <v>273</v>
      </c>
      <c r="G170" t="s">
        <v>290</v>
      </c>
      <c r="H170" t="str">
        <f>'Huong dan giao do an'!$B$14</f>
        <v>5 SV (vai trò chính): 1 PM/Scrum Master kiêm Integration; 2 BA/PO; 3 UI-UX + Frontend; 4 Backend/API + DevOps; 5 Database + QA/Tester. Mỗi SV có nhiệm vụ phụ và minh chứng cá nhân.</v>
      </c>
      <c r="I170" t="s">
        <v>36</v>
      </c>
      <c r="J170" t="s">
        <v>270</v>
      </c>
      <c r="K170" t="str">
        <f>IF(I170="Trung bình",'Huong dan giao do an'!$B$8,IF(I170="Khá",'Huong dan giao do an'!$B$9,'Huong dan giao do an'!$B$10))</f>
        <v>Tối thiểu 3 actor; 8-10 use case; 6-8 bảng dữ liệu; 2 quy trình lõi; đăng nhập/RBAC; 1 dashboard; 1 báo cáo; &gt;=25 test case; triển khai bản demo.</v>
      </c>
      <c r="L170" t="str">
        <f>'Huong dan giao do an'!$B$31</f>
        <v>Bắt buộc: Charter/PMP; SRS + scope/WBS; Gantt/baseline; effort-cost budget; RACI/timesheet; quality-test-defect; communication/minutes; risk register; procurement; change log; closure/lessons learned.</v>
      </c>
      <c r="M170" t="str">
        <f>'Huong dan giao do an'!$B$33</f>
        <v>Tuần 1: 07.09–13.09.2026; Tuần 2: 14.09–20.09.2026; Tuần 3: 21.09–27.09.2026; Tuần 4: 28.09–04.10.2026; Tuần 5: 05.10–11.10.2026; Tuần 6: 12.10–18.10.2026; Tuần 7: 19.10–25.10.2026; Tuần 8: 26.10–01.11.2026.</v>
      </c>
      <c r="N1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 s="17" t="str">
        <f t="shared" si="2"/>
        <v>Còn trống</v>
      </c>
    </row>
    <row r="171" spans="1:16" x14ac:dyDescent="0.3">
      <c r="A171">
        <v>170</v>
      </c>
      <c r="B171" t="s">
        <v>255</v>
      </c>
      <c r="C171" t="s">
        <v>422</v>
      </c>
      <c r="D171" t="s">
        <v>423</v>
      </c>
      <c r="E171" t="s">
        <v>19</v>
      </c>
      <c r="F171" t="s">
        <v>277</v>
      </c>
      <c r="G171" t="s">
        <v>293</v>
      </c>
      <c r="H171" t="str">
        <f>'Huong dan giao do an'!$B$14</f>
        <v>5 SV (vai trò chính): 1 PM/Scrum Master kiêm Integration; 2 BA/PO; 3 UI-UX + Frontend; 4 Backend/API + DevOps; 5 Database + QA/Tester. Mỗi SV có nhiệm vụ phụ và minh chứng cá nhân.</v>
      </c>
      <c r="I171" t="s">
        <v>22</v>
      </c>
      <c r="J171" t="s">
        <v>260</v>
      </c>
      <c r="K171" t="str">
        <f>IF(I171="Trung bình",'Huong dan giao do an'!$B$8,IF(I171="Khá",'Huong dan giao do an'!$B$9,'Huong dan giao do an'!$B$10))</f>
        <v>Tối thiểu 4 actor; 10-14 use case; 8-12 bảng; 3 quy trình lõi; phân quyền chi tiết; 2 báo cáo; tích hợp 1 dịch vụ; &gt;=35 test case; CI/CD hoặc deploy cloud.</v>
      </c>
      <c r="L171" t="str">
        <f>'Huong dan giao do an'!$B$31</f>
        <v>Bắt buộc: Charter/PMP; SRS + scope/WBS; Gantt/baseline; effort-cost budget; RACI/timesheet; quality-test-defect; communication/minutes; risk register; procurement; change log; closure/lessons learned.</v>
      </c>
      <c r="M171" t="str">
        <f>'Huong dan giao do an'!$B$33</f>
        <v>Tuần 1: 07.09–13.09.2026; Tuần 2: 14.09–20.09.2026; Tuần 3: 21.09–27.09.2026; Tuần 4: 28.09–04.10.2026; Tuần 5: 05.10–11.10.2026; Tuần 6: 12.10–18.10.2026; Tuần 7: 19.10–25.10.2026; Tuần 8: 26.10–01.11.2026.</v>
      </c>
      <c r="N1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 s="17" t="str">
        <f t="shared" si="2"/>
        <v>Còn trống</v>
      </c>
    </row>
    <row r="172" spans="1:16" x14ac:dyDescent="0.3">
      <c r="A172">
        <v>171</v>
      </c>
      <c r="B172" t="s">
        <v>255</v>
      </c>
      <c r="C172" t="s">
        <v>424</v>
      </c>
      <c r="D172" t="s">
        <v>425</v>
      </c>
      <c r="E172" t="s">
        <v>26</v>
      </c>
      <c r="F172" t="s">
        <v>258</v>
      </c>
      <c r="G172" t="s">
        <v>296</v>
      </c>
      <c r="H172" t="str">
        <f>'Huong dan giao do an'!$B$14</f>
        <v>5 SV (vai trò chính): 1 PM/Scrum Master kiêm Integration; 2 BA/PO; 3 UI-UX + Frontend; 4 Backend/API + DevOps; 5 Database + QA/Tester. Mỗi SV có nhiệm vụ phụ và minh chứng cá nhân.</v>
      </c>
      <c r="I172" t="s">
        <v>29</v>
      </c>
      <c r="J172" t="s">
        <v>265</v>
      </c>
      <c r="K172" t="str">
        <f>IF(I172="Trung bình",'Huong dan giao do an'!$B$8,IF(I172="Khá",'Huong dan giao do an'!$B$9,'Huong dan giao do an'!$B$10))</f>
        <v>Tối thiểu 5 actor; 14-18 use case; 10-15 bảng; 4 quy trình; tích hợp ngoài/realtime hoặc xử lý nâng cao; 3 báo cáo; &gt;=45 test case; logging, backup và deploy.</v>
      </c>
      <c r="L172" t="str">
        <f>'Huong dan giao do an'!$B$31</f>
        <v>Bắt buộc: Charter/PMP; SRS + scope/WBS; Gantt/baseline; effort-cost budget; RACI/timesheet; quality-test-defect; communication/minutes; risk register; procurement; change log; closure/lessons learned.</v>
      </c>
      <c r="M172" t="str">
        <f>'Huong dan giao do an'!$B$33</f>
        <v>Tuần 1: 07.09–13.09.2026; Tuần 2: 14.09–20.09.2026; Tuần 3: 21.09–27.09.2026; Tuần 4: 28.09–04.10.2026; Tuần 5: 05.10–11.10.2026; Tuần 6: 12.10–18.10.2026; Tuần 7: 19.10–25.10.2026; Tuần 8: 26.10–01.11.2026.</v>
      </c>
      <c r="N1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 s="17" t="str">
        <f t="shared" si="2"/>
        <v>Còn trống</v>
      </c>
    </row>
    <row r="173" spans="1:16" x14ac:dyDescent="0.3">
      <c r="A173">
        <v>172</v>
      </c>
      <c r="B173" t="s">
        <v>255</v>
      </c>
      <c r="C173" t="s">
        <v>426</v>
      </c>
      <c r="D173" t="s">
        <v>427</v>
      </c>
      <c r="E173" t="s">
        <v>33</v>
      </c>
      <c r="F173" t="s">
        <v>263</v>
      </c>
      <c r="G173" t="s">
        <v>299</v>
      </c>
      <c r="H173" t="str">
        <f>'Huong dan giao do an'!$B$14</f>
        <v>5 SV (vai trò chính): 1 PM/Scrum Master kiêm Integration; 2 BA/PO; 3 UI-UX + Frontend; 4 Backend/API + DevOps; 5 Database + QA/Tester. Mỗi SV có nhiệm vụ phụ và minh chứng cá nhân.</v>
      </c>
      <c r="I173" t="s">
        <v>36</v>
      </c>
      <c r="J173" t="s">
        <v>270</v>
      </c>
      <c r="K173" t="str">
        <f>IF(I173="Trung bình",'Huong dan giao do an'!$B$8,IF(I173="Khá",'Huong dan giao do an'!$B$9,'Huong dan giao do an'!$B$10))</f>
        <v>Tối thiểu 3 actor; 8-10 use case; 6-8 bảng dữ liệu; 2 quy trình lõi; đăng nhập/RBAC; 1 dashboard; 1 báo cáo; &gt;=25 test case; triển khai bản demo.</v>
      </c>
      <c r="L173" t="str">
        <f>'Huong dan giao do an'!$B$31</f>
        <v>Bắt buộc: Charter/PMP; SRS + scope/WBS; Gantt/baseline; effort-cost budget; RACI/timesheet; quality-test-defect; communication/minutes; risk register; procurement; change log; closure/lessons learned.</v>
      </c>
      <c r="M173" t="str">
        <f>'Huong dan giao do an'!$B$33</f>
        <v>Tuần 1: 07.09–13.09.2026; Tuần 2: 14.09–20.09.2026; Tuần 3: 21.09–27.09.2026; Tuần 4: 28.09–04.10.2026; Tuần 5: 05.10–11.10.2026; Tuần 6: 12.10–18.10.2026; Tuần 7: 19.10–25.10.2026; Tuần 8: 26.10–01.11.2026.</v>
      </c>
      <c r="N1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 s="17" t="str">
        <f t="shared" si="2"/>
        <v>Còn trống</v>
      </c>
    </row>
    <row r="174" spans="1:16" x14ac:dyDescent="0.3">
      <c r="A174">
        <v>173</v>
      </c>
      <c r="B174" t="s">
        <v>255</v>
      </c>
      <c r="C174" t="s">
        <v>428</v>
      </c>
      <c r="D174" t="s">
        <v>429</v>
      </c>
      <c r="E174" t="s">
        <v>40</v>
      </c>
      <c r="F174" t="s">
        <v>268</v>
      </c>
      <c r="G174" t="s">
        <v>302</v>
      </c>
      <c r="H174" t="str">
        <f>'Huong dan giao do an'!$B$14</f>
        <v>5 SV (vai trò chính): 1 PM/Scrum Master kiêm Integration; 2 BA/PO; 3 UI-UX + Frontend; 4 Backend/API + DevOps; 5 Database + QA/Tester. Mỗi SV có nhiệm vụ phụ và minh chứng cá nhân.</v>
      </c>
      <c r="I174" t="s">
        <v>22</v>
      </c>
      <c r="J174" t="s">
        <v>260</v>
      </c>
      <c r="K174" t="str">
        <f>IF(I174="Trung bình",'Huong dan giao do an'!$B$8,IF(I174="Khá",'Huong dan giao do an'!$B$9,'Huong dan giao do an'!$B$10))</f>
        <v>Tối thiểu 4 actor; 10-14 use case; 8-12 bảng; 3 quy trình lõi; phân quyền chi tiết; 2 báo cáo; tích hợp 1 dịch vụ; &gt;=35 test case; CI/CD hoặc deploy cloud.</v>
      </c>
      <c r="L174" t="str">
        <f>'Huong dan giao do an'!$B$31</f>
        <v>Bắt buộc: Charter/PMP; SRS + scope/WBS; Gantt/baseline; effort-cost budget; RACI/timesheet; quality-test-defect; communication/minutes; risk register; procurement; change log; closure/lessons learned.</v>
      </c>
      <c r="M174" t="str">
        <f>'Huong dan giao do an'!$B$33</f>
        <v>Tuần 1: 07.09–13.09.2026; Tuần 2: 14.09–20.09.2026; Tuần 3: 21.09–27.09.2026; Tuần 4: 28.09–04.10.2026; Tuần 5: 05.10–11.10.2026; Tuần 6: 12.10–18.10.2026; Tuần 7: 19.10–25.10.2026; Tuần 8: 26.10–01.11.2026.</v>
      </c>
      <c r="N1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 s="17" t="str">
        <f t="shared" si="2"/>
        <v>Còn trống</v>
      </c>
    </row>
    <row r="175" spans="1:16" x14ac:dyDescent="0.3">
      <c r="A175">
        <v>174</v>
      </c>
      <c r="B175" t="s">
        <v>255</v>
      </c>
      <c r="C175" t="s">
        <v>430</v>
      </c>
      <c r="D175" t="s">
        <v>431</v>
      </c>
      <c r="E175" t="s">
        <v>45</v>
      </c>
      <c r="F175" t="s">
        <v>273</v>
      </c>
      <c r="G175" t="s">
        <v>305</v>
      </c>
      <c r="H175" t="str">
        <f>'Huong dan giao do an'!$B$14</f>
        <v>5 SV (vai trò chính): 1 PM/Scrum Master kiêm Integration; 2 BA/PO; 3 UI-UX + Frontend; 4 Backend/API + DevOps; 5 Database + QA/Tester. Mỗi SV có nhiệm vụ phụ và minh chứng cá nhân.</v>
      </c>
      <c r="I175" t="s">
        <v>29</v>
      </c>
      <c r="J175" t="s">
        <v>265</v>
      </c>
      <c r="K175" t="str">
        <f>IF(I175="Trung bình",'Huong dan giao do an'!$B$8,IF(I175="Khá",'Huong dan giao do an'!$B$9,'Huong dan giao do an'!$B$10))</f>
        <v>Tối thiểu 5 actor; 14-18 use case; 10-15 bảng; 4 quy trình; tích hợp ngoài/realtime hoặc xử lý nâng cao; 3 báo cáo; &gt;=45 test case; logging, backup và deploy.</v>
      </c>
      <c r="L175" t="str">
        <f>'Huong dan giao do an'!$B$31</f>
        <v>Bắt buộc: Charter/PMP; SRS + scope/WBS; Gantt/baseline; effort-cost budget; RACI/timesheet; quality-test-defect; communication/minutes; risk register; procurement; change log; closure/lessons learned.</v>
      </c>
      <c r="M175" t="str">
        <f>'Huong dan giao do an'!$B$33</f>
        <v>Tuần 1: 07.09–13.09.2026; Tuần 2: 14.09–20.09.2026; Tuần 3: 21.09–27.09.2026; Tuần 4: 28.09–04.10.2026; Tuần 5: 05.10–11.10.2026; Tuần 6: 12.10–18.10.2026; Tuần 7: 19.10–25.10.2026; Tuần 8: 26.10–01.11.2026.</v>
      </c>
      <c r="N1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 s="17" t="str">
        <f t="shared" si="2"/>
        <v>Còn trống</v>
      </c>
    </row>
    <row r="176" spans="1:16" x14ac:dyDescent="0.3">
      <c r="A176">
        <v>175</v>
      </c>
      <c r="B176" t="s">
        <v>255</v>
      </c>
      <c r="C176" t="s">
        <v>432</v>
      </c>
      <c r="D176" t="s">
        <v>433</v>
      </c>
      <c r="E176" t="s">
        <v>19</v>
      </c>
      <c r="F176" t="s">
        <v>277</v>
      </c>
      <c r="G176" t="s">
        <v>308</v>
      </c>
      <c r="H176" t="str">
        <f>'Huong dan giao do an'!$B$14</f>
        <v>5 SV (vai trò chính): 1 PM/Scrum Master kiêm Integration; 2 BA/PO; 3 UI-UX + Frontend; 4 Backend/API + DevOps; 5 Database + QA/Tester. Mỗi SV có nhiệm vụ phụ và minh chứng cá nhân.</v>
      </c>
      <c r="I176" t="s">
        <v>36</v>
      </c>
      <c r="J176" t="s">
        <v>270</v>
      </c>
      <c r="K176" t="str">
        <f>IF(I176="Trung bình",'Huong dan giao do an'!$B$8,IF(I176="Khá",'Huong dan giao do an'!$B$9,'Huong dan giao do an'!$B$10))</f>
        <v>Tối thiểu 3 actor; 8-10 use case; 6-8 bảng dữ liệu; 2 quy trình lõi; đăng nhập/RBAC; 1 dashboard; 1 báo cáo; &gt;=25 test case; triển khai bản demo.</v>
      </c>
      <c r="L176" t="str">
        <f>'Huong dan giao do an'!$B$31</f>
        <v>Bắt buộc: Charter/PMP; SRS + scope/WBS; Gantt/baseline; effort-cost budget; RACI/timesheet; quality-test-defect; communication/minutes; risk register; procurement; change log; closure/lessons learned.</v>
      </c>
      <c r="M176" t="str">
        <f>'Huong dan giao do an'!$B$33</f>
        <v>Tuần 1: 07.09–13.09.2026; Tuần 2: 14.09–20.09.2026; Tuần 3: 21.09–27.09.2026; Tuần 4: 28.09–04.10.2026; Tuần 5: 05.10–11.10.2026; Tuần 6: 12.10–18.10.2026; Tuần 7: 19.10–25.10.2026; Tuần 8: 26.10–01.11.2026.</v>
      </c>
      <c r="N1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 s="17" t="str">
        <f t="shared" si="2"/>
        <v>Còn trống</v>
      </c>
    </row>
    <row r="177" spans="1:16" x14ac:dyDescent="0.3">
      <c r="A177">
        <v>176</v>
      </c>
      <c r="B177" t="s">
        <v>255</v>
      </c>
      <c r="C177" t="s">
        <v>434</v>
      </c>
      <c r="D177" t="s">
        <v>435</v>
      </c>
      <c r="E177" t="s">
        <v>26</v>
      </c>
      <c r="F177" t="s">
        <v>258</v>
      </c>
      <c r="G177" t="s">
        <v>311</v>
      </c>
      <c r="H177" t="str">
        <f>'Huong dan giao do an'!$B$14</f>
        <v>5 SV (vai trò chính): 1 PM/Scrum Master kiêm Integration; 2 BA/PO; 3 UI-UX + Frontend; 4 Backend/API + DevOps; 5 Database + QA/Tester. Mỗi SV có nhiệm vụ phụ và minh chứng cá nhân.</v>
      </c>
      <c r="I177" t="s">
        <v>22</v>
      </c>
      <c r="J177" t="s">
        <v>260</v>
      </c>
      <c r="K177" t="str">
        <f>IF(I177="Trung bình",'Huong dan giao do an'!$B$8,IF(I177="Khá",'Huong dan giao do an'!$B$9,'Huong dan giao do an'!$B$10))</f>
        <v>Tối thiểu 4 actor; 10-14 use case; 8-12 bảng; 3 quy trình lõi; phân quyền chi tiết; 2 báo cáo; tích hợp 1 dịch vụ; &gt;=35 test case; CI/CD hoặc deploy cloud.</v>
      </c>
      <c r="L177" t="str">
        <f>'Huong dan giao do an'!$B$31</f>
        <v>Bắt buộc: Charter/PMP; SRS + scope/WBS; Gantt/baseline; effort-cost budget; RACI/timesheet; quality-test-defect; communication/minutes; risk register; procurement; change log; closure/lessons learned.</v>
      </c>
      <c r="M177" t="str">
        <f>'Huong dan giao do an'!$B$33</f>
        <v>Tuần 1: 07.09–13.09.2026; Tuần 2: 14.09–20.09.2026; Tuần 3: 21.09–27.09.2026; Tuần 4: 28.09–04.10.2026; Tuần 5: 05.10–11.10.2026; Tuần 6: 12.10–18.10.2026; Tuần 7: 19.10–25.10.2026; Tuần 8: 26.10–01.11.2026.</v>
      </c>
      <c r="N1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 s="17" t="str">
        <f t="shared" si="2"/>
        <v>Còn trống</v>
      </c>
    </row>
    <row r="178" spans="1:16" x14ac:dyDescent="0.3">
      <c r="A178">
        <v>177</v>
      </c>
      <c r="B178" t="s">
        <v>255</v>
      </c>
      <c r="C178" t="s">
        <v>436</v>
      </c>
      <c r="D178" t="s">
        <v>437</v>
      </c>
      <c r="E178" t="s">
        <v>33</v>
      </c>
      <c r="F178" t="s">
        <v>263</v>
      </c>
      <c r="G178" t="s">
        <v>314</v>
      </c>
      <c r="H178" t="str">
        <f>'Huong dan giao do an'!$B$14</f>
        <v>5 SV (vai trò chính): 1 PM/Scrum Master kiêm Integration; 2 BA/PO; 3 UI-UX + Frontend; 4 Backend/API + DevOps; 5 Database + QA/Tester. Mỗi SV có nhiệm vụ phụ và minh chứng cá nhân.</v>
      </c>
      <c r="I178" t="s">
        <v>29</v>
      </c>
      <c r="J178" t="s">
        <v>265</v>
      </c>
      <c r="K178" t="str">
        <f>IF(I178="Trung bình",'Huong dan giao do an'!$B$8,IF(I178="Khá",'Huong dan giao do an'!$B$9,'Huong dan giao do an'!$B$10))</f>
        <v>Tối thiểu 5 actor; 14-18 use case; 10-15 bảng; 4 quy trình; tích hợp ngoài/realtime hoặc xử lý nâng cao; 3 báo cáo; &gt;=45 test case; logging, backup và deploy.</v>
      </c>
      <c r="L178" t="str">
        <f>'Huong dan giao do an'!$B$31</f>
        <v>Bắt buộc: Charter/PMP; SRS + scope/WBS; Gantt/baseline; effort-cost budget; RACI/timesheet; quality-test-defect; communication/minutes; risk register; procurement; change log; closure/lessons learned.</v>
      </c>
      <c r="M178" t="str">
        <f>'Huong dan giao do an'!$B$33</f>
        <v>Tuần 1: 07.09–13.09.2026; Tuần 2: 14.09–20.09.2026; Tuần 3: 21.09–27.09.2026; Tuần 4: 28.09–04.10.2026; Tuần 5: 05.10–11.10.2026; Tuần 6: 12.10–18.10.2026; Tuần 7: 19.10–25.10.2026; Tuần 8: 26.10–01.11.2026.</v>
      </c>
      <c r="N1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 s="17" t="str">
        <f t="shared" si="2"/>
        <v>Còn trống</v>
      </c>
    </row>
    <row r="179" spans="1:16" x14ac:dyDescent="0.3">
      <c r="A179">
        <v>178</v>
      </c>
      <c r="B179" t="s">
        <v>255</v>
      </c>
      <c r="C179" t="s">
        <v>438</v>
      </c>
      <c r="D179" t="s">
        <v>439</v>
      </c>
      <c r="E179" t="s">
        <v>40</v>
      </c>
      <c r="F179" t="s">
        <v>268</v>
      </c>
      <c r="G179" t="s">
        <v>317</v>
      </c>
      <c r="H179" t="str">
        <f>'Huong dan giao do an'!$B$14</f>
        <v>5 SV (vai trò chính): 1 PM/Scrum Master kiêm Integration; 2 BA/PO; 3 UI-UX + Frontend; 4 Backend/API + DevOps; 5 Database + QA/Tester. Mỗi SV có nhiệm vụ phụ và minh chứng cá nhân.</v>
      </c>
      <c r="I179" t="s">
        <v>36</v>
      </c>
      <c r="J179" t="s">
        <v>270</v>
      </c>
      <c r="K179" t="str">
        <f>IF(I179="Trung bình",'Huong dan giao do an'!$B$8,IF(I179="Khá",'Huong dan giao do an'!$B$9,'Huong dan giao do an'!$B$10))</f>
        <v>Tối thiểu 3 actor; 8-10 use case; 6-8 bảng dữ liệu; 2 quy trình lõi; đăng nhập/RBAC; 1 dashboard; 1 báo cáo; &gt;=25 test case; triển khai bản demo.</v>
      </c>
      <c r="L179" t="str">
        <f>'Huong dan giao do an'!$B$31</f>
        <v>Bắt buộc: Charter/PMP; SRS + scope/WBS; Gantt/baseline; effort-cost budget; RACI/timesheet; quality-test-defect; communication/minutes; risk register; procurement; change log; closure/lessons learned.</v>
      </c>
      <c r="M179" t="str">
        <f>'Huong dan giao do an'!$B$33</f>
        <v>Tuần 1: 07.09–13.09.2026; Tuần 2: 14.09–20.09.2026; Tuần 3: 21.09–27.09.2026; Tuần 4: 28.09–04.10.2026; Tuần 5: 05.10–11.10.2026; Tuần 6: 12.10–18.10.2026; Tuần 7: 19.10–25.10.2026; Tuần 8: 26.10–01.11.2026.</v>
      </c>
      <c r="N1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 s="17" t="str">
        <f t="shared" si="2"/>
        <v>Còn trống</v>
      </c>
    </row>
    <row r="180" spans="1:16" x14ac:dyDescent="0.3">
      <c r="A180">
        <v>179</v>
      </c>
      <c r="B180" t="s">
        <v>255</v>
      </c>
      <c r="C180" t="s">
        <v>440</v>
      </c>
      <c r="D180" t="s">
        <v>441</v>
      </c>
      <c r="E180" t="s">
        <v>45</v>
      </c>
      <c r="F180" t="s">
        <v>273</v>
      </c>
      <c r="G180" t="s">
        <v>320</v>
      </c>
      <c r="H180" t="str">
        <f>'Huong dan giao do an'!$B$14</f>
        <v>5 SV (vai trò chính): 1 PM/Scrum Master kiêm Integration; 2 BA/PO; 3 UI-UX + Frontend; 4 Backend/API + DevOps; 5 Database + QA/Tester. Mỗi SV có nhiệm vụ phụ và minh chứng cá nhân.</v>
      </c>
      <c r="I180" t="s">
        <v>22</v>
      </c>
      <c r="J180" t="s">
        <v>260</v>
      </c>
      <c r="K180" t="str">
        <f>IF(I180="Trung bình",'Huong dan giao do an'!$B$8,IF(I180="Khá",'Huong dan giao do an'!$B$9,'Huong dan giao do an'!$B$10))</f>
        <v>Tối thiểu 4 actor; 10-14 use case; 8-12 bảng; 3 quy trình lõi; phân quyền chi tiết; 2 báo cáo; tích hợp 1 dịch vụ; &gt;=35 test case; CI/CD hoặc deploy cloud.</v>
      </c>
      <c r="L180" t="str">
        <f>'Huong dan giao do an'!$B$31</f>
        <v>Bắt buộc: Charter/PMP; SRS + scope/WBS; Gantt/baseline; effort-cost budget; RACI/timesheet; quality-test-defect; communication/minutes; risk register; procurement; change log; closure/lessons learned.</v>
      </c>
      <c r="M180" t="str">
        <f>'Huong dan giao do an'!$B$33</f>
        <v>Tuần 1: 07.09–13.09.2026; Tuần 2: 14.09–20.09.2026; Tuần 3: 21.09–27.09.2026; Tuần 4: 28.09–04.10.2026; Tuần 5: 05.10–11.10.2026; Tuần 6: 12.10–18.10.2026; Tuần 7: 19.10–25.10.2026; Tuần 8: 26.10–01.11.2026.</v>
      </c>
      <c r="N1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 s="17" t="str">
        <f t="shared" si="2"/>
        <v>Còn trống</v>
      </c>
    </row>
    <row r="181" spans="1:16" x14ac:dyDescent="0.3">
      <c r="A181">
        <v>180</v>
      </c>
      <c r="B181" t="s">
        <v>255</v>
      </c>
      <c r="C181" t="s">
        <v>442</v>
      </c>
      <c r="D181" t="s">
        <v>443</v>
      </c>
      <c r="E181" t="s">
        <v>19</v>
      </c>
      <c r="F181" t="s">
        <v>277</v>
      </c>
      <c r="G181" t="s">
        <v>323</v>
      </c>
      <c r="H181" t="str">
        <f>'Huong dan giao do an'!$B$14</f>
        <v>5 SV (vai trò chính): 1 PM/Scrum Master kiêm Integration; 2 BA/PO; 3 UI-UX + Frontend; 4 Backend/API + DevOps; 5 Database + QA/Tester. Mỗi SV có nhiệm vụ phụ và minh chứng cá nhân.</v>
      </c>
      <c r="I181" t="s">
        <v>29</v>
      </c>
      <c r="J181" t="s">
        <v>265</v>
      </c>
      <c r="K181" t="str">
        <f>IF(I181="Trung bình",'Huong dan giao do an'!$B$8,IF(I181="Khá",'Huong dan giao do an'!$B$9,'Huong dan giao do an'!$B$10))</f>
        <v>Tối thiểu 5 actor; 14-18 use case; 10-15 bảng; 4 quy trình; tích hợp ngoài/realtime hoặc xử lý nâng cao; 3 báo cáo; &gt;=45 test case; logging, backup và deploy.</v>
      </c>
      <c r="L181" t="str">
        <f>'Huong dan giao do an'!$B$31</f>
        <v>Bắt buộc: Charter/PMP; SRS + scope/WBS; Gantt/baseline; effort-cost budget; RACI/timesheet; quality-test-defect; communication/minutes; risk register; procurement; change log; closure/lessons learned.</v>
      </c>
      <c r="M181" t="str">
        <f>'Huong dan giao do an'!$B$33</f>
        <v>Tuần 1: 07.09–13.09.2026; Tuần 2: 14.09–20.09.2026; Tuần 3: 21.09–27.09.2026; Tuần 4: 28.09–04.10.2026; Tuần 5: 05.10–11.10.2026; Tuần 6: 12.10–18.10.2026; Tuần 7: 19.10–25.10.2026; Tuần 8: 26.10–01.11.2026.</v>
      </c>
      <c r="N1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 s="17" t="str">
        <f t="shared" si="2"/>
        <v>Còn trống</v>
      </c>
    </row>
    <row r="182" spans="1:16" x14ac:dyDescent="0.3">
      <c r="A182">
        <v>181</v>
      </c>
      <c r="B182" t="s">
        <v>255</v>
      </c>
      <c r="C182" t="s">
        <v>444</v>
      </c>
      <c r="D182" t="s">
        <v>445</v>
      </c>
      <c r="E182" t="s">
        <v>26</v>
      </c>
      <c r="F182" t="s">
        <v>258</v>
      </c>
      <c r="G182" t="s">
        <v>259</v>
      </c>
      <c r="H182" t="str">
        <f>'Huong dan giao do an'!$B$14</f>
        <v>5 SV (vai trò chính): 1 PM/Scrum Master kiêm Integration; 2 BA/PO; 3 UI-UX + Frontend; 4 Backend/API + DevOps; 5 Database + QA/Tester. Mỗi SV có nhiệm vụ phụ và minh chứng cá nhân.</v>
      </c>
      <c r="I182" t="s">
        <v>22</v>
      </c>
      <c r="J182" t="s">
        <v>260</v>
      </c>
      <c r="K182" t="str">
        <f>IF(I182="Trung bình",'Huong dan giao do an'!$B$8,IF(I182="Khá",'Huong dan giao do an'!$B$9,'Huong dan giao do an'!$B$10))</f>
        <v>Tối thiểu 4 actor; 10-14 use case; 8-12 bảng; 3 quy trình lõi; phân quyền chi tiết; 2 báo cáo; tích hợp 1 dịch vụ; &gt;=35 test case; CI/CD hoặc deploy cloud.</v>
      </c>
      <c r="L182" t="str">
        <f>'Huong dan giao do an'!$B$31</f>
        <v>Bắt buộc: Charter/PMP; SRS + scope/WBS; Gantt/baseline; effort-cost budget; RACI/timesheet; quality-test-defect; communication/minutes; risk register; procurement; change log; closure/lessons learned.</v>
      </c>
      <c r="M182" t="str">
        <f>'Huong dan giao do an'!$B$33</f>
        <v>Tuần 1: 07.09–13.09.2026; Tuần 2: 14.09–20.09.2026; Tuần 3: 21.09–27.09.2026; Tuần 4: 28.09–04.10.2026; Tuần 5: 05.10–11.10.2026; Tuần 6: 12.10–18.10.2026; Tuần 7: 19.10–25.10.2026; Tuần 8: 26.10–01.11.2026.</v>
      </c>
      <c r="N1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 s="17" t="str">
        <f t="shared" si="2"/>
        <v>Còn trống</v>
      </c>
    </row>
    <row r="183" spans="1:16" x14ac:dyDescent="0.3">
      <c r="A183">
        <v>182</v>
      </c>
      <c r="B183" t="s">
        <v>255</v>
      </c>
      <c r="C183" t="s">
        <v>446</v>
      </c>
      <c r="D183" t="s">
        <v>447</v>
      </c>
      <c r="E183" t="s">
        <v>33</v>
      </c>
      <c r="F183" t="s">
        <v>263</v>
      </c>
      <c r="G183" t="s">
        <v>264</v>
      </c>
      <c r="H183" t="str">
        <f>'Huong dan giao do an'!$B$14</f>
        <v>5 SV (vai trò chính): 1 PM/Scrum Master kiêm Integration; 2 BA/PO; 3 UI-UX + Frontend; 4 Backend/API + DevOps; 5 Database + QA/Tester. Mỗi SV có nhiệm vụ phụ và minh chứng cá nhân.</v>
      </c>
      <c r="I183" t="s">
        <v>29</v>
      </c>
      <c r="J183" t="s">
        <v>265</v>
      </c>
      <c r="K183" t="str">
        <f>IF(I183="Trung bình",'Huong dan giao do an'!$B$8,IF(I183="Khá",'Huong dan giao do an'!$B$9,'Huong dan giao do an'!$B$10))</f>
        <v>Tối thiểu 5 actor; 14-18 use case; 10-15 bảng; 4 quy trình; tích hợp ngoài/realtime hoặc xử lý nâng cao; 3 báo cáo; &gt;=45 test case; logging, backup và deploy.</v>
      </c>
      <c r="L183" t="str">
        <f>'Huong dan giao do an'!$B$31</f>
        <v>Bắt buộc: Charter/PMP; SRS + scope/WBS; Gantt/baseline; effort-cost budget; RACI/timesheet; quality-test-defect; communication/minutes; risk register; procurement; change log; closure/lessons learned.</v>
      </c>
      <c r="M183" t="str">
        <f>'Huong dan giao do an'!$B$33</f>
        <v>Tuần 1: 07.09–13.09.2026; Tuần 2: 14.09–20.09.2026; Tuần 3: 21.09–27.09.2026; Tuần 4: 28.09–04.10.2026; Tuần 5: 05.10–11.10.2026; Tuần 6: 12.10–18.10.2026; Tuần 7: 19.10–25.10.2026; Tuần 8: 26.10–01.11.2026.</v>
      </c>
      <c r="N1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 s="17" t="str">
        <f t="shared" si="2"/>
        <v>Còn trống</v>
      </c>
    </row>
    <row r="184" spans="1:16" x14ac:dyDescent="0.3">
      <c r="A184">
        <v>183</v>
      </c>
      <c r="B184" t="s">
        <v>255</v>
      </c>
      <c r="C184" t="s">
        <v>448</v>
      </c>
      <c r="D184" t="s">
        <v>449</v>
      </c>
      <c r="E184" t="s">
        <v>40</v>
      </c>
      <c r="F184" t="s">
        <v>268</v>
      </c>
      <c r="G184" t="s">
        <v>269</v>
      </c>
      <c r="H184" t="str">
        <f>'Huong dan giao do an'!$B$14</f>
        <v>5 SV (vai trò chính): 1 PM/Scrum Master kiêm Integration; 2 BA/PO; 3 UI-UX + Frontend; 4 Backend/API + DevOps; 5 Database + QA/Tester. Mỗi SV có nhiệm vụ phụ và minh chứng cá nhân.</v>
      </c>
      <c r="I184" t="s">
        <v>36</v>
      </c>
      <c r="J184" t="s">
        <v>270</v>
      </c>
      <c r="K184" t="str">
        <f>IF(I184="Trung bình",'Huong dan giao do an'!$B$8,IF(I184="Khá",'Huong dan giao do an'!$B$9,'Huong dan giao do an'!$B$10))</f>
        <v>Tối thiểu 3 actor; 8-10 use case; 6-8 bảng dữ liệu; 2 quy trình lõi; đăng nhập/RBAC; 1 dashboard; 1 báo cáo; &gt;=25 test case; triển khai bản demo.</v>
      </c>
      <c r="L184" t="str">
        <f>'Huong dan giao do an'!$B$31</f>
        <v>Bắt buộc: Charter/PMP; SRS + scope/WBS; Gantt/baseline; effort-cost budget; RACI/timesheet; quality-test-defect; communication/minutes; risk register; procurement; change log; closure/lessons learned.</v>
      </c>
      <c r="M184" t="str">
        <f>'Huong dan giao do an'!$B$33</f>
        <v>Tuần 1: 07.09–13.09.2026; Tuần 2: 14.09–20.09.2026; Tuần 3: 21.09–27.09.2026; Tuần 4: 28.09–04.10.2026; Tuần 5: 05.10–11.10.2026; Tuần 6: 12.10–18.10.2026; Tuần 7: 19.10–25.10.2026; Tuần 8: 26.10–01.11.2026.</v>
      </c>
      <c r="N1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 s="17" t="str">
        <f t="shared" si="2"/>
        <v>Còn trống</v>
      </c>
    </row>
    <row r="185" spans="1:16" x14ac:dyDescent="0.3">
      <c r="A185">
        <v>184</v>
      </c>
      <c r="B185" t="s">
        <v>255</v>
      </c>
      <c r="C185" t="s">
        <v>450</v>
      </c>
      <c r="D185" t="s">
        <v>451</v>
      </c>
      <c r="E185" t="s">
        <v>45</v>
      </c>
      <c r="F185" t="s">
        <v>273</v>
      </c>
      <c r="G185" t="s">
        <v>274</v>
      </c>
      <c r="H185" t="str">
        <f>'Huong dan giao do an'!$B$14</f>
        <v>5 SV (vai trò chính): 1 PM/Scrum Master kiêm Integration; 2 BA/PO; 3 UI-UX + Frontend; 4 Backend/API + DevOps; 5 Database + QA/Tester. Mỗi SV có nhiệm vụ phụ và minh chứng cá nhân.</v>
      </c>
      <c r="I185" t="s">
        <v>22</v>
      </c>
      <c r="J185" t="s">
        <v>260</v>
      </c>
      <c r="K185" t="str">
        <f>IF(I185="Trung bình",'Huong dan giao do an'!$B$8,IF(I185="Khá",'Huong dan giao do an'!$B$9,'Huong dan giao do an'!$B$10))</f>
        <v>Tối thiểu 4 actor; 10-14 use case; 8-12 bảng; 3 quy trình lõi; phân quyền chi tiết; 2 báo cáo; tích hợp 1 dịch vụ; &gt;=35 test case; CI/CD hoặc deploy cloud.</v>
      </c>
      <c r="L185" t="str">
        <f>'Huong dan giao do an'!$B$31</f>
        <v>Bắt buộc: Charter/PMP; SRS + scope/WBS; Gantt/baseline; effort-cost budget; RACI/timesheet; quality-test-defect; communication/minutes; risk register; procurement; change log; closure/lessons learned.</v>
      </c>
      <c r="M185" t="str">
        <f>'Huong dan giao do an'!$B$33</f>
        <v>Tuần 1: 07.09–13.09.2026; Tuần 2: 14.09–20.09.2026; Tuần 3: 21.09–27.09.2026; Tuần 4: 28.09–04.10.2026; Tuần 5: 05.10–11.10.2026; Tuần 6: 12.10–18.10.2026; Tuần 7: 19.10–25.10.2026; Tuần 8: 26.10–01.11.2026.</v>
      </c>
      <c r="N1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 s="17" t="str">
        <f t="shared" si="2"/>
        <v>Còn trống</v>
      </c>
    </row>
    <row r="186" spans="1:16" x14ac:dyDescent="0.3">
      <c r="A186">
        <v>185</v>
      </c>
      <c r="B186" t="s">
        <v>255</v>
      </c>
      <c r="C186" t="s">
        <v>452</v>
      </c>
      <c r="D186" t="s">
        <v>453</v>
      </c>
      <c r="E186" t="s">
        <v>19</v>
      </c>
      <c r="F186" t="s">
        <v>277</v>
      </c>
      <c r="G186" t="s">
        <v>278</v>
      </c>
      <c r="H186" t="str">
        <f>'Huong dan giao do an'!$B$14</f>
        <v>5 SV (vai trò chính): 1 PM/Scrum Master kiêm Integration; 2 BA/PO; 3 UI-UX + Frontend; 4 Backend/API + DevOps; 5 Database + QA/Tester. Mỗi SV có nhiệm vụ phụ và minh chứng cá nhân.</v>
      </c>
      <c r="I186" t="s">
        <v>29</v>
      </c>
      <c r="J186" t="s">
        <v>265</v>
      </c>
      <c r="K186" t="str">
        <f>IF(I186="Trung bình",'Huong dan giao do an'!$B$8,IF(I186="Khá",'Huong dan giao do an'!$B$9,'Huong dan giao do an'!$B$10))</f>
        <v>Tối thiểu 5 actor; 14-18 use case; 10-15 bảng; 4 quy trình; tích hợp ngoài/realtime hoặc xử lý nâng cao; 3 báo cáo; &gt;=45 test case; logging, backup và deploy.</v>
      </c>
      <c r="L186" t="str">
        <f>'Huong dan giao do an'!$B$31</f>
        <v>Bắt buộc: Charter/PMP; SRS + scope/WBS; Gantt/baseline; effort-cost budget; RACI/timesheet; quality-test-defect; communication/minutes; risk register; procurement; change log; closure/lessons learned.</v>
      </c>
      <c r="M186" t="str">
        <f>'Huong dan giao do an'!$B$33</f>
        <v>Tuần 1: 07.09–13.09.2026; Tuần 2: 14.09–20.09.2026; Tuần 3: 21.09–27.09.2026; Tuần 4: 28.09–04.10.2026; Tuần 5: 05.10–11.10.2026; Tuần 6: 12.10–18.10.2026; Tuần 7: 19.10–25.10.2026; Tuần 8: 26.10–01.11.2026.</v>
      </c>
      <c r="N1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 s="17" t="str">
        <f t="shared" si="2"/>
        <v>Còn trống</v>
      </c>
    </row>
    <row r="187" spans="1:16" x14ac:dyDescent="0.3">
      <c r="A187">
        <v>186</v>
      </c>
      <c r="B187" t="s">
        <v>255</v>
      </c>
      <c r="C187" t="s">
        <v>454</v>
      </c>
      <c r="D187" t="s">
        <v>455</v>
      </c>
      <c r="E187" t="s">
        <v>26</v>
      </c>
      <c r="F187" t="s">
        <v>258</v>
      </c>
      <c r="G187" t="s">
        <v>281</v>
      </c>
      <c r="H187" t="str">
        <f>'Huong dan giao do an'!$B$14</f>
        <v>5 SV (vai trò chính): 1 PM/Scrum Master kiêm Integration; 2 BA/PO; 3 UI-UX + Frontend; 4 Backend/API + DevOps; 5 Database + QA/Tester. Mỗi SV có nhiệm vụ phụ và minh chứng cá nhân.</v>
      </c>
      <c r="I187" t="s">
        <v>36</v>
      </c>
      <c r="J187" t="s">
        <v>270</v>
      </c>
      <c r="K187" t="str">
        <f>IF(I187="Trung bình",'Huong dan giao do an'!$B$8,IF(I187="Khá",'Huong dan giao do an'!$B$9,'Huong dan giao do an'!$B$10))</f>
        <v>Tối thiểu 3 actor; 8-10 use case; 6-8 bảng dữ liệu; 2 quy trình lõi; đăng nhập/RBAC; 1 dashboard; 1 báo cáo; &gt;=25 test case; triển khai bản demo.</v>
      </c>
      <c r="L187" t="str">
        <f>'Huong dan giao do an'!$B$31</f>
        <v>Bắt buộc: Charter/PMP; SRS + scope/WBS; Gantt/baseline; effort-cost budget; RACI/timesheet; quality-test-defect; communication/minutes; risk register; procurement; change log; closure/lessons learned.</v>
      </c>
      <c r="M187" t="str">
        <f>'Huong dan giao do an'!$B$33</f>
        <v>Tuần 1: 07.09–13.09.2026; Tuần 2: 14.09–20.09.2026; Tuần 3: 21.09–27.09.2026; Tuần 4: 28.09–04.10.2026; Tuần 5: 05.10–11.10.2026; Tuần 6: 12.10–18.10.2026; Tuần 7: 19.10–25.10.2026; Tuần 8: 26.10–01.11.2026.</v>
      </c>
      <c r="N1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 s="17" t="str">
        <f t="shared" si="2"/>
        <v>Còn trống</v>
      </c>
    </row>
    <row r="188" spans="1:16" x14ac:dyDescent="0.3">
      <c r="A188">
        <v>187</v>
      </c>
      <c r="B188" t="s">
        <v>255</v>
      </c>
      <c r="C188" t="s">
        <v>456</v>
      </c>
      <c r="D188" t="s">
        <v>457</v>
      </c>
      <c r="E188" t="s">
        <v>33</v>
      </c>
      <c r="F188" t="s">
        <v>263</v>
      </c>
      <c r="G188" t="s">
        <v>284</v>
      </c>
      <c r="H188" t="str">
        <f>'Huong dan giao do an'!$B$14</f>
        <v>5 SV (vai trò chính): 1 PM/Scrum Master kiêm Integration; 2 BA/PO; 3 UI-UX + Frontend; 4 Backend/API + DevOps; 5 Database + QA/Tester. Mỗi SV có nhiệm vụ phụ và minh chứng cá nhân.</v>
      </c>
      <c r="I188" t="s">
        <v>22</v>
      </c>
      <c r="J188" t="s">
        <v>260</v>
      </c>
      <c r="K188" t="str">
        <f>IF(I188="Trung bình",'Huong dan giao do an'!$B$8,IF(I188="Khá",'Huong dan giao do an'!$B$9,'Huong dan giao do an'!$B$10))</f>
        <v>Tối thiểu 4 actor; 10-14 use case; 8-12 bảng; 3 quy trình lõi; phân quyền chi tiết; 2 báo cáo; tích hợp 1 dịch vụ; &gt;=35 test case; CI/CD hoặc deploy cloud.</v>
      </c>
      <c r="L188" t="str">
        <f>'Huong dan giao do an'!$B$31</f>
        <v>Bắt buộc: Charter/PMP; SRS + scope/WBS; Gantt/baseline; effort-cost budget; RACI/timesheet; quality-test-defect; communication/minutes; risk register; procurement; change log; closure/lessons learned.</v>
      </c>
      <c r="M188" t="str">
        <f>'Huong dan giao do an'!$B$33</f>
        <v>Tuần 1: 07.09–13.09.2026; Tuần 2: 14.09–20.09.2026; Tuần 3: 21.09–27.09.2026; Tuần 4: 28.09–04.10.2026; Tuần 5: 05.10–11.10.2026; Tuần 6: 12.10–18.10.2026; Tuần 7: 19.10–25.10.2026; Tuần 8: 26.10–01.11.2026.</v>
      </c>
      <c r="N1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 s="17" t="str">
        <f t="shared" si="2"/>
        <v>Còn trống</v>
      </c>
    </row>
    <row r="189" spans="1:16" x14ac:dyDescent="0.3">
      <c r="A189">
        <v>188</v>
      </c>
      <c r="B189" t="s">
        <v>255</v>
      </c>
      <c r="C189" t="s">
        <v>458</v>
      </c>
      <c r="D189" t="s">
        <v>459</v>
      </c>
      <c r="E189" t="s">
        <v>40</v>
      </c>
      <c r="F189" t="s">
        <v>268</v>
      </c>
      <c r="G189" t="s">
        <v>287</v>
      </c>
      <c r="H189" t="str">
        <f>'Huong dan giao do an'!$B$14</f>
        <v>5 SV (vai trò chính): 1 PM/Scrum Master kiêm Integration; 2 BA/PO; 3 UI-UX + Frontend; 4 Backend/API + DevOps; 5 Database + QA/Tester. Mỗi SV có nhiệm vụ phụ và minh chứng cá nhân.</v>
      </c>
      <c r="I189" t="s">
        <v>29</v>
      </c>
      <c r="J189" t="s">
        <v>265</v>
      </c>
      <c r="K189" t="str">
        <f>IF(I189="Trung bình",'Huong dan giao do an'!$B$8,IF(I189="Khá",'Huong dan giao do an'!$B$9,'Huong dan giao do an'!$B$10))</f>
        <v>Tối thiểu 5 actor; 14-18 use case; 10-15 bảng; 4 quy trình; tích hợp ngoài/realtime hoặc xử lý nâng cao; 3 báo cáo; &gt;=45 test case; logging, backup và deploy.</v>
      </c>
      <c r="L189" t="str">
        <f>'Huong dan giao do an'!$B$31</f>
        <v>Bắt buộc: Charter/PMP; SRS + scope/WBS; Gantt/baseline; effort-cost budget; RACI/timesheet; quality-test-defect; communication/minutes; risk register; procurement; change log; closure/lessons learned.</v>
      </c>
      <c r="M189" t="str">
        <f>'Huong dan giao do an'!$B$33</f>
        <v>Tuần 1: 07.09–13.09.2026; Tuần 2: 14.09–20.09.2026; Tuần 3: 21.09–27.09.2026; Tuần 4: 28.09–04.10.2026; Tuần 5: 05.10–11.10.2026; Tuần 6: 12.10–18.10.2026; Tuần 7: 19.10–25.10.2026; Tuần 8: 26.10–01.11.2026.</v>
      </c>
      <c r="N1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 s="17" t="str">
        <f t="shared" si="2"/>
        <v>Còn trống</v>
      </c>
    </row>
    <row r="190" spans="1:16" x14ac:dyDescent="0.3">
      <c r="A190">
        <v>189</v>
      </c>
      <c r="B190" t="s">
        <v>255</v>
      </c>
      <c r="C190" t="s">
        <v>460</v>
      </c>
      <c r="D190" t="s">
        <v>461</v>
      </c>
      <c r="E190" t="s">
        <v>45</v>
      </c>
      <c r="F190" t="s">
        <v>273</v>
      </c>
      <c r="G190" t="s">
        <v>290</v>
      </c>
      <c r="H190" t="str">
        <f>'Huong dan giao do an'!$B$14</f>
        <v>5 SV (vai trò chính): 1 PM/Scrum Master kiêm Integration; 2 BA/PO; 3 UI-UX + Frontend; 4 Backend/API + DevOps; 5 Database + QA/Tester. Mỗi SV có nhiệm vụ phụ và minh chứng cá nhân.</v>
      </c>
      <c r="I190" t="s">
        <v>36</v>
      </c>
      <c r="J190" t="s">
        <v>270</v>
      </c>
      <c r="K190" t="str">
        <f>IF(I190="Trung bình",'Huong dan giao do an'!$B$8,IF(I190="Khá",'Huong dan giao do an'!$B$9,'Huong dan giao do an'!$B$10))</f>
        <v>Tối thiểu 3 actor; 8-10 use case; 6-8 bảng dữ liệu; 2 quy trình lõi; đăng nhập/RBAC; 1 dashboard; 1 báo cáo; &gt;=25 test case; triển khai bản demo.</v>
      </c>
      <c r="L190" t="str">
        <f>'Huong dan giao do an'!$B$31</f>
        <v>Bắt buộc: Charter/PMP; SRS + scope/WBS; Gantt/baseline; effort-cost budget; RACI/timesheet; quality-test-defect; communication/minutes; risk register; procurement; change log; closure/lessons learned.</v>
      </c>
      <c r="M190" t="str">
        <f>'Huong dan giao do an'!$B$33</f>
        <v>Tuần 1: 07.09–13.09.2026; Tuần 2: 14.09–20.09.2026; Tuần 3: 21.09–27.09.2026; Tuần 4: 28.09–04.10.2026; Tuần 5: 05.10–11.10.2026; Tuần 6: 12.10–18.10.2026; Tuần 7: 19.10–25.10.2026; Tuần 8: 26.10–01.11.2026.</v>
      </c>
      <c r="N1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 s="17" t="str">
        <f t="shared" si="2"/>
        <v>Còn trống</v>
      </c>
    </row>
    <row r="191" spans="1:16" x14ac:dyDescent="0.3">
      <c r="A191">
        <v>190</v>
      </c>
      <c r="B191" t="s">
        <v>255</v>
      </c>
      <c r="C191" t="s">
        <v>462</v>
      </c>
      <c r="D191" t="s">
        <v>463</v>
      </c>
      <c r="E191" t="s">
        <v>19</v>
      </c>
      <c r="F191" t="s">
        <v>277</v>
      </c>
      <c r="G191" t="s">
        <v>293</v>
      </c>
      <c r="H191" t="str">
        <f>'Huong dan giao do an'!$B$14</f>
        <v>5 SV (vai trò chính): 1 PM/Scrum Master kiêm Integration; 2 BA/PO; 3 UI-UX + Frontend; 4 Backend/API + DevOps; 5 Database + QA/Tester. Mỗi SV có nhiệm vụ phụ và minh chứng cá nhân.</v>
      </c>
      <c r="I191" t="s">
        <v>22</v>
      </c>
      <c r="J191" t="s">
        <v>260</v>
      </c>
      <c r="K191" t="str">
        <f>IF(I191="Trung bình",'Huong dan giao do an'!$B$8,IF(I191="Khá",'Huong dan giao do an'!$B$9,'Huong dan giao do an'!$B$10))</f>
        <v>Tối thiểu 4 actor; 10-14 use case; 8-12 bảng; 3 quy trình lõi; phân quyền chi tiết; 2 báo cáo; tích hợp 1 dịch vụ; &gt;=35 test case; CI/CD hoặc deploy cloud.</v>
      </c>
      <c r="L191" t="str">
        <f>'Huong dan giao do an'!$B$31</f>
        <v>Bắt buộc: Charter/PMP; SRS + scope/WBS; Gantt/baseline; effort-cost budget; RACI/timesheet; quality-test-defect; communication/minutes; risk register; procurement; change log; closure/lessons learned.</v>
      </c>
      <c r="M191" t="str">
        <f>'Huong dan giao do an'!$B$33</f>
        <v>Tuần 1: 07.09–13.09.2026; Tuần 2: 14.09–20.09.2026; Tuần 3: 21.09–27.09.2026; Tuần 4: 28.09–04.10.2026; Tuần 5: 05.10–11.10.2026; Tuần 6: 12.10–18.10.2026; Tuần 7: 19.10–25.10.2026; Tuần 8: 26.10–01.11.2026.</v>
      </c>
      <c r="N1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 s="17" t="str">
        <f t="shared" si="2"/>
        <v>Còn trống</v>
      </c>
    </row>
    <row r="192" spans="1:16" x14ac:dyDescent="0.3">
      <c r="A192">
        <v>191</v>
      </c>
      <c r="B192" t="s">
        <v>255</v>
      </c>
      <c r="C192" t="s">
        <v>464</v>
      </c>
      <c r="D192" t="s">
        <v>465</v>
      </c>
      <c r="E192" t="s">
        <v>26</v>
      </c>
      <c r="F192" t="s">
        <v>258</v>
      </c>
      <c r="G192" t="s">
        <v>296</v>
      </c>
      <c r="H192" t="str">
        <f>'Huong dan giao do an'!$B$14</f>
        <v>5 SV (vai trò chính): 1 PM/Scrum Master kiêm Integration; 2 BA/PO; 3 UI-UX + Frontend; 4 Backend/API + DevOps; 5 Database + QA/Tester. Mỗi SV có nhiệm vụ phụ và minh chứng cá nhân.</v>
      </c>
      <c r="I192" t="s">
        <v>29</v>
      </c>
      <c r="J192" t="s">
        <v>265</v>
      </c>
      <c r="K192" t="str">
        <f>IF(I192="Trung bình",'Huong dan giao do an'!$B$8,IF(I192="Khá",'Huong dan giao do an'!$B$9,'Huong dan giao do an'!$B$10))</f>
        <v>Tối thiểu 5 actor; 14-18 use case; 10-15 bảng; 4 quy trình; tích hợp ngoài/realtime hoặc xử lý nâng cao; 3 báo cáo; &gt;=45 test case; logging, backup và deploy.</v>
      </c>
      <c r="L192" t="str">
        <f>'Huong dan giao do an'!$B$31</f>
        <v>Bắt buộc: Charter/PMP; SRS + scope/WBS; Gantt/baseline; effort-cost budget; RACI/timesheet; quality-test-defect; communication/minutes; risk register; procurement; change log; closure/lessons learned.</v>
      </c>
      <c r="M192" t="str">
        <f>'Huong dan giao do an'!$B$33</f>
        <v>Tuần 1: 07.09–13.09.2026; Tuần 2: 14.09–20.09.2026; Tuần 3: 21.09–27.09.2026; Tuần 4: 28.09–04.10.2026; Tuần 5: 05.10–11.10.2026; Tuần 6: 12.10–18.10.2026; Tuần 7: 19.10–25.10.2026; Tuần 8: 26.10–01.11.2026.</v>
      </c>
      <c r="N1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 s="17" t="str">
        <f t="shared" si="2"/>
        <v>Còn trống</v>
      </c>
    </row>
    <row r="193" spans="1:16" x14ac:dyDescent="0.3">
      <c r="A193">
        <v>192</v>
      </c>
      <c r="B193" t="s">
        <v>255</v>
      </c>
      <c r="C193" t="s">
        <v>466</v>
      </c>
      <c r="D193" t="s">
        <v>467</v>
      </c>
      <c r="E193" t="s">
        <v>33</v>
      </c>
      <c r="F193" t="s">
        <v>263</v>
      </c>
      <c r="G193" t="s">
        <v>299</v>
      </c>
      <c r="H193" t="str">
        <f>'Huong dan giao do an'!$B$14</f>
        <v>5 SV (vai trò chính): 1 PM/Scrum Master kiêm Integration; 2 BA/PO; 3 UI-UX + Frontend; 4 Backend/API + DevOps; 5 Database + QA/Tester. Mỗi SV có nhiệm vụ phụ và minh chứng cá nhân.</v>
      </c>
      <c r="I193" t="s">
        <v>36</v>
      </c>
      <c r="J193" t="s">
        <v>270</v>
      </c>
      <c r="K193" t="str">
        <f>IF(I193="Trung bình",'Huong dan giao do an'!$B$8,IF(I193="Khá",'Huong dan giao do an'!$B$9,'Huong dan giao do an'!$B$10))</f>
        <v>Tối thiểu 3 actor; 8-10 use case; 6-8 bảng dữ liệu; 2 quy trình lõi; đăng nhập/RBAC; 1 dashboard; 1 báo cáo; &gt;=25 test case; triển khai bản demo.</v>
      </c>
      <c r="L193" t="str">
        <f>'Huong dan giao do an'!$B$31</f>
        <v>Bắt buộc: Charter/PMP; SRS + scope/WBS; Gantt/baseline; effort-cost budget; RACI/timesheet; quality-test-defect; communication/minutes; risk register; procurement; change log; closure/lessons learned.</v>
      </c>
      <c r="M193" t="str">
        <f>'Huong dan giao do an'!$B$33</f>
        <v>Tuần 1: 07.09–13.09.2026; Tuần 2: 14.09–20.09.2026; Tuần 3: 21.09–27.09.2026; Tuần 4: 28.09–04.10.2026; Tuần 5: 05.10–11.10.2026; Tuần 6: 12.10–18.10.2026; Tuần 7: 19.10–25.10.2026; Tuần 8: 26.10–01.11.2026.</v>
      </c>
      <c r="N1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 s="17" t="str">
        <f t="shared" si="2"/>
        <v>Còn trống</v>
      </c>
    </row>
    <row r="194" spans="1:16" x14ac:dyDescent="0.3">
      <c r="A194">
        <v>193</v>
      </c>
      <c r="B194" t="s">
        <v>255</v>
      </c>
      <c r="C194" t="s">
        <v>468</v>
      </c>
      <c r="D194" t="s">
        <v>469</v>
      </c>
      <c r="E194" t="s">
        <v>40</v>
      </c>
      <c r="F194" t="s">
        <v>268</v>
      </c>
      <c r="G194" t="s">
        <v>302</v>
      </c>
      <c r="H194" t="str">
        <f>'Huong dan giao do an'!$B$14</f>
        <v>5 SV (vai trò chính): 1 PM/Scrum Master kiêm Integration; 2 BA/PO; 3 UI-UX + Frontend; 4 Backend/API + DevOps; 5 Database + QA/Tester. Mỗi SV có nhiệm vụ phụ và minh chứng cá nhân.</v>
      </c>
      <c r="I194" t="s">
        <v>22</v>
      </c>
      <c r="J194" t="s">
        <v>260</v>
      </c>
      <c r="K194" t="str">
        <f>IF(I194="Trung bình",'Huong dan giao do an'!$B$8,IF(I194="Khá",'Huong dan giao do an'!$B$9,'Huong dan giao do an'!$B$10))</f>
        <v>Tối thiểu 4 actor; 10-14 use case; 8-12 bảng; 3 quy trình lõi; phân quyền chi tiết; 2 báo cáo; tích hợp 1 dịch vụ; &gt;=35 test case; CI/CD hoặc deploy cloud.</v>
      </c>
      <c r="L194" t="str">
        <f>'Huong dan giao do an'!$B$31</f>
        <v>Bắt buộc: Charter/PMP; SRS + scope/WBS; Gantt/baseline; effort-cost budget; RACI/timesheet; quality-test-defect; communication/minutes; risk register; procurement; change log; closure/lessons learned.</v>
      </c>
      <c r="M194" t="str">
        <f>'Huong dan giao do an'!$B$33</f>
        <v>Tuần 1: 07.09–13.09.2026; Tuần 2: 14.09–20.09.2026; Tuần 3: 21.09–27.09.2026; Tuần 4: 28.09–04.10.2026; Tuần 5: 05.10–11.10.2026; Tuần 6: 12.10–18.10.2026; Tuần 7: 19.10–25.10.2026; Tuần 8: 26.10–01.11.2026.</v>
      </c>
      <c r="N1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 s="17" t="str">
        <f t="shared" si="2"/>
        <v>Còn trống</v>
      </c>
    </row>
    <row r="195" spans="1:16" x14ac:dyDescent="0.3">
      <c r="A195">
        <v>194</v>
      </c>
      <c r="B195" t="s">
        <v>255</v>
      </c>
      <c r="C195" t="s">
        <v>470</v>
      </c>
      <c r="D195" t="s">
        <v>471</v>
      </c>
      <c r="E195" t="s">
        <v>45</v>
      </c>
      <c r="F195" t="s">
        <v>273</v>
      </c>
      <c r="G195" t="s">
        <v>305</v>
      </c>
      <c r="H195" t="str">
        <f>'Huong dan giao do an'!$B$14</f>
        <v>5 SV (vai trò chính): 1 PM/Scrum Master kiêm Integration; 2 BA/PO; 3 UI-UX + Frontend; 4 Backend/API + DevOps; 5 Database + QA/Tester. Mỗi SV có nhiệm vụ phụ và minh chứng cá nhân.</v>
      </c>
      <c r="I195" t="s">
        <v>29</v>
      </c>
      <c r="J195" t="s">
        <v>265</v>
      </c>
      <c r="K195" t="str">
        <f>IF(I195="Trung bình",'Huong dan giao do an'!$B$8,IF(I195="Khá",'Huong dan giao do an'!$B$9,'Huong dan giao do an'!$B$10))</f>
        <v>Tối thiểu 5 actor; 14-18 use case; 10-15 bảng; 4 quy trình; tích hợp ngoài/realtime hoặc xử lý nâng cao; 3 báo cáo; &gt;=45 test case; logging, backup và deploy.</v>
      </c>
      <c r="L195" t="str">
        <f>'Huong dan giao do an'!$B$31</f>
        <v>Bắt buộc: Charter/PMP; SRS + scope/WBS; Gantt/baseline; effort-cost budget; RACI/timesheet; quality-test-defect; communication/minutes; risk register; procurement; change log; closure/lessons learned.</v>
      </c>
      <c r="M195" t="str">
        <f>'Huong dan giao do an'!$B$33</f>
        <v>Tuần 1: 07.09–13.09.2026; Tuần 2: 14.09–20.09.2026; Tuần 3: 21.09–27.09.2026; Tuần 4: 28.09–04.10.2026; Tuần 5: 05.10–11.10.2026; Tuần 6: 12.10–18.10.2026; Tuần 7: 19.10–25.10.2026; Tuần 8: 26.10–01.11.2026.</v>
      </c>
      <c r="N1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 s="17" t="str">
        <f t="shared" ref="P195:P258" si="3">IF(O195="","Còn trống","Đã đăng ký")</f>
        <v>Còn trống</v>
      </c>
    </row>
    <row r="196" spans="1:16" x14ac:dyDescent="0.3">
      <c r="A196">
        <v>195</v>
      </c>
      <c r="B196" t="s">
        <v>255</v>
      </c>
      <c r="C196" t="s">
        <v>472</v>
      </c>
      <c r="D196" t="s">
        <v>473</v>
      </c>
      <c r="E196" t="s">
        <v>19</v>
      </c>
      <c r="F196" t="s">
        <v>277</v>
      </c>
      <c r="G196" t="s">
        <v>308</v>
      </c>
      <c r="H196" t="str">
        <f>'Huong dan giao do an'!$B$14</f>
        <v>5 SV (vai trò chính): 1 PM/Scrum Master kiêm Integration; 2 BA/PO; 3 UI-UX + Frontend; 4 Backend/API + DevOps; 5 Database + QA/Tester. Mỗi SV có nhiệm vụ phụ và minh chứng cá nhân.</v>
      </c>
      <c r="I196" t="s">
        <v>36</v>
      </c>
      <c r="J196" t="s">
        <v>270</v>
      </c>
      <c r="K196" t="str">
        <f>IF(I196="Trung bình",'Huong dan giao do an'!$B$8,IF(I196="Khá",'Huong dan giao do an'!$B$9,'Huong dan giao do an'!$B$10))</f>
        <v>Tối thiểu 3 actor; 8-10 use case; 6-8 bảng dữ liệu; 2 quy trình lõi; đăng nhập/RBAC; 1 dashboard; 1 báo cáo; &gt;=25 test case; triển khai bản demo.</v>
      </c>
      <c r="L196" t="str">
        <f>'Huong dan giao do an'!$B$31</f>
        <v>Bắt buộc: Charter/PMP; SRS + scope/WBS; Gantt/baseline; effort-cost budget; RACI/timesheet; quality-test-defect; communication/minutes; risk register; procurement; change log; closure/lessons learned.</v>
      </c>
      <c r="M196" t="str">
        <f>'Huong dan giao do an'!$B$33</f>
        <v>Tuần 1: 07.09–13.09.2026; Tuần 2: 14.09–20.09.2026; Tuần 3: 21.09–27.09.2026; Tuần 4: 28.09–04.10.2026; Tuần 5: 05.10–11.10.2026; Tuần 6: 12.10–18.10.2026; Tuần 7: 19.10–25.10.2026; Tuần 8: 26.10–01.11.2026.</v>
      </c>
      <c r="N1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 s="17" t="str">
        <f t="shared" si="3"/>
        <v>Còn trống</v>
      </c>
    </row>
    <row r="197" spans="1:16" x14ac:dyDescent="0.3">
      <c r="A197">
        <v>196</v>
      </c>
      <c r="B197" t="s">
        <v>255</v>
      </c>
      <c r="C197" t="s">
        <v>474</v>
      </c>
      <c r="D197" t="s">
        <v>475</v>
      </c>
      <c r="E197" t="s">
        <v>26</v>
      </c>
      <c r="F197" t="s">
        <v>258</v>
      </c>
      <c r="G197" t="s">
        <v>311</v>
      </c>
      <c r="H197" t="str">
        <f>'Huong dan giao do an'!$B$14</f>
        <v>5 SV (vai trò chính): 1 PM/Scrum Master kiêm Integration; 2 BA/PO; 3 UI-UX + Frontend; 4 Backend/API + DevOps; 5 Database + QA/Tester. Mỗi SV có nhiệm vụ phụ và minh chứng cá nhân.</v>
      </c>
      <c r="I197" t="s">
        <v>22</v>
      </c>
      <c r="J197" t="s">
        <v>260</v>
      </c>
      <c r="K197" t="str">
        <f>IF(I197="Trung bình",'Huong dan giao do an'!$B$8,IF(I197="Khá",'Huong dan giao do an'!$B$9,'Huong dan giao do an'!$B$10))</f>
        <v>Tối thiểu 4 actor; 10-14 use case; 8-12 bảng; 3 quy trình lõi; phân quyền chi tiết; 2 báo cáo; tích hợp 1 dịch vụ; &gt;=35 test case; CI/CD hoặc deploy cloud.</v>
      </c>
      <c r="L197" t="str">
        <f>'Huong dan giao do an'!$B$31</f>
        <v>Bắt buộc: Charter/PMP; SRS + scope/WBS; Gantt/baseline; effort-cost budget; RACI/timesheet; quality-test-defect; communication/minutes; risk register; procurement; change log; closure/lessons learned.</v>
      </c>
      <c r="M197" t="str">
        <f>'Huong dan giao do an'!$B$33</f>
        <v>Tuần 1: 07.09–13.09.2026; Tuần 2: 14.09–20.09.2026; Tuần 3: 21.09–27.09.2026; Tuần 4: 28.09–04.10.2026; Tuần 5: 05.10–11.10.2026; Tuần 6: 12.10–18.10.2026; Tuần 7: 19.10–25.10.2026; Tuần 8: 26.10–01.11.2026.</v>
      </c>
      <c r="N1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 s="17" t="str">
        <f t="shared" si="3"/>
        <v>Còn trống</v>
      </c>
    </row>
    <row r="198" spans="1:16" x14ac:dyDescent="0.3">
      <c r="A198">
        <v>197</v>
      </c>
      <c r="B198" t="s">
        <v>255</v>
      </c>
      <c r="C198" t="s">
        <v>476</v>
      </c>
      <c r="D198" t="s">
        <v>477</v>
      </c>
      <c r="E198" t="s">
        <v>33</v>
      </c>
      <c r="F198" t="s">
        <v>263</v>
      </c>
      <c r="G198" t="s">
        <v>314</v>
      </c>
      <c r="H198" t="str">
        <f>'Huong dan giao do an'!$B$14</f>
        <v>5 SV (vai trò chính): 1 PM/Scrum Master kiêm Integration; 2 BA/PO; 3 UI-UX + Frontend; 4 Backend/API + DevOps; 5 Database + QA/Tester. Mỗi SV có nhiệm vụ phụ và minh chứng cá nhân.</v>
      </c>
      <c r="I198" t="s">
        <v>29</v>
      </c>
      <c r="J198" t="s">
        <v>265</v>
      </c>
      <c r="K198" t="str">
        <f>IF(I198="Trung bình",'Huong dan giao do an'!$B$8,IF(I198="Khá",'Huong dan giao do an'!$B$9,'Huong dan giao do an'!$B$10))</f>
        <v>Tối thiểu 5 actor; 14-18 use case; 10-15 bảng; 4 quy trình; tích hợp ngoài/realtime hoặc xử lý nâng cao; 3 báo cáo; &gt;=45 test case; logging, backup và deploy.</v>
      </c>
      <c r="L198" t="str">
        <f>'Huong dan giao do an'!$B$31</f>
        <v>Bắt buộc: Charter/PMP; SRS + scope/WBS; Gantt/baseline; effort-cost budget; RACI/timesheet; quality-test-defect; communication/minutes; risk register; procurement; change log; closure/lessons learned.</v>
      </c>
      <c r="M198" t="str">
        <f>'Huong dan giao do an'!$B$33</f>
        <v>Tuần 1: 07.09–13.09.2026; Tuần 2: 14.09–20.09.2026; Tuần 3: 21.09–27.09.2026; Tuần 4: 28.09–04.10.2026; Tuần 5: 05.10–11.10.2026; Tuần 6: 12.10–18.10.2026; Tuần 7: 19.10–25.10.2026; Tuần 8: 26.10–01.11.2026.</v>
      </c>
      <c r="N1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 s="17" t="str">
        <f t="shared" si="3"/>
        <v>Còn trống</v>
      </c>
    </row>
    <row r="199" spans="1:16" x14ac:dyDescent="0.3">
      <c r="A199">
        <v>198</v>
      </c>
      <c r="B199" t="s">
        <v>255</v>
      </c>
      <c r="C199" t="s">
        <v>478</v>
      </c>
      <c r="D199" t="s">
        <v>479</v>
      </c>
      <c r="E199" t="s">
        <v>40</v>
      </c>
      <c r="F199" t="s">
        <v>268</v>
      </c>
      <c r="G199" t="s">
        <v>317</v>
      </c>
      <c r="H199" t="str">
        <f>'Huong dan giao do an'!$B$14</f>
        <v>5 SV (vai trò chính): 1 PM/Scrum Master kiêm Integration; 2 BA/PO; 3 UI-UX + Frontend; 4 Backend/API + DevOps; 5 Database + QA/Tester. Mỗi SV có nhiệm vụ phụ và minh chứng cá nhân.</v>
      </c>
      <c r="I199" t="s">
        <v>36</v>
      </c>
      <c r="J199" t="s">
        <v>270</v>
      </c>
      <c r="K199" t="str">
        <f>IF(I199="Trung bình",'Huong dan giao do an'!$B$8,IF(I199="Khá",'Huong dan giao do an'!$B$9,'Huong dan giao do an'!$B$10))</f>
        <v>Tối thiểu 3 actor; 8-10 use case; 6-8 bảng dữ liệu; 2 quy trình lõi; đăng nhập/RBAC; 1 dashboard; 1 báo cáo; &gt;=25 test case; triển khai bản demo.</v>
      </c>
      <c r="L199" t="str">
        <f>'Huong dan giao do an'!$B$31</f>
        <v>Bắt buộc: Charter/PMP; SRS + scope/WBS; Gantt/baseline; effort-cost budget; RACI/timesheet; quality-test-defect; communication/minutes; risk register; procurement; change log; closure/lessons learned.</v>
      </c>
      <c r="M199" t="str">
        <f>'Huong dan giao do an'!$B$33</f>
        <v>Tuần 1: 07.09–13.09.2026; Tuần 2: 14.09–20.09.2026; Tuần 3: 21.09–27.09.2026; Tuần 4: 28.09–04.10.2026; Tuần 5: 05.10–11.10.2026; Tuần 6: 12.10–18.10.2026; Tuần 7: 19.10–25.10.2026; Tuần 8: 26.10–01.11.2026.</v>
      </c>
      <c r="N1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 s="17" t="str">
        <f t="shared" si="3"/>
        <v>Còn trống</v>
      </c>
    </row>
    <row r="200" spans="1:16" x14ac:dyDescent="0.3">
      <c r="A200">
        <v>199</v>
      </c>
      <c r="B200" t="s">
        <v>255</v>
      </c>
      <c r="C200" t="s">
        <v>480</v>
      </c>
      <c r="D200" t="s">
        <v>481</v>
      </c>
      <c r="E200" t="s">
        <v>45</v>
      </c>
      <c r="F200" t="s">
        <v>273</v>
      </c>
      <c r="G200" t="s">
        <v>320</v>
      </c>
      <c r="H200" t="str">
        <f>'Huong dan giao do an'!$B$14</f>
        <v>5 SV (vai trò chính): 1 PM/Scrum Master kiêm Integration; 2 BA/PO; 3 UI-UX + Frontend; 4 Backend/API + DevOps; 5 Database + QA/Tester. Mỗi SV có nhiệm vụ phụ và minh chứng cá nhân.</v>
      </c>
      <c r="I200" t="s">
        <v>22</v>
      </c>
      <c r="J200" t="s">
        <v>260</v>
      </c>
      <c r="K200" t="str">
        <f>IF(I200="Trung bình",'Huong dan giao do an'!$B$8,IF(I200="Khá",'Huong dan giao do an'!$B$9,'Huong dan giao do an'!$B$10))</f>
        <v>Tối thiểu 4 actor; 10-14 use case; 8-12 bảng; 3 quy trình lõi; phân quyền chi tiết; 2 báo cáo; tích hợp 1 dịch vụ; &gt;=35 test case; CI/CD hoặc deploy cloud.</v>
      </c>
      <c r="L200" t="str">
        <f>'Huong dan giao do an'!$B$31</f>
        <v>Bắt buộc: Charter/PMP; SRS + scope/WBS; Gantt/baseline; effort-cost budget; RACI/timesheet; quality-test-defect; communication/minutes; risk register; procurement; change log; closure/lessons learned.</v>
      </c>
      <c r="M200" t="str">
        <f>'Huong dan giao do an'!$B$33</f>
        <v>Tuần 1: 07.09–13.09.2026; Tuần 2: 14.09–20.09.2026; Tuần 3: 21.09–27.09.2026; Tuần 4: 28.09–04.10.2026; Tuần 5: 05.10–11.10.2026; Tuần 6: 12.10–18.10.2026; Tuần 7: 19.10–25.10.2026; Tuần 8: 26.10–01.11.2026.</v>
      </c>
      <c r="N2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 s="17" t="str">
        <f t="shared" si="3"/>
        <v>Còn trống</v>
      </c>
    </row>
    <row r="201" spans="1:16" x14ac:dyDescent="0.3">
      <c r="A201">
        <v>200</v>
      </c>
      <c r="B201" t="s">
        <v>255</v>
      </c>
      <c r="C201" t="s">
        <v>482</v>
      </c>
      <c r="D201" t="s">
        <v>483</v>
      </c>
      <c r="E201" t="s">
        <v>19</v>
      </c>
      <c r="F201" t="s">
        <v>277</v>
      </c>
      <c r="G201" t="s">
        <v>323</v>
      </c>
      <c r="H201" t="str">
        <f>'Huong dan giao do an'!$B$14</f>
        <v>5 SV (vai trò chính): 1 PM/Scrum Master kiêm Integration; 2 BA/PO; 3 UI-UX + Frontend; 4 Backend/API + DevOps; 5 Database + QA/Tester. Mỗi SV có nhiệm vụ phụ và minh chứng cá nhân.</v>
      </c>
      <c r="I201" t="s">
        <v>29</v>
      </c>
      <c r="J201" t="s">
        <v>265</v>
      </c>
      <c r="K201" t="str">
        <f>IF(I201="Trung bình",'Huong dan giao do an'!$B$8,IF(I201="Khá",'Huong dan giao do an'!$B$9,'Huong dan giao do an'!$B$10))</f>
        <v>Tối thiểu 5 actor; 14-18 use case; 10-15 bảng; 4 quy trình; tích hợp ngoài/realtime hoặc xử lý nâng cao; 3 báo cáo; &gt;=45 test case; logging, backup và deploy.</v>
      </c>
      <c r="L201" t="str">
        <f>'Huong dan giao do an'!$B$31</f>
        <v>Bắt buộc: Charter/PMP; SRS + scope/WBS; Gantt/baseline; effort-cost budget; RACI/timesheet; quality-test-defect; communication/minutes; risk register; procurement; change log; closure/lessons learned.</v>
      </c>
      <c r="M201" t="str">
        <f>'Huong dan giao do an'!$B$33</f>
        <v>Tuần 1: 07.09–13.09.2026; Tuần 2: 14.09–20.09.2026; Tuần 3: 21.09–27.09.2026; Tuần 4: 28.09–04.10.2026; Tuần 5: 05.10–11.10.2026; Tuần 6: 12.10–18.10.2026; Tuần 7: 19.10–25.10.2026; Tuần 8: 26.10–01.11.2026.</v>
      </c>
      <c r="N2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 s="17" t="str">
        <f t="shared" si="3"/>
        <v>Còn trống</v>
      </c>
    </row>
    <row r="202" spans="1:16" x14ac:dyDescent="0.3">
      <c r="A202">
        <v>201</v>
      </c>
      <c r="B202" t="s">
        <v>484</v>
      </c>
      <c r="C202" t="s">
        <v>485</v>
      </c>
      <c r="D202" t="s">
        <v>486</v>
      </c>
      <c r="E202" t="s">
        <v>33</v>
      </c>
      <c r="F202" t="s">
        <v>487</v>
      </c>
      <c r="G202" t="s">
        <v>488</v>
      </c>
      <c r="H202" t="str">
        <f>'Huong dan giao do an'!$B$14</f>
        <v>5 SV (vai trò chính): 1 PM/Scrum Master kiêm Integration; 2 BA/PO; 3 UI-UX + Frontend; 4 Backend/API + DevOps; 5 Database + QA/Tester. Mỗi SV có nhiệm vụ phụ và minh chứng cá nhân.</v>
      </c>
      <c r="I202" t="s">
        <v>22</v>
      </c>
      <c r="J202" t="s">
        <v>489</v>
      </c>
      <c r="K202" t="str">
        <f>IF(I202="Trung bình",'Huong dan giao do an'!$B$8,IF(I202="Khá",'Huong dan giao do an'!$B$9,'Huong dan giao do an'!$B$10))</f>
        <v>Tối thiểu 4 actor; 10-14 use case; 8-12 bảng; 3 quy trình lõi; phân quyền chi tiết; 2 báo cáo; tích hợp 1 dịch vụ; &gt;=35 test case; CI/CD hoặc deploy cloud.</v>
      </c>
      <c r="L202" t="str">
        <f>'Huong dan giao do an'!$B$31</f>
        <v>Bắt buộc: Charter/PMP; SRS + scope/WBS; Gantt/baseline; effort-cost budget; RACI/timesheet; quality-test-defect; communication/minutes; risk register; procurement; change log; closure/lessons learned.</v>
      </c>
      <c r="M202" t="str">
        <f>'Huong dan giao do an'!$B$33</f>
        <v>Tuần 1: 07.09–13.09.2026; Tuần 2: 14.09–20.09.2026; Tuần 3: 21.09–27.09.2026; Tuần 4: 28.09–04.10.2026; Tuần 5: 05.10–11.10.2026; Tuần 6: 12.10–18.10.2026; Tuần 7: 19.10–25.10.2026; Tuần 8: 26.10–01.11.2026.</v>
      </c>
      <c r="N2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 s="17" t="str">
        <f t="shared" si="3"/>
        <v>Còn trống</v>
      </c>
    </row>
    <row r="203" spans="1:16" x14ac:dyDescent="0.3">
      <c r="A203">
        <v>202</v>
      </c>
      <c r="B203" t="s">
        <v>484</v>
      </c>
      <c r="C203" t="s">
        <v>490</v>
      </c>
      <c r="D203" t="s">
        <v>491</v>
      </c>
      <c r="E203" t="s">
        <v>40</v>
      </c>
      <c r="F203" t="s">
        <v>492</v>
      </c>
      <c r="G203" t="s">
        <v>493</v>
      </c>
      <c r="H203" t="str">
        <f>'Huong dan giao do an'!$B$14</f>
        <v>5 SV (vai trò chính): 1 PM/Scrum Master kiêm Integration; 2 BA/PO; 3 UI-UX + Frontend; 4 Backend/API + DevOps; 5 Database + QA/Tester. Mỗi SV có nhiệm vụ phụ và minh chứng cá nhân.</v>
      </c>
      <c r="I203" t="s">
        <v>29</v>
      </c>
      <c r="J203" t="s">
        <v>494</v>
      </c>
      <c r="K203" t="str">
        <f>IF(I203="Trung bình",'Huong dan giao do an'!$B$8,IF(I203="Khá",'Huong dan giao do an'!$B$9,'Huong dan giao do an'!$B$10))</f>
        <v>Tối thiểu 5 actor; 14-18 use case; 10-15 bảng; 4 quy trình; tích hợp ngoài/realtime hoặc xử lý nâng cao; 3 báo cáo; &gt;=45 test case; logging, backup và deploy.</v>
      </c>
      <c r="L203" t="str">
        <f>'Huong dan giao do an'!$B$31</f>
        <v>Bắt buộc: Charter/PMP; SRS + scope/WBS; Gantt/baseline; effort-cost budget; RACI/timesheet; quality-test-defect; communication/minutes; risk register; procurement; change log; closure/lessons learned.</v>
      </c>
      <c r="M203" t="str">
        <f>'Huong dan giao do an'!$B$33</f>
        <v>Tuần 1: 07.09–13.09.2026; Tuần 2: 14.09–20.09.2026; Tuần 3: 21.09–27.09.2026; Tuần 4: 28.09–04.10.2026; Tuần 5: 05.10–11.10.2026; Tuần 6: 12.10–18.10.2026; Tuần 7: 19.10–25.10.2026; Tuần 8: 26.10–01.11.2026.</v>
      </c>
      <c r="N2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 s="17" t="str">
        <f t="shared" si="3"/>
        <v>Còn trống</v>
      </c>
    </row>
    <row r="204" spans="1:16" x14ac:dyDescent="0.3">
      <c r="A204">
        <v>203</v>
      </c>
      <c r="B204" t="s">
        <v>484</v>
      </c>
      <c r="C204" t="s">
        <v>495</v>
      </c>
      <c r="D204" t="s">
        <v>496</v>
      </c>
      <c r="E204" t="s">
        <v>45</v>
      </c>
      <c r="F204" t="s">
        <v>497</v>
      </c>
      <c r="G204" t="s">
        <v>498</v>
      </c>
      <c r="H204" t="str">
        <f>'Huong dan giao do an'!$B$14</f>
        <v>5 SV (vai trò chính): 1 PM/Scrum Master kiêm Integration; 2 BA/PO; 3 UI-UX + Frontend; 4 Backend/API + DevOps; 5 Database + QA/Tester. Mỗi SV có nhiệm vụ phụ và minh chứng cá nhân.</v>
      </c>
      <c r="I204" t="s">
        <v>36</v>
      </c>
      <c r="J204" t="s">
        <v>499</v>
      </c>
      <c r="K204" t="str">
        <f>IF(I204="Trung bình",'Huong dan giao do an'!$B$8,IF(I204="Khá",'Huong dan giao do an'!$B$9,'Huong dan giao do an'!$B$10))</f>
        <v>Tối thiểu 3 actor; 8-10 use case; 6-8 bảng dữ liệu; 2 quy trình lõi; đăng nhập/RBAC; 1 dashboard; 1 báo cáo; &gt;=25 test case; triển khai bản demo.</v>
      </c>
      <c r="L204" t="str">
        <f>'Huong dan giao do an'!$B$31</f>
        <v>Bắt buộc: Charter/PMP; SRS + scope/WBS; Gantt/baseline; effort-cost budget; RACI/timesheet; quality-test-defect; communication/minutes; risk register; procurement; change log; closure/lessons learned.</v>
      </c>
      <c r="M204" t="str">
        <f>'Huong dan giao do an'!$B$33</f>
        <v>Tuần 1: 07.09–13.09.2026; Tuần 2: 14.09–20.09.2026; Tuần 3: 21.09–27.09.2026; Tuần 4: 28.09–04.10.2026; Tuần 5: 05.10–11.10.2026; Tuần 6: 12.10–18.10.2026; Tuần 7: 19.10–25.10.2026; Tuần 8: 26.10–01.11.2026.</v>
      </c>
      <c r="N2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 s="17" t="str">
        <f t="shared" si="3"/>
        <v>Còn trống</v>
      </c>
    </row>
    <row r="205" spans="1:16" x14ac:dyDescent="0.3">
      <c r="A205">
        <v>204</v>
      </c>
      <c r="B205" t="s">
        <v>484</v>
      </c>
      <c r="C205" t="s">
        <v>500</v>
      </c>
      <c r="D205" t="s">
        <v>501</v>
      </c>
      <c r="E205" t="s">
        <v>19</v>
      </c>
      <c r="F205" t="s">
        <v>502</v>
      </c>
      <c r="G205" t="s">
        <v>503</v>
      </c>
      <c r="H205" t="str">
        <f>'Huong dan giao do an'!$B$14</f>
        <v>5 SV (vai trò chính): 1 PM/Scrum Master kiêm Integration; 2 BA/PO; 3 UI-UX + Frontend; 4 Backend/API + DevOps; 5 Database + QA/Tester. Mỗi SV có nhiệm vụ phụ và minh chứng cá nhân.</v>
      </c>
      <c r="I205" t="s">
        <v>22</v>
      </c>
      <c r="J205" t="s">
        <v>489</v>
      </c>
      <c r="K205" t="str">
        <f>IF(I205="Trung bình",'Huong dan giao do an'!$B$8,IF(I205="Khá",'Huong dan giao do an'!$B$9,'Huong dan giao do an'!$B$10))</f>
        <v>Tối thiểu 4 actor; 10-14 use case; 8-12 bảng; 3 quy trình lõi; phân quyền chi tiết; 2 báo cáo; tích hợp 1 dịch vụ; &gt;=35 test case; CI/CD hoặc deploy cloud.</v>
      </c>
      <c r="L205" t="str">
        <f>'Huong dan giao do an'!$B$31</f>
        <v>Bắt buộc: Charter/PMP; SRS + scope/WBS; Gantt/baseline; effort-cost budget; RACI/timesheet; quality-test-defect; communication/minutes; risk register; procurement; change log; closure/lessons learned.</v>
      </c>
      <c r="M205" t="str">
        <f>'Huong dan giao do an'!$B$33</f>
        <v>Tuần 1: 07.09–13.09.2026; Tuần 2: 14.09–20.09.2026; Tuần 3: 21.09–27.09.2026; Tuần 4: 28.09–04.10.2026; Tuần 5: 05.10–11.10.2026; Tuần 6: 12.10–18.10.2026; Tuần 7: 19.10–25.10.2026; Tuần 8: 26.10–01.11.2026.</v>
      </c>
      <c r="N2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 s="17" t="str">
        <f t="shared" si="3"/>
        <v>Còn trống</v>
      </c>
    </row>
    <row r="206" spans="1:16" x14ac:dyDescent="0.3">
      <c r="A206">
        <v>205</v>
      </c>
      <c r="B206" t="s">
        <v>484</v>
      </c>
      <c r="C206" t="s">
        <v>504</v>
      </c>
      <c r="D206" t="s">
        <v>505</v>
      </c>
      <c r="E206" t="s">
        <v>26</v>
      </c>
      <c r="F206" t="s">
        <v>506</v>
      </c>
      <c r="G206" t="s">
        <v>507</v>
      </c>
      <c r="H206" t="str">
        <f>'Huong dan giao do an'!$B$14</f>
        <v>5 SV (vai trò chính): 1 PM/Scrum Master kiêm Integration; 2 BA/PO; 3 UI-UX + Frontend; 4 Backend/API + DevOps; 5 Database + QA/Tester. Mỗi SV có nhiệm vụ phụ và minh chứng cá nhân.</v>
      </c>
      <c r="I206" t="s">
        <v>29</v>
      </c>
      <c r="J206" t="s">
        <v>494</v>
      </c>
      <c r="K206" t="str">
        <f>IF(I206="Trung bình",'Huong dan giao do an'!$B$8,IF(I206="Khá",'Huong dan giao do an'!$B$9,'Huong dan giao do an'!$B$10))</f>
        <v>Tối thiểu 5 actor; 14-18 use case; 10-15 bảng; 4 quy trình; tích hợp ngoài/realtime hoặc xử lý nâng cao; 3 báo cáo; &gt;=45 test case; logging, backup và deploy.</v>
      </c>
      <c r="L206" t="str">
        <f>'Huong dan giao do an'!$B$31</f>
        <v>Bắt buộc: Charter/PMP; SRS + scope/WBS; Gantt/baseline; effort-cost budget; RACI/timesheet; quality-test-defect; communication/minutes; risk register; procurement; change log; closure/lessons learned.</v>
      </c>
      <c r="M206" t="str">
        <f>'Huong dan giao do an'!$B$33</f>
        <v>Tuần 1: 07.09–13.09.2026; Tuần 2: 14.09–20.09.2026; Tuần 3: 21.09–27.09.2026; Tuần 4: 28.09–04.10.2026; Tuần 5: 05.10–11.10.2026; Tuần 6: 12.10–18.10.2026; Tuần 7: 19.10–25.10.2026; Tuần 8: 26.10–01.11.2026.</v>
      </c>
      <c r="N2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 s="17" t="str">
        <f t="shared" si="3"/>
        <v>Còn trống</v>
      </c>
    </row>
    <row r="207" spans="1:16" x14ac:dyDescent="0.3">
      <c r="A207">
        <v>206</v>
      </c>
      <c r="B207" t="s">
        <v>484</v>
      </c>
      <c r="C207" t="s">
        <v>508</v>
      </c>
      <c r="D207" t="s">
        <v>509</v>
      </c>
      <c r="E207" t="s">
        <v>33</v>
      </c>
      <c r="F207" t="s">
        <v>487</v>
      </c>
      <c r="G207" t="s">
        <v>510</v>
      </c>
      <c r="H207" t="str">
        <f>'Huong dan giao do an'!$B$14</f>
        <v>5 SV (vai trò chính): 1 PM/Scrum Master kiêm Integration; 2 BA/PO; 3 UI-UX + Frontend; 4 Backend/API + DevOps; 5 Database + QA/Tester. Mỗi SV có nhiệm vụ phụ và minh chứng cá nhân.</v>
      </c>
      <c r="I207" t="s">
        <v>36</v>
      </c>
      <c r="J207" t="s">
        <v>499</v>
      </c>
      <c r="K207" t="str">
        <f>IF(I207="Trung bình",'Huong dan giao do an'!$B$8,IF(I207="Khá",'Huong dan giao do an'!$B$9,'Huong dan giao do an'!$B$10))</f>
        <v>Tối thiểu 3 actor; 8-10 use case; 6-8 bảng dữ liệu; 2 quy trình lõi; đăng nhập/RBAC; 1 dashboard; 1 báo cáo; &gt;=25 test case; triển khai bản demo.</v>
      </c>
      <c r="L207" t="str">
        <f>'Huong dan giao do an'!$B$31</f>
        <v>Bắt buộc: Charter/PMP; SRS + scope/WBS; Gantt/baseline; effort-cost budget; RACI/timesheet; quality-test-defect; communication/minutes; risk register; procurement; change log; closure/lessons learned.</v>
      </c>
      <c r="M207" t="str">
        <f>'Huong dan giao do an'!$B$33</f>
        <v>Tuần 1: 07.09–13.09.2026; Tuần 2: 14.09–20.09.2026; Tuần 3: 21.09–27.09.2026; Tuần 4: 28.09–04.10.2026; Tuần 5: 05.10–11.10.2026; Tuần 6: 12.10–18.10.2026; Tuần 7: 19.10–25.10.2026; Tuần 8: 26.10–01.11.2026.</v>
      </c>
      <c r="N2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 s="17" t="str">
        <f t="shared" si="3"/>
        <v>Còn trống</v>
      </c>
    </row>
    <row r="208" spans="1:16" x14ac:dyDescent="0.3">
      <c r="A208">
        <v>207</v>
      </c>
      <c r="B208" t="s">
        <v>484</v>
      </c>
      <c r="C208" t="s">
        <v>511</v>
      </c>
      <c r="D208" t="s">
        <v>512</v>
      </c>
      <c r="E208" t="s">
        <v>40</v>
      </c>
      <c r="F208" t="s">
        <v>492</v>
      </c>
      <c r="G208" t="s">
        <v>513</v>
      </c>
      <c r="H208" t="str">
        <f>'Huong dan giao do an'!$B$14</f>
        <v>5 SV (vai trò chính): 1 PM/Scrum Master kiêm Integration; 2 BA/PO; 3 UI-UX + Frontend; 4 Backend/API + DevOps; 5 Database + QA/Tester. Mỗi SV có nhiệm vụ phụ và minh chứng cá nhân.</v>
      </c>
      <c r="I208" t="s">
        <v>22</v>
      </c>
      <c r="J208" t="s">
        <v>489</v>
      </c>
      <c r="K208" t="str">
        <f>IF(I208="Trung bình",'Huong dan giao do an'!$B$8,IF(I208="Khá",'Huong dan giao do an'!$B$9,'Huong dan giao do an'!$B$10))</f>
        <v>Tối thiểu 4 actor; 10-14 use case; 8-12 bảng; 3 quy trình lõi; phân quyền chi tiết; 2 báo cáo; tích hợp 1 dịch vụ; &gt;=35 test case; CI/CD hoặc deploy cloud.</v>
      </c>
      <c r="L208" t="str">
        <f>'Huong dan giao do an'!$B$31</f>
        <v>Bắt buộc: Charter/PMP; SRS + scope/WBS; Gantt/baseline; effort-cost budget; RACI/timesheet; quality-test-defect; communication/minutes; risk register; procurement; change log; closure/lessons learned.</v>
      </c>
      <c r="M208" t="str">
        <f>'Huong dan giao do an'!$B$33</f>
        <v>Tuần 1: 07.09–13.09.2026; Tuần 2: 14.09–20.09.2026; Tuần 3: 21.09–27.09.2026; Tuần 4: 28.09–04.10.2026; Tuần 5: 05.10–11.10.2026; Tuần 6: 12.10–18.10.2026; Tuần 7: 19.10–25.10.2026; Tuần 8: 26.10–01.11.2026.</v>
      </c>
      <c r="N2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 s="17" t="str">
        <f t="shared" si="3"/>
        <v>Còn trống</v>
      </c>
    </row>
    <row r="209" spans="1:16" x14ac:dyDescent="0.3">
      <c r="A209">
        <v>208</v>
      </c>
      <c r="B209" t="s">
        <v>484</v>
      </c>
      <c r="C209" t="s">
        <v>514</v>
      </c>
      <c r="D209" t="s">
        <v>515</v>
      </c>
      <c r="E209" t="s">
        <v>45</v>
      </c>
      <c r="F209" t="s">
        <v>497</v>
      </c>
      <c r="G209" t="s">
        <v>516</v>
      </c>
      <c r="H209" t="str">
        <f>'Huong dan giao do an'!$B$14</f>
        <v>5 SV (vai trò chính): 1 PM/Scrum Master kiêm Integration; 2 BA/PO; 3 UI-UX + Frontend; 4 Backend/API + DevOps; 5 Database + QA/Tester. Mỗi SV có nhiệm vụ phụ và minh chứng cá nhân.</v>
      </c>
      <c r="I209" t="s">
        <v>29</v>
      </c>
      <c r="J209" t="s">
        <v>494</v>
      </c>
      <c r="K209" t="str">
        <f>IF(I209="Trung bình",'Huong dan giao do an'!$B$8,IF(I209="Khá",'Huong dan giao do an'!$B$9,'Huong dan giao do an'!$B$10))</f>
        <v>Tối thiểu 5 actor; 14-18 use case; 10-15 bảng; 4 quy trình; tích hợp ngoài/realtime hoặc xử lý nâng cao; 3 báo cáo; &gt;=45 test case; logging, backup và deploy.</v>
      </c>
      <c r="L209" t="str">
        <f>'Huong dan giao do an'!$B$31</f>
        <v>Bắt buộc: Charter/PMP; SRS + scope/WBS; Gantt/baseline; effort-cost budget; RACI/timesheet; quality-test-defect; communication/minutes; risk register; procurement; change log; closure/lessons learned.</v>
      </c>
      <c r="M209" t="str">
        <f>'Huong dan giao do an'!$B$33</f>
        <v>Tuần 1: 07.09–13.09.2026; Tuần 2: 14.09–20.09.2026; Tuần 3: 21.09–27.09.2026; Tuần 4: 28.09–04.10.2026; Tuần 5: 05.10–11.10.2026; Tuần 6: 12.10–18.10.2026; Tuần 7: 19.10–25.10.2026; Tuần 8: 26.10–01.11.2026.</v>
      </c>
      <c r="N2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 s="17" t="str">
        <f t="shared" si="3"/>
        <v>Còn trống</v>
      </c>
    </row>
    <row r="210" spans="1:16" x14ac:dyDescent="0.3">
      <c r="A210">
        <v>209</v>
      </c>
      <c r="B210" t="s">
        <v>484</v>
      </c>
      <c r="C210" t="s">
        <v>517</v>
      </c>
      <c r="D210" t="s">
        <v>518</v>
      </c>
      <c r="E210" t="s">
        <v>19</v>
      </c>
      <c r="F210" t="s">
        <v>502</v>
      </c>
      <c r="G210" t="s">
        <v>519</v>
      </c>
      <c r="H210" t="str">
        <f>'Huong dan giao do an'!$B$14</f>
        <v>5 SV (vai trò chính): 1 PM/Scrum Master kiêm Integration; 2 BA/PO; 3 UI-UX + Frontend; 4 Backend/API + DevOps; 5 Database + QA/Tester. Mỗi SV có nhiệm vụ phụ và minh chứng cá nhân.</v>
      </c>
      <c r="I210" t="s">
        <v>36</v>
      </c>
      <c r="J210" t="s">
        <v>499</v>
      </c>
      <c r="K210" t="str">
        <f>IF(I210="Trung bình",'Huong dan giao do an'!$B$8,IF(I210="Khá",'Huong dan giao do an'!$B$9,'Huong dan giao do an'!$B$10))</f>
        <v>Tối thiểu 3 actor; 8-10 use case; 6-8 bảng dữ liệu; 2 quy trình lõi; đăng nhập/RBAC; 1 dashboard; 1 báo cáo; &gt;=25 test case; triển khai bản demo.</v>
      </c>
      <c r="L210" t="str">
        <f>'Huong dan giao do an'!$B$31</f>
        <v>Bắt buộc: Charter/PMP; SRS + scope/WBS; Gantt/baseline; effort-cost budget; RACI/timesheet; quality-test-defect; communication/minutes; risk register; procurement; change log; closure/lessons learned.</v>
      </c>
      <c r="M210" t="str">
        <f>'Huong dan giao do an'!$B$33</f>
        <v>Tuần 1: 07.09–13.09.2026; Tuần 2: 14.09–20.09.2026; Tuần 3: 21.09–27.09.2026; Tuần 4: 28.09–04.10.2026; Tuần 5: 05.10–11.10.2026; Tuần 6: 12.10–18.10.2026; Tuần 7: 19.10–25.10.2026; Tuần 8: 26.10–01.11.2026.</v>
      </c>
      <c r="N2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 s="17" t="str">
        <f t="shared" si="3"/>
        <v>Còn trống</v>
      </c>
    </row>
    <row r="211" spans="1:16" x14ac:dyDescent="0.3">
      <c r="A211">
        <v>210</v>
      </c>
      <c r="B211" t="s">
        <v>484</v>
      </c>
      <c r="C211" t="s">
        <v>520</v>
      </c>
      <c r="D211" t="s">
        <v>521</v>
      </c>
      <c r="E211" t="s">
        <v>26</v>
      </c>
      <c r="F211" t="s">
        <v>506</v>
      </c>
      <c r="G211" t="s">
        <v>522</v>
      </c>
      <c r="H211" t="str">
        <f>'Huong dan giao do an'!$B$14</f>
        <v>5 SV (vai trò chính): 1 PM/Scrum Master kiêm Integration; 2 BA/PO; 3 UI-UX + Frontend; 4 Backend/API + DevOps; 5 Database + QA/Tester. Mỗi SV có nhiệm vụ phụ và minh chứng cá nhân.</v>
      </c>
      <c r="I211" t="s">
        <v>22</v>
      </c>
      <c r="J211" t="s">
        <v>489</v>
      </c>
      <c r="K211" t="str">
        <f>IF(I211="Trung bình",'Huong dan giao do an'!$B$8,IF(I211="Khá",'Huong dan giao do an'!$B$9,'Huong dan giao do an'!$B$10))</f>
        <v>Tối thiểu 4 actor; 10-14 use case; 8-12 bảng; 3 quy trình lõi; phân quyền chi tiết; 2 báo cáo; tích hợp 1 dịch vụ; &gt;=35 test case; CI/CD hoặc deploy cloud.</v>
      </c>
      <c r="L211" t="str">
        <f>'Huong dan giao do an'!$B$31</f>
        <v>Bắt buộc: Charter/PMP; SRS + scope/WBS; Gantt/baseline; effort-cost budget; RACI/timesheet; quality-test-defect; communication/minutes; risk register; procurement; change log; closure/lessons learned.</v>
      </c>
      <c r="M211" t="str">
        <f>'Huong dan giao do an'!$B$33</f>
        <v>Tuần 1: 07.09–13.09.2026; Tuần 2: 14.09–20.09.2026; Tuần 3: 21.09–27.09.2026; Tuần 4: 28.09–04.10.2026; Tuần 5: 05.10–11.10.2026; Tuần 6: 12.10–18.10.2026; Tuần 7: 19.10–25.10.2026; Tuần 8: 26.10–01.11.2026.</v>
      </c>
      <c r="N2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 s="17" t="str">
        <f t="shared" si="3"/>
        <v>Còn trống</v>
      </c>
    </row>
    <row r="212" spans="1:16" x14ac:dyDescent="0.3">
      <c r="A212">
        <v>211</v>
      </c>
      <c r="B212" t="s">
        <v>484</v>
      </c>
      <c r="C212" t="s">
        <v>523</v>
      </c>
      <c r="D212" t="s">
        <v>524</v>
      </c>
      <c r="E212" t="s">
        <v>33</v>
      </c>
      <c r="F212" t="s">
        <v>487</v>
      </c>
      <c r="G212" t="s">
        <v>525</v>
      </c>
      <c r="H212" t="str">
        <f>'Huong dan giao do an'!$B$14</f>
        <v>5 SV (vai trò chính): 1 PM/Scrum Master kiêm Integration; 2 BA/PO; 3 UI-UX + Frontend; 4 Backend/API + DevOps; 5 Database + QA/Tester. Mỗi SV có nhiệm vụ phụ và minh chứng cá nhân.</v>
      </c>
      <c r="I212" t="s">
        <v>29</v>
      </c>
      <c r="J212" t="s">
        <v>494</v>
      </c>
      <c r="K212" t="str">
        <f>IF(I212="Trung bình",'Huong dan giao do an'!$B$8,IF(I212="Khá",'Huong dan giao do an'!$B$9,'Huong dan giao do an'!$B$10))</f>
        <v>Tối thiểu 5 actor; 14-18 use case; 10-15 bảng; 4 quy trình; tích hợp ngoài/realtime hoặc xử lý nâng cao; 3 báo cáo; &gt;=45 test case; logging, backup và deploy.</v>
      </c>
      <c r="L212" t="str">
        <f>'Huong dan giao do an'!$B$31</f>
        <v>Bắt buộc: Charter/PMP; SRS + scope/WBS; Gantt/baseline; effort-cost budget; RACI/timesheet; quality-test-defect; communication/minutes; risk register; procurement; change log; closure/lessons learned.</v>
      </c>
      <c r="M212" t="str">
        <f>'Huong dan giao do an'!$B$33</f>
        <v>Tuần 1: 07.09–13.09.2026; Tuần 2: 14.09–20.09.2026; Tuần 3: 21.09–27.09.2026; Tuần 4: 28.09–04.10.2026; Tuần 5: 05.10–11.10.2026; Tuần 6: 12.10–18.10.2026; Tuần 7: 19.10–25.10.2026; Tuần 8: 26.10–01.11.2026.</v>
      </c>
      <c r="N2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 s="17" t="str">
        <f t="shared" si="3"/>
        <v>Còn trống</v>
      </c>
    </row>
    <row r="213" spans="1:16" x14ac:dyDescent="0.3">
      <c r="A213">
        <v>212</v>
      </c>
      <c r="B213" t="s">
        <v>484</v>
      </c>
      <c r="C213" t="s">
        <v>526</v>
      </c>
      <c r="D213" t="s">
        <v>527</v>
      </c>
      <c r="E213" t="s">
        <v>40</v>
      </c>
      <c r="F213" t="s">
        <v>492</v>
      </c>
      <c r="G213" t="s">
        <v>528</v>
      </c>
      <c r="H213" t="str">
        <f>'Huong dan giao do an'!$B$14</f>
        <v>5 SV (vai trò chính): 1 PM/Scrum Master kiêm Integration; 2 BA/PO; 3 UI-UX + Frontend; 4 Backend/API + DevOps; 5 Database + QA/Tester. Mỗi SV có nhiệm vụ phụ và minh chứng cá nhân.</v>
      </c>
      <c r="I213" t="s">
        <v>36</v>
      </c>
      <c r="J213" t="s">
        <v>499</v>
      </c>
      <c r="K213" t="str">
        <f>IF(I213="Trung bình",'Huong dan giao do an'!$B$8,IF(I213="Khá",'Huong dan giao do an'!$B$9,'Huong dan giao do an'!$B$10))</f>
        <v>Tối thiểu 3 actor; 8-10 use case; 6-8 bảng dữ liệu; 2 quy trình lõi; đăng nhập/RBAC; 1 dashboard; 1 báo cáo; &gt;=25 test case; triển khai bản demo.</v>
      </c>
      <c r="L213" t="str">
        <f>'Huong dan giao do an'!$B$31</f>
        <v>Bắt buộc: Charter/PMP; SRS + scope/WBS; Gantt/baseline; effort-cost budget; RACI/timesheet; quality-test-defect; communication/minutes; risk register; procurement; change log; closure/lessons learned.</v>
      </c>
      <c r="M213" t="str">
        <f>'Huong dan giao do an'!$B$33</f>
        <v>Tuần 1: 07.09–13.09.2026; Tuần 2: 14.09–20.09.2026; Tuần 3: 21.09–27.09.2026; Tuần 4: 28.09–04.10.2026; Tuần 5: 05.10–11.10.2026; Tuần 6: 12.10–18.10.2026; Tuần 7: 19.10–25.10.2026; Tuần 8: 26.10–01.11.2026.</v>
      </c>
      <c r="N2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 s="17" t="str">
        <f t="shared" si="3"/>
        <v>Còn trống</v>
      </c>
    </row>
    <row r="214" spans="1:16" x14ac:dyDescent="0.3">
      <c r="A214">
        <v>213</v>
      </c>
      <c r="B214" t="s">
        <v>484</v>
      </c>
      <c r="C214" t="s">
        <v>529</v>
      </c>
      <c r="D214" t="s">
        <v>530</v>
      </c>
      <c r="E214" t="s">
        <v>45</v>
      </c>
      <c r="F214" t="s">
        <v>497</v>
      </c>
      <c r="G214" t="s">
        <v>531</v>
      </c>
      <c r="H214" t="str">
        <f>'Huong dan giao do an'!$B$14</f>
        <v>5 SV (vai trò chính): 1 PM/Scrum Master kiêm Integration; 2 BA/PO; 3 UI-UX + Frontend; 4 Backend/API + DevOps; 5 Database + QA/Tester. Mỗi SV có nhiệm vụ phụ và minh chứng cá nhân.</v>
      </c>
      <c r="I214" t="s">
        <v>22</v>
      </c>
      <c r="J214" t="s">
        <v>489</v>
      </c>
      <c r="K214" t="str">
        <f>IF(I214="Trung bình",'Huong dan giao do an'!$B$8,IF(I214="Khá",'Huong dan giao do an'!$B$9,'Huong dan giao do an'!$B$10))</f>
        <v>Tối thiểu 4 actor; 10-14 use case; 8-12 bảng; 3 quy trình lõi; phân quyền chi tiết; 2 báo cáo; tích hợp 1 dịch vụ; &gt;=35 test case; CI/CD hoặc deploy cloud.</v>
      </c>
      <c r="L214" t="str">
        <f>'Huong dan giao do an'!$B$31</f>
        <v>Bắt buộc: Charter/PMP; SRS + scope/WBS; Gantt/baseline; effort-cost budget; RACI/timesheet; quality-test-defect; communication/minutes; risk register; procurement; change log; closure/lessons learned.</v>
      </c>
      <c r="M214" t="str">
        <f>'Huong dan giao do an'!$B$33</f>
        <v>Tuần 1: 07.09–13.09.2026; Tuần 2: 14.09–20.09.2026; Tuần 3: 21.09–27.09.2026; Tuần 4: 28.09–04.10.2026; Tuần 5: 05.10–11.10.2026; Tuần 6: 12.10–18.10.2026; Tuần 7: 19.10–25.10.2026; Tuần 8: 26.10–01.11.2026.</v>
      </c>
      <c r="N2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 s="17" t="str">
        <f t="shared" si="3"/>
        <v>Còn trống</v>
      </c>
    </row>
    <row r="215" spans="1:16" x14ac:dyDescent="0.3">
      <c r="A215">
        <v>214</v>
      </c>
      <c r="B215" t="s">
        <v>484</v>
      </c>
      <c r="C215" t="s">
        <v>532</v>
      </c>
      <c r="D215" t="s">
        <v>533</v>
      </c>
      <c r="E215" t="s">
        <v>19</v>
      </c>
      <c r="F215" t="s">
        <v>502</v>
      </c>
      <c r="G215" t="s">
        <v>534</v>
      </c>
      <c r="H215" t="str">
        <f>'Huong dan giao do an'!$B$14</f>
        <v>5 SV (vai trò chính): 1 PM/Scrum Master kiêm Integration; 2 BA/PO; 3 UI-UX + Frontend; 4 Backend/API + DevOps; 5 Database + QA/Tester. Mỗi SV có nhiệm vụ phụ và minh chứng cá nhân.</v>
      </c>
      <c r="I215" t="s">
        <v>29</v>
      </c>
      <c r="J215" t="s">
        <v>494</v>
      </c>
      <c r="K215" t="str">
        <f>IF(I215="Trung bình",'Huong dan giao do an'!$B$8,IF(I215="Khá",'Huong dan giao do an'!$B$9,'Huong dan giao do an'!$B$10))</f>
        <v>Tối thiểu 5 actor; 14-18 use case; 10-15 bảng; 4 quy trình; tích hợp ngoài/realtime hoặc xử lý nâng cao; 3 báo cáo; &gt;=45 test case; logging, backup và deploy.</v>
      </c>
      <c r="L215" t="str">
        <f>'Huong dan giao do an'!$B$31</f>
        <v>Bắt buộc: Charter/PMP; SRS + scope/WBS; Gantt/baseline; effort-cost budget; RACI/timesheet; quality-test-defect; communication/minutes; risk register; procurement; change log; closure/lessons learned.</v>
      </c>
      <c r="M215" t="str">
        <f>'Huong dan giao do an'!$B$33</f>
        <v>Tuần 1: 07.09–13.09.2026; Tuần 2: 14.09–20.09.2026; Tuần 3: 21.09–27.09.2026; Tuần 4: 28.09–04.10.2026; Tuần 5: 05.10–11.10.2026; Tuần 6: 12.10–18.10.2026; Tuần 7: 19.10–25.10.2026; Tuần 8: 26.10–01.11.2026.</v>
      </c>
      <c r="N2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 s="17" t="str">
        <f t="shared" si="3"/>
        <v>Còn trống</v>
      </c>
    </row>
    <row r="216" spans="1:16" x14ac:dyDescent="0.3">
      <c r="A216">
        <v>215</v>
      </c>
      <c r="B216" t="s">
        <v>484</v>
      </c>
      <c r="C216" t="s">
        <v>535</v>
      </c>
      <c r="D216" t="s">
        <v>536</v>
      </c>
      <c r="E216" t="s">
        <v>26</v>
      </c>
      <c r="F216" t="s">
        <v>506</v>
      </c>
      <c r="G216" t="s">
        <v>537</v>
      </c>
      <c r="H216" t="str">
        <f>'Huong dan giao do an'!$B$14</f>
        <v>5 SV (vai trò chính): 1 PM/Scrum Master kiêm Integration; 2 BA/PO; 3 UI-UX + Frontend; 4 Backend/API + DevOps; 5 Database + QA/Tester. Mỗi SV có nhiệm vụ phụ và minh chứng cá nhân.</v>
      </c>
      <c r="I216" t="s">
        <v>36</v>
      </c>
      <c r="J216" t="s">
        <v>499</v>
      </c>
      <c r="K216" t="str">
        <f>IF(I216="Trung bình",'Huong dan giao do an'!$B$8,IF(I216="Khá",'Huong dan giao do an'!$B$9,'Huong dan giao do an'!$B$10))</f>
        <v>Tối thiểu 3 actor; 8-10 use case; 6-8 bảng dữ liệu; 2 quy trình lõi; đăng nhập/RBAC; 1 dashboard; 1 báo cáo; &gt;=25 test case; triển khai bản demo.</v>
      </c>
      <c r="L216" t="str">
        <f>'Huong dan giao do an'!$B$31</f>
        <v>Bắt buộc: Charter/PMP; SRS + scope/WBS; Gantt/baseline; effort-cost budget; RACI/timesheet; quality-test-defect; communication/minutes; risk register; procurement; change log; closure/lessons learned.</v>
      </c>
      <c r="M216" t="str">
        <f>'Huong dan giao do an'!$B$33</f>
        <v>Tuần 1: 07.09–13.09.2026; Tuần 2: 14.09–20.09.2026; Tuần 3: 21.09–27.09.2026; Tuần 4: 28.09–04.10.2026; Tuần 5: 05.10–11.10.2026; Tuần 6: 12.10–18.10.2026; Tuần 7: 19.10–25.10.2026; Tuần 8: 26.10–01.11.2026.</v>
      </c>
      <c r="N2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 s="17" t="str">
        <f t="shared" si="3"/>
        <v>Còn trống</v>
      </c>
    </row>
    <row r="217" spans="1:16" x14ac:dyDescent="0.3">
      <c r="A217">
        <v>216</v>
      </c>
      <c r="B217" t="s">
        <v>484</v>
      </c>
      <c r="C217" t="s">
        <v>538</v>
      </c>
      <c r="D217" t="s">
        <v>539</v>
      </c>
      <c r="E217" t="s">
        <v>33</v>
      </c>
      <c r="F217" t="s">
        <v>487</v>
      </c>
      <c r="G217" t="s">
        <v>540</v>
      </c>
      <c r="H217" t="str">
        <f>'Huong dan giao do an'!$B$14</f>
        <v>5 SV (vai trò chính): 1 PM/Scrum Master kiêm Integration; 2 BA/PO; 3 UI-UX + Frontend; 4 Backend/API + DevOps; 5 Database + QA/Tester. Mỗi SV có nhiệm vụ phụ và minh chứng cá nhân.</v>
      </c>
      <c r="I217" t="s">
        <v>22</v>
      </c>
      <c r="J217" t="s">
        <v>489</v>
      </c>
      <c r="K217" t="str">
        <f>IF(I217="Trung bình",'Huong dan giao do an'!$B$8,IF(I217="Khá",'Huong dan giao do an'!$B$9,'Huong dan giao do an'!$B$10))</f>
        <v>Tối thiểu 4 actor; 10-14 use case; 8-12 bảng; 3 quy trình lõi; phân quyền chi tiết; 2 báo cáo; tích hợp 1 dịch vụ; &gt;=35 test case; CI/CD hoặc deploy cloud.</v>
      </c>
      <c r="L217" t="str">
        <f>'Huong dan giao do an'!$B$31</f>
        <v>Bắt buộc: Charter/PMP; SRS + scope/WBS; Gantt/baseline; effort-cost budget; RACI/timesheet; quality-test-defect; communication/minutes; risk register; procurement; change log; closure/lessons learned.</v>
      </c>
      <c r="M217" t="str">
        <f>'Huong dan giao do an'!$B$33</f>
        <v>Tuần 1: 07.09–13.09.2026; Tuần 2: 14.09–20.09.2026; Tuần 3: 21.09–27.09.2026; Tuần 4: 28.09–04.10.2026; Tuần 5: 05.10–11.10.2026; Tuần 6: 12.10–18.10.2026; Tuần 7: 19.10–25.10.2026; Tuần 8: 26.10–01.11.2026.</v>
      </c>
      <c r="N2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 s="17" t="str">
        <f t="shared" si="3"/>
        <v>Còn trống</v>
      </c>
    </row>
    <row r="218" spans="1:16" x14ac:dyDescent="0.3">
      <c r="A218">
        <v>217</v>
      </c>
      <c r="B218" t="s">
        <v>484</v>
      </c>
      <c r="C218" t="s">
        <v>541</v>
      </c>
      <c r="D218" t="s">
        <v>542</v>
      </c>
      <c r="E218" t="s">
        <v>40</v>
      </c>
      <c r="F218" t="s">
        <v>492</v>
      </c>
      <c r="G218" t="s">
        <v>543</v>
      </c>
      <c r="H218" t="str">
        <f>'Huong dan giao do an'!$B$14</f>
        <v>5 SV (vai trò chính): 1 PM/Scrum Master kiêm Integration; 2 BA/PO; 3 UI-UX + Frontend; 4 Backend/API + DevOps; 5 Database + QA/Tester. Mỗi SV có nhiệm vụ phụ và minh chứng cá nhân.</v>
      </c>
      <c r="I218" t="s">
        <v>29</v>
      </c>
      <c r="J218" t="s">
        <v>494</v>
      </c>
      <c r="K218" t="str">
        <f>IF(I218="Trung bình",'Huong dan giao do an'!$B$8,IF(I218="Khá",'Huong dan giao do an'!$B$9,'Huong dan giao do an'!$B$10))</f>
        <v>Tối thiểu 5 actor; 14-18 use case; 10-15 bảng; 4 quy trình; tích hợp ngoài/realtime hoặc xử lý nâng cao; 3 báo cáo; &gt;=45 test case; logging, backup và deploy.</v>
      </c>
      <c r="L218" t="str">
        <f>'Huong dan giao do an'!$B$31</f>
        <v>Bắt buộc: Charter/PMP; SRS + scope/WBS; Gantt/baseline; effort-cost budget; RACI/timesheet; quality-test-defect; communication/minutes; risk register; procurement; change log; closure/lessons learned.</v>
      </c>
      <c r="M218" t="str">
        <f>'Huong dan giao do an'!$B$33</f>
        <v>Tuần 1: 07.09–13.09.2026; Tuần 2: 14.09–20.09.2026; Tuần 3: 21.09–27.09.2026; Tuần 4: 28.09–04.10.2026; Tuần 5: 05.10–11.10.2026; Tuần 6: 12.10–18.10.2026; Tuần 7: 19.10–25.10.2026; Tuần 8: 26.10–01.11.2026.</v>
      </c>
      <c r="N2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 s="17" t="str">
        <f t="shared" si="3"/>
        <v>Còn trống</v>
      </c>
    </row>
    <row r="219" spans="1:16" x14ac:dyDescent="0.3">
      <c r="A219">
        <v>218</v>
      </c>
      <c r="B219" t="s">
        <v>484</v>
      </c>
      <c r="C219" t="s">
        <v>544</v>
      </c>
      <c r="D219" t="s">
        <v>545</v>
      </c>
      <c r="E219" t="s">
        <v>45</v>
      </c>
      <c r="F219" t="s">
        <v>497</v>
      </c>
      <c r="G219" t="s">
        <v>546</v>
      </c>
      <c r="H219" t="str">
        <f>'Huong dan giao do an'!$B$14</f>
        <v>5 SV (vai trò chính): 1 PM/Scrum Master kiêm Integration; 2 BA/PO; 3 UI-UX + Frontend; 4 Backend/API + DevOps; 5 Database + QA/Tester. Mỗi SV có nhiệm vụ phụ và minh chứng cá nhân.</v>
      </c>
      <c r="I219" t="s">
        <v>36</v>
      </c>
      <c r="J219" t="s">
        <v>499</v>
      </c>
      <c r="K219" t="str">
        <f>IF(I219="Trung bình",'Huong dan giao do an'!$B$8,IF(I219="Khá",'Huong dan giao do an'!$B$9,'Huong dan giao do an'!$B$10))</f>
        <v>Tối thiểu 3 actor; 8-10 use case; 6-8 bảng dữ liệu; 2 quy trình lõi; đăng nhập/RBAC; 1 dashboard; 1 báo cáo; &gt;=25 test case; triển khai bản demo.</v>
      </c>
      <c r="L219" t="str">
        <f>'Huong dan giao do an'!$B$31</f>
        <v>Bắt buộc: Charter/PMP; SRS + scope/WBS; Gantt/baseline; effort-cost budget; RACI/timesheet; quality-test-defect; communication/minutes; risk register; procurement; change log; closure/lessons learned.</v>
      </c>
      <c r="M219" t="str">
        <f>'Huong dan giao do an'!$B$33</f>
        <v>Tuần 1: 07.09–13.09.2026; Tuần 2: 14.09–20.09.2026; Tuần 3: 21.09–27.09.2026; Tuần 4: 28.09–04.10.2026; Tuần 5: 05.10–11.10.2026; Tuần 6: 12.10–18.10.2026; Tuần 7: 19.10–25.10.2026; Tuần 8: 26.10–01.11.2026.</v>
      </c>
      <c r="N2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 s="17" t="str">
        <f t="shared" si="3"/>
        <v>Còn trống</v>
      </c>
    </row>
    <row r="220" spans="1:16" x14ac:dyDescent="0.3">
      <c r="A220">
        <v>219</v>
      </c>
      <c r="B220" t="s">
        <v>484</v>
      </c>
      <c r="C220" t="s">
        <v>547</v>
      </c>
      <c r="D220" t="s">
        <v>548</v>
      </c>
      <c r="E220" t="s">
        <v>19</v>
      </c>
      <c r="F220" t="s">
        <v>502</v>
      </c>
      <c r="G220" t="s">
        <v>549</v>
      </c>
      <c r="H220" t="str">
        <f>'Huong dan giao do an'!$B$14</f>
        <v>5 SV (vai trò chính): 1 PM/Scrum Master kiêm Integration; 2 BA/PO; 3 UI-UX + Frontend; 4 Backend/API + DevOps; 5 Database + QA/Tester. Mỗi SV có nhiệm vụ phụ và minh chứng cá nhân.</v>
      </c>
      <c r="I220" t="s">
        <v>22</v>
      </c>
      <c r="J220" t="s">
        <v>489</v>
      </c>
      <c r="K220" t="str">
        <f>IF(I220="Trung bình",'Huong dan giao do an'!$B$8,IF(I220="Khá",'Huong dan giao do an'!$B$9,'Huong dan giao do an'!$B$10))</f>
        <v>Tối thiểu 4 actor; 10-14 use case; 8-12 bảng; 3 quy trình lõi; phân quyền chi tiết; 2 báo cáo; tích hợp 1 dịch vụ; &gt;=35 test case; CI/CD hoặc deploy cloud.</v>
      </c>
      <c r="L220" t="str">
        <f>'Huong dan giao do an'!$B$31</f>
        <v>Bắt buộc: Charter/PMP; SRS + scope/WBS; Gantt/baseline; effort-cost budget; RACI/timesheet; quality-test-defect; communication/minutes; risk register; procurement; change log; closure/lessons learned.</v>
      </c>
      <c r="M220" t="str">
        <f>'Huong dan giao do an'!$B$33</f>
        <v>Tuần 1: 07.09–13.09.2026; Tuần 2: 14.09–20.09.2026; Tuần 3: 21.09–27.09.2026; Tuần 4: 28.09–04.10.2026; Tuần 5: 05.10–11.10.2026; Tuần 6: 12.10–18.10.2026; Tuần 7: 19.10–25.10.2026; Tuần 8: 26.10–01.11.2026.</v>
      </c>
      <c r="N2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 s="17" t="str">
        <f t="shared" si="3"/>
        <v>Còn trống</v>
      </c>
    </row>
    <row r="221" spans="1:16" x14ac:dyDescent="0.3">
      <c r="A221">
        <v>220</v>
      </c>
      <c r="B221" t="s">
        <v>484</v>
      </c>
      <c r="C221" t="s">
        <v>550</v>
      </c>
      <c r="D221" t="s">
        <v>551</v>
      </c>
      <c r="E221" t="s">
        <v>26</v>
      </c>
      <c r="F221" t="s">
        <v>506</v>
      </c>
      <c r="G221" t="s">
        <v>552</v>
      </c>
      <c r="H221" t="str">
        <f>'Huong dan giao do an'!$B$14</f>
        <v>5 SV (vai trò chính): 1 PM/Scrum Master kiêm Integration; 2 BA/PO; 3 UI-UX + Frontend; 4 Backend/API + DevOps; 5 Database + QA/Tester. Mỗi SV có nhiệm vụ phụ và minh chứng cá nhân.</v>
      </c>
      <c r="I221" t="s">
        <v>29</v>
      </c>
      <c r="J221" t="s">
        <v>494</v>
      </c>
      <c r="K221" t="str">
        <f>IF(I221="Trung bình",'Huong dan giao do an'!$B$8,IF(I221="Khá",'Huong dan giao do an'!$B$9,'Huong dan giao do an'!$B$10))</f>
        <v>Tối thiểu 5 actor; 14-18 use case; 10-15 bảng; 4 quy trình; tích hợp ngoài/realtime hoặc xử lý nâng cao; 3 báo cáo; &gt;=45 test case; logging, backup và deploy.</v>
      </c>
      <c r="L221" t="str">
        <f>'Huong dan giao do an'!$B$31</f>
        <v>Bắt buộc: Charter/PMP; SRS + scope/WBS; Gantt/baseline; effort-cost budget; RACI/timesheet; quality-test-defect; communication/minutes; risk register; procurement; change log; closure/lessons learned.</v>
      </c>
      <c r="M221" t="str">
        <f>'Huong dan giao do an'!$B$33</f>
        <v>Tuần 1: 07.09–13.09.2026; Tuần 2: 14.09–20.09.2026; Tuần 3: 21.09–27.09.2026; Tuần 4: 28.09–04.10.2026; Tuần 5: 05.10–11.10.2026; Tuần 6: 12.10–18.10.2026; Tuần 7: 19.10–25.10.2026; Tuần 8: 26.10–01.11.2026.</v>
      </c>
      <c r="N2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 s="17" t="str">
        <f t="shared" si="3"/>
        <v>Còn trống</v>
      </c>
    </row>
    <row r="222" spans="1:16" x14ac:dyDescent="0.3">
      <c r="A222">
        <v>221</v>
      </c>
      <c r="B222" t="s">
        <v>484</v>
      </c>
      <c r="C222" t="s">
        <v>553</v>
      </c>
      <c r="D222" t="s">
        <v>554</v>
      </c>
      <c r="E222" t="s">
        <v>33</v>
      </c>
      <c r="F222" t="s">
        <v>487</v>
      </c>
      <c r="G222" t="s">
        <v>488</v>
      </c>
      <c r="H222" t="str">
        <f>'Huong dan giao do an'!$B$14</f>
        <v>5 SV (vai trò chính): 1 PM/Scrum Master kiêm Integration; 2 BA/PO; 3 UI-UX + Frontend; 4 Backend/API + DevOps; 5 Database + QA/Tester. Mỗi SV có nhiệm vụ phụ và minh chứng cá nhân.</v>
      </c>
      <c r="I222" t="s">
        <v>22</v>
      </c>
      <c r="J222" t="s">
        <v>489</v>
      </c>
      <c r="K222" t="str">
        <f>IF(I222="Trung bình",'Huong dan giao do an'!$B$8,IF(I222="Khá",'Huong dan giao do an'!$B$9,'Huong dan giao do an'!$B$10))</f>
        <v>Tối thiểu 4 actor; 10-14 use case; 8-12 bảng; 3 quy trình lõi; phân quyền chi tiết; 2 báo cáo; tích hợp 1 dịch vụ; &gt;=35 test case; CI/CD hoặc deploy cloud.</v>
      </c>
      <c r="L222" t="str">
        <f>'Huong dan giao do an'!$B$31</f>
        <v>Bắt buộc: Charter/PMP; SRS + scope/WBS; Gantt/baseline; effort-cost budget; RACI/timesheet; quality-test-defect; communication/minutes; risk register; procurement; change log; closure/lessons learned.</v>
      </c>
      <c r="M222" t="str">
        <f>'Huong dan giao do an'!$B$33</f>
        <v>Tuần 1: 07.09–13.09.2026; Tuần 2: 14.09–20.09.2026; Tuần 3: 21.09–27.09.2026; Tuần 4: 28.09–04.10.2026; Tuần 5: 05.10–11.10.2026; Tuần 6: 12.10–18.10.2026; Tuần 7: 19.10–25.10.2026; Tuần 8: 26.10–01.11.2026.</v>
      </c>
      <c r="N2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 s="17" t="str">
        <f t="shared" si="3"/>
        <v>Còn trống</v>
      </c>
    </row>
    <row r="223" spans="1:16" x14ac:dyDescent="0.3">
      <c r="A223">
        <v>222</v>
      </c>
      <c r="B223" t="s">
        <v>484</v>
      </c>
      <c r="C223" t="s">
        <v>555</v>
      </c>
      <c r="D223" t="s">
        <v>556</v>
      </c>
      <c r="E223" t="s">
        <v>40</v>
      </c>
      <c r="F223" t="s">
        <v>492</v>
      </c>
      <c r="G223" t="s">
        <v>493</v>
      </c>
      <c r="H223" t="str">
        <f>'Huong dan giao do an'!$B$14</f>
        <v>5 SV (vai trò chính): 1 PM/Scrum Master kiêm Integration; 2 BA/PO; 3 UI-UX + Frontend; 4 Backend/API + DevOps; 5 Database + QA/Tester. Mỗi SV có nhiệm vụ phụ và minh chứng cá nhân.</v>
      </c>
      <c r="I223" t="s">
        <v>29</v>
      </c>
      <c r="J223" t="s">
        <v>494</v>
      </c>
      <c r="K223" t="str">
        <f>IF(I223="Trung bình",'Huong dan giao do an'!$B$8,IF(I223="Khá",'Huong dan giao do an'!$B$9,'Huong dan giao do an'!$B$10))</f>
        <v>Tối thiểu 5 actor; 14-18 use case; 10-15 bảng; 4 quy trình; tích hợp ngoài/realtime hoặc xử lý nâng cao; 3 báo cáo; &gt;=45 test case; logging, backup và deploy.</v>
      </c>
      <c r="L223" t="str">
        <f>'Huong dan giao do an'!$B$31</f>
        <v>Bắt buộc: Charter/PMP; SRS + scope/WBS; Gantt/baseline; effort-cost budget; RACI/timesheet; quality-test-defect; communication/minutes; risk register; procurement; change log; closure/lessons learned.</v>
      </c>
      <c r="M223" t="str">
        <f>'Huong dan giao do an'!$B$33</f>
        <v>Tuần 1: 07.09–13.09.2026; Tuần 2: 14.09–20.09.2026; Tuần 3: 21.09–27.09.2026; Tuần 4: 28.09–04.10.2026; Tuần 5: 05.10–11.10.2026; Tuần 6: 12.10–18.10.2026; Tuần 7: 19.10–25.10.2026; Tuần 8: 26.10–01.11.2026.</v>
      </c>
      <c r="N2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 s="17" t="str">
        <f t="shared" si="3"/>
        <v>Còn trống</v>
      </c>
    </row>
    <row r="224" spans="1:16" x14ac:dyDescent="0.3">
      <c r="A224">
        <v>223</v>
      </c>
      <c r="B224" t="s">
        <v>484</v>
      </c>
      <c r="C224" t="s">
        <v>557</v>
      </c>
      <c r="D224" t="s">
        <v>558</v>
      </c>
      <c r="E224" t="s">
        <v>45</v>
      </c>
      <c r="F224" t="s">
        <v>497</v>
      </c>
      <c r="G224" t="s">
        <v>498</v>
      </c>
      <c r="H224" t="str">
        <f>'Huong dan giao do an'!$B$14</f>
        <v>5 SV (vai trò chính): 1 PM/Scrum Master kiêm Integration; 2 BA/PO; 3 UI-UX + Frontend; 4 Backend/API + DevOps; 5 Database + QA/Tester. Mỗi SV có nhiệm vụ phụ và minh chứng cá nhân.</v>
      </c>
      <c r="I224" t="s">
        <v>36</v>
      </c>
      <c r="J224" t="s">
        <v>499</v>
      </c>
      <c r="K224" t="str">
        <f>IF(I224="Trung bình",'Huong dan giao do an'!$B$8,IF(I224="Khá",'Huong dan giao do an'!$B$9,'Huong dan giao do an'!$B$10))</f>
        <v>Tối thiểu 3 actor; 8-10 use case; 6-8 bảng dữ liệu; 2 quy trình lõi; đăng nhập/RBAC; 1 dashboard; 1 báo cáo; &gt;=25 test case; triển khai bản demo.</v>
      </c>
      <c r="L224" t="str">
        <f>'Huong dan giao do an'!$B$31</f>
        <v>Bắt buộc: Charter/PMP; SRS + scope/WBS; Gantt/baseline; effort-cost budget; RACI/timesheet; quality-test-defect; communication/minutes; risk register; procurement; change log; closure/lessons learned.</v>
      </c>
      <c r="M224" t="str">
        <f>'Huong dan giao do an'!$B$33</f>
        <v>Tuần 1: 07.09–13.09.2026; Tuần 2: 14.09–20.09.2026; Tuần 3: 21.09–27.09.2026; Tuần 4: 28.09–04.10.2026; Tuần 5: 05.10–11.10.2026; Tuần 6: 12.10–18.10.2026; Tuần 7: 19.10–25.10.2026; Tuần 8: 26.10–01.11.2026.</v>
      </c>
      <c r="N2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 s="17" t="str">
        <f t="shared" si="3"/>
        <v>Còn trống</v>
      </c>
    </row>
    <row r="225" spans="1:16" x14ac:dyDescent="0.3">
      <c r="A225">
        <v>224</v>
      </c>
      <c r="B225" t="s">
        <v>484</v>
      </c>
      <c r="C225" t="s">
        <v>559</v>
      </c>
      <c r="D225" t="s">
        <v>560</v>
      </c>
      <c r="E225" t="s">
        <v>19</v>
      </c>
      <c r="F225" t="s">
        <v>502</v>
      </c>
      <c r="G225" t="s">
        <v>503</v>
      </c>
      <c r="H225" t="str">
        <f>'Huong dan giao do an'!$B$14</f>
        <v>5 SV (vai trò chính): 1 PM/Scrum Master kiêm Integration; 2 BA/PO; 3 UI-UX + Frontend; 4 Backend/API + DevOps; 5 Database + QA/Tester. Mỗi SV có nhiệm vụ phụ và minh chứng cá nhân.</v>
      </c>
      <c r="I225" t="s">
        <v>22</v>
      </c>
      <c r="J225" t="s">
        <v>489</v>
      </c>
      <c r="K225" t="str">
        <f>IF(I225="Trung bình",'Huong dan giao do an'!$B$8,IF(I225="Khá",'Huong dan giao do an'!$B$9,'Huong dan giao do an'!$B$10))</f>
        <v>Tối thiểu 4 actor; 10-14 use case; 8-12 bảng; 3 quy trình lõi; phân quyền chi tiết; 2 báo cáo; tích hợp 1 dịch vụ; &gt;=35 test case; CI/CD hoặc deploy cloud.</v>
      </c>
      <c r="L225" t="str">
        <f>'Huong dan giao do an'!$B$31</f>
        <v>Bắt buộc: Charter/PMP; SRS + scope/WBS; Gantt/baseline; effort-cost budget; RACI/timesheet; quality-test-defect; communication/minutes; risk register; procurement; change log; closure/lessons learned.</v>
      </c>
      <c r="M225" t="str">
        <f>'Huong dan giao do an'!$B$33</f>
        <v>Tuần 1: 07.09–13.09.2026; Tuần 2: 14.09–20.09.2026; Tuần 3: 21.09–27.09.2026; Tuần 4: 28.09–04.10.2026; Tuần 5: 05.10–11.10.2026; Tuần 6: 12.10–18.10.2026; Tuần 7: 19.10–25.10.2026; Tuần 8: 26.10–01.11.2026.</v>
      </c>
      <c r="N2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 s="17" t="str">
        <f t="shared" si="3"/>
        <v>Còn trống</v>
      </c>
    </row>
    <row r="226" spans="1:16" x14ac:dyDescent="0.3">
      <c r="A226">
        <v>225</v>
      </c>
      <c r="B226" t="s">
        <v>484</v>
      </c>
      <c r="C226" t="s">
        <v>561</v>
      </c>
      <c r="D226" t="s">
        <v>562</v>
      </c>
      <c r="E226" t="s">
        <v>26</v>
      </c>
      <c r="F226" t="s">
        <v>506</v>
      </c>
      <c r="G226" t="s">
        <v>507</v>
      </c>
      <c r="H226" t="str">
        <f>'Huong dan giao do an'!$B$14</f>
        <v>5 SV (vai trò chính): 1 PM/Scrum Master kiêm Integration; 2 BA/PO; 3 UI-UX + Frontend; 4 Backend/API + DevOps; 5 Database + QA/Tester. Mỗi SV có nhiệm vụ phụ và minh chứng cá nhân.</v>
      </c>
      <c r="I226" t="s">
        <v>29</v>
      </c>
      <c r="J226" t="s">
        <v>494</v>
      </c>
      <c r="K226" t="str">
        <f>IF(I226="Trung bình",'Huong dan giao do an'!$B$8,IF(I226="Khá",'Huong dan giao do an'!$B$9,'Huong dan giao do an'!$B$10))</f>
        <v>Tối thiểu 5 actor; 14-18 use case; 10-15 bảng; 4 quy trình; tích hợp ngoài/realtime hoặc xử lý nâng cao; 3 báo cáo; &gt;=45 test case; logging, backup và deploy.</v>
      </c>
      <c r="L226" t="str">
        <f>'Huong dan giao do an'!$B$31</f>
        <v>Bắt buộc: Charter/PMP; SRS + scope/WBS; Gantt/baseline; effort-cost budget; RACI/timesheet; quality-test-defect; communication/minutes; risk register; procurement; change log; closure/lessons learned.</v>
      </c>
      <c r="M226" t="str">
        <f>'Huong dan giao do an'!$B$33</f>
        <v>Tuần 1: 07.09–13.09.2026; Tuần 2: 14.09–20.09.2026; Tuần 3: 21.09–27.09.2026; Tuần 4: 28.09–04.10.2026; Tuần 5: 05.10–11.10.2026; Tuần 6: 12.10–18.10.2026; Tuần 7: 19.10–25.10.2026; Tuần 8: 26.10–01.11.2026.</v>
      </c>
      <c r="N2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 s="17" t="str">
        <f t="shared" si="3"/>
        <v>Còn trống</v>
      </c>
    </row>
    <row r="227" spans="1:16" x14ac:dyDescent="0.3">
      <c r="A227">
        <v>226</v>
      </c>
      <c r="B227" t="s">
        <v>484</v>
      </c>
      <c r="C227" t="s">
        <v>563</v>
      </c>
      <c r="D227" t="s">
        <v>564</v>
      </c>
      <c r="E227" t="s">
        <v>33</v>
      </c>
      <c r="F227" t="s">
        <v>487</v>
      </c>
      <c r="G227" t="s">
        <v>510</v>
      </c>
      <c r="H227" t="str">
        <f>'Huong dan giao do an'!$B$14</f>
        <v>5 SV (vai trò chính): 1 PM/Scrum Master kiêm Integration; 2 BA/PO; 3 UI-UX + Frontend; 4 Backend/API + DevOps; 5 Database + QA/Tester. Mỗi SV có nhiệm vụ phụ và minh chứng cá nhân.</v>
      </c>
      <c r="I227" t="s">
        <v>36</v>
      </c>
      <c r="J227" t="s">
        <v>499</v>
      </c>
      <c r="K227" t="str">
        <f>IF(I227="Trung bình",'Huong dan giao do an'!$B$8,IF(I227="Khá",'Huong dan giao do an'!$B$9,'Huong dan giao do an'!$B$10))</f>
        <v>Tối thiểu 3 actor; 8-10 use case; 6-8 bảng dữ liệu; 2 quy trình lõi; đăng nhập/RBAC; 1 dashboard; 1 báo cáo; &gt;=25 test case; triển khai bản demo.</v>
      </c>
      <c r="L227" t="str">
        <f>'Huong dan giao do an'!$B$31</f>
        <v>Bắt buộc: Charter/PMP; SRS + scope/WBS; Gantt/baseline; effort-cost budget; RACI/timesheet; quality-test-defect; communication/minutes; risk register; procurement; change log; closure/lessons learned.</v>
      </c>
      <c r="M227" t="str">
        <f>'Huong dan giao do an'!$B$33</f>
        <v>Tuần 1: 07.09–13.09.2026; Tuần 2: 14.09–20.09.2026; Tuần 3: 21.09–27.09.2026; Tuần 4: 28.09–04.10.2026; Tuần 5: 05.10–11.10.2026; Tuần 6: 12.10–18.10.2026; Tuần 7: 19.10–25.10.2026; Tuần 8: 26.10–01.11.2026.</v>
      </c>
      <c r="N2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 s="17" t="str">
        <f t="shared" si="3"/>
        <v>Còn trống</v>
      </c>
    </row>
    <row r="228" spans="1:16" x14ac:dyDescent="0.3">
      <c r="A228">
        <v>227</v>
      </c>
      <c r="B228" t="s">
        <v>484</v>
      </c>
      <c r="C228" t="s">
        <v>565</v>
      </c>
      <c r="D228" t="s">
        <v>566</v>
      </c>
      <c r="E228" t="s">
        <v>40</v>
      </c>
      <c r="F228" t="s">
        <v>492</v>
      </c>
      <c r="G228" t="s">
        <v>513</v>
      </c>
      <c r="H228" t="str">
        <f>'Huong dan giao do an'!$B$14</f>
        <v>5 SV (vai trò chính): 1 PM/Scrum Master kiêm Integration; 2 BA/PO; 3 UI-UX + Frontend; 4 Backend/API + DevOps; 5 Database + QA/Tester. Mỗi SV có nhiệm vụ phụ và minh chứng cá nhân.</v>
      </c>
      <c r="I228" t="s">
        <v>22</v>
      </c>
      <c r="J228" t="s">
        <v>489</v>
      </c>
      <c r="K228" t="str">
        <f>IF(I228="Trung bình",'Huong dan giao do an'!$B$8,IF(I228="Khá",'Huong dan giao do an'!$B$9,'Huong dan giao do an'!$B$10))</f>
        <v>Tối thiểu 4 actor; 10-14 use case; 8-12 bảng; 3 quy trình lõi; phân quyền chi tiết; 2 báo cáo; tích hợp 1 dịch vụ; &gt;=35 test case; CI/CD hoặc deploy cloud.</v>
      </c>
      <c r="L228" t="str">
        <f>'Huong dan giao do an'!$B$31</f>
        <v>Bắt buộc: Charter/PMP; SRS + scope/WBS; Gantt/baseline; effort-cost budget; RACI/timesheet; quality-test-defect; communication/minutes; risk register; procurement; change log; closure/lessons learned.</v>
      </c>
      <c r="M228" t="str">
        <f>'Huong dan giao do an'!$B$33</f>
        <v>Tuần 1: 07.09–13.09.2026; Tuần 2: 14.09–20.09.2026; Tuần 3: 21.09–27.09.2026; Tuần 4: 28.09–04.10.2026; Tuần 5: 05.10–11.10.2026; Tuần 6: 12.10–18.10.2026; Tuần 7: 19.10–25.10.2026; Tuần 8: 26.10–01.11.2026.</v>
      </c>
      <c r="N2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 s="17" t="str">
        <f t="shared" si="3"/>
        <v>Còn trống</v>
      </c>
    </row>
    <row r="229" spans="1:16" x14ac:dyDescent="0.3">
      <c r="A229">
        <v>228</v>
      </c>
      <c r="B229" t="s">
        <v>484</v>
      </c>
      <c r="C229" t="s">
        <v>567</v>
      </c>
      <c r="D229" t="s">
        <v>568</v>
      </c>
      <c r="E229" t="s">
        <v>45</v>
      </c>
      <c r="F229" t="s">
        <v>497</v>
      </c>
      <c r="G229" t="s">
        <v>516</v>
      </c>
      <c r="H229" t="str">
        <f>'Huong dan giao do an'!$B$14</f>
        <v>5 SV (vai trò chính): 1 PM/Scrum Master kiêm Integration; 2 BA/PO; 3 UI-UX + Frontend; 4 Backend/API + DevOps; 5 Database + QA/Tester. Mỗi SV có nhiệm vụ phụ và minh chứng cá nhân.</v>
      </c>
      <c r="I229" t="s">
        <v>29</v>
      </c>
      <c r="J229" t="s">
        <v>494</v>
      </c>
      <c r="K229" t="str">
        <f>IF(I229="Trung bình",'Huong dan giao do an'!$B$8,IF(I229="Khá",'Huong dan giao do an'!$B$9,'Huong dan giao do an'!$B$10))</f>
        <v>Tối thiểu 5 actor; 14-18 use case; 10-15 bảng; 4 quy trình; tích hợp ngoài/realtime hoặc xử lý nâng cao; 3 báo cáo; &gt;=45 test case; logging, backup và deploy.</v>
      </c>
      <c r="L229" t="str">
        <f>'Huong dan giao do an'!$B$31</f>
        <v>Bắt buộc: Charter/PMP; SRS + scope/WBS; Gantt/baseline; effort-cost budget; RACI/timesheet; quality-test-defect; communication/minutes; risk register; procurement; change log; closure/lessons learned.</v>
      </c>
      <c r="M229" t="str">
        <f>'Huong dan giao do an'!$B$33</f>
        <v>Tuần 1: 07.09–13.09.2026; Tuần 2: 14.09–20.09.2026; Tuần 3: 21.09–27.09.2026; Tuần 4: 28.09–04.10.2026; Tuần 5: 05.10–11.10.2026; Tuần 6: 12.10–18.10.2026; Tuần 7: 19.10–25.10.2026; Tuần 8: 26.10–01.11.2026.</v>
      </c>
      <c r="N2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 s="17" t="str">
        <f t="shared" si="3"/>
        <v>Còn trống</v>
      </c>
    </row>
    <row r="230" spans="1:16" x14ac:dyDescent="0.3">
      <c r="A230">
        <v>229</v>
      </c>
      <c r="B230" t="s">
        <v>484</v>
      </c>
      <c r="C230" t="s">
        <v>569</v>
      </c>
      <c r="D230" t="s">
        <v>570</v>
      </c>
      <c r="E230" t="s">
        <v>19</v>
      </c>
      <c r="F230" t="s">
        <v>502</v>
      </c>
      <c r="G230" t="s">
        <v>519</v>
      </c>
      <c r="H230" t="str">
        <f>'Huong dan giao do an'!$B$14</f>
        <v>5 SV (vai trò chính): 1 PM/Scrum Master kiêm Integration; 2 BA/PO; 3 UI-UX + Frontend; 4 Backend/API + DevOps; 5 Database + QA/Tester. Mỗi SV có nhiệm vụ phụ và minh chứng cá nhân.</v>
      </c>
      <c r="I230" t="s">
        <v>36</v>
      </c>
      <c r="J230" t="s">
        <v>499</v>
      </c>
      <c r="K230" t="str">
        <f>IF(I230="Trung bình",'Huong dan giao do an'!$B$8,IF(I230="Khá",'Huong dan giao do an'!$B$9,'Huong dan giao do an'!$B$10))</f>
        <v>Tối thiểu 3 actor; 8-10 use case; 6-8 bảng dữ liệu; 2 quy trình lõi; đăng nhập/RBAC; 1 dashboard; 1 báo cáo; &gt;=25 test case; triển khai bản demo.</v>
      </c>
      <c r="L230" t="str">
        <f>'Huong dan giao do an'!$B$31</f>
        <v>Bắt buộc: Charter/PMP; SRS + scope/WBS; Gantt/baseline; effort-cost budget; RACI/timesheet; quality-test-defect; communication/minutes; risk register; procurement; change log; closure/lessons learned.</v>
      </c>
      <c r="M230" t="str">
        <f>'Huong dan giao do an'!$B$33</f>
        <v>Tuần 1: 07.09–13.09.2026; Tuần 2: 14.09–20.09.2026; Tuần 3: 21.09–27.09.2026; Tuần 4: 28.09–04.10.2026; Tuần 5: 05.10–11.10.2026; Tuần 6: 12.10–18.10.2026; Tuần 7: 19.10–25.10.2026; Tuần 8: 26.10–01.11.2026.</v>
      </c>
      <c r="N2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 s="17" t="str">
        <f t="shared" si="3"/>
        <v>Còn trống</v>
      </c>
    </row>
    <row r="231" spans="1:16" x14ac:dyDescent="0.3">
      <c r="A231">
        <v>230</v>
      </c>
      <c r="B231" t="s">
        <v>484</v>
      </c>
      <c r="C231" t="s">
        <v>571</v>
      </c>
      <c r="D231" t="s">
        <v>572</v>
      </c>
      <c r="E231" t="s">
        <v>26</v>
      </c>
      <c r="F231" t="s">
        <v>506</v>
      </c>
      <c r="G231" t="s">
        <v>522</v>
      </c>
      <c r="H231" t="str">
        <f>'Huong dan giao do an'!$B$14</f>
        <v>5 SV (vai trò chính): 1 PM/Scrum Master kiêm Integration; 2 BA/PO; 3 UI-UX + Frontend; 4 Backend/API + DevOps; 5 Database + QA/Tester. Mỗi SV có nhiệm vụ phụ và minh chứng cá nhân.</v>
      </c>
      <c r="I231" t="s">
        <v>22</v>
      </c>
      <c r="J231" t="s">
        <v>489</v>
      </c>
      <c r="K231" t="str">
        <f>IF(I231="Trung bình",'Huong dan giao do an'!$B$8,IF(I231="Khá",'Huong dan giao do an'!$B$9,'Huong dan giao do an'!$B$10))</f>
        <v>Tối thiểu 4 actor; 10-14 use case; 8-12 bảng; 3 quy trình lõi; phân quyền chi tiết; 2 báo cáo; tích hợp 1 dịch vụ; &gt;=35 test case; CI/CD hoặc deploy cloud.</v>
      </c>
      <c r="L231" t="str">
        <f>'Huong dan giao do an'!$B$31</f>
        <v>Bắt buộc: Charter/PMP; SRS + scope/WBS; Gantt/baseline; effort-cost budget; RACI/timesheet; quality-test-defect; communication/minutes; risk register; procurement; change log; closure/lessons learned.</v>
      </c>
      <c r="M231" t="str">
        <f>'Huong dan giao do an'!$B$33</f>
        <v>Tuần 1: 07.09–13.09.2026; Tuần 2: 14.09–20.09.2026; Tuần 3: 21.09–27.09.2026; Tuần 4: 28.09–04.10.2026; Tuần 5: 05.10–11.10.2026; Tuần 6: 12.10–18.10.2026; Tuần 7: 19.10–25.10.2026; Tuần 8: 26.10–01.11.2026.</v>
      </c>
      <c r="N2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 s="17" t="str">
        <f t="shared" si="3"/>
        <v>Còn trống</v>
      </c>
    </row>
    <row r="232" spans="1:16" x14ac:dyDescent="0.3">
      <c r="A232">
        <v>231</v>
      </c>
      <c r="B232" t="s">
        <v>484</v>
      </c>
      <c r="C232" t="s">
        <v>573</v>
      </c>
      <c r="D232" t="s">
        <v>574</v>
      </c>
      <c r="E232" t="s">
        <v>33</v>
      </c>
      <c r="F232" t="s">
        <v>487</v>
      </c>
      <c r="G232" t="s">
        <v>525</v>
      </c>
      <c r="H232" t="str">
        <f>'Huong dan giao do an'!$B$14</f>
        <v>5 SV (vai trò chính): 1 PM/Scrum Master kiêm Integration; 2 BA/PO; 3 UI-UX + Frontend; 4 Backend/API + DevOps; 5 Database + QA/Tester. Mỗi SV có nhiệm vụ phụ và minh chứng cá nhân.</v>
      </c>
      <c r="I232" t="s">
        <v>29</v>
      </c>
      <c r="J232" t="s">
        <v>494</v>
      </c>
      <c r="K232" t="str">
        <f>IF(I232="Trung bình",'Huong dan giao do an'!$B$8,IF(I232="Khá",'Huong dan giao do an'!$B$9,'Huong dan giao do an'!$B$10))</f>
        <v>Tối thiểu 5 actor; 14-18 use case; 10-15 bảng; 4 quy trình; tích hợp ngoài/realtime hoặc xử lý nâng cao; 3 báo cáo; &gt;=45 test case; logging, backup và deploy.</v>
      </c>
      <c r="L232" t="str">
        <f>'Huong dan giao do an'!$B$31</f>
        <v>Bắt buộc: Charter/PMP; SRS + scope/WBS; Gantt/baseline; effort-cost budget; RACI/timesheet; quality-test-defect; communication/minutes; risk register; procurement; change log; closure/lessons learned.</v>
      </c>
      <c r="M232" t="str">
        <f>'Huong dan giao do an'!$B$33</f>
        <v>Tuần 1: 07.09–13.09.2026; Tuần 2: 14.09–20.09.2026; Tuần 3: 21.09–27.09.2026; Tuần 4: 28.09–04.10.2026; Tuần 5: 05.10–11.10.2026; Tuần 6: 12.10–18.10.2026; Tuần 7: 19.10–25.10.2026; Tuần 8: 26.10–01.11.2026.</v>
      </c>
      <c r="N2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 s="17" t="str">
        <f t="shared" si="3"/>
        <v>Còn trống</v>
      </c>
    </row>
    <row r="233" spans="1:16" x14ac:dyDescent="0.3">
      <c r="A233">
        <v>232</v>
      </c>
      <c r="B233" t="s">
        <v>484</v>
      </c>
      <c r="C233" t="s">
        <v>575</v>
      </c>
      <c r="D233" t="s">
        <v>576</v>
      </c>
      <c r="E233" t="s">
        <v>40</v>
      </c>
      <c r="F233" t="s">
        <v>492</v>
      </c>
      <c r="G233" t="s">
        <v>528</v>
      </c>
      <c r="H233" t="str">
        <f>'Huong dan giao do an'!$B$14</f>
        <v>5 SV (vai trò chính): 1 PM/Scrum Master kiêm Integration; 2 BA/PO; 3 UI-UX + Frontend; 4 Backend/API + DevOps; 5 Database + QA/Tester. Mỗi SV có nhiệm vụ phụ và minh chứng cá nhân.</v>
      </c>
      <c r="I233" t="s">
        <v>36</v>
      </c>
      <c r="J233" t="s">
        <v>499</v>
      </c>
      <c r="K233" t="str">
        <f>IF(I233="Trung bình",'Huong dan giao do an'!$B$8,IF(I233="Khá",'Huong dan giao do an'!$B$9,'Huong dan giao do an'!$B$10))</f>
        <v>Tối thiểu 3 actor; 8-10 use case; 6-8 bảng dữ liệu; 2 quy trình lõi; đăng nhập/RBAC; 1 dashboard; 1 báo cáo; &gt;=25 test case; triển khai bản demo.</v>
      </c>
      <c r="L233" t="str">
        <f>'Huong dan giao do an'!$B$31</f>
        <v>Bắt buộc: Charter/PMP; SRS + scope/WBS; Gantt/baseline; effort-cost budget; RACI/timesheet; quality-test-defect; communication/minutes; risk register; procurement; change log; closure/lessons learned.</v>
      </c>
      <c r="M233" t="str">
        <f>'Huong dan giao do an'!$B$33</f>
        <v>Tuần 1: 07.09–13.09.2026; Tuần 2: 14.09–20.09.2026; Tuần 3: 21.09–27.09.2026; Tuần 4: 28.09–04.10.2026; Tuần 5: 05.10–11.10.2026; Tuần 6: 12.10–18.10.2026; Tuần 7: 19.10–25.10.2026; Tuần 8: 26.10–01.11.2026.</v>
      </c>
      <c r="N2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 s="17" t="str">
        <f t="shared" si="3"/>
        <v>Còn trống</v>
      </c>
    </row>
    <row r="234" spans="1:16" x14ac:dyDescent="0.3">
      <c r="A234">
        <v>233</v>
      </c>
      <c r="B234" t="s">
        <v>484</v>
      </c>
      <c r="C234" t="s">
        <v>577</v>
      </c>
      <c r="D234" t="s">
        <v>578</v>
      </c>
      <c r="E234" t="s">
        <v>45</v>
      </c>
      <c r="F234" t="s">
        <v>497</v>
      </c>
      <c r="G234" t="s">
        <v>531</v>
      </c>
      <c r="H234" t="str">
        <f>'Huong dan giao do an'!$B$14</f>
        <v>5 SV (vai trò chính): 1 PM/Scrum Master kiêm Integration; 2 BA/PO; 3 UI-UX + Frontend; 4 Backend/API + DevOps; 5 Database + QA/Tester. Mỗi SV có nhiệm vụ phụ và minh chứng cá nhân.</v>
      </c>
      <c r="I234" t="s">
        <v>22</v>
      </c>
      <c r="J234" t="s">
        <v>489</v>
      </c>
      <c r="K234" t="str">
        <f>IF(I234="Trung bình",'Huong dan giao do an'!$B$8,IF(I234="Khá",'Huong dan giao do an'!$B$9,'Huong dan giao do an'!$B$10))</f>
        <v>Tối thiểu 4 actor; 10-14 use case; 8-12 bảng; 3 quy trình lõi; phân quyền chi tiết; 2 báo cáo; tích hợp 1 dịch vụ; &gt;=35 test case; CI/CD hoặc deploy cloud.</v>
      </c>
      <c r="L234" t="str">
        <f>'Huong dan giao do an'!$B$31</f>
        <v>Bắt buộc: Charter/PMP; SRS + scope/WBS; Gantt/baseline; effort-cost budget; RACI/timesheet; quality-test-defect; communication/minutes; risk register; procurement; change log; closure/lessons learned.</v>
      </c>
      <c r="M234" t="str">
        <f>'Huong dan giao do an'!$B$33</f>
        <v>Tuần 1: 07.09–13.09.2026; Tuần 2: 14.09–20.09.2026; Tuần 3: 21.09–27.09.2026; Tuần 4: 28.09–04.10.2026; Tuần 5: 05.10–11.10.2026; Tuần 6: 12.10–18.10.2026; Tuần 7: 19.10–25.10.2026; Tuần 8: 26.10–01.11.2026.</v>
      </c>
      <c r="N2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 s="17" t="str">
        <f t="shared" si="3"/>
        <v>Còn trống</v>
      </c>
    </row>
    <row r="235" spans="1:16" x14ac:dyDescent="0.3">
      <c r="A235">
        <v>234</v>
      </c>
      <c r="B235" t="s">
        <v>484</v>
      </c>
      <c r="C235" t="s">
        <v>579</v>
      </c>
      <c r="D235" t="s">
        <v>580</v>
      </c>
      <c r="E235" t="s">
        <v>19</v>
      </c>
      <c r="F235" t="s">
        <v>502</v>
      </c>
      <c r="G235" t="s">
        <v>534</v>
      </c>
      <c r="H235" t="str">
        <f>'Huong dan giao do an'!$B$14</f>
        <v>5 SV (vai trò chính): 1 PM/Scrum Master kiêm Integration; 2 BA/PO; 3 UI-UX + Frontend; 4 Backend/API + DevOps; 5 Database + QA/Tester. Mỗi SV có nhiệm vụ phụ và minh chứng cá nhân.</v>
      </c>
      <c r="I235" t="s">
        <v>29</v>
      </c>
      <c r="J235" t="s">
        <v>494</v>
      </c>
      <c r="K235" t="str">
        <f>IF(I235="Trung bình",'Huong dan giao do an'!$B$8,IF(I235="Khá",'Huong dan giao do an'!$B$9,'Huong dan giao do an'!$B$10))</f>
        <v>Tối thiểu 5 actor; 14-18 use case; 10-15 bảng; 4 quy trình; tích hợp ngoài/realtime hoặc xử lý nâng cao; 3 báo cáo; &gt;=45 test case; logging, backup và deploy.</v>
      </c>
      <c r="L235" t="str">
        <f>'Huong dan giao do an'!$B$31</f>
        <v>Bắt buộc: Charter/PMP; SRS + scope/WBS; Gantt/baseline; effort-cost budget; RACI/timesheet; quality-test-defect; communication/minutes; risk register; procurement; change log; closure/lessons learned.</v>
      </c>
      <c r="M235" t="str">
        <f>'Huong dan giao do an'!$B$33</f>
        <v>Tuần 1: 07.09–13.09.2026; Tuần 2: 14.09–20.09.2026; Tuần 3: 21.09–27.09.2026; Tuần 4: 28.09–04.10.2026; Tuần 5: 05.10–11.10.2026; Tuần 6: 12.10–18.10.2026; Tuần 7: 19.10–25.10.2026; Tuần 8: 26.10–01.11.2026.</v>
      </c>
      <c r="N2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 s="17" t="str">
        <f t="shared" si="3"/>
        <v>Còn trống</v>
      </c>
    </row>
    <row r="236" spans="1:16" x14ac:dyDescent="0.3">
      <c r="A236">
        <v>235</v>
      </c>
      <c r="B236" t="s">
        <v>484</v>
      </c>
      <c r="C236" t="s">
        <v>581</v>
      </c>
      <c r="D236" t="s">
        <v>582</v>
      </c>
      <c r="E236" t="s">
        <v>26</v>
      </c>
      <c r="F236" t="s">
        <v>506</v>
      </c>
      <c r="G236" t="s">
        <v>537</v>
      </c>
      <c r="H236" t="str">
        <f>'Huong dan giao do an'!$B$14</f>
        <v>5 SV (vai trò chính): 1 PM/Scrum Master kiêm Integration; 2 BA/PO; 3 UI-UX + Frontend; 4 Backend/API + DevOps; 5 Database + QA/Tester. Mỗi SV có nhiệm vụ phụ và minh chứng cá nhân.</v>
      </c>
      <c r="I236" t="s">
        <v>36</v>
      </c>
      <c r="J236" t="s">
        <v>499</v>
      </c>
      <c r="K236" t="str">
        <f>IF(I236="Trung bình",'Huong dan giao do an'!$B$8,IF(I236="Khá",'Huong dan giao do an'!$B$9,'Huong dan giao do an'!$B$10))</f>
        <v>Tối thiểu 3 actor; 8-10 use case; 6-8 bảng dữ liệu; 2 quy trình lõi; đăng nhập/RBAC; 1 dashboard; 1 báo cáo; &gt;=25 test case; triển khai bản demo.</v>
      </c>
      <c r="L236" t="str">
        <f>'Huong dan giao do an'!$B$31</f>
        <v>Bắt buộc: Charter/PMP; SRS + scope/WBS; Gantt/baseline; effort-cost budget; RACI/timesheet; quality-test-defect; communication/minutes; risk register; procurement; change log; closure/lessons learned.</v>
      </c>
      <c r="M236" t="str">
        <f>'Huong dan giao do an'!$B$33</f>
        <v>Tuần 1: 07.09–13.09.2026; Tuần 2: 14.09–20.09.2026; Tuần 3: 21.09–27.09.2026; Tuần 4: 28.09–04.10.2026; Tuần 5: 05.10–11.10.2026; Tuần 6: 12.10–18.10.2026; Tuần 7: 19.10–25.10.2026; Tuần 8: 26.10–01.11.2026.</v>
      </c>
      <c r="N2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 s="17" t="str">
        <f t="shared" si="3"/>
        <v>Còn trống</v>
      </c>
    </row>
    <row r="237" spans="1:16" x14ac:dyDescent="0.3">
      <c r="A237">
        <v>236</v>
      </c>
      <c r="B237" t="s">
        <v>484</v>
      </c>
      <c r="C237" t="s">
        <v>583</v>
      </c>
      <c r="D237" t="s">
        <v>584</v>
      </c>
      <c r="E237" t="s">
        <v>33</v>
      </c>
      <c r="F237" t="s">
        <v>487</v>
      </c>
      <c r="G237" t="s">
        <v>540</v>
      </c>
      <c r="H237" t="str">
        <f>'Huong dan giao do an'!$B$14</f>
        <v>5 SV (vai trò chính): 1 PM/Scrum Master kiêm Integration; 2 BA/PO; 3 UI-UX + Frontend; 4 Backend/API + DevOps; 5 Database + QA/Tester. Mỗi SV có nhiệm vụ phụ và minh chứng cá nhân.</v>
      </c>
      <c r="I237" t="s">
        <v>22</v>
      </c>
      <c r="J237" t="s">
        <v>489</v>
      </c>
      <c r="K237" t="str">
        <f>IF(I237="Trung bình",'Huong dan giao do an'!$B$8,IF(I237="Khá",'Huong dan giao do an'!$B$9,'Huong dan giao do an'!$B$10))</f>
        <v>Tối thiểu 4 actor; 10-14 use case; 8-12 bảng; 3 quy trình lõi; phân quyền chi tiết; 2 báo cáo; tích hợp 1 dịch vụ; &gt;=35 test case; CI/CD hoặc deploy cloud.</v>
      </c>
      <c r="L237" t="str">
        <f>'Huong dan giao do an'!$B$31</f>
        <v>Bắt buộc: Charter/PMP; SRS + scope/WBS; Gantt/baseline; effort-cost budget; RACI/timesheet; quality-test-defect; communication/minutes; risk register; procurement; change log; closure/lessons learned.</v>
      </c>
      <c r="M237" t="str">
        <f>'Huong dan giao do an'!$B$33</f>
        <v>Tuần 1: 07.09–13.09.2026; Tuần 2: 14.09–20.09.2026; Tuần 3: 21.09–27.09.2026; Tuần 4: 28.09–04.10.2026; Tuần 5: 05.10–11.10.2026; Tuần 6: 12.10–18.10.2026; Tuần 7: 19.10–25.10.2026; Tuần 8: 26.10–01.11.2026.</v>
      </c>
      <c r="N2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 s="17" t="str">
        <f t="shared" si="3"/>
        <v>Còn trống</v>
      </c>
    </row>
    <row r="238" spans="1:16" x14ac:dyDescent="0.3">
      <c r="A238">
        <v>237</v>
      </c>
      <c r="B238" t="s">
        <v>484</v>
      </c>
      <c r="C238" t="s">
        <v>585</v>
      </c>
      <c r="D238" t="s">
        <v>586</v>
      </c>
      <c r="E238" t="s">
        <v>40</v>
      </c>
      <c r="F238" t="s">
        <v>492</v>
      </c>
      <c r="G238" t="s">
        <v>543</v>
      </c>
      <c r="H238" t="str">
        <f>'Huong dan giao do an'!$B$14</f>
        <v>5 SV (vai trò chính): 1 PM/Scrum Master kiêm Integration; 2 BA/PO; 3 UI-UX + Frontend; 4 Backend/API + DevOps; 5 Database + QA/Tester. Mỗi SV có nhiệm vụ phụ và minh chứng cá nhân.</v>
      </c>
      <c r="I238" t="s">
        <v>29</v>
      </c>
      <c r="J238" t="s">
        <v>494</v>
      </c>
      <c r="K238" t="str">
        <f>IF(I238="Trung bình",'Huong dan giao do an'!$B$8,IF(I238="Khá",'Huong dan giao do an'!$B$9,'Huong dan giao do an'!$B$10))</f>
        <v>Tối thiểu 5 actor; 14-18 use case; 10-15 bảng; 4 quy trình; tích hợp ngoài/realtime hoặc xử lý nâng cao; 3 báo cáo; &gt;=45 test case; logging, backup và deploy.</v>
      </c>
      <c r="L238" t="str">
        <f>'Huong dan giao do an'!$B$31</f>
        <v>Bắt buộc: Charter/PMP; SRS + scope/WBS; Gantt/baseline; effort-cost budget; RACI/timesheet; quality-test-defect; communication/minutes; risk register; procurement; change log; closure/lessons learned.</v>
      </c>
      <c r="M238" t="str">
        <f>'Huong dan giao do an'!$B$33</f>
        <v>Tuần 1: 07.09–13.09.2026; Tuần 2: 14.09–20.09.2026; Tuần 3: 21.09–27.09.2026; Tuần 4: 28.09–04.10.2026; Tuần 5: 05.10–11.10.2026; Tuần 6: 12.10–18.10.2026; Tuần 7: 19.10–25.10.2026; Tuần 8: 26.10–01.11.2026.</v>
      </c>
      <c r="N2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 s="17" t="str">
        <f t="shared" si="3"/>
        <v>Còn trống</v>
      </c>
    </row>
    <row r="239" spans="1:16" x14ac:dyDescent="0.3">
      <c r="A239">
        <v>238</v>
      </c>
      <c r="B239" t="s">
        <v>484</v>
      </c>
      <c r="C239" t="s">
        <v>587</v>
      </c>
      <c r="D239" t="s">
        <v>588</v>
      </c>
      <c r="E239" t="s">
        <v>45</v>
      </c>
      <c r="F239" t="s">
        <v>497</v>
      </c>
      <c r="G239" t="s">
        <v>546</v>
      </c>
      <c r="H239" t="str">
        <f>'Huong dan giao do an'!$B$14</f>
        <v>5 SV (vai trò chính): 1 PM/Scrum Master kiêm Integration; 2 BA/PO; 3 UI-UX + Frontend; 4 Backend/API + DevOps; 5 Database + QA/Tester. Mỗi SV có nhiệm vụ phụ và minh chứng cá nhân.</v>
      </c>
      <c r="I239" t="s">
        <v>36</v>
      </c>
      <c r="J239" t="s">
        <v>499</v>
      </c>
      <c r="K239" t="str">
        <f>IF(I239="Trung bình",'Huong dan giao do an'!$B$8,IF(I239="Khá",'Huong dan giao do an'!$B$9,'Huong dan giao do an'!$B$10))</f>
        <v>Tối thiểu 3 actor; 8-10 use case; 6-8 bảng dữ liệu; 2 quy trình lõi; đăng nhập/RBAC; 1 dashboard; 1 báo cáo; &gt;=25 test case; triển khai bản demo.</v>
      </c>
      <c r="L239" t="str">
        <f>'Huong dan giao do an'!$B$31</f>
        <v>Bắt buộc: Charter/PMP; SRS + scope/WBS; Gantt/baseline; effort-cost budget; RACI/timesheet; quality-test-defect; communication/minutes; risk register; procurement; change log; closure/lessons learned.</v>
      </c>
      <c r="M239" t="str">
        <f>'Huong dan giao do an'!$B$33</f>
        <v>Tuần 1: 07.09–13.09.2026; Tuần 2: 14.09–20.09.2026; Tuần 3: 21.09–27.09.2026; Tuần 4: 28.09–04.10.2026; Tuần 5: 05.10–11.10.2026; Tuần 6: 12.10–18.10.2026; Tuần 7: 19.10–25.10.2026; Tuần 8: 26.10–01.11.2026.</v>
      </c>
      <c r="N2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 s="17" t="str">
        <f t="shared" si="3"/>
        <v>Còn trống</v>
      </c>
    </row>
    <row r="240" spans="1:16" x14ac:dyDescent="0.3">
      <c r="A240">
        <v>239</v>
      </c>
      <c r="B240" t="s">
        <v>484</v>
      </c>
      <c r="C240" t="s">
        <v>589</v>
      </c>
      <c r="D240" t="s">
        <v>590</v>
      </c>
      <c r="E240" t="s">
        <v>19</v>
      </c>
      <c r="F240" t="s">
        <v>502</v>
      </c>
      <c r="G240" t="s">
        <v>549</v>
      </c>
      <c r="H240" t="str">
        <f>'Huong dan giao do an'!$B$14</f>
        <v>5 SV (vai trò chính): 1 PM/Scrum Master kiêm Integration; 2 BA/PO; 3 UI-UX + Frontend; 4 Backend/API + DevOps; 5 Database + QA/Tester. Mỗi SV có nhiệm vụ phụ và minh chứng cá nhân.</v>
      </c>
      <c r="I240" t="s">
        <v>22</v>
      </c>
      <c r="J240" t="s">
        <v>489</v>
      </c>
      <c r="K240" t="str">
        <f>IF(I240="Trung bình",'Huong dan giao do an'!$B$8,IF(I240="Khá",'Huong dan giao do an'!$B$9,'Huong dan giao do an'!$B$10))</f>
        <v>Tối thiểu 4 actor; 10-14 use case; 8-12 bảng; 3 quy trình lõi; phân quyền chi tiết; 2 báo cáo; tích hợp 1 dịch vụ; &gt;=35 test case; CI/CD hoặc deploy cloud.</v>
      </c>
      <c r="L240" t="str">
        <f>'Huong dan giao do an'!$B$31</f>
        <v>Bắt buộc: Charter/PMP; SRS + scope/WBS; Gantt/baseline; effort-cost budget; RACI/timesheet; quality-test-defect; communication/minutes; risk register; procurement; change log; closure/lessons learned.</v>
      </c>
      <c r="M240" t="str">
        <f>'Huong dan giao do an'!$B$33</f>
        <v>Tuần 1: 07.09–13.09.2026; Tuần 2: 14.09–20.09.2026; Tuần 3: 21.09–27.09.2026; Tuần 4: 28.09–04.10.2026; Tuần 5: 05.10–11.10.2026; Tuần 6: 12.10–18.10.2026; Tuần 7: 19.10–25.10.2026; Tuần 8: 26.10–01.11.2026.</v>
      </c>
      <c r="N2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 s="17" t="str">
        <f t="shared" si="3"/>
        <v>Còn trống</v>
      </c>
    </row>
    <row r="241" spans="1:16" x14ac:dyDescent="0.3">
      <c r="A241">
        <v>240</v>
      </c>
      <c r="B241" t="s">
        <v>484</v>
      </c>
      <c r="C241" t="s">
        <v>591</v>
      </c>
      <c r="D241" t="s">
        <v>592</v>
      </c>
      <c r="E241" t="s">
        <v>26</v>
      </c>
      <c r="F241" t="s">
        <v>506</v>
      </c>
      <c r="G241" t="s">
        <v>552</v>
      </c>
      <c r="H241" t="str">
        <f>'Huong dan giao do an'!$B$14</f>
        <v>5 SV (vai trò chính): 1 PM/Scrum Master kiêm Integration; 2 BA/PO; 3 UI-UX + Frontend; 4 Backend/API + DevOps; 5 Database + QA/Tester. Mỗi SV có nhiệm vụ phụ và minh chứng cá nhân.</v>
      </c>
      <c r="I241" t="s">
        <v>29</v>
      </c>
      <c r="J241" t="s">
        <v>494</v>
      </c>
      <c r="K241" t="str">
        <f>IF(I241="Trung bình",'Huong dan giao do an'!$B$8,IF(I241="Khá",'Huong dan giao do an'!$B$9,'Huong dan giao do an'!$B$10))</f>
        <v>Tối thiểu 5 actor; 14-18 use case; 10-15 bảng; 4 quy trình; tích hợp ngoài/realtime hoặc xử lý nâng cao; 3 báo cáo; &gt;=45 test case; logging, backup và deploy.</v>
      </c>
      <c r="L241" t="str">
        <f>'Huong dan giao do an'!$B$31</f>
        <v>Bắt buộc: Charter/PMP; SRS + scope/WBS; Gantt/baseline; effort-cost budget; RACI/timesheet; quality-test-defect; communication/minutes; risk register; procurement; change log; closure/lessons learned.</v>
      </c>
      <c r="M241" t="str">
        <f>'Huong dan giao do an'!$B$33</f>
        <v>Tuần 1: 07.09–13.09.2026; Tuần 2: 14.09–20.09.2026; Tuần 3: 21.09–27.09.2026; Tuần 4: 28.09–04.10.2026; Tuần 5: 05.10–11.10.2026; Tuần 6: 12.10–18.10.2026; Tuần 7: 19.10–25.10.2026; Tuần 8: 26.10–01.11.2026.</v>
      </c>
      <c r="N2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 s="17" t="str">
        <f t="shared" si="3"/>
        <v>Còn trống</v>
      </c>
    </row>
    <row r="242" spans="1:16" x14ac:dyDescent="0.3">
      <c r="A242">
        <v>241</v>
      </c>
      <c r="B242" t="s">
        <v>484</v>
      </c>
      <c r="C242" t="s">
        <v>593</v>
      </c>
      <c r="D242" t="s">
        <v>594</v>
      </c>
      <c r="E242" t="s">
        <v>33</v>
      </c>
      <c r="F242" t="s">
        <v>487</v>
      </c>
      <c r="G242" t="s">
        <v>488</v>
      </c>
      <c r="H242" t="str">
        <f>'Huong dan giao do an'!$B$14</f>
        <v>5 SV (vai trò chính): 1 PM/Scrum Master kiêm Integration; 2 BA/PO; 3 UI-UX + Frontend; 4 Backend/API + DevOps; 5 Database + QA/Tester. Mỗi SV có nhiệm vụ phụ và minh chứng cá nhân.</v>
      </c>
      <c r="I242" t="s">
        <v>22</v>
      </c>
      <c r="J242" t="s">
        <v>489</v>
      </c>
      <c r="K242" t="str">
        <f>IF(I242="Trung bình",'Huong dan giao do an'!$B$8,IF(I242="Khá",'Huong dan giao do an'!$B$9,'Huong dan giao do an'!$B$10))</f>
        <v>Tối thiểu 4 actor; 10-14 use case; 8-12 bảng; 3 quy trình lõi; phân quyền chi tiết; 2 báo cáo; tích hợp 1 dịch vụ; &gt;=35 test case; CI/CD hoặc deploy cloud.</v>
      </c>
      <c r="L242" t="str">
        <f>'Huong dan giao do an'!$B$31</f>
        <v>Bắt buộc: Charter/PMP; SRS + scope/WBS; Gantt/baseline; effort-cost budget; RACI/timesheet; quality-test-defect; communication/minutes; risk register; procurement; change log; closure/lessons learned.</v>
      </c>
      <c r="M242" t="str">
        <f>'Huong dan giao do an'!$B$33</f>
        <v>Tuần 1: 07.09–13.09.2026; Tuần 2: 14.09–20.09.2026; Tuần 3: 21.09–27.09.2026; Tuần 4: 28.09–04.10.2026; Tuần 5: 05.10–11.10.2026; Tuần 6: 12.10–18.10.2026; Tuần 7: 19.10–25.10.2026; Tuần 8: 26.10–01.11.2026.</v>
      </c>
      <c r="N2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 s="17" t="str">
        <f t="shared" si="3"/>
        <v>Còn trống</v>
      </c>
    </row>
    <row r="243" spans="1:16" x14ac:dyDescent="0.3">
      <c r="A243">
        <v>242</v>
      </c>
      <c r="B243" t="s">
        <v>484</v>
      </c>
      <c r="C243" t="s">
        <v>595</v>
      </c>
      <c r="D243" t="s">
        <v>596</v>
      </c>
      <c r="E243" t="s">
        <v>40</v>
      </c>
      <c r="F243" t="s">
        <v>492</v>
      </c>
      <c r="G243" t="s">
        <v>493</v>
      </c>
      <c r="H243" t="str">
        <f>'Huong dan giao do an'!$B$14</f>
        <v>5 SV (vai trò chính): 1 PM/Scrum Master kiêm Integration; 2 BA/PO; 3 UI-UX + Frontend; 4 Backend/API + DevOps; 5 Database + QA/Tester. Mỗi SV có nhiệm vụ phụ và minh chứng cá nhân.</v>
      </c>
      <c r="I243" t="s">
        <v>29</v>
      </c>
      <c r="J243" t="s">
        <v>494</v>
      </c>
      <c r="K243" t="str">
        <f>IF(I243="Trung bình",'Huong dan giao do an'!$B$8,IF(I243="Khá",'Huong dan giao do an'!$B$9,'Huong dan giao do an'!$B$10))</f>
        <v>Tối thiểu 5 actor; 14-18 use case; 10-15 bảng; 4 quy trình; tích hợp ngoài/realtime hoặc xử lý nâng cao; 3 báo cáo; &gt;=45 test case; logging, backup và deploy.</v>
      </c>
      <c r="L243" t="str">
        <f>'Huong dan giao do an'!$B$31</f>
        <v>Bắt buộc: Charter/PMP; SRS + scope/WBS; Gantt/baseline; effort-cost budget; RACI/timesheet; quality-test-defect; communication/minutes; risk register; procurement; change log; closure/lessons learned.</v>
      </c>
      <c r="M243" t="str">
        <f>'Huong dan giao do an'!$B$33</f>
        <v>Tuần 1: 07.09–13.09.2026; Tuần 2: 14.09–20.09.2026; Tuần 3: 21.09–27.09.2026; Tuần 4: 28.09–04.10.2026; Tuần 5: 05.10–11.10.2026; Tuần 6: 12.10–18.10.2026; Tuần 7: 19.10–25.10.2026; Tuần 8: 26.10–01.11.2026.</v>
      </c>
      <c r="N2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 s="17" t="str">
        <f t="shared" si="3"/>
        <v>Còn trống</v>
      </c>
    </row>
    <row r="244" spans="1:16" x14ac:dyDescent="0.3">
      <c r="A244">
        <v>243</v>
      </c>
      <c r="B244" t="s">
        <v>484</v>
      </c>
      <c r="C244" t="s">
        <v>597</v>
      </c>
      <c r="D244" t="s">
        <v>598</v>
      </c>
      <c r="E244" t="s">
        <v>45</v>
      </c>
      <c r="F244" t="s">
        <v>497</v>
      </c>
      <c r="G244" t="s">
        <v>498</v>
      </c>
      <c r="H244" t="str">
        <f>'Huong dan giao do an'!$B$14</f>
        <v>5 SV (vai trò chính): 1 PM/Scrum Master kiêm Integration; 2 BA/PO; 3 UI-UX + Frontend; 4 Backend/API + DevOps; 5 Database + QA/Tester. Mỗi SV có nhiệm vụ phụ và minh chứng cá nhân.</v>
      </c>
      <c r="I244" t="s">
        <v>36</v>
      </c>
      <c r="J244" t="s">
        <v>499</v>
      </c>
      <c r="K244" t="str">
        <f>IF(I244="Trung bình",'Huong dan giao do an'!$B$8,IF(I244="Khá",'Huong dan giao do an'!$B$9,'Huong dan giao do an'!$B$10))</f>
        <v>Tối thiểu 3 actor; 8-10 use case; 6-8 bảng dữ liệu; 2 quy trình lõi; đăng nhập/RBAC; 1 dashboard; 1 báo cáo; &gt;=25 test case; triển khai bản demo.</v>
      </c>
      <c r="L244" t="str">
        <f>'Huong dan giao do an'!$B$31</f>
        <v>Bắt buộc: Charter/PMP; SRS + scope/WBS; Gantt/baseline; effort-cost budget; RACI/timesheet; quality-test-defect; communication/minutes; risk register; procurement; change log; closure/lessons learned.</v>
      </c>
      <c r="M244" t="str">
        <f>'Huong dan giao do an'!$B$33</f>
        <v>Tuần 1: 07.09–13.09.2026; Tuần 2: 14.09–20.09.2026; Tuần 3: 21.09–27.09.2026; Tuần 4: 28.09–04.10.2026; Tuần 5: 05.10–11.10.2026; Tuần 6: 12.10–18.10.2026; Tuần 7: 19.10–25.10.2026; Tuần 8: 26.10–01.11.2026.</v>
      </c>
      <c r="N2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 s="17" t="str">
        <f t="shared" si="3"/>
        <v>Còn trống</v>
      </c>
    </row>
    <row r="245" spans="1:16" x14ac:dyDescent="0.3">
      <c r="A245">
        <v>244</v>
      </c>
      <c r="B245" t="s">
        <v>484</v>
      </c>
      <c r="C245" t="s">
        <v>599</v>
      </c>
      <c r="D245" t="s">
        <v>600</v>
      </c>
      <c r="E245" t="s">
        <v>19</v>
      </c>
      <c r="F245" t="s">
        <v>502</v>
      </c>
      <c r="G245" t="s">
        <v>503</v>
      </c>
      <c r="H245" t="str">
        <f>'Huong dan giao do an'!$B$14</f>
        <v>5 SV (vai trò chính): 1 PM/Scrum Master kiêm Integration; 2 BA/PO; 3 UI-UX + Frontend; 4 Backend/API + DevOps; 5 Database + QA/Tester. Mỗi SV có nhiệm vụ phụ và minh chứng cá nhân.</v>
      </c>
      <c r="I245" t="s">
        <v>22</v>
      </c>
      <c r="J245" t="s">
        <v>489</v>
      </c>
      <c r="K245" t="str">
        <f>IF(I245="Trung bình",'Huong dan giao do an'!$B$8,IF(I245="Khá",'Huong dan giao do an'!$B$9,'Huong dan giao do an'!$B$10))</f>
        <v>Tối thiểu 4 actor; 10-14 use case; 8-12 bảng; 3 quy trình lõi; phân quyền chi tiết; 2 báo cáo; tích hợp 1 dịch vụ; &gt;=35 test case; CI/CD hoặc deploy cloud.</v>
      </c>
      <c r="L245" t="str">
        <f>'Huong dan giao do an'!$B$31</f>
        <v>Bắt buộc: Charter/PMP; SRS + scope/WBS; Gantt/baseline; effort-cost budget; RACI/timesheet; quality-test-defect; communication/minutes; risk register; procurement; change log; closure/lessons learned.</v>
      </c>
      <c r="M245" t="str">
        <f>'Huong dan giao do an'!$B$33</f>
        <v>Tuần 1: 07.09–13.09.2026; Tuần 2: 14.09–20.09.2026; Tuần 3: 21.09–27.09.2026; Tuần 4: 28.09–04.10.2026; Tuần 5: 05.10–11.10.2026; Tuần 6: 12.10–18.10.2026; Tuần 7: 19.10–25.10.2026; Tuần 8: 26.10–01.11.2026.</v>
      </c>
      <c r="N2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 s="17" t="str">
        <f t="shared" si="3"/>
        <v>Còn trống</v>
      </c>
    </row>
    <row r="246" spans="1:16" x14ac:dyDescent="0.3">
      <c r="A246">
        <v>245</v>
      </c>
      <c r="B246" t="s">
        <v>484</v>
      </c>
      <c r="C246" t="s">
        <v>601</v>
      </c>
      <c r="D246" t="s">
        <v>602</v>
      </c>
      <c r="E246" t="s">
        <v>26</v>
      </c>
      <c r="F246" t="s">
        <v>506</v>
      </c>
      <c r="G246" t="s">
        <v>507</v>
      </c>
      <c r="H246" t="str">
        <f>'Huong dan giao do an'!$B$14</f>
        <v>5 SV (vai trò chính): 1 PM/Scrum Master kiêm Integration; 2 BA/PO; 3 UI-UX + Frontend; 4 Backend/API + DevOps; 5 Database + QA/Tester. Mỗi SV có nhiệm vụ phụ và minh chứng cá nhân.</v>
      </c>
      <c r="I246" t="s">
        <v>29</v>
      </c>
      <c r="J246" t="s">
        <v>494</v>
      </c>
      <c r="K246" t="str">
        <f>IF(I246="Trung bình",'Huong dan giao do an'!$B$8,IF(I246="Khá",'Huong dan giao do an'!$B$9,'Huong dan giao do an'!$B$10))</f>
        <v>Tối thiểu 5 actor; 14-18 use case; 10-15 bảng; 4 quy trình; tích hợp ngoài/realtime hoặc xử lý nâng cao; 3 báo cáo; &gt;=45 test case; logging, backup và deploy.</v>
      </c>
      <c r="L246" t="str">
        <f>'Huong dan giao do an'!$B$31</f>
        <v>Bắt buộc: Charter/PMP; SRS + scope/WBS; Gantt/baseline; effort-cost budget; RACI/timesheet; quality-test-defect; communication/minutes; risk register; procurement; change log; closure/lessons learned.</v>
      </c>
      <c r="M246" t="str">
        <f>'Huong dan giao do an'!$B$33</f>
        <v>Tuần 1: 07.09–13.09.2026; Tuần 2: 14.09–20.09.2026; Tuần 3: 21.09–27.09.2026; Tuần 4: 28.09–04.10.2026; Tuần 5: 05.10–11.10.2026; Tuần 6: 12.10–18.10.2026; Tuần 7: 19.10–25.10.2026; Tuần 8: 26.10–01.11.2026.</v>
      </c>
      <c r="N2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 s="17" t="str">
        <f t="shared" si="3"/>
        <v>Còn trống</v>
      </c>
    </row>
    <row r="247" spans="1:16" x14ac:dyDescent="0.3">
      <c r="A247">
        <v>246</v>
      </c>
      <c r="B247" t="s">
        <v>484</v>
      </c>
      <c r="C247" t="s">
        <v>603</v>
      </c>
      <c r="D247" t="s">
        <v>604</v>
      </c>
      <c r="E247" t="s">
        <v>33</v>
      </c>
      <c r="F247" t="s">
        <v>487</v>
      </c>
      <c r="G247" t="s">
        <v>510</v>
      </c>
      <c r="H247" t="str">
        <f>'Huong dan giao do an'!$B$14</f>
        <v>5 SV (vai trò chính): 1 PM/Scrum Master kiêm Integration; 2 BA/PO; 3 UI-UX + Frontend; 4 Backend/API + DevOps; 5 Database + QA/Tester. Mỗi SV có nhiệm vụ phụ và minh chứng cá nhân.</v>
      </c>
      <c r="I247" t="s">
        <v>36</v>
      </c>
      <c r="J247" t="s">
        <v>499</v>
      </c>
      <c r="K247" t="str">
        <f>IF(I247="Trung bình",'Huong dan giao do an'!$B$8,IF(I247="Khá",'Huong dan giao do an'!$B$9,'Huong dan giao do an'!$B$10))</f>
        <v>Tối thiểu 3 actor; 8-10 use case; 6-8 bảng dữ liệu; 2 quy trình lõi; đăng nhập/RBAC; 1 dashboard; 1 báo cáo; &gt;=25 test case; triển khai bản demo.</v>
      </c>
      <c r="L247" t="str">
        <f>'Huong dan giao do an'!$B$31</f>
        <v>Bắt buộc: Charter/PMP; SRS + scope/WBS; Gantt/baseline; effort-cost budget; RACI/timesheet; quality-test-defect; communication/minutes; risk register; procurement; change log; closure/lessons learned.</v>
      </c>
      <c r="M247" t="str">
        <f>'Huong dan giao do an'!$B$33</f>
        <v>Tuần 1: 07.09–13.09.2026; Tuần 2: 14.09–20.09.2026; Tuần 3: 21.09–27.09.2026; Tuần 4: 28.09–04.10.2026; Tuần 5: 05.10–11.10.2026; Tuần 6: 12.10–18.10.2026; Tuần 7: 19.10–25.10.2026; Tuần 8: 26.10–01.11.2026.</v>
      </c>
      <c r="N2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 s="17" t="str">
        <f t="shared" si="3"/>
        <v>Còn trống</v>
      </c>
    </row>
    <row r="248" spans="1:16" x14ac:dyDescent="0.3">
      <c r="A248">
        <v>247</v>
      </c>
      <c r="B248" t="s">
        <v>484</v>
      </c>
      <c r="C248" t="s">
        <v>605</v>
      </c>
      <c r="D248" t="s">
        <v>606</v>
      </c>
      <c r="E248" t="s">
        <v>40</v>
      </c>
      <c r="F248" t="s">
        <v>492</v>
      </c>
      <c r="G248" t="s">
        <v>513</v>
      </c>
      <c r="H248" t="str">
        <f>'Huong dan giao do an'!$B$14</f>
        <v>5 SV (vai trò chính): 1 PM/Scrum Master kiêm Integration; 2 BA/PO; 3 UI-UX + Frontend; 4 Backend/API + DevOps; 5 Database + QA/Tester. Mỗi SV có nhiệm vụ phụ và minh chứng cá nhân.</v>
      </c>
      <c r="I248" t="s">
        <v>22</v>
      </c>
      <c r="J248" t="s">
        <v>489</v>
      </c>
      <c r="K248" t="str">
        <f>IF(I248="Trung bình",'Huong dan giao do an'!$B$8,IF(I248="Khá",'Huong dan giao do an'!$B$9,'Huong dan giao do an'!$B$10))</f>
        <v>Tối thiểu 4 actor; 10-14 use case; 8-12 bảng; 3 quy trình lõi; phân quyền chi tiết; 2 báo cáo; tích hợp 1 dịch vụ; &gt;=35 test case; CI/CD hoặc deploy cloud.</v>
      </c>
      <c r="L248" t="str">
        <f>'Huong dan giao do an'!$B$31</f>
        <v>Bắt buộc: Charter/PMP; SRS + scope/WBS; Gantt/baseline; effort-cost budget; RACI/timesheet; quality-test-defect; communication/minutes; risk register; procurement; change log; closure/lessons learned.</v>
      </c>
      <c r="M248" t="str">
        <f>'Huong dan giao do an'!$B$33</f>
        <v>Tuần 1: 07.09–13.09.2026; Tuần 2: 14.09–20.09.2026; Tuần 3: 21.09–27.09.2026; Tuần 4: 28.09–04.10.2026; Tuần 5: 05.10–11.10.2026; Tuần 6: 12.10–18.10.2026; Tuần 7: 19.10–25.10.2026; Tuần 8: 26.10–01.11.2026.</v>
      </c>
      <c r="N2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 s="17" t="str">
        <f t="shared" si="3"/>
        <v>Còn trống</v>
      </c>
    </row>
    <row r="249" spans="1:16" x14ac:dyDescent="0.3">
      <c r="A249">
        <v>248</v>
      </c>
      <c r="B249" t="s">
        <v>484</v>
      </c>
      <c r="C249" t="s">
        <v>607</v>
      </c>
      <c r="D249" t="s">
        <v>608</v>
      </c>
      <c r="E249" t="s">
        <v>45</v>
      </c>
      <c r="F249" t="s">
        <v>497</v>
      </c>
      <c r="G249" t="s">
        <v>516</v>
      </c>
      <c r="H249" t="str">
        <f>'Huong dan giao do an'!$B$14</f>
        <v>5 SV (vai trò chính): 1 PM/Scrum Master kiêm Integration; 2 BA/PO; 3 UI-UX + Frontend; 4 Backend/API + DevOps; 5 Database + QA/Tester. Mỗi SV có nhiệm vụ phụ và minh chứng cá nhân.</v>
      </c>
      <c r="I249" t="s">
        <v>29</v>
      </c>
      <c r="J249" t="s">
        <v>494</v>
      </c>
      <c r="K249" t="str">
        <f>IF(I249="Trung bình",'Huong dan giao do an'!$B$8,IF(I249="Khá",'Huong dan giao do an'!$B$9,'Huong dan giao do an'!$B$10))</f>
        <v>Tối thiểu 5 actor; 14-18 use case; 10-15 bảng; 4 quy trình; tích hợp ngoài/realtime hoặc xử lý nâng cao; 3 báo cáo; &gt;=45 test case; logging, backup và deploy.</v>
      </c>
      <c r="L249" t="str">
        <f>'Huong dan giao do an'!$B$31</f>
        <v>Bắt buộc: Charter/PMP; SRS + scope/WBS; Gantt/baseline; effort-cost budget; RACI/timesheet; quality-test-defect; communication/minutes; risk register; procurement; change log; closure/lessons learned.</v>
      </c>
      <c r="M249" t="str">
        <f>'Huong dan giao do an'!$B$33</f>
        <v>Tuần 1: 07.09–13.09.2026; Tuần 2: 14.09–20.09.2026; Tuần 3: 21.09–27.09.2026; Tuần 4: 28.09–04.10.2026; Tuần 5: 05.10–11.10.2026; Tuần 6: 12.10–18.10.2026; Tuần 7: 19.10–25.10.2026; Tuần 8: 26.10–01.11.2026.</v>
      </c>
      <c r="N2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 s="17" t="str">
        <f t="shared" si="3"/>
        <v>Còn trống</v>
      </c>
    </row>
    <row r="250" spans="1:16" x14ac:dyDescent="0.3">
      <c r="A250">
        <v>249</v>
      </c>
      <c r="B250" t="s">
        <v>484</v>
      </c>
      <c r="C250" t="s">
        <v>609</v>
      </c>
      <c r="D250" t="s">
        <v>610</v>
      </c>
      <c r="E250" t="s">
        <v>19</v>
      </c>
      <c r="F250" t="s">
        <v>502</v>
      </c>
      <c r="G250" t="s">
        <v>519</v>
      </c>
      <c r="H250" t="str">
        <f>'Huong dan giao do an'!$B$14</f>
        <v>5 SV (vai trò chính): 1 PM/Scrum Master kiêm Integration; 2 BA/PO; 3 UI-UX + Frontend; 4 Backend/API + DevOps; 5 Database + QA/Tester. Mỗi SV có nhiệm vụ phụ và minh chứng cá nhân.</v>
      </c>
      <c r="I250" t="s">
        <v>36</v>
      </c>
      <c r="J250" t="s">
        <v>499</v>
      </c>
      <c r="K250" t="str">
        <f>IF(I250="Trung bình",'Huong dan giao do an'!$B$8,IF(I250="Khá",'Huong dan giao do an'!$B$9,'Huong dan giao do an'!$B$10))</f>
        <v>Tối thiểu 3 actor; 8-10 use case; 6-8 bảng dữ liệu; 2 quy trình lõi; đăng nhập/RBAC; 1 dashboard; 1 báo cáo; &gt;=25 test case; triển khai bản demo.</v>
      </c>
      <c r="L250" t="str">
        <f>'Huong dan giao do an'!$B$31</f>
        <v>Bắt buộc: Charter/PMP; SRS + scope/WBS; Gantt/baseline; effort-cost budget; RACI/timesheet; quality-test-defect; communication/minutes; risk register; procurement; change log; closure/lessons learned.</v>
      </c>
      <c r="M250" t="str">
        <f>'Huong dan giao do an'!$B$33</f>
        <v>Tuần 1: 07.09–13.09.2026; Tuần 2: 14.09–20.09.2026; Tuần 3: 21.09–27.09.2026; Tuần 4: 28.09–04.10.2026; Tuần 5: 05.10–11.10.2026; Tuần 6: 12.10–18.10.2026; Tuần 7: 19.10–25.10.2026; Tuần 8: 26.10–01.11.2026.</v>
      </c>
      <c r="N2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 s="17" t="str">
        <f t="shared" si="3"/>
        <v>Còn trống</v>
      </c>
    </row>
    <row r="251" spans="1:16" x14ac:dyDescent="0.3">
      <c r="A251">
        <v>250</v>
      </c>
      <c r="B251" t="s">
        <v>484</v>
      </c>
      <c r="C251" t="s">
        <v>611</v>
      </c>
      <c r="D251" t="s">
        <v>612</v>
      </c>
      <c r="E251" t="s">
        <v>26</v>
      </c>
      <c r="F251" t="s">
        <v>506</v>
      </c>
      <c r="G251" t="s">
        <v>522</v>
      </c>
      <c r="H251" t="str">
        <f>'Huong dan giao do an'!$B$14</f>
        <v>5 SV (vai trò chính): 1 PM/Scrum Master kiêm Integration; 2 BA/PO; 3 UI-UX + Frontend; 4 Backend/API + DevOps; 5 Database + QA/Tester. Mỗi SV có nhiệm vụ phụ và minh chứng cá nhân.</v>
      </c>
      <c r="I251" t="s">
        <v>22</v>
      </c>
      <c r="J251" t="s">
        <v>489</v>
      </c>
      <c r="K251" t="str">
        <f>IF(I251="Trung bình",'Huong dan giao do an'!$B$8,IF(I251="Khá",'Huong dan giao do an'!$B$9,'Huong dan giao do an'!$B$10))</f>
        <v>Tối thiểu 4 actor; 10-14 use case; 8-12 bảng; 3 quy trình lõi; phân quyền chi tiết; 2 báo cáo; tích hợp 1 dịch vụ; &gt;=35 test case; CI/CD hoặc deploy cloud.</v>
      </c>
      <c r="L251" t="str">
        <f>'Huong dan giao do an'!$B$31</f>
        <v>Bắt buộc: Charter/PMP; SRS + scope/WBS; Gantt/baseline; effort-cost budget; RACI/timesheet; quality-test-defect; communication/minutes; risk register; procurement; change log; closure/lessons learned.</v>
      </c>
      <c r="M251" t="str">
        <f>'Huong dan giao do an'!$B$33</f>
        <v>Tuần 1: 07.09–13.09.2026; Tuần 2: 14.09–20.09.2026; Tuần 3: 21.09–27.09.2026; Tuần 4: 28.09–04.10.2026; Tuần 5: 05.10–11.10.2026; Tuần 6: 12.10–18.10.2026; Tuần 7: 19.10–25.10.2026; Tuần 8: 26.10–01.11.2026.</v>
      </c>
      <c r="N2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 s="17" t="str">
        <f t="shared" si="3"/>
        <v>Còn trống</v>
      </c>
    </row>
    <row r="252" spans="1:16" x14ac:dyDescent="0.3">
      <c r="A252">
        <v>251</v>
      </c>
      <c r="B252" t="s">
        <v>484</v>
      </c>
      <c r="C252" t="s">
        <v>613</v>
      </c>
      <c r="D252" t="s">
        <v>614</v>
      </c>
      <c r="E252" t="s">
        <v>33</v>
      </c>
      <c r="F252" t="s">
        <v>487</v>
      </c>
      <c r="G252" t="s">
        <v>525</v>
      </c>
      <c r="H252" t="str">
        <f>'Huong dan giao do an'!$B$14</f>
        <v>5 SV (vai trò chính): 1 PM/Scrum Master kiêm Integration; 2 BA/PO; 3 UI-UX + Frontend; 4 Backend/API + DevOps; 5 Database + QA/Tester. Mỗi SV có nhiệm vụ phụ và minh chứng cá nhân.</v>
      </c>
      <c r="I252" t="s">
        <v>29</v>
      </c>
      <c r="J252" t="s">
        <v>494</v>
      </c>
      <c r="K252" t="str">
        <f>IF(I252="Trung bình",'Huong dan giao do an'!$B$8,IF(I252="Khá",'Huong dan giao do an'!$B$9,'Huong dan giao do an'!$B$10))</f>
        <v>Tối thiểu 5 actor; 14-18 use case; 10-15 bảng; 4 quy trình; tích hợp ngoài/realtime hoặc xử lý nâng cao; 3 báo cáo; &gt;=45 test case; logging, backup và deploy.</v>
      </c>
      <c r="L252" t="str">
        <f>'Huong dan giao do an'!$B$31</f>
        <v>Bắt buộc: Charter/PMP; SRS + scope/WBS; Gantt/baseline; effort-cost budget; RACI/timesheet; quality-test-defect; communication/minutes; risk register; procurement; change log; closure/lessons learned.</v>
      </c>
      <c r="M252" t="str">
        <f>'Huong dan giao do an'!$B$33</f>
        <v>Tuần 1: 07.09–13.09.2026; Tuần 2: 14.09–20.09.2026; Tuần 3: 21.09–27.09.2026; Tuần 4: 28.09–04.10.2026; Tuần 5: 05.10–11.10.2026; Tuần 6: 12.10–18.10.2026; Tuần 7: 19.10–25.10.2026; Tuần 8: 26.10–01.11.2026.</v>
      </c>
      <c r="N2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 s="17" t="str">
        <f t="shared" si="3"/>
        <v>Còn trống</v>
      </c>
    </row>
    <row r="253" spans="1:16" x14ac:dyDescent="0.3">
      <c r="A253">
        <v>252</v>
      </c>
      <c r="B253" t="s">
        <v>484</v>
      </c>
      <c r="C253" t="s">
        <v>615</v>
      </c>
      <c r="D253" t="s">
        <v>616</v>
      </c>
      <c r="E253" t="s">
        <v>40</v>
      </c>
      <c r="F253" t="s">
        <v>492</v>
      </c>
      <c r="G253" t="s">
        <v>528</v>
      </c>
      <c r="H253" t="str">
        <f>'Huong dan giao do an'!$B$14</f>
        <v>5 SV (vai trò chính): 1 PM/Scrum Master kiêm Integration; 2 BA/PO; 3 UI-UX + Frontend; 4 Backend/API + DevOps; 5 Database + QA/Tester. Mỗi SV có nhiệm vụ phụ và minh chứng cá nhân.</v>
      </c>
      <c r="I253" t="s">
        <v>36</v>
      </c>
      <c r="J253" t="s">
        <v>499</v>
      </c>
      <c r="K253" t="str">
        <f>IF(I253="Trung bình",'Huong dan giao do an'!$B$8,IF(I253="Khá",'Huong dan giao do an'!$B$9,'Huong dan giao do an'!$B$10))</f>
        <v>Tối thiểu 3 actor; 8-10 use case; 6-8 bảng dữ liệu; 2 quy trình lõi; đăng nhập/RBAC; 1 dashboard; 1 báo cáo; &gt;=25 test case; triển khai bản demo.</v>
      </c>
      <c r="L253" t="str">
        <f>'Huong dan giao do an'!$B$31</f>
        <v>Bắt buộc: Charter/PMP; SRS + scope/WBS; Gantt/baseline; effort-cost budget; RACI/timesheet; quality-test-defect; communication/minutes; risk register; procurement; change log; closure/lessons learned.</v>
      </c>
      <c r="M253" t="str">
        <f>'Huong dan giao do an'!$B$33</f>
        <v>Tuần 1: 07.09–13.09.2026; Tuần 2: 14.09–20.09.2026; Tuần 3: 21.09–27.09.2026; Tuần 4: 28.09–04.10.2026; Tuần 5: 05.10–11.10.2026; Tuần 6: 12.10–18.10.2026; Tuần 7: 19.10–25.10.2026; Tuần 8: 26.10–01.11.2026.</v>
      </c>
      <c r="N2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 s="17" t="str">
        <f t="shared" si="3"/>
        <v>Còn trống</v>
      </c>
    </row>
    <row r="254" spans="1:16" x14ac:dyDescent="0.3">
      <c r="A254">
        <v>253</v>
      </c>
      <c r="B254" t="s">
        <v>484</v>
      </c>
      <c r="C254" t="s">
        <v>617</v>
      </c>
      <c r="D254" t="s">
        <v>618</v>
      </c>
      <c r="E254" t="s">
        <v>45</v>
      </c>
      <c r="F254" t="s">
        <v>497</v>
      </c>
      <c r="G254" t="s">
        <v>531</v>
      </c>
      <c r="H254" t="str">
        <f>'Huong dan giao do an'!$B$14</f>
        <v>5 SV (vai trò chính): 1 PM/Scrum Master kiêm Integration; 2 BA/PO; 3 UI-UX + Frontend; 4 Backend/API + DevOps; 5 Database + QA/Tester. Mỗi SV có nhiệm vụ phụ và minh chứng cá nhân.</v>
      </c>
      <c r="I254" t="s">
        <v>22</v>
      </c>
      <c r="J254" t="s">
        <v>489</v>
      </c>
      <c r="K254" t="str">
        <f>IF(I254="Trung bình",'Huong dan giao do an'!$B$8,IF(I254="Khá",'Huong dan giao do an'!$B$9,'Huong dan giao do an'!$B$10))</f>
        <v>Tối thiểu 4 actor; 10-14 use case; 8-12 bảng; 3 quy trình lõi; phân quyền chi tiết; 2 báo cáo; tích hợp 1 dịch vụ; &gt;=35 test case; CI/CD hoặc deploy cloud.</v>
      </c>
      <c r="L254" t="str">
        <f>'Huong dan giao do an'!$B$31</f>
        <v>Bắt buộc: Charter/PMP; SRS + scope/WBS; Gantt/baseline; effort-cost budget; RACI/timesheet; quality-test-defect; communication/minutes; risk register; procurement; change log; closure/lessons learned.</v>
      </c>
      <c r="M254" t="str">
        <f>'Huong dan giao do an'!$B$33</f>
        <v>Tuần 1: 07.09–13.09.2026; Tuần 2: 14.09–20.09.2026; Tuần 3: 21.09–27.09.2026; Tuần 4: 28.09–04.10.2026; Tuần 5: 05.10–11.10.2026; Tuần 6: 12.10–18.10.2026; Tuần 7: 19.10–25.10.2026; Tuần 8: 26.10–01.11.2026.</v>
      </c>
      <c r="N2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 s="17" t="str">
        <f t="shared" si="3"/>
        <v>Còn trống</v>
      </c>
    </row>
    <row r="255" spans="1:16" x14ac:dyDescent="0.3">
      <c r="A255">
        <v>254</v>
      </c>
      <c r="B255" t="s">
        <v>484</v>
      </c>
      <c r="C255" t="s">
        <v>619</v>
      </c>
      <c r="D255" t="s">
        <v>620</v>
      </c>
      <c r="E255" t="s">
        <v>19</v>
      </c>
      <c r="F255" t="s">
        <v>502</v>
      </c>
      <c r="G255" t="s">
        <v>534</v>
      </c>
      <c r="H255" t="str">
        <f>'Huong dan giao do an'!$B$14</f>
        <v>5 SV (vai trò chính): 1 PM/Scrum Master kiêm Integration; 2 BA/PO; 3 UI-UX + Frontend; 4 Backend/API + DevOps; 5 Database + QA/Tester. Mỗi SV có nhiệm vụ phụ và minh chứng cá nhân.</v>
      </c>
      <c r="I255" t="s">
        <v>29</v>
      </c>
      <c r="J255" t="s">
        <v>494</v>
      </c>
      <c r="K255" t="str">
        <f>IF(I255="Trung bình",'Huong dan giao do an'!$B$8,IF(I255="Khá",'Huong dan giao do an'!$B$9,'Huong dan giao do an'!$B$10))</f>
        <v>Tối thiểu 5 actor; 14-18 use case; 10-15 bảng; 4 quy trình; tích hợp ngoài/realtime hoặc xử lý nâng cao; 3 báo cáo; &gt;=45 test case; logging, backup và deploy.</v>
      </c>
      <c r="L255" t="str">
        <f>'Huong dan giao do an'!$B$31</f>
        <v>Bắt buộc: Charter/PMP; SRS + scope/WBS; Gantt/baseline; effort-cost budget; RACI/timesheet; quality-test-defect; communication/minutes; risk register; procurement; change log; closure/lessons learned.</v>
      </c>
      <c r="M255" t="str">
        <f>'Huong dan giao do an'!$B$33</f>
        <v>Tuần 1: 07.09–13.09.2026; Tuần 2: 14.09–20.09.2026; Tuần 3: 21.09–27.09.2026; Tuần 4: 28.09–04.10.2026; Tuần 5: 05.10–11.10.2026; Tuần 6: 12.10–18.10.2026; Tuần 7: 19.10–25.10.2026; Tuần 8: 26.10–01.11.2026.</v>
      </c>
      <c r="N2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 s="17" t="str">
        <f t="shared" si="3"/>
        <v>Còn trống</v>
      </c>
    </row>
    <row r="256" spans="1:16" x14ac:dyDescent="0.3">
      <c r="A256">
        <v>255</v>
      </c>
      <c r="B256" t="s">
        <v>484</v>
      </c>
      <c r="C256" t="s">
        <v>621</v>
      </c>
      <c r="D256" t="s">
        <v>622</v>
      </c>
      <c r="E256" t="s">
        <v>26</v>
      </c>
      <c r="F256" t="s">
        <v>506</v>
      </c>
      <c r="G256" t="s">
        <v>537</v>
      </c>
      <c r="H256" t="str">
        <f>'Huong dan giao do an'!$B$14</f>
        <v>5 SV (vai trò chính): 1 PM/Scrum Master kiêm Integration; 2 BA/PO; 3 UI-UX + Frontend; 4 Backend/API + DevOps; 5 Database + QA/Tester. Mỗi SV có nhiệm vụ phụ và minh chứng cá nhân.</v>
      </c>
      <c r="I256" t="s">
        <v>36</v>
      </c>
      <c r="J256" t="s">
        <v>499</v>
      </c>
      <c r="K256" t="str">
        <f>IF(I256="Trung bình",'Huong dan giao do an'!$B$8,IF(I256="Khá",'Huong dan giao do an'!$B$9,'Huong dan giao do an'!$B$10))</f>
        <v>Tối thiểu 3 actor; 8-10 use case; 6-8 bảng dữ liệu; 2 quy trình lõi; đăng nhập/RBAC; 1 dashboard; 1 báo cáo; &gt;=25 test case; triển khai bản demo.</v>
      </c>
      <c r="L256" t="str">
        <f>'Huong dan giao do an'!$B$31</f>
        <v>Bắt buộc: Charter/PMP; SRS + scope/WBS; Gantt/baseline; effort-cost budget; RACI/timesheet; quality-test-defect; communication/minutes; risk register; procurement; change log; closure/lessons learned.</v>
      </c>
      <c r="M256" t="str">
        <f>'Huong dan giao do an'!$B$33</f>
        <v>Tuần 1: 07.09–13.09.2026; Tuần 2: 14.09–20.09.2026; Tuần 3: 21.09–27.09.2026; Tuần 4: 28.09–04.10.2026; Tuần 5: 05.10–11.10.2026; Tuần 6: 12.10–18.10.2026; Tuần 7: 19.10–25.10.2026; Tuần 8: 26.10–01.11.2026.</v>
      </c>
      <c r="N2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 s="17" t="str">
        <f t="shared" si="3"/>
        <v>Còn trống</v>
      </c>
    </row>
    <row r="257" spans="1:16" x14ac:dyDescent="0.3">
      <c r="A257">
        <v>256</v>
      </c>
      <c r="B257" t="s">
        <v>484</v>
      </c>
      <c r="C257" t="s">
        <v>623</v>
      </c>
      <c r="D257" t="s">
        <v>624</v>
      </c>
      <c r="E257" t="s">
        <v>33</v>
      </c>
      <c r="F257" t="s">
        <v>487</v>
      </c>
      <c r="G257" t="s">
        <v>540</v>
      </c>
      <c r="H257" t="str">
        <f>'Huong dan giao do an'!$B$14</f>
        <v>5 SV (vai trò chính): 1 PM/Scrum Master kiêm Integration; 2 BA/PO; 3 UI-UX + Frontend; 4 Backend/API + DevOps; 5 Database + QA/Tester. Mỗi SV có nhiệm vụ phụ và minh chứng cá nhân.</v>
      </c>
      <c r="I257" t="s">
        <v>22</v>
      </c>
      <c r="J257" t="s">
        <v>489</v>
      </c>
      <c r="K257" t="str">
        <f>IF(I257="Trung bình",'Huong dan giao do an'!$B$8,IF(I257="Khá",'Huong dan giao do an'!$B$9,'Huong dan giao do an'!$B$10))</f>
        <v>Tối thiểu 4 actor; 10-14 use case; 8-12 bảng; 3 quy trình lõi; phân quyền chi tiết; 2 báo cáo; tích hợp 1 dịch vụ; &gt;=35 test case; CI/CD hoặc deploy cloud.</v>
      </c>
      <c r="L257" t="str">
        <f>'Huong dan giao do an'!$B$31</f>
        <v>Bắt buộc: Charter/PMP; SRS + scope/WBS; Gantt/baseline; effort-cost budget; RACI/timesheet; quality-test-defect; communication/minutes; risk register; procurement; change log; closure/lessons learned.</v>
      </c>
      <c r="M257" t="str">
        <f>'Huong dan giao do an'!$B$33</f>
        <v>Tuần 1: 07.09–13.09.2026; Tuần 2: 14.09–20.09.2026; Tuần 3: 21.09–27.09.2026; Tuần 4: 28.09–04.10.2026; Tuần 5: 05.10–11.10.2026; Tuần 6: 12.10–18.10.2026; Tuần 7: 19.10–25.10.2026; Tuần 8: 26.10–01.11.2026.</v>
      </c>
      <c r="N2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 s="17" t="str">
        <f t="shared" si="3"/>
        <v>Còn trống</v>
      </c>
    </row>
    <row r="258" spans="1:16" x14ac:dyDescent="0.3">
      <c r="A258">
        <v>257</v>
      </c>
      <c r="B258" t="s">
        <v>484</v>
      </c>
      <c r="C258" t="s">
        <v>625</v>
      </c>
      <c r="D258" t="s">
        <v>626</v>
      </c>
      <c r="E258" t="s">
        <v>40</v>
      </c>
      <c r="F258" t="s">
        <v>492</v>
      </c>
      <c r="G258" t="s">
        <v>543</v>
      </c>
      <c r="H258" t="str">
        <f>'Huong dan giao do an'!$B$14</f>
        <v>5 SV (vai trò chính): 1 PM/Scrum Master kiêm Integration; 2 BA/PO; 3 UI-UX + Frontend; 4 Backend/API + DevOps; 5 Database + QA/Tester. Mỗi SV có nhiệm vụ phụ và minh chứng cá nhân.</v>
      </c>
      <c r="I258" t="s">
        <v>29</v>
      </c>
      <c r="J258" t="s">
        <v>494</v>
      </c>
      <c r="K258" t="str">
        <f>IF(I258="Trung bình",'Huong dan giao do an'!$B$8,IF(I258="Khá",'Huong dan giao do an'!$B$9,'Huong dan giao do an'!$B$10))</f>
        <v>Tối thiểu 5 actor; 14-18 use case; 10-15 bảng; 4 quy trình; tích hợp ngoài/realtime hoặc xử lý nâng cao; 3 báo cáo; &gt;=45 test case; logging, backup và deploy.</v>
      </c>
      <c r="L258" t="str">
        <f>'Huong dan giao do an'!$B$31</f>
        <v>Bắt buộc: Charter/PMP; SRS + scope/WBS; Gantt/baseline; effort-cost budget; RACI/timesheet; quality-test-defect; communication/minutes; risk register; procurement; change log; closure/lessons learned.</v>
      </c>
      <c r="M258" t="str">
        <f>'Huong dan giao do an'!$B$33</f>
        <v>Tuần 1: 07.09–13.09.2026; Tuần 2: 14.09–20.09.2026; Tuần 3: 21.09–27.09.2026; Tuần 4: 28.09–04.10.2026; Tuần 5: 05.10–11.10.2026; Tuần 6: 12.10–18.10.2026; Tuần 7: 19.10–25.10.2026; Tuần 8: 26.10–01.11.2026.</v>
      </c>
      <c r="N2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 s="17" t="str">
        <f t="shared" si="3"/>
        <v>Còn trống</v>
      </c>
    </row>
    <row r="259" spans="1:16" x14ac:dyDescent="0.3">
      <c r="A259">
        <v>258</v>
      </c>
      <c r="B259" t="s">
        <v>484</v>
      </c>
      <c r="C259" t="s">
        <v>627</v>
      </c>
      <c r="D259" t="s">
        <v>628</v>
      </c>
      <c r="E259" t="s">
        <v>45</v>
      </c>
      <c r="F259" t="s">
        <v>497</v>
      </c>
      <c r="G259" t="s">
        <v>546</v>
      </c>
      <c r="H259" t="str">
        <f>'Huong dan giao do an'!$B$14</f>
        <v>5 SV (vai trò chính): 1 PM/Scrum Master kiêm Integration; 2 BA/PO; 3 UI-UX + Frontend; 4 Backend/API + DevOps; 5 Database + QA/Tester. Mỗi SV có nhiệm vụ phụ và minh chứng cá nhân.</v>
      </c>
      <c r="I259" t="s">
        <v>36</v>
      </c>
      <c r="J259" t="s">
        <v>499</v>
      </c>
      <c r="K259" t="str">
        <f>IF(I259="Trung bình",'Huong dan giao do an'!$B$8,IF(I259="Khá",'Huong dan giao do an'!$B$9,'Huong dan giao do an'!$B$10))</f>
        <v>Tối thiểu 3 actor; 8-10 use case; 6-8 bảng dữ liệu; 2 quy trình lõi; đăng nhập/RBAC; 1 dashboard; 1 báo cáo; &gt;=25 test case; triển khai bản demo.</v>
      </c>
      <c r="L259" t="str">
        <f>'Huong dan giao do an'!$B$31</f>
        <v>Bắt buộc: Charter/PMP; SRS + scope/WBS; Gantt/baseline; effort-cost budget; RACI/timesheet; quality-test-defect; communication/minutes; risk register; procurement; change log; closure/lessons learned.</v>
      </c>
      <c r="M259" t="str">
        <f>'Huong dan giao do an'!$B$33</f>
        <v>Tuần 1: 07.09–13.09.2026; Tuần 2: 14.09–20.09.2026; Tuần 3: 21.09–27.09.2026; Tuần 4: 28.09–04.10.2026; Tuần 5: 05.10–11.10.2026; Tuần 6: 12.10–18.10.2026; Tuần 7: 19.10–25.10.2026; Tuần 8: 26.10–01.11.2026.</v>
      </c>
      <c r="N2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 s="17" t="str">
        <f t="shared" ref="P259:P322" si="4">IF(O259="","Còn trống","Đã đăng ký")</f>
        <v>Còn trống</v>
      </c>
    </row>
    <row r="260" spans="1:16" x14ac:dyDescent="0.3">
      <c r="A260">
        <v>259</v>
      </c>
      <c r="B260" t="s">
        <v>484</v>
      </c>
      <c r="C260" t="s">
        <v>629</v>
      </c>
      <c r="D260" t="s">
        <v>630</v>
      </c>
      <c r="E260" t="s">
        <v>19</v>
      </c>
      <c r="F260" t="s">
        <v>502</v>
      </c>
      <c r="G260" t="s">
        <v>549</v>
      </c>
      <c r="H260" t="str">
        <f>'Huong dan giao do an'!$B$14</f>
        <v>5 SV (vai trò chính): 1 PM/Scrum Master kiêm Integration; 2 BA/PO; 3 UI-UX + Frontend; 4 Backend/API + DevOps; 5 Database + QA/Tester. Mỗi SV có nhiệm vụ phụ và minh chứng cá nhân.</v>
      </c>
      <c r="I260" t="s">
        <v>22</v>
      </c>
      <c r="J260" t="s">
        <v>489</v>
      </c>
      <c r="K260" t="str">
        <f>IF(I260="Trung bình",'Huong dan giao do an'!$B$8,IF(I260="Khá",'Huong dan giao do an'!$B$9,'Huong dan giao do an'!$B$10))</f>
        <v>Tối thiểu 4 actor; 10-14 use case; 8-12 bảng; 3 quy trình lõi; phân quyền chi tiết; 2 báo cáo; tích hợp 1 dịch vụ; &gt;=35 test case; CI/CD hoặc deploy cloud.</v>
      </c>
      <c r="L260" t="str">
        <f>'Huong dan giao do an'!$B$31</f>
        <v>Bắt buộc: Charter/PMP; SRS + scope/WBS; Gantt/baseline; effort-cost budget; RACI/timesheet; quality-test-defect; communication/minutes; risk register; procurement; change log; closure/lessons learned.</v>
      </c>
      <c r="M260" t="str">
        <f>'Huong dan giao do an'!$B$33</f>
        <v>Tuần 1: 07.09–13.09.2026; Tuần 2: 14.09–20.09.2026; Tuần 3: 21.09–27.09.2026; Tuần 4: 28.09–04.10.2026; Tuần 5: 05.10–11.10.2026; Tuần 6: 12.10–18.10.2026; Tuần 7: 19.10–25.10.2026; Tuần 8: 26.10–01.11.2026.</v>
      </c>
      <c r="N2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 s="17" t="str">
        <f t="shared" si="4"/>
        <v>Còn trống</v>
      </c>
    </row>
    <row r="261" spans="1:16" x14ac:dyDescent="0.3">
      <c r="A261">
        <v>260</v>
      </c>
      <c r="B261" t="s">
        <v>484</v>
      </c>
      <c r="C261" t="s">
        <v>631</v>
      </c>
      <c r="D261" t="s">
        <v>632</v>
      </c>
      <c r="E261" t="s">
        <v>26</v>
      </c>
      <c r="F261" t="s">
        <v>506</v>
      </c>
      <c r="G261" t="s">
        <v>552</v>
      </c>
      <c r="H261" t="str">
        <f>'Huong dan giao do an'!$B$14</f>
        <v>5 SV (vai trò chính): 1 PM/Scrum Master kiêm Integration; 2 BA/PO; 3 UI-UX + Frontend; 4 Backend/API + DevOps; 5 Database + QA/Tester. Mỗi SV có nhiệm vụ phụ và minh chứng cá nhân.</v>
      </c>
      <c r="I261" t="s">
        <v>29</v>
      </c>
      <c r="J261" t="s">
        <v>494</v>
      </c>
      <c r="K261" t="str">
        <f>IF(I261="Trung bình",'Huong dan giao do an'!$B$8,IF(I261="Khá",'Huong dan giao do an'!$B$9,'Huong dan giao do an'!$B$10))</f>
        <v>Tối thiểu 5 actor; 14-18 use case; 10-15 bảng; 4 quy trình; tích hợp ngoài/realtime hoặc xử lý nâng cao; 3 báo cáo; &gt;=45 test case; logging, backup và deploy.</v>
      </c>
      <c r="L261" t="str">
        <f>'Huong dan giao do an'!$B$31</f>
        <v>Bắt buộc: Charter/PMP; SRS + scope/WBS; Gantt/baseline; effort-cost budget; RACI/timesheet; quality-test-defect; communication/minutes; risk register; procurement; change log; closure/lessons learned.</v>
      </c>
      <c r="M261" t="str">
        <f>'Huong dan giao do an'!$B$33</f>
        <v>Tuần 1: 07.09–13.09.2026; Tuần 2: 14.09–20.09.2026; Tuần 3: 21.09–27.09.2026; Tuần 4: 28.09–04.10.2026; Tuần 5: 05.10–11.10.2026; Tuần 6: 12.10–18.10.2026; Tuần 7: 19.10–25.10.2026; Tuần 8: 26.10–01.11.2026.</v>
      </c>
      <c r="N2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 s="17" t="str">
        <f t="shared" si="4"/>
        <v>Còn trống</v>
      </c>
    </row>
    <row r="262" spans="1:16" x14ac:dyDescent="0.3">
      <c r="A262">
        <v>261</v>
      </c>
      <c r="B262" t="s">
        <v>484</v>
      </c>
      <c r="C262" t="s">
        <v>633</v>
      </c>
      <c r="D262" t="s">
        <v>634</v>
      </c>
      <c r="E262" t="s">
        <v>33</v>
      </c>
      <c r="F262" t="s">
        <v>487</v>
      </c>
      <c r="G262" t="s">
        <v>488</v>
      </c>
      <c r="H262" t="str">
        <f>'Huong dan giao do an'!$B$14</f>
        <v>5 SV (vai trò chính): 1 PM/Scrum Master kiêm Integration; 2 BA/PO; 3 UI-UX + Frontend; 4 Backend/API + DevOps; 5 Database + QA/Tester. Mỗi SV có nhiệm vụ phụ và minh chứng cá nhân.</v>
      </c>
      <c r="I262" t="s">
        <v>22</v>
      </c>
      <c r="J262" t="s">
        <v>489</v>
      </c>
      <c r="K262" t="str">
        <f>IF(I262="Trung bình",'Huong dan giao do an'!$B$8,IF(I262="Khá",'Huong dan giao do an'!$B$9,'Huong dan giao do an'!$B$10))</f>
        <v>Tối thiểu 4 actor; 10-14 use case; 8-12 bảng; 3 quy trình lõi; phân quyền chi tiết; 2 báo cáo; tích hợp 1 dịch vụ; &gt;=35 test case; CI/CD hoặc deploy cloud.</v>
      </c>
      <c r="L262" t="str">
        <f>'Huong dan giao do an'!$B$31</f>
        <v>Bắt buộc: Charter/PMP; SRS + scope/WBS; Gantt/baseline; effort-cost budget; RACI/timesheet; quality-test-defect; communication/minutes; risk register; procurement; change log; closure/lessons learned.</v>
      </c>
      <c r="M262" t="str">
        <f>'Huong dan giao do an'!$B$33</f>
        <v>Tuần 1: 07.09–13.09.2026; Tuần 2: 14.09–20.09.2026; Tuần 3: 21.09–27.09.2026; Tuần 4: 28.09–04.10.2026; Tuần 5: 05.10–11.10.2026; Tuần 6: 12.10–18.10.2026; Tuần 7: 19.10–25.10.2026; Tuần 8: 26.10–01.11.2026.</v>
      </c>
      <c r="N2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 s="17" t="str">
        <f t="shared" si="4"/>
        <v>Còn trống</v>
      </c>
    </row>
    <row r="263" spans="1:16" x14ac:dyDescent="0.3">
      <c r="A263">
        <v>262</v>
      </c>
      <c r="B263" t="s">
        <v>484</v>
      </c>
      <c r="C263" t="s">
        <v>635</v>
      </c>
      <c r="D263" t="s">
        <v>636</v>
      </c>
      <c r="E263" t="s">
        <v>40</v>
      </c>
      <c r="F263" t="s">
        <v>492</v>
      </c>
      <c r="G263" t="s">
        <v>493</v>
      </c>
      <c r="H263" t="str">
        <f>'Huong dan giao do an'!$B$14</f>
        <v>5 SV (vai trò chính): 1 PM/Scrum Master kiêm Integration; 2 BA/PO; 3 UI-UX + Frontend; 4 Backend/API + DevOps; 5 Database + QA/Tester. Mỗi SV có nhiệm vụ phụ và minh chứng cá nhân.</v>
      </c>
      <c r="I263" t="s">
        <v>29</v>
      </c>
      <c r="J263" t="s">
        <v>494</v>
      </c>
      <c r="K263" t="str">
        <f>IF(I263="Trung bình",'Huong dan giao do an'!$B$8,IF(I263="Khá",'Huong dan giao do an'!$B$9,'Huong dan giao do an'!$B$10))</f>
        <v>Tối thiểu 5 actor; 14-18 use case; 10-15 bảng; 4 quy trình; tích hợp ngoài/realtime hoặc xử lý nâng cao; 3 báo cáo; &gt;=45 test case; logging, backup và deploy.</v>
      </c>
      <c r="L263" t="str">
        <f>'Huong dan giao do an'!$B$31</f>
        <v>Bắt buộc: Charter/PMP; SRS + scope/WBS; Gantt/baseline; effort-cost budget; RACI/timesheet; quality-test-defect; communication/minutes; risk register; procurement; change log; closure/lessons learned.</v>
      </c>
      <c r="M263" t="str">
        <f>'Huong dan giao do an'!$B$33</f>
        <v>Tuần 1: 07.09–13.09.2026; Tuần 2: 14.09–20.09.2026; Tuần 3: 21.09–27.09.2026; Tuần 4: 28.09–04.10.2026; Tuần 5: 05.10–11.10.2026; Tuần 6: 12.10–18.10.2026; Tuần 7: 19.10–25.10.2026; Tuần 8: 26.10–01.11.2026.</v>
      </c>
      <c r="N2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 s="17" t="str">
        <f t="shared" si="4"/>
        <v>Còn trống</v>
      </c>
    </row>
    <row r="264" spans="1:16" x14ac:dyDescent="0.3">
      <c r="A264">
        <v>263</v>
      </c>
      <c r="B264" t="s">
        <v>484</v>
      </c>
      <c r="C264" t="s">
        <v>637</v>
      </c>
      <c r="D264" t="s">
        <v>638</v>
      </c>
      <c r="E264" t="s">
        <v>45</v>
      </c>
      <c r="F264" t="s">
        <v>497</v>
      </c>
      <c r="G264" t="s">
        <v>498</v>
      </c>
      <c r="H264" t="str">
        <f>'Huong dan giao do an'!$B$14</f>
        <v>5 SV (vai trò chính): 1 PM/Scrum Master kiêm Integration; 2 BA/PO; 3 UI-UX + Frontend; 4 Backend/API + DevOps; 5 Database + QA/Tester. Mỗi SV có nhiệm vụ phụ và minh chứng cá nhân.</v>
      </c>
      <c r="I264" t="s">
        <v>36</v>
      </c>
      <c r="J264" t="s">
        <v>499</v>
      </c>
      <c r="K264" t="str">
        <f>IF(I264="Trung bình",'Huong dan giao do an'!$B$8,IF(I264="Khá",'Huong dan giao do an'!$B$9,'Huong dan giao do an'!$B$10))</f>
        <v>Tối thiểu 3 actor; 8-10 use case; 6-8 bảng dữ liệu; 2 quy trình lõi; đăng nhập/RBAC; 1 dashboard; 1 báo cáo; &gt;=25 test case; triển khai bản demo.</v>
      </c>
      <c r="L264" t="str">
        <f>'Huong dan giao do an'!$B$31</f>
        <v>Bắt buộc: Charter/PMP; SRS + scope/WBS; Gantt/baseline; effort-cost budget; RACI/timesheet; quality-test-defect; communication/minutes; risk register; procurement; change log; closure/lessons learned.</v>
      </c>
      <c r="M264" t="str">
        <f>'Huong dan giao do an'!$B$33</f>
        <v>Tuần 1: 07.09–13.09.2026; Tuần 2: 14.09–20.09.2026; Tuần 3: 21.09–27.09.2026; Tuần 4: 28.09–04.10.2026; Tuần 5: 05.10–11.10.2026; Tuần 6: 12.10–18.10.2026; Tuần 7: 19.10–25.10.2026; Tuần 8: 26.10–01.11.2026.</v>
      </c>
      <c r="N2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 s="17" t="str">
        <f t="shared" si="4"/>
        <v>Còn trống</v>
      </c>
    </row>
    <row r="265" spans="1:16" x14ac:dyDescent="0.3">
      <c r="A265">
        <v>264</v>
      </c>
      <c r="B265" t="s">
        <v>484</v>
      </c>
      <c r="C265" t="s">
        <v>639</v>
      </c>
      <c r="D265" t="s">
        <v>640</v>
      </c>
      <c r="E265" t="s">
        <v>19</v>
      </c>
      <c r="F265" t="s">
        <v>502</v>
      </c>
      <c r="G265" t="s">
        <v>503</v>
      </c>
      <c r="H265" t="str">
        <f>'Huong dan giao do an'!$B$14</f>
        <v>5 SV (vai trò chính): 1 PM/Scrum Master kiêm Integration; 2 BA/PO; 3 UI-UX + Frontend; 4 Backend/API + DevOps; 5 Database + QA/Tester. Mỗi SV có nhiệm vụ phụ và minh chứng cá nhân.</v>
      </c>
      <c r="I265" t="s">
        <v>22</v>
      </c>
      <c r="J265" t="s">
        <v>489</v>
      </c>
      <c r="K265" t="str">
        <f>IF(I265="Trung bình",'Huong dan giao do an'!$B$8,IF(I265="Khá",'Huong dan giao do an'!$B$9,'Huong dan giao do an'!$B$10))</f>
        <v>Tối thiểu 4 actor; 10-14 use case; 8-12 bảng; 3 quy trình lõi; phân quyền chi tiết; 2 báo cáo; tích hợp 1 dịch vụ; &gt;=35 test case; CI/CD hoặc deploy cloud.</v>
      </c>
      <c r="L265" t="str">
        <f>'Huong dan giao do an'!$B$31</f>
        <v>Bắt buộc: Charter/PMP; SRS + scope/WBS; Gantt/baseline; effort-cost budget; RACI/timesheet; quality-test-defect; communication/minutes; risk register; procurement; change log; closure/lessons learned.</v>
      </c>
      <c r="M265" t="str">
        <f>'Huong dan giao do an'!$B$33</f>
        <v>Tuần 1: 07.09–13.09.2026; Tuần 2: 14.09–20.09.2026; Tuần 3: 21.09–27.09.2026; Tuần 4: 28.09–04.10.2026; Tuần 5: 05.10–11.10.2026; Tuần 6: 12.10–18.10.2026; Tuần 7: 19.10–25.10.2026; Tuần 8: 26.10–01.11.2026.</v>
      </c>
      <c r="N2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 s="17" t="str">
        <f t="shared" si="4"/>
        <v>Còn trống</v>
      </c>
    </row>
    <row r="266" spans="1:16" x14ac:dyDescent="0.3">
      <c r="A266">
        <v>265</v>
      </c>
      <c r="B266" t="s">
        <v>484</v>
      </c>
      <c r="C266" t="s">
        <v>641</v>
      </c>
      <c r="D266" t="s">
        <v>642</v>
      </c>
      <c r="E266" t="s">
        <v>26</v>
      </c>
      <c r="F266" t="s">
        <v>506</v>
      </c>
      <c r="G266" t="s">
        <v>507</v>
      </c>
      <c r="H266" t="str">
        <f>'Huong dan giao do an'!$B$14</f>
        <v>5 SV (vai trò chính): 1 PM/Scrum Master kiêm Integration; 2 BA/PO; 3 UI-UX + Frontend; 4 Backend/API + DevOps; 5 Database + QA/Tester. Mỗi SV có nhiệm vụ phụ và minh chứng cá nhân.</v>
      </c>
      <c r="I266" t="s">
        <v>29</v>
      </c>
      <c r="J266" t="s">
        <v>494</v>
      </c>
      <c r="K266" t="str">
        <f>IF(I266="Trung bình",'Huong dan giao do an'!$B$8,IF(I266="Khá",'Huong dan giao do an'!$B$9,'Huong dan giao do an'!$B$10))</f>
        <v>Tối thiểu 5 actor; 14-18 use case; 10-15 bảng; 4 quy trình; tích hợp ngoài/realtime hoặc xử lý nâng cao; 3 báo cáo; &gt;=45 test case; logging, backup và deploy.</v>
      </c>
      <c r="L266" t="str">
        <f>'Huong dan giao do an'!$B$31</f>
        <v>Bắt buộc: Charter/PMP; SRS + scope/WBS; Gantt/baseline; effort-cost budget; RACI/timesheet; quality-test-defect; communication/minutes; risk register; procurement; change log; closure/lessons learned.</v>
      </c>
      <c r="M266" t="str">
        <f>'Huong dan giao do an'!$B$33</f>
        <v>Tuần 1: 07.09–13.09.2026; Tuần 2: 14.09–20.09.2026; Tuần 3: 21.09–27.09.2026; Tuần 4: 28.09–04.10.2026; Tuần 5: 05.10–11.10.2026; Tuần 6: 12.10–18.10.2026; Tuần 7: 19.10–25.10.2026; Tuần 8: 26.10–01.11.2026.</v>
      </c>
      <c r="N2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 s="17" t="str">
        <f t="shared" si="4"/>
        <v>Còn trống</v>
      </c>
    </row>
    <row r="267" spans="1:16" x14ac:dyDescent="0.3">
      <c r="A267">
        <v>266</v>
      </c>
      <c r="B267" t="s">
        <v>484</v>
      </c>
      <c r="C267" t="s">
        <v>643</v>
      </c>
      <c r="D267" t="s">
        <v>644</v>
      </c>
      <c r="E267" t="s">
        <v>33</v>
      </c>
      <c r="F267" t="s">
        <v>487</v>
      </c>
      <c r="G267" t="s">
        <v>510</v>
      </c>
      <c r="H267" t="str">
        <f>'Huong dan giao do an'!$B$14</f>
        <v>5 SV (vai trò chính): 1 PM/Scrum Master kiêm Integration; 2 BA/PO; 3 UI-UX + Frontend; 4 Backend/API + DevOps; 5 Database + QA/Tester. Mỗi SV có nhiệm vụ phụ và minh chứng cá nhân.</v>
      </c>
      <c r="I267" t="s">
        <v>36</v>
      </c>
      <c r="J267" t="s">
        <v>499</v>
      </c>
      <c r="K267" t="str">
        <f>IF(I267="Trung bình",'Huong dan giao do an'!$B$8,IF(I267="Khá",'Huong dan giao do an'!$B$9,'Huong dan giao do an'!$B$10))</f>
        <v>Tối thiểu 3 actor; 8-10 use case; 6-8 bảng dữ liệu; 2 quy trình lõi; đăng nhập/RBAC; 1 dashboard; 1 báo cáo; &gt;=25 test case; triển khai bản demo.</v>
      </c>
      <c r="L267" t="str">
        <f>'Huong dan giao do an'!$B$31</f>
        <v>Bắt buộc: Charter/PMP; SRS + scope/WBS; Gantt/baseline; effort-cost budget; RACI/timesheet; quality-test-defect; communication/minutes; risk register; procurement; change log; closure/lessons learned.</v>
      </c>
      <c r="M267" t="str">
        <f>'Huong dan giao do an'!$B$33</f>
        <v>Tuần 1: 07.09–13.09.2026; Tuần 2: 14.09–20.09.2026; Tuần 3: 21.09–27.09.2026; Tuần 4: 28.09–04.10.2026; Tuần 5: 05.10–11.10.2026; Tuần 6: 12.10–18.10.2026; Tuần 7: 19.10–25.10.2026; Tuần 8: 26.10–01.11.2026.</v>
      </c>
      <c r="N2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 s="17" t="str">
        <f t="shared" si="4"/>
        <v>Còn trống</v>
      </c>
    </row>
    <row r="268" spans="1:16" x14ac:dyDescent="0.3">
      <c r="A268">
        <v>267</v>
      </c>
      <c r="B268" t="s">
        <v>484</v>
      </c>
      <c r="C268" t="s">
        <v>645</v>
      </c>
      <c r="D268" t="s">
        <v>646</v>
      </c>
      <c r="E268" t="s">
        <v>40</v>
      </c>
      <c r="F268" t="s">
        <v>492</v>
      </c>
      <c r="G268" t="s">
        <v>513</v>
      </c>
      <c r="H268" t="str">
        <f>'Huong dan giao do an'!$B$14</f>
        <v>5 SV (vai trò chính): 1 PM/Scrum Master kiêm Integration; 2 BA/PO; 3 UI-UX + Frontend; 4 Backend/API + DevOps; 5 Database + QA/Tester. Mỗi SV có nhiệm vụ phụ và minh chứng cá nhân.</v>
      </c>
      <c r="I268" t="s">
        <v>22</v>
      </c>
      <c r="J268" t="s">
        <v>489</v>
      </c>
      <c r="K268" t="str">
        <f>IF(I268="Trung bình",'Huong dan giao do an'!$B$8,IF(I268="Khá",'Huong dan giao do an'!$B$9,'Huong dan giao do an'!$B$10))</f>
        <v>Tối thiểu 4 actor; 10-14 use case; 8-12 bảng; 3 quy trình lõi; phân quyền chi tiết; 2 báo cáo; tích hợp 1 dịch vụ; &gt;=35 test case; CI/CD hoặc deploy cloud.</v>
      </c>
      <c r="L268" t="str">
        <f>'Huong dan giao do an'!$B$31</f>
        <v>Bắt buộc: Charter/PMP; SRS + scope/WBS; Gantt/baseline; effort-cost budget; RACI/timesheet; quality-test-defect; communication/minutes; risk register; procurement; change log; closure/lessons learned.</v>
      </c>
      <c r="M268" t="str">
        <f>'Huong dan giao do an'!$B$33</f>
        <v>Tuần 1: 07.09–13.09.2026; Tuần 2: 14.09–20.09.2026; Tuần 3: 21.09–27.09.2026; Tuần 4: 28.09–04.10.2026; Tuần 5: 05.10–11.10.2026; Tuần 6: 12.10–18.10.2026; Tuần 7: 19.10–25.10.2026; Tuần 8: 26.10–01.11.2026.</v>
      </c>
      <c r="N2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 s="17" t="str">
        <f t="shared" si="4"/>
        <v>Còn trống</v>
      </c>
    </row>
    <row r="269" spans="1:16" x14ac:dyDescent="0.3">
      <c r="A269">
        <v>268</v>
      </c>
      <c r="B269" t="s">
        <v>484</v>
      </c>
      <c r="C269" t="s">
        <v>647</v>
      </c>
      <c r="D269" t="s">
        <v>648</v>
      </c>
      <c r="E269" t="s">
        <v>45</v>
      </c>
      <c r="F269" t="s">
        <v>497</v>
      </c>
      <c r="G269" t="s">
        <v>516</v>
      </c>
      <c r="H269" t="str">
        <f>'Huong dan giao do an'!$B$14</f>
        <v>5 SV (vai trò chính): 1 PM/Scrum Master kiêm Integration; 2 BA/PO; 3 UI-UX + Frontend; 4 Backend/API + DevOps; 5 Database + QA/Tester. Mỗi SV có nhiệm vụ phụ và minh chứng cá nhân.</v>
      </c>
      <c r="I269" t="s">
        <v>29</v>
      </c>
      <c r="J269" t="s">
        <v>494</v>
      </c>
      <c r="K269" t="str">
        <f>IF(I269="Trung bình",'Huong dan giao do an'!$B$8,IF(I269="Khá",'Huong dan giao do an'!$B$9,'Huong dan giao do an'!$B$10))</f>
        <v>Tối thiểu 5 actor; 14-18 use case; 10-15 bảng; 4 quy trình; tích hợp ngoài/realtime hoặc xử lý nâng cao; 3 báo cáo; &gt;=45 test case; logging, backup và deploy.</v>
      </c>
      <c r="L269" t="str">
        <f>'Huong dan giao do an'!$B$31</f>
        <v>Bắt buộc: Charter/PMP; SRS + scope/WBS; Gantt/baseline; effort-cost budget; RACI/timesheet; quality-test-defect; communication/minutes; risk register; procurement; change log; closure/lessons learned.</v>
      </c>
      <c r="M269" t="str">
        <f>'Huong dan giao do an'!$B$33</f>
        <v>Tuần 1: 07.09–13.09.2026; Tuần 2: 14.09–20.09.2026; Tuần 3: 21.09–27.09.2026; Tuần 4: 28.09–04.10.2026; Tuần 5: 05.10–11.10.2026; Tuần 6: 12.10–18.10.2026; Tuần 7: 19.10–25.10.2026; Tuần 8: 26.10–01.11.2026.</v>
      </c>
      <c r="N2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 s="17" t="str">
        <f t="shared" si="4"/>
        <v>Còn trống</v>
      </c>
    </row>
    <row r="270" spans="1:16" x14ac:dyDescent="0.3">
      <c r="A270">
        <v>269</v>
      </c>
      <c r="B270" t="s">
        <v>484</v>
      </c>
      <c r="C270" t="s">
        <v>649</v>
      </c>
      <c r="D270" t="s">
        <v>650</v>
      </c>
      <c r="E270" t="s">
        <v>19</v>
      </c>
      <c r="F270" t="s">
        <v>502</v>
      </c>
      <c r="G270" t="s">
        <v>519</v>
      </c>
      <c r="H270" t="str">
        <f>'Huong dan giao do an'!$B$14</f>
        <v>5 SV (vai trò chính): 1 PM/Scrum Master kiêm Integration; 2 BA/PO; 3 UI-UX + Frontend; 4 Backend/API + DevOps; 5 Database + QA/Tester. Mỗi SV có nhiệm vụ phụ và minh chứng cá nhân.</v>
      </c>
      <c r="I270" t="s">
        <v>36</v>
      </c>
      <c r="J270" t="s">
        <v>499</v>
      </c>
      <c r="K270" t="str">
        <f>IF(I270="Trung bình",'Huong dan giao do an'!$B$8,IF(I270="Khá",'Huong dan giao do an'!$B$9,'Huong dan giao do an'!$B$10))</f>
        <v>Tối thiểu 3 actor; 8-10 use case; 6-8 bảng dữ liệu; 2 quy trình lõi; đăng nhập/RBAC; 1 dashboard; 1 báo cáo; &gt;=25 test case; triển khai bản demo.</v>
      </c>
      <c r="L270" t="str">
        <f>'Huong dan giao do an'!$B$31</f>
        <v>Bắt buộc: Charter/PMP; SRS + scope/WBS; Gantt/baseline; effort-cost budget; RACI/timesheet; quality-test-defect; communication/minutes; risk register; procurement; change log; closure/lessons learned.</v>
      </c>
      <c r="M270" t="str">
        <f>'Huong dan giao do an'!$B$33</f>
        <v>Tuần 1: 07.09–13.09.2026; Tuần 2: 14.09–20.09.2026; Tuần 3: 21.09–27.09.2026; Tuần 4: 28.09–04.10.2026; Tuần 5: 05.10–11.10.2026; Tuần 6: 12.10–18.10.2026; Tuần 7: 19.10–25.10.2026; Tuần 8: 26.10–01.11.2026.</v>
      </c>
      <c r="N2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 s="17" t="str">
        <f t="shared" si="4"/>
        <v>Còn trống</v>
      </c>
    </row>
    <row r="271" spans="1:16" x14ac:dyDescent="0.3">
      <c r="A271">
        <v>270</v>
      </c>
      <c r="B271" t="s">
        <v>484</v>
      </c>
      <c r="C271" t="s">
        <v>651</v>
      </c>
      <c r="D271" t="s">
        <v>652</v>
      </c>
      <c r="E271" t="s">
        <v>26</v>
      </c>
      <c r="F271" t="s">
        <v>506</v>
      </c>
      <c r="G271" t="s">
        <v>522</v>
      </c>
      <c r="H271" t="str">
        <f>'Huong dan giao do an'!$B$14</f>
        <v>5 SV (vai trò chính): 1 PM/Scrum Master kiêm Integration; 2 BA/PO; 3 UI-UX + Frontend; 4 Backend/API + DevOps; 5 Database + QA/Tester. Mỗi SV có nhiệm vụ phụ và minh chứng cá nhân.</v>
      </c>
      <c r="I271" t="s">
        <v>22</v>
      </c>
      <c r="J271" t="s">
        <v>489</v>
      </c>
      <c r="K271" t="str">
        <f>IF(I271="Trung bình",'Huong dan giao do an'!$B$8,IF(I271="Khá",'Huong dan giao do an'!$B$9,'Huong dan giao do an'!$B$10))</f>
        <v>Tối thiểu 4 actor; 10-14 use case; 8-12 bảng; 3 quy trình lõi; phân quyền chi tiết; 2 báo cáo; tích hợp 1 dịch vụ; &gt;=35 test case; CI/CD hoặc deploy cloud.</v>
      </c>
      <c r="L271" t="str">
        <f>'Huong dan giao do an'!$B$31</f>
        <v>Bắt buộc: Charter/PMP; SRS + scope/WBS; Gantt/baseline; effort-cost budget; RACI/timesheet; quality-test-defect; communication/minutes; risk register; procurement; change log; closure/lessons learned.</v>
      </c>
      <c r="M271" t="str">
        <f>'Huong dan giao do an'!$B$33</f>
        <v>Tuần 1: 07.09–13.09.2026; Tuần 2: 14.09–20.09.2026; Tuần 3: 21.09–27.09.2026; Tuần 4: 28.09–04.10.2026; Tuần 5: 05.10–11.10.2026; Tuần 6: 12.10–18.10.2026; Tuần 7: 19.10–25.10.2026; Tuần 8: 26.10–01.11.2026.</v>
      </c>
      <c r="N2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 s="17" t="str">
        <f t="shared" si="4"/>
        <v>Còn trống</v>
      </c>
    </row>
    <row r="272" spans="1:16" x14ac:dyDescent="0.3">
      <c r="A272">
        <v>271</v>
      </c>
      <c r="B272" t="s">
        <v>484</v>
      </c>
      <c r="C272" t="s">
        <v>653</v>
      </c>
      <c r="D272" t="s">
        <v>654</v>
      </c>
      <c r="E272" t="s">
        <v>33</v>
      </c>
      <c r="F272" t="s">
        <v>487</v>
      </c>
      <c r="G272" t="s">
        <v>525</v>
      </c>
      <c r="H272" t="str">
        <f>'Huong dan giao do an'!$B$14</f>
        <v>5 SV (vai trò chính): 1 PM/Scrum Master kiêm Integration; 2 BA/PO; 3 UI-UX + Frontend; 4 Backend/API + DevOps; 5 Database + QA/Tester. Mỗi SV có nhiệm vụ phụ và minh chứng cá nhân.</v>
      </c>
      <c r="I272" t="s">
        <v>29</v>
      </c>
      <c r="J272" t="s">
        <v>494</v>
      </c>
      <c r="K272" t="str">
        <f>IF(I272="Trung bình",'Huong dan giao do an'!$B$8,IF(I272="Khá",'Huong dan giao do an'!$B$9,'Huong dan giao do an'!$B$10))</f>
        <v>Tối thiểu 5 actor; 14-18 use case; 10-15 bảng; 4 quy trình; tích hợp ngoài/realtime hoặc xử lý nâng cao; 3 báo cáo; &gt;=45 test case; logging, backup và deploy.</v>
      </c>
      <c r="L272" t="str">
        <f>'Huong dan giao do an'!$B$31</f>
        <v>Bắt buộc: Charter/PMP; SRS + scope/WBS; Gantt/baseline; effort-cost budget; RACI/timesheet; quality-test-defect; communication/minutes; risk register; procurement; change log; closure/lessons learned.</v>
      </c>
      <c r="M272" t="str">
        <f>'Huong dan giao do an'!$B$33</f>
        <v>Tuần 1: 07.09–13.09.2026; Tuần 2: 14.09–20.09.2026; Tuần 3: 21.09–27.09.2026; Tuần 4: 28.09–04.10.2026; Tuần 5: 05.10–11.10.2026; Tuần 6: 12.10–18.10.2026; Tuần 7: 19.10–25.10.2026; Tuần 8: 26.10–01.11.2026.</v>
      </c>
      <c r="N2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 s="17" t="str">
        <f t="shared" si="4"/>
        <v>Còn trống</v>
      </c>
    </row>
    <row r="273" spans="1:16" x14ac:dyDescent="0.3">
      <c r="A273">
        <v>272</v>
      </c>
      <c r="B273" t="s">
        <v>484</v>
      </c>
      <c r="C273" t="s">
        <v>655</v>
      </c>
      <c r="D273" t="s">
        <v>656</v>
      </c>
      <c r="E273" t="s">
        <v>40</v>
      </c>
      <c r="F273" t="s">
        <v>492</v>
      </c>
      <c r="G273" t="s">
        <v>528</v>
      </c>
      <c r="H273" t="str">
        <f>'Huong dan giao do an'!$B$14</f>
        <v>5 SV (vai trò chính): 1 PM/Scrum Master kiêm Integration; 2 BA/PO; 3 UI-UX + Frontend; 4 Backend/API + DevOps; 5 Database + QA/Tester. Mỗi SV có nhiệm vụ phụ và minh chứng cá nhân.</v>
      </c>
      <c r="I273" t="s">
        <v>36</v>
      </c>
      <c r="J273" t="s">
        <v>499</v>
      </c>
      <c r="K273" t="str">
        <f>IF(I273="Trung bình",'Huong dan giao do an'!$B$8,IF(I273="Khá",'Huong dan giao do an'!$B$9,'Huong dan giao do an'!$B$10))</f>
        <v>Tối thiểu 3 actor; 8-10 use case; 6-8 bảng dữ liệu; 2 quy trình lõi; đăng nhập/RBAC; 1 dashboard; 1 báo cáo; &gt;=25 test case; triển khai bản demo.</v>
      </c>
      <c r="L273" t="str">
        <f>'Huong dan giao do an'!$B$31</f>
        <v>Bắt buộc: Charter/PMP; SRS + scope/WBS; Gantt/baseline; effort-cost budget; RACI/timesheet; quality-test-defect; communication/minutes; risk register; procurement; change log; closure/lessons learned.</v>
      </c>
      <c r="M273" t="str">
        <f>'Huong dan giao do an'!$B$33</f>
        <v>Tuần 1: 07.09–13.09.2026; Tuần 2: 14.09–20.09.2026; Tuần 3: 21.09–27.09.2026; Tuần 4: 28.09–04.10.2026; Tuần 5: 05.10–11.10.2026; Tuần 6: 12.10–18.10.2026; Tuần 7: 19.10–25.10.2026; Tuần 8: 26.10–01.11.2026.</v>
      </c>
      <c r="N2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 s="17" t="str">
        <f t="shared" si="4"/>
        <v>Còn trống</v>
      </c>
    </row>
    <row r="274" spans="1:16" x14ac:dyDescent="0.3">
      <c r="A274">
        <v>273</v>
      </c>
      <c r="B274" t="s">
        <v>484</v>
      </c>
      <c r="C274" t="s">
        <v>657</v>
      </c>
      <c r="D274" t="s">
        <v>658</v>
      </c>
      <c r="E274" t="s">
        <v>45</v>
      </c>
      <c r="F274" t="s">
        <v>497</v>
      </c>
      <c r="G274" t="s">
        <v>531</v>
      </c>
      <c r="H274" t="str">
        <f>'Huong dan giao do an'!$B$14</f>
        <v>5 SV (vai trò chính): 1 PM/Scrum Master kiêm Integration; 2 BA/PO; 3 UI-UX + Frontend; 4 Backend/API + DevOps; 5 Database + QA/Tester. Mỗi SV có nhiệm vụ phụ và minh chứng cá nhân.</v>
      </c>
      <c r="I274" t="s">
        <v>22</v>
      </c>
      <c r="J274" t="s">
        <v>489</v>
      </c>
      <c r="K274" t="str">
        <f>IF(I274="Trung bình",'Huong dan giao do an'!$B$8,IF(I274="Khá",'Huong dan giao do an'!$B$9,'Huong dan giao do an'!$B$10))</f>
        <v>Tối thiểu 4 actor; 10-14 use case; 8-12 bảng; 3 quy trình lõi; phân quyền chi tiết; 2 báo cáo; tích hợp 1 dịch vụ; &gt;=35 test case; CI/CD hoặc deploy cloud.</v>
      </c>
      <c r="L274" t="str">
        <f>'Huong dan giao do an'!$B$31</f>
        <v>Bắt buộc: Charter/PMP; SRS + scope/WBS; Gantt/baseline; effort-cost budget; RACI/timesheet; quality-test-defect; communication/minutes; risk register; procurement; change log; closure/lessons learned.</v>
      </c>
      <c r="M274" t="str">
        <f>'Huong dan giao do an'!$B$33</f>
        <v>Tuần 1: 07.09–13.09.2026; Tuần 2: 14.09–20.09.2026; Tuần 3: 21.09–27.09.2026; Tuần 4: 28.09–04.10.2026; Tuần 5: 05.10–11.10.2026; Tuần 6: 12.10–18.10.2026; Tuần 7: 19.10–25.10.2026; Tuần 8: 26.10–01.11.2026.</v>
      </c>
      <c r="N2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 s="17" t="str">
        <f t="shared" si="4"/>
        <v>Còn trống</v>
      </c>
    </row>
    <row r="275" spans="1:16" x14ac:dyDescent="0.3">
      <c r="A275">
        <v>274</v>
      </c>
      <c r="B275" t="s">
        <v>484</v>
      </c>
      <c r="C275" t="s">
        <v>659</v>
      </c>
      <c r="D275" t="s">
        <v>660</v>
      </c>
      <c r="E275" t="s">
        <v>19</v>
      </c>
      <c r="F275" t="s">
        <v>502</v>
      </c>
      <c r="G275" t="s">
        <v>534</v>
      </c>
      <c r="H275" t="str">
        <f>'Huong dan giao do an'!$B$14</f>
        <v>5 SV (vai trò chính): 1 PM/Scrum Master kiêm Integration; 2 BA/PO; 3 UI-UX + Frontend; 4 Backend/API + DevOps; 5 Database + QA/Tester. Mỗi SV có nhiệm vụ phụ và minh chứng cá nhân.</v>
      </c>
      <c r="I275" t="s">
        <v>29</v>
      </c>
      <c r="J275" t="s">
        <v>494</v>
      </c>
      <c r="K275" t="str">
        <f>IF(I275="Trung bình",'Huong dan giao do an'!$B$8,IF(I275="Khá",'Huong dan giao do an'!$B$9,'Huong dan giao do an'!$B$10))</f>
        <v>Tối thiểu 5 actor; 14-18 use case; 10-15 bảng; 4 quy trình; tích hợp ngoài/realtime hoặc xử lý nâng cao; 3 báo cáo; &gt;=45 test case; logging, backup và deploy.</v>
      </c>
      <c r="L275" t="str">
        <f>'Huong dan giao do an'!$B$31</f>
        <v>Bắt buộc: Charter/PMP; SRS + scope/WBS; Gantt/baseline; effort-cost budget; RACI/timesheet; quality-test-defect; communication/minutes; risk register; procurement; change log; closure/lessons learned.</v>
      </c>
      <c r="M275" t="str">
        <f>'Huong dan giao do an'!$B$33</f>
        <v>Tuần 1: 07.09–13.09.2026; Tuần 2: 14.09–20.09.2026; Tuần 3: 21.09–27.09.2026; Tuần 4: 28.09–04.10.2026; Tuần 5: 05.10–11.10.2026; Tuần 6: 12.10–18.10.2026; Tuần 7: 19.10–25.10.2026; Tuần 8: 26.10–01.11.2026.</v>
      </c>
      <c r="N2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 s="17" t="str">
        <f t="shared" si="4"/>
        <v>Còn trống</v>
      </c>
    </row>
    <row r="276" spans="1:16" x14ac:dyDescent="0.3">
      <c r="A276">
        <v>275</v>
      </c>
      <c r="B276" t="s">
        <v>484</v>
      </c>
      <c r="C276" t="s">
        <v>661</v>
      </c>
      <c r="D276" t="s">
        <v>662</v>
      </c>
      <c r="E276" t="s">
        <v>26</v>
      </c>
      <c r="F276" t="s">
        <v>506</v>
      </c>
      <c r="G276" t="s">
        <v>537</v>
      </c>
      <c r="H276" t="str">
        <f>'Huong dan giao do an'!$B$14</f>
        <v>5 SV (vai trò chính): 1 PM/Scrum Master kiêm Integration; 2 BA/PO; 3 UI-UX + Frontend; 4 Backend/API + DevOps; 5 Database + QA/Tester. Mỗi SV có nhiệm vụ phụ và minh chứng cá nhân.</v>
      </c>
      <c r="I276" t="s">
        <v>36</v>
      </c>
      <c r="J276" t="s">
        <v>499</v>
      </c>
      <c r="K276" t="str">
        <f>IF(I276="Trung bình",'Huong dan giao do an'!$B$8,IF(I276="Khá",'Huong dan giao do an'!$B$9,'Huong dan giao do an'!$B$10))</f>
        <v>Tối thiểu 3 actor; 8-10 use case; 6-8 bảng dữ liệu; 2 quy trình lõi; đăng nhập/RBAC; 1 dashboard; 1 báo cáo; &gt;=25 test case; triển khai bản demo.</v>
      </c>
      <c r="L276" t="str">
        <f>'Huong dan giao do an'!$B$31</f>
        <v>Bắt buộc: Charter/PMP; SRS + scope/WBS; Gantt/baseline; effort-cost budget; RACI/timesheet; quality-test-defect; communication/minutes; risk register; procurement; change log; closure/lessons learned.</v>
      </c>
      <c r="M276" t="str">
        <f>'Huong dan giao do an'!$B$33</f>
        <v>Tuần 1: 07.09–13.09.2026; Tuần 2: 14.09–20.09.2026; Tuần 3: 21.09–27.09.2026; Tuần 4: 28.09–04.10.2026; Tuần 5: 05.10–11.10.2026; Tuần 6: 12.10–18.10.2026; Tuần 7: 19.10–25.10.2026; Tuần 8: 26.10–01.11.2026.</v>
      </c>
      <c r="N2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 s="17" t="str">
        <f t="shared" si="4"/>
        <v>Còn trống</v>
      </c>
    </row>
    <row r="277" spans="1:16" x14ac:dyDescent="0.3">
      <c r="A277">
        <v>276</v>
      </c>
      <c r="B277" t="s">
        <v>484</v>
      </c>
      <c r="C277" t="s">
        <v>663</v>
      </c>
      <c r="D277" t="s">
        <v>664</v>
      </c>
      <c r="E277" t="s">
        <v>33</v>
      </c>
      <c r="F277" t="s">
        <v>487</v>
      </c>
      <c r="G277" t="s">
        <v>540</v>
      </c>
      <c r="H277" t="str">
        <f>'Huong dan giao do an'!$B$14</f>
        <v>5 SV (vai trò chính): 1 PM/Scrum Master kiêm Integration; 2 BA/PO; 3 UI-UX + Frontend; 4 Backend/API + DevOps; 5 Database + QA/Tester. Mỗi SV có nhiệm vụ phụ và minh chứng cá nhân.</v>
      </c>
      <c r="I277" t="s">
        <v>22</v>
      </c>
      <c r="J277" t="s">
        <v>489</v>
      </c>
      <c r="K277" t="str">
        <f>IF(I277="Trung bình",'Huong dan giao do an'!$B$8,IF(I277="Khá",'Huong dan giao do an'!$B$9,'Huong dan giao do an'!$B$10))</f>
        <v>Tối thiểu 4 actor; 10-14 use case; 8-12 bảng; 3 quy trình lõi; phân quyền chi tiết; 2 báo cáo; tích hợp 1 dịch vụ; &gt;=35 test case; CI/CD hoặc deploy cloud.</v>
      </c>
      <c r="L277" t="str">
        <f>'Huong dan giao do an'!$B$31</f>
        <v>Bắt buộc: Charter/PMP; SRS + scope/WBS; Gantt/baseline; effort-cost budget; RACI/timesheet; quality-test-defect; communication/minutes; risk register; procurement; change log; closure/lessons learned.</v>
      </c>
      <c r="M277" t="str">
        <f>'Huong dan giao do an'!$B$33</f>
        <v>Tuần 1: 07.09–13.09.2026; Tuần 2: 14.09–20.09.2026; Tuần 3: 21.09–27.09.2026; Tuần 4: 28.09–04.10.2026; Tuần 5: 05.10–11.10.2026; Tuần 6: 12.10–18.10.2026; Tuần 7: 19.10–25.10.2026; Tuần 8: 26.10–01.11.2026.</v>
      </c>
      <c r="N2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 s="17" t="str">
        <f t="shared" si="4"/>
        <v>Còn trống</v>
      </c>
    </row>
    <row r="278" spans="1:16" x14ac:dyDescent="0.3">
      <c r="A278">
        <v>277</v>
      </c>
      <c r="B278" t="s">
        <v>484</v>
      </c>
      <c r="C278" t="s">
        <v>665</v>
      </c>
      <c r="D278" t="s">
        <v>666</v>
      </c>
      <c r="E278" t="s">
        <v>40</v>
      </c>
      <c r="F278" t="s">
        <v>492</v>
      </c>
      <c r="G278" t="s">
        <v>543</v>
      </c>
      <c r="H278" t="str">
        <f>'Huong dan giao do an'!$B$14</f>
        <v>5 SV (vai trò chính): 1 PM/Scrum Master kiêm Integration; 2 BA/PO; 3 UI-UX + Frontend; 4 Backend/API + DevOps; 5 Database + QA/Tester. Mỗi SV có nhiệm vụ phụ và minh chứng cá nhân.</v>
      </c>
      <c r="I278" t="s">
        <v>29</v>
      </c>
      <c r="J278" t="s">
        <v>494</v>
      </c>
      <c r="K278" t="str">
        <f>IF(I278="Trung bình",'Huong dan giao do an'!$B$8,IF(I278="Khá",'Huong dan giao do an'!$B$9,'Huong dan giao do an'!$B$10))</f>
        <v>Tối thiểu 5 actor; 14-18 use case; 10-15 bảng; 4 quy trình; tích hợp ngoài/realtime hoặc xử lý nâng cao; 3 báo cáo; &gt;=45 test case; logging, backup và deploy.</v>
      </c>
      <c r="L278" t="str">
        <f>'Huong dan giao do an'!$B$31</f>
        <v>Bắt buộc: Charter/PMP; SRS + scope/WBS; Gantt/baseline; effort-cost budget; RACI/timesheet; quality-test-defect; communication/minutes; risk register; procurement; change log; closure/lessons learned.</v>
      </c>
      <c r="M278" t="str">
        <f>'Huong dan giao do an'!$B$33</f>
        <v>Tuần 1: 07.09–13.09.2026; Tuần 2: 14.09–20.09.2026; Tuần 3: 21.09–27.09.2026; Tuần 4: 28.09–04.10.2026; Tuần 5: 05.10–11.10.2026; Tuần 6: 12.10–18.10.2026; Tuần 7: 19.10–25.10.2026; Tuần 8: 26.10–01.11.2026.</v>
      </c>
      <c r="N2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 s="17" t="str">
        <f t="shared" si="4"/>
        <v>Còn trống</v>
      </c>
    </row>
    <row r="279" spans="1:16" x14ac:dyDescent="0.3">
      <c r="A279">
        <v>278</v>
      </c>
      <c r="B279" t="s">
        <v>484</v>
      </c>
      <c r="C279" t="s">
        <v>667</v>
      </c>
      <c r="D279" t="s">
        <v>668</v>
      </c>
      <c r="E279" t="s">
        <v>45</v>
      </c>
      <c r="F279" t="s">
        <v>497</v>
      </c>
      <c r="G279" t="s">
        <v>546</v>
      </c>
      <c r="H279" t="str">
        <f>'Huong dan giao do an'!$B$14</f>
        <v>5 SV (vai trò chính): 1 PM/Scrum Master kiêm Integration; 2 BA/PO; 3 UI-UX + Frontend; 4 Backend/API + DevOps; 5 Database + QA/Tester. Mỗi SV có nhiệm vụ phụ và minh chứng cá nhân.</v>
      </c>
      <c r="I279" t="s">
        <v>36</v>
      </c>
      <c r="J279" t="s">
        <v>499</v>
      </c>
      <c r="K279" t="str">
        <f>IF(I279="Trung bình",'Huong dan giao do an'!$B$8,IF(I279="Khá",'Huong dan giao do an'!$B$9,'Huong dan giao do an'!$B$10))</f>
        <v>Tối thiểu 3 actor; 8-10 use case; 6-8 bảng dữ liệu; 2 quy trình lõi; đăng nhập/RBAC; 1 dashboard; 1 báo cáo; &gt;=25 test case; triển khai bản demo.</v>
      </c>
      <c r="L279" t="str">
        <f>'Huong dan giao do an'!$B$31</f>
        <v>Bắt buộc: Charter/PMP; SRS + scope/WBS; Gantt/baseline; effort-cost budget; RACI/timesheet; quality-test-defect; communication/minutes; risk register; procurement; change log; closure/lessons learned.</v>
      </c>
      <c r="M279" t="str">
        <f>'Huong dan giao do an'!$B$33</f>
        <v>Tuần 1: 07.09–13.09.2026; Tuần 2: 14.09–20.09.2026; Tuần 3: 21.09–27.09.2026; Tuần 4: 28.09–04.10.2026; Tuần 5: 05.10–11.10.2026; Tuần 6: 12.10–18.10.2026; Tuần 7: 19.10–25.10.2026; Tuần 8: 26.10–01.11.2026.</v>
      </c>
      <c r="N2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 s="17" t="str">
        <f t="shared" si="4"/>
        <v>Còn trống</v>
      </c>
    </row>
    <row r="280" spans="1:16" x14ac:dyDescent="0.3">
      <c r="A280">
        <v>279</v>
      </c>
      <c r="B280" t="s">
        <v>484</v>
      </c>
      <c r="C280" t="s">
        <v>669</v>
      </c>
      <c r="D280" t="s">
        <v>670</v>
      </c>
      <c r="E280" t="s">
        <v>19</v>
      </c>
      <c r="F280" t="s">
        <v>502</v>
      </c>
      <c r="G280" t="s">
        <v>549</v>
      </c>
      <c r="H280" t="str">
        <f>'Huong dan giao do an'!$B$14</f>
        <v>5 SV (vai trò chính): 1 PM/Scrum Master kiêm Integration; 2 BA/PO; 3 UI-UX + Frontend; 4 Backend/API + DevOps; 5 Database + QA/Tester. Mỗi SV có nhiệm vụ phụ và minh chứng cá nhân.</v>
      </c>
      <c r="I280" t="s">
        <v>22</v>
      </c>
      <c r="J280" t="s">
        <v>489</v>
      </c>
      <c r="K280" t="str">
        <f>IF(I280="Trung bình",'Huong dan giao do an'!$B$8,IF(I280="Khá",'Huong dan giao do an'!$B$9,'Huong dan giao do an'!$B$10))</f>
        <v>Tối thiểu 4 actor; 10-14 use case; 8-12 bảng; 3 quy trình lõi; phân quyền chi tiết; 2 báo cáo; tích hợp 1 dịch vụ; &gt;=35 test case; CI/CD hoặc deploy cloud.</v>
      </c>
      <c r="L280" t="str">
        <f>'Huong dan giao do an'!$B$31</f>
        <v>Bắt buộc: Charter/PMP; SRS + scope/WBS; Gantt/baseline; effort-cost budget; RACI/timesheet; quality-test-defect; communication/minutes; risk register; procurement; change log; closure/lessons learned.</v>
      </c>
      <c r="M280" t="str">
        <f>'Huong dan giao do an'!$B$33</f>
        <v>Tuần 1: 07.09–13.09.2026; Tuần 2: 14.09–20.09.2026; Tuần 3: 21.09–27.09.2026; Tuần 4: 28.09–04.10.2026; Tuần 5: 05.10–11.10.2026; Tuần 6: 12.10–18.10.2026; Tuần 7: 19.10–25.10.2026; Tuần 8: 26.10–01.11.2026.</v>
      </c>
      <c r="N2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 s="17" t="str">
        <f t="shared" si="4"/>
        <v>Còn trống</v>
      </c>
    </row>
    <row r="281" spans="1:16" x14ac:dyDescent="0.3">
      <c r="A281">
        <v>280</v>
      </c>
      <c r="B281" t="s">
        <v>484</v>
      </c>
      <c r="C281" t="s">
        <v>671</v>
      </c>
      <c r="D281" t="s">
        <v>672</v>
      </c>
      <c r="E281" t="s">
        <v>26</v>
      </c>
      <c r="F281" t="s">
        <v>506</v>
      </c>
      <c r="G281" t="s">
        <v>552</v>
      </c>
      <c r="H281" t="str">
        <f>'Huong dan giao do an'!$B$14</f>
        <v>5 SV (vai trò chính): 1 PM/Scrum Master kiêm Integration; 2 BA/PO; 3 UI-UX + Frontend; 4 Backend/API + DevOps; 5 Database + QA/Tester. Mỗi SV có nhiệm vụ phụ và minh chứng cá nhân.</v>
      </c>
      <c r="I281" t="s">
        <v>29</v>
      </c>
      <c r="J281" t="s">
        <v>494</v>
      </c>
      <c r="K281" t="str">
        <f>IF(I281="Trung bình",'Huong dan giao do an'!$B$8,IF(I281="Khá",'Huong dan giao do an'!$B$9,'Huong dan giao do an'!$B$10))</f>
        <v>Tối thiểu 5 actor; 14-18 use case; 10-15 bảng; 4 quy trình; tích hợp ngoài/realtime hoặc xử lý nâng cao; 3 báo cáo; &gt;=45 test case; logging, backup và deploy.</v>
      </c>
      <c r="L281" t="str">
        <f>'Huong dan giao do an'!$B$31</f>
        <v>Bắt buộc: Charter/PMP; SRS + scope/WBS; Gantt/baseline; effort-cost budget; RACI/timesheet; quality-test-defect; communication/minutes; risk register; procurement; change log; closure/lessons learned.</v>
      </c>
      <c r="M281" t="str">
        <f>'Huong dan giao do an'!$B$33</f>
        <v>Tuần 1: 07.09–13.09.2026; Tuần 2: 14.09–20.09.2026; Tuần 3: 21.09–27.09.2026; Tuần 4: 28.09–04.10.2026; Tuần 5: 05.10–11.10.2026; Tuần 6: 12.10–18.10.2026; Tuần 7: 19.10–25.10.2026; Tuần 8: 26.10–01.11.2026.</v>
      </c>
      <c r="N2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 s="17" t="str">
        <f t="shared" si="4"/>
        <v>Còn trống</v>
      </c>
    </row>
    <row r="282" spans="1:16" x14ac:dyDescent="0.3">
      <c r="A282">
        <v>281</v>
      </c>
      <c r="B282" t="s">
        <v>484</v>
      </c>
      <c r="C282" t="s">
        <v>673</v>
      </c>
      <c r="D282" t="s">
        <v>674</v>
      </c>
      <c r="E282" t="s">
        <v>33</v>
      </c>
      <c r="F282" t="s">
        <v>487</v>
      </c>
      <c r="G282" t="s">
        <v>488</v>
      </c>
      <c r="H282" t="str">
        <f>'Huong dan giao do an'!$B$14</f>
        <v>5 SV (vai trò chính): 1 PM/Scrum Master kiêm Integration; 2 BA/PO; 3 UI-UX + Frontend; 4 Backend/API + DevOps; 5 Database + QA/Tester. Mỗi SV có nhiệm vụ phụ và minh chứng cá nhân.</v>
      </c>
      <c r="I282" t="s">
        <v>22</v>
      </c>
      <c r="J282" t="s">
        <v>489</v>
      </c>
      <c r="K282" t="str">
        <f>IF(I282="Trung bình",'Huong dan giao do an'!$B$8,IF(I282="Khá",'Huong dan giao do an'!$B$9,'Huong dan giao do an'!$B$10))</f>
        <v>Tối thiểu 4 actor; 10-14 use case; 8-12 bảng; 3 quy trình lõi; phân quyền chi tiết; 2 báo cáo; tích hợp 1 dịch vụ; &gt;=35 test case; CI/CD hoặc deploy cloud.</v>
      </c>
      <c r="L282" t="str">
        <f>'Huong dan giao do an'!$B$31</f>
        <v>Bắt buộc: Charter/PMP; SRS + scope/WBS; Gantt/baseline; effort-cost budget; RACI/timesheet; quality-test-defect; communication/minutes; risk register; procurement; change log; closure/lessons learned.</v>
      </c>
      <c r="M282" t="str">
        <f>'Huong dan giao do an'!$B$33</f>
        <v>Tuần 1: 07.09–13.09.2026; Tuần 2: 14.09–20.09.2026; Tuần 3: 21.09–27.09.2026; Tuần 4: 28.09–04.10.2026; Tuần 5: 05.10–11.10.2026; Tuần 6: 12.10–18.10.2026; Tuần 7: 19.10–25.10.2026; Tuần 8: 26.10–01.11.2026.</v>
      </c>
      <c r="N2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 s="17" t="str">
        <f t="shared" si="4"/>
        <v>Còn trống</v>
      </c>
    </row>
    <row r="283" spans="1:16" x14ac:dyDescent="0.3">
      <c r="A283">
        <v>282</v>
      </c>
      <c r="B283" t="s">
        <v>484</v>
      </c>
      <c r="C283" t="s">
        <v>675</v>
      </c>
      <c r="D283" t="s">
        <v>676</v>
      </c>
      <c r="E283" t="s">
        <v>40</v>
      </c>
      <c r="F283" t="s">
        <v>492</v>
      </c>
      <c r="G283" t="s">
        <v>493</v>
      </c>
      <c r="H283" t="str">
        <f>'Huong dan giao do an'!$B$14</f>
        <v>5 SV (vai trò chính): 1 PM/Scrum Master kiêm Integration; 2 BA/PO; 3 UI-UX + Frontend; 4 Backend/API + DevOps; 5 Database + QA/Tester. Mỗi SV có nhiệm vụ phụ và minh chứng cá nhân.</v>
      </c>
      <c r="I283" t="s">
        <v>29</v>
      </c>
      <c r="J283" t="s">
        <v>494</v>
      </c>
      <c r="K283" t="str">
        <f>IF(I283="Trung bình",'Huong dan giao do an'!$B$8,IF(I283="Khá",'Huong dan giao do an'!$B$9,'Huong dan giao do an'!$B$10))</f>
        <v>Tối thiểu 5 actor; 14-18 use case; 10-15 bảng; 4 quy trình; tích hợp ngoài/realtime hoặc xử lý nâng cao; 3 báo cáo; &gt;=45 test case; logging, backup và deploy.</v>
      </c>
      <c r="L283" t="str">
        <f>'Huong dan giao do an'!$B$31</f>
        <v>Bắt buộc: Charter/PMP; SRS + scope/WBS; Gantt/baseline; effort-cost budget; RACI/timesheet; quality-test-defect; communication/minutes; risk register; procurement; change log; closure/lessons learned.</v>
      </c>
      <c r="M283" t="str">
        <f>'Huong dan giao do an'!$B$33</f>
        <v>Tuần 1: 07.09–13.09.2026; Tuần 2: 14.09–20.09.2026; Tuần 3: 21.09–27.09.2026; Tuần 4: 28.09–04.10.2026; Tuần 5: 05.10–11.10.2026; Tuần 6: 12.10–18.10.2026; Tuần 7: 19.10–25.10.2026; Tuần 8: 26.10–01.11.2026.</v>
      </c>
      <c r="N2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 s="17" t="str">
        <f t="shared" si="4"/>
        <v>Còn trống</v>
      </c>
    </row>
    <row r="284" spans="1:16" x14ac:dyDescent="0.3">
      <c r="A284">
        <v>283</v>
      </c>
      <c r="B284" t="s">
        <v>484</v>
      </c>
      <c r="C284" t="s">
        <v>677</v>
      </c>
      <c r="D284" t="s">
        <v>678</v>
      </c>
      <c r="E284" t="s">
        <v>45</v>
      </c>
      <c r="F284" t="s">
        <v>497</v>
      </c>
      <c r="G284" t="s">
        <v>498</v>
      </c>
      <c r="H284" t="str">
        <f>'Huong dan giao do an'!$B$14</f>
        <v>5 SV (vai trò chính): 1 PM/Scrum Master kiêm Integration; 2 BA/PO; 3 UI-UX + Frontend; 4 Backend/API + DevOps; 5 Database + QA/Tester. Mỗi SV có nhiệm vụ phụ và minh chứng cá nhân.</v>
      </c>
      <c r="I284" t="s">
        <v>36</v>
      </c>
      <c r="J284" t="s">
        <v>499</v>
      </c>
      <c r="K284" t="str">
        <f>IF(I284="Trung bình",'Huong dan giao do an'!$B$8,IF(I284="Khá",'Huong dan giao do an'!$B$9,'Huong dan giao do an'!$B$10))</f>
        <v>Tối thiểu 3 actor; 8-10 use case; 6-8 bảng dữ liệu; 2 quy trình lõi; đăng nhập/RBAC; 1 dashboard; 1 báo cáo; &gt;=25 test case; triển khai bản demo.</v>
      </c>
      <c r="L284" t="str">
        <f>'Huong dan giao do an'!$B$31</f>
        <v>Bắt buộc: Charter/PMP; SRS + scope/WBS; Gantt/baseline; effort-cost budget; RACI/timesheet; quality-test-defect; communication/minutes; risk register; procurement; change log; closure/lessons learned.</v>
      </c>
      <c r="M284" t="str">
        <f>'Huong dan giao do an'!$B$33</f>
        <v>Tuần 1: 07.09–13.09.2026; Tuần 2: 14.09–20.09.2026; Tuần 3: 21.09–27.09.2026; Tuần 4: 28.09–04.10.2026; Tuần 5: 05.10–11.10.2026; Tuần 6: 12.10–18.10.2026; Tuần 7: 19.10–25.10.2026; Tuần 8: 26.10–01.11.2026.</v>
      </c>
      <c r="N2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 s="17" t="str">
        <f t="shared" si="4"/>
        <v>Còn trống</v>
      </c>
    </row>
    <row r="285" spans="1:16" x14ac:dyDescent="0.3">
      <c r="A285">
        <v>284</v>
      </c>
      <c r="B285" t="s">
        <v>484</v>
      </c>
      <c r="C285" t="s">
        <v>679</v>
      </c>
      <c r="D285" t="s">
        <v>680</v>
      </c>
      <c r="E285" t="s">
        <v>19</v>
      </c>
      <c r="F285" t="s">
        <v>502</v>
      </c>
      <c r="G285" t="s">
        <v>503</v>
      </c>
      <c r="H285" t="str">
        <f>'Huong dan giao do an'!$B$14</f>
        <v>5 SV (vai trò chính): 1 PM/Scrum Master kiêm Integration; 2 BA/PO; 3 UI-UX + Frontend; 4 Backend/API + DevOps; 5 Database + QA/Tester. Mỗi SV có nhiệm vụ phụ và minh chứng cá nhân.</v>
      </c>
      <c r="I285" t="s">
        <v>22</v>
      </c>
      <c r="J285" t="s">
        <v>489</v>
      </c>
      <c r="K285" t="str">
        <f>IF(I285="Trung bình",'Huong dan giao do an'!$B$8,IF(I285="Khá",'Huong dan giao do an'!$B$9,'Huong dan giao do an'!$B$10))</f>
        <v>Tối thiểu 4 actor; 10-14 use case; 8-12 bảng; 3 quy trình lõi; phân quyền chi tiết; 2 báo cáo; tích hợp 1 dịch vụ; &gt;=35 test case; CI/CD hoặc deploy cloud.</v>
      </c>
      <c r="L285" t="str">
        <f>'Huong dan giao do an'!$B$31</f>
        <v>Bắt buộc: Charter/PMP; SRS + scope/WBS; Gantt/baseline; effort-cost budget; RACI/timesheet; quality-test-defect; communication/minutes; risk register; procurement; change log; closure/lessons learned.</v>
      </c>
      <c r="M285" t="str">
        <f>'Huong dan giao do an'!$B$33</f>
        <v>Tuần 1: 07.09–13.09.2026; Tuần 2: 14.09–20.09.2026; Tuần 3: 21.09–27.09.2026; Tuần 4: 28.09–04.10.2026; Tuần 5: 05.10–11.10.2026; Tuần 6: 12.10–18.10.2026; Tuần 7: 19.10–25.10.2026; Tuần 8: 26.10–01.11.2026.</v>
      </c>
      <c r="N2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 s="17" t="str">
        <f t="shared" si="4"/>
        <v>Còn trống</v>
      </c>
    </row>
    <row r="286" spans="1:16" x14ac:dyDescent="0.3">
      <c r="A286">
        <v>285</v>
      </c>
      <c r="B286" t="s">
        <v>484</v>
      </c>
      <c r="C286" t="s">
        <v>681</v>
      </c>
      <c r="D286" t="s">
        <v>682</v>
      </c>
      <c r="E286" t="s">
        <v>26</v>
      </c>
      <c r="F286" t="s">
        <v>506</v>
      </c>
      <c r="G286" t="s">
        <v>507</v>
      </c>
      <c r="H286" t="str">
        <f>'Huong dan giao do an'!$B$14</f>
        <v>5 SV (vai trò chính): 1 PM/Scrum Master kiêm Integration; 2 BA/PO; 3 UI-UX + Frontend; 4 Backend/API + DevOps; 5 Database + QA/Tester. Mỗi SV có nhiệm vụ phụ và minh chứng cá nhân.</v>
      </c>
      <c r="I286" t="s">
        <v>29</v>
      </c>
      <c r="J286" t="s">
        <v>494</v>
      </c>
      <c r="K286" t="str">
        <f>IF(I286="Trung bình",'Huong dan giao do an'!$B$8,IF(I286="Khá",'Huong dan giao do an'!$B$9,'Huong dan giao do an'!$B$10))</f>
        <v>Tối thiểu 5 actor; 14-18 use case; 10-15 bảng; 4 quy trình; tích hợp ngoài/realtime hoặc xử lý nâng cao; 3 báo cáo; &gt;=45 test case; logging, backup và deploy.</v>
      </c>
      <c r="L286" t="str">
        <f>'Huong dan giao do an'!$B$31</f>
        <v>Bắt buộc: Charter/PMP; SRS + scope/WBS; Gantt/baseline; effort-cost budget; RACI/timesheet; quality-test-defect; communication/minutes; risk register; procurement; change log; closure/lessons learned.</v>
      </c>
      <c r="M286" t="str">
        <f>'Huong dan giao do an'!$B$33</f>
        <v>Tuần 1: 07.09–13.09.2026; Tuần 2: 14.09–20.09.2026; Tuần 3: 21.09–27.09.2026; Tuần 4: 28.09–04.10.2026; Tuần 5: 05.10–11.10.2026; Tuần 6: 12.10–18.10.2026; Tuần 7: 19.10–25.10.2026; Tuần 8: 26.10–01.11.2026.</v>
      </c>
      <c r="N2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 s="17" t="str">
        <f t="shared" si="4"/>
        <v>Còn trống</v>
      </c>
    </row>
    <row r="287" spans="1:16" x14ac:dyDescent="0.3">
      <c r="A287">
        <v>286</v>
      </c>
      <c r="B287" t="s">
        <v>484</v>
      </c>
      <c r="C287" t="s">
        <v>683</v>
      </c>
      <c r="D287" t="s">
        <v>684</v>
      </c>
      <c r="E287" t="s">
        <v>33</v>
      </c>
      <c r="F287" t="s">
        <v>487</v>
      </c>
      <c r="G287" t="s">
        <v>510</v>
      </c>
      <c r="H287" t="str">
        <f>'Huong dan giao do an'!$B$14</f>
        <v>5 SV (vai trò chính): 1 PM/Scrum Master kiêm Integration; 2 BA/PO; 3 UI-UX + Frontend; 4 Backend/API + DevOps; 5 Database + QA/Tester. Mỗi SV có nhiệm vụ phụ và minh chứng cá nhân.</v>
      </c>
      <c r="I287" t="s">
        <v>36</v>
      </c>
      <c r="J287" t="s">
        <v>499</v>
      </c>
      <c r="K287" t="str">
        <f>IF(I287="Trung bình",'Huong dan giao do an'!$B$8,IF(I287="Khá",'Huong dan giao do an'!$B$9,'Huong dan giao do an'!$B$10))</f>
        <v>Tối thiểu 3 actor; 8-10 use case; 6-8 bảng dữ liệu; 2 quy trình lõi; đăng nhập/RBAC; 1 dashboard; 1 báo cáo; &gt;=25 test case; triển khai bản demo.</v>
      </c>
      <c r="L287" t="str">
        <f>'Huong dan giao do an'!$B$31</f>
        <v>Bắt buộc: Charter/PMP; SRS + scope/WBS; Gantt/baseline; effort-cost budget; RACI/timesheet; quality-test-defect; communication/minutes; risk register; procurement; change log; closure/lessons learned.</v>
      </c>
      <c r="M287" t="str">
        <f>'Huong dan giao do an'!$B$33</f>
        <v>Tuần 1: 07.09–13.09.2026; Tuần 2: 14.09–20.09.2026; Tuần 3: 21.09–27.09.2026; Tuần 4: 28.09–04.10.2026; Tuần 5: 05.10–11.10.2026; Tuần 6: 12.10–18.10.2026; Tuần 7: 19.10–25.10.2026; Tuần 8: 26.10–01.11.2026.</v>
      </c>
      <c r="N2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 s="17" t="str">
        <f t="shared" si="4"/>
        <v>Còn trống</v>
      </c>
    </row>
    <row r="288" spans="1:16" x14ac:dyDescent="0.3">
      <c r="A288">
        <v>287</v>
      </c>
      <c r="B288" t="s">
        <v>484</v>
      </c>
      <c r="C288" t="s">
        <v>685</v>
      </c>
      <c r="D288" t="s">
        <v>686</v>
      </c>
      <c r="E288" t="s">
        <v>40</v>
      </c>
      <c r="F288" t="s">
        <v>492</v>
      </c>
      <c r="G288" t="s">
        <v>513</v>
      </c>
      <c r="H288" t="str">
        <f>'Huong dan giao do an'!$B$14</f>
        <v>5 SV (vai trò chính): 1 PM/Scrum Master kiêm Integration; 2 BA/PO; 3 UI-UX + Frontend; 4 Backend/API + DevOps; 5 Database + QA/Tester. Mỗi SV có nhiệm vụ phụ và minh chứng cá nhân.</v>
      </c>
      <c r="I288" t="s">
        <v>22</v>
      </c>
      <c r="J288" t="s">
        <v>489</v>
      </c>
      <c r="K288" t="str">
        <f>IF(I288="Trung bình",'Huong dan giao do an'!$B$8,IF(I288="Khá",'Huong dan giao do an'!$B$9,'Huong dan giao do an'!$B$10))</f>
        <v>Tối thiểu 4 actor; 10-14 use case; 8-12 bảng; 3 quy trình lõi; phân quyền chi tiết; 2 báo cáo; tích hợp 1 dịch vụ; &gt;=35 test case; CI/CD hoặc deploy cloud.</v>
      </c>
      <c r="L288" t="str">
        <f>'Huong dan giao do an'!$B$31</f>
        <v>Bắt buộc: Charter/PMP; SRS + scope/WBS; Gantt/baseline; effort-cost budget; RACI/timesheet; quality-test-defect; communication/minutes; risk register; procurement; change log; closure/lessons learned.</v>
      </c>
      <c r="M288" t="str">
        <f>'Huong dan giao do an'!$B$33</f>
        <v>Tuần 1: 07.09–13.09.2026; Tuần 2: 14.09–20.09.2026; Tuần 3: 21.09–27.09.2026; Tuần 4: 28.09–04.10.2026; Tuần 5: 05.10–11.10.2026; Tuần 6: 12.10–18.10.2026; Tuần 7: 19.10–25.10.2026; Tuần 8: 26.10–01.11.2026.</v>
      </c>
      <c r="N2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 s="17" t="str">
        <f t="shared" si="4"/>
        <v>Còn trống</v>
      </c>
    </row>
    <row r="289" spans="1:16" x14ac:dyDescent="0.3">
      <c r="A289">
        <v>288</v>
      </c>
      <c r="B289" t="s">
        <v>484</v>
      </c>
      <c r="C289" t="s">
        <v>687</v>
      </c>
      <c r="D289" t="s">
        <v>688</v>
      </c>
      <c r="E289" t="s">
        <v>45</v>
      </c>
      <c r="F289" t="s">
        <v>497</v>
      </c>
      <c r="G289" t="s">
        <v>516</v>
      </c>
      <c r="H289" t="str">
        <f>'Huong dan giao do an'!$B$14</f>
        <v>5 SV (vai trò chính): 1 PM/Scrum Master kiêm Integration; 2 BA/PO; 3 UI-UX + Frontend; 4 Backend/API + DevOps; 5 Database + QA/Tester. Mỗi SV có nhiệm vụ phụ và minh chứng cá nhân.</v>
      </c>
      <c r="I289" t="s">
        <v>29</v>
      </c>
      <c r="J289" t="s">
        <v>494</v>
      </c>
      <c r="K289" t="str">
        <f>IF(I289="Trung bình",'Huong dan giao do an'!$B$8,IF(I289="Khá",'Huong dan giao do an'!$B$9,'Huong dan giao do an'!$B$10))</f>
        <v>Tối thiểu 5 actor; 14-18 use case; 10-15 bảng; 4 quy trình; tích hợp ngoài/realtime hoặc xử lý nâng cao; 3 báo cáo; &gt;=45 test case; logging, backup và deploy.</v>
      </c>
      <c r="L289" t="str">
        <f>'Huong dan giao do an'!$B$31</f>
        <v>Bắt buộc: Charter/PMP; SRS + scope/WBS; Gantt/baseline; effort-cost budget; RACI/timesheet; quality-test-defect; communication/minutes; risk register; procurement; change log; closure/lessons learned.</v>
      </c>
      <c r="M289" t="str">
        <f>'Huong dan giao do an'!$B$33</f>
        <v>Tuần 1: 07.09–13.09.2026; Tuần 2: 14.09–20.09.2026; Tuần 3: 21.09–27.09.2026; Tuần 4: 28.09–04.10.2026; Tuần 5: 05.10–11.10.2026; Tuần 6: 12.10–18.10.2026; Tuần 7: 19.10–25.10.2026; Tuần 8: 26.10–01.11.2026.</v>
      </c>
      <c r="N2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 s="17" t="str">
        <f t="shared" si="4"/>
        <v>Còn trống</v>
      </c>
    </row>
    <row r="290" spans="1:16" x14ac:dyDescent="0.3">
      <c r="A290">
        <v>289</v>
      </c>
      <c r="B290" t="s">
        <v>484</v>
      </c>
      <c r="C290" t="s">
        <v>689</v>
      </c>
      <c r="D290" t="s">
        <v>690</v>
      </c>
      <c r="E290" t="s">
        <v>19</v>
      </c>
      <c r="F290" t="s">
        <v>502</v>
      </c>
      <c r="G290" t="s">
        <v>519</v>
      </c>
      <c r="H290" t="str">
        <f>'Huong dan giao do an'!$B$14</f>
        <v>5 SV (vai trò chính): 1 PM/Scrum Master kiêm Integration; 2 BA/PO; 3 UI-UX + Frontend; 4 Backend/API + DevOps; 5 Database + QA/Tester. Mỗi SV có nhiệm vụ phụ và minh chứng cá nhân.</v>
      </c>
      <c r="I290" t="s">
        <v>36</v>
      </c>
      <c r="J290" t="s">
        <v>499</v>
      </c>
      <c r="K290" t="str">
        <f>IF(I290="Trung bình",'Huong dan giao do an'!$B$8,IF(I290="Khá",'Huong dan giao do an'!$B$9,'Huong dan giao do an'!$B$10))</f>
        <v>Tối thiểu 3 actor; 8-10 use case; 6-8 bảng dữ liệu; 2 quy trình lõi; đăng nhập/RBAC; 1 dashboard; 1 báo cáo; &gt;=25 test case; triển khai bản demo.</v>
      </c>
      <c r="L290" t="str">
        <f>'Huong dan giao do an'!$B$31</f>
        <v>Bắt buộc: Charter/PMP; SRS + scope/WBS; Gantt/baseline; effort-cost budget; RACI/timesheet; quality-test-defect; communication/minutes; risk register; procurement; change log; closure/lessons learned.</v>
      </c>
      <c r="M290" t="str">
        <f>'Huong dan giao do an'!$B$33</f>
        <v>Tuần 1: 07.09–13.09.2026; Tuần 2: 14.09–20.09.2026; Tuần 3: 21.09–27.09.2026; Tuần 4: 28.09–04.10.2026; Tuần 5: 05.10–11.10.2026; Tuần 6: 12.10–18.10.2026; Tuần 7: 19.10–25.10.2026; Tuần 8: 26.10–01.11.2026.</v>
      </c>
      <c r="N2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 s="17" t="str">
        <f t="shared" si="4"/>
        <v>Còn trống</v>
      </c>
    </row>
    <row r="291" spans="1:16" x14ac:dyDescent="0.3">
      <c r="A291">
        <v>290</v>
      </c>
      <c r="B291" t="s">
        <v>484</v>
      </c>
      <c r="C291" t="s">
        <v>691</v>
      </c>
      <c r="D291" t="s">
        <v>692</v>
      </c>
      <c r="E291" t="s">
        <v>26</v>
      </c>
      <c r="F291" t="s">
        <v>506</v>
      </c>
      <c r="G291" t="s">
        <v>522</v>
      </c>
      <c r="H291" t="str">
        <f>'Huong dan giao do an'!$B$14</f>
        <v>5 SV (vai trò chính): 1 PM/Scrum Master kiêm Integration; 2 BA/PO; 3 UI-UX + Frontend; 4 Backend/API + DevOps; 5 Database + QA/Tester. Mỗi SV có nhiệm vụ phụ và minh chứng cá nhân.</v>
      </c>
      <c r="I291" t="s">
        <v>22</v>
      </c>
      <c r="J291" t="s">
        <v>489</v>
      </c>
      <c r="K291" t="str">
        <f>IF(I291="Trung bình",'Huong dan giao do an'!$B$8,IF(I291="Khá",'Huong dan giao do an'!$B$9,'Huong dan giao do an'!$B$10))</f>
        <v>Tối thiểu 4 actor; 10-14 use case; 8-12 bảng; 3 quy trình lõi; phân quyền chi tiết; 2 báo cáo; tích hợp 1 dịch vụ; &gt;=35 test case; CI/CD hoặc deploy cloud.</v>
      </c>
      <c r="L291" t="str">
        <f>'Huong dan giao do an'!$B$31</f>
        <v>Bắt buộc: Charter/PMP; SRS + scope/WBS; Gantt/baseline; effort-cost budget; RACI/timesheet; quality-test-defect; communication/minutes; risk register; procurement; change log; closure/lessons learned.</v>
      </c>
      <c r="M291" t="str">
        <f>'Huong dan giao do an'!$B$33</f>
        <v>Tuần 1: 07.09–13.09.2026; Tuần 2: 14.09–20.09.2026; Tuần 3: 21.09–27.09.2026; Tuần 4: 28.09–04.10.2026; Tuần 5: 05.10–11.10.2026; Tuần 6: 12.10–18.10.2026; Tuần 7: 19.10–25.10.2026; Tuần 8: 26.10–01.11.2026.</v>
      </c>
      <c r="N2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 s="17" t="str">
        <f t="shared" si="4"/>
        <v>Còn trống</v>
      </c>
    </row>
    <row r="292" spans="1:16" x14ac:dyDescent="0.3">
      <c r="A292">
        <v>291</v>
      </c>
      <c r="B292" t="s">
        <v>484</v>
      </c>
      <c r="C292" t="s">
        <v>693</v>
      </c>
      <c r="D292" t="s">
        <v>694</v>
      </c>
      <c r="E292" t="s">
        <v>33</v>
      </c>
      <c r="F292" t="s">
        <v>487</v>
      </c>
      <c r="G292" t="s">
        <v>525</v>
      </c>
      <c r="H292" t="str">
        <f>'Huong dan giao do an'!$B$14</f>
        <v>5 SV (vai trò chính): 1 PM/Scrum Master kiêm Integration; 2 BA/PO; 3 UI-UX + Frontend; 4 Backend/API + DevOps; 5 Database + QA/Tester. Mỗi SV có nhiệm vụ phụ và minh chứng cá nhân.</v>
      </c>
      <c r="I292" t="s">
        <v>29</v>
      </c>
      <c r="J292" t="s">
        <v>494</v>
      </c>
      <c r="K292" t="str">
        <f>IF(I292="Trung bình",'Huong dan giao do an'!$B$8,IF(I292="Khá",'Huong dan giao do an'!$B$9,'Huong dan giao do an'!$B$10))</f>
        <v>Tối thiểu 5 actor; 14-18 use case; 10-15 bảng; 4 quy trình; tích hợp ngoài/realtime hoặc xử lý nâng cao; 3 báo cáo; &gt;=45 test case; logging, backup và deploy.</v>
      </c>
      <c r="L292" t="str">
        <f>'Huong dan giao do an'!$B$31</f>
        <v>Bắt buộc: Charter/PMP; SRS + scope/WBS; Gantt/baseline; effort-cost budget; RACI/timesheet; quality-test-defect; communication/minutes; risk register; procurement; change log; closure/lessons learned.</v>
      </c>
      <c r="M292" t="str">
        <f>'Huong dan giao do an'!$B$33</f>
        <v>Tuần 1: 07.09–13.09.2026; Tuần 2: 14.09–20.09.2026; Tuần 3: 21.09–27.09.2026; Tuần 4: 28.09–04.10.2026; Tuần 5: 05.10–11.10.2026; Tuần 6: 12.10–18.10.2026; Tuần 7: 19.10–25.10.2026; Tuần 8: 26.10–01.11.2026.</v>
      </c>
      <c r="N2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 s="17" t="str">
        <f t="shared" si="4"/>
        <v>Còn trống</v>
      </c>
    </row>
    <row r="293" spans="1:16" x14ac:dyDescent="0.3">
      <c r="A293">
        <v>292</v>
      </c>
      <c r="B293" t="s">
        <v>484</v>
      </c>
      <c r="C293" t="s">
        <v>695</v>
      </c>
      <c r="D293" t="s">
        <v>696</v>
      </c>
      <c r="E293" t="s">
        <v>40</v>
      </c>
      <c r="F293" t="s">
        <v>492</v>
      </c>
      <c r="G293" t="s">
        <v>528</v>
      </c>
      <c r="H293" t="str">
        <f>'Huong dan giao do an'!$B$14</f>
        <v>5 SV (vai trò chính): 1 PM/Scrum Master kiêm Integration; 2 BA/PO; 3 UI-UX + Frontend; 4 Backend/API + DevOps; 5 Database + QA/Tester. Mỗi SV có nhiệm vụ phụ và minh chứng cá nhân.</v>
      </c>
      <c r="I293" t="s">
        <v>36</v>
      </c>
      <c r="J293" t="s">
        <v>499</v>
      </c>
      <c r="K293" t="str">
        <f>IF(I293="Trung bình",'Huong dan giao do an'!$B$8,IF(I293="Khá",'Huong dan giao do an'!$B$9,'Huong dan giao do an'!$B$10))</f>
        <v>Tối thiểu 3 actor; 8-10 use case; 6-8 bảng dữ liệu; 2 quy trình lõi; đăng nhập/RBAC; 1 dashboard; 1 báo cáo; &gt;=25 test case; triển khai bản demo.</v>
      </c>
      <c r="L293" t="str">
        <f>'Huong dan giao do an'!$B$31</f>
        <v>Bắt buộc: Charter/PMP; SRS + scope/WBS; Gantt/baseline; effort-cost budget; RACI/timesheet; quality-test-defect; communication/minutes; risk register; procurement; change log; closure/lessons learned.</v>
      </c>
      <c r="M293" t="str">
        <f>'Huong dan giao do an'!$B$33</f>
        <v>Tuần 1: 07.09–13.09.2026; Tuần 2: 14.09–20.09.2026; Tuần 3: 21.09–27.09.2026; Tuần 4: 28.09–04.10.2026; Tuần 5: 05.10–11.10.2026; Tuần 6: 12.10–18.10.2026; Tuần 7: 19.10–25.10.2026; Tuần 8: 26.10–01.11.2026.</v>
      </c>
      <c r="N2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 s="17" t="str">
        <f t="shared" si="4"/>
        <v>Còn trống</v>
      </c>
    </row>
    <row r="294" spans="1:16" x14ac:dyDescent="0.3">
      <c r="A294">
        <v>293</v>
      </c>
      <c r="B294" t="s">
        <v>484</v>
      </c>
      <c r="C294" t="s">
        <v>697</v>
      </c>
      <c r="D294" t="s">
        <v>698</v>
      </c>
      <c r="E294" t="s">
        <v>45</v>
      </c>
      <c r="F294" t="s">
        <v>497</v>
      </c>
      <c r="G294" t="s">
        <v>531</v>
      </c>
      <c r="H294" t="str">
        <f>'Huong dan giao do an'!$B$14</f>
        <v>5 SV (vai trò chính): 1 PM/Scrum Master kiêm Integration; 2 BA/PO; 3 UI-UX + Frontend; 4 Backend/API + DevOps; 5 Database + QA/Tester. Mỗi SV có nhiệm vụ phụ và minh chứng cá nhân.</v>
      </c>
      <c r="I294" t="s">
        <v>22</v>
      </c>
      <c r="J294" t="s">
        <v>489</v>
      </c>
      <c r="K294" t="str">
        <f>IF(I294="Trung bình",'Huong dan giao do an'!$B$8,IF(I294="Khá",'Huong dan giao do an'!$B$9,'Huong dan giao do an'!$B$10))</f>
        <v>Tối thiểu 4 actor; 10-14 use case; 8-12 bảng; 3 quy trình lõi; phân quyền chi tiết; 2 báo cáo; tích hợp 1 dịch vụ; &gt;=35 test case; CI/CD hoặc deploy cloud.</v>
      </c>
      <c r="L294" t="str">
        <f>'Huong dan giao do an'!$B$31</f>
        <v>Bắt buộc: Charter/PMP; SRS + scope/WBS; Gantt/baseline; effort-cost budget; RACI/timesheet; quality-test-defect; communication/minutes; risk register; procurement; change log; closure/lessons learned.</v>
      </c>
      <c r="M294" t="str">
        <f>'Huong dan giao do an'!$B$33</f>
        <v>Tuần 1: 07.09–13.09.2026; Tuần 2: 14.09–20.09.2026; Tuần 3: 21.09–27.09.2026; Tuần 4: 28.09–04.10.2026; Tuần 5: 05.10–11.10.2026; Tuần 6: 12.10–18.10.2026; Tuần 7: 19.10–25.10.2026; Tuần 8: 26.10–01.11.2026.</v>
      </c>
      <c r="N2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 s="17" t="str">
        <f t="shared" si="4"/>
        <v>Còn trống</v>
      </c>
    </row>
    <row r="295" spans="1:16" x14ac:dyDescent="0.3">
      <c r="A295">
        <v>294</v>
      </c>
      <c r="B295" t="s">
        <v>484</v>
      </c>
      <c r="C295" t="s">
        <v>699</v>
      </c>
      <c r="D295" t="s">
        <v>700</v>
      </c>
      <c r="E295" t="s">
        <v>19</v>
      </c>
      <c r="F295" t="s">
        <v>502</v>
      </c>
      <c r="G295" t="s">
        <v>534</v>
      </c>
      <c r="H295" t="str">
        <f>'Huong dan giao do an'!$B$14</f>
        <v>5 SV (vai trò chính): 1 PM/Scrum Master kiêm Integration; 2 BA/PO; 3 UI-UX + Frontend; 4 Backend/API + DevOps; 5 Database + QA/Tester. Mỗi SV có nhiệm vụ phụ và minh chứng cá nhân.</v>
      </c>
      <c r="I295" t="s">
        <v>29</v>
      </c>
      <c r="J295" t="s">
        <v>494</v>
      </c>
      <c r="K295" t="str">
        <f>IF(I295="Trung bình",'Huong dan giao do an'!$B$8,IF(I295="Khá",'Huong dan giao do an'!$B$9,'Huong dan giao do an'!$B$10))</f>
        <v>Tối thiểu 5 actor; 14-18 use case; 10-15 bảng; 4 quy trình; tích hợp ngoài/realtime hoặc xử lý nâng cao; 3 báo cáo; &gt;=45 test case; logging, backup và deploy.</v>
      </c>
      <c r="L295" t="str">
        <f>'Huong dan giao do an'!$B$31</f>
        <v>Bắt buộc: Charter/PMP; SRS + scope/WBS; Gantt/baseline; effort-cost budget; RACI/timesheet; quality-test-defect; communication/minutes; risk register; procurement; change log; closure/lessons learned.</v>
      </c>
      <c r="M295" t="str">
        <f>'Huong dan giao do an'!$B$33</f>
        <v>Tuần 1: 07.09–13.09.2026; Tuần 2: 14.09–20.09.2026; Tuần 3: 21.09–27.09.2026; Tuần 4: 28.09–04.10.2026; Tuần 5: 05.10–11.10.2026; Tuần 6: 12.10–18.10.2026; Tuần 7: 19.10–25.10.2026; Tuần 8: 26.10–01.11.2026.</v>
      </c>
      <c r="N2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 s="17" t="str">
        <f t="shared" si="4"/>
        <v>Còn trống</v>
      </c>
    </row>
    <row r="296" spans="1:16" x14ac:dyDescent="0.3">
      <c r="A296">
        <v>295</v>
      </c>
      <c r="B296" t="s">
        <v>484</v>
      </c>
      <c r="C296" t="s">
        <v>701</v>
      </c>
      <c r="D296" t="s">
        <v>702</v>
      </c>
      <c r="E296" t="s">
        <v>26</v>
      </c>
      <c r="F296" t="s">
        <v>506</v>
      </c>
      <c r="G296" t="s">
        <v>537</v>
      </c>
      <c r="H296" t="str">
        <f>'Huong dan giao do an'!$B$14</f>
        <v>5 SV (vai trò chính): 1 PM/Scrum Master kiêm Integration; 2 BA/PO; 3 UI-UX + Frontend; 4 Backend/API + DevOps; 5 Database + QA/Tester. Mỗi SV có nhiệm vụ phụ và minh chứng cá nhân.</v>
      </c>
      <c r="I296" t="s">
        <v>36</v>
      </c>
      <c r="J296" t="s">
        <v>499</v>
      </c>
      <c r="K296" t="str">
        <f>IF(I296="Trung bình",'Huong dan giao do an'!$B$8,IF(I296="Khá",'Huong dan giao do an'!$B$9,'Huong dan giao do an'!$B$10))</f>
        <v>Tối thiểu 3 actor; 8-10 use case; 6-8 bảng dữ liệu; 2 quy trình lõi; đăng nhập/RBAC; 1 dashboard; 1 báo cáo; &gt;=25 test case; triển khai bản demo.</v>
      </c>
      <c r="L296" t="str">
        <f>'Huong dan giao do an'!$B$31</f>
        <v>Bắt buộc: Charter/PMP; SRS + scope/WBS; Gantt/baseline; effort-cost budget; RACI/timesheet; quality-test-defect; communication/minutes; risk register; procurement; change log; closure/lessons learned.</v>
      </c>
      <c r="M296" t="str">
        <f>'Huong dan giao do an'!$B$33</f>
        <v>Tuần 1: 07.09–13.09.2026; Tuần 2: 14.09–20.09.2026; Tuần 3: 21.09–27.09.2026; Tuần 4: 28.09–04.10.2026; Tuần 5: 05.10–11.10.2026; Tuần 6: 12.10–18.10.2026; Tuần 7: 19.10–25.10.2026; Tuần 8: 26.10–01.11.2026.</v>
      </c>
      <c r="N2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 s="17" t="str">
        <f t="shared" si="4"/>
        <v>Còn trống</v>
      </c>
    </row>
    <row r="297" spans="1:16" x14ac:dyDescent="0.3">
      <c r="A297">
        <v>296</v>
      </c>
      <c r="B297" t="s">
        <v>484</v>
      </c>
      <c r="C297" t="s">
        <v>703</v>
      </c>
      <c r="D297" t="s">
        <v>704</v>
      </c>
      <c r="E297" t="s">
        <v>33</v>
      </c>
      <c r="F297" t="s">
        <v>487</v>
      </c>
      <c r="G297" t="s">
        <v>540</v>
      </c>
      <c r="H297" t="str">
        <f>'Huong dan giao do an'!$B$14</f>
        <v>5 SV (vai trò chính): 1 PM/Scrum Master kiêm Integration; 2 BA/PO; 3 UI-UX + Frontend; 4 Backend/API + DevOps; 5 Database + QA/Tester. Mỗi SV có nhiệm vụ phụ và minh chứng cá nhân.</v>
      </c>
      <c r="I297" t="s">
        <v>22</v>
      </c>
      <c r="J297" t="s">
        <v>489</v>
      </c>
      <c r="K297" t="str">
        <f>IF(I297="Trung bình",'Huong dan giao do an'!$B$8,IF(I297="Khá",'Huong dan giao do an'!$B$9,'Huong dan giao do an'!$B$10))</f>
        <v>Tối thiểu 4 actor; 10-14 use case; 8-12 bảng; 3 quy trình lõi; phân quyền chi tiết; 2 báo cáo; tích hợp 1 dịch vụ; &gt;=35 test case; CI/CD hoặc deploy cloud.</v>
      </c>
      <c r="L297" t="str">
        <f>'Huong dan giao do an'!$B$31</f>
        <v>Bắt buộc: Charter/PMP; SRS + scope/WBS; Gantt/baseline; effort-cost budget; RACI/timesheet; quality-test-defect; communication/minutes; risk register; procurement; change log; closure/lessons learned.</v>
      </c>
      <c r="M297" t="str">
        <f>'Huong dan giao do an'!$B$33</f>
        <v>Tuần 1: 07.09–13.09.2026; Tuần 2: 14.09–20.09.2026; Tuần 3: 21.09–27.09.2026; Tuần 4: 28.09–04.10.2026; Tuần 5: 05.10–11.10.2026; Tuần 6: 12.10–18.10.2026; Tuần 7: 19.10–25.10.2026; Tuần 8: 26.10–01.11.2026.</v>
      </c>
      <c r="N2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 s="17" t="str">
        <f t="shared" si="4"/>
        <v>Còn trống</v>
      </c>
    </row>
    <row r="298" spans="1:16" x14ac:dyDescent="0.3">
      <c r="A298">
        <v>297</v>
      </c>
      <c r="B298" t="s">
        <v>484</v>
      </c>
      <c r="C298" t="s">
        <v>705</v>
      </c>
      <c r="D298" t="s">
        <v>706</v>
      </c>
      <c r="E298" t="s">
        <v>40</v>
      </c>
      <c r="F298" t="s">
        <v>492</v>
      </c>
      <c r="G298" t="s">
        <v>543</v>
      </c>
      <c r="H298" t="str">
        <f>'Huong dan giao do an'!$B$14</f>
        <v>5 SV (vai trò chính): 1 PM/Scrum Master kiêm Integration; 2 BA/PO; 3 UI-UX + Frontend; 4 Backend/API + DevOps; 5 Database + QA/Tester. Mỗi SV có nhiệm vụ phụ và minh chứng cá nhân.</v>
      </c>
      <c r="I298" t="s">
        <v>29</v>
      </c>
      <c r="J298" t="s">
        <v>494</v>
      </c>
      <c r="K298" t="str">
        <f>IF(I298="Trung bình",'Huong dan giao do an'!$B$8,IF(I298="Khá",'Huong dan giao do an'!$B$9,'Huong dan giao do an'!$B$10))</f>
        <v>Tối thiểu 5 actor; 14-18 use case; 10-15 bảng; 4 quy trình; tích hợp ngoài/realtime hoặc xử lý nâng cao; 3 báo cáo; &gt;=45 test case; logging, backup và deploy.</v>
      </c>
      <c r="L298" t="str">
        <f>'Huong dan giao do an'!$B$31</f>
        <v>Bắt buộc: Charter/PMP; SRS + scope/WBS; Gantt/baseline; effort-cost budget; RACI/timesheet; quality-test-defect; communication/minutes; risk register; procurement; change log; closure/lessons learned.</v>
      </c>
      <c r="M298" t="str">
        <f>'Huong dan giao do an'!$B$33</f>
        <v>Tuần 1: 07.09–13.09.2026; Tuần 2: 14.09–20.09.2026; Tuần 3: 21.09–27.09.2026; Tuần 4: 28.09–04.10.2026; Tuần 5: 05.10–11.10.2026; Tuần 6: 12.10–18.10.2026; Tuần 7: 19.10–25.10.2026; Tuần 8: 26.10–01.11.2026.</v>
      </c>
      <c r="N2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 s="17" t="str">
        <f t="shared" si="4"/>
        <v>Còn trống</v>
      </c>
    </row>
    <row r="299" spans="1:16" x14ac:dyDescent="0.3">
      <c r="A299">
        <v>298</v>
      </c>
      <c r="B299" t="s">
        <v>484</v>
      </c>
      <c r="C299" t="s">
        <v>707</v>
      </c>
      <c r="D299" t="s">
        <v>708</v>
      </c>
      <c r="E299" t="s">
        <v>45</v>
      </c>
      <c r="F299" t="s">
        <v>497</v>
      </c>
      <c r="G299" t="s">
        <v>546</v>
      </c>
      <c r="H299" t="str">
        <f>'Huong dan giao do an'!$B$14</f>
        <v>5 SV (vai trò chính): 1 PM/Scrum Master kiêm Integration; 2 BA/PO; 3 UI-UX + Frontend; 4 Backend/API + DevOps; 5 Database + QA/Tester. Mỗi SV có nhiệm vụ phụ và minh chứng cá nhân.</v>
      </c>
      <c r="I299" t="s">
        <v>36</v>
      </c>
      <c r="J299" t="s">
        <v>499</v>
      </c>
      <c r="K299" t="str">
        <f>IF(I299="Trung bình",'Huong dan giao do an'!$B$8,IF(I299="Khá",'Huong dan giao do an'!$B$9,'Huong dan giao do an'!$B$10))</f>
        <v>Tối thiểu 3 actor; 8-10 use case; 6-8 bảng dữ liệu; 2 quy trình lõi; đăng nhập/RBAC; 1 dashboard; 1 báo cáo; &gt;=25 test case; triển khai bản demo.</v>
      </c>
      <c r="L299" t="str">
        <f>'Huong dan giao do an'!$B$31</f>
        <v>Bắt buộc: Charter/PMP; SRS + scope/WBS; Gantt/baseline; effort-cost budget; RACI/timesheet; quality-test-defect; communication/minutes; risk register; procurement; change log; closure/lessons learned.</v>
      </c>
      <c r="M299" t="str">
        <f>'Huong dan giao do an'!$B$33</f>
        <v>Tuần 1: 07.09–13.09.2026; Tuần 2: 14.09–20.09.2026; Tuần 3: 21.09–27.09.2026; Tuần 4: 28.09–04.10.2026; Tuần 5: 05.10–11.10.2026; Tuần 6: 12.10–18.10.2026; Tuần 7: 19.10–25.10.2026; Tuần 8: 26.10–01.11.2026.</v>
      </c>
      <c r="N2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 s="17" t="str">
        <f t="shared" si="4"/>
        <v>Còn trống</v>
      </c>
    </row>
    <row r="300" spans="1:16" x14ac:dyDescent="0.3">
      <c r="A300">
        <v>299</v>
      </c>
      <c r="B300" t="s">
        <v>484</v>
      </c>
      <c r="C300" t="s">
        <v>709</v>
      </c>
      <c r="D300" t="s">
        <v>710</v>
      </c>
      <c r="E300" t="s">
        <v>19</v>
      </c>
      <c r="F300" t="s">
        <v>502</v>
      </c>
      <c r="G300" t="s">
        <v>549</v>
      </c>
      <c r="H300" t="str">
        <f>'Huong dan giao do an'!$B$14</f>
        <v>5 SV (vai trò chính): 1 PM/Scrum Master kiêm Integration; 2 BA/PO; 3 UI-UX + Frontend; 4 Backend/API + DevOps; 5 Database + QA/Tester. Mỗi SV có nhiệm vụ phụ và minh chứng cá nhân.</v>
      </c>
      <c r="I300" t="s">
        <v>22</v>
      </c>
      <c r="J300" t="s">
        <v>489</v>
      </c>
      <c r="K300" t="str">
        <f>IF(I300="Trung bình",'Huong dan giao do an'!$B$8,IF(I300="Khá",'Huong dan giao do an'!$B$9,'Huong dan giao do an'!$B$10))</f>
        <v>Tối thiểu 4 actor; 10-14 use case; 8-12 bảng; 3 quy trình lõi; phân quyền chi tiết; 2 báo cáo; tích hợp 1 dịch vụ; &gt;=35 test case; CI/CD hoặc deploy cloud.</v>
      </c>
      <c r="L300" t="str">
        <f>'Huong dan giao do an'!$B$31</f>
        <v>Bắt buộc: Charter/PMP; SRS + scope/WBS; Gantt/baseline; effort-cost budget; RACI/timesheet; quality-test-defect; communication/minutes; risk register; procurement; change log; closure/lessons learned.</v>
      </c>
      <c r="M300" t="str">
        <f>'Huong dan giao do an'!$B$33</f>
        <v>Tuần 1: 07.09–13.09.2026; Tuần 2: 14.09–20.09.2026; Tuần 3: 21.09–27.09.2026; Tuần 4: 28.09–04.10.2026; Tuần 5: 05.10–11.10.2026; Tuần 6: 12.10–18.10.2026; Tuần 7: 19.10–25.10.2026; Tuần 8: 26.10–01.11.2026.</v>
      </c>
      <c r="N3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 s="17" t="str">
        <f t="shared" si="4"/>
        <v>Còn trống</v>
      </c>
    </row>
    <row r="301" spans="1:16" x14ac:dyDescent="0.3">
      <c r="A301">
        <v>300</v>
      </c>
      <c r="B301" t="s">
        <v>484</v>
      </c>
      <c r="C301" t="s">
        <v>711</v>
      </c>
      <c r="D301" t="s">
        <v>712</v>
      </c>
      <c r="E301" t="s">
        <v>26</v>
      </c>
      <c r="F301" t="s">
        <v>506</v>
      </c>
      <c r="G301" t="s">
        <v>552</v>
      </c>
      <c r="H301" t="str">
        <f>'Huong dan giao do an'!$B$14</f>
        <v>5 SV (vai trò chính): 1 PM/Scrum Master kiêm Integration; 2 BA/PO; 3 UI-UX + Frontend; 4 Backend/API + DevOps; 5 Database + QA/Tester. Mỗi SV có nhiệm vụ phụ và minh chứng cá nhân.</v>
      </c>
      <c r="I301" t="s">
        <v>29</v>
      </c>
      <c r="J301" t="s">
        <v>494</v>
      </c>
      <c r="K301" t="str">
        <f>IF(I301="Trung bình",'Huong dan giao do an'!$B$8,IF(I301="Khá",'Huong dan giao do an'!$B$9,'Huong dan giao do an'!$B$10))</f>
        <v>Tối thiểu 5 actor; 14-18 use case; 10-15 bảng; 4 quy trình; tích hợp ngoài/realtime hoặc xử lý nâng cao; 3 báo cáo; &gt;=45 test case; logging, backup và deploy.</v>
      </c>
      <c r="L301" t="str">
        <f>'Huong dan giao do an'!$B$31</f>
        <v>Bắt buộc: Charter/PMP; SRS + scope/WBS; Gantt/baseline; effort-cost budget; RACI/timesheet; quality-test-defect; communication/minutes; risk register; procurement; change log; closure/lessons learned.</v>
      </c>
      <c r="M301" t="str">
        <f>'Huong dan giao do an'!$B$33</f>
        <v>Tuần 1: 07.09–13.09.2026; Tuần 2: 14.09–20.09.2026; Tuần 3: 21.09–27.09.2026; Tuần 4: 28.09–04.10.2026; Tuần 5: 05.10–11.10.2026; Tuần 6: 12.10–18.10.2026; Tuần 7: 19.10–25.10.2026; Tuần 8: 26.10–01.11.2026.</v>
      </c>
      <c r="N3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 s="17" t="str">
        <f t="shared" si="4"/>
        <v>Còn trống</v>
      </c>
    </row>
    <row r="302" spans="1:16" x14ac:dyDescent="0.3">
      <c r="A302">
        <v>301</v>
      </c>
      <c r="B302" t="s">
        <v>713</v>
      </c>
      <c r="C302" t="s">
        <v>714</v>
      </c>
      <c r="D302" t="s">
        <v>715</v>
      </c>
      <c r="E302" t="s">
        <v>40</v>
      </c>
      <c r="F302" t="s">
        <v>716</v>
      </c>
      <c r="G302" t="s">
        <v>717</v>
      </c>
      <c r="H302" t="str">
        <f>'Huong dan giao do an'!$B$14</f>
        <v>5 SV (vai trò chính): 1 PM/Scrum Master kiêm Integration; 2 BA/PO; 3 UI-UX + Frontend; 4 Backend/API + DevOps; 5 Database + QA/Tester. Mỗi SV có nhiệm vụ phụ và minh chứng cá nhân.</v>
      </c>
      <c r="I302" t="s">
        <v>22</v>
      </c>
      <c r="J302" t="s">
        <v>718</v>
      </c>
      <c r="K302" t="str">
        <f>IF(I302="Trung bình",'Huong dan giao do an'!$B$8,IF(I302="Khá",'Huong dan giao do an'!$B$9,'Huong dan giao do an'!$B$10))</f>
        <v>Tối thiểu 4 actor; 10-14 use case; 8-12 bảng; 3 quy trình lõi; phân quyền chi tiết; 2 báo cáo; tích hợp 1 dịch vụ; &gt;=35 test case; CI/CD hoặc deploy cloud.</v>
      </c>
      <c r="L302" t="str">
        <f>'Huong dan giao do an'!$B$31</f>
        <v>Bắt buộc: Charter/PMP; SRS + scope/WBS; Gantt/baseline; effort-cost budget; RACI/timesheet; quality-test-defect; communication/minutes; risk register; procurement; change log; closure/lessons learned.</v>
      </c>
      <c r="M302" t="str">
        <f>'Huong dan giao do an'!$B$33</f>
        <v>Tuần 1: 07.09–13.09.2026; Tuần 2: 14.09–20.09.2026; Tuần 3: 21.09–27.09.2026; Tuần 4: 28.09–04.10.2026; Tuần 5: 05.10–11.10.2026; Tuần 6: 12.10–18.10.2026; Tuần 7: 19.10–25.10.2026; Tuần 8: 26.10–01.11.2026.</v>
      </c>
      <c r="N3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 s="17" t="str">
        <f t="shared" si="4"/>
        <v>Còn trống</v>
      </c>
    </row>
    <row r="303" spans="1:16" x14ac:dyDescent="0.3">
      <c r="A303">
        <v>302</v>
      </c>
      <c r="B303" t="s">
        <v>713</v>
      </c>
      <c r="C303" t="s">
        <v>719</v>
      </c>
      <c r="D303" t="s">
        <v>720</v>
      </c>
      <c r="E303" t="s">
        <v>45</v>
      </c>
      <c r="F303" t="s">
        <v>721</v>
      </c>
      <c r="G303" t="s">
        <v>722</v>
      </c>
      <c r="H303" t="str">
        <f>'Huong dan giao do an'!$B$14</f>
        <v>5 SV (vai trò chính): 1 PM/Scrum Master kiêm Integration; 2 BA/PO; 3 UI-UX + Frontend; 4 Backend/API + DevOps; 5 Database + QA/Tester. Mỗi SV có nhiệm vụ phụ và minh chứng cá nhân.</v>
      </c>
      <c r="I303" t="s">
        <v>29</v>
      </c>
      <c r="J303" t="s">
        <v>723</v>
      </c>
      <c r="K303" t="str">
        <f>IF(I303="Trung bình",'Huong dan giao do an'!$B$8,IF(I303="Khá",'Huong dan giao do an'!$B$9,'Huong dan giao do an'!$B$10))</f>
        <v>Tối thiểu 5 actor; 14-18 use case; 10-15 bảng; 4 quy trình; tích hợp ngoài/realtime hoặc xử lý nâng cao; 3 báo cáo; &gt;=45 test case; logging, backup và deploy.</v>
      </c>
      <c r="L303" t="str">
        <f>'Huong dan giao do an'!$B$31</f>
        <v>Bắt buộc: Charter/PMP; SRS + scope/WBS; Gantt/baseline; effort-cost budget; RACI/timesheet; quality-test-defect; communication/minutes; risk register; procurement; change log; closure/lessons learned.</v>
      </c>
      <c r="M303" t="str">
        <f>'Huong dan giao do an'!$B$33</f>
        <v>Tuần 1: 07.09–13.09.2026; Tuần 2: 14.09–20.09.2026; Tuần 3: 21.09–27.09.2026; Tuần 4: 28.09–04.10.2026; Tuần 5: 05.10–11.10.2026; Tuần 6: 12.10–18.10.2026; Tuần 7: 19.10–25.10.2026; Tuần 8: 26.10–01.11.2026.</v>
      </c>
      <c r="N3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 s="17" t="str">
        <f t="shared" si="4"/>
        <v>Còn trống</v>
      </c>
    </row>
    <row r="304" spans="1:16" x14ac:dyDescent="0.3">
      <c r="A304">
        <v>303</v>
      </c>
      <c r="B304" t="s">
        <v>713</v>
      </c>
      <c r="C304" t="s">
        <v>724</v>
      </c>
      <c r="D304" t="s">
        <v>725</v>
      </c>
      <c r="E304" t="s">
        <v>19</v>
      </c>
      <c r="F304" t="s">
        <v>726</v>
      </c>
      <c r="G304" t="s">
        <v>727</v>
      </c>
      <c r="H304" t="str">
        <f>'Huong dan giao do an'!$B$14</f>
        <v>5 SV (vai trò chính): 1 PM/Scrum Master kiêm Integration; 2 BA/PO; 3 UI-UX + Frontend; 4 Backend/API + DevOps; 5 Database + QA/Tester. Mỗi SV có nhiệm vụ phụ và minh chứng cá nhân.</v>
      </c>
      <c r="I304" t="s">
        <v>36</v>
      </c>
      <c r="J304" t="s">
        <v>728</v>
      </c>
      <c r="K304" t="str">
        <f>IF(I304="Trung bình",'Huong dan giao do an'!$B$8,IF(I304="Khá",'Huong dan giao do an'!$B$9,'Huong dan giao do an'!$B$10))</f>
        <v>Tối thiểu 3 actor; 8-10 use case; 6-8 bảng dữ liệu; 2 quy trình lõi; đăng nhập/RBAC; 1 dashboard; 1 báo cáo; &gt;=25 test case; triển khai bản demo.</v>
      </c>
      <c r="L304" t="str">
        <f>'Huong dan giao do an'!$B$31</f>
        <v>Bắt buộc: Charter/PMP; SRS + scope/WBS; Gantt/baseline; effort-cost budget; RACI/timesheet; quality-test-defect; communication/minutes; risk register; procurement; change log; closure/lessons learned.</v>
      </c>
      <c r="M304" t="str">
        <f>'Huong dan giao do an'!$B$33</f>
        <v>Tuần 1: 07.09–13.09.2026; Tuần 2: 14.09–20.09.2026; Tuần 3: 21.09–27.09.2026; Tuần 4: 28.09–04.10.2026; Tuần 5: 05.10–11.10.2026; Tuần 6: 12.10–18.10.2026; Tuần 7: 19.10–25.10.2026; Tuần 8: 26.10–01.11.2026.</v>
      </c>
      <c r="N3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 s="17" t="str">
        <f t="shared" si="4"/>
        <v>Còn trống</v>
      </c>
    </row>
    <row r="305" spans="1:16" x14ac:dyDescent="0.3">
      <c r="A305">
        <v>304</v>
      </c>
      <c r="B305" t="s">
        <v>713</v>
      </c>
      <c r="C305" t="s">
        <v>729</v>
      </c>
      <c r="D305" t="s">
        <v>730</v>
      </c>
      <c r="E305" t="s">
        <v>26</v>
      </c>
      <c r="F305" t="s">
        <v>731</v>
      </c>
      <c r="G305" t="s">
        <v>732</v>
      </c>
      <c r="H305" t="str">
        <f>'Huong dan giao do an'!$B$14</f>
        <v>5 SV (vai trò chính): 1 PM/Scrum Master kiêm Integration; 2 BA/PO; 3 UI-UX + Frontend; 4 Backend/API + DevOps; 5 Database + QA/Tester. Mỗi SV có nhiệm vụ phụ và minh chứng cá nhân.</v>
      </c>
      <c r="I305" t="s">
        <v>22</v>
      </c>
      <c r="J305" t="s">
        <v>718</v>
      </c>
      <c r="K305" t="str">
        <f>IF(I305="Trung bình",'Huong dan giao do an'!$B$8,IF(I305="Khá",'Huong dan giao do an'!$B$9,'Huong dan giao do an'!$B$10))</f>
        <v>Tối thiểu 4 actor; 10-14 use case; 8-12 bảng; 3 quy trình lõi; phân quyền chi tiết; 2 báo cáo; tích hợp 1 dịch vụ; &gt;=35 test case; CI/CD hoặc deploy cloud.</v>
      </c>
      <c r="L305" t="str">
        <f>'Huong dan giao do an'!$B$31</f>
        <v>Bắt buộc: Charter/PMP; SRS + scope/WBS; Gantt/baseline; effort-cost budget; RACI/timesheet; quality-test-defect; communication/minutes; risk register; procurement; change log; closure/lessons learned.</v>
      </c>
      <c r="M305" t="str">
        <f>'Huong dan giao do an'!$B$33</f>
        <v>Tuần 1: 07.09–13.09.2026; Tuần 2: 14.09–20.09.2026; Tuần 3: 21.09–27.09.2026; Tuần 4: 28.09–04.10.2026; Tuần 5: 05.10–11.10.2026; Tuần 6: 12.10–18.10.2026; Tuần 7: 19.10–25.10.2026; Tuần 8: 26.10–01.11.2026.</v>
      </c>
      <c r="N3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 s="17" t="str">
        <f t="shared" si="4"/>
        <v>Còn trống</v>
      </c>
    </row>
    <row r="306" spans="1:16" x14ac:dyDescent="0.3">
      <c r="A306">
        <v>305</v>
      </c>
      <c r="B306" t="s">
        <v>713</v>
      </c>
      <c r="C306" t="s">
        <v>733</v>
      </c>
      <c r="D306" t="s">
        <v>734</v>
      </c>
      <c r="E306" t="s">
        <v>33</v>
      </c>
      <c r="F306" t="s">
        <v>735</v>
      </c>
      <c r="G306" t="s">
        <v>736</v>
      </c>
      <c r="H306" t="str">
        <f>'Huong dan giao do an'!$B$14</f>
        <v>5 SV (vai trò chính): 1 PM/Scrum Master kiêm Integration; 2 BA/PO; 3 UI-UX + Frontend; 4 Backend/API + DevOps; 5 Database + QA/Tester. Mỗi SV có nhiệm vụ phụ và minh chứng cá nhân.</v>
      </c>
      <c r="I306" t="s">
        <v>29</v>
      </c>
      <c r="J306" t="s">
        <v>723</v>
      </c>
      <c r="K306" t="str">
        <f>IF(I306="Trung bình",'Huong dan giao do an'!$B$8,IF(I306="Khá",'Huong dan giao do an'!$B$9,'Huong dan giao do an'!$B$10))</f>
        <v>Tối thiểu 5 actor; 14-18 use case; 10-15 bảng; 4 quy trình; tích hợp ngoài/realtime hoặc xử lý nâng cao; 3 báo cáo; &gt;=45 test case; logging, backup và deploy.</v>
      </c>
      <c r="L306" t="str">
        <f>'Huong dan giao do an'!$B$31</f>
        <v>Bắt buộc: Charter/PMP; SRS + scope/WBS; Gantt/baseline; effort-cost budget; RACI/timesheet; quality-test-defect; communication/minutes; risk register; procurement; change log; closure/lessons learned.</v>
      </c>
      <c r="M306" t="str">
        <f>'Huong dan giao do an'!$B$33</f>
        <v>Tuần 1: 07.09–13.09.2026; Tuần 2: 14.09–20.09.2026; Tuần 3: 21.09–27.09.2026; Tuần 4: 28.09–04.10.2026; Tuần 5: 05.10–11.10.2026; Tuần 6: 12.10–18.10.2026; Tuần 7: 19.10–25.10.2026; Tuần 8: 26.10–01.11.2026.</v>
      </c>
      <c r="N3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 s="17" t="str">
        <f t="shared" si="4"/>
        <v>Còn trống</v>
      </c>
    </row>
    <row r="307" spans="1:16" x14ac:dyDescent="0.3">
      <c r="A307">
        <v>306</v>
      </c>
      <c r="B307" t="s">
        <v>713</v>
      </c>
      <c r="C307" t="s">
        <v>737</v>
      </c>
      <c r="D307" t="s">
        <v>738</v>
      </c>
      <c r="E307" t="s">
        <v>40</v>
      </c>
      <c r="F307" t="s">
        <v>716</v>
      </c>
      <c r="G307" t="s">
        <v>739</v>
      </c>
      <c r="H307" t="str">
        <f>'Huong dan giao do an'!$B$14</f>
        <v>5 SV (vai trò chính): 1 PM/Scrum Master kiêm Integration; 2 BA/PO; 3 UI-UX + Frontend; 4 Backend/API + DevOps; 5 Database + QA/Tester. Mỗi SV có nhiệm vụ phụ và minh chứng cá nhân.</v>
      </c>
      <c r="I307" t="s">
        <v>36</v>
      </c>
      <c r="J307" t="s">
        <v>728</v>
      </c>
      <c r="K307" t="str">
        <f>IF(I307="Trung bình",'Huong dan giao do an'!$B$8,IF(I307="Khá",'Huong dan giao do an'!$B$9,'Huong dan giao do an'!$B$10))</f>
        <v>Tối thiểu 3 actor; 8-10 use case; 6-8 bảng dữ liệu; 2 quy trình lõi; đăng nhập/RBAC; 1 dashboard; 1 báo cáo; &gt;=25 test case; triển khai bản demo.</v>
      </c>
      <c r="L307" t="str">
        <f>'Huong dan giao do an'!$B$31</f>
        <v>Bắt buộc: Charter/PMP; SRS + scope/WBS; Gantt/baseline; effort-cost budget; RACI/timesheet; quality-test-defect; communication/minutes; risk register; procurement; change log; closure/lessons learned.</v>
      </c>
      <c r="M307" t="str">
        <f>'Huong dan giao do an'!$B$33</f>
        <v>Tuần 1: 07.09–13.09.2026; Tuần 2: 14.09–20.09.2026; Tuần 3: 21.09–27.09.2026; Tuần 4: 28.09–04.10.2026; Tuần 5: 05.10–11.10.2026; Tuần 6: 12.10–18.10.2026; Tuần 7: 19.10–25.10.2026; Tuần 8: 26.10–01.11.2026.</v>
      </c>
      <c r="N3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 s="17" t="str">
        <f t="shared" si="4"/>
        <v>Còn trống</v>
      </c>
    </row>
    <row r="308" spans="1:16" x14ac:dyDescent="0.3">
      <c r="A308">
        <v>307</v>
      </c>
      <c r="B308" t="s">
        <v>713</v>
      </c>
      <c r="C308" t="s">
        <v>740</v>
      </c>
      <c r="D308" t="s">
        <v>741</v>
      </c>
      <c r="E308" t="s">
        <v>45</v>
      </c>
      <c r="F308" t="s">
        <v>721</v>
      </c>
      <c r="G308" t="s">
        <v>742</v>
      </c>
      <c r="H308" t="str">
        <f>'Huong dan giao do an'!$B$14</f>
        <v>5 SV (vai trò chính): 1 PM/Scrum Master kiêm Integration; 2 BA/PO; 3 UI-UX + Frontend; 4 Backend/API + DevOps; 5 Database + QA/Tester. Mỗi SV có nhiệm vụ phụ và minh chứng cá nhân.</v>
      </c>
      <c r="I308" t="s">
        <v>22</v>
      </c>
      <c r="J308" t="s">
        <v>718</v>
      </c>
      <c r="K308" t="str">
        <f>IF(I308="Trung bình",'Huong dan giao do an'!$B$8,IF(I308="Khá",'Huong dan giao do an'!$B$9,'Huong dan giao do an'!$B$10))</f>
        <v>Tối thiểu 4 actor; 10-14 use case; 8-12 bảng; 3 quy trình lõi; phân quyền chi tiết; 2 báo cáo; tích hợp 1 dịch vụ; &gt;=35 test case; CI/CD hoặc deploy cloud.</v>
      </c>
      <c r="L308" t="str">
        <f>'Huong dan giao do an'!$B$31</f>
        <v>Bắt buộc: Charter/PMP; SRS + scope/WBS; Gantt/baseline; effort-cost budget; RACI/timesheet; quality-test-defect; communication/minutes; risk register; procurement; change log; closure/lessons learned.</v>
      </c>
      <c r="M308" t="str">
        <f>'Huong dan giao do an'!$B$33</f>
        <v>Tuần 1: 07.09–13.09.2026; Tuần 2: 14.09–20.09.2026; Tuần 3: 21.09–27.09.2026; Tuần 4: 28.09–04.10.2026; Tuần 5: 05.10–11.10.2026; Tuần 6: 12.10–18.10.2026; Tuần 7: 19.10–25.10.2026; Tuần 8: 26.10–01.11.2026.</v>
      </c>
      <c r="N3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 s="17" t="str">
        <f t="shared" si="4"/>
        <v>Còn trống</v>
      </c>
    </row>
    <row r="309" spans="1:16" x14ac:dyDescent="0.3">
      <c r="A309">
        <v>308</v>
      </c>
      <c r="B309" t="s">
        <v>713</v>
      </c>
      <c r="C309" t="s">
        <v>743</v>
      </c>
      <c r="D309" t="s">
        <v>744</v>
      </c>
      <c r="E309" t="s">
        <v>19</v>
      </c>
      <c r="F309" t="s">
        <v>726</v>
      </c>
      <c r="G309" t="s">
        <v>745</v>
      </c>
      <c r="H309" t="str">
        <f>'Huong dan giao do an'!$B$14</f>
        <v>5 SV (vai trò chính): 1 PM/Scrum Master kiêm Integration; 2 BA/PO; 3 UI-UX + Frontend; 4 Backend/API + DevOps; 5 Database + QA/Tester. Mỗi SV có nhiệm vụ phụ và minh chứng cá nhân.</v>
      </c>
      <c r="I309" t="s">
        <v>29</v>
      </c>
      <c r="J309" t="s">
        <v>723</v>
      </c>
      <c r="K309" t="str">
        <f>IF(I309="Trung bình",'Huong dan giao do an'!$B$8,IF(I309="Khá",'Huong dan giao do an'!$B$9,'Huong dan giao do an'!$B$10))</f>
        <v>Tối thiểu 5 actor; 14-18 use case; 10-15 bảng; 4 quy trình; tích hợp ngoài/realtime hoặc xử lý nâng cao; 3 báo cáo; &gt;=45 test case; logging, backup và deploy.</v>
      </c>
      <c r="L309" t="str">
        <f>'Huong dan giao do an'!$B$31</f>
        <v>Bắt buộc: Charter/PMP; SRS + scope/WBS; Gantt/baseline; effort-cost budget; RACI/timesheet; quality-test-defect; communication/minutes; risk register; procurement; change log; closure/lessons learned.</v>
      </c>
      <c r="M309" t="str">
        <f>'Huong dan giao do an'!$B$33</f>
        <v>Tuần 1: 07.09–13.09.2026; Tuần 2: 14.09–20.09.2026; Tuần 3: 21.09–27.09.2026; Tuần 4: 28.09–04.10.2026; Tuần 5: 05.10–11.10.2026; Tuần 6: 12.10–18.10.2026; Tuần 7: 19.10–25.10.2026; Tuần 8: 26.10–01.11.2026.</v>
      </c>
      <c r="N3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 s="17" t="str">
        <f t="shared" si="4"/>
        <v>Còn trống</v>
      </c>
    </row>
    <row r="310" spans="1:16" x14ac:dyDescent="0.3">
      <c r="A310">
        <v>309</v>
      </c>
      <c r="B310" t="s">
        <v>713</v>
      </c>
      <c r="C310" t="s">
        <v>746</v>
      </c>
      <c r="D310" t="s">
        <v>747</v>
      </c>
      <c r="E310" t="s">
        <v>26</v>
      </c>
      <c r="F310" t="s">
        <v>731</v>
      </c>
      <c r="G310" t="s">
        <v>748</v>
      </c>
      <c r="H310" t="str">
        <f>'Huong dan giao do an'!$B$14</f>
        <v>5 SV (vai trò chính): 1 PM/Scrum Master kiêm Integration; 2 BA/PO; 3 UI-UX + Frontend; 4 Backend/API + DevOps; 5 Database + QA/Tester. Mỗi SV có nhiệm vụ phụ và minh chứng cá nhân.</v>
      </c>
      <c r="I310" t="s">
        <v>36</v>
      </c>
      <c r="J310" t="s">
        <v>728</v>
      </c>
      <c r="K310" t="str">
        <f>IF(I310="Trung bình",'Huong dan giao do an'!$B$8,IF(I310="Khá",'Huong dan giao do an'!$B$9,'Huong dan giao do an'!$B$10))</f>
        <v>Tối thiểu 3 actor; 8-10 use case; 6-8 bảng dữ liệu; 2 quy trình lõi; đăng nhập/RBAC; 1 dashboard; 1 báo cáo; &gt;=25 test case; triển khai bản demo.</v>
      </c>
      <c r="L310" t="str">
        <f>'Huong dan giao do an'!$B$31</f>
        <v>Bắt buộc: Charter/PMP; SRS + scope/WBS; Gantt/baseline; effort-cost budget; RACI/timesheet; quality-test-defect; communication/minutes; risk register; procurement; change log; closure/lessons learned.</v>
      </c>
      <c r="M310" t="str">
        <f>'Huong dan giao do an'!$B$33</f>
        <v>Tuần 1: 07.09–13.09.2026; Tuần 2: 14.09–20.09.2026; Tuần 3: 21.09–27.09.2026; Tuần 4: 28.09–04.10.2026; Tuần 5: 05.10–11.10.2026; Tuần 6: 12.10–18.10.2026; Tuần 7: 19.10–25.10.2026; Tuần 8: 26.10–01.11.2026.</v>
      </c>
      <c r="N3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 s="17" t="str">
        <f t="shared" si="4"/>
        <v>Còn trống</v>
      </c>
    </row>
    <row r="311" spans="1:16" x14ac:dyDescent="0.3">
      <c r="A311">
        <v>310</v>
      </c>
      <c r="B311" t="s">
        <v>713</v>
      </c>
      <c r="C311" t="s">
        <v>749</v>
      </c>
      <c r="D311" t="s">
        <v>750</v>
      </c>
      <c r="E311" t="s">
        <v>33</v>
      </c>
      <c r="F311" t="s">
        <v>735</v>
      </c>
      <c r="G311" t="s">
        <v>751</v>
      </c>
      <c r="H311" t="str">
        <f>'Huong dan giao do an'!$B$14</f>
        <v>5 SV (vai trò chính): 1 PM/Scrum Master kiêm Integration; 2 BA/PO; 3 UI-UX + Frontend; 4 Backend/API + DevOps; 5 Database + QA/Tester. Mỗi SV có nhiệm vụ phụ và minh chứng cá nhân.</v>
      </c>
      <c r="I311" t="s">
        <v>22</v>
      </c>
      <c r="J311" t="s">
        <v>718</v>
      </c>
      <c r="K311" t="str">
        <f>IF(I311="Trung bình",'Huong dan giao do an'!$B$8,IF(I311="Khá",'Huong dan giao do an'!$B$9,'Huong dan giao do an'!$B$10))</f>
        <v>Tối thiểu 4 actor; 10-14 use case; 8-12 bảng; 3 quy trình lõi; phân quyền chi tiết; 2 báo cáo; tích hợp 1 dịch vụ; &gt;=35 test case; CI/CD hoặc deploy cloud.</v>
      </c>
      <c r="L311" t="str">
        <f>'Huong dan giao do an'!$B$31</f>
        <v>Bắt buộc: Charter/PMP; SRS + scope/WBS; Gantt/baseline; effort-cost budget; RACI/timesheet; quality-test-defect; communication/minutes; risk register; procurement; change log; closure/lessons learned.</v>
      </c>
      <c r="M311" t="str">
        <f>'Huong dan giao do an'!$B$33</f>
        <v>Tuần 1: 07.09–13.09.2026; Tuần 2: 14.09–20.09.2026; Tuần 3: 21.09–27.09.2026; Tuần 4: 28.09–04.10.2026; Tuần 5: 05.10–11.10.2026; Tuần 6: 12.10–18.10.2026; Tuần 7: 19.10–25.10.2026; Tuần 8: 26.10–01.11.2026.</v>
      </c>
      <c r="N3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 s="17" t="str">
        <f t="shared" si="4"/>
        <v>Còn trống</v>
      </c>
    </row>
    <row r="312" spans="1:16" x14ac:dyDescent="0.3">
      <c r="A312">
        <v>311</v>
      </c>
      <c r="B312" t="s">
        <v>713</v>
      </c>
      <c r="C312" t="s">
        <v>752</v>
      </c>
      <c r="D312" t="s">
        <v>753</v>
      </c>
      <c r="E312" t="s">
        <v>40</v>
      </c>
      <c r="F312" t="s">
        <v>716</v>
      </c>
      <c r="G312" t="s">
        <v>754</v>
      </c>
      <c r="H312" t="str">
        <f>'Huong dan giao do an'!$B$14</f>
        <v>5 SV (vai trò chính): 1 PM/Scrum Master kiêm Integration; 2 BA/PO; 3 UI-UX + Frontend; 4 Backend/API + DevOps; 5 Database + QA/Tester. Mỗi SV có nhiệm vụ phụ và minh chứng cá nhân.</v>
      </c>
      <c r="I312" t="s">
        <v>29</v>
      </c>
      <c r="J312" t="s">
        <v>723</v>
      </c>
      <c r="K312" t="str">
        <f>IF(I312="Trung bình",'Huong dan giao do an'!$B$8,IF(I312="Khá",'Huong dan giao do an'!$B$9,'Huong dan giao do an'!$B$10))</f>
        <v>Tối thiểu 5 actor; 14-18 use case; 10-15 bảng; 4 quy trình; tích hợp ngoài/realtime hoặc xử lý nâng cao; 3 báo cáo; &gt;=45 test case; logging, backup và deploy.</v>
      </c>
      <c r="L312" t="str">
        <f>'Huong dan giao do an'!$B$31</f>
        <v>Bắt buộc: Charter/PMP; SRS + scope/WBS; Gantt/baseline; effort-cost budget; RACI/timesheet; quality-test-defect; communication/minutes; risk register; procurement; change log; closure/lessons learned.</v>
      </c>
      <c r="M312" t="str">
        <f>'Huong dan giao do an'!$B$33</f>
        <v>Tuần 1: 07.09–13.09.2026; Tuần 2: 14.09–20.09.2026; Tuần 3: 21.09–27.09.2026; Tuần 4: 28.09–04.10.2026; Tuần 5: 05.10–11.10.2026; Tuần 6: 12.10–18.10.2026; Tuần 7: 19.10–25.10.2026; Tuần 8: 26.10–01.11.2026.</v>
      </c>
      <c r="N3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 s="17" t="str">
        <f t="shared" si="4"/>
        <v>Còn trống</v>
      </c>
    </row>
    <row r="313" spans="1:16" x14ac:dyDescent="0.3">
      <c r="A313">
        <v>312</v>
      </c>
      <c r="B313" t="s">
        <v>713</v>
      </c>
      <c r="C313" t="s">
        <v>755</v>
      </c>
      <c r="D313" t="s">
        <v>756</v>
      </c>
      <c r="E313" t="s">
        <v>45</v>
      </c>
      <c r="F313" t="s">
        <v>721</v>
      </c>
      <c r="G313" t="s">
        <v>757</v>
      </c>
      <c r="H313" t="str">
        <f>'Huong dan giao do an'!$B$14</f>
        <v>5 SV (vai trò chính): 1 PM/Scrum Master kiêm Integration; 2 BA/PO; 3 UI-UX + Frontend; 4 Backend/API + DevOps; 5 Database + QA/Tester. Mỗi SV có nhiệm vụ phụ và minh chứng cá nhân.</v>
      </c>
      <c r="I313" t="s">
        <v>36</v>
      </c>
      <c r="J313" t="s">
        <v>728</v>
      </c>
      <c r="K313" t="str">
        <f>IF(I313="Trung bình",'Huong dan giao do an'!$B$8,IF(I313="Khá",'Huong dan giao do an'!$B$9,'Huong dan giao do an'!$B$10))</f>
        <v>Tối thiểu 3 actor; 8-10 use case; 6-8 bảng dữ liệu; 2 quy trình lõi; đăng nhập/RBAC; 1 dashboard; 1 báo cáo; &gt;=25 test case; triển khai bản demo.</v>
      </c>
      <c r="L313" t="str">
        <f>'Huong dan giao do an'!$B$31</f>
        <v>Bắt buộc: Charter/PMP; SRS + scope/WBS; Gantt/baseline; effort-cost budget; RACI/timesheet; quality-test-defect; communication/minutes; risk register; procurement; change log; closure/lessons learned.</v>
      </c>
      <c r="M313" t="str">
        <f>'Huong dan giao do an'!$B$33</f>
        <v>Tuần 1: 07.09–13.09.2026; Tuần 2: 14.09–20.09.2026; Tuần 3: 21.09–27.09.2026; Tuần 4: 28.09–04.10.2026; Tuần 5: 05.10–11.10.2026; Tuần 6: 12.10–18.10.2026; Tuần 7: 19.10–25.10.2026; Tuần 8: 26.10–01.11.2026.</v>
      </c>
      <c r="N3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 s="17" t="str">
        <f t="shared" si="4"/>
        <v>Còn trống</v>
      </c>
    </row>
    <row r="314" spans="1:16" x14ac:dyDescent="0.3">
      <c r="A314">
        <v>313</v>
      </c>
      <c r="B314" t="s">
        <v>713</v>
      </c>
      <c r="C314" t="s">
        <v>758</v>
      </c>
      <c r="D314" t="s">
        <v>759</v>
      </c>
      <c r="E314" t="s">
        <v>19</v>
      </c>
      <c r="F314" t="s">
        <v>726</v>
      </c>
      <c r="G314" t="s">
        <v>760</v>
      </c>
      <c r="H314" t="str">
        <f>'Huong dan giao do an'!$B$14</f>
        <v>5 SV (vai trò chính): 1 PM/Scrum Master kiêm Integration; 2 BA/PO; 3 UI-UX + Frontend; 4 Backend/API + DevOps; 5 Database + QA/Tester. Mỗi SV có nhiệm vụ phụ và minh chứng cá nhân.</v>
      </c>
      <c r="I314" t="s">
        <v>22</v>
      </c>
      <c r="J314" t="s">
        <v>718</v>
      </c>
      <c r="K314" t="str">
        <f>IF(I314="Trung bình",'Huong dan giao do an'!$B$8,IF(I314="Khá",'Huong dan giao do an'!$B$9,'Huong dan giao do an'!$B$10))</f>
        <v>Tối thiểu 4 actor; 10-14 use case; 8-12 bảng; 3 quy trình lõi; phân quyền chi tiết; 2 báo cáo; tích hợp 1 dịch vụ; &gt;=35 test case; CI/CD hoặc deploy cloud.</v>
      </c>
      <c r="L314" t="str">
        <f>'Huong dan giao do an'!$B$31</f>
        <v>Bắt buộc: Charter/PMP; SRS + scope/WBS; Gantt/baseline; effort-cost budget; RACI/timesheet; quality-test-defect; communication/minutes; risk register; procurement; change log; closure/lessons learned.</v>
      </c>
      <c r="M314" t="str">
        <f>'Huong dan giao do an'!$B$33</f>
        <v>Tuần 1: 07.09–13.09.2026; Tuần 2: 14.09–20.09.2026; Tuần 3: 21.09–27.09.2026; Tuần 4: 28.09–04.10.2026; Tuần 5: 05.10–11.10.2026; Tuần 6: 12.10–18.10.2026; Tuần 7: 19.10–25.10.2026; Tuần 8: 26.10–01.11.2026.</v>
      </c>
      <c r="N3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 s="17" t="str">
        <f t="shared" si="4"/>
        <v>Còn trống</v>
      </c>
    </row>
    <row r="315" spans="1:16" x14ac:dyDescent="0.3">
      <c r="A315">
        <v>314</v>
      </c>
      <c r="B315" t="s">
        <v>713</v>
      </c>
      <c r="C315" t="s">
        <v>761</v>
      </c>
      <c r="D315" t="s">
        <v>762</v>
      </c>
      <c r="E315" t="s">
        <v>26</v>
      </c>
      <c r="F315" t="s">
        <v>731</v>
      </c>
      <c r="G315" t="s">
        <v>763</v>
      </c>
      <c r="H315" t="str">
        <f>'Huong dan giao do an'!$B$14</f>
        <v>5 SV (vai trò chính): 1 PM/Scrum Master kiêm Integration; 2 BA/PO; 3 UI-UX + Frontend; 4 Backend/API + DevOps; 5 Database + QA/Tester. Mỗi SV có nhiệm vụ phụ và minh chứng cá nhân.</v>
      </c>
      <c r="I315" t="s">
        <v>29</v>
      </c>
      <c r="J315" t="s">
        <v>723</v>
      </c>
      <c r="K315" t="str">
        <f>IF(I315="Trung bình",'Huong dan giao do an'!$B$8,IF(I315="Khá",'Huong dan giao do an'!$B$9,'Huong dan giao do an'!$B$10))</f>
        <v>Tối thiểu 5 actor; 14-18 use case; 10-15 bảng; 4 quy trình; tích hợp ngoài/realtime hoặc xử lý nâng cao; 3 báo cáo; &gt;=45 test case; logging, backup và deploy.</v>
      </c>
      <c r="L315" t="str">
        <f>'Huong dan giao do an'!$B$31</f>
        <v>Bắt buộc: Charter/PMP; SRS + scope/WBS; Gantt/baseline; effort-cost budget; RACI/timesheet; quality-test-defect; communication/minutes; risk register; procurement; change log; closure/lessons learned.</v>
      </c>
      <c r="M315" t="str">
        <f>'Huong dan giao do an'!$B$33</f>
        <v>Tuần 1: 07.09–13.09.2026; Tuần 2: 14.09–20.09.2026; Tuần 3: 21.09–27.09.2026; Tuần 4: 28.09–04.10.2026; Tuần 5: 05.10–11.10.2026; Tuần 6: 12.10–18.10.2026; Tuần 7: 19.10–25.10.2026; Tuần 8: 26.10–01.11.2026.</v>
      </c>
      <c r="N3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 s="17" t="str">
        <f t="shared" si="4"/>
        <v>Còn trống</v>
      </c>
    </row>
    <row r="316" spans="1:16" x14ac:dyDescent="0.3">
      <c r="A316">
        <v>315</v>
      </c>
      <c r="B316" t="s">
        <v>713</v>
      </c>
      <c r="C316" t="s">
        <v>764</v>
      </c>
      <c r="D316" t="s">
        <v>765</v>
      </c>
      <c r="E316" t="s">
        <v>33</v>
      </c>
      <c r="F316" t="s">
        <v>735</v>
      </c>
      <c r="G316" t="s">
        <v>766</v>
      </c>
      <c r="H316" t="str">
        <f>'Huong dan giao do an'!$B$14</f>
        <v>5 SV (vai trò chính): 1 PM/Scrum Master kiêm Integration; 2 BA/PO; 3 UI-UX + Frontend; 4 Backend/API + DevOps; 5 Database + QA/Tester. Mỗi SV có nhiệm vụ phụ và minh chứng cá nhân.</v>
      </c>
      <c r="I316" t="s">
        <v>36</v>
      </c>
      <c r="J316" t="s">
        <v>728</v>
      </c>
      <c r="K316" t="str">
        <f>IF(I316="Trung bình",'Huong dan giao do an'!$B$8,IF(I316="Khá",'Huong dan giao do an'!$B$9,'Huong dan giao do an'!$B$10))</f>
        <v>Tối thiểu 3 actor; 8-10 use case; 6-8 bảng dữ liệu; 2 quy trình lõi; đăng nhập/RBAC; 1 dashboard; 1 báo cáo; &gt;=25 test case; triển khai bản demo.</v>
      </c>
      <c r="L316" t="str">
        <f>'Huong dan giao do an'!$B$31</f>
        <v>Bắt buộc: Charter/PMP; SRS + scope/WBS; Gantt/baseline; effort-cost budget; RACI/timesheet; quality-test-defect; communication/minutes; risk register; procurement; change log; closure/lessons learned.</v>
      </c>
      <c r="M316" t="str">
        <f>'Huong dan giao do an'!$B$33</f>
        <v>Tuần 1: 07.09–13.09.2026; Tuần 2: 14.09–20.09.2026; Tuần 3: 21.09–27.09.2026; Tuần 4: 28.09–04.10.2026; Tuần 5: 05.10–11.10.2026; Tuần 6: 12.10–18.10.2026; Tuần 7: 19.10–25.10.2026; Tuần 8: 26.10–01.11.2026.</v>
      </c>
      <c r="N3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 s="17" t="str">
        <f t="shared" si="4"/>
        <v>Còn trống</v>
      </c>
    </row>
    <row r="317" spans="1:16" x14ac:dyDescent="0.3">
      <c r="A317">
        <v>316</v>
      </c>
      <c r="B317" t="s">
        <v>713</v>
      </c>
      <c r="C317" t="s">
        <v>767</v>
      </c>
      <c r="D317" t="s">
        <v>768</v>
      </c>
      <c r="E317" t="s">
        <v>40</v>
      </c>
      <c r="F317" t="s">
        <v>716</v>
      </c>
      <c r="G317" t="s">
        <v>769</v>
      </c>
      <c r="H317" t="str">
        <f>'Huong dan giao do an'!$B$14</f>
        <v>5 SV (vai trò chính): 1 PM/Scrum Master kiêm Integration; 2 BA/PO; 3 UI-UX + Frontend; 4 Backend/API + DevOps; 5 Database + QA/Tester. Mỗi SV có nhiệm vụ phụ và minh chứng cá nhân.</v>
      </c>
      <c r="I317" t="s">
        <v>22</v>
      </c>
      <c r="J317" t="s">
        <v>718</v>
      </c>
      <c r="K317" t="str">
        <f>IF(I317="Trung bình",'Huong dan giao do an'!$B$8,IF(I317="Khá",'Huong dan giao do an'!$B$9,'Huong dan giao do an'!$B$10))</f>
        <v>Tối thiểu 4 actor; 10-14 use case; 8-12 bảng; 3 quy trình lõi; phân quyền chi tiết; 2 báo cáo; tích hợp 1 dịch vụ; &gt;=35 test case; CI/CD hoặc deploy cloud.</v>
      </c>
      <c r="L317" t="str">
        <f>'Huong dan giao do an'!$B$31</f>
        <v>Bắt buộc: Charter/PMP; SRS + scope/WBS; Gantt/baseline; effort-cost budget; RACI/timesheet; quality-test-defect; communication/minutes; risk register; procurement; change log; closure/lessons learned.</v>
      </c>
      <c r="M317" t="str">
        <f>'Huong dan giao do an'!$B$33</f>
        <v>Tuần 1: 07.09–13.09.2026; Tuần 2: 14.09–20.09.2026; Tuần 3: 21.09–27.09.2026; Tuần 4: 28.09–04.10.2026; Tuần 5: 05.10–11.10.2026; Tuần 6: 12.10–18.10.2026; Tuần 7: 19.10–25.10.2026; Tuần 8: 26.10–01.11.2026.</v>
      </c>
      <c r="N3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 s="17" t="str">
        <f t="shared" si="4"/>
        <v>Còn trống</v>
      </c>
    </row>
    <row r="318" spans="1:16" x14ac:dyDescent="0.3">
      <c r="A318">
        <v>317</v>
      </c>
      <c r="B318" t="s">
        <v>713</v>
      </c>
      <c r="C318" t="s">
        <v>770</v>
      </c>
      <c r="D318" t="s">
        <v>771</v>
      </c>
      <c r="E318" t="s">
        <v>45</v>
      </c>
      <c r="F318" t="s">
        <v>721</v>
      </c>
      <c r="G318" t="s">
        <v>772</v>
      </c>
      <c r="H318" t="str">
        <f>'Huong dan giao do an'!$B$14</f>
        <v>5 SV (vai trò chính): 1 PM/Scrum Master kiêm Integration; 2 BA/PO; 3 UI-UX + Frontend; 4 Backend/API + DevOps; 5 Database + QA/Tester. Mỗi SV có nhiệm vụ phụ và minh chứng cá nhân.</v>
      </c>
      <c r="I318" t="s">
        <v>29</v>
      </c>
      <c r="J318" t="s">
        <v>723</v>
      </c>
      <c r="K318" t="str">
        <f>IF(I318="Trung bình",'Huong dan giao do an'!$B$8,IF(I318="Khá",'Huong dan giao do an'!$B$9,'Huong dan giao do an'!$B$10))</f>
        <v>Tối thiểu 5 actor; 14-18 use case; 10-15 bảng; 4 quy trình; tích hợp ngoài/realtime hoặc xử lý nâng cao; 3 báo cáo; &gt;=45 test case; logging, backup và deploy.</v>
      </c>
      <c r="L318" t="str">
        <f>'Huong dan giao do an'!$B$31</f>
        <v>Bắt buộc: Charter/PMP; SRS + scope/WBS; Gantt/baseline; effort-cost budget; RACI/timesheet; quality-test-defect; communication/minutes; risk register; procurement; change log; closure/lessons learned.</v>
      </c>
      <c r="M318" t="str">
        <f>'Huong dan giao do an'!$B$33</f>
        <v>Tuần 1: 07.09–13.09.2026; Tuần 2: 14.09–20.09.2026; Tuần 3: 21.09–27.09.2026; Tuần 4: 28.09–04.10.2026; Tuần 5: 05.10–11.10.2026; Tuần 6: 12.10–18.10.2026; Tuần 7: 19.10–25.10.2026; Tuần 8: 26.10–01.11.2026.</v>
      </c>
      <c r="N3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 s="17" t="str">
        <f t="shared" si="4"/>
        <v>Còn trống</v>
      </c>
    </row>
    <row r="319" spans="1:16" x14ac:dyDescent="0.3">
      <c r="A319">
        <v>318</v>
      </c>
      <c r="B319" t="s">
        <v>713</v>
      </c>
      <c r="C319" t="s">
        <v>773</v>
      </c>
      <c r="D319" t="s">
        <v>774</v>
      </c>
      <c r="E319" t="s">
        <v>19</v>
      </c>
      <c r="F319" t="s">
        <v>726</v>
      </c>
      <c r="G319" t="s">
        <v>775</v>
      </c>
      <c r="H319" t="str">
        <f>'Huong dan giao do an'!$B$14</f>
        <v>5 SV (vai trò chính): 1 PM/Scrum Master kiêm Integration; 2 BA/PO; 3 UI-UX + Frontend; 4 Backend/API + DevOps; 5 Database + QA/Tester. Mỗi SV có nhiệm vụ phụ và minh chứng cá nhân.</v>
      </c>
      <c r="I319" t="s">
        <v>36</v>
      </c>
      <c r="J319" t="s">
        <v>728</v>
      </c>
      <c r="K319" t="str">
        <f>IF(I319="Trung bình",'Huong dan giao do an'!$B$8,IF(I319="Khá",'Huong dan giao do an'!$B$9,'Huong dan giao do an'!$B$10))</f>
        <v>Tối thiểu 3 actor; 8-10 use case; 6-8 bảng dữ liệu; 2 quy trình lõi; đăng nhập/RBAC; 1 dashboard; 1 báo cáo; &gt;=25 test case; triển khai bản demo.</v>
      </c>
      <c r="L319" t="str">
        <f>'Huong dan giao do an'!$B$31</f>
        <v>Bắt buộc: Charter/PMP; SRS + scope/WBS; Gantt/baseline; effort-cost budget; RACI/timesheet; quality-test-defect; communication/minutes; risk register; procurement; change log; closure/lessons learned.</v>
      </c>
      <c r="M319" t="str">
        <f>'Huong dan giao do an'!$B$33</f>
        <v>Tuần 1: 07.09–13.09.2026; Tuần 2: 14.09–20.09.2026; Tuần 3: 21.09–27.09.2026; Tuần 4: 28.09–04.10.2026; Tuần 5: 05.10–11.10.2026; Tuần 6: 12.10–18.10.2026; Tuần 7: 19.10–25.10.2026; Tuần 8: 26.10–01.11.2026.</v>
      </c>
      <c r="N3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 s="17" t="str">
        <f t="shared" si="4"/>
        <v>Còn trống</v>
      </c>
    </row>
    <row r="320" spans="1:16" x14ac:dyDescent="0.3">
      <c r="A320">
        <v>319</v>
      </c>
      <c r="B320" t="s">
        <v>713</v>
      </c>
      <c r="C320" t="s">
        <v>776</v>
      </c>
      <c r="D320" t="s">
        <v>777</v>
      </c>
      <c r="E320" t="s">
        <v>26</v>
      </c>
      <c r="F320" t="s">
        <v>731</v>
      </c>
      <c r="G320" t="s">
        <v>778</v>
      </c>
      <c r="H320" t="str">
        <f>'Huong dan giao do an'!$B$14</f>
        <v>5 SV (vai trò chính): 1 PM/Scrum Master kiêm Integration; 2 BA/PO; 3 UI-UX + Frontend; 4 Backend/API + DevOps; 5 Database + QA/Tester. Mỗi SV có nhiệm vụ phụ và minh chứng cá nhân.</v>
      </c>
      <c r="I320" t="s">
        <v>22</v>
      </c>
      <c r="J320" t="s">
        <v>718</v>
      </c>
      <c r="K320" t="str">
        <f>IF(I320="Trung bình",'Huong dan giao do an'!$B$8,IF(I320="Khá",'Huong dan giao do an'!$B$9,'Huong dan giao do an'!$B$10))</f>
        <v>Tối thiểu 4 actor; 10-14 use case; 8-12 bảng; 3 quy trình lõi; phân quyền chi tiết; 2 báo cáo; tích hợp 1 dịch vụ; &gt;=35 test case; CI/CD hoặc deploy cloud.</v>
      </c>
      <c r="L320" t="str">
        <f>'Huong dan giao do an'!$B$31</f>
        <v>Bắt buộc: Charter/PMP; SRS + scope/WBS; Gantt/baseline; effort-cost budget; RACI/timesheet; quality-test-defect; communication/minutes; risk register; procurement; change log; closure/lessons learned.</v>
      </c>
      <c r="M320" t="str">
        <f>'Huong dan giao do an'!$B$33</f>
        <v>Tuần 1: 07.09–13.09.2026; Tuần 2: 14.09–20.09.2026; Tuần 3: 21.09–27.09.2026; Tuần 4: 28.09–04.10.2026; Tuần 5: 05.10–11.10.2026; Tuần 6: 12.10–18.10.2026; Tuần 7: 19.10–25.10.2026; Tuần 8: 26.10–01.11.2026.</v>
      </c>
      <c r="N3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 s="17" t="str">
        <f t="shared" si="4"/>
        <v>Còn trống</v>
      </c>
    </row>
    <row r="321" spans="1:16" x14ac:dyDescent="0.3">
      <c r="A321">
        <v>320</v>
      </c>
      <c r="B321" t="s">
        <v>713</v>
      </c>
      <c r="C321" t="s">
        <v>779</v>
      </c>
      <c r="D321" t="s">
        <v>780</v>
      </c>
      <c r="E321" t="s">
        <v>33</v>
      </c>
      <c r="F321" t="s">
        <v>735</v>
      </c>
      <c r="G321" t="s">
        <v>781</v>
      </c>
      <c r="H321" t="str">
        <f>'Huong dan giao do an'!$B$14</f>
        <v>5 SV (vai trò chính): 1 PM/Scrum Master kiêm Integration; 2 BA/PO; 3 UI-UX + Frontend; 4 Backend/API + DevOps; 5 Database + QA/Tester. Mỗi SV có nhiệm vụ phụ và minh chứng cá nhân.</v>
      </c>
      <c r="I321" t="s">
        <v>29</v>
      </c>
      <c r="J321" t="s">
        <v>723</v>
      </c>
      <c r="K321" t="str">
        <f>IF(I321="Trung bình",'Huong dan giao do an'!$B$8,IF(I321="Khá",'Huong dan giao do an'!$B$9,'Huong dan giao do an'!$B$10))</f>
        <v>Tối thiểu 5 actor; 14-18 use case; 10-15 bảng; 4 quy trình; tích hợp ngoài/realtime hoặc xử lý nâng cao; 3 báo cáo; &gt;=45 test case; logging, backup và deploy.</v>
      </c>
      <c r="L321" t="str">
        <f>'Huong dan giao do an'!$B$31</f>
        <v>Bắt buộc: Charter/PMP; SRS + scope/WBS; Gantt/baseline; effort-cost budget; RACI/timesheet; quality-test-defect; communication/minutes; risk register; procurement; change log; closure/lessons learned.</v>
      </c>
      <c r="M321" t="str">
        <f>'Huong dan giao do an'!$B$33</f>
        <v>Tuần 1: 07.09–13.09.2026; Tuần 2: 14.09–20.09.2026; Tuần 3: 21.09–27.09.2026; Tuần 4: 28.09–04.10.2026; Tuần 5: 05.10–11.10.2026; Tuần 6: 12.10–18.10.2026; Tuần 7: 19.10–25.10.2026; Tuần 8: 26.10–01.11.2026.</v>
      </c>
      <c r="N3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 s="17" t="str">
        <f t="shared" si="4"/>
        <v>Còn trống</v>
      </c>
    </row>
    <row r="322" spans="1:16" x14ac:dyDescent="0.3">
      <c r="A322">
        <v>321</v>
      </c>
      <c r="B322" t="s">
        <v>713</v>
      </c>
      <c r="C322" t="s">
        <v>782</v>
      </c>
      <c r="D322" t="s">
        <v>783</v>
      </c>
      <c r="E322" t="s">
        <v>40</v>
      </c>
      <c r="F322" t="s">
        <v>716</v>
      </c>
      <c r="G322" t="s">
        <v>717</v>
      </c>
      <c r="H322" t="str">
        <f>'Huong dan giao do an'!$B$14</f>
        <v>5 SV (vai trò chính): 1 PM/Scrum Master kiêm Integration; 2 BA/PO; 3 UI-UX + Frontend; 4 Backend/API + DevOps; 5 Database + QA/Tester. Mỗi SV có nhiệm vụ phụ và minh chứng cá nhân.</v>
      </c>
      <c r="I322" t="s">
        <v>22</v>
      </c>
      <c r="J322" t="s">
        <v>718</v>
      </c>
      <c r="K322" t="str">
        <f>IF(I322="Trung bình",'Huong dan giao do an'!$B$8,IF(I322="Khá",'Huong dan giao do an'!$B$9,'Huong dan giao do an'!$B$10))</f>
        <v>Tối thiểu 4 actor; 10-14 use case; 8-12 bảng; 3 quy trình lõi; phân quyền chi tiết; 2 báo cáo; tích hợp 1 dịch vụ; &gt;=35 test case; CI/CD hoặc deploy cloud.</v>
      </c>
      <c r="L322" t="str">
        <f>'Huong dan giao do an'!$B$31</f>
        <v>Bắt buộc: Charter/PMP; SRS + scope/WBS; Gantt/baseline; effort-cost budget; RACI/timesheet; quality-test-defect; communication/minutes; risk register; procurement; change log; closure/lessons learned.</v>
      </c>
      <c r="M322" t="str">
        <f>'Huong dan giao do an'!$B$33</f>
        <v>Tuần 1: 07.09–13.09.2026; Tuần 2: 14.09–20.09.2026; Tuần 3: 21.09–27.09.2026; Tuần 4: 28.09–04.10.2026; Tuần 5: 05.10–11.10.2026; Tuần 6: 12.10–18.10.2026; Tuần 7: 19.10–25.10.2026; Tuần 8: 26.10–01.11.2026.</v>
      </c>
      <c r="N3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 s="17" t="str">
        <f t="shared" si="4"/>
        <v>Còn trống</v>
      </c>
    </row>
    <row r="323" spans="1:16" x14ac:dyDescent="0.3">
      <c r="A323">
        <v>322</v>
      </c>
      <c r="B323" t="s">
        <v>713</v>
      </c>
      <c r="C323" t="s">
        <v>784</v>
      </c>
      <c r="D323" t="s">
        <v>785</v>
      </c>
      <c r="E323" t="s">
        <v>45</v>
      </c>
      <c r="F323" t="s">
        <v>721</v>
      </c>
      <c r="G323" t="s">
        <v>722</v>
      </c>
      <c r="H323" t="str">
        <f>'Huong dan giao do an'!$B$14</f>
        <v>5 SV (vai trò chính): 1 PM/Scrum Master kiêm Integration; 2 BA/PO; 3 UI-UX + Frontend; 4 Backend/API + DevOps; 5 Database + QA/Tester. Mỗi SV có nhiệm vụ phụ và minh chứng cá nhân.</v>
      </c>
      <c r="I323" t="s">
        <v>29</v>
      </c>
      <c r="J323" t="s">
        <v>723</v>
      </c>
      <c r="K323" t="str">
        <f>IF(I323="Trung bình",'Huong dan giao do an'!$B$8,IF(I323="Khá",'Huong dan giao do an'!$B$9,'Huong dan giao do an'!$B$10))</f>
        <v>Tối thiểu 5 actor; 14-18 use case; 10-15 bảng; 4 quy trình; tích hợp ngoài/realtime hoặc xử lý nâng cao; 3 báo cáo; &gt;=45 test case; logging, backup và deploy.</v>
      </c>
      <c r="L323" t="str">
        <f>'Huong dan giao do an'!$B$31</f>
        <v>Bắt buộc: Charter/PMP; SRS + scope/WBS; Gantt/baseline; effort-cost budget; RACI/timesheet; quality-test-defect; communication/minutes; risk register; procurement; change log; closure/lessons learned.</v>
      </c>
      <c r="M323" t="str">
        <f>'Huong dan giao do an'!$B$33</f>
        <v>Tuần 1: 07.09–13.09.2026; Tuần 2: 14.09–20.09.2026; Tuần 3: 21.09–27.09.2026; Tuần 4: 28.09–04.10.2026; Tuần 5: 05.10–11.10.2026; Tuần 6: 12.10–18.10.2026; Tuần 7: 19.10–25.10.2026; Tuần 8: 26.10–01.11.2026.</v>
      </c>
      <c r="N3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 s="17" t="str">
        <f t="shared" ref="P323:P386" si="5">IF(O323="","Còn trống","Đã đăng ký")</f>
        <v>Còn trống</v>
      </c>
    </row>
    <row r="324" spans="1:16" x14ac:dyDescent="0.3">
      <c r="A324">
        <v>323</v>
      </c>
      <c r="B324" t="s">
        <v>713</v>
      </c>
      <c r="C324" t="s">
        <v>786</v>
      </c>
      <c r="D324" t="s">
        <v>787</v>
      </c>
      <c r="E324" t="s">
        <v>19</v>
      </c>
      <c r="F324" t="s">
        <v>726</v>
      </c>
      <c r="G324" t="s">
        <v>727</v>
      </c>
      <c r="H324" t="str">
        <f>'Huong dan giao do an'!$B$14</f>
        <v>5 SV (vai trò chính): 1 PM/Scrum Master kiêm Integration; 2 BA/PO; 3 UI-UX + Frontend; 4 Backend/API + DevOps; 5 Database + QA/Tester. Mỗi SV có nhiệm vụ phụ và minh chứng cá nhân.</v>
      </c>
      <c r="I324" t="s">
        <v>36</v>
      </c>
      <c r="J324" t="s">
        <v>728</v>
      </c>
      <c r="K324" t="str">
        <f>IF(I324="Trung bình",'Huong dan giao do an'!$B$8,IF(I324="Khá",'Huong dan giao do an'!$B$9,'Huong dan giao do an'!$B$10))</f>
        <v>Tối thiểu 3 actor; 8-10 use case; 6-8 bảng dữ liệu; 2 quy trình lõi; đăng nhập/RBAC; 1 dashboard; 1 báo cáo; &gt;=25 test case; triển khai bản demo.</v>
      </c>
      <c r="L324" t="str">
        <f>'Huong dan giao do an'!$B$31</f>
        <v>Bắt buộc: Charter/PMP; SRS + scope/WBS; Gantt/baseline; effort-cost budget; RACI/timesheet; quality-test-defect; communication/minutes; risk register; procurement; change log; closure/lessons learned.</v>
      </c>
      <c r="M324" t="str">
        <f>'Huong dan giao do an'!$B$33</f>
        <v>Tuần 1: 07.09–13.09.2026; Tuần 2: 14.09–20.09.2026; Tuần 3: 21.09–27.09.2026; Tuần 4: 28.09–04.10.2026; Tuần 5: 05.10–11.10.2026; Tuần 6: 12.10–18.10.2026; Tuần 7: 19.10–25.10.2026; Tuần 8: 26.10–01.11.2026.</v>
      </c>
      <c r="N3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 s="17" t="str">
        <f t="shared" si="5"/>
        <v>Còn trống</v>
      </c>
    </row>
    <row r="325" spans="1:16" x14ac:dyDescent="0.3">
      <c r="A325">
        <v>324</v>
      </c>
      <c r="B325" t="s">
        <v>713</v>
      </c>
      <c r="C325" t="s">
        <v>788</v>
      </c>
      <c r="D325" t="s">
        <v>789</v>
      </c>
      <c r="E325" t="s">
        <v>26</v>
      </c>
      <c r="F325" t="s">
        <v>731</v>
      </c>
      <c r="G325" t="s">
        <v>732</v>
      </c>
      <c r="H325" t="str">
        <f>'Huong dan giao do an'!$B$14</f>
        <v>5 SV (vai trò chính): 1 PM/Scrum Master kiêm Integration; 2 BA/PO; 3 UI-UX + Frontend; 4 Backend/API + DevOps; 5 Database + QA/Tester. Mỗi SV có nhiệm vụ phụ và minh chứng cá nhân.</v>
      </c>
      <c r="I325" t="s">
        <v>22</v>
      </c>
      <c r="J325" t="s">
        <v>718</v>
      </c>
      <c r="K325" t="str">
        <f>IF(I325="Trung bình",'Huong dan giao do an'!$B$8,IF(I325="Khá",'Huong dan giao do an'!$B$9,'Huong dan giao do an'!$B$10))</f>
        <v>Tối thiểu 4 actor; 10-14 use case; 8-12 bảng; 3 quy trình lõi; phân quyền chi tiết; 2 báo cáo; tích hợp 1 dịch vụ; &gt;=35 test case; CI/CD hoặc deploy cloud.</v>
      </c>
      <c r="L325" t="str">
        <f>'Huong dan giao do an'!$B$31</f>
        <v>Bắt buộc: Charter/PMP; SRS + scope/WBS; Gantt/baseline; effort-cost budget; RACI/timesheet; quality-test-defect; communication/minutes; risk register; procurement; change log; closure/lessons learned.</v>
      </c>
      <c r="M325" t="str">
        <f>'Huong dan giao do an'!$B$33</f>
        <v>Tuần 1: 07.09–13.09.2026; Tuần 2: 14.09–20.09.2026; Tuần 3: 21.09–27.09.2026; Tuần 4: 28.09–04.10.2026; Tuần 5: 05.10–11.10.2026; Tuần 6: 12.10–18.10.2026; Tuần 7: 19.10–25.10.2026; Tuần 8: 26.10–01.11.2026.</v>
      </c>
      <c r="N3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 s="17" t="str">
        <f t="shared" si="5"/>
        <v>Còn trống</v>
      </c>
    </row>
    <row r="326" spans="1:16" x14ac:dyDescent="0.3">
      <c r="A326">
        <v>325</v>
      </c>
      <c r="B326" t="s">
        <v>713</v>
      </c>
      <c r="C326" t="s">
        <v>790</v>
      </c>
      <c r="D326" t="s">
        <v>791</v>
      </c>
      <c r="E326" t="s">
        <v>33</v>
      </c>
      <c r="F326" t="s">
        <v>735</v>
      </c>
      <c r="G326" t="s">
        <v>736</v>
      </c>
      <c r="H326" t="str">
        <f>'Huong dan giao do an'!$B$14</f>
        <v>5 SV (vai trò chính): 1 PM/Scrum Master kiêm Integration; 2 BA/PO; 3 UI-UX + Frontend; 4 Backend/API + DevOps; 5 Database + QA/Tester. Mỗi SV có nhiệm vụ phụ và minh chứng cá nhân.</v>
      </c>
      <c r="I326" t="s">
        <v>29</v>
      </c>
      <c r="J326" t="s">
        <v>723</v>
      </c>
      <c r="K326" t="str">
        <f>IF(I326="Trung bình",'Huong dan giao do an'!$B$8,IF(I326="Khá",'Huong dan giao do an'!$B$9,'Huong dan giao do an'!$B$10))</f>
        <v>Tối thiểu 5 actor; 14-18 use case; 10-15 bảng; 4 quy trình; tích hợp ngoài/realtime hoặc xử lý nâng cao; 3 báo cáo; &gt;=45 test case; logging, backup và deploy.</v>
      </c>
      <c r="L326" t="str">
        <f>'Huong dan giao do an'!$B$31</f>
        <v>Bắt buộc: Charter/PMP; SRS + scope/WBS; Gantt/baseline; effort-cost budget; RACI/timesheet; quality-test-defect; communication/minutes; risk register; procurement; change log; closure/lessons learned.</v>
      </c>
      <c r="M326" t="str">
        <f>'Huong dan giao do an'!$B$33</f>
        <v>Tuần 1: 07.09–13.09.2026; Tuần 2: 14.09–20.09.2026; Tuần 3: 21.09–27.09.2026; Tuần 4: 28.09–04.10.2026; Tuần 5: 05.10–11.10.2026; Tuần 6: 12.10–18.10.2026; Tuần 7: 19.10–25.10.2026; Tuần 8: 26.10–01.11.2026.</v>
      </c>
      <c r="N3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 s="17" t="str">
        <f t="shared" si="5"/>
        <v>Còn trống</v>
      </c>
    </row>
    <row r="327" spans="1:16" x14ac:dyDescent="0.3">
      <c r="A327">
        <v>326</v>
      </c>
      <c r="B327" t="s">
        <v>713</v>
      </c>
      <c r="C327" t="s">
        <v>792</v>
      </c>
      <c r="D327" t="s">
        <v>793</v>
      </c>
      <c r="E327" t="s">
        <v>40</v>
      </c>
      <c r="F327" t="s">
        <v>716</v>
      </c>
      <c r="G327" t="s">
        <v>739</v>
      </c>
      <c r="H327" t="str">
        <f>'Huong dan giao do an'!$B$14</f>
        <v>5 SV (vai trò chính): 1 PM/Scrum Master kiêm Integration; 2 BA/PO; 3 UI-UX + Frontend; 4 Backend/API + DevOps; 5 Database + QA/Tester. Mỗi SV có nhiệm vụ phụ và minh chứng cá nhân.</v>
      </c>
      <c r="I327" t="s">
        <v>36</v>
      </c>
      <c r="J327" t="s">
        <v>728</v>
      </c>
      <c r="K327" t="str">
        <f>IF(I327="Trung bình",'Huong dan giao do an'!$B$8,IF(I327="Khá",'Huong dan giao do an'!$B$9,'Huong dan giao do an'!$B$10))</f>
        <v>Tối thiểu 3 actor; 8-10 use case; 6-8 bảng dữ liệu; 2 quy trình lõi; đăng nhập/RBAC; 1 dashboard; 1 báo cáo; &gt;=25 test case; triển khai bản demo.</v>
      </c>
      <c r="L327" t="str">
        <f>'Huong dan giao do an'!$B$31</f>
        <v>Bắt buộc: Charter/PMP; SRS + scope/WBS; Gantt/baseline; effort-cost budget; RACI/timesheet; quality-test-defect; communication/minutes; risk register; procurement; change log; closure/lessons learned.</v>
      </c>
      <c r="M327" t="str">
        <f>'Huong dan giao do an'!$B$33</f>
        <v>Tuần 1: 07.09–13.09.2026; Tuần 2: 14.09–20.09.2026; Tuần 3: 21.09–27.09.2026; Tuần 4: 28.09–04.10.2026; Tuần 5: 05.10–11.10.2026; Tuần 6: 12.10–18.10.2026; Tuần 7: 19.10–25.10.2026; Tuần 8: 26.10–01.11.2026.</v>
      </c>
      <c r="N3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 s="17" t="str">
        <f t="shared" si="5"/>
        <v>Còn trống</v>
      </c>
    </row>
    <row r="328" spans="1:16" x14ac:dyDescent="0.3">
      <c r="A328">
        <v>327</v>
      </c>
      <c r="B328" t="s">
        <v>713</v>
      </c>
      <c r="C328" t="s">
        <v>794</v>
      </c>
      <c r="D328" t="s">
        <v>795</v>
      </c>
      <c r="E328" t="s">
        <v>45</v>
      </c>
      <c r="F328" t="s">
        <v>721</v>
      </c>
      <c r="G328" t="s">
        <v>742</v>
      </c>
      <c r="H328" t="str">
        <f>'Huong dan giao do an'!$B$14</f>
        <v>5 SV (vai trò chính): 1 PM/Scrum Master kiêm Integration; 2 BA/PO; 3 UI-UX + Frontend; 4 Backend/API + DevOps; 5 Database + QA/Tester. Mỗi SV có nhiệm vụ phụ và minh chứng cá nhân.</v>
      </c>
      <c r="I328" t="s">
        <v>22</v>
      </c>
      <c r="J328" t="s">
        <v>718</v>
      </c>
      <c r="K328" t="str">
        <f>IF(I328="Trung bình",'Huong dan giao do an'!$B$8,IF(I328="Khá",'Huong dan giao do an'!$B$9,'Huong dan giao do an'!$B$10))</f>
        <v>Tối thiểu 4 actor; 10-14 use case; 8-12 bảng; 3 quy trình lõi; phân quyền chi tiết; 2 báo cáo; tích hợp 1 dịch vụ; &gt;=35 test case; CI/CD hoặc deploy cloud.</v>
      </c>
      <c r="L328" t="str">
        <f>'Huong dan giao do an'!$B$31</f>
        <v>Bắt buộc: Charter/PMP; SRS + scope/WBS; Gantt/baseline; effort-cost budget; RACI/timesheet; quality-test-defect; communication/minutes; risk register; procurement; change log; closure/lessons learned.</v>
      </c>
      <c r="M328" t="str">
        <f>'Huong dan giao do an'!$B$33</f>
        <v>Tuần 1: 07.09–13.09.2026; Tuần 2: 14.09–20.09.2026; Tuần 3: 21.09–27.09.2026; Tuần 4: 28.09–04.10.2026; Tuần 5: 05.10–11.10.2026; Tuần 6: 12.10–18.10.2026; Tuần 7: 19.10–25.10.2026; Tuần 8: 26.10–01.11.2026.</v>
      </c>
      <c r="N3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 s="17" t="str">
        <f t="shared" si="5"/>
        <v>Còn trống</v>
      </c>
    </row>
    <row r="329" spans="1:16" x14ac:dyDescent="0.3">
      <c r="A329">
        <v>328</v>
      </c>
      <c r="B329" t="s">
        <v>713</v>
      </c>
      <c r="C329" t="s">
        <v>796</v>
      </c>
      <c r="D329" t="s">
        <v>797</v>
      </c>
      <c r="E329" t="s">
        <v>19</v>
      </c>
      <c r="F329" t="s">
        <v>726</v>
      </c>
      <c r="G329" t="s">
        <v>745</v>
      </c>
      <c r="H329" t="str">
        <f>'Huong dan giao do an'!$B$14</f>
        <v>5 SV (vai trò chính): 1 PM/Scrum Master kiêm Integration; 2 BA/PO; 3 UI-UX + Frontend; 4 Backend/API + DevOps; 5 Database + QA/Tester. Mỗi SV có nhiệm vụ phụ và minh chứng cá nhân.</v>
      </c>
      <c r="I329" t="s">
        <v>29</v>
      </c>
      <c r="J329" t="s">
        <v>723</v>
      </c>
      <c r="K329" t="str">
        <f>IF(I329="Trung bình",'Huong dan giao do an'!$B$8,IF(I329="Khá",'Huong dan giao do an'!$B$9,'Huong dan giao do an'!$B$10))</f>
        <v>Tối thiểu 5 actor; 14-18 use case; 10-15 bảng; 4 quy trình; tích hợp ngoài/realtime hoặc xử lý nâng cao; 3 báo cáo; &gt;=45 test case; logging, backup và deploy.</v>
      </c>
      <c r="L329" t="str">
        <f>'Huong dan giao do an'!$B$31</f>
        <v>Bắt buộc: Charter/PMP; SRS + scope/WBS; Gantt/baseline; effort-cost budget; RACI/timesheet; quality-test-defect; communication/minutes; risk register; procurement; change log; closure/lessons learned.</v>
      </c>
      <c r="M329" t="str">
        <f>'Huong dan giao do an'!$B$33</f>
        <v>Tuần 1: 07.09–13.09.2026; Tuần 2: 14.09–20.09.2026; Tuần 3: 21.09–27.09.2026; Tuần 4: 28.09–04.10.2026; Tuần 5: 05.10–11.10.2026; Tuần 6: 12.10–18.10.2026; Tuần 7: 19.10–25.10.2026; Tuần 8: 26.10–01.11.2026.</v>
      </c>
      <c r="N3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 s="17" t="str">
        <f t="shared" si="5"/>
        <v>Còn trống</v>
      </c>
    </row>
    <row r="330" spans="1:16" x14ac:dyDescent="0.3">
      <c r="A330">
        <v>329</v>
      </c>
      <c r="B330" t="s">
        <v>713</v>
      </c>
      <c r="C330" t="s">
        <v>798</v>
      </c>
      <c r="D330" t="s">
        <v>799</v>
      </c>
      <c r="E330" t="s">
        <v>26</v>
      </c>
      <c r="F330" t="s">
        <v>731</v>
      </c>
      <c r="G330" t="s">
        <v>748</v>
      </c>
      <c r="H330" t="str">
        <f>'Huong dan giao do an'!$B$14</f>
        <v>5 SV (vai trò chính): 1 PM/Scrum Master kiêm Integration; 2 BA/PO; 3 UI-UX + Frontend; 4 Backend/API + DevOps; 5 Database + QA/Tester. Mỗi SV có nhiệm vụ phụ và minh chứng cá nhân.</v>
      </c>
      <c r="I330" t="s">
        <v>36</v>
      </c>
      <c r="J330" t="s">
        <v>728</v>
      </c>
      <c r="K330" t="str">
        <f>IF(I330="Trung bình",'Huong dan giao do an'!$B$8,IF(I330="Khá",'Huong dan giao do an'!$B$9,'Huong dan giao do an'!$B$10))</f>
        <v>Tối thiểu 3 actor; 8-10 use case; 6-8 bảng dữ liệu; 2 quy trình lõi; đăng nhập/RBAC; 1 dashboard; 1 báo cáo; &gt;=25 test case; triển khai bản demo.</v>
      </c>
      <c r="L330" t="str">
        <f>'Huong dan giao do an'!$B$31</f>
        <v>Bắt buộc: Charter/PMP; SRS + scope/WBS; Gantt/baseline; effort-cost budget; RACI/timesheet; quality-test-defect; communication/minutes; risk register; procurement; change log; closure/lessons learned.</v>
      </c>
      <c r="M330" t="str">
        <f>'Huong dan giao do an'!$B$33</f>
        <v>Tuần 1: 07.09–13.09.2026; Tuần 2: 14.09–20.09.2026; Tuần 3: 21.09–27.09.2026; Tuần 4: 28.09–04.10.2026; Tuần 5: 05.10–11.10.2026; Tuần 6: 12.10–18.10.2026; Tuần 7: 19.10–25.10.2026; Tuần 8: 26.10–01.11.2026.</v>
      </c>
      <c r="N3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 s="17" t="str">
        <f t="shared" si="5"/>
        <v>Còn trống</v>
      </c>
    </row>
    <row r="331" spans="1:16" x14ac:dyDescent="0.3">
      <c r="A331">
        <v>330</v>
      </c>
      <c r="B331" t="s">
        <v>713</v>
      </c>
      <c r="C331" t="s">
        <v>800</v>
      </c>
      <c r="D331" t="s">
        <v>801</v>
      </c>
      <c r="E331" t="s">
        <v>33</v>
      </c>
      <c r="F331" t="s">
        <v>735</v>
      </c>
      <c r="G331" t="s">
        <v>751</v>
      </c>
      <c r="H331" t="str">
        <f>'Huong dan giao do an'!$B$14</f>
        <v>5 SV (vai trò chính): 1 PM/Scrum Master kiêm Integration; 2 BA/PO; 3 UI-UX + Frontend; 4 Backend/API + DevOps; 5 Database + QA/Tester. Mỗi SV có nhiệm vụ phụ và minh chứng cá nhân.</v>
      </c>
      <c r="I331" t="s">
        <v>22</v>
      </c>
      <c r="J331" t="s">
        <v>718</v>
      </c>
      <c r="K331" t="str">
        <f>IF(I331="Trung bình",'Huong dan giao do an'!$B$8,IF(I331="Khá",'Huong dan giao do an'!$B$9,'Huong dan giao do an'!$B$10))</f>
        <v>Tối thiểu 4 actor; 10-14 use case; 8-12 bảng; 3 quy trình lõi; phân quyền chi tiết; 2 báo cáo; tích hợp 1 dịch vụ; &gt;=35 test case; CI/CD hoặc deploy cloud.</v>
      </c>
      <c r="L331" t="str">
        <f>'Huong dan giao do an'!$B$31</f>
        <v>Bắt buộc: Charter/PMP; SRS + scope/WBS; Gantt/baseline; effort-cost budget; RACI/timesheet; quality-test-defect; communication/minutes; risk register; procurement; change log; closure/lessons learned.</v>
      </c>
      <c r="M331" t="str">
        <f>'Huong dan giao do an'!$B$33</f>
        <v>Tuần 1: 07.09–13.09.2026; Tuần 2: 14.09–20.09.2026; Tuần 3: 21.09–27.09.2026; Tuần 4: 28.09–04.10.2026; Tuần 5: 05.10–11.10.2026; Tuần 6: 12.10–18.10.2026; Tuần 7: 19.10–25.10.2026; Tuần 8: 26.10–01.11.2026.</v>
      </c>
      <c r="N3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 s="17" t="str">
        <f t="shared" si="5"/>
        <v>Còn trống</v>
      </c>
    </row>
    <row r="332" spans="1:16" x14ac:dyDescent="0.3">
      <c r="A332">
        <v>331</v>
      </c>
      <c r="B332" t="s">
        <v>713</v>
      </c>
      <c r="C332" t="s">
        <v>802</v>
      </c>
      <c r="D332" t="s">
        <v>803</v>
      </c>
      <c r="E332" t="s">
        <v>40</v>
      </c>
      <c r="F332" t="s">
        <v>716</v>
      </c>
      <c r="G332" t="s">
        <v>754</v>
      </c>
      <c r="H332" t="str">
        <f>'Huong dan giao do an'!$B$14</f>
        <v>5 SV (vai trò chính): 1 PM/Scrum Master kiêm Integration; 2 BA/PO; 3 UI-UX + Frontend; 4 Backend/API + DevOps; 5 Database + QA/Tester. Mỗi SV có nhiệm vụ phụ và minh chứng cá nhân.</v>
      </c>
      <c r="I332" t="s">
        <v>29</v>
      </c>
      <c r="J332" t="s">
        <v>723</v>
      </c>
      <c r="K332" t="str">
        <f>IF(I332="Trung bình",'Huong dan giao do an'!$B$8,IF(I332="Khá",'Huong dan giao do an'!$B$9,'Huong dan giao do an'!$B$10))</f>
        <v>Tối thiểu 5 actor; 14-18 use case; 10-15 bảng; 4 quy trình; tích hợp ngoài/realtime hoặc xử lý nâng cao; 3 báo cáo; &gt;=45 test case; logging, backup và deploy.</v>
      </c>
      <c r="L332" t="str">
        <f>'Huong dan giao do an'!$B$31</f>
        <v>Bắt buộc: Charter/PMP; SRS + scope/WBS; Gantt/baseline; effort-cost budget; RACI/timesheet; quality-test-defect; communication/minutes; risk register; procurement; change log; closure/lessons learned.</v>
      </c>
      <c r="M332" t="str">
        <f>'Huong dan giao do an'!$B$33</f>
        <v>Tuần 1: 07.09–13.09.2026; Tuần 2: 14.09–20.09.2026; Tuần 3: 21.09–27.09.2026; Tuần 4: 28.09–04.10.2026; Tuần 5: 05.10–11.10.2026; Tuần 6: 12.10–18.10.2026; Tuần 7: 19.10–25.10.2026; Tuần 8: 26.10–01.11.2026.</v>
      </c>
      <c r="N3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 s="17" t="str">
        <f t="shared" si="5"/>
        <v>Còn trống</v>
      </c>
    </row>
    <row r="333" spans="1:16" x14ac:dyDescent="0.3">
      <c r="A333">
        <v>332</v>
      </c>
      <c r="B333" t="s">
        <v>713</v>
      </c>
      <c r="C333" t="s">
        <v>804</v>
      </c>
      <c r="D333" t="s">
        <v>805</v>
      </c>
      <c r="E333" t="s">
        <v>45</v>
      </c>
      <c r="F333" t="s">
        <v>721</v>
      </c>
      <c r="G333" t="s">
        <v>757</v>
      </c>
      <c r="H333" t="str">
        <f>'Huong dan giao do an'!$B$14</f>
        <v>5 SV (vai trò chính): 1 PM/Scrum Master kiêm Integration; 2 BA/PO; 3 UI-UX + Frontend; 4 Backend/API + DevOps; 5 Database + QA/Tester. Mỗi SV có nhiệm vụ phụ và minh chứng cá nhân.</v>
      </c>
      <c r="I333" t="s">
        <v>36</v>
      </c>
      <c r="J333" t="s">
        <v>728</v>
      </c>
      <c r="K333" t="str">
        <f>IF(I333="Trung bình",'Huong dan giao do an'!$B$8,IF(I333="Khá",'Huong dan giao do an'!$B$9,'Huong dan giao do an'!$B$10))</f>
        <v>Tối thiểu 3 actor; 8-10 use case; 6-8 bảng dữ liệu; 2 quy trình lõi; đăng nhập/RBAC; 1 dashboard; 1 báo cáo; &gt;=25 test case; triển khai bản demo.</v>
      </c>
      <c r="L333" t="str">
        <f>'Huong dan giao do an'!$B$31</f>
        <v>Bắt buộc: Charter/PMP; SRS + scope/WBS; Gantt/baseline; effort-cost budget; RACI/timesheet; quality-test-defect; communication/minutes; risk register; procurement; change log; closure/lessons learned.</v>
      </c>
      <c r="M333" t="str">
        <f>'Huong dan giao do an'!$B$33</f>
        <v>Tuần 1: 07.09–13.09.2026; Tuần 2: 14.09–20.09.2026; Tuần 3: 21.09–27.09.2026; Tuần 4: 28.09–04.10.2026; Tuần 5: 05.10–11.10.2026; Tuần 6: 12.10–18.10.2026; Tuần 7: 19.10–25.10.2026; Tuần 8: 26.10–01.11.2026.</v>
      </c>
      <c r="N3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 s="17" t="str">
        <f t="shared" si="5"/>
        <v>Còn trống</v>
      </c>
    </row>
    <row r="334" spans="1:16" x14ac:dyDescent="0.3">
      <c r="A334">
        <v>333</v>
      </c>
      <c r="B334" t="s">
        <v>713</v>
      </c>
      <c r="C334" t="s">
        <v>806</v>
      </c>
      <c r="D334" t="s">
        <v>807</v>
      </c>
      <c r="E334" t="s">
        <v>19</v>
      </c>
      <c r="F334" t="s">
        <v>726</v>
      </c>
      <c r="G334" t="s">
        <v>760</v>
      </c>
      <c r="H334" t="str">
        <f>'Huong dan giao do an'!$B$14</f>
        <v>5 SV (vai trò chính): 1 PM/Scrum Master kiêm Integration; 2 BA/PO; 3 UI-UX + Frontend; 4 Backend/API + DevOps; 5 Database + QA/Tester. Mỗi SV có nhiệm vụ phụ và minh chứng cá nhân.</v>
      </c>
      <c r="I334" t="s">
        <v>22</v>
      </c>
      <c r="J334" t="s">
        <v>718</v>
      </c>
      <c r="K334" t="str">
        <f>IF(I334="Trung bình",'Huong dan giao do an'!$B$8,IF(I334="Khá",'Huong dan giao do an'!$B$9,'Huong dan giao do an'!$B$10))</f>
        <v>Tối thiểu 4 actor; 10-14 use case; 8-12 bảng; 3 quy trình lõi; phân quyền chi tiết; 2 báo cáo; tích hợp 1 dịch vụ; &gt;=35 test case; CI/CD hoặc deploy cloud.</v>
      </c>
      <c r="L334" t="str">
        <f>'Huong dan giao do an'!$B$31</f>
        <v>Bắt buộc: Charter/PMP; SRS + scope/WBS; Gantt/baseline; effort-cost budget; RACI/timesheet; quality-test-defect; communication/minutes; risk register; procurement; change log; closure/lessons learned.</v>
      </c>
      <c r="M334" t="str">
        <f>'Huong dan giao do an'!$B$33</f>
        <v>Tuần 1: 07.09–13.09.2026; Tuần 2: 14.09–20.09.2026; Tuần 3: 21.09–27.09.2026; Tuần 4: 28.09–04.10.2026; Tuần 5: 05.10–11.10.2026; Tuần 6: 12.10–18.10.2026; Tuần 7: 19.10–25.10.2026; Tuần 8: 26.10–01.11.2026.</v>
      </c>
      <c r="N3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 s="17" t="str">
        <f t="shared" si="5"/>
        <v>Còn trống</v>
      </c>
    </row>
    <row r="335" spans="1:16" x14ac:dyDescent="0.3">
      <c r="A335">
        <v>334</v>
      </c>
      <c r="B335" t="s">
        <v>713</v>
      </c>
      <c r="C335" t="s">
        <v>808</v>
      </c>
      <c r="D335" t="s">
        <v>809</v>
      </c>
      <c r="E335" t="s">
        <v>26</v>
      </c>
      <c r="F335" t="s">
        <v>731</v>
      </c>
      <c r="G335" t="s">
        <v>763</v>
      </c>
      <c r="H335" t="str">
        <f>'Huong dan giao do an'!$B$14</f>
        <v>5 SV (vai trò chính): 1 PM/Scrum Master kiêm Integration; 2 BA/PO; 3 UI-UX + Frontend; 4 Backend/API + DevOps; 5 Database + QA/Tester. Mỗi SV có nhiệm vụ phụ và minh chứng cá nhân.</v>
      </c>
      <c r="I335" t="s">
        <v>29</v>
      </c>
      <c r="J335" t="s">
        <v>723</v>
      </c>
      <c r="K335" t="str">
        <f>IF(I335="Trung bình",'Huong dan giao do an'!$B$8,IF(I335="Khá",'Huong dan giao do an'!$B$9,'Huong dan giao do an'!$B$10))</f>
        <v>Tối thiểu 5 actor; 14-18 use case; 10-15 bảng; 4 quy trình; tích hợp ngoài/realtime hoặc xử lý nâng cao; 3 báo cáo; &gt;=45 test case; logging, backup và deploy.</v>
      </c>
      <c r="L335" t="str">
        <f>'Huong dan giao do an'!$B$31</f>
        <v>Bắt buộc: Charter/PMP; SRS + scope/WBS; Gantt/baseline; effort-cost budget; RACI/timesheet; quality-test-defect; communication/minutes; risk register; procurement; change log; closure/lessons learned.</v>
      </c>
      <c r="M335" t="str">
        <f>'Huong dan giao do an'!$B$33</f>
        <v>Tuần 1: 07.09–13.09.2026; Tuần 2: 14.09–20.09.2026; Tuần 3: 21.09–27.09.2026; Tuần 4: 28.09–04.10.2026; Tuần 5: 05.10–11.10.2026; Tuần 6: 12.10–18.10.2026; Tuần 7: 19.10–25.10.2026; Tuần 8: 26.10–01.11.2026.</v>
      </c>
      <c r="N3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 s="17" t="str">
        <f t="shared" si="5"/>
        <v>Còn trống</v>
      </c>
    </row>
    <row r="336" spans="1:16" x14ac:dyDescent="0.3">
      <c r="A336">
        <v>335</v>
      </c>
      <c r="B336" t="s">
        <v>713</v>
      </c>
      <c r="C336" t="s">
        <v>810</v>
      </c>
      <c r="D336" t="s">
        <v>811</v>
      </c>
      <c r="E336" t="s">
        <v>33</v>
      </c>
      <c r="F336" t="s">
        <v>735</v>
      </c>
      <c r="G336" t="s">
        <v>766</v>
      </c>
      <c r="H336" t="str">
        <f>'Huong dan giao do an'!$B$14</f>
        <v>5 SV (vai trò chính): 1 PM/Scrum Master kiêm Integration; 2 BA/PO; 3 UI-UX + Frontend; 4 Backend/API + DevOps; 5 Database + QA/Tester. Mỗi SV có nhiệm vụ phụ và minh chứng cá nhân.</v>
      </c>
      <c r="I336" t="s">
        <v>36</v>
      </c>
      <c r="J336" t="s">
        <v>728</v>
      </c>
      <c r="K336" t="str">
        <f>IF(I336="Trung bình",'Huong dan giao do an'!$B$8,IF(I336="Khá",'Huong dan giao do an'!$B$9,'Huong dan giao do an'!$B$10))</f>
        <v>Tối thiểu 3 actor; 8-10 use case; 6-8 bảng dữ liệu; 2 quy trình lõi; đăng nhập/RBAC; 1 dashboard; 1 báo cáo; &gt;=25 test case; triển khai bản demo.</v>
      </c>
      <c r="L336" t="str">
        <f>'Huong dan giao do an'!$B$31</f>
        <v>Bắt buộc: Charter/PMP; SRS + scope/WBS; Gantt/baseline; effort-cost budget; RACI/timesheet; quality-test-defect; communication/minutes; risk register; procurement; change log; closure/lessons learned.</v>
      </c>
      <c r="M336" t="str">
        <f>'Huong dan giao do an'!$B$33</f>
        <v>Tuần 1: 07.09–13.09.2026; Tuần 2: 14.09–20.09.2026; Tuần 3: 21.09–27.09.2026; Tuần 4: 28.09–04.10.2026; Tuần 5: 05.10–11.10.2026; Tuần 6: 12.10–18.10.2026; Tuần 7: 19.10–25.10.2026; Tuần 8: 26.10–01.11.2026.</v>
      </c>
      <c r="N3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 s="17" t="str">
        <f t="shared" si="5"/>
        <v>Còn trống</v>
      </c>
    </row>
    <row r="337" spans="1:16" x14ac:dyDescent="0.3">
      <c r="A337">
        <v>336</v>
      </c>
      <c r="B337" t="s">
        <v>713</v>
      </c>
      <c r="C337" t="s">
        <v>812</v>
      </c>
      <c r="D337" t="s">
        <v>813</v>
      </c>
      <c r="E337" t="s">
        <v>40</v>
      </c>
      <c r="F337" t="s">
        <v>716</v>
      </c>
      <c r="G337" t="s">
        <v>769</v>
      </c>
      <c r="H337" t="str">
        <f>'Huong dan giao do an'!$B$14</f>
        <v>5 SV (vai trò chính): 1 PM/Scrum Master kiêm Integration; 2 BA/PO; 3 UI-UX + Frontend; 4 Backend/API + DevOps; 5 Database + QA/Tester. Mỗi SV có nhiệm vụ phụ và minh chứng cá nhân.</v>
      </c>
      <c r="I337" t="s">
        <v>22</v>
      </c>
      <c r="J337" t="s">
        <v>718</v>
      </c>
      <c r="K337" t="str">
        <f>IF(I337="Trung bình",'Huong dan giao do an'!$B$8,IF(I337="Khá",'Huong dan giao do an'!$B$9,'Huong dan giao do an'!$B$10))</f>
        <v>Tối thiểu 4 actor; 10-14 use case; 8-12 bảng; 3 quy trình lõi; phân quyền chi tiết; 2 báo cáo; tích hợp 1 dịch vụ; &gt;=35 test case; CI/CD hoặc deploy cloud.</v>
      </c>
      <c r="L337" t="str">
        <f>'Huong dan giao do an'!$B$31</f>
        <v>Bắt buộc: Charter/PMP; SRS + scope/WBS; Gantt/baseline; effort-cost budget; RACI/timesheet; quality-test-defect; communication/minutes; risk register; procurement; change log; closure/lessons learned.</v>
      </c>
      <c r="M337" t="str">
        <f>'Huong dan giao do an'!$B$33</f>
        <v>Tuần 1: 07.09–13.09.2026; Tuần 2: 14.09–20.09.2026; Tuần 3: 21.09–27.09.2026; Tuần 4: 28.09–04.10.2026; Tuần 5: 05.10–11.10.2026; Tuần 6: 12.10–18.10.2026; Tuần 7: 19.10–25.10.2026; Tuần 8: 26.10–01.11.2026.</v>
      </c>
      <c r="N3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 s="17" t="str">
        <f t="shared" si="5"/>
        <v>Còn trống</v>
      </c>
    </row>
    <row r="338" spans="1:16" x14ac:dyDescent="0.3">
      <c r="A338">
        <v>337</v>
      </c>
      <c r="B338" t="s">
        <v>713</v>
      </c>
      <c r="C338" t="s">
        <v>814</v>
      </c>
      <c r="D338" t="s">
        <v>815</v>
      </c>
      <c r="E338" t="s">
        <v>45</v>
      </c>
      <c r="F338" t="s">
        <v>721</v>
      </c>
      <c r="G338" t="s">
        <v>772</v>
      </c>
      <c r="H338" t="str">
        <f>'Huong dan giao do an'!$B$14</f>
        <v>5 SV (vai trò chính): 1 PM/Scrum Master kiêm Integration; 2 BA/PO; 3 UI-UX + Frontend; 4 Backend/API + DevOps; 5 Database + QA/Tester. Mỗi SV có nhiệm vụ phụ và minh chứng cá nhân.</v>
      </c>
      <c r="I338" t="s">
        <v>29</v>
      </c>
      <c r="J338" t="s">
        <v>723</v>
      </c>
      <c r="K338" t="str">
        <f>IF(I338="Trung bình",'Huong dan giao do an'!$B$8,IF(I338="Khá",'Huong dan giao do an'!$B$9,'Huong dan giao do an'!$B$10))</f>
        <v>Tối thiểu 5 actor; 14-18 use case; 10-15 bảng; 4 quy trình; tích hợp ngoài/realtime hoặc xử lý nâng cao; 3 báo cáo; &gt;=45 test case; logging, backup và deploy.</v>
      </c>
      <c r="L338" t="str">
        <f>'Huong dan giao do an'!$B$31</f>
        <v>Bắt buộc: Charter/PMP; SRS + scope/WBS; Gantt/baseline; effort-cost budget; RACI/timesheet; quality-test-defect; communication/minutes; risk register; procurement; change log; closure/lessons learned.</v>
      </c>
      <c r="M338" t="str">
        <f>'Huong dan giao do an'!$B$33</f>
        <v>Tuần 1: 07.09–13.09.2026; Tuần 2: 14.09–20.09.2026; Tuần 3: 21.09–27.09.2026; Tuần 4: 28.09–04.10.2026; Tuần 5: 05.10–11.10.2026; Tuần 6: 12.10–18.10.2026; Tuần 7: 19.10–25.10.2026; Tuần 8: 26.10–01.11.2026.</v>
      </c>
      <c r="N3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 s="17" t="str">
        <f t="shared" si="5"/>
        <v>Còn trống</v>
      </c>
    </row>
    <row r="339" spans="1:16" x14ac:dyDescent="0.3">
      <c r="A339">
        <v>338</v>
      </c>
      <c r="B339" t="s">
        <v>713</v>
      </c>
      <c r="C339" t="s">
        <v>816</v>
      </c>
      <c r="D339" t="s">
        <v>817</v>
      </c>
      <c r="E339" t="s">
        <v>19</v>
      </c>
      <c r="F339" t="s">
        <v>726</v>
      </c>
      <c r="G339" t="s">
        <v>775</v>
      </c>
      <c r="H339" t="str">
        <f>'Huong dan giao do an'!$B$14</f>
        <v>5 SV (vai trò chính): 1 PM/Scrum Master kiêm Integration; 2 BA/PO; 3 UI-UX + Frontend; 4 Backend/API + DevOps; 5 Database + QA/Tester. Mỗi SV có nhiệm vụ phụ và minh chứng cá nhân.</v>
      </c>
      <c r="I339" t="s">
        <v>36</v>
      </c>
      <c r="J339" t="s">
        <v>728</v>
      </c>
      <c r="K339" t="str">
        <f>IF(I339="Trung bình",'Huong dan giao do an'!$B$8,IF(I339="Khá",'Huong dan giao do an'!$B$9,'Huong dan giao do an'!$B$10))</f>
        <v>Tối thiểu 3 actor; 8-10 use case; 6-8 bảng dữ liệu; 2 quy trình lõi; đăng nhập/RBAC; 1 dashboard; 1 báo cáo; &gt;=25 test case; triển khai bản demo.</v>
      </c>
      <c r="L339" t="str">
        <f>'Huong dan giao do an'!$B$31</f>
        <v>Bắt buộc: Charter/PMP; SRS + scope/WBS; Gantt/baseline; effort-cost budget; RACI/timesheet; quality-test-defect; communication/minutes; risk register; procurement; change log; closure/lessons learned.</v>
      </c>
      <c r="M339" t="str">
        <f>'Huong dan giao do an'!$B$33</f>
        <v>Tuần 1: 07.09–13.09.2026; Tuần 2: 14.09–20.09.2026; Tuần 3: 21.09–27.09.2026; Tuần 4: 28.09–04.10.2026; Tuần 5: 05.10–11.10.2026; Tuần 6: 12.10–18.10.2026; Tuần 7: 19.10–25.10.2026; Tuần 8: 26.10–01.11.2026.</v>
      </c>
      <c r="N3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 s="17" t="str">
        <f t="shared" si="5"/>
        <v>Còn trống</v>
      </c>
    </row>
    <row r="340" spans="1:16" x14ac:dyDescent="0.3">
      <c r="A340">
        <v>339</v>
      </c>
      <c r="B340" t="s">
        <v>713</v>
      </c>
      <c r="C340" t="s">
        <v>818</v>
      </c>
      <c r="D340" t="s">
        <v>819</v>
      </c>
      <c r="E340" t="s">
        <v>26</v>
      </c>
      <c r="F340" t="s">
        <v>731</v>
      </c>
      <c r="G340" t="s">
        <v>778</v>
      </c>
      <c r="H340" t="str">
        <f>'Huong dan giao do an'!$B$14</f>
        <v>5 SV (vai trò chính): 1 PM/Scrum Master kiêm Integration; 2 BA/PO; 3 UI-UX + Frontend; 4 Backend/API + DevOps; 5 Database + QA/Tester. Mỗi SV có nhiệm vụ phụ và minh chứng cá nhân.</v>
      </c>
      <c r="I340" t="s">
        <v>22</v>
      </c>
      <c r="J340" t="s">
        <v>718</v>
      </c>
      <c r="K340" t="str">
        <f>IF(I340="Trung bình",'Huong dan giao do an'!$B$8,IF(I340="Khá",'Huong dan giao do an'!$B$9,'Huong dan giao do an'!$B$10))</f>
        <v>Tối thiểu 4 actor; 10-14 use case; 8-12 bảng; 3 quy trình lõi; phân quyền chi tiết; 2 báo cáo; tích hợp 1 dịch vụ; &gt;=35 test case; CI/CD hoặc deploy cloud.</v>
      </c>
      <c r="L340" t="str">
        <f>'Huong dan giao do an'!$B$31</f>
        <v>Bắt buộc: Charter/PMP; SRS + scope/WBS; Gantt/baseline; effort-cost budget; RACI/timesheet; quality-test-defect; communication/minutes; risk register; procurement; change log; closure/lessons learned.</v>
      </c>
      <c r="M340" t="str">
        <f>'Huong dan giao do an'!$B$33</f>
        <v>Tuần 1: 07.09–13.09.2026; Tuần 2: 14.09–20.09.2026; Tuần 3: 21.09–27.09.2026; Tuần 4: 28.09–04.10.2026; Tuần 5: 05.10–11.10.2026; Tuần 6: 12.10–18.10.2026; Tuần 7: 19.10–25.10.2026; Tuần 8: 26.10–01.11.2026.</v>
      </c>
      <c r="N3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 s="17" t="str">
        <f t="shared" si="5"/>
        <v>Còn trống</v>
      </c>
    </row>
    <row r="341" spans="1:16" x14ac:dyDescent="0.3">
      <c r="A341">
        <v>340</v>
      </c>
      <c r="B341" t="s">
        <v>713</v>
      </c>
      <c r="C341" t="s">
        <v>820</v>
      </c>
      <c r="D341" t="s">
        <v>821</v>
      </c>
      <c r="E341" t="s">
        <v>33</v>
      </c>
      <c r="F341" t="s">
        <v>735</v>
      </c>
      <c r="G341" t="s">
        <v>781</v>
      </c>
      <c r="H341" t="str">
        <f>'Huong dan giao do an'!$B$14</f>
        <v>5 SV (vai trò chính): 1 PM/Scrum Master kiêm Integration; 2 BA/PO; 3 UI-UX + Frontend; 4 Backend/API + DevOps; 5 Database + QA/Tester. Mỗi SV có nhiệm vụ phụ và minh chứng cá nhân.</v>
      </c>
      <c r="I341" t="s">
        <v>29</v>
      </c>
      <c r="J341" t="s">
        <v>723</v>
      </c>
      <c r="K341" t="str">
        <f>IF(I341="Trung bình",'Huong dan giao do an'!$B$8,IF(I341="Khá",'Huong dan giao do an'!$B$9,'Huong dan giao do an'!$B$10))</f>
        <v>Tối thiểu 5 actor; 14-18 use case; 10-15 bảng; 4 quy trình; tích hợp ngoài/realtime hoặc xử lý nâng cao; 3 báo cáo; &gt;=45 test case; logging, backup và deploy.</v>
      </c>
      <c r="L341" t="str">
        <f>'Huong dan giao do an'!$B$31</f>
        <v>Bắt buộc: Charter/PMP; SRS + scope/WBS; Gantt/baseline; effort-cost budget; RACI/timesheet; quality-test-defect; communication/minutes; risk register; procurement; change log; closure/lessons learned.</v>
      </c>
      <c r="M341" t="str">
        <f>'Huong dan giao do an'!$B$33</f>
        <v>Tuần 1: 07.09–13.09.2026; Tuần 2: 14.09–20.09.2026; Tuần 3: 21.09–27.09.2026; Tuần 4: 28.09–04.10.2026; Tuần 5: 05.10–11.10.2026; Tuần 6: 12.10–18.10.2026; Tuần 7: 19.10–25.10.2026; Tuần 8: 26.10–01.11.2026.</v>
      </c>
      <c r="N3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 s="17" t="str">
        <f t="shared" si="5"/>
        <v>Còn trống</v>
      </c>
    </row>
    <row r="342" spans="1:16" x14ac:dyDescent="0.3">
      <c r="A342">
        <v>341</v>
      </c>
      <c r="B342" t="s">
        <v>713</v>
      </c>
      <c r="C342" t="s">
        <v>822</v>
      </c>
      <c r="D342" t="s">
        <v>823</v>
      </c>
      <c r="E342" t="s">
        <v>40</v>
      </c>
      <c r="F342" t="s">
        <v>716</v>
      </c>
      <c r="G342" t="s">
        <v>717</v>
      </c>
      <c r="H342" t="str">
        <f>'Huong dan giao do an'!$B$14</f>
        <v>5 SV (vai trò chính): 1 PM/Scrum Master kiêm Integration; 2 BA/PO; 3 UI-UX + Frontend; 4 Backend/API + DevOps; 5 Database + QA/Tester. Mỗi SV có nhiệm vụ phụ và minh chứng cá nhân.</v>
      </c>
      <c r="I342" t="s">
        <v>22</v>
      </c>
      <c r="J342" t="s">
        <v>718</v>
      </c>
      <c r="K342" t="str">
        <f>IF(I342="Trung bình",'Huong dan giao do an'!$B$8,IF(I342="Khá",'Huong dan giao do an'!$B$9,'Huong dan giao do an'!$B$10))</f>
        <v>Tối thiểu 4 actor; 10-14 use case; 8-12 bảng; 3 quy trình lõi; phân quyền chi tiết; 2 báo cáo; tích hợp 1 dịch vụ; &gt;=35 test case; CI/CD hoặc deploy cloud.</v>
      </c>
      <c r="L342" t="str">
        <f>'Huong dan giao do an'!$B$31</f>
        <v>Bắt buộc: Charter/PMP; SRS + scope/WBS; Gantt/baseline; effort-cost budget; RACI/timesheet; quality-test-defect; communication/minutes; risk register; procurement; change log; closure/lessons learned.</v>
      </c>
      <c r="M342" t="str">
        <f>'Huong dan giao do an'!$B$33</f>
        <v>Tuần 1: 07.09–13.09.2026; Tuần 2: 14.09–20.09.2026; Tuần 3: 21.09–27.09.2026; Tuần 4: 28.09–04.10.2026; Tuần 5: 05.10–11.10.2026; Tuần 6: 12.10–18.10.2026; Tuần 7: 19.10–25.10.2026; Tuần 8: 26.10–01.11.2026.</v>
      </c>
      <c r="N3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 s="17" t="str">
        <f t="shared" si="5"/>
        <v>Còn trống</v>
      </c>
    </row>
    <row r="343" spans="1:16" x14ac:dyDescent="0.3">
      <c r="A343">
        <v>342</v>
      </c>
      <c r="B343" t="s">
        <v>713</v>
      </c>
      <c r="C343" t="s">
        <v>824</v>
      </c>
      <c r="D343" t="s">
        <v>825</v>
      </c>
      <c r="E343" t="s">
        <v>45</v>
      </c>
      <c r="F343" t="s">
        <v>721</v>
      </c>
      <c r="G343" t="s">
        <v>722</v>
      </c>
      <c r="H343" t="str">
        <f>'Huong dan giao do an'!$B$14</f>
        <v>5 SV (vai trò chính): 1 PM/Scrum Master kiêm Integration; 2 BA/PO; 3 UI-UX + Frontend; 4 Backend/API + DevOps; 5 Database + QA/Tester. Mỗi SV có nhiệm vụ phụ và minh chứng cá nhân.</v>
      </c>
      <c r="I343" t="s">
        <v>29</v>
      </c>
      <c r="J343" t="s">
        <v>723</v>
      </c>
      <c r="K343" t="str">
        <f>IF(I343="Trung bình",'Huong dan giao do an'!$B$8,IF(I343="Khá",'Huong dan giao do an'!$B$9,'Huong dan giao do an'!$B$10))</f>
        <v>Tối thiểu 5 actor; 14-18 use case; 10-15 bảng; 4 quy trình; tích hợp ngoài/realtime hoặc xử lý nâng cao; 3 báo cáo; &gt;=45 test case; logging, backup và deploy.</v>
      </c>
      <c r="L343" t="str">
        <f>'Huong dan giao do an'!$B$31</f>
        <v>Bắt buộc: Charter/PMP; SRS + scope/WBS; Gantt/baseline; effort-cost budget; RACI/timesheet; quality-test-defect; communication/minutes; risk register; procurement; change log; closure/lessons learned.</v>
      </c>
      <c r="M343" t="str">
        <f>'Huong dan giao do an'!$B$33</f>
        <v>Tuần 1: 07.09–13.09.2026; Tuần 2: 14.09–20.09.2026; Tuần 3: 21.09–27.09.2026; Tuần 4: 28.09–04.10.2026; Tuần 5: 05.10–11.10.2026; Tuần 6: 12.10–18.10.2026; Tuần 7: 19.10–25.10.2026; Tuần 8: 26.10–01.11.2026.</v>
      </c>
      <c r="N3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 s="17" t="str">
        <f t="shared" si="5"/>
        <v>Còn trống</v>
      </c>
    </row>
    <row r="344" spans="1:16" x14ac:dyDescent="0.3">
      <c r="A344">
        <v>343</v>
      </c>
      <c r="B344" t="s">
        <v>713</v>
      </c>
      <c r="C344" t="s">
        <v>826</v>
      </c>
      <c r="D344" t="s">
        <v>827</v>
      </c>
      <c r="E344" t="s">
        <v>19</v>
      </c>
      <c r="F344" t="s">
        <v>726</v>
      </c>
      <c r="G344" t="s">
        <v>727</v>
      </c>
      <c r="H344" t="str">
        <f>'Huong dan giao do an'!$B$14</f>
        <v>5 SV (vai trò chính): 1 PM/Scrum Master kiêm Integration; 2 BA/PO; 3 UI-UX + Frontend; 4 Backend/API + DevOps; 5 Database + QA/Tester. Mỗi SV có nhiệm vụ phụ và minh chứng cá nhân.</v>
      </c>
      <c r="I344" t="s">
        <v>36</v>
      </c>
      <c r="J344" t="s">
        <v>728</v>
      </c>
      <c r="K344" t="str">
        <f>IF(I344="Trung bình",'Huong dan giao do an'!$B$8,IF(I344="Khá",'Huong dan giao do an'!$B$9,'Huong dan giao do an'!$B$10))</f>
        <v>Tối thiểu 3 actor; 8-10 use case; 6-8 bảng dữ liệu; 2 quy trình lõi; đăng nhập/RBAC; 1 dashboard; 1 báo cáo; &gt;=25 test case; triển khai bản demo.</v>
      </c>
      <c r="L344" t="str">
        <f>'Huong dan giao do an'!$B$31</f>
        <v>Bắt buộc: Charter/PMP; SRS + scope/WBS; Gantt/baseline; effort-cost budget; RACI/timesheet; quality-test-defect; communication/minutes; risk register; procurement; change log; closure/lessons learned.</v>
      </c>
      <c r="M344" t="str">
        <f>'Huong dan giao do an'!$B$33</f>
        <v>Tuần 1: 07.09–13.09.2026; Tuần 2: 14.09–20.09.2026; Tuần 3: 21.09–27.09.2026; Tuần 4: 28.09–04.10.2026; Tuần 5: 05.10–11.10.2026; Tuần 6: 12.10–18.10.2026; Tuần 7: 19.10–25.10.2026; Tuần 8: 26.10–01.11.2026.</v>
      </c>
      <c r="N3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 s="17" t="str">
        <f t="shared" si="5"/>
        <v>Còn trống</v>
      </c>
    </row>
    <row r="345" spans="1:16" x14ac:dyDescent="0.3">
      <c r="A345">
        <v>344</v>
      </c>
      <c r="B345" t="s">
        <v>713</v>
      </c>
      <c r="C345" t="s">
        <v>828</v>
      </c>
      <c r="D345" t="s">
        <v>829</v>
      </c>
      <c r="E345" t="s">
        <v>26</v>
      </c>
      <c r="F345" t="s">
        <v>731</v>
      </c>
      <c r="G345" t="s">
        <v>732</v>
      </c>
      <c r="H345" t="str">
        <f>'Huong dan giao do an'!$B$14</f>
        <v>5 SV (vai trò chính): 1 PM/Scrum Master kiêm Integration; 2 BA/PO; 3 UI-UX + Frontend; 4 Backend/API + DevOps; 5 Database + QA/Tester. Mỗi SV có nhiệm vụ phụ và minh chứng cá nhân.</v>
      </c>
      <c r="I345" t="s">
        <v>22</v>
      </c>
      <c r="J345" t="s">
        <v>718</v>
      </c>
      <c r="K345" t="str">
        <f>IF(I345="Trung bình",'Huong dan giao do an'!$B$8,IF(I345="Khá",'Huong dan giao do an'!$B$9,'Huong dan giao do an'!$B$10))</f>
        <v>Tối thiểu 4 actor; 10-14 use case; 8-12 bảng; 3 quy trình lõi; phân quyền chi tiết; 2 báo cáo; tích hợp 1 dịch vụ; &gt;=35 test case; CI/CD hoặc deploy cloud.</v>
      </c>
      <c r="L345" t="str">
        <f>'Huong dan giao do an'!$B$31</f>
        <v>Bắt buộc: Charter/PMP; SRS + scope/WBS; Gantt/baseline; effort-cost budget; RACI/timesheet; quality-test-defect; communication/minutes; risk register; procurement; change log; closure/lessons learned.</v>
      </c>
      <c r="M345" t="str">
        <f>'Huong dan giao do an'!$B$33</f>
        <v>Tuần 1: 07.09–13.09.2026; Tuần 2: 14.09–20.09.2026; Tuần 3: 21.09–27.09.2026; Tuần 4: 28.09–04.10.2026; Tuần 5: 05.10–11.10.2026; Tuần 6: 12.10–18.10.2026; Tuần 7: 19.10–25.10.2026; Tuần 8: 26.10–01.11.2026.</v>
      </c>
      <c r="N3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 s="17" t="str">
        <f t="shared" si="5"/>
        <v>Còn trống</v>
      </c>
    </row>
    <row r="346" spans="1:16" x14ac:dyDescent="0.3">
      <c r="A346">
        <v>345</v>
      </c>
      <c r="B346" t="s">
        <v>713</v>
      </c>
      <c r="C346" t="s">
        <v>830</v>
      </c>
      <c r="D346" t="s">
        <v>831</v>
      </c>
      <c r="E346" t="s">
        <v>33</v>
      </c>
      <c r="F346" t="s">
        <v>735</v>
      </c>
      <c r="G346" t="s">
        <v>736</v>
      </c>
      <c r="H346" t="str">
        <f>'Huong dan giao do an'!$B$14</f>
        <v>5 SV (vai trò chính): 1 PM/Scrum Master kiêm Integration; 2 BA/PO; 3 UI-UX + Frontend; 4 Backend/API + DevOps; 5 Database + QA/Tester. Mỗi SV có nhiệm vụ phụ và minh chứng cá nhân.</v>
      </c>
      <c r="I346" t="s">
        <v>29</v>
      </c>
      <c r="J346" t="s">
        <v>723</v>
      </c>
      <c r="K346" t="str">
        <f>IF(I346="Trung bình",'Huong dan giao do an'!$B$8,IF(I346="Khá",'Huong dan giao do an'!$B$9,'Huong dan giao do an'!$B$10))</f>
        <v>Tối thiểu 5 actor; 14-18 use case; 10-15 bảng; 4 quy trình; tích hợp ngoài/realtime hoặc xử lý nâng cao; 3 báo cáo; &gt;=45 test case; logging, backup và deploy.</v>
      </c>
      <c r="L346" t="str">
        <f>'Huong dan giao do an'!$B$31</f>
        <v>Bắt buộc: Charter/PMP; SRS + scope/WBS; Gantt/baseline; effort-cost budget; RACI/timesheet; quality-test-defect; communication/minutes; risk register; procurement; change log; closure/lessons learned.</v>
      </c>
      <c r="M346" t="str">
        <f>'Huong dan giao do an'!$B$33</f>
        <v>Tuần 1: 07.09–13.09.2026; Tuần 2: 14.09–20.09.2026; Tuần 3: 21.09–27.09.2026; Tuần 4: 28.09–04.10.2026; Tuần 5: 05.10–11.10.2026; Tuần 6: 12.10–18.10.2026; Tuần 7: 19.10–25.10.2026; Tuần 8: 26.10–01.11.2026.</v>
      </c>
      <c r="N3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 s="17" t="str">
        <f t="shared" si="5"/>
        <v>Còn trống</v>
      </c>
    </row>
    <row r="347" spans="1:16" x14ac:dyDescent="0.3">
      <c r="A347">
        <v>346</v>
      </c>
      <c r="B347" t="s">
        <v>713</v>
      </c>
      <c r="C347" t="s">
        <v>832</v>
      </c>
      <c r="D347" t="s">
        <v>833</v>
      </c>
      <c r="E347" t="s">
        <v>40</v>
      </c>
      <c r="F347" t="s">
        <v>716</v>
      </c>
      <c r="G347" t="s">
        <v>739</v>
      </c>
      <c r="H347" t="str">
        <f>'Huong dan giao do an'!$B$14</f>
        <v>5 SV (vai trò chính): 1 PM/Scrum Master kiêm Integration; 2 BA/PO; 3 UI-UX + Frontend; 4 Backend/API + DevOps; 5 Database + QA/Tester. Mỗi SV có nhiệm vụ phụ và minh chứng cá nhân.</v>
      </c>
      <c r="I347" t="s">
        <v>36</v>
      </c>
      <c r="J347" t="s">
        <v>728</v>
      </c>
      <c r="K347" t="str">
        <f>IF(I347="Trung bình",'Huong dan giao do an'!$B$8,IF(I347="Khá",'Huong dan giao do an'!$B$9,'Huong dan giao do an'!$B$10))</f>
        <v>Tối thiểu 3 actor; 8-10 use case; 6-8 bảng dữ liệu; 2 quy trình lõi; đăng nhập/RBAC; 1 dashboard; 1 báo cáo; &gt;=25 test case; triển khai bản demo.</v>
      </c>
      <c r="L347" t="str">
        <f>'Huong dan giao do an'!$B$31</f>
        <v>Bắt buộc: Charter/PMP; SRS + scope/WBS; Gantt/baseline; effort-cost budget; RACI/timesheet; quality-test-defect; communication/minutes; risk register; procurement; change log; closure/lessons learned.</v>
      </c>
      <c r="M347" t="str">
        <f>'Huong dan giao do an'!$B$33</f>
        <v>Tuần 1: 07.09–13.09.2026; Tuần 2: 14.09–20.09.2026; Tuần 3: 21.09–27.09.2026; Tuần 4: 28.09–04.10.2026; Tuần 5: 05.10–11.10.2026; Tuần 6: 12.10–18.10.2026; Tuần 7: 19.10–25.10.2026; Tuần 8: 26.10–01.11.2026.</v>
      </c>
      <c r="N3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 s="17" t="str">
        <f t="shared" si="5"/>
        <v>Còn trống</v>
      </c>
    </row>
    <row r="348" spans="1:16" x14ac:dyDescent="0.3">
      <c r="A348">
        <v>347</v>
      </c>
      <c r="B348" t="s">
        <v>713</v>
      </c>
      <c r="C348" t="s">
        <v>834</v>
      </c>
      <c r="D348" t="s">
        <v>835</v>
      </c>
      <c r="E348" t="s">
        <v>45</v>
      </c>
      <c r="F348" t="s">
        <v>721</v>
      </c>
      <c r="G348" t="s">
        <v>742</v>
      </c>
      <c r="H348" t="str">
        <f>'Huong dan giao do an'!$B$14</f>
        <v>5 SV (vai trò chính): 1 PM/Scrum Master kiêm Integration; 2 BA/PO; 3 UI-UX + Frontend; 4 Backend/API + DevOps; 5 Database + QA/Tester. Mỗi SV có nhiệm vụ phụ và minh chứng cá nhân.</v>
      </c>
      <c r="I348" t="s">
        <v>22</v>
      </c>
      <c r="J348" t="s">
        <v>718</v>
      </c>
      <c r="K348" t="str">
        <f>IF(I348="Trung bình",'Huong dan giao do an'!$B$8,IF(I348="Khá",'Huong dan giao do an'!$B$9,'Huong dan giao do an'!$B$10))</f>
        <v>Tối thiểu 4 actor; 10-14 use case; 8-12 bảng; 3 quy trình lõi; phân quyền chi tiết; 2 báo cáo; tích hợp 1 dịch vụ; &gt;=35 test case; CI/CD hoặc deploy cloud.</v>
      </c>
      <c r="L348" t="str">
        <f>'Huong dan giao do an'!$B$31</f>
        <v>Bắt buộc: Charter/PMP; SRS + scope/WBS; Gantt/baseline; effort-cost budget; RACI/timesheet; quality-test-defect; communication/minutes; risk register; procurement; change log; closure/lessons learned.</v>
      </c>
      <c r="M348" t="str">
        <f>'Huong dan giao do an'!$B$33</f>
        <v>Tuần 1: 07.09–13.09.2026; Tuần 2: 14.09–20.09.2026; Tuần 3: 21.09–27.09.2026; Tuần 4: 28.09–04.10.2026; Tuần 5: 05.10–11.10.2026; Tuần 6: 12.10–18.10.2026; Tuần 7: 19.10–25.10.2026; Tuần 8: 26.10–01.11.2026.</v>
      </c>
      <c r="N3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 s="17" t="str">
        <f t="shared" si="5"/>
        <v>Còn trống</v>
      </c>
    </row>
    <row r="349" spans="1:16" x14ac:dyDescent="0.3">
      <c r="A349">
        <v>348</v>
      </c>
      <c r="B349" t="s">
        <v>713</v>
      </c>
      <c r="C349" t="s">
        <v>836</v>
      </c>
      <c r="D349" t="s">
        <v>837</v>
      </c>
      <c r="E349" t="s">
        <v>19</v>
      </c>
      <c r="F349" t="s">
        <v>726</v>
      </c>
      <c r="G349" t="s">
        <v>745</v>
      </c>
      <c r="H349" t="str">
        <f>'Huong dan giao do an'!$B$14</f>
        <v>5 SV (vai trò chính): 1 PM/Scrum Master kiêm Integration; 2 BA/PO; 3 UI-UX + Frontend; 4 Backend/API + DevOps; 5 Database + QA/Tester. Mỗi SV có nhiệm vụ phụ và minh chứng cá nhân.</v>
      </c>
      <c r="I349" t="s">
        <v>29</v>
      </c>
      <c r="J349" t="s">
        <v>723</v>
      </c>
      <c r="K349" t="str">
        <f>IF(I349="Trung bình",'Huong dan giao do an'!$B$8,IF(I349="Khá",'Huong dan giao do an'!$B$9,'Huong dan giao do an'!$B$10))</f>
        <v>Tối thiểu 5 actor; 14-18 use case; 10-15 bảng; 4 quy trình; tích hợp ngoài/realtime hoặc xử lý nâng cao; 3 báo cáo; &gt;=45 test case; logging, backup và deploy.</v>
      </c>
      <c r="L349" t="str">
        <f>'Huong dan giao do an'!$B$31</f>
        <v>Bắt buộc: Charter/PMP; SRS + scope/WBS; Gantt/baseline; effort-cost budget; RACI/timesheet; quality-test-defect; communication/minutes; risk register; procurement; change log; closure/lessons learned.</v>
      </c>
      <c r="M349" t="str">
        <f>'Huong dan giao do an'!$B$33</f>
        <v>Tuần 1: 07.09–13.09.2026; Tuần 2: 14.09–20.09.2026; Tuần 3: 21.09–27.09.2026; Tuần 4: 28.09–04.10.2026; Tuần 5: 05.10–11.10.2026; Tuần 6: 12.10–18.10.2026; Tuần 7: 19.10–25.10.2026; Tuần 8: 26.10–01.11.2026.</v>
      </c>
      <c r="N3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 s="17" t="str">
        <f t="shared" si="5"/>
        <v>Còn trống</v>
      </c>
    </row>
    <row r="350" spans="1:16" x14ac:dyDescent="0.3">
      <c r="A350">
        <v>349</v>
      </c>
      <c r="B350" t="s">
        <v>713</v>
      </c>
      <c r="C350" t="s">
        <v>838</v>
      </c>
      <c r="D350" t="s">
        <v>839</v>
      </c>
      <c r="E350" t="s">
        <v>26</v>
      </c>
      <c r="F350" t="s">
        <v>731</v>
      </c>
      <c r="G350" t="s">
        <v>748</v>
      </c>
      <c r="H350" t="str">
        <f>'Huong dan giao do an'!$B$14</f>
        <v>5 SV (vai trò chính): 1 PM/Scrum Master kiêm Integration; 2 BA/PO; 3 UI-UX + Frontend; 4 Backend/API + DevOps; 5 Database + QA/Tester. Mỗi SV có nhiệm vụ phụ và minh chứng cá nhân.</v>
      </c>
      <c r="I350" t="s">
        <v>36</v>
      </c>
      <c r="J350" t="s">
        <v>728</v>
      </c>
      <c r="K350" t="str">
        <f>IF(I350="Trung bình",'Huong dan giao do an'!$B$8,IF(I350="Khá",'Huong dan giao do an'!$B$9,'Huong dan giao do an'!$B$10))</f>
        <v>Tối thiểu 3 actor; 8-10 use case; 6-8 bảng dữ liệu; 2 quy trình lõi; đăng nhập/RBAC; 1 dashboard; 1 báo cáo; &gt;=25 test case; triển khai bản demo.</v>
      </c>
      <c r="L350" t="str">
        <f>'Huong dan giao do an'!$B$31</f>
        <v>Bắt buộc: Charter/PMP; SRS + scope/WBS; Gantt/baseline; effort-cost budget; RACI/timesheet; quality-test-defect; communication/minutes; risk register; procurement; change log; closure/lessons learned.</v>
      </c>
      <c r="M350" t="str">
        <f>'Huong dan giao do an'!$B$33</f>
        <v>Tuần 1: 07.09–13.09.2026; Tuần 2: 14.09–20.09.2026; Tuần 3: 21.09–27.09.2026; Tuần 4: 28.09–04.10.2026; Tuần 5: 05.10–11.10.2026; Tuần 6: 12.10–18.10.2026; Tuần 7: 19.10–25.10.2026; Tuần 8: 26.10–01.11.2026.</v>
      </c>
      <c r="N3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0" s="17" t="str">
        <f t="shared" si="5"/>
        <v>Còn trống</v>
      </c>
    </row>
    <row r="351" spans="1:16" x14ac:dyDescent="0.3">
      <c r="A351">
        <v>350</v>
      </c>
      <c r="B351" t="s">
        <v>713</v>
      </c>
      <c r="C351" t="s">
        <v>840</v>
      </c>
      <c r="D351" t="s">
        <v>841</v>
      </c>
      <c r="E351" t="s">
        <v>33</v>
      </c>
      <c r="F351" t="s">
        <v>735</v>
      </c>
      <c r="G351" t="s">
        <v>751</v>
      </c>
      <c r="H351" t="str">
        <f>'Huong dan giao do an'!$B$14</f>
        <v>5 SV (vai trò chính): 1 PM/Scrum Master kiêm Integration; 2 BA/PO; 3 UI-UX + Frontend; 4 Backend/API + DevOps; 5 Database + QA/Tester. Mỗi SV có nhiệm vụ phụ và minh chứng cá nhân.</v>
      </c>
      <c r="I351" t="s">
        <v>22</v>
      </c>
      <c r="J351" t="s">
        <v>718</v>
      </c>
      <c r="K351" t="str">
        <f>IF(I351="Trung bình",'Huong dan giao do an'!$B$8,IF(I351="Khá",'Huong dan giao do an'!$B$9,'Huong dan giao do an'!$B$10))</f>
        <v>Tối thiểu 4 actor; 10-14 use case; 8-12 bảng; 3 quy trình lõi; phân quyền chi tiết; 2 báo cáo; tích hợp 1 dịch vụ; &gt;=35 test case; CI/CD hoặc deploy cloud.</v>
      </c>
      <c r="L351" t="str">
        <f>'Huong dan giao do an'!$B$31</f>
        <v>Bắt buộc: Charter/PMP; SRS + scope/WBS; Gantt/baseline; effort-cost budget; RACI/timesheet; quality-test-defect; communication/minutes; risk register; procurement; change log; closure/lessons learned.</v>
      </c>
      <c r="M351" t="str">
        <f>'Huong dan giao do an'!$B$33</f>
        <v>Tuần 1: 07.09–13.09.2026; Tuần 2: 14.09–20.09.2026; Tuần 3: 21.09–27.09.2026; Tuần 4: 28.09–04.10.2026; Tuần 5: 05.10–11.10.2026; Tuần 6: 12.10–18.10.2026; Tuần 7: 19.10–25.10.2026; Tuần 8: 26.10–01.11.2026.</v>
      </c>
      <c r="N3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1" s="17" t="str">
        <f t="shared" si="5"/>
        <v>Còn trống</v>
      </c>
    </row>
    <row r="352" spans="1:16" x14ac:dyDescent="0.3">
      <c r="A352">
        <v>351</v>
      </c>
      <c r="B352" t="s">
        <v>713</v>
      </c>
      <c r="C352" t="s">
        <v>842</v>
      </c>
      <c r="D352" t="s">
        <v>843</v>
      </c>
      <c r="E352" t="s">
        <v>40</v>
      </c>
      <c r="F352" t="s">
        <v>716</v>
      </c>
      <c r="G352" t="s">
        <v>754</v>
      </c>
      <c r="H352" t="str">
        <f>'Huong dan giao do an'!$B$14</f>
        <v>5 SV (vai trò chính): 1 PM/Scrum Master kiêm Integration; 2 BA/PO; 3 UI-UX + Frontend; 4 Backend/API + DevOps; 5 Database + QA/Tester. Mỗi SV có nhiệm vụ phụ và minh chứng cá nhân.</v>
      </c>
      <c r="I352" t="s">
        <v>29</v>
      </c>
      <c r="J352" t="s">
        <v>723</v>
      </c>
      <c r="K352" t="str">
        <f>IF(I352="Trung bình",'Huong dan giao do an'!$B$8,IF(I352="Khá",'Huong dan giao do an'!$B$9,'Huong dan giao do an'!$B$10))</f>
        <v>Tối thiểu 5 actor; 14-18 use case; 10-15 bảng; 4 quy trình; tích hợp ngoài/realtime hoặc xử lý nâng cao; 3 báo cáo; &gt;=45 test case; logging, backup và deploy.</v>
      </c>
      <c r="L352" t="str">
        <f>'Huong dan giao do an'!$B$31</f>
        <v>Bắt buộc: Charter/PMP; SRS + scope/WBS; Gantt/baseline; effort-cost budget; RACI/timesheet; quality-test-defect; communication/minutes; risk register; procurement; change log; closure/lessons learned.</v>
      </c>
      <c r="M352" t="str">
        <f>'Huong dan giao do an'!$B$33</f>
        <v>Tuần 1: 07.09–13.09.2026; Tuần 2: 14.09–20.09.2026; Tuần 3: 21.09–27.09.2026; Tuần 4: 28.09–04.10.2026; Tuần 5: 05.10–11.10.2026; Tuần 6: 12.10–18.10.2026; Tuần 7: 19.10–25.10.2026; Tuần 8: 26.10–01.11.2026.</v>
      </c>
      <c r="N3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2" s="17" t="str">
        <f t="shared" si="5"/>
        <v>Còn trống</v>
      </c>
    </row>
    <row r="353" spans="1:16" x14ac:dyDescent="0.3">
      <c r="A353">
        <v>352</v>
      </c>
      <c r="B353" t="s">
        <v>713</v>
      </c>
      <c r="C353" t="s">
        <v>844</v>
      </c>
      <c r="D353" t="s">
        <v>845</v>
      </c>
      <c r="E353" t="s">
        <v>45</v>
      </c>
      <c r="F353" t="s">
        <v>721</v>
      </c>
      <c r="G353" t="s">
        <v>757</v>
      </c>
      <c r="H353" t="str">
        <f>'Huong dan giao do an'!$B$14</f>
        <v>5 SV (vai trò chính): 1 PM/Scrum Master kiêm Integration; 2 BA/PO; 3 UI-UX + Frontend; 4 Backend/API + DevOps; 5 Database + QA/Tester. Mỗi SV có nhiệm vụ phụ và minh chứng cá nhân.</v>
      </c>
      <c r="I353" t="s">
        <v>36</v>
      </c>
      <c r="J353" t="s">
        <v>728</v>
      </c>
      <c r="K353" t="str">
        <f>IF(I353="Trung bình",'Huong dan giao do an'!$B$8,IF(I353="Khá",'Huong dan giao do an'!$B$9,'Huong dan giao do an'!$B$10))</f>
        <v>Tối thiểu 3 actor; 8-10 use case; 6-8 bảng dữ liệu; 2 quy trình lõi; đăng nhập/RBAC; 1 dashboard; 1 báo cáo; &gt;=25 test case; triển khai bản demo.</v>
      </c>
      <c r="L353" t="str">
        <f>'Huong dan giao do an'!$B$31</f>
        <v>Bắt buộc: Charter/PMP; SRS + scope/WBS; Gantt/baseline; effort-cost budget; RACI/timesheet; quality-test-defect; communication/minutes; risk register; procurement; change log; closure/lessons learned.</v>
      </c>
      <c r="M353" t="str">
        <f>'Huong dan giao do an'!$B$33</f>
        <v>Tuần 1: 07.09–13.09.2026; Tuần 2: 14.09–20.09.2026; Tuần 3: 21.09–27.09.2026; Tuần 4: 28.09–04.10.2026; Tuần 5: 05.10–11.10.2026; Tuần 6: 12.10–18.10.2026; Tuần 7: 19.10–25.10.2026; Tuần 8: 26.10–01.11.2026.</v>
      </c>
      <c r="N3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3" s="17" t="str">
        <f t="shared" si="5"/>
        <v>Còn trống</v>
      </c>
    </row>
    <row r="354" spans="1:16" x14ac:dyDescent="0.3">
      <c r="A354">
        <v>353</v>
      </c>
      <c r="B354" t="s">
        <v>713</v>
      </c>
      <c r="C354" t="s">
        <v>846</v>
      </c>
      <c r="D354" t="s">
        <v>847</v>
      </c>
      <c r="E354" t="s">
        <v>19</v>
      </c>
      <c r="F354" t="s">
        <v>726</v>
      </c>
      <c r="G354" t="s">
        <v>760</v>
      </c>
      <c r="H354" t="str">
        <f>'Huong dan giao do an'!$B$14</f>
        <v>5 SV (vai trò chính): 1 PM/Scrum Master kiêm Integration; 2 BA/PO; 3 UI-UX + Frontend; 4 Backend/API + DevOps; 5 Database + QA/Tester. Mỗi SV có nhiệm vụ phụ và minh chứng cá nhân.</v>
      </c>
      <c r="I354" t="s">
        <v>22</v>
      </c>
      <c r="J354" t="s">
        <v>718</v>
      </c>
      <c r="K354" t="str">
        <f>IF(I354="Trung bình",'Huong dan giao do an'!$B$8,IF(I354="Khá",'Huong dan giao do an'!$B$9,'Huong dan giao do an'!$B$10))</f>
        <v>Tối thiểu 4 actor; 10-14 use case; 8-12 bảng; 3 quy trình lõi; phân quyền chi tiết; 2 báo cáo; tích hợp 1 dịch vụ; &gt;=35 test case; CI/CD hoặc deploy cloud.</v>
      </c>
      <c r="L354" t="str">
        <f>'Huong dan giao do an'!$B$31</f>
        <v>Bắt buộc: Charter/PMP; SRS + scope/WBS; Gantt/baseline; effort-cost budget; RACI/timesheet; quality-test-defect; communication/minutes; risk register; procurement; change log; closure/lessons learned.</v>
      </c>
      <c r="M354" t="str">
        <f>'Huong dan giao do an'!$B$33</f>
        <v>Tuần 1: 07.09–13.09.2026; Tuần 2: 14.09–20.09.2026; Tuần 3: 21.09–27.09.2026; Tuần 4: 28.09–04.10.2026; Tuần 5: 05.10–11.10.2026; Tuần 6: 12.10–18.10.2026; Tuần 7: 19.10–25.10.2026; Tuần 8: 26.10–01.11.2026.</v>
      </c>
      <c r="N3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4" s="17" t="str">
        <f t="shared" si="5"/>
        <v>Còn trống</v>
      </c>
    </row>
    <row r="355" spans="1:16" x14ac:dyDescent="0.3">
      <c r="A355">
        <v>354</v>
      </c>
      <c r="B355" t="s">
        <v>713</v>
      </c>
      <c r="C355" t="s">
        <v>848</v>
      </c>
      <c r="D355" t="s">
        <v>849</v>
      </c>
      <c r="E355" t="s">
        <v>26</v>
      </c>
      <c r="F355" t="s">
        <v>731</v>
      </c>
      <c r="G355" t="s">
        <v>763</v>
      </c>
      <c r="H355" t="str">
        <f>'Huong dan giao do an'!$B$14</f>
        <v>5 SV (vai trò chính): 1 PM/Scrum Master kiêm Integration; 2 BA/PO; 3 UI-UX + Frontend; 4 Backend/API + DevOps; 5 Database + QA/Tester. Mỗi SV có nhiệm vụ phụ và minh chứng cá nhân.</v>
      </c>
      <c r="I355" t="s">
        <v>29</v>
      </c>
      <c r="J355" t="s">
        <v>723</v>
      </c>
      <c r="K355" t="str">
        <f>IF(I355="Trung bình",'Huong dan giao do an'!$B$8,IF(I355="Khá",'Huong dan giao do an'!$B$9,'Huong dan giao do an'!$B$10))</f>
        <v>Tối thiểu 5 actor; 14-18 use case; 10-15 bảng; 4 quy trình; tích hợp ngoài/realtime hoặc xử lý nâng cao; 3 báo cáo; &gt;=45 test case; logging, backup và deploy.</v>
      </c>
      <c r="L355" t="str">
        <f>'Huong dan giao do an'!$B$31</f>
        <v>Bắt buộc: Charter/PMP; SRS + scope/WBS; Gantt/baseline; effort-cost budget; RACI/timesheet; quality-test-defect; communication/minutes; risk register; procurement; change log; closure/lessons learned.</v>
      </c>
      <c r="M355" t="str">
        <f>'Huong dan giao do an'!$B$33</f>
        <v>Tuần 1: 07.09–13.09.2026; Tuần 2: 14.09–20.09.2026; Tuần 3: 21.09–27.09.2026; Tuần 4: 28.09–04.10.2026; Tuần 5: 05.10–11.10.2026; Tuần 6: 12.10–18.10.2026; Tuần 7: 19.10–25.10.2026; Tuần 8: 26.10–01.11.2026.</v>
      </c>
      <c r="N3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5" s="17" t="str">
        <f t="shared" si="5"/>
        <v>Còn trống</v>
      </c>
    </row>
    <row r="356" spans="1:16" x14ac:dyDescent="0.3">
      <c r="A356">
        <v>355</v>
      </c>
      <c r="B356" t="s">
        <v>713</v>
      </c>
      <c r="C356" t="s">
        <v>850</v>
      </c>
      <c r="D356" t="s">
        <v>851</v>
      </c>
      <c r="E356" t="s">
        <v>33</v>
      </c>
      <c r="F356" t="s">
        <v>735</v>
      </c>
      <c r="G356" t="s">
        <v>766</v>
      </c>
      <c r="H356" t="str">
        <f>'Huong dan giao do an'!$B$14</f>
        <v>5 SV (vai trò chính): 1 PM/Scrum Master kiêm Integration; 2 BA/PO; 3 UI-UX + Frontend; 4 Backend/API + DevOps; 5 Database + QA/Tester. Mỗi SV có nhiệm vụ phụ và minh chứng cá nhân.</v>
      </c>
      <c r="I356" t="s">
        <v>36</v>
      </c>
      <c r="J356" t="s">
        <v>728</v>
      </c>
      <c r="K356" t="str">
        <f>IF(I356="Trung bình",'Huong dan giao do an'!$B$8,IF(I356="Khá",'Huong dan giao do an'!$B$9,'Huong dan giao do an'!$B$10))</f>
        <v>Tối thiểu 3 actor; 8-10 use case; 6-8 bảng dữ liệu; 2 quy trình lõi; đăng nhập/RBAC; 1 dashboard; 1 báo cáo; &gt;=25 test case; triển khai bản demo.</v>
      </c>
      <c r="L356" t="str">
        <f>'Huong dan giao do an'!$B$31</f>
        <v>Bắt buộc: Charter/PMP; SRS + scope/WBS; Gantt/baseline; effort-cost budget; RACI/timesheet; quality-test-defect; communication/minutes; risk register; procurement; change log; closure/lessons learned.</v>
      </c>
      <c r="M356" t="str">
        <f>'Huong dan giao do an'!$B$33</f>
        <v>Tuần 1: 07.09–13.09.2026; Tuần 2: 14.09–20.09.2026; Tuần 3: 21.09–27.09.2026; Tuần 4: 28.09–04.10.2026; Tuần 5: 05.10–11.10.2026; Tuần 6: 12.10–18.10.2026; Tuần 7: 19.10–25.10.2026; Tuần 8: 26.10–01.11.2026.</v>
      </c>
      <c r="N3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6" s="17" t="str">
        <f t="shared" si="5"/>
        <v>Còn trống</v>
      </c>
    </row>
    <row r="357" spans="1:16" x14ac:dyDescent="0.3">
      <c r="A357">
        <v>356</v>
      </c>
      <c r="B357" t="s">
        <v>713</v>
      </c>
      <c r="C357" t="s">
        <v>852</v>
      </c>
      <c r="D357" t="s">
        <v>853</v>
      </c>
      <c r="E357" t="s">
        <v>40</v>
      </c>
      <c r="F357" t="s">
        <v>716</v>
      </c>
      <c r="G357" t="s">
        <v>769</v>
      </c>
      <c r="H357" t="str">
        <f>'Huong dan giao do an'!$B$14</f>
        <v>5 SV (vai trò chính): 1 PM/Scrum Master kiêm Integration; 2 BA/PO; 3 UI-UX + Frontend; 4 Backend/API + DevOps; 5 Database + QA/Tester. Mỗi SV có nhiệm vụ phụ và minh chứng cá nhân.</v>
      </c>
      <c r="I357" t="s">
        <v>22</v>
      </c>
      <c r="J357" t="s">
        <v>718</v>
      </c>
      <c r="K357" t="str">
        <f>IF(I357="Trung bình",'Huong dan giao do an'!$B$8,IF(I357="Khá",'Huong dan giao do an'!$B$9,'Huong dan giao do an'!$B$10))</f>
        <v>Tối thiểu 4 actor; 10-14 use case; 8-12 bảng; 3 quy trình lõi; phân quyền chi tiết; 2 báo cáo; tích hợp 1 dịch vụ; &gt;=35 test case; CI/CD hoặc deploy cloud.</v>
      </c>
      <c r="L357" t="str">
        <f>'Huong dan giao do an'!$B$31</f>
        <v>Bắt buộc: Charter/PMP; SRS + scope/WBS; Gantt/baseline; effort-cost budget; RACI/timesheet; quality-test-defect; communication/minutes; risk register; procurement; change log; closure/lessons learned.</v>
      </c>
      <c r="M357" t="str">
        <f>'Huong dan giao do an'!$B$33</f>
        <v>Tuần 1: 07.09–13.09.2026; Tuần 2: 14.09–20.09.2026; Tuần 3: 21.09–27.09.2026; Tuần 4: 28.09–04.10.2026; Tuần 5: 05.10–11.10.2026; Tuần 6: 12.10–18.10.2026; Tuần 7: 19.10–25.10.2026; Tuần 8: 26.10–01.11.2026.</v>
      </c>
      <c r="N3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7" s="17" t="str">
        <f t="shared" si="5"/>
        <v>Còn trống</v>
      </c>
    </row>
    <row r="358" spans="1:16" x14ac:dyDescent="0.3">
      <c r="A358">
        <v>357</v>
      </c>
      <c r="B358" t="s">
        <v>713</v>
      </c>
      <c r="C358" t="s">
        <v>854</v>
      </c>
      <c r="D358" t="s">
        <v>855</v>
      </c>
      <c r="E358" t="s">
        <v>45</v>
      </c>
      <c r="F358" t="s">
        <v>721</v>
      </c>
      <c r="G358" t="s">
        <v>772</v>
      </c>
      <c r="H358" t="str">
        <f>'Huong dan giao do an'!$B$14</f>
        <v>5 SV (vai trò chính): 1 PM/Scrum Master kiêm Integration; 2 BA/PO; 3 UI-UX + Frontend; 4 Backend/API + DevOps; 5 Database + QA/Tester. Mỗi SV có nhiệm vụ phụ và minh chứng cá nhân.</v>
      </c>
      <c r="I358" t="s">
        <v>29</v>
      </c>
      <c r="J358" t="s">
        <v>723</v>
      </c>
      <c r="K358" t="str">
        <f>IF(I358="Trung bình",'Huong dan giao do an'!$B$8,IF(I358="Khá",'Huong dan giao do an'!$B$9,'Huong dan giao do an'!$B$10))</f>
        <v>Tối thiểu 5 actor; 14-18 use case; 10-15 bảng; 4 quy trình; tích hợp ngoài/realtime hoặc xử lý nâng cao; 3 báo cáo; &gt;=45 test case; logging, backup và deploy.</v>
      </c>
      <c r="L358" t="str">
        <f>'Huong dan giao do an'!$B$31</f>
        <v>Bắt buộc: Charter/PMP; SRS + scope/WBS; Gantt/baseline; effort-cost budget; RACI/timesheet; quality-test-defect; communication/minutes; risk register; procurement; change log; closure/lessons learned.</v>
      </c>
      <c r="M358" t="str">
        <f>'Huong dan giao do an'!$B$33</f>
        <v>Tuần 1: 07.09–13.09.2026; Tuần 2: 14.09–20.09.2026; Tuần 3: 21.09–27.09.2026; Tuần 4: 28.09–04.10.2026; Tuần 5: 05.10–11.10.2026; Tuần 6: 12.10–18.10.2026; Tuần 7: 19.10–25.10.2026; Tuần 8: 26.10–01.11.2026.</v>
      </c>
      <c r="N3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8" s="17" t="str">
        <f t="shared" si="5"/>
        <v>Còn trống</v>
      </c>
    </row>
    <row r="359" spans="1:16" x14ac:dyDescent="0.3">
      <c r="A359">
        <v>358</v>
      </c>
      <c r="B359" t="s">
        <v>713</v>
      </c>
      <c r="C359" t="s">
        <v>856</v>
      </c>
      <c r="D359" t="s">
        <v>857</v>
      </c>
      <c r="E359" t="s">
        <v>19</v>
      </c>
      <c r="F359" t="s">
        <v>726</v>
      </c>
      <c r="G359" t="s">
        <v>775</v>
      </c>
      <c r="H359" t="str">
        <f>'Huong dan giao do an'!$B$14</f>
        <v>5 SV (vai trò chính): 1 PM/Scrum Master kiêm Integration; 2 BA/PO; 3 UI-UX + Frontend; 4 Backend/API + DevOps; 5 Database + QA/Tester. Mỗi SV có nhiệm vụ phụ và minh chứng cá nhân.</v>
      </c>
      <c r="I359" t="s">
        <v>36</v>
      </c>
      <c r="J359" t="s">
        <v>728</v>
      </c>
      <c r="K359" t="str">
        <f>IF(I359="Trung bình",'Huong dan giao do an'!$B$8,IF(I359="Khá",'Huong dan giao do an'!$B$9,'Huong dan giao do an'!$B$10))</f>
        <v>Tối thiểu 3 actor; 8-10 use case; 6-8 bảng dữ liệu; 2 quy trình lõi; đăng nhập/RBAC; 1 dashboard; 1 báo cáo; &gt;=25 test case; triển khai bản demo.</v>
      </c>
      <c r="L359" t="str">
        <f>'Huong dan giao do an'!$B$31</f>
        <v>Bắt buộc: Charter/PMP; SRS + scope/WBS; Gantt/baseline; effort-cost budget; RACI/timesheet; quality-test-defect; communication/minutes; risk register; procurement; change log; closure/lessons learned.</v>
      </c>
      <c r="M359" t="str">
        <f>'Huong dan giao do an'!$B$33</f>
        <v>Tuần 1: 07.09–13.09.2026; Tuần 2: 14.09–20.09.2026; Tuần 3: 21.09–27.09.2026; Tuần 4: 28.09–04.10.2026; Tuần 5: 05.10–11.10.2026; Tuần 6: 12.10–18.10.2026; Tuần 7: 19.10–25.10.2026; Tuần 8: 26.10–01.11.2026.</v>
      </c>
      <c r="N3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9" s="17" t="str">
        <f t="shared" si="5"/>
        <v>Còn trống</v>
      </c>
    </row>
    <row r="360" spans="1:16" x14ac:dyDescent="0.3">
      <c r="A360">
        <v>359</v>
      </c>
      <c r="B360" t="s">
        <v>713</v>
      </c>
      <c r="C360" t="s">
        <v>858</v>
      </c>
      <c r="D360" t="s">
        <v>859</v>
      </c>
      <c r="E360" t="s">
        <v>26</v>
      </c>
      <c r="F360" t="s">
        <v>731</v>
      </c>
      <c r="G360" t="s">
        <v>778</v>
      </c>
      <c r="H360" t="str">
        <f>'Huong dan giao do an'!$B$14</f>
        <v>5 SV (vai trò chính): 1 PM/Scrum Master kiêm Integration; 2 BA/PO; 3 UI-UX + Frontend; 4 Backend/API + DevOps; 5 Database + QA/Tester. Mỗi SV có nhiệm vụ phụ và minh chứng cá nhân.</v>
      </c>
      <c r="I360" t="s">
        <v>22</v>
      </c>
      <c r="J360" t="s">
        <v>718</v>
      </c>
      <c r="K360" t="str">
        <f>IF(I360="Trung bình",'Huong dan giao do an'!$B$8,IF(I360="Khá",'Huong dan giao do an'!$B$9,'Huong dan giao do an'!$B$10))</f>
        <v>Tối thiểu 4 actor; 10-14 use case; 8-12 bảng; 3 quy trình lõi; phân quyền chi tiết; 2 báo cáo; tích hợp 1 dịch vụ; &gt;=35 test case; CI/CD hoặc deploy cloud.</v>
      </c>
      <c r="L360" t="str">
        <f>'Huong dan giao do an'!$B$31</f>
        <v>Bắt buộc: Charter/PMP; SRS + scope/WBS; Gantt/baseline; effort-cost budget; RACI/timesheet; quality-test-defect; communication/minutes; risk register; procurement; change log; closure/lessons learned.</v>
      </c>
      <c r="M360" t="str">
        <f>'Huong dan giao do an'!$B$33</f>
        <v>Tuần 1: 07.09–13.09.2026; Tuần 2: 14.09–20.09.2026; Tuần 3: 21.09–27.09.2026; Tuần 4: 28.09–04.10.2026; Tuần 5: 05.10–11.10.2026; Tuần 6: 12.10–18.10.2026; Tuần 7: 19.10–25.10.2026; Tuần 8: 26.10–01.11.2026.</v>
      </c>
      <c r="N3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0" s="17" t="str">
        <f t="shared" si="5"/>
        <v>Còn trống</v>
      </c>
    </row>
    <row r="361" spans="1:16" x14ac:dyDescent="0.3">
      <c r="A361">
        <v>360</v>
      </c>
      <c r="B361" t="s">
        <v>713</v>
      </c>
      <c r="C361" t="s">
        <v>860</v>
      </c>
      <c r="D361" t="s">
        <v>861</v>
      </c>
      <c r="E361" t="s">
        <v>33</v>
      </c>
      <c r="F361" t="s">
        <v>735</v>
      </c>
      <c r="G361" t="s">
        <v>781</v>
      </c>
      <c r="H361" t="str">
        <f>'Huong dan giao do an'!$B$14</f>
        <v>5 SV (vai trò chính): 1 PM/Scrum Master kiêm Integration; 2 BA/PO; 3 UI-UX + Frontend; 4 Backend/API + DevOps; 5 Database + QA/Tester. Mỗi SV có nhiệm vụ phụ và minh chứng cá nhân.</v>
      </c>
      <c r="I361" t="s">
        <v>29</v>
      </c>
      <c r="J361" t="s">
        <v>723</v>
      </c>
      <c r="K361" t="str">
        <f>IF(I361="Trung bình",'Huong dan giao do an'!$B$8,IF(I361="Khá",'Huong dan giao do an'!$B$9,'Huong dan giao do an'!$B$10))</f>
        <v>Tối thiểu 5 actor; 14-18 use case; 10-15 bảng; 4 quy trình; tích hợp ngoài/realtime hoặc xử lý nâng cao; 3 báo cáo; &gt;=45 test case; logging, backup và deploy.</v>
      </c>
      <c r="L361" t="str">
        <f>'Huong dan giao do an'!$B$31</f>
        <v>Bắt buộc: Charter/PMP; SRS + scope/WBS; Gantt/baseline; effort-cost budget; RACI/timesheet; quality-test-defect; communication/minutes; risk register; procurement; change log; closure/lessons learned.</v>
      </c>
      <c r="M361" t="str">
        <f>'Huong dan giao do an'!$B$33</f>
        <v>Tuần 1: 07.09–13.09.2026; Tuần 2: 14.09–20.09.2026; Tuần 3: 21.09–27.09.2026; Tuần 4: 28.09–04.10.2026; Tuần 5: 05.10–11.10.2026; Tuần 6: 12.10–18.10.2026; Tuần 7: 19.10–25.10.2026; Tuần 8: 26.10–01.11.2026.</v>
      </c>
      <c r="N3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1" s="17" t="str">
        <f t="shared" si="5"/>
        <v>Còn trống</v>
      </c>
    </row>
    <row r="362" spans="1:16" x14ac:dyDescent="0.3">
      <c r="A362">
        <v>361</v>
      </c>
      <c r="B362" t="s">
        <v>713</v>
      </c>
      <c r="C362" t="s">
        <v>862</v>
      </c>
      <c r="D362" t="s">
        <v>863</v>
      </c>
      <c r="E362" t="s">
        <v>40</v>
      </c>
      <c r="F362" t="s">
        <v>716</v>
      </c>
      <c r="G362" t="s">
        <v>717</v>
      </c>
      <c r="H362" t="str">
        <f>'Huong dan giao do an'!$B$14</f>
        <v>5 SV (vai trò chính): 1 PM/Scrum Master kiêm Integration; 2 BA/PO; 3 UI-UX + Frontend; 4 Backend/API + DevOps; 5 Database + QA/Tester. Mỗi SV có nhiệm vụ phụ và minh chứng cá nhân.</v>
      </c>
      <c r="I362" t="s">
        <v>22</v>
      </c>
      <c r="J362" t="s">
        <v>718</v>
      </c>
      <c r="K362" t="str">
        <f>IF(I362="Trung bình",'Huong dan giao do an'!$B$8,IF(I362="Khá",'Huong dan giao do an'!$B$9,'Huong dan giao do an'!$B$10))</f>
        <v>Tối thiểu 4 actor; 10-14 use case; 8-12 bảng; 3 quy trình lõi; phân quyền chi tiết; 2 báo cáo; tích hợp 1 dịch vụ; &gt;=35 test case; CI/CD hoặc deploy cloud.</v>
      </c>
      <c r="L362" t="str">
        <f>'Huong dan giao do an'!$B$31</f>
        <v>Bắt buộc: Charter/PMP; SRS + scope/WBS; Gantt/baseline; effort-cost budget; RACI/timesheet; quality-test-defect; communication/minutes; risk register; procurement; change log; closure/lessons learned.</v>
      </c>
      <c r="M362" t="str">
        <f>'Huong dan giao do an'!$B$33</f>
        <v>Tuần 1: 07.09–13.09.2026; Tuần 2: 14.09–20.09.2026; Tuần 3: 21.09–27.09.2026; Tuần 4: 28.09–04.10.2026; Tuần 5: 05.10–11.10.2026; Tuần 6: 12.10–18.10.2026; Tuần 7: 19.10–25.10.2026; Tuần 8: 26.10–01.11.2026.</v>
      </c>
      <c r="N3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2" s="17" t="str">
        <f t="shared" si="5"/>
        <v>Còn trống</v>
      </c>
    </row>
    <row r="363" spans="1:16" x14ac:dyDescent="0.3">
      <c r="A363">
        <v>362</v>
      </c>
      <c r="B363" t="s">
        <v>713</v>
      </c>
      <c r="C363" t="s">
        <v>864</v>
      </c>
      <c r="D363" t="s">
        <v>865</v>
      </c>
      <c r="E363" t="s">
        <v>45</v>
      </c>
      <c r="F363" t="s">
        <v>721</v>
      </c>
      <c r="G363" t="s">
        <v>722</v>
      </c>
      <c r="H363" t="str">
        <f>'Huong dan giao do an'!$B$14</f>
        <v>5 SV (vai trò chính): 1 PM/Scrum Master kiêm Integration; 2 BA/PO; 3 UI-UX + Frontend; 4 Backend/API + DevOps; 5 Database + QA/Tester. Mỗi SV có nhiệm vụ phụ và minh chứng cá nhân.</v>
      </c>
      <c r="I363" t="s">
        <v>29</v>
      </c>
      <c r="J363" t="s">
        <v>723</v>
      </c>
      <c r="K363" t="str">
        <f>IF(I363="Trung bình",'Huong dan giao do an'!$B$8,IF(I363="Khá",'Huong dan giao do an'!$B$9,'Huong dan giao do an'!$B$10))</f>
        <v>Tối thiểu 5 actor; 14-18 use case; 10-15 bảng; 4 quy trình; tích hợp ngoài/realtime hoặc xử lý nâng cao; 3 báo cáo; &gt;=45 test case; logging, backup và deploy.</v>
      </c>
      <c r="L363" t="str">
        <f>'Huong dan giao do an'!$B$31</f>
        <v>Bắt buộc: Charter/PMP; SRS + scope/WBS; Gantt/baseline; effort-cost budget; RACI/timesheet; quality-test-defect; communication/minutes; risk register; procurement; change log; closure/lessons learned.</v>
      </c>
      <c r="M363" t="str">
        <f>'Huong dan giao do an'!$B$33</f>
        <v>Tuần 1: 07.09–13.09.2026; Tuần 2: 14.09–20.09.2026; Tuần 3: 21.09–27.09.2026; Tuần 4: 28.09–04.10.2026; Tuần 5: 05.10–11.10.2026; Tuần 6: 12.10–18.10.2026; Tuần 7: 19.10–25.10.2026; Tuần 8: 26.10–01.11.2026.</v>
      </c>
      <c r="N3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3" s="17" t="str">
        <f t="shared" si="5"/>
        <v>Còn trống</v>
      </c>
    </row>
    <row r="364" spans="1:16" x14ac:dyDescent="0.3">
      <c r="A364">
        <v>363</v>
      </c>
      <c r="B364" t="s">
        <v>713</v>
      </c>
      <c r="C364" t="s">
        <v>866</v>
      </c>
      <c r="D364" t="s">
        <v>867</v>
      </c>
      <c r="E364" t="s">
        <v>19</v>
      </c>
      <c r="F364" t="s">
        <v>726</v>
      </c>
      <c r="G364" t="s">
        <v>727</v>
      </c>
      <c r="H364" t="str">
        <f>'Huong dan giao do an'!$B$14</f>
        <v>5 SV (vai trò chính): 1 PM/Scrum Master kiêm Integration; 2 BA/PO; 3 UI-UX + Frontend; 4 Backend/API + DevOps; 5 Database + QA/Tester. Mỗi SV có nhiệm vụ phụ và minh chứng cá nhân.</v>
      </c>
      <c r="I364" t="s">
        <v>36</v>
      </c>
      <c r="J364" t="s">
        <v>728</v>
      </c>
      <c r="K364" t="str">
        <f>IF(I364="Trung bình",'Huong dan giao do an'!$B$8,IF(I364="Khá",'Huong dan giao do an'!$B$9,'Huong dan giao do an'!$B$10))</f>
        <v>Tối thiểu 3 actor; 8-10 use case; 6-8 bảng dữ liệu; 2 quy trình lõi; đăng nhập/RBAC; 1 dashboard; 1 báo cáo; &gt;=25 test case; triển khai bản demo.</v>
      </c>
      <c r="L364" t="str">
        <f>'Huong dan giao do an'!$B$31</f>
        <v>Bắt buộc: Charter/PMP; SRS + scope/WBS; Gantt/baseline; effort-cost budget; RACI/timesheet; quality-test-defect; communication/minutes; risk register; procurement; change log; closure/lessons learned.</v>
      </c>
      <c r="M364" t="str">
        <f>'Huong dan giao do an'!$B$33</f>
        <v>Tuần 1: 07.09–13.09.2026; Tuần 2: 14.09–20.09.2026; Tuần 3: 21.09–27.09.2026; Tuần 4: 28.09–04.10.2026; Tuần 5: 05.10–11.10.2026; Tuần 6: 12.10–18.10.2026; Tuần 7: 19.10–25.10.2026; Tuần 8: 26.10–01.11.2026.</v>
      </c>
      <c r="N3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4" s="17" t="str">
        <f t="shared" si="5"/>
        <v>Còn trống</v>
      </c>
    </row>
    <row r="365" spans="1:16" x14ac:dyDescent="0.3">
      <c r="A365">
        <v>364</v>
      </c>
      <c r="B365" t="s">
        <v>713</v>
      </c>
      <c r="C365" t="s">
        <v>868</v>
      </c>
      <c r="D365" t="s">
        <v>869</v>
      </c>
      <c r="E365" t="s">
        <v>26</v>
      </c>
      <c r="F365" t="s">
        <v>731</v>
      </c>
      <c r="G365" t="s">
        <v>732</v>
      </c>
      <c r="H365" t="str">
        <f>'Huong dan giao do an'!$B$14</f>
        <v>5 SV (vai trò chính): 1 PM/Scrum Master kiêm Integration; 2 BA/PO; 3 UI-UX + Frontend; 4 Backend/API + DevOps; 5 Database + QA/Tester. Mỗi SV có nhiệm vụ phụ và minh chứng cá nhân.</v>
      </c>
      <c r="I365" t="s">
        <v>22</v>
      </c>
      <c r="J365" t="s">
        <v>718</v>
      </c>
      <c r="K365" t="str">
        <f>IF(I365="Trung bình",'Huong dan giao do an'!$B$8,IF(I365="Khá",'Huong dan giao do an'!$B$9,'Huong dan giao do an'!$B$10))</f>
        <v>Tối thiểu 4 actor; 10-14 use case; 8-12 bảng; 3 quy trình lõi; phân quyền chi tiết; 2 báo cáo; tích hợp 1 dịch vụ; &gt;=35 test case; CI/CD hoặc deploy cloud.</v>
      </c>
      <c r="L365" t="str">
        <f>'Huong dan giao do an'!$B$31</f>
        <v>Bắt buộc: Charter/PMP; SRS + scope/WBS; Gantt/baseline; effort-cost budget; RACI/timesheet; quality-test-defect; communication/minutes; risk register; procurement; change log; closure/lessons learned.</v>
      </c>
      <c r="M365" t="str">
        <f>'Huong dan giao do an'!$B$33</f>
        <v>Tuần 1: 07.09–13.09.2026; Tuần 2: 14.09–20.09.2026; Tuần 3: 21.09–27.09.2026; Tuần 4: 28.09–04.10.2026; Tuần 5: 05.10–11.10.2026; Tuần 6: 12.10–18.10.2026; Tuần 7: 19.10–25.10.2026; Tuần 8: 26.10–01.11.2026.</v>
      </c>
      <c r="N3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5" s="17" t="str">
        <f t="shared" si="5"/>
        <v>Còn trống</v>
      </c>
    </row>
    <row r="366" spans="1:16" x14ac:dyDescent="0.3">
      <c r="A366">
        <v>365</v>
      </c>
      <c r="B366" t="s">
        <v>713</v>
      </c>
      <c r="C366" t="s">
        <v>870</v>
      </c>
      <c r="D366" t="s">
        <v>871</v>
      </c>
      <c r="E366" t="s">
        <v>33</v>
      </c>
      <c r="F366" t="s">
        <v>735</v>
      </c>
      <c r="G366" t="s">
        <v>736</v>
      </c>
      <c r="H366" t="str">
        <f>'Huong dan giao do an'!$B$14</f>
        <v>5 SV (vai trò chính): 1 PM/Scrum Master kiêm Integration; 2 BA/PO; 3 UI-UX + Frontend; 4 Backend/API + DevOps; 5 Database + QA/Tester. Mỗi SV có nhiệm vụ phụ và minh chứng cá nhân.</v>
      </c>
      <c r="I366" t="s">
        <v>29</v>
      </c>
      <c r="J366" t="s">
        <v>723</v>
      </c>
      <c r="K366" t="str">
        <f>IF(I366="Trung bình",'Huong dan giao do an'!$B$8,IF(I366="Khá",'Huong dan giao do an'!$B$9,'Huong dan giao do an'!$B$10))</f>
        <v>Tối thiểu 5 actor; 14-18 use case; 10-15 bảng; 4 quy trình; tích hợp ngoài/realtime hoặc xử lý nâng cao; 3 báo cáo; &gt;=45 test case; logging, backup và deploy.</v>
      </c>
      <c r="L366" t="str">
        <f>'Huong dan giao do an'!$B$31</f>
        <v>Bắt buộc: Charter/PMP; SRS + scope/WBS; Gantt/baseline; effort-cost budget; RACI/timesheet; quality-test-defect; communication/minutes; risk register; procurement; change log; closure/lessons learned.</v>
      </c>
      <c r="M366" t="str">
        <f>'Huong dan giao do an'!$B$33</f>
        <v>Tuần 1: 07.09–13.09.2026; Tuần 2: 14.09–20.09.2026; Tuần 3: 21.09–27.09.2026; Tuần 4: 28.09–04.10.2026; Tuần 5: 05.10–11.10.2026; Tuần 6: 12.10–18.10.2026; Tuần 7: 19.10–25.10.2026; Tuần 8: 26.10–01.11.2026.</v>
      </c>
      <c r="N3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6" s="17" t="str">
        <f t="shared" si="5"/>
        <v>Còn trống</v>
      </c>
    </row>
    <row r="367" spans="1:16" x14ac:dyDescent="0.3">
      <c r="A367">
        <v>366</v>
      </c>
      <c r="B367" t="s">
        <v>713</v>
      </c>
      <c r="C367" t="s">
        <v>872</v>
      </c>
      <c r="D367" t="s">
        <v>873</v>
      </c>
      <c r="E367" t="s">
        <v>40</v>
      </c>
      <c r="F367" t="s">
        <v>716</v>
      </c>
      <c r="G367" t="s">
        <v>739</v>
      </c>
      <c r="H367" t="str">
        <f>'Huong dan giao do an'!$B$14</f>
        <v>5 SV (vai trò chính): 1 PM/Scrum Master kiêm Integration; 2 BA/PO; 3 UI-UX + Frontend; 4 Backend/API + DevOps; 5 Database + QA/Tester. Mỗi SV có nhiệm vụ phụ và minh chứng cá nhân.</v>
      </c>
      <c r="I367" t="s">
        <v>36</v>
      </c>
      <c r="J367" t="s">
        <v>728</v>
      </c>
      <c r="K367" t="str">
        <f>IF(I367="Trung bình",'Huong dan giao do an'!$B$8,IF(I367="Khá",'Huong dan giao do an'!$B$9,'Huong dan giao do an'!$B$10))</f>
        <v>Tối thiểu 3 actor; 8-10 use case; 6-8 bảng dữ liệu; 2 quy trình lõi; đăng nhập/RBAC; 1 dashboard; 1 báo cáo; &gt;=25 test case; triển khai bản demo.</v>
      </c>
      <c r="L367" t="str">
        <f>'Huong dan giao do an'!$B$31</f>
        <v>Bắt buộc: Charter/PMP; SRS + scope/WBS; Gantt/baseline; effort-cost budget; RACI/timesheet; quality-test-defect; communication/minutes; risk register; procurement; change log; closure/lessons learned.</v>
      </c>
      <c r="M367" t="str">
        <f>'Huong dan giao do an'!$B$33</f>
        <v>Tuần 1: 07.09–13.09.2026; Tuần 2: 14.09–20.09.2026; Tuần 3: 21.09–27.09.2026; Tuần 4: 28.09–04.10.2026; Tuần 5: 05.10–11.10.2026; Tuần 6: 12.10–18.10.2026; Tuần 7: 19.10–25.10.2026; Tuần 8: 26.10–01.11.2026.</v>
      </c>
      <c r="N3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7" s="17" t="str">
        <f t="shared" si="5"/>
        <v>Còn trống</v>
      </c>
    </row>
    <row r="368" spans="1:16" x14ac:dyDescent="0.3">
      <c r="A368">
        <v>367</v>
      </c>
      <c r="B368" t="s">
        <v>713</v>
      </c>
      <c r="C368" t="s">
        <v>874</v>
      </c>
      <c r="D368" t="s">
        <v>875</v>
      </c>
      <c r="E368" t="s">
        <v>45</v>
      </c>
      <c r="F368" t="s">
        <v>721</v>
      </c>
      <c r="G368" t="s">
        <v>742</v>
      </c>
      <c r="H368" t="str">
        <f>'Huong dan giao do an'!$B$14</f>
        <v>5 SV (vai trò chính): 1 PM/Scrum Master kiêm Integration; 2 BA/PO; 3 UI-UX + Frontend; 4 Backend/API + DevOps; 5 Database + QA/Tester. Mỗi SV có nhiệm vụ phụ và minh chứng cá nhân.</v>
      </c>
      <c r="I368" t="s">
        <v>22</v>
      </c>
      <c r="J368" t="s">
        <v>718</v>
      </c>
      <c r="K368" t="str">
        <f>IF(I368="Trung bình",'Huong dan giao do an'!$B$8,IF(I368="Khá",'Huong dan giao do an'!$B$9,'Huong dan giao do an'!$B$10))</f>
        <v>Tối thiểu 4 actor; 10-14 use case; 8-12 bảng; 3 quy trình lõi; phân quyền chi tiết; 2 báo cáo; tích hợp 1 dịch vụ; &gt;=35 test case; CI/CD hoặc deploy cloud.</v>
      </c>
      <c r="L368" t="str">
        <f>'Huong dan giao do an'!$B$31</f>
        <v>Bắt buộc: Charter/PMP; SRS + scope/WBS; Gantt/baseline; effort-cost budget; RACI/timesheet; quality-test-defect; communication/minutes; risk register; procurement; change log; closure/lessons learned.</v>
      </c>
      <c r="M368" t="str">
        <f>'Huong dan giao do an'!$B$33</f>
        <v>Tuần 1: 07.09–13.09.2026; Tuần 2: 14.09–20.09.2026; Tuần 3: 21.09–27.09.2026; Tuần 4: 28.09–04.10.2026; Tuần 5: 05.10–11.10.2026; Tuần 6: 12.10–18.10.2026; Tuần 7: 19.10–25.10.2026; Tuần 8: 26.10–01.11.2026.</v>
      </c>
      <c r="N3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8" s="17" t="str">
        <f t="shared" si="5"/>
        <v>Còn trống</v>
      </c>
    </row>
    <row r="369" spans="1:16" x14ac:dyDescent="0.3">
      <c r="A369">
        <v>368</v>
      </c>
      <c r="B369" t="s">
        <v>713</v>
      </c>
      <c r="C369" t="s">
        <v>876</v>
      </c>
      <c r="D369" t="s">
        <v>877</v>
      </c>
      <c r="E369" t="s">
        <v>19</v>
      </c>
      <c r="F369" t="s">
        <v>726</v>
      </c>
      <c r="G369" t="s">
        <v>745</v>
      </c>
      <c r="H369" t="str">
        <f>'Huong dan giao do an'!$B$14</f>
        <v>5 SV (vai trò chính): 1 PM/Scrum Master kiêm Integration; 2 BA/PO; 3 UI-UX + Frontend; 4 Backend/API + DevOps; 5 Database + QA/Tester. Mỗi SV có nhiệm vụ phụ và minh chứng cá nhân.</v>
      </c>
      <c r="I369" t="s">
        <v>29</v>
      </c>
      <c r="J369" t="s">
        <v>723</v>
      </c>
      <c r="K369" t="str">
        <f>IF(I369="Trung bình",'Huong dan giao do an'!$B$8,IF(I369="Khá",'Huong dan giao do an'!$B$9,'Huong dan giao do an'!$B$10))</f>
        <v>Tối thiểu 5 actor; 14-18 use case; 10-15 bảng; 4 quy trình; tích hợp ngoài/realtime hoặc xử lý nâng cao; 3 báo cáo; &gt;=45 test case; logging, backup và deploy.</v>
      </c>
      <c r="L369" t="str">
        <f>'Huong dan giao do an'!$B$31</f>
        <v>Bắt buộc: Charter/PMP; SRS + scope/WBS; Gantt/baseline; effort-cost budget; RACI/timesheet; quality-test-defect; communication/minutes; risk register; procurement; change log; closure/lessons learned.</v>
      </c>
      <c r="M369" t="str">
        <f>'Huong dan giao do an'!$B$33</f>
        <v>Tuần 1: 07.09–13.09.2026; Tuần 2: 14.09–20.09.2026; Tuần 3: 21.09–27.09.2026; Tuần 4: 28.09–04.10.2026; Tuần 5: 05.10–11.10.2026; Tuần 6: 12.10–18.10.2026; Tuần 7: 19.10–25.10.2026; Tuần 8: 26.10–01.11.2026.</v>
      </c>
      <c r="N3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69" s="17" t="str">
        <f t="shared" si="5"/>
        <v>Còn trống</v>
      </c>
    </row>
    <row r="370" spans="1:16" x14ac:dyDescent="0.3">
      <c r="A370">
        <v>369</v>
      </c>
      <c r="B370" t="s">
        <v>713</v>
      </c>
      <c r="C370" t="s">
        <v>878</v>
      </c>
      <c r="D370" t="s">
        <v>879</v>
      </c>
      <c r="E370" t="s">
        <v>26</v>
      </c>
      <c r="F370" t="s">
        <v>731</v>
      </c>
      <c r="G370" t="s">
        <v>748</v>
      </c>
      <c r="H370" t="str">
        <f>'Huong dan giao do an'!$B$14</f>
        <v>5 SV (vai trò chính): 1 PM/Scrum Master kiêm Integration; 2 BA/PO; 3 UI-UX + Frontend; 4 Backend/API + DevOps; 5 Database + QA/Tester. Mỗi SV có nhiệm vụ phụ và minh chứng cá nhân.</v>
      </c>
      <c r="I370" t="s">
        <v>36</v>
      </c>
      <c r="J370" t="s">
        <v>728</v>
      </c>
      <c r="K370" t="str">
        <f>IF(I370="Trung bình",'Huong dan giao do an'!$B$8,IF(I370="Khá",'Huong dan giao do an'!$B$9,'Huong dan giao do an'!$B$10))</f>
        <v>Tối thiểu 3 actor; 8-10 use case; 6-8 bảng dữ liệu; 2 quy trình lõi; đăng nhập/RBAC; 1 dashboard; 1 báo cáo; &gt;=25 test case; triển khai bản demo.</v>
      </c>
      <c r="L370" t="str">
        <f>'Huong dan giao do an'!$B$31</f>
        <v>Bắt buộc: Charter/PMP; SRS + scope/WBS; Gantt/baseline; effort-cost budget; RACI/timesheet; quality-test-defect; communication/minutes; risk register; procurement; change log; closure/lessons learned.</v>
      </c>
      <c r="M370" t="str">
        <f>'Huong dan giao do an'!$B$33</f>
        <v>Tuần 1: 07.09–13.09.2026; Tuần 2: 14.09–20.09.2026; Tuần 3: 21.09–27.09.2026; Tuần 4: 28.09–04.10.2026; Tuần 5: 05.10–11.10.2026; Tuần 6: 12.10–18.10.2026; Tuần 7: 19.10–25.10.2026; Tuần 8: 26.10–01.11.2026.</v>
      </c>
      <c r="N3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0" s="17" t="str">
        <f t="shared" si="5"/>
        <v>Còn trống</v>
      </c>
    </row>
    <row r="371" spans="1:16" x14ac:dyDescent="0.3">
      <c r="A371">
        <v>370</v>
      </c>
      <c r="B371" t="s">
        <v>713</v>
      </c>
      <c r="C371" t="s">
        <v>880</v>
      </c>
      <c r="D371" t="s">
        <v>881</v>
      </c>
      <c r="E371" t="s">
        <v>33</v>
      </c>
      <c r="F371" t="s">
        <v>735</v>
      </c>
      <c r="G371" t="s">
        <v>751</v>
      </c>
      <c r="H371" t="str">
        <f>'Huong dan giao do an'!$B$14</f>
        <v>5 SV (vai trò chính): 1 PM/Scrum Master kiêm Integration; 2 BA/PO; 3 UI-UX + Frontend; 4 Backend/API + DevOps; 5 Database + QA/Tester. Mỗi SV có nhiệm vụ phụ và minh chứng cá nhân.</v>
      </c>
      <c r="I371" t="s">
        <v>22</v>
      </c>
      <c r="J371" t="s">
        <v>718</v>
      </c>
      <c r="K371" t="str">
        <f>IF(I371="Trung bình",'Huong dan giao do an'!$B$8,IF(I371="Khá",'Huong dan giao do an'!$B$9,'Huong dan giao do an'!$B$10))</f>
        <v>Tối thiểu 4 actor; 10-14 use case; 8-12 bảng; 3 quy trình lõi; phân quyền chi tiết; 2 báo cáo; tích hợp 1 dịch vụ; &gt;=35 test case; CI/CD hoặc deploy cloud.</v>
      </c>
      <c r="L371" t="str">
        <f>'Huong dan giao do an'!$B$31</f>
        <v>Bắt buộc: Charter/PMP; SRS + scope/WBS; Gantt/baseline; effort-cost budget; RACI/timesheet; quality-test-defect; communication/minutes; risk register; procurement; change log; closure/lessons learned.</v>
      </c>
      <c r="M371" t="str">
        <f>'Huong dan giao do an'!$B$33</f>
        <v>Tuần 1: 07.09–13.09.2026; Tuần 2: 14.09–20.09.2026; Tuần 3: 21.09–27.09.2026; Tuần 4: 28.09–04.10.2026; Tuần 5: 05.10–11.10.2026; Tuần 6: 12.10–18.10.2026; Tuần 7: 19.10–25.10.2026; Tuần 8: 26.10–01.11.2026.</v>
      </c>
      <c r="N3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1" s="17" t="str">
        <f t="shared" si="5"/>
        <v>Còn trống</v>
      </c>
    </row>
    <row r="372" spans="1:16" x14ac:dyDescent="0.3">
      <c r="A372">
        <v>371</v>
      </c>
      <c r="B372" t="s">
        <v>713</v>
      </c>
      <c r="C372" t="s">
        <v>882</v>
      </c>
      <c r="D372" t="s">
        <v>883</v>
      </c>
      <c r="E372" t="s">
        <v>40</v>
      </c>
      <c r="F372" t="s">
        <v>716</v>
      </c>
      <c r="G372" t="s">
        <v>754</v>
      </c>
      <c r="H372" t="str">
        <f>'Huong dan giao do an'!$B$14</f>
        <v>5 SV (vai trò chính): 1 PM/Scrum Master kiêm Integration; 2 BA/PO; 3 UI-UX + Frontend; 4 Backend/API + DevOps; 5 Database + QA/Tester. Mỗi SV có nhiệm vụ phụ và minh chứng cá nhân.</v>
      </c>
      <c r="I372" t="s">
        <v>29</v>
      </c>
      <c r="J372" t="s">
        <v>723</v>
      </c>
      <c r="K372" t="str">
        <f>IF(I372="Trung bình",'Huong dan giao do an'!$B$8,IF(I372="Khá",'Huong dan giao do an'!$B$9,'Huong dan giao do an'!$B$10))</f>
        <v>Tối thiểu 5 actor; 14-18 use case; 10-15 bảng; 4 quy trình; tích hợp ngoài/realtime hoặc xử lý nâng cao; 3 báo cáo; &gt;=45 test case; logging, backup và deploy.</v>
      </c>
      <c r="L372" t="str">
        <f>'Huong dan giao do an'!$B$31</f>
        <v>Bắt buộc: Charter/PMP; SRS + scope/WBS; Gantt/baseline; effort-cost budget; RACI/timesheet; quality-test-defect; communication/minutes; risk register; procurement; change log; closure/lessons learned.</v>
      </c>
      <c r="M372" t="str">
        <f>'Huong dan giao do an'!$B$33</f>
        <v>Tuần 1: 07.09–13.09.2026; Tuần 2: 14.09–20.09.2026; Tuần 3: 21.09–27.09.2026; Tuần 4: 28.09–04.10.2026; Tuần 5: 05.10–11.10.2026; Tuần 6: 12.10–18.10.2026; Tuần 7: 19.10–25.10.2026; Tuần 8: 26.10–01.11.2026.</v>
      </c>
      <c r="N3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2" s="17" t="str">
        <f t="shared" si="5"/>
        <v>Còn trống</v>
      </c>
    </row>
    <row r="373" spans="1:16" x14ac:dyDescent="0.3">
      <c r="A373">
        <v>372</v>
      </c>
      <c r="B373" t="s">
        <v>713</v>
      </c>
      <c r="C373" t="s">
        <v>884</v>
      </c>
      <c r="D373" t="s">
        <v>885</v>
      </c>
      <c r="E373" t="s">
        <v>45</v>
      </c>
      <c r="F373" t="s">
        <v>721</v>
      </c>
      <c r="G373" t="s">
        <v>757</v>
      </c>
      <c r="H373" t="str">
        <f>'Huong dan giao do an'!$B$14</f>
        <v>5 SV (vai trò chính): 1 PM/Scrum Master kiêm Integration; 2 BA/PO; 3 UI-UX + Frontend; 4 Backend/API + DevOps; 5 Database + QA/Tester. Mỗi SV có nhiệm vụ phụ và minh chứng cá nhân.</v>
      </c>
      <c r="I373" t="s">
        <v>36</v>
      </c>
      <c r="J373" t="s">
        <v>728</v>
      </c>
      <c r="K373" t="str">
        <f>IF(I373="Trung bình",'Huong dan giao do an'!$B$8,IF(I373="Khá",'Huong dan giao do an'!$B$9,'Huong dan giao do an'!$B$10))</f>
        <v>Tối thiểu 3 actor; 8-10 use case; 6-8 bảng dữ liệu; 2 quy trình lõi; đăng nhập/RBAC; 1 dashboard; 1 báo cáo; &gt;=25 test case; triển khai bản demo.</v>
      </c>
      <c r="L373" t="str">
        <f>'Huong dan giao do an'!$B$31</f>
        <v>Bắt buộc: Charter/PMP; SRS + scope/WBS; Gantt/baseline; effort-cost budget; RACI/timesheet; quality-test-defect; communication/minutes; risk register; procurement; change log; closure/lessons learned.</v>
      </c>
      <c r="M373" t="str">
        <f>'Huong dan giao do an'!$B$33</f>
        <v>Tuần 1: 07.09–13.09.2026; Tuần 2: 14.09–20.09.2026; Tuần 3: 21.09–27.09.2026; Tuần 4: 28.09–04.10.2026; Tuần 5: 05.10–11.10.2026; Tuần 6: 12.10–18.10.2026; Tuần 7: 19.10–25.10.2026; Tuần 8: 26.10–01.11.2026.</v>
      </c>
      <c r="N3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3" s="17" t="str">
        <f t="shared" si="5"/>
        <v>Còn trống</v>
      </c>
    </row>
    <row r="374" spans="1:16" x14ac:dyDescent="0.3">
      <c r="A374">
        <v>373</v>
      </c>
      <c r="B374" t="s">
        <v>713</v>
      </c>
      <c r="C374" t="s">
        <v>886</v>
      </c>
      <c r="D374" t="s">
        <v>887</v>
      </c>
      <c r="E374" t="s">
        <v>19</v>
      </c>
      <c r="F374" t="s">
        <v>726</v>
      </c>
      <c r="G374" t="s">
        <v>760</v>
      </c>
      <c r="H374" t="str">
        <f>'Huong dan giao do an'!$B$14</f>
        <v>5 SV (vai trò chính): 1 PM/Scrum Master kiêm Integration; 2 BA/PO; 3 UI-UX + Frontend; 4 Backend/API + DevOps; 5 Database + QA/Tester. Mỗi SV có nhiệm vụ phụ và minh chứng cá nhân.</v>
      </c>
      <c r="I374" t="s">
        <v>22</v>
      </c>
      <c r="J374" t="s">
        <v>718</v>
      </c>
      <c r="K374" t="str">
        <f>IF(I374="Trung bình",'Huong dan giao do an'!$B$8,IF(I374="Khá",'Huong dan giao do an'!$B$9,'Huong dan giao do an'!$B$10))</f>
        <v>Tối thiểu 4 actor; 10-14 use case; 8-12 bảng; 3 quy trình lõi; phân quyền chi tiết; 2 báo cáo; tích hợp 1 dịch vụ; &gt;=35 test case; CI/CD hoặc deploy cloud.</v>
      </c>
      <c r="L374" t="str">
        <f>'Huong dan giao do an'!$B$31</f>
        <v>Bắt buộc: Charter/PMP; SRS + scope/WBS; Gantt/baseline; effort-cost budget; RACI/timesheet; quality-test-defect; communication/minutes; risk register; procurement; change log; closure/lessons learned.</v>
      </c>
      <c r="M374" t="str">
        <f>'Huong dan giao do an'!$B$33</f>
        <v>Tuần 1: 07.09–13.09.2026; Tuần 2: 14.09–20.09.2026; Tuần 3: 21.09–27.09.2026; Tuần 4: 28.09–04.10.2026; Tuần 5: 05.10–11.10.2026; Tuần 6: 12.10–18.10.2026; Tuần 7: 19.10–25.10.2026; Tuần 8: 26.10–01.11.2026.</v>
      </c>
      <c r="N3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4" s="17" t="str">
        <f t="shared" si="5"/>
        <v>Còn trống</v>
      </c>
    </row>
    <row r="375" spans="1:16" x14ac:dyDescent="0.3">
      <c r="A375">
        <v>374</v>
      </c>
      <c r="B375" t="s">
        <v>713</v>
      </c>
      <c r="C375" t="s">
        <v>888</v>
      </c>
      <c r="D375" t="s">
        <v>889</v>
      </c>
      <c r="E375" t="s">
        <v>26</v>
      </c>
      <c r="F375" t="s">
        <v>731</v>
      </c>
      <c r="G375" t="s">
        <v>763</v>
      </c>
      <c r="H375" t="str">
        <f>'Huong dan giao do an'!$B$14</f>
        <v>5 SV (vai trò chính): 1 PM/Scrum Master kiêm Integration; 2 BA/PO; 3 UI-UX + Frontend; 4 Backend/API + DevOps; 5 Database + QA/Tester. Mỗi SV có nhiệm vụ phụ và minh chứng cá nhân.</v>
      </c>
      <c r="I375" t="s">
        <v>29</v>
      </c>
      <c r="J375" t="s">
        <v>723</v>
      </c>
      <c r="K375" t="str">
        <f>IF(I375="Trung bình",'Huong dan giao do an'!$B$8,IF(I375="Khá",'Huong dan giao do an'!$B$9,'Huong dan giao do an'!$B$10))</f>
        <v>Tối thiểu 5 actor; 14-18 use case; 10-15 bảng; 4 quy trình; tích hợp ngoài/realtime hoặc xử lý nâng cao; 3 báo cáo; &gt;=45 test case; logging, backup và deploy.</v>
      </c>
      <c r="L375" t="str">
        <f>'Huong dan giao do an'!$B$31</f>
        <v>Bắt buộc: Charter/PMP; SRS + scope/WBS; Gantt/baseline; effort-cost budget; RACI/timesheet; quality-test-defect; communication/minutes; risk register; procurement; change log; closure/lessons learned.</v>
      </c>
      <c r="M375" t="str">
        <f>'Huong dan giao do an'!$B$33</f>
        <v>Tuần 1: 07.09–13.09.2026; Tuần 2: 14.09–20.09.2026; Tuần 3: 21.09–27.09.2026; Tuần 4: 28.09–04.10.2026; Tuần 5: 05.10–11.10.2026; Tuần 6: 12.10–18.10.2026; Tuần 7: 19.10–25.10.2026; Tuần 8: 26.10–01.11.2026.</v>
      </c>
      <c r="N3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5" s="17" t="str">
        <f t="shared" si="5"/>
        <v>Còn trống</v>
      </c>
    </row>
    <row r="376" spans="1:16" x14ac:dyDescent="0.3">
      <c r="A376">
        <v>375</v>
      </c>
      <c r="B376" t="s">
        <v>713</v>
      </c>
      <c r="C376" t="s">
        <v>890</v>
      </c>
      <c r="D376" t="s">
        <v>891</v>
      </c>
      <c r="E376" t="s">
        <v>33</v>
      </c>
      <c r="F376" t="s">
        <v>735</v>
      </c>
      <c r="G376" t="s">
        <v>766</v>
      </c>
      <c r="H376" t="str">
        <f>'Huong dan giao do an'!$B$14</f>
        <v>5 SV (vai trò chính): 1 PM/Scrum Master kiêm Integration; 2 BA/PO; 3 UI-UX + Frontend; 4 Backend/API + DevOps; 5 Database + QA/Tester. Mỗi SV có nhiệm vụ phụ và minh chứng cá nhân.</v>
      </c>
      <c r="I376" t="s">
        <v>36</v>
      </c>
      <c r="J376" t="s">
        <v>728</v>
      </c>
      <c r="K376" t="str">
        <f>IF(I376="Trung bình",'Huong dan giao do an'!$B$8,IF(I376="Khá",'Huong dan giao do an'!$B$9,'Huong dan giao do an'!$B$10))</f>
        <v>Tối thiểu 3 actor; 8-10 use case; 6-8 bảng dữ liệu; 2 quy trình lõi; đăng nhập/RBAC; 1 dashboard; 1 báo cáo; &gt;=25 test case; triển khai bản demo.</v>
      </c>
      <c r="L376" t="str">
        <f>'Huong dan giao do an'!$B$31</f>
        <v>Bắt buộc: Charter/PMP; SRS + scope/WBS; Gantt/baseline; effort-cost budget; RACI/timesheet; quality-test-defect; communication/minutes; risk register; procurement; change log; closure/lessons learned.</v>
      </c>
      <c r="M376" t="str">
        <f>'Huong dan giao do an'!$B$33</f>
        <v>Tuần 1: 07.09–13.09.2026; Tuần 2: 14.09–20.09.2026; Tuần 3: 21.09–27.09.2026; Tuần 4: 28.09–04.10.2026; Tuần 5: 05.10–11.10.2026; Tuần 6: 12.10–18.10.2026; Tuần 7: 19.10–25.10.2026; Tuần 8: 26.10–01.11.2026.</v>
      </c>
      <c r="N3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6" s="17" t="str">
        <f t="shared" si="5"/>
        <v>Còn trống</v>
      </c>
    </row>
    <row r="377" spans="1:16" x14ac:dyDescent="0.3">
      <c r="A377">
        <v>376</v>
      </c>
      <c r="B377" t="s">
        <v>713</v>
      </c>
      <c r="C377" t="s">
        <v>892</v>
      </c>
      <c r="D377" t="s">
        <v>893</v>
      </c>
      <c r="E377" t="s">
        <v>40</v>
      </c>
      <c r="F377" t="s">
        <v>716</v>
      </c>
      <c r="G377" t="s">
        <v>769</v>
      </c>
      <c r="H377" t="str">
        <f>'Huong dan giao do an'!$B$14</f>
        <v>5 SV (vai trò chính): 1 PM/Scrum Master kiêm Integration; 2 BA/PO; 3 UI-UX + Frontend; 4 Backend/API + DevOps; 5 Database + QA/Tester. Mỗi SV có nhiệm vụ phụ và minh chứng cá nhân.</v>
      </c>
      <c r="I377" t="s">
        <v>22</v>
      </c>
      <c r="J377" t="s">
        <v>718</v>
      </c>
      <c r="K377" t="str">
        <f>IF(I377="Trung bình",'Huong dan giao do an'!$B$8,IF(I377="Khá",'Huong dan giao do an'!$B$9,'Huong dan giao do an'!$B$10))</f>
        <v>Tối thiểu 4 actor; 10-14 use case; 8-12 bảng; 3 quy trình lõi; phân quyền chi tiết; 2 báo cáo; tích hợp 1 dịch vụ; &gt;=35 test case; CI/CD hoặc deploy cloud.</v>
      </c>
      <c r="L377" t="str">
        <f>'Huong dan giao do an'!$B$31</f>
        <v>Bắt buộc: Charter/PMP; SRS + scope/WBS; Gantt/baseline; effort-cost budget; RACI/timesheet; quality-test-defect; communication/minutes; risk register; procurement; change log; closure/lessons learned.</v>
      </c>
      <c r="M377" t="str">
        <f>'Huong dan giao do an'!$B$33</f>
        <v>Tuần 1: 07.09–13.09.2026; Tuần 2: 14.09–20.09.2026; Tuần 3: 21.09–27.09.2026; Tuần 4: 28.09–04.10.2026; Tuần 5: 05.10–11.10.2026; Tuần 6: 12.10–18.10.2026; Tuần 7: 19.10–25.10.2026; Tuần 8: 26.10–01.11.2026.</v>
      </c>
      <c r="N3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7" s="17" t="str">
        <f t="shared" si="5"/>
        <v>Còn trống</v>
      </c>
    </row>
    <row r="378" spans="1:16" x14ac:dyDescent="0.3">
      <c r="A378">
        <v>377</v>
      </c>
      <c r="B378" t="s">
        <v>713</v>
      </c>
      <c r="C378" t="s">
        <v>894</v>
      </c>
      <c r="D378" t="s">
        <v>895</v>
      </c>
      <c r="E378" t="s">
        <v>45</v>
      </c>
      <c r="F378" t="s">
        <v>721</v>
      </c>
      <c r="G378" t="s">
        <v>772</v>
      </c>
      <c r="H378" t="str">
        <f>'Huong dan giao do an'!$B$14</f>
        <v>5 SV (vai trò chính): 1 PM/Scrum Master kiêm Integration; 2 BA/PO; 3 UI-UX + Frontend; 4 Backend/API + DevOps; 5 Database + QA/Tester. Mỗi SV có nhiệm vụ phụ và minh chứng cá nhân.</v>
      </c>
      <c r="I378" t="s">
        <v>29</v>
      </c>
      <c r="J378" t="s">
        <v>723</v>
      </c>
      <c r="K378" t="str">
        <f>IF(I378="Trung bình",'Huong dan giao do an'!$B$8,IF(I378="Khá",'Huong dan giao do an'!$B$9,'Huong dan giao do an'!$B$10))</f>
        <v>Tối thiểu 5 actor; 14-18 use case; 10-15 bảng; 4 quy trình; tích hợp ngoài/realtime hoặc xử lý nâng cao; 3 báo cáo; &gt;=45 test case; logging, backup và deploy.</v>
      </c>
      <c r="L378" t="str">
        <f>'Huong dan giao do an'!$B$31</f>
        <v>Bắt buộc: Charter/PMP; SRS + scope/WBS; Gantt/baseline; effort-cost budget; RACI/timesheet; quality-test-defect; communication/minutes; risk register; procurement; change log; closure/lessons learned.</v>
      </c>
      <c r="M378" t="str">
        <f>'Huong dan giao do an'!$B$33</f>
        <v>Tuần 1: 07.09–13.09.2026; Tuần 2: 14.09–20.09.2026; Tuần 3: 21.09–27.09.2026; Tuần 4: 28.09–04.10.2026; Tuần 5: 05.10–11.10.2026; Tuần 6: 12.10–18.10.2026; Tuần 7: 19.10–25.10.2026; Tuần 8: 26.10–01.11.2026.</v>
      </c>
      <c r="N3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8" s="17" t="str">
        <f t="shared" si="5"/>
        <v>Còn trống</v>
      </c>
    </row>
    <row r="379" spans="1:16" x14ac:dyDescent="0.3">
      <c r="A379">
        <v>378</v>
      </c>
      <c r="B379" t="s">
        <v>713</v>
      </c>
      <c r="C379" t="s">
        <v>896</v>
      </c>
      <c r="D379" t="s">
        <v>897</v>
      </c>
      <c r="E379" t="s">
        <v>19</v>
      </c>
      <c r="F379" t="s">
        <v>726</v>
      </c>
      <c r="G379" t="s">
        <v>775</v>
      </c>
      <c r="H379" t="str">
        <f>'Huong dan giao do an'!$B$14</f>
        <v>5 SV (vai trò chính): 1 PM/Scrum Master kiêm Integration; 2 BA/PO; 3 UI-UX + Frontend; 4 Backend/API + DevOps; 5 Database + QA/Tester. Mỗi SV có nhiệm vụ phụ và minh chứng cá nhân.</v>
      </c>
      <c r="I379" t="s">
        <v>36</v>
      </c>
      <c r="J379" t="s">
        <v>728</v>
      </c>
      <c r="K379" t="str">
        <f>IF(I379="Trung bình",'Huong dan giao do an'!$B$8,IF(I379="Khá",'Huong dan giao do an'!$B$9,'Huong dan giao do an'!$B$10))</f>
        <v>Tối thiểu 3 actor; 8-10 use case; 6-8 bảng dữ liệu; 2 quy trình lõi; đăng nhập/RBAC; 1 dashboard; 1 báo cáo; &gt;=25 test case; triển khai bản demo.</v>
      </c>
      <c r="L379" t="str">
        <f>'Huong dan giao do an'!$B$31</f>
        <v>Bắt buộc: Charter/PMP; SRS + scope/WBS; Gantt/baseline; effort-cost budget; RACI/timesheet; quality-test-defect; communication/minutes; risk register; procurement; change log; closure/lessons learned.</v>
      </c>
      <c r="M379" t="str">
        <f>'Huong dan giao do an'!$B$33</f>
        <v>Tuần 1: 07.09–13.09.2026; Tuần 2: 14.09–20.09.2026; Tuần 3: 21.09–27.09.2026; Tuần 4: 28.09–04.10.2026; Tuần 5: 05.10–11.10.2026; Tuần 6: 12.10–18.10.2026; Tuần 7: 19.10–25.10.2026; Tuần 8: 26.10–01.11.2026.</v>
      </c>
      <c r="N3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79" s="17" t="str">
        <f t="shared" si="5"/>
        <v>Còn trống</v>
      </c>
    </row>
    <row r="380" spans="1:16" x14ac:dyDescent="0.3">
      <c r="A380">
        <v>379</v>
      </c>
      <c r="B380" t="s">
        <v>713</v>
      </c>
      <c r="C380" t="s">
        <v>898</v>
      </c>
      <c r="D380" t="s">
        <v>899</v>
      </c>
      <c r="E380" t="s">
        <v>26</v>
      </c>
      <c r="F380" t="s">
        <v>731</v>
      </c>
      <c r="G380" t="s">
        <v>778</v>
      </c>
      <c r="H380" t="str">
        <f>'Huong dan giao do an'!$B$14</f>
        <v>5 SV (vai trò chính): 1 PM/Scrum Master kiêm Integration; 2 BA/PO; 3 UI-UX + Frontend; 4 Backend/API + DevOps; 5 Database + QA/Tester. Mỗi SV có nhiệm vụ phụ và minh chứng cá nhân.</v>
      </c>
      <c r="I380" t="s">
        <v>22</v>
      </c>
      <c r="J380" t="s">
        <v>718</v>
      </c>
      <c r="K380" t="str">
        <f>IF(I380="Trung bình",'Huong dan giao do an'!$B$8,IF(I380="Khá",'Huong dan giao do an'!$B$9,'Huong dan giao do an'!$B$10))</f>
        <v>Tối thiểu 4 actor; 10-14 use case; 8-12 bảng; 3 quy trình lõi; phân quyền chi tiết; 2 báo cáo; tích hợp 1 dịch vụ; &gt;=35 test case; CI/CD hoặc deploy cloud.</v>
      </c>
      <c r="L380" t="str">
        <f>'Huong dan giao do an'!$B$31</f>
        <v>Bắt buộc: Charter/PMP; SRS + scope/WBS; Gantt/baseline; effort-cost budget; RACI/timesheet; quality-test-defect; communication/minutes; risk register; procurement; change log; closure/lessons learned.</v>
      </c>
      <c r="M380" t="str">
        <f>'Huong dan giao do an'!$B$33</f>
        <v>Tuần 1: 07.09–13.09.2026; Tuần 2: 14.09–20.09.2026; Tuần 3: 21.09–27.09.2026; Tuần 4: 28.09–04.10.2026; Tuần 5: 05.10–11.10.2026; Tuần 6: 12.10–18.10.2026; Tuần 7: 19.10–25.10.2026; Tuần 8: 26.10–01.11.2026.</v>
      </c>
      <c r="N3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0" s="17" t="str">
        <f t="shared" si="5"/>
        <v>Còn trống</v>
      </c>
    </row>
    <row r="381" spans="1:16" x14ac:dyDescent="0.3">
      <c r="A381">
        <v>380</v>
      </c>
      <c r="B381" t="s">
        <v>713</v>
      </c>
      <c r="C381" t="s">
        <v>900</v>
      </c>
      <c r="D381" t="s">
        <v>901</v>
      </c>
      <c r="E381" t="s">
        <v>33</v>
      </c>
      <c r="F381" t="s">
        <v>735</v>
      </c>
      <c r="G381" t="s">
        <v>781</v>
      </c>
      <c r="H381" t="str">
        <f>'Huong dan giao do an'!$B$14</f>
        <v>5 SV (vai trò chính): 1 PM/Scrum Master kiêm Integration; 2 BA/PO; 3 UI-UX + Frontend; 4 Backend/API + DevOps; 5 Database + QA/Tester. Mỗi SV có nhiệm vụ phụ và minh chứng cá nhân.</v>
      </c>
      <c r="I381" t="s">
        <v>29</v>
      </c>
      <c r="J381" t="s">
        <v>723</v>
      </c>
      <c r="K381" t="str">
        <f>IF(I381="Trung bình",'Huong dan giao do an'!$B$8,IF(I381="Khá",'Huong dan giao do an'!$B$9,'Huong dan giao do an'!$B$10))</f>
        <v>Tối thiểu 5 actor; 14-18 use case; 10-15 bảng; 4 quy trình; tích hợp ngoài/realtime hoặc xử lý nâng cao; 3 báo cáo; &gt;=45 test case; logging, backup và deploy.</v>
      </c>
      <c r="L381" t="str">
        <f>'Huong dan giao do an'!$B$31</f>
        <v>Bắt buộc: Charter/PMP; SRS + scope/WBS; Gantt/baseline; effort-cost budget; RACI/timesheet; quality-test-defect; communication/minutes; risk register; procurement; change log; closure/lessons learned.</v>
      </c>
      <c r="M381" t="str">
        <f>'Huong dan giao do an'!$B$33</f>
        <v>Tuần 1: 07.09–13.09.2026; Tuần 2: 14.09–20.09.2026; Tuần 3: 21.09–27.09.2026; Tuần 4: 28.09–04.10.2026; Tuần 5: 05.10–11.10.2026; Tuần 6: 12.10–18.10.2026; Tuần 7: 19.10–25.10.2026; Tuần 8: 26.10–01.11.2026.</v>
      </c>
      <c r="N3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1" s="17" t="str">
        <f t="shared" si="5"/>
        <v>Còn trống</v>
      </c>
    </row>
    <row r="382" spans="1:16" x14ac:dyDescent="0.3">
      <c r="A382">
        <v>381</v>
      </c>
      <c r="B382" t="s">
        <v>713</v>
      </c>
      <c r="C382" t="s">
        <v>902</v>
      </c>
      <c r="D382" t="s">
        <v>903</v>
      </c>
      <c r="E382" t="s">
        <v>40</v>
      </c>
      <c r="F382" t="s">
        <v>716</v>
      </c>
      <c r="G382" t="s">
        <v>717</v>
      </c>
      <c r="H382" t="str">
        <f>'Huong dan giao do an'!$B$14</f>
        <v>5 SV (vai trò chính): 1 PM/Scrum Master kiêm Integration; 2 BA/PO; 3 UI-UX + Frontend; 4 Backend/API + DevOps; 5 Database + QA/Tester. Mỗi SV có nhiệm vụ phụ và minh chứng cá nhân.</v>
      </c>
      <c r="I382" t="s">
        <v>22</v>
      </c>
      <c r="J382" t="s">
        <v>718</v>
      </c>
      <c r="K382" t="str">
        <f>IF(I382="Trung bình",'Huong dan giao do an'!$B$8,IF(I382="Khá",'Huong dan giao do an'!$B$9,'Huong dan giao do an'!$B$10))</f>
        <v>Tối thiểu 4 actor; 10-14 use case; 8-12 bảng; 3 quy trình lõi; phân quyền chi tiết; 2 báo cáo; tích hợp 1 dịch vụ; &gt;=35 test case; CI/CD hoặc deploy cloud.</v>
      </c>
      <c r="L382" t="str">
        <f>'Huong dan giao do an'!$B$31</f>
        <v>Bắt buộc: Charter/PMP; SRS + scope/WBS; Gantt/baseline; effort-cost budget; RACI/timesheet; quality-test-defect; communication/minutes; risk register; procurement; change log; closure/lessons learned.</v>
      </c>
      <c r="M382" t="str">
        <f>'Huong dan giao do an'!$B$33</f>
        <v>Tuần 1: 07.09–13.09.2026; Tuần 2: 14.09–20.09.2026; Tuần 3: 21.09–27.09.2026; Tuần 4: 28.09–04.10.2026; Tuần 5: 05.10–11.10.2026; Tuần 6: 12.10–18.10.2026; Tuần 7: 19.10–25.10.2026; Tuần 8: 26.10–01.11.2026.</v>
      </c>
      <c r="N3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2" s="17" t="str">
        <f t="shared" si="5"/>
        <v>Còn trống</v>
      </c>
    </row>
    <row r="383" spans="1:16" x14ac:dyDescent="0.3">
      <c r="A383">
        <v>382</v>
      </c>
      <c r="B383" t="s">
        <v>713</v>
      </c>
      <c r="C383" t="s">
        <v>904</v>
      </c>
      <c r="D383" t="s">
        <v>905</v>
      </c>
      <c r="E383" t="s">
        <v>45</v>
      </c>
      <c r="F383" t="s">
        <v>721</v>
      </c>
      <c r="G383" t="s">
        <v>722</v>
      </c>
      <c r="H383" t="str">
        <f>'Huong dan giao do an'!$B$14</f>
        <v>5 SV (vai trò chính): 1 PM/Scrum Master kiêm Integration; 2 BA/PO; 3 UI-UX + Frontend; 4 Backend/API + DevOps; 5 Database + QA/Tester. Mỗi SV có nhiệm vụ phụ và minh chứng cá nhân.</v>
      </c>
      <c r="I383" t="s">
        <v>29</v>
      </c>
      <c r="J383" t="s">
        <v>723</v>
      </c>
      <c r="K383" t="str">
        <f>IF(I383="Trung bình",'Huong dan giao do an'!$B$8,IF(I383="Khá",'Huong dan giao do an'!$B$9,'Huong dan giao do an'!$B$10))</f>
        <v>Tối thiểu 5 actor; 14-18 use case; 10-15 bảng; 4 quy trình; tích hợp ngoài/realtime hoặc xử lý nâng cao; 3 báo cáo; &gt;=45 test case; logging, backup và deploy.</v>
      </c>
      <c r="L383" t="str">
        <f>'Huong dan giao do an'!$B$31</f>
        <v>Bắt buộc: Charter/PMP; SRS + scope/WBS; Gantt/baseline; effort-cost budget; RACI/timesheet; quality-test-defect; communication/minutes; risk register; procurement; change log; closure/lessons learned.</v>
      </c>
      <c r="M383" t="str">
        <f>'Huong dan giao do an'!$B$33</f>
        <v>Tuần 1: 07.09–13.09.2026; Tuần 2: 14.09–20.09.2026; Tuần 3: 21.09–27.09.2026; Tuần 4: 28.09–04.10.2026; Tuần 5: 05.10–11.10.2026; Tuần 6: 12.10–18.10.2026; Tuần 7: 19.10–25.10.2026; Tuần 8: 26.10–01.11.2026.</v>
      </c>
      <c r="N3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3" s="17" t="str">
        <f t="shared" si="5"/>
        <v>Còn trống</v>
      </c>
    </row>
    <row r="384" spans="1:16" x14ac:dyDescent="0.3">
      <c r="A384">
        <v>383</v>
      </c>
      <c r="B384" t="s">
        <v>713</v>
      </c>
      <c r="C384" t="s">
        <v>906</v>
      </c>
      <c r="D384" t="s">
        <v>907</v>
      </c>
      <c r="E384" t="s">
        <v>19</v>
      </c>
      <c r="F384" t="s">
        <v>726</v>
      </c>
      <c r="G384" t="s">
        <v>727</v>
      </c>
      <c r="H384" t="str">
        <f>'Huong dan giao do an'!$B$14</f>
        <v>5 SV (vai trò chính): 1 PM/Scrum Master kiêm Integration; 2 BA/PO; 3 UI-UX + Frontend; 4 Backend/API + DevOps; 5 Database + QA/Tester. Mỗi SV có nhiệm vụ phụ và minh chứng cá nhân.</v>
      </c>
      <c r="I384" t="s">
        <v>36</v>
      </c>
      <c r="J384" t="s">
        <v>728</v>
      </c>
      <c r="K384" t="str">
        <f>IF(I384="Trung bình",'Huong dan giao do an'!$B$8,IF(I384="Khá",'Huong dan giao do an'!$B$9,'Huong dan giao do an'!$B$10))</f>
        <v>Tối thiểu 3 actor; 8-10 use case; 6-8 bảng dữ liệu; 2 quy trình lõi; đăng nhập/RBAC; 1 dashboard; 1 báo cáo; &gt;=25 test case; triển khai bản demo.</v>
      </c>
      <c r="L384" t="str">
        <f>'Huong dan giao do an'!$B$31</f>
        <v>Bắt buộc: Charter/PMP; SRS + scope/WBS; Gantt/baseline; effort-cost budget; RACI/timesheet; quality-test-defect; communication/minutes; risk register; procurement; change log; closure/lessons learned.</v>
      </c>
      <c r="M384" t="str">
        <f>'Huong dan giao do an'!$B$33</f>
        <v>Tuần 1: 07.09–13.09.2026; Tuần 2: 14.09–20.09.2026; Tuần 3: 21.09–27.09.2026; Tuần 4: 28.09–04.10.2026; Tuần 5: 05.10–11.10.2026; Tuần 6: 12.10–18.10.2026; Tuần 7: 19.10–25.10.2026; Tuần 8: 26.10–01.11.2026.</v>
      </c>
      <c r="N3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4" s="17" t="str">
        <f t="shared" si="5"/>
        <v>Còn trống</v>
      </c>
    </row>
    <row r="385" spans="1:16" x14ac:dyDescent="0.3">
      <c r="A385">
        <v>384</v>
      </c>
      <c r="B385" t="s">
        <v>713</v>
      </c>
      <c r="C385" t="s">
        <v>908</v>
      </c>
      <c r="D385" t="s">
        <v>909</v>
      </c>
      <c r="E385" t="s">
        <v>26</v>
      </c>
      <c r="F385" t="s">
        <v>731</v>
      </c>
      <c r="G385" t="s">
        <v>732</v>
      </c>
      <c r="H385" t="str">
        <f>'Huong dan giao do an'!$B$14</f>
        <v>5 SV (vai trò chính): 1 PM/Scrum Master kiêm Integration; 2 BA/PO; 3 UI-UX + Frontend; 4 Backend/API + DevOps; 5 Database + QA/Tester. Mỗi SV có nhiệm vụ phụ và minh chứng cá nhân.</v>
      </c>
      <c r="I385" t="s">
        <v>22</v>
      </c>
      <c r="J385" t="s">
        <v>718</v>
      </c>
      <c r="K385" t="str">
        <f>IF(I385="Trung bình",'Huong dan giao do an'!$B$8,IF(I385="Khá",'Huong dan giao do an'!$B$9,'Huong dan giao do an'!$B$10))</f>
        <v>Tối thiểu 4 actor; 10-14 use case; 8-12 bảng; 3 quy trình lõi; phân quyền chi tiết; 2 báo cáo; tích hợp 1 dịch vụ; &gt;=35 test case; CI/CD hoặc deploy cloud.</v>
      </c>
      <c r="L385" t="str">
        <f>'Huong dan giao do an'!$B$31</f>
        <v>Bắt buộc: Charter/PMP; SRS + scope/WBS; Gantt/baseline; effort-cost budget; RACI/timesheet; quality-test-defect; communication/minutes; risk register; procurement; change log; closure/lessons learned.</v>
      </c>
      <c r="M385" t="str">
        <f>'Huong dan giao do an'!$B$33</f>
        <v>Tuần 1: 07.09–13.09.2026; Tuần 2: 14.09–20.09.2026; Tuần 3: 21.09–27.09.2026; Tuần 4: 28.09–04.10.2026; Tuần 5: 05.10–11.10.2026; Tuần 6: 12.10–18.10.2026; Tuần 7: 19.10–25.10.2026; Tuần 8: 26.10–01.11.2026.</v>
      </c>
      <c r="N3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5" s="17" t="str">
        <f t="shared" si="5"/>
        <v>Còn trống</v>
      </c>
    </row>
    <row r="386" spans="1:16" x14ac:dyDescent="0.3">
      <c r="A386">
        <v>385</v>
      </c>
      <c r="B386" t="s">
        <v>713</v>
      </c>
      <c r="C386" t="s">
        <v>910</v>
      </c>
      <c r="D386" t="s">
        <v>911</v>
      </c>
      <c r="E386" t="s">
        <v>33</v>
      </c>
      <c r="F386" t="s">
        <v>735</v>
      </c>
      <c r="G386" t="s">
        <v>736</v>
      </c>
      <c r="H386" t="str">
        <f>'Huong dan giao do an'!$B$14</f>
        <v>5 SV (vai trò chính): 1 PM/Scrum Master kiêm Integration; 2 BA/PO; 3 UI-UX + Frontend; 4 Backend/API + DevOps; 5 Database + QA/Tester. Mỗi SV có nhiệm vụ phụ và minh chứng cá nhân.</v>
      </c>
      <c r="I386" t="s">
        <v>29</v>
      </c>
      <c r="J386" t="s">
        <v>723</v>
      </c>
      <c r="K386" t="str">
        <f>IF(I386="Trung bình",'Huong dan giao do an'!$B$8,IF(I386="Khá",'Huong dan giao do an'!$B$9,'Huong dan giao do an'!$B$10))</f>
        <v>Tối thiểu 5 actor; 14-18 use case; 10-15 bảng; 4 quy trình; tích hợp ngoài/realtime hoặc xử lý nâng cao; 3 báo cáo; &gt;=45 test case; logging, backup và deploy.</v>
      </c>
      <c r="L386" t="str">
        <f>'Huong dan giao do an'!$B$31</f>
        <v>Bắt buộc: Charter/PMP; SRS + scope/WBS; Gantt/baseline; effort-cost budget; RACI/timesheet; quality-test-defect; communication/minutes; risk register; procurement; change log; closure/lessons learned.</v>
      </c>
      <c r="M386" t="str">
        <f>'Huong dan giao do an'!$B$33</f>
        <v>Tuần 1: 07.09–13.09.2026; Tuần 2: 14.09–20.09.2026; Tuần 3: 21.09–27.09.2026; Tuần 4: 28.09–04.10.2026; Tuần 5: 05.10–11.10.2026; Tuần 6: 12.10–18.10.2026; Tuần 7: 19.10–25.10.2026; Tuần 8: 26.10–01.11.2026.</v>
      </c>
      <c r="N3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6" s="17" t="str">
        <f t="shared" si="5"/>
        <v>Còn trống</v>
      </c>
    </row>
    <row r="387" spans="1:16" x14ac:dyDescent="0.3">
      <c r="A387">
        <v>386</v>
      </c>
      <c r="B387" t="s">
        <v>713</v>
      </c>
      <c r="C387" t="s">
        <v>912</v>
      </c>
      <c r="D387" t="s">
        <v>913</v>
      </c>
      <c r="E387" t="s">
        <v>40</v>
      </c>
      <c r="F387" t="s">
        <v>716</v>
      </c>
      <c r="G387" t="s">
        <v>739</v>
      </c>
      <c r="H387" t="str">
        <f>'Huong dan giao do an'!$B$14</f>
        <v>5 SV (vai trò chính): 1 PM/Scrum Master kiêm Integration; 2 BA/PO; 3 UI-UX + Frontend; 4 Backend/API + DevOps; 5 Database + QA/Tester. Mỗi SV có nhiệm vụ phụ và minh chứng cá nhân.</v>
      </c>
      <c r="I387" t="s">
        <v>36</v>
      </c>
      <c r="J387" t="s">
        <v>728</v>
      </c>
      <c r="K387" t="str">
        <f>IF(I387="Trung bình",'Huong dan giao do an'!$B$8,IF(I387="Khá",'Huong dan giao do an'!$B$9,'Huong dan giao do an'!$B$10))</f>
        <v>Tối thiểu 3 actor; 8-10 use case; 6-8 bảng dữ liệu; 2 quy trình lõi; đăng nhập/RBAC; 1 dashboard; 1 báo cáo; &gt;=25 test case; triển khai bản demo.</v>
      </c>
      <c r="L387" t="str">
        <f>'Huong dan giao do an'!$B$31</f>
        <v>Bắt buộc: Charter/PMP; SRS + scope/WBS; Gantt/baseline; effort-cost budget; RACI/timesheet; quality-test-defect; communication/minutes; risk register; procurement; change log; closure/lessons learned.</v>
      </c>
      <c r="M387" t="str">
        <f>'Huong dan giao do an'!$B$33</f>
        <v>Tuần 1: 07.09–13.09.2026; Tuần 2: 14.09–20.09.2026; Tuần 3: 21.09–27.09.2026; Tuần 4: 28.09–04.10.2026; Tuần 5: 05.10–11.10.2026; Tuần 6: 12.10–18.10.2026; Tuần 7: 19.10–25.10.2026; Tuần 8: 26.10–01.11.2026.</v>
      </c>
      <c r="N3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7" s="17" t="str">
        <f t="shared" ref="P387:P450" si="6">IF(O387="","Còn trống","Đã đăng ký")</f>
        <v>Còn trống</v>
      </c>
    </row>
    <row r="388" spans="1:16" x14ac:dyDescent="0.3">
      <c r="A388">
        <v>387</v>
      </c>
      <c r="B388" t="s">
        <v>713</v>
      </c>
      <c r="C388" t="s">
        <v>914</v>
      </c>
      <c r="D388" t="s">
        <v>915</v>
      </c>
      <c r="E388" t="s">
        <v>45</v>
      </c>
      <c r="F388" t="s">
        <v>721</v>
      </c>
      <c r="G388" t="s">
        <v>742</v>
      </c>
      <c r="H388" t="str">
        <f>'Huong dan giao do an'!$B$14</f>
        <v>5 SV (vai trò chính): 1 PM/Scrum Master kiêm Integration; 2 BA/PO; 3 UI-UX + Frontend; 4 Backend/API + DevOps; 5 Database + QA/Tester. Mỗi SV có nhiệm vụ phụ và minh chứng cá nhân.</v>
      </c>
      <c r="I388" t="s">
        <v>22</v>
      </c>
      <c r="J388" t="s">
        <v>718</v>
      </c>
      <c r="K388" t="str">
        <f>IF(I388="Trung bình",'Huong dan giao do an'!$B$8,IF(I388="Khá",'Huong dan giao do an'!$B$9,'Huong dan giao do an'!$B$10))</f>
        <v>Tối thiểu 4 actor; 10-14 use case; 8-12 bảng; 3 quy trình lõi; phân quyền chi tiết; 2 báo cáo; tích hợp 1 dịch vụ; &gt;=35 test case; CI/CD hoặc deploy cloud.</v>
      </c>
      <c r="L388" t="str">
        <f>'Huong dan giao do an'!$B$31</f>
        <v>Bắt buộc: Charter/PMP; SRS + scope/WBS; Gantt/baseline; effort-cost budget; RACI/timesheet; quality-test-defect; communication/minutes; risk register; procurement; change log; closure/lessons learned.</v>
      </c>
      <c r="M388" t="str">
        <f>'Huong dan giao do an'!$B$33</f>
        <v>Tuần 1: 07.09–13.09.2026; Tuần 2: 14.09–20.09.2026; Tuần 3: 21.09–27.09.2026; Tuần 4: 28.09–04.10.2026; Tuần 5: 05.10–11.10.2026; Tuần 6: 12.10–18.10.2026; Tuần 7: 19.10–25.10.2026; Tuần 8: 26.10–01.11.2026.</v>
      </c>
      <c r="N3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8" s="17" t="str">
        <f t="shared" si="6"/>
        <v>Còn trống</v>
      </c>
    </row>
    <row r="389" spans="1:16" x14ac:dyDescent="0.3">
      <c r="A389">
        <v>388</v>
      </c>
      <c r="B389" t="s">
        <v>713</v>
      </c>
      <c r="C389" t="s">
        <v>916</v>
      </c>
      <c r="D389" t="s">
        <v>917</v>
      </c>
      <c r="E389" t="s">
        <v>19</v>
      </c>
      <c r="F389" t="s">
        <v>726</v>
      </c>
      <c r="G389" t="s">
        <v>745</v>
      </c>
      <c r="H389" t="str">
        <f>'Huong dan giao do an'!$B$14</f>
        <v>5 SV (vai trò chính): 1 PM/Scrum Master kiêm Integration; 2 BA/PO; 3 UI-UX + Frontend; 4 Backend/API + DevOps; 5 Database + QA/Tester. Mỗi SV có nhiệm vụ phụ và minh chứng cá nhân.</v>
      </c>
      <c r="I389" t="s">
        <v>29</v>
      </c>
      <c r="J389" t="s">
        <v>723</v>
      </c>
      <c r="K389" t="str">
        <f>IF(I389="Trung bình",'Huong dan giao do an'!$B$8,IF(I389="Khá",'Huong dan giao do an'!$B$9,'Huong dan giao do an'!$B$10))</f>
        <v>Tối thiểu 5 actor; 14-18 use case; 10-15 bảng; 4 quy trình; tích hợp ngoài/realtime hoặc xử lý nâng cao; 3 báo cáo; &gt;=45 test case; logging, backup và deploy.</v>
      </c>
      <c r="L389" t="str">
        <f>'Huong dan giao do an'!$B$31</f>
        <v>Bắt buộc: Charter/PMP; SRS + scope/WBS; Gantt/baseline; effort-cost budget; RACI/timesheet; quality-test-defect; communication/minutes; risk register; procurement; change log; closure/lessons learned.</v>
      </c>
      <c r="M389" t="str">
        <f>'Huong dan giao do an'!$B$33</f>
        <v>Tuần 1: 07.09–13.09.2026; Tuần 2: 14.09–20.09.2026; Tuần 3: 21.09–27.09.2026; Tuần 4: 28.09–04.10.2026; Tuần 5: 05.10–11.10.2026; Tuần 6: 12.10–18.10.2026; Tuần 7: 19.10–25.10.2026; Tuần 8: 26.10–01.11.2026.</v>
      </c>
      <c r="N3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89" s="17" t="str">
        <f t="shared" si="6"/>
        <v>Còn trống</v>
      </c>
    </row>
    <row r="390" spans="1:16" x14ac:dyDescent="0.3">
      <c r="A390">
        <v>389</v>
      </c>
      <c r="B390" t="s">
        <v>713</v>
      </c>
      <c r="C390" t="s">
        <v>918</v>
      </c>
      <c r="D390" t="s">
        <v>919</v>
      </c>
      <c r="E390" t="s">
        <v>26</v>
      </c>
      <c r="F390" t="s">
        <v>731</v>
      </c>
      <c r="G390" t="s">
        <v>748</v>
      </c>
      <c r="H390" t="str">
        <f>'Huong dan giao do an'!$B$14</f>
        <v>5 SV (vai trò chính): 1 PM/Scrum Master kiêm Integration; 2 BA/PO; 3 UI-UX + Frontend; 4 Backend/API + DevOps; 5 Database + QA/Tester. Mỗi SV có nhiệm vụ phụ và minh chứng cá nhân.</v>
      </c>
      <c r="I390" t="s">
        <v>36</v>
      </c>
      <c r="J390" t="s">
        <v>728</v>
      </c>
      <c r="K390" t="str">
        <f>IF(I390="Trung bình",'Huong dan giao do an'!$B$8,IF(I390="Khá",'Huong dan giao do an'!$B$9,'Huong dan giao do an'!$B$10))</f>
        <v>Tối thiểu 3 actor; 8-10 use case; 6-8 bảng dữ liệu; 2 quy trình lõi; đăng nhập/RBAC; 1 dashboard; 1 báo cáo; &gt;=25 test case; triển khai bản demo.</v>
      </c>
      <c r="L390" t="str">
        <f>'Huong dan giao do an'!$B$31</f>
        <v>Bắt buộc: Charter/PMP; SRS + scope/WBS; Gantt/baseline; effort-cost budget; RACI/timesheet; quality-test-defect; communication/minutes; risk register; procurement; change log; closure/lessons learned.</v>
      </c>
      <c r="M390" t="str">
        <f>'Huong dan giao do an'!$B$33</f>
        <v>Tuần 1: 07.09–13.09.2026; Tuần 2: 14.09–20.09.2026; Tuần 3: 21.09–27.09.2026; Tuần 4: 28.09–04.10.2026; Tuần 5: 05.10–11.10.2026; Tuần 6: 12.10–18.10.2026; Tuần 7: 19.10–25.10.2026; Tuần 8: 26.10–01.11.2026.</v>
      </c>
      <c r="N3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0" s="17" t="str">
        <f t="shared" si="6"/>
        <v>Còn trống</v>
      </c>
    </row>
    <row r="391" spans="1:16" x14ac:dyDescent="0.3">
      <c r="A391">
        <v>390</v>
      </c>
      <c r="B391" t="s">
        <v>713</v>
      </c>
      <c r="C391" t="s">
        <v>920</v>
      </c>
      <c r="D391" t="s">
        <v>921</v>
      </c>
      <c r="E391" t="s">
        <v>33</v>
      </c>
      <c r="F391" t="s">
        <v>735</v>
      </c>
      <c r="G391" t="s">
        <v>751</v>
      </c>
      <c r="H391" t="str">
        <f>'Huong dan giao do an'!$B$14</f>
        <v>5 SV (vai trò chính): 1 PM/Scrum Master kiêm Integration; 2 BA/PO; 3 UI-UX + Frontend; 4 Backend/API + DevOps; 5 Database + QA/Tester. Mỗi SV có nhiệm vụ phụ và minh chứng cá nhân.</v>
      </c>
      <c r="I391" t="s">
        <v>22</v>
      </c>
      <c r="J391" t="s">
        <v>718</v>
      </c>
      <c r="K391" t="str">
        <f>IF(I391="Trung bình",'Huong dan giao do an'!$B$8,IF(I391="Khá",'Huong dan giao do an'!$B$9,'Huong dan giao do an'!$B$10))</f>
        <v>Tối thiểu 4 actor; 10-14 use case; 8-12 bảng; 3 quy trình lõi; phân quyền chi tiết; 2 báo cáo; tích hợp 1 dịch vụ; &gt;=35 test case; CI/CD hoặc deploy cloud.</v>
      </c>
      <c r="L391" t="str">
        <f>'Huong dan giao do an'!$B$31</f>
        <v>Bắt buộc: Charter/PMP; SRS + scope/WBS; Gantt/baseline; effort-cost budget; RACI/timesheet; quality-test-defect; communication/minutes; risk register; procurement; change log; closure/lessons learned.</v>
      </c>
      <c r="M391" t="str">
        <f>'Huong dan giao do an'!$B$33</f>
        <v>Tuần 1: 07.09–13.09.2026; Tuần 2: 14.09–20.09.2026; Tuần 3: 21.09–27.09.2026; Tuần 4: 28.09–04.10.2026; Tuần 5: 05.10–11.10.2026; Tuần 6: 12.10–18.10.2026; Tuần 7: 19.10–25.10.2026; Tuần 8: 26.10–01.11.2026.</v>
      </c>
      <c r="N3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1" s="17" t="str">
        <f t="shared" si="6"/>
        <v>Còn trống</v>
      </c>
    </row>
    <row r="392" spans="1:16" x14ac:dyDescent="0.3">
      <c r="A392">
        <v>391</v>
      </c>
      <c r="B392" t="s">
        <v>713</v>
      </c>
      <c r="C392" t="s">
        <v>922</v>
      </c>
      <c r="D392" t="s">
        <v>923</v>
      </c>
      <c r="E392" t="s">
        <v>40</v>
      </c>
      <c r="F392" t="s">
        <v>716</v>
      </c>
      <c r="G392" t="s">
        <v>754</v>
      </c>
      <c r="H392" t="str">
        <f>'Huong dan giao do an'!$B$14</f>
        <v>5 SV (vai trò chính): 1 PM/Scrum Master kiêm Integration; 2 BA/PO; 3 UI-UX + Frontend; 4 Backend/API + DevOps; 5 Database + QA/Tester. Mỗi SV có nhiệm vụ phụ và minh chứng cá nhân.</v>
      </c>
      <c r="I392" t="s">
        <v>29</v>
      </c>
      <c r="J392" t="s">
        <v>723</v>
      </c>
      <c r="K392" t="str">
        <f>IF(I392="Trung bình",'Huong dan giao do an'!$B$8,IF(I392="Khá",'Huong dan giao do an'!$B$9,'Huong dan giao do an'!$B$10))</f>
        <v>Tối thiểu 5 actor; 14-18 use case; 10-15 bảng; 4 quy trình; tích hợp ngoài/realtime hoặc xử lý nâng cao; 3 báo cáo; &gt;=45 test case; logging, backup và deploy.</v>
      </c>
      <c r="L392" t="str">
        <f>'Huong dan giao do an'!$B$31</f>
        <v>Bắt buộc: Charter/PMP; SRS + scope/WBS; Gantt/baseline; effort-cost budget; RACI/timesheet; quality-test-defect; communication/minutes; risk register; procurement; change log; closure/lessons learned.</v>
      </c>
      <c r="M392" t="str">
        <f>'Huong dan giao do an'!$B$33</f>
        <v>Tuần 1: 07.09–13.09.2026; Tuần 2: 14.09–20.09.2026; Tuần 3: 21.09–27.09.2026; Tuần 4: 28.09–04.10.2026; Tuần 5: 05.10–11.10.2026; Tuần 6: 12.10–18.10.2026; Tuần 7: 19.10–25.10.2026; Tuần 8: 26.10–01.11.2026.</v>
      </c>
      <c r="N3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2" s="17" t="str">
        <f t="shared" si="6"/>
        <v>Còn trống</v>
      </c>
    </row>
    <row r="393" spans="1:16" x14ac:dyDescent="0.3">
      <c r="A393">
        <v>392</v>
      </c>
      <c r="B393" t="s">
        <v>713</v>
      </c>
      <c r="C393" t="s">
        <v>924</v>
      </c>
      <c r="D393" t="s">
        <v>925</v>
      </c>
      <c r="E393" t="s">
        <v>45</v>
      </c>
      <c r="F393" t="s">
        <v>721</v>
      </c>
      <c r="G393" t="s">
        <v>757</v>
      </c>
      <c r="H393" t="str">
        <f>'Huong dan giao do an'!$B$14</f>
        <v>5 SV (vai trò chính): 1 PM/Scrum Master kiêm Integration; 2 BA/PO; 3 UI-UX + Frontend; 4 Backend/API + DevOps; 5 Database + QA/Tester. Mỗi SV có nhiệm vụ phụ và minh chứng cá nhân.</v>
      </c>
      <c r="I393" t="s">
        <v>36</v>
      </c>
      <c r="J393" t="s">
        <v>728</v>
      </c>
      <c r="K393" t="str">
        <f>IF(I393="Trung bình",'Huong dan giao do an'!$B$8,IF(I393="Khá",'Huong dan giao do an'!$B$9,'Huong dan giao do an'!$B$10))</f>
        <v>Tối thiểu 3 actor; 8-10 use case; 6-8 bảng dữ liệu; 2 quy trình lõi; đăng nhập/RBAC; 1 dashboard; 1 báo cáo; &gt;=25 test case; triển khai bản demo.</v>
      </c>
      <c r="L393" t="str">
        <f>'Huong dan giao do an'!$B$31</f>
        <v>Bắt buộc: Charter/PMP; SRS + scope/WBS; Gantt/baseline; effort-cost budget; RACI/timesheet; quality-test-defect; communication/minutes; risk register; procurement; change log; closure/lessons learned.</v>
      </c>
      <c r="M393" t="str">
        <f>'Huong dan giao do an'!$B$33</f>
        <v>Tuần 1: 07.09–13.09.2026; Tuần 2: 14.09–20.09.2026; Tuần 3: 21.09–27.09.2026; Tuần 4: 28.09–04.10.2026; Tuần 5: 05.10–11.10.2026; Tuần 6: 12.10–18.10.2026; Tuần 7: 19.10–25.10.2026; Tuần 8: 26.10–01.11.2026.</v>
      </c>
      <c r="N3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3" s="17" t="str">
        <f t="shared" si="6"/>
        <v>Còn trống</v>
      </c>
    </row>
    <row r="394" spans="1:16" x14ac:dyDescent="0.3">
      <c r="A394">
        <v>393</v>
      </c>
      <c r="B394" t="s">
        <v>713</v>
      </c>
      <c r="C394" t="s">
        <v>926</v>
      </c>
      <c r="D394" t="s">
        <v>927</v>
      </c>
      <c r="E394" t="s">
        <v>19</v>
      </c>
      <c r="F394" t="s">
        <v>726</v>
      </c>
      <c r="G394" t="s">
        <v>760</v>
      </c>
      <c r="H394" t="str">
        <f>'Huong dan giao do an'!$B$14</f>
        <v>5 SV (vai trò chính): 1 PM/Scrum Master kiêm Integration; 2 BA/PO; 3 UI-UX + Frontend; 4 Backend/API + DevOps; 5 Database + QA/Tester. Mỗi SV có nhiệm vụ phụ và minh chứng cá nhân.</v>
      </c>
      <c r="I394" t="s">
        <v>22</v>
      </c>
      <c r="J394" t="s">
        <v>718</v>
      </c>
      <c r="K394" t="str">
        <f>IF(I394="Trung bình",'Huong dan giao do an'!$B$8,IF(I394="Khá",'Huong dan giao do an'!$B$9,'Huong dan giao do an'!$B$10))</f>
        <v>Tối thiểu 4 actor; 10-14 use case; 8-12 bảng; 3 quy trình lõi; phân quyền chi tiết; 2 báo cáo; tích hợp 1 dịch vụ; &gt;=35 test case; CI/CD hoặc deploy cloud.</v>
      </c>
      <c r="L394" t="str">
        <f>'Huong dan giao do an'!$B$31</f>
        <v>Bắt buộc: Charter/PMP; SRS + scope/WBS; Gantt/baseline; effort-cost budget; RACI/timesheet; quality-test-defect; communication/minutes; risk register; procurement; change log; closure/lessons learned.</v>
      </c>
      <c r="M394" t="str">
        <f>'Huong dan giao do an'!$B$33</f>
        <v>Tuần 1: 07.09–13.09.2026; Tuần 2: 14.09–20.09.2026; Tuần 3: 21.09–27.09.2026; Tuần 4: 28.09–04.10.2026; Tuần 5: 05.10–11.10.2026; Tuần 6: 12.10–18.10.2026; Tuần 7: 19.10–25.10.2026; Tuần 8: 26.10–01.11.2026.</v>
      </c>
      <c r="N3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4" s="17" t="str">
        <f t="shared" si="6"/>
        <v>Còn trống</v>
      </c>
    </row>
    <row r="395" spans="1:16" x14ac:dyDescent="0.3">
      <c r="A395">
        <v>394</v>
      </c>
      <c r="B395" t="s">
        <v>713</v>
      </c>
      <c r="C395" t="s">
        <v>928</v>
      </c>
      <c r="D395" t="s">
        <v>929</v>
      </c>
      <c r="E395" t="s">
        <v>26</v>
      </c>
      <c r="F395" t="s">
        <v>731</v>
      </c>
      <c r="G395" t="s">
        <v>763</v>
      </c>
      <c r="H395" t="str">
        <f>'Huong dan giao do an'!$B$14</f>
        <v>5 SV (vai trò chính): 1 PM/Scrum Master kiêm Integration; 2 BA/PO; 3 UI-UX + Frontend; 4 Backend/API + DevOps; 5 Database + QA/Tester. Mỗi SV có nhiệm vụ phụ và minh chứng cá nhân.</v>
      </c>
      <c r="I395" t="s">
        <v>29</v>
      </c>
      <c r="J395" t="s">
        <v>723</v>
      </c>
      <c r="K395" t="str">
        <f>IF(I395="Trung bình",'Huong dan giao do an'!$B$8,IF(I395="Khá",'Huong dan giao do an'!$B$9,'Huong dan giao do an'!$B$10))</f>
        <v>Tối thiểu 5 actor; 14-18 use case; 10-15 bảng; 4 quy trình; tích hợp ngoài/realtime hoặc xử lý nâng cao; 3 báo cáo; &gt;=45 test case; logging, backup và deploy.</v>
      </c>
      <c r="L395" t="str">
        <f>'Huong dan giao do an'!$B$31</f>
        <v>Bắt buộc: Charter/PMP; SRS + scope/WBS; Gantt/baseline; effort-cost budget; RACI/timesheet; quality-test-defect; communication/minutes; risk register; procurement; change log; closure/lessons learned.</v>
      </c>
      <c r="M395" t="str">
        <f>'Huong dan giao do an'!$B$33</f>
        <v>Tuần 1: 07.09–13.09.2026; Tuần 2: 14.09–20.09.2026; Tuần 3: 21.09–27.09.2026; Tuần 4: 28.09–04.10.2026; Tuần 5: 05.10–11.10.2026; Tuần 6: 12.10–18.10.2026; Tuần 7: 19.10–25.10.2026; Tuần 8: 26.10–01.11.2026.</v>
      </c>
      <c r="N3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5" s="17" t="str">
        <f t="shared" si="6"/>
        <v>Còn trống</v>
      </c>
    </row>
    <row r="396" spans="1:16" x14ac:dyDescent="0.3">
      <c r="A396">
        <v>395</v>
      </c>
      <c r="B396" t="s">
        <v>713</v>
      </c>
      <c r="C396" t="s">
        <v>930</v>
      </c>
      <c r="D396" t="s">
        <v>931</v>
      </c>
      <c r="E396" t="s">
        <v>33</v>
      </c>
      <c r="F396" t="s">
        <v>735</v>
      </c>
      <c r="G396" t="s">
        <v>766</v>
      </c>
      <c r="H396" t="str">
        <f>'Huong dan giao do an'!$B$14</f>
        <v>5 SV (vai trò chính): 1 PM/Scrum Master kiêm Integration; 2 BA/PO; 3 UI-UX + Frontend; 4 Backend/API + DevOps; 5 Database + QA/Tester. Mỗi SV có nhiệm vụ phụ và minh chứng cá nhân.</v>
      </c>
      <c r="I396" t="s">
        <v>36</v>
      </c>
      <c r="J396" t="s">
        <v>728</v>
      </c>
      <c r="K396" t="str">
        <f>IF(I396="Trung bình",'Huong dan giao do an'!$B$8,IF(I396="Khá",'Huong dan giao do an'!$B$9,'Huong dan giao do an'!$B$10))</f>
        <v>Tối thiểu 3 actor; 8-10 use case; 6-8 bảng dữ liệu; 2 quy trình lõi; đăng nhập/RBAC; 1 dashboard; 1 báo cáo; &gt;=25 test case; triển khai bản demo.</v>
      </c>
      <c r="L396" t="str">
        <f>'Huong dan giao do an'!$B$31</f>
        <v>Bắt buộc: Charter/PMP; SRS + scope/WBS; Gantt/baseline; effort-cost budget; RACI/timesheet; quality-test-defect; communication/minutes; risk register; procurement; change log; closure/lessons learned.</v>
      </c>
      <c r="M396" t="str">
        <f>'Huong dan giao do an'!$B$33</f>
        <v>Tuần 1: 07.09–13.09.2026; Tuần 2: 14.09–20.09.2026; Tuần 3: 21.09–27.09.2026; Tuần 4: 28.09–04.10.2026; Tuần 5: 05.10–11.10.2026; Tuần 6: 12.10–18.10.2026; Tuần 7: 19.10–25.10.2026; Tuần 8: 26.10–01.11.2026.</v>
      </c>
      <c r="N3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6" s="17" t="str">
        <f t="shared" si="6"/>
        <v>Còn trống</v>
      </c>
    </row>
    <row r="397" spans="1:16" x14ac:dyDescent="0.3">
      <c r="A397">
        <v>396</v>
      </c>
      <c r="B397" t="s">
        <v>713</v>
      </c>
      <c r="C397" t="s">
        <v>932</v>
      </c>
      <c r="D397" t="s">
        <v>933</v>
      </c>
      <c r="E397" t="s">
        <v>40</v>
      </c>
      <c r="F397" t="s">
        <v>716</v>
      </c>
      <c r="G397" t="s">
        <v>769</v>
      </c>
      <c r="H397" t="str">
        <f>'Huong dan giao do an'!$B$14</f>
        <v>5 SV (vai trò chính): 1 PM/Scrum Master kiêm Integration; 2 BA/PO; 3 UI-UX + Frontend; 4 Backend/API + DevOps; 5 Database + QA/Tester. Mỗi SV có nhiệm vụ phụ và minh chứng cá nhân.</v>
      </c>
      <c r="I397" t="s">
        <v>22</v>
      </c>
      <c r="J397" t="s">
        <v>718</v>
      </c>
      <c r="K397" t="str">
        <f>IF(I397="Trung bình",'Huong dan giao do an'!$B$8,IF(I397="Khá",'Huong dan giao do an'!$B$9,'Huong dan giao do an'!$B$10))</f>
        <v>Tối thiểu 4 actor; 10-14 use case; 8-12 bảng; 3 quy trình lõi; phân quyền chi tiết; 2 báo cáo; tích hợp 1 dịch vụ; &gt;=35 test case; CI/CD hoặc deploy cloud.</v>
      </c>
      <c r="L397" t="str">
        <f>'Huong dan giao do an'!$B$31</f>
        <v>Bắt buộc: Charter/PMP; SRS + scope/WBS; Gantt/baseline; effort-cost budget; RACI/timesheet; quality-test-defect; communication/minutes; risk register; procurement; change log; closure/lessons learned.</v>
      </c>
      <c r="M397" t="str">
        <f>'Huong dan giao do an'!$B$33</f>
        <v>Tuần 1: 07.09–13.09.2026; Tuần 2: 14.09–20.09.2026; Tuần 3: 21.09–27.09.2026; Tuần 4: 28.09–04.10.2026; Tuần 5: 05.10–11.10.2026; Tuần 6: 12.10–18.10.2026; Tuần 7: 19.10–25.10.2026; Tuần 8: 26.10–01.11.2026.</v>
      </c>
      <c r="N3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7" s="17" t="str">
        <f t="shared" si="6"/>
        <v>Còn trống</v>
      </c>
    </row>
    <row r="398" spans="1:16" x14ac:dyDescent="0.3">
      <c r="A398">
        <v>397</v>
      </c>
      <c r="B398" t="s">
        <v>713</v>
      </c>
      <c r="C398" t="s">
        <v>934</v>
      </c>
      <c r="D398" t="s">
        <v>935</v>
      </c>
      <c r="E398" t="s">
        <v>45</v>
      </c>
      <c r="F398" t="s">
        <v>721</v>
      </c>
      <c r="G398" t="s">
        <v>772</v>
      </c>
      <c r="H398" t="str">
        <f>'Huong dan giao do an'!$B$14</f>
        <v>5 SV (vai trò chính): 1 PM/Scrum Master kiêm Integration; 2 BA/PO; 3 UI-UX + Frontend; 4 Backend/API + DevOps; 5 Database + QA/Tester. Mỗi SV có nhiệm vụ phụ và minh chứng cá nhân.</v>
      </c>
      <c r="I398" t="s">
        <v>29</v>
      </c>
      <c r="J398" t="s">
        <v>723</v>
      </c>
      <c r="K398" t="str">
        <f>IF(I398="Trung bình",'Huong dan giao do an'!$B$8,IF(I398="Khá",'Huong dan giao do an'!$B$9,'Huong dan giao do an'!$B$10))</f>
        <v>Tối thiểu 5 actor; 14-18 use case; 10-15 bảng; 4 quy trình; tích hợp ngoài/realtime hoặc xử lý nâng cao; 3 báo cáo; &gt;=45 test case; logging, backup và deploy.</v>
      </c>
      <c r="L398" t="str">
        <f>'Huong dan giao do an'!$B$31</f>
        <v>Bắt buộc: Charter/PMP; SRS + scope/WBS; Gantt/baseline; effort-cost budget; RACI/timesheet; quality-test-defect; communication/minutes; risk register; procurement; change log; closure/lessons learned.</v>
      </c>
      <c r="M398" t="str">
        <f>'Huong dan giao do an'!$B$33</f>
        <v>Tuần 1: 07.09–13.09.2026; Tuần 2: 14.09–20.09.2026; Tuần 3: 21.09–27.09.2026; Tuần 4: 28.09–04.10.2026; Tuần 5: 05.10–11.10.2026; Tuần 6: 12.10–18.10.2026; Tuần 7: 19.10–25.10.2026; Tuần 8: 26.10–01.11.2026.</v>
      </c>
      <c r="N3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8" s="17" t="str">
        <f t="shared" si="6"/>
        <v>Còn trống</v>
      </c>
    </row>
    <row r="399" spans="1:16" x14ac:dyDescent="0.3">
      <c r="A399">
        <v>398</v>
      </c>
      <c r="B399" t="s">
        <v>713</v>
      </c>
      <c r="C399" t="s">
        <v>936</v>
      </c>
      <c r="D399" t="s">
        <v>937</v>
      </c>
      <c r="E399" t="s">
        <v>19</v>
      </c>
      <c r="F399" t="s">
        <v>726</v>
      </c>
      <c r="G399" t="s">
        <v>775</v>
      </c>
      <c r="H399" t="str">
        <f>'Huong dan giao do an'!$B$14</f>
        <v>5 SV (vai trò chính): 1 PM/Scrum Master kiêm Integration; 2 BA/PO; 3 UI-UX + Frontend; 4 Backend/API + DevOps; 5 Database + QA/Tester. Mỗi SV có nhiệm vụ phụ và minh chứng cá nhân.</v>
      </c>
      <c r="I399" t="s">
        <v>36</v>
      </c>
      <c r="J399" t="s">
        <v>728</v>
      </c>
      <c r="K399" t="str">
        <f>IF(I399="Trung bình",'Huong dan giao do an'!$B$8,IF(I399="Khá",'Huong dan giao do an'!$B$9,'Huong dan giao do an'!$B$10))</f>
        <v>Tối thiểu 3 actor; 8-10 use case; 6-8 bảng dữ liệu; 2 quy trình lõi; đăng nhập/RBAC; 1 dashboard; 1 báo cáo; &gt;=25 test case; triển khai bản demo.</v>
      </c>
      <c r="L399" t="str">
        <f>'Huong dan giao do an'!$B$31</f>
        <v>Bắt buộc: Charter/PMP; SRS + scope/WBS; Gantt/baseline; effort-cost budget; RACI/timesheet; quality-test-defect; communication/minutes; risk register; procurement; change log; closure/lessons learned.</v>
      </c>
      <c r="M399" t="str">
        <f>'Huong dan giao do an'!$B$33</f>
        <v>Tuần 1: 07.09–13.09.2026; Tuần 2: 14.09–20.09.2026; Tuần 3: 21.09–27.09.2026; Tuần 4: 28.09–04.10.2026; Tuần 5: 05.10–11.10.2026; Tuần 6: 12.10–18.10.2026; Tuần 7: 19.10–25.10.2026; Tuần 8: 26.10–01.11.2026.</v>
      </c>
      <c r="N3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99" s="17" t="str">
        <f t="shared" si="6"/>
        <v>Còn trống</v>
      </c>
    </row>
    <row r="400" spans="1:16" x14ac:dyDescent="0.3">
      <c r="A400">
        <v>399</v>
      </c>
      <c r="B400" t="s">
        <v>713</v>
      </c>
      <c r="C400" t="s">
        <v>938</v>
      </c>
      <c r="D400" t="s">
        <v>939</v>
      </c>
      <c r="E400" t="s">
        <v>26</v>
      </c>
      <c r="F400" t="s">
        <v>731</v>
      </c>
      <c r="G400" t="s">
        <v>778</v>
      </c>
      <c r="H400" t="str">
        <f>'Huong dan giao do an'!$B$14</f>
        <v>5 SV (vai trò chính): 1 PM/Scrum Master kiêm Integration; 2 BA/PO; 3 UI-UX + Frontend; 4 Backend/API + DevOps; 5 Database + QA/Tester. Mỗi SV có nhiệm vụ phụ và minh chứng cá nhân.</v>
      </c>
      <c r="I400" t="s">
        <v>22</v>
      </c>
      <c r="J400" t="s">
        <v>718</v>
      </c>
      <c r="K400" t="str">
        <f>IF(I400="Trung bình",'Huong dan giao do an'!$B$8,IF(I400="Khá",'Huong dan giao do an'!$B$9,'Huong dan giao do an'!$B$10))</f>
        <v>Tối thiểu 4 actor; 10-14 use case; 8-12 bảng; 3 quy trình lõi; phân quyền chi tiết; 2 báo cáo; tích hợp 1 dịch vụ; &gt;=35 test case; CI/CD hoặc deploy cloud.</v>
      </c>
      <c r="L400" t="str">
        <f>'Huong dan giao do an'!$B$31</f>
        <v>Bắt buộc: Charter/PMP; SRS + scope/WBS; Gantt/baseline; effort-cost budget; RACI/timesheet; quality-test-defect; communication/minutes; risk register; procurement; change log; closure/lessons learned.</v>
      </c>
      <c r="M400" t="str">
        <f>'Huong dan giao do an'!$B$33</f>
        <v>Tuần 1: 07.09–13.09.2026; Tuần 2: 14.09–20.09.2026; Tuần 3: 21.09–27.09.2026; Tuần 4: 28.09–04.10.2026; Tuần 5: 05.10–11.10.2026; Tuần 6: 12.10–18.10.2026; Tuần 7: 19.10–25.10.2026; Tuần 8: 26.10–01.11.2026.</v>
      </c>
      <c r="N4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0" s="17" t="str">
        <f t="shared" si="6"/>
        <v>Còn trống</v>
      </c>
    </row>
    <row r="401" spans="1:16" x14ac:dyDescent="0.3">
      <c r="A401">
        <v>400</v>
      </c>
      <c r="B401" t="s">
        <v>713</v>
      </c>
      <c r="C401" t="s">
        <v>940</v>
      </c>
      <c r="D401" t="s">
        <v>941</v>
      </c>
      <c r="E401" t="s">
        <v>33</v>
      </c>
      <c r="F401" t="s">
        <v>735</v>
      </c>
      <c r="G401" t="s">
        <v>781</v>
      </c>
      <c r="H401" t="str">
        <f>'Huong dan giao do an'!$B$14</f>
        <v>5 SV (vai trò chính): 1 PM/Scrum Master kiêm Integration; 2 BA/PO; 3 UI-UX + Frontend; 4 Backend/API + DevOps; 5 Database + QA/Tester. Mỗi SV có nhiệm vụ phụ và minh chứng cá nhân.</v>
      </c>
      <c r="I401" t="s">
        <v>29</v>
      </c>
      <c r="J401" t="s">
        <v>723</v>
      </c>
      <c r="K401" t="str">
        <f>IF(I401="Trung bình",'Huong dan giao do an'!$B$8,IF(I401="Khá",'Huong dan giao do an'!$B$9,'Huong dan giao do an'!$B$10))</f>
        <v>Tối thiểu 5 actor; 14-18 use case; 10-15 bảng; 4 quy trình; tích hợp ngoài/realtime hoặc xử lý nâng cao; 3 báo cáo; &gt;=45 test case; logging, backup và deploy.</v>
      </c>
      <c r="L401" t="str">
        <f>'Huong dan giao do an'!$B$31</f>
        <v>Bắt buộc: Charter/PMP; SRS + scope/WBS; Gantt/baseline; effort-cost budget; RACI/timesheet; quality-test-defect; communication/minutes; risk register; procurement; change log; closure/lessons learned.</v>
      </c>
      <c r="M401" t="str">
        <f>'Huong dan giao do an'!$B$33</f>
        <v>Tuần 1: 07.09–13.09.2026; Tuần 2: 14.09–20.09.2026; Tuần 3: 21.09–27.09.2026; Tuần 4: 28.09–04.10.2026; Tuần 5: 05.10–11.10.2026; Tuần 6: 12.10–18.10.2026; Tuần 7: 19.10–25.10.2026; Tuần 8: 26.10–01.11.2026.</v>
      </c>
      <c r="N4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1" s="17" t="str">
        <f t="shared" si="6"/>
        <v>Còn trống</v>
      </c>
    </row>
    <row r="402" spans="1:16" x14ac:dyDescent="0.3">
      <c r="A402">
        <v>401</v>
      </c>
      <c r="B402" t="s">
        <v>942</v>
      </c>
      <c r="C402" t="s">
        <v>943</v>
      </c>
      <c r="D402" t="s">
        <v>944</v>
      </c>
      <c r="E402" t="s">
        <v>45</v>
      </c>
      <c r="F402" t="s">
        <v>945</v>
      </c>
      <c r="G402" t="s">
        <v>946</v>
      </c>
      <c r="H402" t="str">
        <f>'Huong dan giao do an'!$B$14</f>
        <v>5 SV (vai trò chính): 1 PM/Scrum Master kiêm Integration; 2 BA/PO; 3 UI-UX + Frontend; 4 Backend/API + DevOps; 5 Database + QA/Tester. Mỗi SV có nhiệm vụ phụ và minh chứng cá nhân.</v>
      </c>
      <c r="I402" t="s">
        <v>22</v>
      </c>
      <c r="J402" t="s">
        <v>947</v>
      </c>
      <c r="K402" t="str">
        <f>IF(I402="Trung bình",'Huong dan giao do an'!$B$8,IF(I402="Khá",'Huong dan giao do an'!$B$9,'Huong dan giao do an'!$B$10))</f>
        <v>Tối thiểu 4 actor; 10-14 use case; 8-12 bảng; 3 quy trình lõi; phân quyền chi tiết; 2 báo cáo; tích hợp 1 dịch vụ; &gt;=35 test case; CI/CD hoặc deploy cloud.</v>
      </c>
      <c r="L402" t="str">
        <f>'Huong dan giao do an'!$B$31</f>
        <v>Bắt buộc: Charter/PMP; SRS + scope/WBS; Gantt/baseline; effort-cost budget; RACI/timesheet; quality-test-defect; communication/minutes; risk register; procurement; change log; closure/lessons learned.</v>
      </c>
      <c r="M402" t="str">
        <f>'Huong dan giao do an'!$B$33</f>
        <v>Tuần 1: 07.09–13.09.2026; Tuần 2: 14.09–20.09.2026; Tuần 3: 21.09–27.09.2026; Tuần 4: 28.09–04.10.2026; Tuần 5: 05.10–11.10.2026; Tuần 6: 12.10–18.10.2026; Tuần 7: 19.10–25.10.2026; Tuần 8: 26.10–01.11.2026.</v>
      </c>
      <c r="N4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2" s="17" t="str">
        <f t="shared" si="6"/>
        <v>Còn trống</v>
      </c>
    </row>
    <row r="403" spans="1:16" x14ac:dyDescent="0.3">
      <c r="A403">
        <v>402</v>
      </c>
      <c r="B403" t="s">
        <v>942</v>
      </c>
      <c r="C403" t="s">
        <v>948</v>
      </c>
      <c r="D403" t="s">
        <v>949</v>
      </c>
      <c r="E403" t="s">
        <v>19</v>
      </c>
      <c r="F403" t="s">
        <v>950</v>
      </c>
      <c r="G403" t="s">
        <v>951</v>
      </c>
      <c r="H403" t="str">
        <f>'Huong dan giao do an'!$B$14</f>
        <v>5 SV (vai trò chính): 1 PM/Scrum Master kiêm Integration; 2 BA/PO; 3 UI-UX + Frontend; 4 Backend/API + DevOps; 5 Database + QA/Tester. Mỗi SV có nhiệm vụ phụ và minh chứng cá nhân.</v>
      </c>
      <c r="I403" t="s">
        <v>29</v>
      </c>
      <c r="J403" t="s">
        <v>952</v>
      </c>
      <c r="K403" t="str">
        <f>IF(I403="Trung bình",'Huong dan giao do an'!$B$8,IF(I403="Khá",'Huong dan giao do an'!$B$9,'Huong dan giao do an'!$B$10))</f>
        <v>Tối thiểu 5 actor; 14-18 use case; 10-15 bảng; 4 quy trình; tích hợp ngoài/realtime hoặc xử lý nâng cao; 3 báo cáo; &gt;=45 test case; logging, backup và deploy.</v>
      </c>
      <c r="L403" t="str">
        <f>'Huong dan giao do an'!$B$31</f>
        <v>Bắt buộc: Charter/PMP; SRS + scope/WBS; Gantt/baseline; effort-cost budget; RACI/timesheet; quality-test-defect; communication/minutes; risk register; procurement; change log; closure/lessons learned.</v>
      </c>
      <c r="M403" t="str">
        <f>'Huong dan giao do an'!$B$33</f>
        <v>Tuần 1: 07.09–13.09.2026; Tuần 2: 14.09–20.09.2026; Tuần 3: 21.09–27.09.2026; Tuần 4: 28.09–04.10.2026; Tuần 5: 05.10–11.10.2026; Tuần 6: 12.10–18.10.2026; Tuần 7: 19.10–25.10.2026; Tuần 8: 26.10–01.11.2026.</v>
      </c>
      <c r="N4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3" s="17" t="str">
        <f t="shared" si="6"/>
        <v>Còn trống</v>
      </c>
    </row>
    <row r="404" spans="1:16" x14ac:dyDescent="0.3">
      <c r="A404">
        <v>403</v>
      </c>
      <c r="B404" t="s">
        <v>942</v>
      </c>
      <c r="C404" t="s">
        <v>953</v>
      </c>
      <c r="D404" t="s">
        <v>954</v>
      </c>
      <c r="E404" t="s">
        <v>26</v>
      </c>
      <c r="F404" t="s">
        <v>955</v>
      </c>
      <c r="G404" t="s">
        <v>956</v>
      </c>
      <c r="H404" t="str">
        <f>'Huong dan giao do an'!$B$14</f>
        <v>5 SV (vai trò chính): 1 PM/Scrum Master kiêm Integration; 2 BA/PO; 3 UI-UX + Frontend; 4 Backend/API + DevOps; 5 Database + QA/Tester. Mỗi SV có nhiệm vụ phụ và minh chứng cá nhân.</v>
      </c>
      <c r="I404" t="s">
        <v>36</v>
      </c>
      <c r="J404" t="s">
        <v>957</v>
      </c>
      <c r="K404" t="str">
        <f>IF(I404="Trung bình",'Huong dan giao do an'!$B$8,IF(I404="Khá",'Huong dan giao do an'!$B$9,'Huong dan giao do an'!$B$10))</f>
        <v>Tối thiểu 3 actor; 8-10 use case; 6-8 bảng dữ liệu; 2 quy trình lõi; đăng nhập/RBAC; 1 dashboard; 1 báo cáo; &gt;=25 test case; triển khai bản demo.</v>
      </c>
      <c r="L404" t="str">
        <f>'Huong dan giao do an'!$B$31</f>
        <v>Bắt buộc: Charter/PMP; SRS + scope/WBS; Gantt/baseline; effort-cost budget; RACI/timesheet; quality-test-defect; communication/minutes; risk register; procurement; change log; closure/lessons learned.</v>
      </c>
      <c r="M404" t="str">
        <f>'Huong dan giao do an'!$B$33</f>
        <v>Tuần 1: 07.09–13.09.2026; Tuần 2: 14.09–20.09.2026; Tuần 3: 21.09–27.09.2026; Tuần 4: 28.09–04.10.2026; Tuần 5: 05.10–11.10.2026; Tuần 6: 12.10–18.10.2026; Tuần 7: 19.10–25.10.2026; Tuần 8: 26.10–01.11.2026.</v>
      </c>
      <c r="N4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4" s="17" t="str">
        <f t="shared" si="6"/>
        <v>Còn trống</v>
      </c>
    </row>
    <row r="405" spans="1:16" x14ac:dyDescent="0.3">
      <c r="A405">
        <v>404</v>
      </c>
      <c r="B405" t="s">
        <v>942</v>
      </c>
      <c r="C405" t="s">
        <v>958</v>
      </c>
      <c r="D405" t="s">
        <v>959</v>
      </c>
      <c r="E405" t="s">
        <v>33</v>
      </c>
      <c r="F405" t="s">
        <v>960</v>
      </c>
      <c r="G405" t="s">
        <v>961</v>
      </c>
      <c r="H405" t="str">
        <f>'Huong dan giao do an'!$B$14</f>
        <v>5 SV (vai trò chính): 1 PM/Scrum Master kiêm Integration; 2 BA/PO; 3 UI-UX + Frontend; 4 Backend/API + DevOps; 5 Database + QA/Tester. Mỗi SV có nhiệm vụ phụ và minh chứng cá nhân.</v>
      </c>
      <c r="I405" t="s">
        <v>22</v>
      </c>
      <c r="J405" t="s">
        <v>947</v>
      </c>
      <c r="K405" t="str">
        <f>IF(I405="Trung bình",'Huong dan giao do an'!$B$8,IF(I405="Khá",'Huong dan giao do an'!$B$9,'Huong dan giao do an'!$B$10))</f>
        <v>Tối thiểu 4 actor; 10-14 use case; 8-12 bảng; 3 quy trình lõi; phân quyền chi tiết; 2 báo cáo; tích hợp 1 dịch vụ; &gt;=35 test case; CI/CD hoặc deploy cloud.</v>
      </c>
      <c r="L405" t="str">
        <f>'Huong dan giao do an'!$B$31</f>
        <v>Bắt buộc: Charter/PMP; SRS + scope/WBS; Gantt/baseline; effort-cost budget; RACI/timesheet; quality-test-defect; communication/minutes; risk register; procurement; change log; closure/lessons learned.</v>
      </c>
      <c r="M405" t="str">
        <f>'Huong dan giao do an'!$B$33</f>
        <v>Tuần 1: 07.09–13.09.2026; Tuần 2: 14.09–20.09.2026; Tuần 3: 21.09–27.09.2026; Tuần 4: 28.09–04.10.2026; Tuần 5: 05.10–11.10.2026; Tuần 6: 12.10–18.10.2026; Tuần 7: 19.10–25.10.2026; Tuần 8: 26.10–01.11.2026.</v>
      </c>
      <c r="N4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5" s="17" t="str">
        <f t="shared" si="6"/>
        <v>Còn trống</v>
      </c>
    </row>
    <row r="406" spans="1:16" x14ac:dyDescent="0.3">
      <c r="A406">
        <v>405</v>
      </c>
      <c r="B406" t="s">
        <v>942</v>
      </c>
      <c r="C406" t="s">
        <v>962</v>
      </c>
      <c r="D406" t="s">
        <v>963</v>
      </c>
      <c r="E406" t="s">
        <v>40</v>
      </c>
      <c r="F406" t="s">
        <v>964</v>
      </c>
      <c r="G406" t="s">
        <v>965</v>
      </c>
      <c r="H406" t="str">
        <f>'Huong dan giao do an'!$B$14</f>
        <v>5 SV (vai trò chính): 1 PM/Scrum Master kiêm Integration; 2 BA/PO; 3 UI-UX + Frontend; 4 Backend/API + DevOps; 5 Database + QA/Tester. Mỗi SV có nhiệm vụ phụ và minh chứng cá nhân.</v>
      </c>
      <c r="I406" t="s">
        <v>29</v>
      </c>
      <c r="J406" t="s">
        <v>952</v>
      </c>
      <c r="K406" t="str">
        <f>IF(I406="Trung bình",'Huong dan giao do an'!$B$8,IF(I406="Khá",'Huong dan giao do an'!$B$9,'Huong dan giao do an'!$B$10))</f>
        <v>Tối thiểu 5 actor; 14-18 use case; 10-15 bảng; 4 quy trình; tích hợp ngoài/realtime hoặc xử lý nâng cao; 3 báo cáo; &gt;=45 test case; logging, backup và deploy.</v>
      </c>
      <c r="L406" t="str">
        <f>'Huong dan giao do an'!$B$31</f>
        <v>Bắt buộc: Charter/PMP; SRS + scope/WBS; Gantt/baseline; effort-cost budget; RACI/timesheet; quality-test-defect; communication/minutes; risk register; procurement; change log; closure/lessons learned.</v>
      </c>
      <c r="M406" t="str">
        <f>'Huong dan giao do an'!$B$33</f>
        <v>Tuần 1: 07.09–13.09.2026; Tuần 2: 14.09–20.09.2026; Tuần 3: 21.09–27.09.2026; Tuần 4: 28.09–04.10.2026; Tuần 5: 05.10–11.10.2026; Tuần 6: 12.10–18.10.2026; Tuần 7: 19.10–25.10.2026; Tuần 8: 26.10–01.11.2026.</v>
      </c>
      <c r="N4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6" s="17" t="str">
        <f t="shared" si="6"/>
        <v>Còn trống</v>
      </c>
    </row>
    <row r="407" spans="1:16" x14ac:dyDescent="0.3">
      <c r="A407">
        <v>406</v>
      </c>
      <c r="B407" t="s">
        <v>942</v>
      </c>
      <c r="C407" t="s">
        <v>966</v>
      </c>
      <c r="D407" t="s">
        <v>967</v>
      </c>
      <c r="E407" t="s">
        <v>45</v>
      </c>
      <c r="F407" t="s">
        <v>945</v>
      </c>
      <c r="G407" t="s">
        <v>968</v>
      </c>
      <c r="H407" t="str">
        <f>'Huong dan giao do an'!$B$14</f>
        <v>5 SV (vai trò chính): 1 PM/Scrum Master kiêm Integration; 2 BA/PO; 3 UI-UX + Frontend; 4 Backend/API + DevOps; 5 Database + QA/Tester. Mỗi SV có nhiệm vụ phụ và minh chứng cá nhân.</v>
      </c>
      <c r="I407" t="s">
        <v>36</v>
      </c>
      <c r="J407" t="s">
        <v>957</v>
      </c>
      <c r="K407" t="str">
        <f>IF(I407="Trung bình",'Huong dan giao do an'!$B$8,IF(I407="Khá",'Huong dan giao do an'!$B$9,'Huong dan giao do an'!$B$10))</f>
        <v>Tối thiểu 3 actor; 8-10 use case; 6-8 bảng dữ liệu; 2 quy trình lõi; đăng nhập/RBAC; 1 dashboard; 1 báo cáo; &gt;=25 test case; triển khai bản demo.</v>
      </c>
      <c r="L407" t="str">
        <f>'Huong dan giao do an'!$B$31</f>
        <v>Bắt buộc: Charter/PMP; SRS + scope/WBS; Gantt/baseline; effort-cost budget; RACI/timesheet; quality-test-defect; communication/minutes; risk register; procurement; change log; closure/lessons learned.</v>
      </c>
      <c r="M407" t="str">
        <f>'Huong dan giao do an'!$B$33</f>
        <v>Tuần 1: 07.09–13.09.2026; Tuần 2: 14.09–20.09.2026; Tuần 3: 21.09–27.09.2026; Tuần 4: 28.09–04.10.2026; Tuần 5: 05.10–11.10.2026; Tuần 6: 12.10–18.10.2026; Tuần 7: 19.10–25.10.2026; Tuần 8: 26.10–01.11.2026.</v>
      </c>
      <c r="N4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7" s="17" t="str">
        <f t="shared" si="6"/>
        <v>Còn trống</v>
      </c>
    </row>
    <row r="408" spans="1:16" x14ac:dyDescent="0.3">
      <c r="A408">
        <v>407</v>
      </c>
      <c r="B408" t="s">
        <v>942</v>
      </c>
      <c r="C408" t="s">
        <v>969</v>
      </c>
      <c r="D408" t="s">
        <v>970</v>
      </c>
      <c r="E408" t="s">
        <v>19</v>
      </c>
      <c r="F408" t="s">
        <v>950</v>
      </c>
      <c r="G408" t="s">
        <v>971</v>
      </c>
      <c r="H408" t="str">
        <f>'Huong dan giao do an'!$B$14</f>
        <v>5 SV (vai trò chính): 1 PM/Scrum Master kiêm Integration; 2 BA/PO; 3 UI-UX + Frontend; 4 Backend/API + DevOps; 5 Database + QA/Tester. Mỗi SV có nhiệm vụ phụ và minh chứng cá nhân.</v>
      </c>
      <c r="I408" t="s">
        <v>22</v>
      </c>
      <c r="J408" t="s">
        <v>947</v>
      </c>
      <c r="K408" t="str">
        <f>IF(I408="Trung bình",'Huong dan giao do an'!$B$8,IF(I408="Khá",'Huong dan giao do an'!$B$9,'Huong dan giao do an'!$B$10))</f>
        <v>Tối thiểu 4 actor; 10-14 use case; 8-12 bảng; 3 quy trình lõi; phân quyền chi tiết; 2 báo cáo; tích hợp 1 dịch vụ; &gt;=35 test case; CI/CD hoặc deploy cloud.</v>
      </c>
      <c r="L408" t="str">
        <f>'Huong dan giao do an'!$B$31</f>
        <v>Bắt buộc: Charter/PMP; SRS + scope/WBS; Gantt/baseline; effort-cost budget; RACI/timesheet; quality-test-defect; communication/minutes; risk register; procurement; change log; closure/lessons learned.</v>
      </c>
      <c r="M408" t="str">
        <f>'Huong dan giao do an'!$B$33</f>
        <v>Tuần 1: 07.09–13.09.2026; Tuần 2: 14.09–20.09.2026; Tuần 3: 21.09–27.09.2026; Tuần 4: 28.09–04.10.2026; Tuần 5: 05.10–11.10.2026; Tuần 6: 12.10–18.10.2026; Tuần 7: 19.10–25.10.2026; Tuần 8: 26.10–01.11.2026.</v>
      </c>
      <c r="N4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8" s="17" t="str">
        <f t="shared" si="6"/>
        <v>Còn trống</v>
      </c>
    </row>
    <row r="409" spans="1:16" x14ac:dyDescent="0.3">
      <c r="A409">
        <v>408</v>
      </c>
      <c r="B409" t="s">
        <v>942</v>
      </c>
      <c r="C409" t="s">
        <v>972</v>
      </c>
      <c r="D409" t="s">
        <v>973</v>
      </c>
      <c r="E409" t="s">
        <v>26</v>
      </c>
      <c r="F409" t="s">
        <v>955</v>
      </c>
      <c r="G409" t="s">
        <v>974</v>
      </c>
      <c r="H409" t="str">
        <f>'Huong dan giao do an'!$B$14</f>
        <v>5 SV (vai trò chính): 1 PM/Scrum Master kiêm Integration; 2 BA/PO; 3 UI-UX + Frontend; 4 Backend/API + DevOps; 5 Database + QA/Tester. Mỗi SV có nhiệm vụ phụ và minh chứng cá nhân.</v>
      </c>
      <c r="I409" t="s">
        <v>29</v>
      </c>
      <c r="J409" t="s">
        <v>952</v>
      </c>
      <c r="K409" t="str">
        <f>IF(I409="Trung bình",'Huong dan giao do an'!$B$8,IF(I409="Khá",'Huong dan giao do an'!$B$9,'Huong dan giao do an'!$B$10))</f>
        <v>Tối thiểu 5 actor; 14-18 use case; 10-15 bảng; 4 quy trình; tích hợp ngoài/realtime hoặc xử lý nâng cao; 3 báo cáo; &gt;=45 test case; logging, backup và deploy.</v>
      </c>
      <c r="L409" t="str">
        <f>'Huong dan giao do an'!$B$31</f>
        <v>Bắt buộc: Charter/PMP; SRS + scope/WBS; Gantt/baseline; effort-cost budget; RACI/timesheet; quality-test-defect; communication/minutes; risk register; procurement; change log; closure/lessons learned.</v>
      </c>
      <c r="M409" t="str">
        <f>'Huong dan giao do an'!$B$33</f>
        <v>Tuần 1: 07.09–13.09.2026; Tuần 2: 14.09–20.09.2026; Tuần 3: 21.09–27.09.2026; Tuần 4: 28.09–04.10.2026; Tuần 5: 05.10–11.10.2026; Tuần 6: 12.10–18.10.2026; Tuần 7: 19.10–25.10.2026; Tuần 8: 26.10–01.11.2026.</v>
      </c>
      <c r="N4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09" s="17" t="str">
        <f t="shared" si="6"/>
        <v>Còn trống</v>
      </c>
    </row>
    <row r="410" spans="1:16" x14ac:dyDescent="0.3">
      <c r="A410">
        <v>409</v>
      </c>
      <c r="B410" t="s">
        <v>942</v>
      </c>
      <c r="C410" t="s">
        <v>975</v>
      </c>
      <c r="D410" t="s">
        <v>976</v>
      </c>
      <c r="E410" t="s">
        <v>33</v>
      </c>
      <c r="F410" t="s">
        <v>960</v>
      </c>
      <c r="G410" t="s">
        <v>977</v>
      </c>
      <c r="H410" t="str">
        <f>'Huong dan giao do an'!$B$14</f>
        <v>5 SV (vai trò chính): 1 PM/Scrum Master kiêm Integration; 2 BA/PO; 3 UI-UX + Frontend; 4 Backend/API + DevOps; 5 Database + QA/Tester. Mỗi SV có nhiệm vụ phụ và minh chứng cá nhân.</v>
      </c>
      <c r="I410" t="s">
        <v>36</v>
      </c>
      <c r="J410" t="s">
        <v>957</v>
      </c>
      <c r="K410" t="str">
        <f>IF(I410="Trung bình",'Huong dan giao do an'!$B$8,IF(I410="Khá",'Huong dan giao do an'!$B$9,'Huong dan giao do an'!$B$10))</f>
        <v>Tối thiểu 3 actor; 8-10 use case; 6-8 bảng dữ liệu; 2 quy trình lõi; đăng nhập/RBAC; 1 dashboard; 1 báo cáo; &gt;=25 test case; triển khai bản demo.</v>
      </c>
      <c r="L410" t="str">
        <f>'Huong dan giao do an'!$B$31</f>
        <v>Bắt buộc: Charter/PMP; SRS + scope/WBS; Gantt/baseline; effort-cost budget; RACI/timesheet; quality-test-defect; communication/minutes; risk register; procurement; change log; closure/lessons learned.</v>
      </c>
      <c r="M410" t="str">
        <f>'Huong dan giao do an'!$B$33</f>
        <v>Tuần 1: 07.09–13.09.2026; Tuần 2: 14.09–20.09.2026; Tuần 3: 21.09–27.09.2026; Tuần 4: 28.09–04.10.2026; Tuần 5: 05.10–11.10.2026; Tuần 6: 12.10–18.10.2026; Tuần 7: 19.10–25.10.2026; Tuần 8: 26.10–01.11.2026.</v>
      </c>
      <c r="N4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0" s="17" t="str">
        <f t="shared" si="6"/>
        <v>Còn trống</v>
      </c>
    </row>
    <row r="411" spans="1:16" x14ac:dyDescent="0.3">
      <c r="A411">
        <v>410</v>
      </c>
      <c r="B411" t="s">
        <v>942</v>
      </c>
      <c r="C411" t="s">
        <v>978</v>
      </c>
      <c r="D411" t="s">
        <v>979</v>
      </c>
      <c r="E411" t="s">
        <v>40</v>
      </c>
      <c r="F411" t="s">
        <v>964</v>
      </c>
      <c r="G411" t="s">
        <v>980</v>
      </c>
      <c r="H411" t="str">
        <f>'Huong dan giao do an'!$B$14</f>
        <v>5 SV (vai trò chính): 1 PM/Scrum Master kiêm Integration; 2 BA/PO; 3 UI-UX + Frontend; 4 Backend/API + DevOps; 5 Database + QA/Tester. Mỗi SV có nhiệm vụ phụ và minh chứng cá nhân.</v>
      </c>
      <c r="I411" t="s">
        <v>22</v>
      </c>
      <c r="J411" t="s">
        <v>947</v>
      </c>
      <c r="K411" t="str">
        <f>IF(I411="Trung bình",'Huong dan giao do an'!$B$8,IF(I411="Khá",'Huong dan giao do an'!$B$9,'Huong dan giao do an'!$B$10))</f>
        <v>Tối thiểu 4 actor; 10-14 use case; 8-12 bảng; 3 quy trình lõi; phân quyền chi tiết; 2 báo cáo; tích hợp 1 dịch vụ; &gt;=35 test case; CI/CD hoặc deploy cloud.</v>
      </c>
      <c r="L411" t="str">
        <f>'Huong dan giao do an'!$B$31</f>
        <v>Bắt buộc: Charter/PMP; SRS + scope/WBS; Gantt/baseline; effort-cost budget; RACI/timesheet; quality-test-defect; communication/minutes; risk register; procurement; change log; closure/lessons learned.</v>
      </c>
      <c r="M411" t="str">
        <f>'Huong dan giao do an'!$B$33</f>
        <v>Tuần 1: 07.09–13.09.2026; Tuần 2: 14.09–20.09.2026; Tuần 3: 21.09–27.09.2026; Tuần 4: 28.09–04.10.2026; Tuần 5: 05.10–11.10.2026; Tuần 6: 12.10–18.10.2026; Tuần 7: 19.10–25.10.2026; Tuần 8: 26.10–01.11.2026.</v>
      </c>
      <c r="N4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1" s="17" t="str">
        <f t="shared" si="6"/>
        <v>Còn trống</v>
      </c>
    </row>
    <row r="412" spans="1:16" x14ac:dyDescent="0.3">
      <c r="A412">
        <v>411</v>
      </c>
      <c r="B412" t="s">
        <v>942</v>
      </c>
      <c r="C412" t="s">
        <v>981</v>
      </c>
      <c r="D412" t="s">
        <v>982</v>
      </c>
      <c r="E412" t="s">
        <v>45</v>
      </c>
      <c r="F412" t="s">
        <v>945</v>
      </c>
      <c r="G412" t="s">
        <v>983</v>
      </c>
      <c r="H412" t="str">
        <f>'Huong dan giao do an'!$B$14</f>
        <v>5 SV (vai trò chính): 1 PM/Scrum Master kiêm Integration; 2 BA/PO; 3 UI-UX + Frontend; 4 Backend/API + DevOps; 5 Database + QA/Tester. Mỗi SV có nhiệm vụ phụ và minh chứng cá nhân.</v>
      </c>
      <c r="I412" t="s">
        <v>29</v>
      </c>
      <c r="J412" t="s">
        <v>952</v>
      </c>
      <c r="K412" t="str">
        <f>IF(I412="Trung bình",'Huong dan giao do an'!$B$8,IF(I412="Khá",'Huong dan giao do an'!$B$9,'Huong dan giao do an'!$B$10))</f>
        <v>Tối thiểu 5 actor; 14-18 use case; 10-15 bảng; 4 quy trình; tích hợp ngoài/realtime hoặc xử lý nâng cao; 3 báo cáo; &gt;=45 test case; logging, backup và deploy.</v>
      </c>
      <c r="L412" t="str">
        <f>'Huong dan giao do an'!$B$31</f>
        <v>Bắt buộc: Charter/PMP; SRS + scope/WBS; Gantt/baseline; effort-cost budget; RACI/timesheet; quality-test-defect; communication/minutes; risk register; procurement; change log; closure/lessons learned.</v>
      </c>
      <c r="M412" t="str">
        <f>'Huong dan giao do an'!$B$33</f>
        <v>Tuần 1: 07.09–13.09.2026; Tuần 2: 14.09–20.09.2026; Tuần 3: 21.09–27.09.2026; Tuần 4: 28.09–04.10.2026; Tuần 5: 05.10–11.10.2026; Tuần 6: 12.10–18.10.2026; Tuần 7: 19.10–25.10.2026; Tuần 8: 26.10–01.11.2026.</v>
      </c>
      <c r="N4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2" s="17" t="str">
        <f t="shared" si="6"/>
        <v>Còn trống</v>
      </c>
    </row>
    <row r="413" spans="1:16" x14ac:dyDescent="0.3">
      <c r="A413">
        <v>412</v>
      </c>
      <c r="B413" t="s">
        <v>942</v>
      </c>
      <c r="C413" t="s">
        <v>984</v>
      </c>
      <c r="D413" t="s">
        <v>985</v>
      </c>
      <c r="E413" t="s">
        <v>19</v>
      </c>
      <c r="F413" t="s">
        <v>950</v>
      </c>
      <c r="G413" t="s">
        <v>986</v>
      </c>
      <c r="H413" t="str">
        <f>'Huong dan giao do an'!$B$14</f>
        <v>5 SV (vai trò chính): 1 PM/Scrum Master kiêm Integration; 2 BA/PO; 3 UI-UX + Frontend; 4 Backend/API + DevOps; 5 Database + QA/Tester. Mỗi SV có nhiệm vụ phụ và minh chứng cá nhân.</v>
      </c>
      <c r="I413" t="s">
        <v>36</v>
      </c>
      <c r="J413" t="s">
        <v>957</v>
      </c>
      <c r="K413" t="str">
        <f>IF(I413="Trung bình",'Huong dan giao do an'!$B$8,IF(I413="Khá",'Huong dan giao do an'!$B$9,'Huong dan giao do an'!$B$10))</f>
        <v>Tối thiểu 3 actor; 8-10 use case; 6-8 bảng dữ liệu; 2 quy trình lõi; đăng nhập/RBAC; 1 dashboard; 1 báo cáo; &gt;=25 test case; triển khai bản demo.</v>
      </c>
      <c r="L413" t="str">
        <f>'Huong dan giao do an'!$B$31</f>
        <v>Bắt buộc: Charter/PMP; SRS + scope/WBS; Gantt/baseline; effort-cost budget; RACI/timesheet; quality-test-defect; communication/minutes; risk register; procurement; change log; closure/lessons learned.</v>
      </c>
      <c r="M413" t="str">
        <f>'Huong dan giao do an'!$B$33</f>
        <v>Tuần 1: 07.09–13.09.2026; Tuần 2: 14.09–20.09.2026; Tuần 3: 21.09–27.09.2026; Tuần 4: 28.09–04.10.2026; Tuần 5: 05.10–11.10.2026; Tuần 6: 12.10–18.10.2026; Tuần 7: 19.10–25.10.2026; Tuần 8: 26.10–01.11.2026.</v>
      </c>
      <c r="N4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3" s="17" t="str">
        <f t="shared" si="6"/>
        <v>Còn trống</v>
      </c>
    </row>
    <row r="414" spans="1:16" x14ac:dyDescent="0.3">
      <c r="A414">
        <v>413</v>
      </c>
      <c r="B414" t="s">
        <v>942</v>
      </c>
      <c r="C414" t="s">
        <v>987</v>
      </c>
      <c r="D414" t="s">
        <v>988</v>
      </c>
      <c r="E414" t="s">
        <v>26</v>
      </c>
      <c r="F414" t="s">
        <v>955</v>
      </c>
      <c r="G414" t="s">
        <v>989</v>
      </c>
      <c r="H414" t="str">
        <f>'Huong dan giao do an'!$B$14</f>
        <v>5 SV (vai trò chính): 1 PM/Scrum Master kiêm Integration; 2 BA/PO; 3 UI-UX + Frontend; 4 Backend/API + DevOps; 5 Database + QA/Tester. Mỗi SV có nhiệm vụ phụ và minh chứng cá nhân.</v>
      </c>
      <c r="I414" t="s">
        <v>22</v>
      </c>
      <c r="J414" t="s">
        <v>947</v>
      </c>
      <c r="K414" t="str">
        <f>IF(I414="Trung bình",'Huong dan giao do an'!$B$8,IF(I414="Khá",'Huong dan giao do an'!$B$9,'Huong dan giao do an'!$B$10))</f>
        <v>Tối thiểu 4 actor; 10-14 use case; 8-12 bảng; 3 quy trình lõi; phân quyền chi tiết; 2 báo cáo; tích hợp 1 dịch vụ; &gt;=35 test case; CI/CD hoặc deploy cloud.</v>
      </c>
      <c r="L414" t="str">
        <f>'Huong dan giao do an'!$B$31</f>
        <v>Bắt buộc: Charter/PMP; SRS + scope/WBS; Gantt/baseline; effort-cost budget; RACI/timesheet; quality-test-defect; communication/minutes; risk register; procurement; change log; closure/lessons learned.</v>
      </c>
      <c r="M414" t="str">
        <f>'Huong dan giao do an'!$B$33</f>
        <v>Tuần 1: 07.09–13.09.2026; Tuần 2: 14.09–20.09.2026; Tuần 3: 21.09–27.09.2026; Tuần 4: 28.09–04.10.2026; Tuần 5: 05.10–11.10.2026; Tuần 6: 12.10–18.10.2026; Tuần 7: 19.10–25.10.2026; Tuần 8: 26.10–01.11.2026.</v>
      </c>
      <c r="N4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4" s="17" t="str">
        <f t="shared" si="6"/>
        <v>Còn trống</v>
      </c>
    </row>
    <row r="415" spans="1:16" x14ac:dyDescent="0.3">
      <c r="A415">
        <v>414</v>
      </c>
      <c r="B415" t="s">
        <v>942</v>
      </c>
      <c r="C415" t="s">
        <v>990</v>
      </c>
      <c r="D415" t="s">
        <v>991</v>
      </c>
      <c r="E415" t="s">
        <v>33</v>
      </c>
      <c r="F415" t="s">
        <v>960</v>
      </c>
      <c r="G415" t="s">
        <v>992</v>
      </c>
      <c r="H415" t="str">
        <f>'Huong dan giao do an'!$B$14</f>
        <v>5 SV (vai trò chính): 1 PM/Scrum Master kiêm Integration; 2 BA/PO; 3 UI-UX + Frontend; 4 Backend/API + DevOps; 5 Database + QA/Tester. Mỗi SV có nhiệm vụ phụ và minh chứng cá nhân.</v>
      </c>
      <c r="I415" t="s">
        <v>29</v>
      </c>
      <c r="J415" t="s">
        <v>952</v>
      </c>
      <c r="K415" t="str">
        <f>IF(I415="Trung bình",'Huong dan giao do an'!$B$8,IF(I415="Khá",'Huong dan giao do an'!$B$9,'Huong dan giao do an'!$B$10))</f>
        <v>Tối thiểu 5 actor; 14-18 use case; 10-15 bảng; 4 quy trình; tích hợp ngoài/realtime hoặc xử lý nâng cao; 3 báo cáo; &gt;=45 test case; logging, backup và deploy.</v>
      </c>
      <c r="L415" t="str">
        <f>'Huong dan giao do an'!$B$31</f>
        <v>Bắt buộc: Charter/PMP; SRS + scope/WBS; Gantt/baseline; effort-cost budget; RACI/timesheet; quality-test-defect; communication/minutes; risk register; procurement; change log; closure/lessons learned.</v>
      </c>
      <c r="M415" t="str">
        <f>'Huong dan giao do an'!$B$33</f>
        <v>Tuần 1: 07.09–13.09.2026; Tuần 2: 14.09–20.09.2026; Tuần 3: 21.09–27.09.2026; Tuần 4: 28.09–04.10.2026; Tuần 5: 05.10–11.10.2026; Tuần 6: 12.10–18.10.2026; Tuần 7: 19.10–25.10.2026; Tuần 8: 26.10–01.11.2026.</v>
      </c>
      <c r="N4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5" s="17" t="str">
        <f t="shared" si="6"/>
        <v>Còn trống</v>
      </c>
    </row>
    <row r="416" spans="1:16" x14ac:dyDescent="0.3">
      <c r="A416">
        <v>415</v>
      </c>
      <c r="B416" t="s">
        <v>942</v>
      </c>
      <c r="C416" t="s">
        <v>993</v>
      </c>
      <c r="D416" t="s">
        <v>994</v>
      </c>
      <c r="E416" t="s">
        <v>40</v>
      </c>
      <c r="F416" t="s">
        <v>964</v>
      </c>
      <c r="G416" t="s">
        <v>995</v>
      </c>
      <c r="H416" t="str">
        <f>'Huong dan giao do an'!$B$14</f>
        <v>5 SV (vai trò chính): 1 PM/Scrum Master kiêm Integration; 2 BA/PO; 3 UI-UX + Frontend; 4 Backend/API + DevOps; 5 Database + QA/Tester. Mỗi SV có nhiệm vụ phụ và minh chứng cá nhân.</v>
      </c>
      <c r="I416" t="s">
        <v>36</v>
      </c>
      <c r="J416" t="s">
        <v>957</v>
      </c>
      <c r="K416" t="str">
        <f>IF(I416="Trung bình",'Huong dan giao do an'!$B$8,IF(I416="Khá",'Huong dan giao do an'!$B$9,'Huong dan giao do an'!$B$10))</f>
        <v>Tối thiểu 3 actor; 8-10 use case; 6-8 bảng dữ liệu; 2 quy trình lõi; đăng nhập/RBAC; 1 dashboard; 1 báo cáo; &gt;=25 test case; triển khai bản demo.</v>
      </c>
      <c r="L416" t="str">
        <f>'Huong dan giao do an'!$B$31</f>
        <v>Bắt buộc: Charter/PMP; SRS + scope/WBS; Gantt/baseline; effort-cost budget; RACI/timesheet; quality-test-defect; communication/minutes; risk register; procurement; change log; closure/lessons learned.</v>
      </c>
      <c r="M416" t="str">
        <f>'Huong dan giao do an'!$B$33</f>
        <v>Tuần 1: 07.09–13.09.2026; Tuần 2: 14.09–20.09.2026; Tuần 3: 21.09–27.09.2026; Tuần 4: 28.09–04.10.2026; Tuần 5: 05.10–11.10.2026; Tuần 6: 12.10–18.10.2026; Tuần 7: 19.10–25.10.2026; Tuần 8: 26.10–01.11.2026.</v>
      </c>
      <c r="N4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6" s="17" t="str">
        <f t="shared" si="6"/>
        <v>Còn trống</v>
      </c>
    </row>
    <row r="417" spans="1:16" x14ac:dyDescent="0.3">
      <c r="A417">
        <v>416</v>
      </c>
      <c r="B417" t="s">
        <v>942</v>
      </c>
      <c r="C417" t="s">
        <v>996</v>
      </c>
      <c r="D417" t="s">
        <v>997</v>
      </c>
      <c r="E417" t="s">
        <v>45</v>
      </c>
      <c r="F417" t="s">
        <v>945</v>
      </c>
      <c r="G417" t="s">
        <v>998</v>
      </c>
      <c r="H417" t="str">
        <f>'Huong dan giao do an'!$B$14</f>
        <v>5 SV (vai trò chính): 1 PM/Scrum Master kiêm Integration; 2 BA/PO; 3 UI-UX + Frontend; 4 Backend/API + DevOps; 5 Database + QA/Tester. Mỗi SV có nhiệm vụ phụ và minh chứng cá nhân.</v>
      </c>
      <c r="I417" t="s">
        <v>22</v>
      </c>
      <c r="J417" t="s">
        <v>947</v>
      </c>
      <c r="K417" t="str">
        <f>IF(I417="Trung bình",'Huong dan giao do an'!$B$8,IF(I417="Khá",'Huong dan giao do an'!$B$9,'Huong dan giao do an'!$B$10))</f>
        <v>Tối thiểu 4 actor; 10-14 use case; 8-12 bảng; 3 quy trình lõi; phân quyền chi tiết; 2 báo cáo; tích hợp 1 dịch vụ; &gt;=35 test case; CI/CD hoặc deploy cloud.</v>
      </c>
      <c r="L417" t="str">
        <f>'Huong dan giao do an'!$B$31</f>
        <v>Bắt buộc: Charter/PMP; SRS + scope/WBS; Gantt/baseline; effort-cost budget; RACI/timesheet; quality-test-defect; communication/minutes; risk register; procurement; change log; closure/lessons learned.</v>
      </c>
      <c r="M417" t="str">
        <f>'Huong dan giao do an'!$B$33</f>
        <v>Tuần 1: 07.09–13.09.2026; Tuần 2: 14.09–20.09.2026; Tuần 3: 21.09–27.09.2026; Tuần 4: 28.09–04.10.2026; Tuần 5: 05.10–11.10.2026; Tuần 6: 12.10–18.10.2026; Tuần 7: 19.10–25.10.2026; Tuần 8: 26.10–01.11.2026.</v>
      </c>
      <c r="N4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7" s="17" t="str">
        <f t="shared" si="6"/>
        <v>Còn trống</v>
      </c>
    </row>
    <row r="418" spans="1:16" x14ac:dyDescent="0.3">
      <c r="A418">
        <v>417</v>
      </c>
      <c r="B418" t="s">
        <v>942</v>
      </c>
      <c r="C418" t="s">
        <v>999</v>
      </c>
      <c r="D418" t="s">
        <v>1000</v>
      </c>
      <c r="E418" t="s">
        <v>19</v>
      </c>
      <c r="F418" t="s">
        <v>950</v>
      </c>
      <c r="G418" t="s">
        <v>1001</v>
      </c>
      <c r="H418" t="str">
        <f>'Huong dan giao do an'!$B$14</f>
        <v>5 SV (vai trò chính): 1 PM/Scrum Master kiêm Integration; 2 BA/PO; 3 UI-UX + Frontend; 4 Backend/API + DevOps; 5 Database + QA/Tester. Mỗi SV có nhiệm vụ phụ và minh chứng cá nhân.</v>
      </c>
      <c r="I418" t="s">
        <v>29</v>
      </c>
      <c r="J418" t="s">
        <v>952</v>
      </c>
      <c r="K418" t="str">
        <f>IF(I418="Trung bình",'Huong dan giao do an'!$B$8,IF(I418="Khá",'Huong dan giao do an'!$B$9,'Huong dan giao do an'!$B$10))</f>
        <v>Tối thiểu 5 actor; 14-18 use case; 10-15 bảng; 4 quy trình; tích hợp ngoài/realtime hoặc xử lý nâng cao; 3 báo cáo; &gt;=45 test case; logging, backup và deploy.</v>
      </c>
      <c r="L418" t="str">
        <f>'Huong dan giao do an'!$B$31</f>
        <v>Bắt buộc: Charter/PMP; SRS + scope/WBS; Gantt/baseline; effort-cost budget; RACI/timesheet; quality-test-defect; communication/minutes; risk register; procurement; change log; closure/lessons learned.</v>
      </c>
      <c r="M418" t="str">
        <f>'Huong dan giao do an'!$B$33</f>
        <v>Tuần 1: 07.09–13.09.2026; Tuần 2: 14.09–20.09.2026; Tuần 3: 21.09–27.09.2026; Tuần 4: 28.09–04.10.2026; Tuần 5: 05.10–11.10.2026; Tuần 6: 12.10–18.10.2026; Tuần 7: 19.10–25.10.2026; Tuần 8: 26.10–01.11.2026.</v>
      </c>
      <c r="N4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8" s="17" t="str">
        <f t="shared" si="6"/>
        <v>Còn trống</v>
      </c>
    </row>
    <row r="419" spans="1:16" x14ac:dyDescent="0.3">
      <c r="A419">
        <v>418</v>
      </c>
      <c r="B419" t="s">
        <v>942</v>
      </c>
      <c r="C419" t="s">
        <v>1002</v>
      </c>
      <c r="D419" t="s">
        <v>1003</v>
      </c>
      <c r="E419" t="s">
        <v>26</v>
      </c>
      <c r="F419" t="s">
        <v>955</v>
      </c>
      <c r="G419" t="s">
        <v>1004</v>
      </c>
      <c r="H419" t="str">
        <f>'Huong dan giao do an'!$B$14</f>
        <v>5 SV (vai trò chính): 1 PM/Scrum Master kiêm Integration; 2 BA/PO; 3 UI-UX + Frontend; 4 Backend/API + DevOps; 5 Database + QA/Tester. Mỗi SV có nhiệm vụ phụ và minh chứng cá nhân.</v>
      </c>
      <c r="I419" t="s">
        <v>36</v>
      </c>
      <c r="J419" t="s">
        <v>957</v>
      </c>
      <c r="K419" t="str">
        <f>IF(I419="Trung bình",'Huong dan giao do an'!$B$8,IF(I419="Khá",'Huong dan giao do an'!$B$9,'Huong dan giao do an'!$B$10))</f>
        <v>Tối thiểu 3 actor; 8-10 use case; 6-8 bảng dữ liệu; 2 quy trình lõi; đăng nhập/RBAC; 1 dashboard; 1 báo cáo; &gt;=25 test case; triển khai bản demo.</v>
      </c>
      <c r="L419" t="str">
        <f>'Huong dan giao do an'!$B$31</f>
        <v>Bắt buộc: Charter/PMP; SRS + scope/WBS; Gantt/baseline; effort-cost budget; RACI/timesheet; quality-test-defect; communication/minutes; risk register; procurement; change log; closure/lessons learned.</v>
      </c>
      <c r="M419" t="str">
        <f>'Huong dan giao do an'!$B$33</f>
        <v>Tuần 1: 07.09–13.09.2026; Tuần 2: 14.09–20.09.2026; Tuần 3: 21.09–27.09.2026; Tuần 4: 28.09–04.10.2026; Tuần 5: 05.10–11.10.2026; Tuần 6: 12.10–18.10.2026; Tuần 7: 19.10–25.10.2026; Tuần 8: 26.10–01.11.2026.</v>
      </c>
      <c r="N4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19" s="17" t="str">
        <f t="shared" si="6"/>
        <v>Còn trống</v>
      </c>
    </row>
    <row r="420" spans="1:16" x14ac:dyDescent="0.3">
      <c r="A420">
        <v>419</v>
      </c>
      <c r="B420" t="s">
        <v>942</v>
      </c>
      <c r="C420" t="s">
        <v>1005</v>
      </c>
      <c r="D420" t="s">
        <v>1006</v>
      </c>
      <c r="E420" t="s">
        <v>33</v>
      </c>
      <c r="F420" t="s">
        <v>960</v>
      </c>
      <c r="G420" t="s">
        <v>1007</v>
      </c>
      <c r="H420" t="str">
        <f>'Huong dan giao do an'!$B$14</f>
        <v>5 SV (vai trò chính): 1 PM/Scrum Master kiêm Integration; 2 BA/PO; 3 UI-UX + Frontend; 4 Backend/API + DevOps; 5 Database + QA/Tester. Mỗi SV có nhiệm vụ phụ và minh chứng cá nhân.</v>
      </c>
      <c r="I420" t="s">
        <v>22</v>
      </c>
      <c r="J420" t="s">
        <v>947</v>
      </c>
      <c r="K420" t="str">
        <f>IF(I420="Trung bình",'Huong dan giao do an'!$B$8,IF(I420="Khá",'Huong dan giao do an'!$B$9,'Huong dan giao do an'!$B$10))</f>
        <v>Tối thiểu 4 actor; 10-14 use case; 8-12 bảng; 3 quy trình lõi; phân quyền chi tiết; 2 báo cáo; tích hợp 1 dịch vụ; &gt;=35 test case; CI/CD hoặc deploy cloud.</v>
      </c>
      <c r="L420" t="str">
        <f>'Huong dan giao do an'!$B$31</f>
        <v>Bắt buộc: Charter/PMP; SRS + scope/WBS; Gantt/baseline; effort-cost budget; RACI/timesheet; quality-test-defect; communication/minutes; risk register; procurement; change log; closure/lessons learned.</v>
      </c>
      <c r="M420" t="str">
        <f>'Huong dan giao do an'!$B$33</f>
        <v>Tuần 1: 07.09–13.09.2026; Tuần 2: 14.09–20.09.2026; Tuần 3: 21.09–27.09.2026; Tuần 4: 28.09–04.10.2026; Tuần 5: 05.10–11.10.2026; Tuần 6: 12.10–18.10.2026; Tuần 7: 19.10–25.10.2026; Tuần 8: 26.10–01.11.2026.</v>
      </c>
      <c r="N4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0" s="17" t="str">
        <f t="shared" si="6"/>
        <v>Còn trống</v>
      </c>
    </row>
    <row r="421" spans="1:16" x14ac:dyDescent="0.3">
      <c r="A421">
        <v>420</v>
      </c>
      <c r="B421" t="s">
        <v>942</v>
      </c>
      <c r="C421" t="s">
        <v>1008</v>
      </c>
      <c r="D421" t="s">
        <v>1009</v>
      </c>
      <c r="E421" t="s">
        <v>40</v>
      </c>
      <c r="F421" t="s">
        <v>964</v>
      </c>
      <c r="G421" t="s">
        <v>1010</v>
      </c>
      <c r="H421" t="str">
        <f>'Huong dan giao do an'!$B$14</f>
        <v>5 SV (vai trò chính): 1 PM/Scrum Master kiêm Integration; 2 BA/PO; 3 UI-UX + Frontend; 4 Backend/API + DevOps; 5 Database + QA/Tester. Mỗi SV có nhiệm vụ phụ và minh chứng cá nhân.</v>
      </c>
      <c r="I421" t="s">
        <v>29</v>
      </c>
      <c r="J421" t="s">
        <v>952</v>
      </c>
      <c r="K421" t="str">
        <f>IF(I421="Trung bình",'Huong dan giao do an'!$B$8,IF(I421="Khá",'Huong dan giao do an'!$B$9,'Huong dan giao do an'!$B$10))</f>
        <v>Tối thiểu 5 actor; 14-18 use case; 10-15 bảng; 4 quy trình; tích hợp ngoài/realtime hoặc xử lý nâng cao; 3 báo cáo; &gt;=45 test case; logging, backup và deploy.</v>
      </c>
      <c r="L421" t="str">
        <f>'Huong dan giao do an'!$B$31</f>
        <v>Bắt buộc: Charter/PMP; SRS + scope/WBS; Gantt/baseline; effort-cost budget; RACI/timesheet; quality-test-defect; communication/minutes; risk register; procurement; change log; closure/lessons learned.</v>
      </c>
      <c r="M421" t="str">
        <f>'Huong dan giao do an'!$B$33</f>
        <v>Tuần 1: 07.09–13.09.2026; Tuần 2: 14.09–20.09.2026; Tuần 3: 21.09–27.09.2026; Tuần 4: 28.09–04.10.2026; Tuần 5: 05.10–11.10.2026; Tuần 6: 12.10–18.10.2026; Tuần 7: 19.10–25.10.2026; Tuần 8: 26.10–01.11.2026.</v>
      </c>
      <c r="N4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1" s="17" t="str">
        <f t="shared" si="6"/>
        <v>Còn trống</v>
      </c>
    </row>
    <row r="422" spans="1:16" x14ac:dyDescent="0.3">
      <c r="A422">
        <v>421</v>
      </c>
      <c r="B422" t="s">
        <v>942</v>
      </c>
      <c r="C422" t="s">
        <v>1011</v>
      </c>
      <c r="D422" t="s">
        <v>1012</v>
      </c>
      <c r="E422" t="s">
        <v>45</v>
      </c>
      <c r="F422" t="s">
        <v>945</v>
      </c>
      <c r="G422" t="s">
        <v>946</v>
      </c>
      <c r="H422" t="str">
        <f>'Huong dan giao do an'!$B$14</f>
        <v>5 SV (vai trò chính): 1 PM/Scrum Master kiêm Integration; 2 BA/PO; 3 UI-UX + Frontend; 4 Backend/API + DevOps; 5 Database + QA/Tester. Mỗi SV có nhiệm vụ phụ và minh chứng cá nhân.</v>
      </c>
      <c r="I422" t="s">
        <v>22</v>
      </c>
      <c r="J422" t="s">
        <v>947</v>
      </c>
      <c r="K422" t="str">
        <f>IF(I422="Trung bình",'Huong dan giao do an'!$B$8,IF(I422="Khá",'Huong dan giao do an'!$B$9,'Huong dan giao do an'!$B$10))</f>
        <v>Tối thiểu 4 actor; 10-14 use case; 8-12 bảng; 3 quy trình lõi; phân quyền chi tiết; 2 báo cáo; tích hợp 1 dịch vụ; &gt;=35 test case; CI/CD hoặc deploy cloud.</v>
      </c>
      <c r="L422" t="str">
        <f>'Huong dan giao do an'!$B$31</f>
        <v>Bắt buộc: Charter/PMP; SRS + scope/WBS; Gantt/baseline; effort-cost budget; RACI/timesheet; quality-test-defect; communication/minutes; risk register; procurement; change log; closure/lessons learned.</v>
      </c>
      <c r="M422" t="str">
        <f>'Huong dan giao do an'!$B$33</f>
        <v>Tuần 1: 07.09–13.09.2026; Tuần 2: 14.09–20.09.2026; Tuần 3: 21.09–27.09.2026; Tuần 4: 28.09–04.10.2026; Tuần 5: 05.10–11.10.2026; Tuần 6: 12.10–18.10.2026; Tuần 7: 19.10–25.10.2026; Tuần 8: 26.10–01.11.2026.</v>
      </c>
      <c r="N4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2" s="17" t="str">
        <f t="shared" si="6"/>
        <v>Còn trống</v>
      </c>
    </row>
    <row r="423" spans="1:16" x14ac:dyDescent="0.3">
      <c r="A423">
        <v>422</v>
      </c>
      <c r="B423" t="s">
        <v>942</v>
      </c>
      <c r="C423" t="s">
        <v>1013</v>
      </c>
      <c r="D423" t="s">
        <v>1014</v>
      </c>
      <c r="E423" t="s">
        <v>19</v>
      </c>
      <c r="F423" t="s">
        <v>950</v>
      </c>
      <c r="G423" t="s">
        <v>951</v>
      </c>
      <c r="H423" t="str">
        <f>'Huong dan giao do an'!$B$14</f>
        <v>5 SV (vai trò chính): 1 PM/Scrum Master kiêm Integration; 2 BA/PO; 3 UI-UX + Frontend; 4 Backend/API + DevOps; 5 Database + QA/Tester. Mỗi SV có nhiệm vụ phụ và minh chứng cá nhân.</v>
      </c>
      <c r="I423" t="s">
        <v>29</v>
      </c>
      <c r="J423" t="s">
        <v>952</v>
      </c>
      <c r="K423" t="str">
        <f>IF(I423="Trung bình",'Huong dan giao do an'!$B$8,IF(I423="Khá",'Huong dan giao do an'!$B$9,'Huong dan giao do an'!$B$10))</f>
        <v>Tối thiểu 5 actor; 14-18 use case; 10-15 bảng; 4 quy trình; tích hợp ngoài/realtime hoặc xử lý nâng cao; 3 báo cáo; &gt;=45 test case; logging, backup và deploy.</v>
      </c>
      <c r="L423" t="str">
        <f>'Huong dan giao do an'!$B$31</f>
        <v>Bắt buộc: Charter/PMP; SRS + scope/WBS; Gantt/baseline; effort-cost budget; RACI/timesheet; quality-test-defect; communication/minutes; risk register; procurement; change log; closure/lessons learned.</v>
      </c>
      <c r="M423" t="str">
        <f>'Huong dan giao do an'!$B$33</f>
        <v>Tuần 1: 07.09–13.09.2026; Tuần 2: 14.09–20.09.2026; Tuần 3: 21.09–27.09.2026; Tuần 4: 28.09–04.10.2026; Tuần 5: 05.10–11.10.2026; Tuần 6: 12.10–18.10.2026; Tuần 7: 19.10–25.10.2026; Tuần 8: 26.10–01.11.2026.</v>
      </c>
      <c r="N4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3" s="17" t="str">
        <f t="shared" si="6"/>
        <v>Còn trống</v>
      </c>
    </row>
    <row r="424" spans="1:16" x14ac:dyDescent="0.3">
      <c r="A424">
        <v>423</v>
      </c>
      <c r="B424" t="s">
        <v>942</v>
      </c>
      <c r="C424" t="s">
        <v>1015</v>
      </c>
      <c r="D424" t="s">
        <v>1016</v>
      </c>
      <c r="E424" t="s">
        <v>26</v>
      </c>
      <c r="F424" t="s">
        <v>955</v>
      </c>
      <c r="G424" t="s">
        <v>956</v>
      </c>
      <c r="H424" t="str">
        <f>'Huong dan giao do an'!$B$14</f>
        <v>5 SV (vai trò chính): 1 PM/Scrum Master kiêm Integration; 2 BA/PO; 3 UI-UX + Frontend; 4 Backend/API + DevOps; 5 Database + QA/Tester. Mỗi SV có nhiệm vụ phụ và minh chứng cá nhân.</v>
      </c>
      <c r="I424" t="s">
        <v>36</v>
      </c>
      <c r="J424" t="s">
        <v>957</v>
      </c>
      <c r="K424" t="str">
        <f>IF(I424="Trung bình",'Huong dan giao do an'!$B$8,IF(I424="Khá",'Huong dan giao do an'!$B$9,'Huong dan giao do an'!$B$10))</f>
        <v>Tối thiểu 3 actor; 8-10 use case; 6-8 bảng dữ liệu; 2 quy trình lõi; đăng nhập/RBAC; 1 dashboard; 1 báo cáo; &gt;=25 test case; triển khai bản demo.</v>
      </c>
      <c r="L424" t="str">
        <f>'Huong dan giao do an'!$B$31</f>
        <v>Bắt buộc: Charter/PMP; SRS + scope/WBS; Gantt/baseline; effort-cost budget; RACI/timesheet; quality-test-defect; communication/minutes; risk register; procurement; change log; closure/lessons learned.</v>
      </c>
      <c r="M424" t="str">
        <f>'Huong dan giao do an'!$B$33</f>
        <v>Tuần 1: 07.09–13.09.2026; Tuần 2: 14.09–20.09.2026; Tuần 3: 21.09–27.09.2026; Tuần 4: 28.09–04.10.2026; Tuần 5: 05.10–11.10.2026; Tuần 6: 12.10–18.10.2026; Tuần 7: 19.10–25.10.2026; Tuần 8: 26.10–01.11.2026.</v>
      </c>
      <c r="N4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4" s="17" t="str">
        <f t="shared" si="6"/>
        <v>Còn trống</v>
      </c>
    </row>
    <row r="425" spans="1:16" x14ac:dyDescent="0.3">
      <c r="A425">
        <v>424</v>
      </c>
      <c r="B425" t="s">
        <v>942</v>
      </c>
      <c r="C425" t="s">
        <v>1017</v>
      </c>
      <c r="D425" t="s">
        <v>1018</v>
      </c>
      <c r="E425" t="s">
        <v>33</v>
      </c>
      <c r="F425" t="s">
        <v>960</v>
      </c>
      <c r="G425" t="s">
        <v>961</v>
      </c>
      <c r="H425" t="str">
        <f>'Huong dan giao do an'!$B$14</f>
        <v>5 SV (vai trò chính): 1 PM/Scrum Master kiêm Integration; 2 BA/PO; 3 UI-UX + Frontend; 4 Backend/API + DevOps; 5 Database + QA/Tester. Mỗi SV có nhiệm vụ phụ và minh chứng cá nhân.</v>
      </c>
      <c r="I425" t="s">
        <v>22</v>
      </c>
      <c r="J425" t="s">
        <v>947</v>
      </c>
      <c r="K425" t="str">
        <f>IF(I425="Trung bình",'Huong dan giao do an'!$B$8,IF(I425="Khá",'Huong dan giao do an'!$B$9,'Huong dan giao do an'!$B$10))</f>
        <v>Tối thiểu 4 actor; 10-14 use case; 8-12 bảng; 3 quy trình lõi; phân quyền chi tiết; 2 báo cáo; tích hợp 1 dịch vụ; &gt;=35 test case; CI/CD hoặc deploy cloud.</v>
      </c>
      <c r="L425" t="str">
        <f>'Huong dan giao do an'!$B$31</f>
        <v>Bắt buộc: Charter/PMP; SRS + scope/WBS; Gantt/baseline; effort-cost budget; RACI/timesheet; quality-test-defect; communication/minutes; risk register; procurement; change log; closure/lessons learned.</v>
      </c>
      <c r="M425" t="str">
        <f>'Huong dan giao do an'!$B$33</f>
        <v>Tuần 1: 07.09–13.09.2026; Tuần 2: 14.09–20.09.2026; Tuần 3: 21.09–27.09.2026; Tuần 4: 28.09–04.10.2026; Tuần 5: 05.10–11.10.2026; Tuần 6: 12.10–18.10.2026; Tuần 7: 19.10–25.10.2026; Tuần 8: 26.10–01.11.2026.</v>
      </c>
      <c r="N4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5" s="17" t="str">
        <f t="shared" si="6"/>
        <v>Còn trống</v>
      </c>
    </row>
    <row r="426" spans="1:16" x14ac:dyDescent="0.3">
      <c r="A426">
        <v>425</v>
      </c>
      <c r="B426" t="s">
        <v>942</v>
      </c>
      <c r="C426" t="s">
        <v>1019</v>
      </c>
      <c r="D426" t="s">
        <v>1020</v>
      </c>
      <c r="E426" t="s">
        <v>40</v>
      </c>
      <c r="F426" t="s">
        <v>964</v>
      </c>
      <c r="G426" t="s">
        <v>965</v>
      </c>
      <c r="H426" t="str">
        <f>'Huong dan giao do an'!$B$14</f>
        <v>5 SV (vai trò chính): 1 PM/Scrum Master kiêm Integration; 2 BA/PO; 3 UI-UX + Frontend; 4 Backend/API + DevOps; 5 Database + QA/Tester. Mỗi SV có nhiệm vụ phụ và minh chứng cá nhân.</v>
      </c>
      <c r="I426" t="s">
        <v>29</v>
      </c>
      <c r="J426" t="s">
        <v>952</v>
      </c>
      <c r="K426" t="str">
        <f>IF(I426="Trung bình",'Huong dan giao do an'!$B$8,IF(I426="Khá",'Huong dan giao do an'!$B$9,'Huong dan giao do an'!$B$10))</f>
        <v>Tối thiểu 5 actor; 14-18 use case; 10-15 bảng; 4 quy trình; tích hợp ngoài/realtime hoặc xử lý nâng cao; 3 báo cáo; &gt;=45 test case; logging, backup và deploy.</v>
      </c>
      <c r="L426" t="str">
        <f>'Huong dan giao do an'!$B$31</f>
        <v>Bắt buộc: Charter/PMP; SRS + scope/WBS; Gantt/baseline; effort-cost budget; RACI/timesheet; quality-test-defect; communication/minutes; risk register; procurement; change log; closure/lessons learned.</v>
      </c>
      <c r="M426" t="str">
        <f>'Huong dan giao do an'!$B$33</f>
        <v>Tuần 1: 07.09–13.09.2026; Tuần 2: 14.09–20.09.2026; Tuần 3: 21.09–27.09.2026; Tuần 4: 28.09–04.10.2026; Tuần 5: 05.10–11.10.2026; Tuần 6: 12.10–18.10.2026; Tuần 7: 19.10–25.10.2026; Tuần 8: 26.10–01.11.2026.</v>
      </c>
      <c r="N4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6" s="17" t="str">
        <f t="shared" si="6"/>
        <v>Còn trống</v>
      </c>
    </row>
    <row r="427" spans="1:16" x14ac:dyDescent="0.3">
      <c r="A427">
        <v>426</v>
      </c>
      <c r="B427" t="s">
        <v>942</v>
      </c>
      <c r="C427" t="s">
        <v>1021</v>
      </c>
      <c r="D427" t="s">
        <v>1022</v>
      </c>
      <c r="E427" t="s">
        <v>45</v>
      </c>
      <c r="F427" t="s">
        <v>945</v>
      </c>
      <c r="G427" t="s">
        <v>968</v>
      </c>
      <c r="H427" t="str">
        <f>'Huong dan giao do an'!$B$14</f>
        <v>5 SV (vai trò chính): 1 PM/Scrum Master kiêm Integration; 2 BA/PO; 3 UI-UX + Frontend; 4 Backend/API + DevOps; 5 Database + QA/Tester. Mỗi SV có nhiệm vụ phụ và minh chứng cá nhân.</v>
      </c>
      <c r="I427" t="s">
        <v>36</v>
      </c>
      <c r="J427" t="s">
        <v>957</v>
      </c>
      <c r="K427" t="str">
        <f>IF(I427="Trung bình",'Huong dan giao do an'!$B$8,IF(I427="Khá",'Huong dan giao do an'!$B$9,'Huong dan giao do an'!$B$10))</f>
        <v>Tối thiểu 3 actor; 8-10 use case; 6-8 bảng dữ liệu; 2 quy trình lõi; đăng nhập/RBAC; 1 dashboard; 1 báo cáo; &gt;=25 test case; triển khai bản demo.</v>
      </c>
      <c r="L427" t="str">
        <f>'Huong dan giao do an'!$B$31</f>
        <v>Bắt buộc: Charter/PMP; SRS + scope/WBS; Gantt/baseline; effort-cost budget; RACI/timesheet; quality-test-defect; communication/minutes; risk register; procurement; change log; closure/lessons learned.</v>
      </c>
      <c r="M427" t="str">
        <f>'Huong dan giao do an'!$B$33</f>
        <v>Tuần 1: 07.09–13.09.2026; Tuần 2: 14.09–20.09.2026; Tuần 3: 21.09–27.09.2026; Tuần 4: 28.09–04.10.2026; Tuần 5: 05.10–11.10.2026; Tuần 6: 12.10–18.10.2026; Tuần 7: 19.10–25.10.2026; Tuần 8: 26.10–01.11.2026.</v>
      </c>
      <c r="N4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7" s="17" t="str">
        <f t="shared" si="6"/>
        <v>Còn trống</v>
      </c>
    </row>
    <row r="428" spans="1:16" x14ac:dyDescent="0.3">
      <c r="A428">
        <v>427</v>
      </c>
      <c r="B428" t="s">
        <v>942</v>
      </c>
      <c r="C428" t="s">
        <v>1023</v>
      </c>
      <c r="D428" t="s">
        <v>1024</v>
      </c>
      <c r="E428" t="s">
        <v>19</v>
      </c>
      <c r="F428" t="s">
        <v>950</v>
      </c>
      <c r="G428" t="s">
        <v>971</v>
      </c>
      <c r="H428" t="str">
        <f>'Huong dan giao do an'!$B$14</f>
        <v>5 SV (vai trò chính): 1 PM/Scrum Master kiêm Integration; 2 BA/PO; 3 UI-UX + Frontend; 4 Backend/API + DevOps; 5 Database + QA/Tester. Mỗi SV có nhiệm vụ phụ và minh chứng cá nhân.</v>
      </c>
      <c r="I428" t="s">
        <v>22</v>
      </c>
      <c r="J428" t="s">
        <v>947</v>
      </c>
      <c r="K428" t="str">
        <f>IF(I428="Trung bình",'Huong dan giao do an'!$B$8,IF(I428="Khá",'Huong dan giao do an'!$B$9,'Huong dan giao do an'!$B$10))</f>
        <v>Tối thiểu 4 actor; 10-14 use case; 8-12 bảng; 3 quy trình lõi; phân quyền chi tiết; 2 báo cáo; tích hợp 1 dịch vụ; &gt;=35 test case; CI/CD hoặc deploy cloud.</v>
      </c>
      <c r="L428" t="str">
        <f>'Huong dan giao do an'!$B$31</f>
        <v>Bắt buộc: Charter/PMP; SRS + scope/WBS; Gantt/baseline; effort-cost budget; RACI/timesheet; quality-test-defect; communication/minutes; risk register; procurement; change log; closure/lessons learned.</v>
      </c>
      <c r="M428" t="str">
        <f>'Huong dan giao do an'!$B$33</f>
        <v>Tuần 1: 07.09–13.09.2026; Tuần 2: 14.09–20.09.2026; Tuần 3: 21.09–27.09.2026; Tuần 4: 28.09–04.10.2026; Tuần 5: 05.10–11.10.2026; Tuần 6: 12.10–18.10.2026; Tuần 7: 19.10–25.10.2026; Tuần 8: 26.10–01.11.2026.</v>
      </c>
      <c r="N4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8" s="17" t="str">
        <f t="shared" si="6"/>
        <v>Còn trống</v>
      </c>
    </row>
    <row r="429" spans="1:16" x14ac:dyDescent="0.3">
      <c r="A429">
        <v>428</v>
      </c>
      <c r="B429" t="s">
        <v>942</v>
      </c>
      <c r="C429" t="s">
        <v>1025</v>
      </c>
      <c r="D429" t="s">
        <v>1026</v>
      </c>
      <c r="E429" t="s">
        <v>26</v>
      </c>
      <c r="F429" t="s">
        <v>955</v>
      </c>
      <c r="G429" t="s">
        <v>974</v>
      </c>
      <c r="H429" t="str">
        <f>'Huong dan giao do an'!$B$14</f>
        <v>5 SV (vai trò chính): 1 PM/Scrum Master kiêm Integration; 2 BA/PO; 3 UI-UX + Frontend; 4 Backend/API + DevOps; 5 Database + QA/Tester. Mỗi SV có nhiệm vụ phụ và minh chứng cá nhân.</v>
      </c>
      <c r="I429" t="s">
        <v>29</v>
      </c>
      <c r="J429" t="s">
        <v>952</v>
      </c>
      <c r="K429" t="str">
        <f>IF(I429="Trung bình",'Huong dan giao do an'!$B$8,IF(I429="Khá",'Huong dan giao do an'!$B$9,'Huong dan giao do an'!$B$10))</f>
        <v>Tối thiểu 5 actor; 14-18 use case; 10-15 bảng; 4 quy trình; tích hợp ngoài/realtime hoặc xử lý nâng cao; 3 báo cáo; &gt;=45 test case; logging, backup và deploy.</v>
      </c>
      <c r="L429" t="str">
        <f>'Huong dan giao do an'!$B$31</f>
        <v>Bắt buộc: Charter/PMP; SRS + scope/WBS; Gantt/baseline; effort-cost budget; RACI/timesheet; quality-test-defect; communication/minutes; risk register; procurement; change log; closure/lessons learned.</v>
      </c>
      <c r="M429" t="str">
        <f>'Huong dan giao do an'!$B$33</f>
        <v>Tuần 1: 07.09–13.09.2026; Tuần 2: 14.09–20.09.2026; Tuần 3: 21.09–27.09.2026; Tuần 4: 28.09–04.10.2026; Tuần 5: 05.10–11.10.2026; Tuần 6: 12.10–18.10.2026; Tuần 7: 19.10–25.10.2026; Tuần 8: 26.10–01.11.2026.</v>
      </c>
      <c r="N4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29" s="17" t="str">
        <f t="shared" si="6"/>
        <v>Còn trống</v>
      </c>
    </row>
    <row r="430" spans="1:16" x14ac:dyDescent="0.3">
      <c r="A430">
        <v>429</v>
      </c>
      <c r="B430" t="s">
        <v>942</v>
      </c>
      <c r="C430" t="s">
        <v>1027</v>
      </c>
      <c r="D430" t="s">
        <v>1028</v>
      </c>
      <c r="E430" t="s">
        <v>33</v>
      </c>
      <c r="F430" t="s">
        <v>960</v>
      </c>
      <c r="G430" t="s">
        <v>977</v>
      </c>
      <c r="H430" t="str">
        <f>'Huong dan giao do an'!$B$14</f>
        <v>5 SV (vai trò chính): 1 PM/Scrum Master kiêm Integration; 2 BA/PO; 3 UI-UX + Frontend; 4 Backend/API + DevOps; 5 Database + QA/Tester. Mỗi SV có nhiệm vụ phụ và minh chứng cá nhân.</v>
      </c>
      <c r="I430" t="s">
        <v>36</v>
      </c>
      <c r="J430" t="s">
        <v>957</v>
      </c>
      <c r="K430" t="str">
        <f>IF(I430="Trung bình",'Huong dan giao do an'!$B$8,IF(I430="Khá",'Huong dan giao do an'!$B$9,'Huong dan giao do an'!$B$10))</f>
        <v>Tối thiểu 3 actor; 8-10 use case; 6-8 bảng dữ liệu; 2 quy trình lõi; đăng nhập/RBAC; 1 dashboard; 1 báo cáo; &gt;=25 test case; triển khai bản demo.</v>
      </c>
      <c r="L430" t="str">
        <f>'Huong dan giao do an'!$B$31</f>
        <v>Bắt buộc: Charter/PMP; SRS + scope/WBS; Gantt/baseline; effort-cost budget; RACI/timesheet; quality-test-defect; communication/minutes; risk register; procurement; change log; closure/lessons learned.</v>
      </c>
      <c r="M430" t="str">
        <f>'Huong dan giao do an'!$B$33</f>
        <v>Tuần 1: 07.09–13.09.2026; Tuần 2: 14.09–20.09.2026; Tuần 3: 21.09–27.09.2026; Tuần 4: 28.09–04.10.2026; Tuần 5: 05.10–11.10.2026; Tuần 6: 12.10–18.10.2026; Tuần 7: 19.10–25.10.2026; Tuần 8: 26.10–01.11.2026.</v>
      </c>
      <c r="N4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0" s="17" t="str">
        <f t="shared" si="6"/>
        <v>Còn trống</v>
      </c>
    </row>
    <row r="431" spans="1:16" x14ac:dyDescent="0.3">
      <c r="A431">
        <v>430</v>
      </c>
      <c r="B431" t="s">
        <v>942</v>
      </c>
      <c r="C431" t="s">
        <v>1029</v>
      </c>
      <c r="D431" t="s">
        <v>1030</v>
      </c>
      <c r="E431" t="s">
        <v>40</v>
      </c>
      <c r="F431" t="s">
        <v>964</v>
      </c>
      <c r="G431" t="s">
        <v>980</v>
      </c>
      <c r="H431" t="str">
        <f>'Huong dan giao do an'!$B$14</f>
        <v>5 SV (vai trò chính): 1 PM/Scrum Master kiêm Integration; 2 BA/PO; 3 UI-UX + Frontend; 4 Backend/API + DevOps; 5 Database + QA/Tester. Mỗi SV có nhiệm vụ phụ và minh chứng cá nhân.</v>
      </c>
      <c r="I431" t="s">
        <v>22</v>
      </c>
      <c r="J431" t="s">
        <v>947</v>
      </c>
      <c r="K431" t="str">
        <f>IF(I431="Trung bình",'Huong dan giao do an'!$B$8,IF(I431="Khá",'Huong dan giao do an'!$B$9,'Huong dan giao do an'!$B$10))</f>
        <v>Tối thiểu 4 actor; 10-14 use case; 8-12 bảng; 3 quy trình lõi; phân quyền chi tiết; 2 báo cáo; tích hợp 1 dịch vụ; &gt;=35 test case; CI/CD hoặc deploy cloud.</v>
      </c>
      <c r="L431" t="str">
        <f>'Huong dan giao do an'!$B$31</f>
        <v>Bắt buộc: Charter/PMP; SRS + scope/WBS; Gantt/baseline; effort-cost budget; RACI/timesheet; quality-test-defect; communication/minutes; risk register; procurement; change log; closure/lessons learned.</v>
      </c>
      <c r="M431" t="str">
        <f>'Huong dan giao do an'!$B$33</f>
        <v>Tuần 1: 07.09–13.09.2026; Tuần 2: 14.09–20.09.2026; Tuần 3: 21.09–27.09.2026; Tuần 4: 28.09–04.10.2026; Tuần 5: 05.10–11.10.2026; Tuần 6: 12.10–18.10.2026; Tuần 7: 19.10–25.10.2026; Tuần 8: 26.10–01.11.2026.</v>
      </c>
      <c r="N4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1" s="17" t="str">
        <f t="shared" si="6"/>
        <v>Còn trống</v>
      </c>
    </row>
    <row r="432" spans="1:16" x14ac:dyDescent="0.3">
      <c r="A432">
        <v>431</v>
      </c>
      <c r="B432" t="s">
        <v>942</v>
      </c>
      <c r="C432" t="s">
        <v>1031</v>
      </c>
      <c r="D432" t="s">
        <v>1032</v>
      </c>
      <c r="E432" t="s">
        <v>45</v>
      </c>
      <c r="F432" t="s">
        <v>945</v>
      </c>
      <c r="G432" t="s">
        <v>983</v>
      </c>
      <c r="H432" t="str">
        <f>'Huong dan giao do an'!$B$14</f>
        <v>5 SV (vai trò chính): 1 PM/Scrum Master kiêm Integration; 2 BA/PO; 3 UI-UX + Frontend; 4 Backend/API + DevOps; 5 Database + QA/Tester. Mỗi SV có nhiệm vụ phụ và minh chứng cá nhân.</v>
      </c>
      <c r="I432" t="s">
        <v>29</v>
      </c>
      <c r="J432" t="s">
        <v>952</v>
      </c>
      <c r="K432" t="str">
        <f>IF(I432="Trung bình",'Huong dan giao do an'!$B$8,IF(I432="Khá",'Huong dan giao do an'!$B$9,'Huong dan giao do an'!$B$10))</f>
        <v>Tối thiểu 5 actor; 14-18 use case; 10-15 bảng; 4 quy trình; tích hợp ngoài/realtime hoặc xử lý nâng cao; 3 báo cáo; &gt;=45 test case; logging, backup và deploy.</v>
      </c>
      <c r="L432" t="str">
        <f>'Huong dan giao do an'!$B$31</f>
        <v>Bắt buộc: Charter/PMP; SRS + scope/WBS; Gantt/baseline; effort-cost budget; RACI/timesheet; quality-test-defect; communication/minutes; risk register; procurement; change log; closure/lessons learned.</v>
      </c>
      <c r="M432" t="str">
        <f>'Huong dan giao do an'!$B$33</f>
        <v>Tuần 1: 07.09–13.09.2026; Tuần 2: 14.09–20.09.2026; Tuần 3: 21.09–27.09.2026; Tuần 4: 28.09–04.10.2026; Tuần 5: 05.10–11.10.2026; Tuần 6: 12.10–18.10.2026; Tuần 7: 19.10–25.10.2026; Tuần 8: 26.10–01.11.2026.</v>
      </c>
      <c r="N4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2" s="17" t="str">
        <f t="shared" si="6"/>
        <v>Còn trống</v>
      </c>
    </row>
    <row r="433" spans="1:16" x14ac:dyDescent="0.3">
      <c r="A433">
        <v>432</v>
      </c>
      <c r="B433" t="s">
        <v>942</v>
      </c>
      <c r="C433" t="s">
        <v>1033</v>
      </c>
      <c r="D433" t="s">
        <v>1034</v>
      </c>
      <c r="E433" t="s">
        <v>19</v>
      </c>
      <c r="F433" t="s">
        <v>950</v>
      </c>
      <c r="G433" t="s">
        <v>986</v>
      </c>
      <c r="H433" t="str">
        <f>'Huong dan giao do an'!$B$14</f>
        <v>5 SV (vai trò chính): 1 PM/Scrum Master kiêm Integration; 2 BA/PO; 3 UI-UX + Frontend; 4 Backend/API + DevOps; 5 Database + QA/Tester. Mỗi SV có nhiệm vụ phụ và minh chứng cá nhân.</v>
      </c>
      <c r="I433" t="s">
        <v>36</v>
      </c>
      <c r="J433" t="s">
        <v>957</v>
      </c>
      <c r="K433" t="str">
        <f>IF(I433="Trung bình",'Huong dan giao do an'!$B$8,IF(I433="Khá",'Huong dan giao do an'!$B$9,'Huong dan giao do an'!$B$10))</f>
        <v>Tối thiểu 3 actor; 8-10 use case; 6-8 bảng dữ liệu; 2 quy trình lõi; đăng nhập/RBAC; 1 dashboard; 1 báo cáo; &gt;=25 test case; triển khai bản demo.</v>
      </c>
      <c r="L433" t="str">
        <f>'Huong dan giao do an'!$B$31</f>
        <v>Bắt buộc: Charter/PMP; SRS + scope/WBS; Gantt/baseline; effort-cost budget; RACI/timesheet; quality-test-defect; communication/minutes; risk register; procurement; change log; closure/lessons learned.</v>
      </c>
      <c r="M433" t="str">
        <f>'Huong dan giao do an'!$B$33</f>
        <v>Tuần 1: 07.09–13.09.2026; Tuần 2: 14.09–20.09.2026; Tuần 3: 21.09–27.09.2026; Tuần 4: 28.09–04.10.2026; Tuần 5: 05.10–11.10.2026; Tuần 6: 12.10–18.10.2026; Tuần 7: 19.10–25.10.2026; Tuần 8: 26.10–01.11.2026.</v>
      </c>
      <c r="N4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3" s="17" t="str">
        <f t="shared" si="6"/>
        <v>Còn trống</v>
      </c>
    </row>
    <row r="434" spans="1:16" x14ac:dyDescent="0.3">
      <c r="A434">
        <v>433</v>
      </c>
      <c r="B434" t="s">
        <v>942</v>
      </c>
      <c r="C434" t="s">
        <v>1035</v>
      </c>
      <c r="D434" t="s">
        <v>1036</v>
      </c>
      <c r="E434" t="s">
        <v>26</v>
      </c>
      <c r="F434" t="s">
        <v>955</v>
      </c>
      <c r="G434" t="s">
        <v>989</v>
      </c>
      <c r="H434" t="str">
        <f>'Huong dan giao do an'!$B$14</f>
        <v>5 SV (vai trò chính): 1 PM/Scrum Master kiêm Integration; 2 BA/PO; 3 UI-UX + Frontend; 4 Backend/API + DevOps; 5 Database + QA/Tester. Mỗi SV có nhiệm vụ phụ và minh chứng cá nhân.</v>
      </c>
      <c r="I434" t="s">
        <v>22</v>
      </c>
      <c r="J434" t="s">
        <v>947</v>
      </c>
      <c r="K434" t="str">
        <f>IF(I434="Trung bình",'Huong dan giao do an'!$B$8,IF(I434="Khá",'Huong dan giao do an'!$B$9,'Huong dan giao do an'!$B$10))</f>
        <v>Tối thiểu 4 actor; 10-14 use case; 8-12 bảng; 3 quy trình lõi; phân quyền chi tiết; 2 báo cáo; tích hợp 1 dịch vụ; &gt;=35 test case; CI/CD hoặc deploy cloud.</v>
      </c>
      <c r="L434" t="str">
        <f>'Huong dan giao do an'!$B$31</f>
        <v>Bắt buộc: Charter/PMP; SRS + scope/WBS; Gantt/baseline; effort-cost budget; RACI/timesheet; quality-test-defect; communication/minutes; risk register; procurement; change log; closure/lessons learned.</v>
      </c>
      <c r="M434" t="str">
        <f>'Huong dan giao do an'!$B$33</f>
        <v>Tuần 1: 07.09–13.09.2026; Tuần 2: 14.09–20.09.2026; Tuần 3: 21.09–27.09.2026; Tuần 4: 28.09–04.10.2026; Tuần 5: 05.10–11.10.2026; Tuần 6: 12.10–18.10.2026; Tuần 7: 19.10–25.10.2026; Tuần 8: 26.10–01.11.2026.</v>
      </c>
      <c r="N4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4" s="17" t="str">
        <f t="shared" si="6"/>
        <v>Còn trống</v>
      </c>
    </row>
    <row r="435" spans="1:16" x14ac:dyDescent="0.3">
      <c r="A435">
        <v>434</v>
      </c>
      <c r="B435" t="s">
        <v>942</v>
      </c>
      <c r="C435" t="s">
        <v>1037</v>
      </c>
      <c r="D435" t="s">
        <v>1038</v>
      </c>
      <c r="E435" t="s">
        <v>33</v>
      </c>
      <c r="F435" t="s">
        <v>960</v>
      </c>
      <c r="G435" t="s">
        <v>992</v>
      </c>
      <c r="H435" t="str">
        <f>'Huong dan giao do an'!$B$14</f>
        <v>5 SV (vai trò chính): 1 PM/Scrum Master kiêm Integration; 2 BA/PO; 3 UI-UX + Frontend; 4 Backend/API + DevOps; 5 Database + QA/Tester. Mỗi SV có nhiệm vụ phụ và minh chứng cá nhân.</v>
      </c>
      <c r="I435" t="s">
        <v>29</v>
      </c>
      <c r="J435" t="s">
        <v>952</v>
      </c>
      <c r="K435" t="str">
        <f>IF(I435="Trung bình",'Huong dan giao do an'!$B$8,IF(I435="Khá",'Huong dan giao do an'!$B$9,'Huong dan giao do an'!$B$10))</f>
        <v>Tối thiểu 5 actor; 14-18 use case; 10-15 bảng; 4 quy trình; tích hợp ngoài/realtime hoặc xử lý nâng cao; 3 báo cáo; &gt;=45 test case; logging, backup và deploy.</v>
      </c>
      <c r="L435" t="str">
        <f>'Huong dan giao do an'!$B$31</f>
        <v>Bắt buộc: Charter/PMP; SRS + scope/WBS; Gantt/baseline; effort-cost budget; RACI/timesheet; quality-test-defect; communication/minutes; risk register; procurement; change log; closure/lessons learned.</v>
      </c>
      <c r="M435" t="str">
        <f>'Huong dan giao do an'!$B$33</f>
        <v>Tuần 1: 07.09–13.09.2026; Tuần 2: 14.09–20.09.2026; Tuần 3: 21.09–27.09.2026; Tuần 4: 28.09–04.10.2026; Tuần 5: 05.10–11.10.2026; Tuần 6: 12.10–18.10.2026; Tuần 7: 19.10–25.10.2026; Tuần 8: 26.10–01.11.2026.</v>
      </c>
      <c r="N4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5" s="17" t="str">
        <f t="shared" si="6"/>
        <v>Còn trống</v>
      </c>
    </row>
    <row r="436" spans="1:16" x14ac:dyDescent="0.3">
      <c r="A436">
        <v>435</v>
      </c>
      <c r="B436" t="s">
        <v>942</v>
      </c>
      <c r="C436" t="s">
        <v>1039</v>
      </c>
      <c r="D436" t="s">
        <v>1040</v>
      </c>
      <c r="E436" t="s">
        <v>40</v>
      </c>
      <c r="F436" t="s">
        <v>964</v>
      </c>
      <c r="G436" t="s">
        <v>995</v>
      </c>
      <c r="H436" t="str">
        <f>'Huong dan giao do an'!$B$14</f>
        <v>5 SV (vai trò chính): 1 PM/Scrum Master kiêm Integration; 2 BA/PO; 3 UI-UX + Frontend; 4 Backend/API + DevOps; 5 Database + QA/Tester. Mỗi SV có nhiệm vụ phụ và minh chứng cá nhân.</v>
      </c>
      <c r="I436" t="s">
        <v>36</v>
      </c>
      <c r="J436" t="s">
        <v>957</v>
      </c>
      <c r="K436" t="str">
        <f>IF(I436="Trung bình",'Huong dan giao do an'!$B$8,IF(I436="Khá",'Huong dan giao do an'!$B$9,'Huong dan giao do an'!$B$10))</f>
        <v>Tối thiểu 3 actor; 8-10 use case; 6-8 bảng dữ liệu; 2 quy trình lõi; đăng nhập/RBAC; 1 dashboard; 1 báo cáo; &gt;=25 test case; triển khai bản demo.</v>
      </c>
      <c r="L436" t="str">
        <f>'Huong dan giao do an'!$B$31</f>
        <v>Bắt buộc: Charter/PMP; SRS + scope/WBS; Gantt/baseline; effort-cost budget; RACI/timesheet; quality-test-defect; communication/minutes; risk register; procurement; change log; closure/lessons learned.</v>
      </c>
      <c r="M436" t="str">
        <f>'Huong dan giao do an'!$B$33</f>
        <v>Tuần 1: 07.09–13.09.2026; Tuần 2: 14.09–20.09.2026; Tuần 3: 21.09–27.09.2026; Tuần 4: 28.09–04.10.2026; Tuần 5: 05.10–11.10.2026; Tuần 6: 12.10–18.10.2026; Tuần 7: 19.10–25.10.2026; Tuần 8: 26.10–01.11.2026.</v>
      </c>
      <c r="N4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6" s="17" t="str">
        <f t="shared" si="6"/>
        <v>Còn trống</v>
      </c>
    </row>
    <row r="437" spans="1:16" x14ac:dyDescent="0.3">
      <c r="A437">
        <v>436</v>
      </c>
      <c r="B437" t="s">
        <v>942</v>
      </c>
      <c r="C437" t="s">
        <v>1041</v>
      </c>
      <c r="D437" t="s">
        <v>1042</v>
      </c>
      <c r="E437" t="s">
        <v>45</v>
      </c>
      <c r="F437" t="s">
        <v>945</v>
      </c>
      <c r="G437" t="s">
        <v>998</v>
      </c>
      <c r="H437" t="str">
        <f>'Huong dan giao do an'!$B$14</f>
        <v>5 SV (vai trò chính): 1 PM/Scrum Master kiêm Integration; 2 BA/PO; 3 UI-UX + Frontend; 4 Backend/API + DevOps; 5 Database + QA/Tester. Mỗi SV có nhiệm vụ phụ và minh chứng cá nhân.</v>
      </c>
      <c r="I437" t="s">
        <v>22</v>
      </c>
      <c r="J437" t="s">
        <v>947</v>
      </c>
      <c r="K437" t="str">
        <f>IF(I437="Trung bình",'Huong dan giao do an'!$B$8,IF(I437="Khá",'Huong dan giao do an'!$B$9,'Huong dan giao do an'!$B$10))</f>
        <v>Tối thiểu 4 actor; 10-14 use case; 8-12 bảng; 3 quy trình lõi; phân quyền chi tiết; 2 báo cáo; tích hợp 1 dịch vụ; &gt;=35 test case; CI/CD hoặc deploy cloud.</v>
      </c>
      <c r="L437" t="str">
        <f>'Huong dan giao do an'!$B$31</f>
        <v>Bắt buộc: Charter/PMP; SRS + scope/WBS; Gantt/baseline; effort-cost budget; RACI/timesheet; quality-test-defect; communication/minutes; risk register; procurement; change log; closure/lessons learned.</v>
      </c>
      <c r="M437" t="str">
        <f>'Huong dan giao do an'!$B$33</f>
        <v>Tuần 1: 07.09–13.09.2026; Tuần 2: 14.09–20.09.2026; Tuần 3: 21.09–27.09.2026; Tuần 4: 28.09–04.10.2026; Tuần 5: 05.10–11.10.2026; Tuần 6: 12.10–18.10.2026; Tuần 7: 19.10–25.10.2026; Tuần 8: 26.10–01.11.2026.</v>
      </c>
      <c r="N4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7" s="17" t="str">
        <f t="shared" si="6"/>
        <v>Còn trống</v>
      </c>
    </row>
    <row r="438" spans="1:16" x14ac:dyDescent="0.3">
      <c r="A438">
        <v>437</v>
      </c>
      <c r="B438" t="s">
        <v>942</v>
      </c>
      <c r="C438" t="s">
        <v>1043</v>
      </c>
      <c r="D438" t="s">
        <v>1044</v>
      </c>
      <c r="E438" t="s">
        <v>19</v>
      </c>
      <c r="F438" t="s">
        <v>950</v>
      </c>
      <c r="G438" t="s">
        <v>1001</v>
      </c>
      <c r="H438" t="str">
        <f>'Huong dan giao do an'!$B$14</f>
        <v>5 SV (vai trò chính): 1 PM/Scrum Master kiêm Integration; 2 BA/PO; 3 UI-UX + Frontend; 4 Backend/API + DevOps; 5 Database + QA/Tester. Mỗi SV có nhiệm vụ phụ và minh chứng cá nhân.</v>
      </c>
      <c r="I438" t="s">
        <v>29</v>
      </c>
      <c r="J438" t="s">
        <v>952</v>
      </c>
      <c r="K438" t="str">
        <f>IF(I438="Trung bình",'Huong dan giao do an'!$B$8,IF(I438="Khá",'Huong dan giao do an'!$B$9,'Huong dan giao do an'!$B$10))</f>
        <v>Tối thiểu 5 actor; 14-18 use case; 10-15 bảng; 4 quy trình; tích hợp ngoài/realtime hoặc xử lý nâng cao; 3 báo cáo; &gt;=45 test case; logging, backup và deploy.</v>
      </c>
      <c r="L438" t="str">
        <f>'Huong dan giao do an'!$B$31</f>
        <v>Bắt buộc: Charter/PMP; SRS + scope/WBS; Gantt/baseline; effort-cost budget; RACI/timesheet; quality-test-defect; communication/minutes; risk register; procurement; change log; closure/lessons learned.</v>
      </c>
      <c r="M438" t="str">
        <f>'Huong dan giao do an'!$B$33</f>
        <v>Tuần 1: 07.09–13.09.2026; Tuần 2: 14.09–20.09.2026; Tuần 3: 21.09–27.09.2026; Tuần 4: 28.09–04.10.2026; Tuần 5: 05.10–11.10.2026; Tuần 6: 12.10–18.10.2026; Tuần 7: 19.10–25.10.2026; Tuần 8: 26.10–01.11.2026.</v>
      </c>
      <c r="N4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8" s="17" t="str">
        <f t="shared" si="6"/>
        <v>Còn trống</v>
      </c>
    </row>
    <row r="439" spans="1:16" x14ac:dyDescent="0.3">
      <c r="A439">
        <v>438</v>
      </c>
      <c r="B439" t="s">
        <v>942</v>
      </c>
      <c r="C439" t="s">
        <v>1045</v>
      </c>
      <c r="D439" t="s">
        <v>1046</v>
      </c>
      <c r="E439" t="s">
        <v>26</v>
      </c>
      <c r="F439" t="s">
        <v>955</v>
      </c>
      <c r="G439" t="s">
        <v>1004</v>
      </c>
      <c r="H439" t="str">
        <f>'Huong dan giao do an'!$B$14</f>
        <v>5 SV (vai trò chính): 1 PM/Scrum Master kiêm Integration; 2 BA/PO; 3 UI-UX + Frontend; 4 Backend/API + DevOps; 5 Database + QA/Tester. Mỗi SV có nhiệm vụ phụ và minh chứng cá nhân.</v>
      </c>
      <c r="I439" t="s">
        <v>36</v>
      </c>
      <c r="J439" t="s">
        <v>957</v>
      </c>
      <c r="K439" t="str">
        <f>IF(I439="Trung bình",'Huong dan giao do an'!$B$8,IF(I439="Khá",'Huong dan giao do an'!$B$9,'Huong dan giao do an'!$B$10))</f>
        <v>Tối thiểu 3 actor; 8-10 use case; 6-8 bảng dữ liệu; 2 quy trình lõi; đăng nhập/RBAC; 1 dashboard; 1 báo cáo; &gt;=25 test case; triển khai bản demo.</v>
      </c>
      <c r="L439" t="str">
        <f>'Huong dan giao do an'!$B$31</f>
        <v>Bắt buộc: Charter/PMP; SRS + scope/WBS; Gantt/baseline; effort-cost budget; RACI/timesheet; quality-test-defect; communication/minutes; risk register; procurement; change log; closure/lessons learned.</v>
      </c>
      <c r="M439" t="str">
        <f>'Huong dan giao do an'!$B$33</f>
        <v>Tuần 1: 07.09–13.09.2026; Tuần 2: 14.09–20.09.2026; Tuần 3: 21.09–27.09.2026; Tuần 4: 28.09–04.10.2026; Tuần 5: 05.10–11.10.2026; Tuần 6: 12.10–18.10.2026; Tuần 7: 19.10–25.10.2026; Tuần 8: 26.10–01.11.2026.</v>
      </c>
      <c r="N4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39" s="17" t="str">
        <f t="shared" si="6"/>
        <v>Còn trống</v>
      </c>
    </row>
    <row r="440" spans="1:16" x14ac:dyDescent="0.3">
      <c r="A440">
        <v>439</v>
      </c>
      <c r="B440" t="s">
        <v>942</v>
      </c>
      <c r="C440" t="s">
        <v>1047</v>
      </c>
      <c r="D440" t="s">
        <v>1048</v>
      </c>
      <c r="E440" t="s">
        <v>33</v>
      </c>
      <c r="F440" t="s">
        <v>960</v>
      </c>
      <c r="G440" t="s">
        <v>1007</v>
      </c>
      <c r="H440" t="str">
        <f>'Huong dan giao do an'!$B$14</f>
        <v>5 SV (vai trò chính): 1 PM/Scrum Master kiêm Integration; 2 BA/PO; 3 UI-UX + Frontend; 4 Backend/API + DevOps; 5 Database + QA/Tester. Mỗi SV có nhiệm vụ phụ và minh chứng cá nhân.</v>
      </c>
      <c r="I440" t="s">
        <v>22</v>
      </c>
      <c r="J440" t="s">
        <v>947</v>
      </c>
      <c r="K440" t="str">
        <f>IF(I440="Trung bình",'Huong dan giao do an'!$B$8,IF(I440="Khá",'Huong dan giao do an'!$B$9,'Huong dan giao do an'!$B$10))</f>
        <v>Tối thiểu 4 actor; 10-14 use case; 8-12 bảng; 3 quy trình lõi; phân quyền chi tiết; 2 báo cáo; tích hợp 1 dịch vụ; &gt;=35 test case; CI/CD hoặc deploy cloud.</v>
      </c>
      <c r="L440" t="str">
        <f>'Huong dan giao do an'!$B$31</f>
        <v>Bắt buộc: Charter/PMP; SRS + scope/WBS; Gantt/baseline; effort-cost budget; RACI/timesheet; quality-test-defect; communication/minutes; risk register; procurement; change log; closure/lessons learned.</v>
      </c>
      <c r="M440" t="str">
        <f>'Huong dan giao do an'!$B$33</f>
        <v>Tuần 1: 07.09–13.09.2026; Tuần 2: 14.09–20.09.2026; Tuần 3: 21.09–27.09.2026; Tuần 4: 28.09–04.10.2026; Tuần 5: 05.10–11.10.2026; Tuần 6: 12.10–18.10.2026; Tuần 7: 19.10–25.10.2026; Tuần 8: 26.10–01.11.2026.</v>
      </c>
      <c r="N4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0" s="17" t="str">
        <f t="shared" si="6"/>
        <v>Còn trống</v>
      </c>
    </row>
    <row r="441" spans="1:16" x14ac:dyDescent="0.3">
      <c r="A441">
        <v>440</v>
      </c>
      <c r="B441" t="s">
        <v>942</v>
      </c>
      <c r="C441" t="s">
        <v>1049</v>
      </c>
      <c r="D441" t="s">
        <v>1050</v>
      </c>
      <c r="E441" t="s">
        <v>40</v>
      </c>
      <c r="F441" t="s">
        <v>964</v>
      </c>
      <c r="G441" t="s">
        <v>1010</v>
      </c>
      <c r="H441" t="str">
        <f>'Huong dan giao do an'!$B$14</f>
        <v>5 SV (vai trò chính): 1 PM/Scrum Master kiêm Integration; 2 BA/PO; 3 UI-UX + Frontend; 4 Backend/API + DevOps; 5 Database + QA/Tester. Mỗi SV có nhiệm vụ phụ và minh chứng cá nhân.</v>
      </c>
      <c r="I441" t="s">
        <v>29</v>
      </c>
      <c r="J441" t="s">
        <v>952</v>
      </c>
      <c r="K441" t="str">
        <f>IF(I441="Trung bình",'Huong dan giao do an'!$B$8,IF(I441="Khá",'Huong dan giao do an'!$B$9,'Huong dan giao do an'!$B$10))</f>
        <v>Tối thiểu 5 actor; 14-18 use case; 10-15 bảng; 4 quy trình; tích hợp ngoài/realtime hoặc xử lý nâng cao; 3 báo cáo; &gt;=45 test case; logging, backup và deploy.</v>
      </c>
      <c r="L441" t="str">
        <f>'Huong dan giao do an'!$B$31</f>
        <v>Bắt buộc: Charter/PMP; SRS + scope/WBS; Gantt/baseline; effort-cost budget; RACI/timesheet; quality-test-defect; communication/minutes; risk register; procurement; change log; closure/lessons learned.</v>
      </c>
      <c r="M441" t="str">
        <f>'Huong dan giao do an'!$B$33</f>
        <v>Tuần 1: 07.09–13.09.2026; Tuần 2: 14.09–20.09.2026; Tuần 3: 21.09–27.09.2026; Tuần 4: 28.09–04.10.2026; Tuần 5: 05.10–11.10.2026; Tuần 6: 12.10–18.10.2026; Tuần 7: 19.10–25.10.2026; Tuần 8: 26.10–01.11.2026.</v>
      </c>
      <c r="N4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1" s="17" t="str">
        <f t="shared" si="6"/>
        <v>Còn trống</v>
      </c>
    </row>
    <row r="442" spans="1:16" x14ac:dyDescent="0.3">
      <c r="A442">
        <v>441</v>
      </c>
      <c r="B442" t="s">
        <v>942</v>
      </c>
      <c r="C442" t="s">
        <v>1051</v>
      </c>
      <c r="D442" t="s">
        <v>1052</v>
      </c>
      <c r="E442" t="s">
        <v>45</v>
      </c>
      <c r="F442" t="s">
        <v>945</v>
      </c>
      <c r="G442" t="s">
        <v>946</v>
      </c>
      <c r="H442" t="str">
        <f>'Huong dan giao do an'!$B$14</f>
        <v>5 SV (vai trò chính): 1 PM/Scrum Master kiêm Integration; 2 BA/PO; 3 UI-UX + Frontend; 4 Backend/API + DevOps; 5 Database + QA/Tester. Mỗi SV có nhiệm vụ phụ và minh chứng cá nhân.</v>
      </c>
      <c r="I442" t="s">
        <v>22</v>
      </c>
      <c r="J442" t="s">
        <v>947</v>
      </c>
      <c r="K442" t="str">
        <f>IF(I442="Trung bình",'Huong dan giao do an'!$B$8,IF(I442="Khá",'Huong dan giao do an'!$B$9,'Huong dan giao do an'!$B$10))</f>
        <v>Tối thiểu 4 actor; 10-14 use case; 8-12 bảng; 3 quy trình lõi; phân quyền chi tiết; 2 báo cáo; tích hợp 1 dịch vụ; &gt;=35 test case; CI/CD hoặc deploy cloud.</v>
      </c>
      <c r="L442" t="str">
        <f>'Huong dan giao do an'!$B$31</f>
        <v>Bắt buộc: Charter/PMP; SRS + scope/WBS; Gantt/baseline; effort-cost budget; RACI/timesheet; quality-test-defect; communication/minutes; risk register; procurement; change log; closure/lessons learned.</v>
      </c>
      <c r="M442" t="str">
        <f>'Huong dan giao do an'!$B$33</f>
        <v>Tuần 1: 07.09–13.09.2026; Tuần 2: 14.09–20.09.2026; Tuần 3: 21.09–27.09.2026; Tuần 4: 28.09–04.10.2026; Tuần 5: 05.10–11.10.2026; Tuần 6: 12.10–18.10.2026; Tuần 7: 19.10–25.10.2026; Tuần 8: 26.10–01.11.2026.</v>
      </c>
      <c r="N4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2" s="17" t="str">
        <f t="shared" si="6"/>
        <v>Còn trống</v>
      </c>
    </row>
    <row r="443" spans="1:16" x14ac:dyDescent="0.3">
      <c r="A443">
        <v>442</v>
      </c>
      <c r="B443" t="s">
        <v>942</v>
      </c>
      <c r="C443" t="s">
        <v>1053</v>
      </c>
      <c r="D443" t="s">
        <v>1054</v>
      </c>
      <c r="E443" t="s">
        <v>19</v>
      </c>
      <c r="F443" t="s">
        <v>950</v>
      </c>
      <c r="G443" t="s">
        <v>951</v>
      </c>
      <c r="H443" t="str">
        <f>'Huong dan giao do an'!$B$14</f>
        <v>5 SV (vai trò chính): 1 PM/Scrum Master kiêm Integration; 2 BA/PO; 3 UI-UX + Frontend; 4 Backend/API + DevOps; 5 Database + QA/Tester. Mỗi SV có nhiệm vụ phụ và minh chứng cá nhân.</v>
      </c>
      <c r="I443" t="s">
        <v>29</v>
      </c>
      <c r="J443" t="s">
        <v>952</v>
      </c>
      <c r="K443" t="str">
        <f>IF(I443="Trung bình",'Huong dan giao do an'!$B$8,IF(I443="Khá",'Huong dan giao do an'!$B$9,'Huong dan giao do an'!$B$10))</f>
        <v>Tối thiểu 5 actor; 14-18 use case; 10-15 bảng; 4 quy trình; tích hợp ngoài/realtime hoặc xử lý nâng cao; 3 báo cáo; &gt;=45 test case; logging, backup và deploy.</v>
      </c>
      <c r="L443" t="str">
        <f>'Huong dan giao do an'!$B$31</f>
        <v>Bắt buộc: Charter/PMP; SRS + scope/WBS; Gantt/baseline; effort-cost budget; RACI/timesheet; quality-test-defect; communication/minutes; risk register; procurement; change log; closure/lessons learned.</v>
      </c>
      <c r="M443" t="str">
        <f>'Huong dan giao do an'!$B$33</f>
        <v>Tuần 1: 07.09–13.09.2026; Tuần 2: 14.09–20.09.2026; Tuần 3: 21.09–27.09.2026; Tuần 4: 28.09–04.10.2026; Tuần 5: 05.10–11.10.2026; Tuần 6: 12.10–18.10.2026; Tuần 7: 19.10–25.10.2026; Tuần 8: 26.10–01.11.2026.</v>
      </c>
      <c r="N4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3" s="17" t="str">
        <f t="shared" si="6"/>
        <v>Còn trống</v>
      </c>
    </row>
    <row r="444" spans="1:16" x14ac:dyDescent="0.3">
      <c r="A444">
        <v>443</v>
      </c>
      <c r="B444" t="s">
        <v>942</v>
      </c>
      <c r="C444" t="s">
        <v>1055</v>
      </c>
      <c r="D444" t="s">
        <v>1056</v>
      </c>
      <c r="E444" t="s">
        <v>26</v>
      </c>
      <c r="F444" t="s">
        <v>955</v>
      </c>
      <c r="G444" t="s">
        <v>956</v>
      </c>
      <c r="H444" t="str">
        <f>'Huong dan giao do an'!$B$14</f>
        <v>5 SV (vai trò chính): 1 PM/Scrum Master kiêm Integration; 2 BA/PO; 3 UI-UX + Frontend; 4 Backend/API + DevOps; 5 Database + QA/Tester. Mỗi SV có nhiệm vụ phụ và minh chứng cá nhân.</v>
      </c>
      <c r="I444" t="s">
        <v>36</v>
      </c>
      <c r="J444" t="s">
        <v>957</v>
      </c>
      <c r="K444" t="str">
        <f>IF(I444="Trung bình",'Huong dan giao do an'!$B$8,IF(I444="Khá",'Huong dan giao do an'!$B$9,'Huong dan giao do an'!$B$10))</f>
        <v>Tối thiểu 3 actor; 8-10 use case; 6-8 bảng dữ liệu; 2 quy trình lõi; đăng nhập/RBAC; 1 dashboard; 1 báo cáo; &gt;=25 test case; triển khai bản demo.</v>
      </c>
      <c r="L444" t="str">
        <f>'Huong dan giao do an'!$B$31</f>
        <v>Bắt buộc: Charter/PMP; SRS + scope/WBS; Gantt/baseline; effort-cost budget; RACI/timesheet; quality-test-defect; communication/minutes; risk register; procurement; change log; closure/lessons learned.</v>
      </c>
      <c r="M444" t="str">
        <f>'Huong dan giao do an'!$B$33</f>
        <v>Tuần 1: 07.09–13.09.2026; Tuần 2: 14.09–20.09.2026; Tuần 3: 21.09–27.09.2026; Tuần 4: 28.09–04.10.2026; Tuần 5: 05.10–11.10.2026; Tuần 6: 12.10–18.10.2026; Tuần 7: 19.10–25.10.2026; Tuần 8: 26.10–01.11.2026.</v>
      </c>
      <c r="N4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4" s="17" t="str">
        <f t="shared" si="6"/>
        <v>Còn trống</v>
      </c>
    </row>
    <row r="445" spans="1:16" x14ac:dyDescent="0.3">
      <c r="A445">
        <v>444</v>
      </c>
      <c r="B445" t="s">
        <v>942</v>
      </c>
      <c r="C445" t="s">
        <v>1057</v>
      </c>
      <c r="D445" t="s">
        <v>1058</v>
      </c>
      <c r="E445" t="s">
        <v>33</v>
      </c>
      <c r="F445" t="s">
        <v>960</v>
      </c>
      <c r="G445" t="s">
        <v>961</v>
      </c>
      <c r="H445" t="str">
        <f>'Huong dan giao do an'!$B$14</f>
        <v>5 SV (vai trò chính): 1 PM/Scrum Master kiêm Integration; 2 BA/PO; 3 UI-UX + Frontend; 4 Backend/API + DevOps; 5 Database + QA/Tester. Mỗi SV có nhiệm vụ phụ và minh chứng cá nhân.</v>
      </c>
      <c r="I445" t="s">
        <v>22</v>
      </c>
      <c r="J445" t="s">
        <v>947</v>
      </c>
      <c r="K445" t="str">
        <f>IF(I445="Trung bình",'Huong dan giao do an'!$B$8,IF(I445="Khá",'Huong dan giao do an'!$B$9,'Huong dan giao do an'!$B$10))</f>
        <v>Tối thiểu 4 actor; 10-14 use case; 8-12 bảng; 3 quy trình lõi; phân quyền chi tiết; 2 báo cáo; tích hợp 1 dịch vụ; &gt;=35 test case; CI/CD hoặc deploy cloud.</v>
      </c>
      <c r="L445" t="str">
        <f>'Huong dan giao do an'!$B$31</f>
        <v>Bắt buộc: Charter/PMP; SRS + scope/WBS; Gantt/baseline; effort-cost budget; RACI/timesheet; quality-test-defect; communication/minutes; risk register; procurement; change log; closure/lessons learned.</v>
      </c>
      <c r="M445" t="str">
        <f>'Huong dan giao do an'!$B$33</f>
        <v>Tuần 1: 07.09–13.09.2026; Tuần 2: 14.09–20.09.2026; Tuần 3: 21.09–27.09.2026; Tuần 4: 28.09–04.10.2026; Tuần 5: 05.10–11.10.2026; Tuần 6: 12.10–18.10.2026; Tuần 7: 19.10–25.10.2026; Tuần 8: 26.10–01.11.2026.</v>
      </c>
      <c r="N4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5" s="17" t="str">
        <f t="shared" si="6"/>
        <v>Còn trống</v>
      </c>
    </row>
    <row r="446" spans="1:16" x14ac:dyDescent="0.3">
      <c r="A446">
        <v>445</v>
      </c>
      <c r="B446" t="s">
        <v>942</v>
      </c>
      <c r="C446" t="s">
        <v>1059</v>
      </c>
      <c r="D446" t="s">
        <v>1060</v>
      </c>
      <c r="E446" t="s">
        <v>40</v>
      </c>
      <c r="F446" t="s">
        <v>964</v>
      </c>
      <c r="G446" t="s">
        <v>965</v>
      </c>
      <c r="H446" t="str">
        <f>'Huong dan giao do an'!$B$14</f>
        <v>5 SV (vai trò chính): 1 PM/Scrum Master kiêm Integration; 2 BA/PO; 3 UI-UX + Frontend; 4 Backend/API + DevOps; 5 Database + QA/Tester. Mỗi SV có nhiệm vụ phụ và minh chứng cá nhân.</v>
      </c>
      <c r="I446" t="s">
        <v>29</v>
      </c>
      <c r="J446" t="s">
        <v>952</v>
      </c>
      <c r="K446" t="str">
        <f>IF(I446="Trung bình",'Huong dan giao do an'!$B$8,IF(I446="Khá",'Huong dan giao do an'!$B$9,'Huong dan giao do an'!$B$10))</f>
        <v>Tối thiểu 5 actor; 14-18 use case; 10-15 bảng; 4 quy trình; tích hợp ngoài/realtime hoặc xử lý nâng cao; 3 báo cáo; &gt;=45 test case; logging, backup và deploy.</v>
      </c>
      <c r="L446" t="str">
        <f>'Huong dan giao do an'!$B$31</f>
        <v>Bắt buộc: Charter/PMP; SRS + scope/WBS; Gantt/baseline; effort-cost budget; RACI/timesheet; quality-test-defect; communication/minutes; risk register; procurement; change log; closure/lessons learned.</v>
      </c>
      <c r="M446" t="str">
        <f>'Huong dan giao do an'!$B$33</f>
        <v>Tuần 1: 07.09–13.09.2026; Tuần 2: 14.09–20.09.2026; Tuần 3: 21.09–27.09.2026; Tuần 4: 28.09–04.10.2026; Tuần 5: 05.10–11.10.2026; Tuần 6: 12.10–18.10.2026; Tuần 7: 19.10–25.10.2026; Tuần 8: 26.10–01.11.2026.</v>
      </c>
      <c r="N4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6" s="17" t="str">
        <f t="shared" si="6"/>
        <v>Còn trống</v>
      </c>
    </row>
    <row r="447" spans="1:16" x14ac:dyDescent="0.3">
      <c r="A447">
        <v>446</v>
      </c>
      <c r="B447" t="s">
        <v>942</v>
      </c>
      <c r="C447" t="s">
        <v>1061</v>
      </c>
      <c r="D447" t="s">
        <v>1062</v>
      </c>
      <c r="E447" t="s">
        <v>45</v>
      </c>
      <c r="F447" t="s">
        <v>945</v>
      </c>
      <c r="G447" t="s">
        <v>968</v>
      </c>
      <c r="H447" t="str">
        <f>'Huong dan giao do an'!$B$14</f>
        <v>5 SV (vai trò chính): 1 PM/Scrum Master kiêm Integration; 2 BA/PO; 3 UI-UX + Frontend; 4 Backend/API + DevOps; 5 Database + QA/Tester. Mỗi SV có nhiệm vụ phụ và minh chứng cá nhân.</v>
      </c>
      <c r="I447" t="s">
        <v>36</v>
      </c>
      <c r="J447" t="s">
        <v>957</v>
      </c>
      <c r="K447" t="str">
        <f>IF(I447="Trung bình",'Huong dan giao do an'!$B$8,IF(I447="Khá",'Huong dan giao do an'!$B$9,'Huong dan giao do an'!$B$10))</f>
        <v>Tối thiểu 3 actor; 8-10 use case; 6-8 bảng dữ liệu; 2 quy trình lõi; đăng nhập/RBAC; 1 dashboard; 1 báo cáo; &gt;=25 test case; triển khai bản demo.</v>
      </c>
      <c r="L447" t="str">
        <f>'Huong dan giao do an'!$B$31</f>
        <v>Bắt buộc: Charter/PMP; SRS + scope/WBS; Gantt/baseline; effort-cost budget; RACI/timesheet; quality-test-defect; communication/minutes; risk register; procurement; change log; closure/lessons learned.</v>
      </c>
      <c r="M447" t="str">
        <f>'Huong dan giao do an'!$B$33</f>
        <v>Tuần 1: 07.09–13.09.2026; Tuần 2: 14.09–20.09.2026; Tuần 3: 21.09–27.09.2026; Tuần 4: 28.09–04.10.2026; Tuần 5: 05.10–11.10.2026; Tuần 6: 12.10–18.10.2026; Tuần 7: 19.10–25.10.2026; Tuần 8: 26.10–01.11.2026.</v>
      </c>
      <c r="N4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7" s="17" t="str">
        <f t="shared" si="6"/>
        <v>Còn trống</v>
      </c>
    </row>
    <row r="448" spans="1:16" x14ac:dyDescent="0.3">
      <c r="A448">
        <v>447</v>
      </c>
      <c r="B448" t="s">
        <v>942</v>
      </c>
      <c r="C448" t="s">
        <v>1063</v>
      </c>
      <c r="D448" t="s">
        <v>1064</v>
      </c>
      <c r="E448" t="s">
        <v>19</v>
      </c>
      <c r="F448" t="s">
        <v>950</v>
      </c>
      <c r="G448" t="s">
        <v>971</v>
      </c>
      <c r="H448" t="str">
        <f>'Huong dan giao do an'!$B$14</f>
        <v>5 SV (vai trò chính): 1 PM/Scrum Master kiêm Integration; 2 BA/PO; 3 UI-UX + Frontend; 4 Backend/API + DevOps; 5 Database + QA/Tester. Mỗi SV có nhiệm vụ phụ và minh chứng cá nhân.</v>
      </c>
      <c r="I448" t="s">
        <v>22</v>
      </c>
      <c r="J448" t="s">
        <v>947</v>
      </c>
      <c r="K448" t="str">
        <f>IF(I448="Trung bình",'Huong dan giao do an'!$B$8,IF(I448="Khá",'Huong dan giao do an'!$B$9,'Huong dan giao do an'!$B$10))</f>
        <v>Tối thiểu 4 actor; 10-14 use case; 8-12 bảng; 3 quy trình lõi; phân quyền chi tiết; 2 báo cáo; tích hợp 1 dịch vụ; &gt;=35 test case; CI/CD hoặc deploy cloud.</v>
      </c>
      <c r="L448" t="str">
        <f>'Huong dan giao do an'!$B$31</f>
        <v>Bắt buộc: Charter/PMP; SRS + scope/WBS; Gantt/baseline; effort-cost budget; RACI/timesheet; quality-test-defect; communication/minutes; risk register; procurement; change log; closure/lessons learned.</v>
      </c>
      <c r="M448" t="str">
        <f>'Huong dan giao do an'!$B$33</f>
        <v>Tuần 1: 07.09–13.09.2026; Tuần 2: 14.09–20.09.2026; Tuần 3: 21.09–27.09.2026; Tuần 4: 28.09–04.10.2026; Tuần 5: 05.10–11.10.2026; Tuần 6: 12.10–18.10.2026; Tuần 7: 19.10–25.10.2026; Tuần 8: 26.10–01.11.2026.</v>
      </c>
      <c r="N4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8" s="17" t="str">
        <f t="shared" si="6"/>
        <v>Còn trống</v>
      </c>
    </row>
    <row r="449" spans="1:16" x14ac:dyDescent="0.3">
      <c r="A449">
        <v>448</v>
      </c>
      <c r="B449" t="s">
        <v>942</v>
      </c>
      <c r="C449" t="s">
        <v>1065</v>
      </c>
      <c r="D449" t="s">
        <v>1066</v>
      </c>
      <c r="E449" t="s">
        <v>26</v>
      </c>
      <c r="F449" t="s">
        <v>955</v>
      </c>
      <c r="G449" t="s">
        <v>974</v>
      </c>
      <c r="H449" t="str">
        <f>'Huong dan giao do an'!$B$14</f>
        <v>5 SV (vai trò chính): 1 PM/Scrum Master kiêm Integration; 2 BA/PO; 3 UI-UX + Frontend; 4 Backend/API + DevOps; 5 Database + QA/Tester. Mỗi SV có nhiệm vụ phụ và minh chứng cá nhân.</v>
      </c>
      <c r="I449" t="s">
        <v>29</v>
      </c>
      <c r="J449" t="s">
        <v>952</v>
      </c>
      <c r="K449" t="str">
        <f>IF(I449="Trung bình",'Huong dan giao do an'!$B$8,IF(I449="Khá",'Huong dan giao do an'!$B$9,'Huong dan giao do an'!$B$10))</f>
        <v>Tối thiểu 5 actor; 14-18 use case; 10-15 bảng; 4 quy trình; tích hợp ngoài/realtime hoặc xử lý nâng cao; 3 báo cáo; &gt;=45 test case; logging, backup và deploy.</v>
      </c>
      <c r="L449" t="str">
        <f>'Huong dan giao do an'!$B$31</f>
        <v>Bắt buộc: Charter/PMP; SRS + scope/WBS; Gantt/baseline; effort-cost budget; RACI/timesheet; quality-test-defect; communication/minutes; risk register; procurement; change log; closure/lessons learned.</v>
      </c>
      <c r="M449" t="str">
        <f>'Huong dan giao do an'!$B$33</f>
        <v>Tuần 1: 07.09–13.09.2026; Tuần 2: 14.09–20.09.2026; Tuần 3: 21.09–27.09.2026; Tuần 4: 28.09–04.10.2026; Tuần 5: 05.10–11.10.2026; Tuần 6: 12.10–18.10.2026; Tuần 7: 19.10–25.10.2026; Tuần 8: 26.10–01.11.2026.</v>
      </c>
      <c r="N4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49" s="17" t="str">
        <f t="shared" si="6"/>
        <v>Còn trống</v>
      </c>
    </row>
    <row r="450" spans="1:16" x14ac:dyDescent="0.3">
      <c r="A450">
        <v>449</v>
      </c>
      <c r="B450" t="s">
        <v>942</v>
      </c>
      <c r="C450" t="s">
        <v>1067</v>
      </c>
      <c r="D450" t="s">
        <v>1068</v>
      </c>
      <c r="E450" t="s">
        <v>33</v>
      </c>
      <c r="F450" t="s">
        <v>960</v>
      </c>
      <c r="G450" t="s">
        <v>977</v>
      </c>
      <c r="H450" t="str">
        <f>'Huong dan giao do an'!$B$14</f>
        <v>5 SV (vai trò chính): 1 PM/Scrum Master kiêm Integration; 2 BA/PO; 3 UI-UX + Frontend; 4 Backend/API + DevOps; 5 Database + QA/Tester. Mỗi SV có nhiệm vụ phụ và minh chứng cá nhân.</v>
      </c>
      <c r="I450" t="s">
        <v>36</v>
      </c>
      <c r="J450" t="s">
        <v>957</v>
      </c>
      <c r="K450" t="str">
        <f>IF(I450="Trung bình",'Huong dan giao do an'!$B$8,IF(I450="Khá",'Huong dan giao do an'!$B$9,'Huong dan giao do an'!$B$10))</f>
        <v>Tối thiểu 3 actor; 8-10 use case; 6-8 bảng dữ liệu; 2 quy trình lõi; đăng nhập/RBAC; 1 dashboard; 1 báo cáo; &gt;=25 test case; triển khai bản demo.</v>
      </c>
      <c r="L450" t="str">
        <f>'Huong dan giao do an'!$B$31</f>
        <v>Bắt buộc: Charter/PMP; SRS + scope/WBS; Gantt/baseline; effort-cost budget; RACI/timesheet; quality-test-defect; communication/minutes; risk register; procurement; change log; closure/lessons learned.</v>
      </c>
      <c r="M450" t="str">
        <f>'Huong dan giao do an'!$B$33</f>
        <v>Tuần 1: 07.09–13.09.2026; Tuần 2: 14.09–20.09.2026; Tuần 3: 21.09–27.09.2026; Tuần 4: 28.09–04.10.2026; Tuần 5: 05.10–11.10.2026; Tuần 6: 12.10–18.10.2026; Tuần 7: 19.10–25.10.2026; Tuần 8: 26.10–01.11.2026.</v>
      </c>
      <c r="N4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0" s="17" t="str">
        <f t="shared" si="6"/>
        <v>Còn trống</v>
      </c>
    </row>
    <row r="451" spans="1:16" x14ac:dyDescent="0.3">
      <c r="A451">
        <v>450</v>
      </c>
      <c r="B451" t="s">
        <v>942</v>
      </c>
      <c r="C451" t="s">
        <v>1069</v>
      </c>
      <c r="D451" t="s">
        <v>1070</v>
      </c>
      <c r="E451" t="s">
        <v>40</v>
      </c>
      <c r="F451" t="s">
        <v>964</v>
      </c>
      <c r="G451" t="s">
        <v>980</v>
      </c>
      <c r="H451" t="str">
        <f>'Huong dan giao do an'!$B$14</f>
        <v>5 SV (vai trò chính): 1 PM/Scrum Master kiêm Integration; 2 BA/PO; 3 UI-UX + Frontend; 4 Backend/API + DevOps; 5 Database + QA/Tester. Mỗi SV có nhiệm vụ phụ và minh chứng cá nhân.</v>
      </c>
      <c r="I451" t="s">
        <v>22</v>
      </c>
      <c r="J451" t="s">
        <v>947</v>
      </c>
      <c r="K451" t="str">
        <f>IF(I451="Trung bình",'Huong dan giao do an'!$B$8,IF(I451="Khá",'Huong dan giao do an'!$B$9,'Huong dan giao do an'!$B$10))</f>
        <v>Tối thiểu 4 actor; 10-14 use case; 8-12 bảng; 3 quy trình lõi; phân quyền chi tiết; 2 báo cáo; tích hợp 1 dịch vụ; &gt;=35 test case; CI/CD hoặc deploy cloud.</v>
      </c>
      <c r="L451" t="str">
        <f>'Huong dan giao do an'!$B$31</f>
        <v>Bắt buộc: Charter/PMP; SRS + scope/WBS; Gantt/baseline; effort-cost budget; RACI/timesheet; quality-test-defect; communication/minutes; risk register; procurement; change log; closure/lessons learned.</v>
      </c>
      <c r="M451" t="str">
        <f>'Huong dan giao do an'!$B$33</f>
        <v>Tuần 1: 07.09–13.09.2026; Tuần 2: 14.09–20.09.2026; Tuần 3: 21.09–27.09.2026; Tuần 4: 28.09–04.10.2026; Tuần 5: 05.10–11.10.2026; Tuần 6: 12.10–18.10.2026; Tuần 7: 19.10–25.10.2026; Tuần 8: 26.10–01.11.2026.</v>
      </c>
      <c r="N4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1" s="17" t="str">
        <f t="shared" ref="P451:P514" si="7">IF(O451="","Còn trống","Đã đăng ký")</f>
        <v>Còn trống</v>
      </c>
    </row>
    <row r="452" spans="1:16" x14ac:dyDescent="0.3">
      <c r="A452">
        <v>451</v>
      </c>
      <c r="B452" t="s">
        <v>942</v>
      </c>
      <c r="C452" t="s">
        <v>1071</v>
      </c>
      <c r="D452" t="s">
        <v>1072</v>
      </c>
      <c r="E452" t="s">
        <v>45</v>
      </c>
      <c r="F452" t="s">
        <v>945</v>
      </c>
      <c r="G452" t="s">
        <v>983</v>
      </c>
      <c r="H452" t="str">
        <f>'Huong dan giao do an'!$B$14</f>
        <v>5 SV (vai trò chính): 1 PM/Scrum Master kiêm Integration; 2 BA/PO; 3 UI-UX + Frontend; 4 Backend/API + DevOps; 5 Database + QA/Tester. Mỗi SV có nhiệm vụ phụ và minh chứng cá nhân.</v>
      </c>
      <c r="I452" t="s">
        <v>29</v>
      </c>
      <c r="J452" t="s">
        <v>952</v>
      </c>
      <c r="K452" t="str">
        <f>IF(I452="Trung bình",'Huong dan giao do an'!$B$8,IF(I452="Khá",'Huong dan giao do an'!$B$9,'Huong dan giao do an'!$B$10))</f>
        <v>Tối thiểu 5 actor; 14-18 use case; 10-15 bảng; 4 quy trình; tích hợp ngoài/realtime hoặc xử lý nâng cao; 3 báo cáo; &gt;=45 test case; logging, backup và deploy.</v>
      </c>
      <c r="L452" t="str">
        <f>'Huong dan giao do an'!$B$31</f>
        <v>Bắt buộc: Charter/PMP; SRS + scope/WBS; Gantt/baseline; effort-cost budget; RACI/timesheet; quality-test-defect; communication/minutes; risk register; procurement; change log; closure/lessons learned.</v>
      </c>
      <c r="M452" t="str">
        <f>'Huong dan giao do an'!$B$33</f>
        <v>Tuần 1: 07.09–13.09.2026; Tuần 2: 14.09–20.09.2026; Tuần 3: 21.09–27.09.2026; Tuần 4: 28.09–04.10.2026; Tuần 5: 05.10–11.10.2026; Tuần 6: 12.10–18.10.2026; Tuần 7: 19.10–25.10.2026; Tuần 8: 26.10–01.11.2026.</v>
      </c>
      <c r="N4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2" s="17" t="str">
        <f t="shared" si="7"/>
        <v>Còn trống</v>
      </c>
    </row>
    <row r="453" spans="1:16" x14ac:dyDescent="0.3">
      <c r="A453">
        <v>452</v>
      </c>
      <c r="B453" t="s">
        <v>942</v>
      </c>
      <c r="C453" t="s">
        <v>1073</v>
      </c>
      <c r="D453" t="s">
        <v>1074</v>
      </c>
      <c r="E453" t="s">
        <v>19</v>
      </c>
      <c r="F453" t="s">
        <v>950</v>
      </c>
      <c r="G453" t="s">
        <v>986</v>
      </c>
      <c r="H453" t="str">
        <f>'Huong dan giao do an'!$B$14</f>
        <v>5 SV (vai trò chính): 1 PM/Scrum Master kiêm Integration; 2 BA/PO; 3 UI-UX + Frontend; 4 Backend/API + DevOps; 5 Database + QA/Tester. Mỗi SV có nhiệm vụ phụ và minh chứng cá nhân.</v>
      </c>
      <c r="I453" t="s">
        <v>36</v>
      </c>
      <c r="J453" t="s">
        <v>957</v>
      </c>
      <c r="K453" t="str">
        <f>IF(I453="Trung bình",'Huong dan giao do an'!$B$8,IF(I453="Khá",'Huong dan giao do an'!$B$9,'Huong dan giao do an'!$B$10))</f>
        <v>Tối thiểu 3 actor; 8-10 use case; 6-8 bảng dữ liệu; 2 quy trình lõi; đăng nhập/RBAC; 1 dashboard; 1 báo cáo; &gt;=25 test case; triển khai bản demo.</v>
      </c>
      <c r="L453" t="str">
        <f>'Huong dan giao do an'!$B$31</f>
        <v>Bắt buộc: Charter/PMP; SRS + scope/WBS; Gantt/baseline; effort-cost budget; RACI/timesheet; quality-test-defect; communication/minutes; risk register; procurement; change log; closure/lessons learned.</v>
      </c>
      <c r="M453" t="str">
        <f>'Huong dan giao do an'!$B$33</f>
        <v>Tuần 1: 07.09–13.09.2026; Tuần 2: 14.09–20.09.2026; Tuần 3: 21.09–27.09.2026; Tuần 4: 28.09–04.10.2026; Tuần 5: 05.10–11.10.2026; Tuần 6: 12.10–18.10.2026; Tuần 7: 19.10–25.10.2026; Tuần 8: 26.10–01.11.2026.</v>
      </c>
      <c r="N4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3" s="17" t="str">
        <f t="shared" si="7"/>
        <v>Còn trống</v>
      </c>
    </row>
    <row r="454" spans="1:16" x14ac:dyDescent="0.3">
      <c r="A454">
        <v>453</v>
      </c>
      <c r="B454" t="s">
        <v>942</v>
      </c>
      <c r="C454" t="s">
        <v>1075</v>
      </c>
      <c r="D454" t="s">
        <v>1076</v>
      </c>
      <c r="E454" t="s">
        <v>26</v>
      </c>
      <c r="F454" t="s">
        <v>955</v>
      </c>
      <c r="G454" t="s">
        <v>989</v>
      </c>
      <c r="H454" t="str">
        <f>'Huong dan giao do an'!$B$14</f>
        <v>5 SV (vai trò chính): 1 PM/Scrum Master kiêm Integration; 2 BA/PO; 3 UI-UX + Frontend; 4 Backend/API + DevOps; 5 Database + QA/Tester. Mỗi SV có nhiệm vụ phụ và minh chứng cá nhân.</v>
      </c>
      <c r="I454" t="s">
        <v>22</v>
      </c>
      <c r="J454" t="s">
        <v>947</v>
      </c>
      <c r="K454" t="str">
        <f>IF(I454="Trung bình",'Huong dan giao do an'!$B$8,IF(I454="Khá",'Huong dan giao do an'!$B$9,'Huong dan giao do an'!$B$10))</f>
        <v>Tối thiểu 4 actor; 10-14 use case; 8-12 bảng; 3 quy trình lõi; phân quyền chi tiết; 2 báo cáo; tích hợp 1 dịch vụ; &gt;=35 test case; CI/CD hoặc deploy cloud.</v>
      </c>
      <c r="L454" t="str">
        <f>'Huong dan giao do an'!$B$31</f>
        <v>Bắt buộc: Charter/PMP; SRS + scope/WBS; Gantt/baseline; effort-cost budget; RACI/timesheet; quality-test-defect; communication/minutes; risk register; procurement; change log; closure/lessons learned.</v>
      </c>
      <c r="M454" t="str">
        <f>'Huong dan giao do an'!$B$33</f>
        <v>Tuần 1: 07.09–13.09.2026; Tuần 2: 14.09–20.09.2026; Tuần 3: 21.09–27.09.2026; Tuần 4: 28.09–04.10.2026; Tuần 5: 05.10–11.10.2026; Tuần 6: 12.10–18.10.2026; Tuần 7: 19.10–25.10.2026; Tuần 8: 26.10–01.11.2026.</v>
      </c>
      <c r="N4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4" s="17" t="str">
        <f t="shared" si="7"/>
        <v>Còn trống</v>
      </c>
    </row>
    <row r="455" spans="1:16" x14ac:dyDescent="0.3">
      <c r="A455">
        <v>454</v>
      </c>
      <c r="B455" t="s">
        <v>942</v>
      </c>
      <c r="C455" t="s">
        <v>1077</v>
      </c>
      <c r="D455" t="s">
        <v>1078</v>
      </c>
      <c r="E455" t="s">
        <v>33</v>
      </c>
      <c r="F455" t="s">
        <v>960</v>
      </c>
      <c r="G455" t="s">
        <v>992</v>
      </c>
      <c r="H455" t="str">
        <f>'Huong dan giao do an'!$B$14</f>
        <v>5 SV (vai trò chính): 1 PM/Scrum Master kiêm Integration; 2 BA/PO; 3 UI-UX + Frontend; 4 Backend/API + DevOps; 5 Database + QA/Tester. Mỗi SV có nhiệm vụ phụ và minh chứng cá nhân.</v>
      </c>
      <c r="I455" t="s">
        <v>29</v>
      </c>
      <c r="J455" t="s">
        <v>952</v>
      </c>
      <c r="K455" t="str">
        <f>IF(I455="Trung bình",'Huong dan giao do an'!$B$8,IF(I455="Khá",'Huong dan giao do an'!$B$9,'Huong dan giao do an'!$B$10))</f>
        <v>Tối thiểu 5 actor; 14-18 use case; 10-15 bảng; 4 quy trình; tích hợp ngoài/realtime hoặc xử lý nâng cao; 3 báo cáo; &gt;=45 test case; logging, backup và deploy.</v>
      </c>
      <c r="L455" t="str">
        <f>'Huong dan giao do an'!$B$31</f>
        <v>Bắt buộc: Charter/PMP; SRS + scope/WBS; Gantt/baseline; effort-cost budget; RACI/timesheet; quality-test-defect; communication/minutes; risk register; procurement; change log; closure/lessons learned.</v>
      </c>
      <c r="M455" t="str">
        <f>'Huong dan giao do an'!$B$33</f>
        <v>Tuần 1: 07.09–13.09.2026; Tuần 2: 14.09–20.09.2026; Tuần 3: 21.09–27.09.2026; Tuần 4: 28.09–04.10.2026; Tuần 5: 05.10–11.10.2026; Tuần 6: 12.10–18.10.2026; Tuần 7: 19.10–25.10.2026; Tuần 8: 26.10–01.11.2026.</v>
      </c>
      <c r="N4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5" s="17" t="str">
        <f t="shared" si="7"/>
        <v>Còn trống</v>
      </c>
    </row>
    <row r="456" spans="1:16" x14ac:dyDescent="0.3">
      <c r="A456">
        <v>455</v>
      </c>
      <c r="B456" t="s">
        <v>942</v>
      </c>
      <c r="C456" t="s">
        <v>1079</v>
      </c>
      <c r="D456" t="s">
        <v>1080</v>
      </c>
      <c r="E456" t="s">
        <v>40</v>
      </c>
      <c r="F456" t="s">
        <v>964</v>
      </c>
      <c r="G456" t="s">
        <v>995</v>
      </c>
      <c r="H456" t="str">
        <f>'Huong dan giao do an'!$B$14</f>
        <v>5 SV (vai trò chính): 1 PM/Scrum Master kiêm Integration; 2 BA/PO; 3 UI-UX + Frontend; 4 Backend/API + DevOps; 5 Database + QA/Tester. Mỗi SV có nhiệm vụ phụ và minh chứng cá nhân.</v>
      </c>
      <c r="I456" t="s">
        <v>36</v>
      </c>
      <c r="J456" t="s">
        <v>957</v>
      </c>
      <c r="K456" t="str">
        <f>IF(I456="Trung bình",'Huong dan giao do an'!$B$8,IF(I456="Khá",'Huong dan giao do an'!$B$9,'Huong dan giao do an'!$B$10))</f>
        <v>Tối thiểu 3 actor; 8-10 use case; 6-8 bảng dữ liệu; 2 quy trình lõi; đăng nhập/RBAC; 1 dashboard; 1 báo cáo; &gt;=25 test case; triển khai bản demo.</v>
      </c>
      <c r="L456" t="str">
        <f>'Huong dan giao do an'!$B$31</f>
        <v>Bắt buộc: Charter/PMP; SRS + scope/WBS; Gantt/baseline; effort-cost budget; RACI/timesheet; quality-test-defect; communication/minutes; risk register; procurement; change log; closure/lessons learned.</v>
      </c>
      <c r="M456" t="str">
        <f>'Huong dan giao do an'!$B$33</f>
        <v>Tuần 1: 07.09–13.09.2026; Tuần 2: 14.09–20.09.2026; Tuần 3: 21.09–27.09.2026; Tuần 4: 28.09–04.10.2026; Tuần 5: 05.10–11.10.2026; Tuần 6: 12.10–18.10.2026; Tuần 7: 19.10–25.10.2026; Tuần 8: 26.10–01.11.2026.</v>
      </c>
      <c r="N4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6" s="17" t="str">
        <f t="shared" si="7"/>
        <v>Còn trống</v>
      </c>
    </row>
    <row r="457" spans="1:16" x14ac:dyDescent="0.3">
      <c r="A457">
        <v>456</v>
      </c>
      <c r="B457" t="s">
        <v>942</v>
      </c>
      <c r="C457" t="s">
        <v>1081</v>
      </c>
      <c r="D457" t="s">
        <v>1082</v>
      </c>
      <c r="E457" t="s">
        <v>45</v>
      </c>
      <c r="F457" t="s">
        <v>945</v>
      </c>
      <c r="G457" t="s">
        <v>998</v>
      </c>
      <c r="H457" t="str">
        <f>'Huong dan giao do an'!$B$14</f>
        <v>5 SV (vai trò chính): 1 PM/Scrum Master kiêm Integration; 2 BA/PO; 3 UI-UX + Frontend; 4 Backend/API + DevOps; 5 Database + QA/Tester. Mỗi SV có nhiệm vụ phụ và minh chứng cá nhân.</v>
      </c>
      <c r="I457" t="s">
        <v>22</v>
      </c>
      <c r="J457" t="s">
        <v>947</v>
      </c>
      <c r="K457" t="str">
        <f>IF(I457="Trung bình",'Huong dan giao do an'!$B$8,IF(I457="Khá",'Huong dan giao do an'!$B$9,'Huong dan giao do an'!$B$10))</f>
        <v>Tối thiểu 4 actor; 10-14 use case; 8-12 bảng; 3 quy trình lõi; phân quyền chi tiết; 2 báo cáo; tích hợp 1 dịch vụ; &gt;=35 test case; CI/CD hoặc deploy cloud.</v>
      </c>
      <c r="L457" t="str">
        <f>'Huong dan giao do an'!$B$31</f>
        <v>Bắt buộc: Charter/PMP; SRS + scope/WBS; Gantt/baseline; effort-cost budget; RACI/timesheet; quality-test-defect; communication/minutes; risk register; procurement; change log; closure/lessons learned.</v>
      </c>
      <c r="M457" t="str">
        <f>'Huong dan giao do an'!$B$33</f>
        <v>Tuần 1: 07.09–13.09.2026; Tuần 2: 14.09–20.09.2026; Tuần 3: 21.09–27.09.2026; Tuần 4: 28.09–04.10.2026; Tuần 5: 05.10–11.10.2026; Tuần 6: 12.10–18.10.2026; Tuần 7: 19.10–25.10.2026; Tuần 8: 26.10–01.11.2026.</v>
      </c>
      <c r="N4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7" s="17" t="str">
        <f t="shared" si="7"/>
        <v>Còn trống</v>
      </c>
    </row>
    <row r="458" spans="1:16" x14ac:dyDescent="0.3">
      <c r="A458">
        <v>457</v>
      </c>
      <c r="B458" t="s">
        <v>942</v>
      </c>
      <c r="C458" t="s">
        <v>1083</v>
      </c>
      <c r="D458" t="s">
        <v>1084</v>
      </c>
      <c r="E458" t="s">
        <v>19</v>
      </c>
      <c r="F458" t="s">
        <v>950</v>
      </c>
      <c r="G458" t="s">
        <v>1001</v>
      </c>
      <c r="H458" t="str">
        <f>'Huong dan giao do an'!$B$14</f>
        <v>5 SV (vai trò chính): 1 PM/Scrum Master kiêm Integration; 2 BA/PO; 3 UI-UX + Frontend; 4 Backend/API + DevOps; 5 Database + QA/Tester. Mỗi SV có nhiệm vụ phụ và minh chứng cá nhân.</v>
      </c>
      <c r="I458" t="s">
        <v>29</v>
      </c>
      <c r="J458" t="s">
        <v>952</v>
      </c>
      <c r="K458" t="str">
        <f>IF(I458="Trung bình",'Huong dan giao do an'!$B$8,IF(I458="Khá",'Huong dan giao do an'!$B$9,'Huong dan giao do an'!$B$10))</f>
        <v>Tối thiểu 5 actor; 14-18 use case; 10-15 bảng; 4 quy trình; tích hợp ngoài/realtime hoặc xử lý nâng cao; 3 báo cáo; &gt;=45 test case; logging, backup và deploy.</v>
      </c>
      <c r="L458" t="str">
        <f>'Huong dan giao do an'!$B$31</f>
        <v>Bắt buộc: Charter/PMP; SRS + scope/WBS; Gantt/baseline; effort-cost budget; RACI/timesheet; quality-test-defect; communication/minutes; risk register; procurement; change log; closure/lessons learned.</v>
      </c>
      <c r="M458" t="str">
        <f>'Huong dan giao do an'!$B$33</f>
        <v>Tuần 1: 07.09–13.09.2026; Tuần 2: 14.09–20.09.2026; Tuần 3: 21.09–27.09.2026; Tuần 4: 28.09–04.10.2026; Tuần 5: 05.10–11.10.2026; Tuần 6: 12.10–18.10.2026; Tuần 7: 19.10–25.10.2026; Tuần 8: 26.10–01.11.2026.</v>
      </c>
      <c r="N4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8" s="17" t="str">
        <f t="shared" si="7"/>
        <v>Còn trống</v>
      </c>
    </row>
    <row r="459" spans="1:16" x14ac:dyDescent="0.3">
      <c r="A459">
        <v>458</v>
      </c>
      <c r="B459" t="s">
        <v>942</v>
      </c>
      <c r="C459" t="s">
        <v>1085</v>
      </c>
      <c r="D459" t="s">
        <v>1086</v>
      </c>
      <c r="E459" t="s">
        <v>26</v>
      </c>
      <c r="F459" t="s">
        <v>955</v>
      </c>
      <c r="G459" t="s">
        <v>1004</v>
      </c>
      <c r="H459" t="str">
        <f>'Huong dan giao do an'!$B$14</f>
        <v>5 SV (vai trò chính): 1 PM/Scrum Master kiêm Integration; 2 BA/PO; 3 UI-UX + Frontend; 4 Backend/API + DevOps; 5 Database + QA/Tester. Mỗi SV có nhiệm vụ phụ và minh chứng cá nhân.</v>
      </c>
      <c r="I459" t="s">
        <v>36</v>
      </c>
      <c r="J459" t="s">
        <v>957</v>
      </c>
      <c r="K459" t="str">
        <f>IF(I459="Trung bình",'Huong dan giao do an'!$B$8,IF(I459="Khá",'Huong dan giao do an'!$B$9,'Huong dan giao do an'!$B$10))</f>
        <v>Tối thiểu 3 actor; 8-10 use case; 6-8 bảng dữ liệu; 2 quy trình lõi; đăng nhập/RBAC; 1 dashboard; 1 báo cáo; &gt;=25 test case; triển khai bản demo.</v>
      </c>
      <c r="L459" t="str">
        <f>'Huong dan giao do an'!$B$31</f>
        <v>Bắt buộc: Charter/PMP; SRS + scope/WBS; Gantt/baseline; effort-cost budget; RACI/timesheet; quality-test-defect; communication/minutes; risk register; procurement; change log; closure/lessons learned.</v>
      </c>
      <c r="M459" t="str">
        <f>'Huong dan giao do an'!$B$33</f>
        <v>Tuần 1: 07.09–13.09.2026; Tuần 2: 14.09–20.09.2026; Tuần 3: 21.09–27.09.2026; Tuần 4: 28.09–04.10.2026; Tuần 5: 05.10–11.10.2026; Tuần 6: 12.10–18.10.2026; Tuần 7: 19.10–25.10.2026; Tuần 8: 26.10–01.11.2026.</v>
      </c>
      <c r="N4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59" s="17" t="str">
        <f t="shared" si="7"/>
        <v>Còn trống</v>
      </c>
    </row>
    <row r="460" spans="1:16" x14ac:dyDescent="0.3">
      <c r="A460">
        <v>459</v>
      </c>
      <c r="B460" t="s">
        <v>942</v>
      </c>
      <c r="C460" t="s">
        <v>1087</v>
      </c>
      <c r="D460" t="s">
        <v>1088</v>
      </c>
      <c r="E460" t="s">
        <v>33</v>
      </c>
      <c r="F460" t="s">
        <v>960</v>
      </c>
      <c r="G460" t="s">
        <v>1007</v>
      </c>
      <c r="H460" t="str">
        <f>'Huong dan giao do an'!$B$14</f>
        <v>5 SV (vai trò chính): 1 PM/Scrum Master kiêm Integration; 2 BA/PO; 3 UI-UX + Frontend; 4 Backend/API + DevOps; 5 Database + QA/Tester. Mỗi SV có nhiệm vụ phụ và minh chứng cá nhân.</v>
      </c>
      <c r="I460" t="s">
        <v>22</v>
      </c>
      <c r="J460" t="s">
        <v>947</v>
      </c>
      <c r="K460" t="str">
        <f>IF(I460="Trung bình",'Huong dan giao do an'!$B$8,IF(I460="Khá",'Huong dan giao do an'!$B$9,'Huong dan giao do an'!$B$10))</f>
        <v>Tối thiểu 4 actor; 10-14 use case; 8-12 bảng; 3 quy trình lõi; phân quyền chi tiết; 2 báo cáo; tích hợp 1 dịch vụ; &gt;=35 test case; CI/CD hoặc deploy cloud.</v>
      </c>
      <c r="L460" t="str">
        <f>'Huong dan giao do an'!$B$31</f>
        <v>Bắt buộc: Charter/PMP; SRS + scope/WBS; Gantt/baseline; effort-cost budget; RACI/timesheet; quality-test-defect; communication/minutes; risk register; procurement; change log; closure/lessons learned.</v>
      </c>
      <c r="M460" t="str">
        <f>'Huong dan giao do an'!$B$33</f>
        <v>Tuần 1: 07.09–13.09.2026; Tuần 2: 14.09–20.09.2026; Tuần 3: 21.09–27.09.2026; Tuần 4: 28.09–04.10.2026; Tuần 5: 05.10–11.10.2026; Tuần 6: 12.10–18.10.2026; Tuần 7: 19.10–25.10.2026; Tuần 8: 26.10–01.11.2026.</v>
      </c>
      <c r="N4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0" s="17" t="str">
        <f t="shared" si="7"/>
        <v>Còn trống</v>
      </c>
    </row>
    <row r="461" spans="1:16" x14ac:dyDescent="0.3">
      <c r="A461">
        <v>460</v>
      </c>
      <c r="B461" t="s">
        <v>942</v>
      </c>
      <c r="C461" t="s">
        <v>1089</v>
      </c>
      <c r="D461" t="s">
        <v>1090</v>
      </c>
      <c r="E461" t="s">
        <v>40</v>
      </c>
      <c r="F461" t="s">
        <v>964</v>
      </c>
      <c r="G461" t="s">
        <v>1010</v>
      </c>
      <c r="H461" t="str">
        <f>'Huong dan giao do an'!$B$14</f>
        <v>5 SV (vai trò chính): 1 PM/Scrum Master kiêm Integration; 2 BA/PO; 3 UI-UX + Frontend; 4 Backend/API + DevOps; 5 Database + QA/Tester. Mỗi SV có nhiệm vụ phụ và minh chứng cá nhân.</v>
      </c>
      <c r="I461" t="s">
        <v>29</v>
      </c>
      <c r="J461" t="s">
        <v>952</v>
      </c>
      <c r="K461" t="str">
        <f>IF(I461="Trung bình",'Huong dan giao do an'!$B$8,IF(I461="Khá",'Huong dan giao do an'!$B$9,'Huong dan giao do an'!$B$10))</f>
        <v>Tối thiểu 5 actor; 14-18 use case; 10-15 bảng; 4 quy trình; tích hợp ngoài/realtime hoặc xử lý nâng cao; 3 báo cáo; &gt;=45 test case; logging, backup và deploy.</v>
      </c>
      <c r="L461" t="str">
        <f>'Huong dan giao do an'!$B$31</f>
        <v>Bắt buộc: Charter/PMP; SRS + scope/WBS; Gantt/baseline; effort-cost budget; RACI/timesheet; quality-test-defect; communication/minutes; risk register; procurement; change log; closure/lessons learned.</v>
      </c>
      <c r="M461" t="str">
        <f>'Huong dan giao do an'!$B$33</f>
        <v>Tuần 1: 07.09–13.09.2026; Tuần 2: 14.09–20.09.2026; Tuần 3: 21.09–27.09.2026; Tuần 4: 28.09–04.10.2026; Tuần 5: 05.10–11.10.2026; Tuần 6: 12.10–18.10.2026; Tuần 7: 19.10–25.10.2026; Tuần 8: 26.10–01.11.2026.</v>
      </c>
      <c r="N4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1" s="17" t="str">
        <f t="shared" si="7"/>
        <v>Còn trống</v>
      </c>
    </row>
    <row r="462" spans="1:16" x14ac:dyDescent="0.3">
      <c r="A462">
        <v>461</v>
      </c>
      <c r="B462" t="s">
        <v>942</v>
      </c>
      <c r="C462" t="s">
        <v>1091</v>
      </c>
      <c r="D462" t="s">
        <v>1092</v>
      </c>
      <c r="E462" t="s">
        <v>45</v>
      </c>
      <c r="F462" t="s">
        <v>945</v>
      </c>
      <c r="G462" t="s">
        <v>946</v>
      </c>
      <c r="H462" t="str">
        <f>'Huong dan giao do an'!$B$14</f>
        <v>5 SV (vai trò chính): 1 PM/Scrum Master kiêm Integration; 2 BA/PO; 3 UI-UX + Frontend; 4 Backend/API + DevOps; 5 Database + QA/Tester. Mỗi SV có nhiệm vụ phụ và minh chứng cá nhân.</v>
      </c>
      <c r="I462" t="s">
        <v>22</v>
      </c>
      <c r="J462" t="s">
        <v>947</v>
      </c>
      <c r="K462" t="str">
        <f>IF(I462="Trung bình",'Huong dan giao do an'!$B$8,IF(I462="Khá",'Huong dan giao do an'!$B$9,'Huong dan giao do an'!$B$10))</f>
        <v>Tối thiểu 4 actor; 10-14 use case; 8-12 bảng; 3 quy trình lõi; phân quyền chi tiết; 2 báo cáo; tích hợp 1 dịch vụ; &gt;=35 test case; CI/CD hoặc deploy cloud.</v>
      </c>
      <c r="L462" t="str">
        <f>'Huong dan giao do an'!$B$31</f>
        <v>Bắt buộc: Charter/PMP; SRS + scope/WBS; Gantt/baseline; effort-cost budget; RACI/timesheet; quality-test-defect; communication/minutes; risk register; procurement; change log; closure/lessons learned.</v>
      </c>
      <c r="M462" t="str">
        <f>'Huong dan giao do an'!$B$33</f>
        <v>Tuần 1: 07.09–13.09.2026; Tuần 2: 14.09–20.09.2026; Tuần 3: 21.09–27.09.2026; Tuần 4: 28.09–04.10.2026; Tuần 5: 05.10–11.10.2026; Tuần 6: 12.10–18.10.2026; Tuần 7: 19.10–25.10.2026; Tuần 8: 26.10–01.11.2026.</v>
      </c>
      <c r="N4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2" s="17" t="str">
        <f t="shared" si="7"/>
        <v>Còn trống</v>
      </c>
    </row>
    <row r="463" spans="1:16" x14ac:dyDescent="0.3">
      <c r="A463">
        <v>462</v>
      </c>
      <c r="B463" t="s">
        <v>942</v>
      </c>
      <c r="C463" t="s">
        <v>1093</v>
      </c>
      <c r="D463" t="s">
        <v>1094</v>
      </c>
      <c r="E463" t="s">
        <v>19</v>
      </c>
      <c r="F463" t="s">
        <v>950</v>
      </c>
      <c r="G463" t="s">
        <v>951</v>
      </c>
      <c r="H463" t="str">
        <f>'Huong dan giao do an'!$B$14</f>
        <v>5 SV (vai trò chính): 1 PM/Scrum Master kiêm Integration; 2 BA/PO; 3 UI-UX + Frontend; 4 Backend/API + DevOps; 5 Database + QA/Tester. Mỗi SV có nhiệm vụ phụ và minh chứng cá nhân.</v>
      </c>
      <c r="I463" t="s">
        <v>29</v>
      </c>
      <c r="J463" t="s">
        <v>952</v>
      </c>
      <c r="K463" t="str">
        <f>IF(I463="Trung bình",'Huong dan giao do an'!$B$8,IF(I463="Khá",'Huong dan giao do an'!$B$9,'Huong dan giao do an'!$B$10))</f>
        <v>Tối thiểu 5 actor; 14-18 use case; 10-15 bảng; 4 quy trình; tích hợp ngoài/realtime hoặc xử lý nâng cao; 3 báo cáo; &gt;=45 test case; logging, backup và deploy.</v>
      </c>
      <c r="L463" t="str">
        <f>'Huong dan giao do an'!$B$31</f>
        <v>Bắt buộc: Charter/PMP; SRS + scope/WBS; Gantt/baseline; effort-cost budget; RACI/timesheet; quality-test-defect; communication/minutes; risk register; procurement; change log; closure/lessons learned.</v>
      </c>
      <c r="M463" t="str">
        <f>'Huong dan giao do an'!$B$33</f>
        <v>Tuần 1: 07.09–13.09.2026; Tuần 2: 14.09–20.09.2026; Tuần 3: 21.09–27.09.2026; Tuần 4: 28.09–04.10.2026; Tuần 5: 05.10–11.10.2026; Tuần 6: 12.10–18.10.2026; Tuần 7: 19.10–25.10.2026; Tuần 8: 26.10–01.11.2026.</v>
      </c>
      <c r="N4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3" s="17" t="str">
        <f t="shared" si="7"/>
        <v>Còn trống</v>
      </c>
    </row>
    <row r="464" spans="1:16" x14ac:dyDescent="0.3">
      <c r="A464">
        <v>463</v>
      </c>
      <c r="B464" t="s">
        <v>942</v>
      </c>
      <c r="C464" t="s">
        <v>1095</v>
      </c>
      <c r="D464" t="s">
        <v>1096</v>
      </c>
      <c r="E464" t="s">
        <v>26</v>
      </c>
      <c r="F464" t="s">
        <v>955</v>
      </c>
      <c r="G464" t="s">
        <v>956</v>
      </c>
      <c r="H464" t="str">
        <f>'Huong dan giao do an'!$B$14</f>
        <v>5 SV (vai trò chính): 1 PM/Scrum Master kiêm Integration; 2 BA/PO; 3 UI-UX + Frontend; 4 Backend/API + DevOps; 5 Database + QA/Tester. Mỗi SV có nhiệm vụ phụ và minh chứng cá nhân.</v>
      </c>
      <c r="I464" t="s">
        <v>36</v>
      </c>
      <c r="J464" t="s">
        <v>957</v>
      </c>
      <c r="K464" t="str">
        <f>IF(I464="Trung bình",'Huong dan giao do an'!$B$8,IF(I464="Khá",'Huong dan giao do an'!$B$9,'Huong dan giao do an'!$B$10))</f>
        <v>Tối thiểu 3 actor; 8-10 use case; 6-8 bảng dữ liệu; 2 quy trình lõi; đăng nhập/RBAC; 1 dashboard; 1 báo cáo; &gt;=25 test case; triển khai bản demo.</v>
      </c>
      <c r="L464" t="str">
        <f>'Huong dan giao do an'!$B$31</f>
        <v>Bắt buộc: Charter/PMP; SRS + scope/WBS; Gantt/baseline; effort-cost budget; RACI/timesheet; quality-test-defect; communication/minutes; risk register; procurement; change log; closure/lessons learned.</v>
      </c>
      <c r="M464" t="str">
        <f>'Huong dan giao do an'!$B$33</f>
        <v>Tuần 1: 07.09–13.09.2026; Tuần 2: 14.09–20.09.2026; Tuần 3: 21.09–27.09.2026; Tuần 4: 28.09–04.10.2026; Tuần 5: 05.10–11.10.2026; Tuần 6: 12.10–18.10.2026; Tuần 7: 19.10–25.10.2026; Tuần 8: 26.10–01.11.2026.</v>
      </c>
      <c r="N4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4" s="17" t="str">
        <f t="shared" si="7"/>
        <v>Còn trống</v>
      </c>
    </row>
    <row r="465" spans="1:16" x14ac:dyDescent="0.3">
      <c r="A465">
        <v>464</v>
      </c>
      <c r="B465" t="s">
        <v>942</v>
      </c>
      <c r="C465" t="s">
        <v>1097</v>
      </c>
      <c r="D465" t="s">
        <v>1098</v>
      </c>
      <c r="E465" t="s">
        <v>33</v>
      </c>
      <c r="F465" t="s">
        <v>960</v>
      </c>
      <c r="G465" t="s">
        <v>961</v>
      </c>
      <c r="H465" t="str">
        <f>'Huong dan giao do an'!$B$14</f>
        <v>5 SV (vai trò chính): 1 PM/Scrum Master kiêm Integration; 2 BA/PO; 3 UI-UX + Frontend; 4 Backend/API + DevOps; 5 Database + QA/Tester. Mỗi SV có nhiệm vụ phụ và minh chứng cá nhân.</v>
      </c>
      <c r="I465" t="s">
        <v>22</v>
      </c>
      <c r="J465" t="s">
        <v>947</v>
      </c>
      <c r="K465" t="str">
        <f>IF(I465="Trung bình",'Huong dan giao do an'!$B$8,IF(I465="Khá",'Huong dan giao do an'!$B$9,'Huong dan giao do an'!$B$10))</f>
        <v>Tối thiểu 4 actor; 10-14 use case; 8-12 bảng; 3 quy trình lõi; phân quyền chi tiết; 2 báo cáo; tích hợp 1 dịch vụ; &gt;=35 test case; CI/CD hoặc deploy cloud.</v>
      </c>
      <c r="L465" t="str">
        <f>'Huong dan giao do an'!$B$31</f>
        <v>Bắt buộc: Charter/PMP; SRS + scope/WBS; Gantt/baseline; effort-cost budget; RACI/timesheet; quality-test-defect; communication/minutes; risk register; procurement; change log; closure/lessons learned.</v>
      </c>
      <c r="M465" t="str">
        <f>'Huong dan giao do an'!$B$33</f>
        <v>Tuần 1: 07.09–13.09.2026; Tuần 2: 14.09–20.09.2026; Tuần 3: 21.09–27.09.2026; Tuần 4: 28.09–04.10.2026; Tuần 5: 05.10–11.10.2026; Tuần 6: 12.10–18.10.2026; Tuần 7: 19.10–25.10.2026; Tuần 8: 26.10–01.11.2026.</v>
      </c>
      <c r="N4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5" s="17" t="str">
        <f t="shared" si="7"/>
        <v>Còn trống</v>
      </c>
    </row>
    <row r="466" spans="1:16" x14ac:dyDescent="0.3">
      <c r="A466">
        <v>465</v>
      </c>
      <c r="B466" t="s">
        <v>942</v>
      </c>
      <c r="C466" t="s">
        <v>1099</v>
      </c>
      <c r="D466" t="s">
        <v>1100</v>
      </c>
      <c r="E466" t="s">
        <v>40</v>
      </c>
      <c r="F466" t="s">
        <v>964</v>
      </c>
      <c r="G466" t="s">
        <v>965</v>
      </c>
      <c r="H466" t="str">
        <f>'Huong dan giao do an'!$B$14</f>
        <v>5 SV (vai trò chính): 1 PM/Scrum Master kiêm Integration; 2 BA/PO; 3 UI-UX + Frontend; 4 Backend/API + DevOps; 5 Database + QA/Tester. Mỗi SV có nhiệm vụ phụ và minh chứng cá nhân.</v>
      </c>
      <c r="I466" t="s">
        <v>29</v>
      </c>
      <c r="J466" t="s">
        <v>952</v>
      </c>
      <c r="K466" t="str">
        <f>IF(I466="Trung bình",'Huong dan giao do an'!$B$8,IF(I466="Khá",'Huong dan giao do an'!$B$9,'Huong dan giao do an'!$B$10))</f>
        <v>Tối thiểu 5 actor; 14-18 use case; 10-15 bảng; 4 quy trình; tích hợp ngoài/realtime hoặc xử lý nâng cao; 3 báo cáo; &gt;=45 test case; logging, backup và deploy.</v>
      </c>
      <c r="L466" t="str">
        <f>'Huong dan giao do an'!$B$31</f>
        <v>Bắt buộc: Charter/PMP; SRS + scope/WBS; Gantt/baseline; effort-cost budget; RACI/timesheet; quality-test-defect; communication/minutes; risk register; procurement; change log; closure/lessons learned.</v>
      </c>
      <c r="M466" t="str">
        <f>'Huong dan giao do an'!$B$33</f>
        <v>Tuần 1: 07.09–13.09.2026; Tuần 2: 14.09–20.09.2026; Tuần 3: 21.09–27.09.2026; Tuần 4: 28.09–04.10.2026; Tuần 5: 05.10–11.10.2026; Tuần 6: 12.10–18.10.2026; Tuần 7: 19.10–25.10.2026; Tuần 8: 26.10–01.11.2026.</v>
      </c>
      <c r="N4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6" s="17" t="str">
        <f t="shared" si="7"/>
        <v>Còn trống</v>
      </c>
    </row>
    <row r="467" spans="1:16" x14ac:dyDescent="0.3">
      <c r="A467">
        <v>466</v>
      </c>
      <c r="B467" t="s">
        <v>942</v>
      </c>
      <c r="C467" t="s">
        <v>1101</v>
      </c>
      <c r="D467" t="s">
        <v>1102</v>
      </c>
      <c r="E467" t="s">
        <v>45</v>
      </c>
      <c r="F467" t="s">
        <v>945</v>
      </c>
      <c r="G467" t="s">
        <v>968</v>
      </c>
      <c r="H467" t="str">
        <f>'Huong dan giao do an'!$B$14</f>
        <v>5 SV (vai trò chính): 1 PM/Scrum Master kiêm Integration; 2 BA/PO; 3 UI-UX + Frontend; 4 Backend/API + DevOps; 5 Database + QA/Tester. Mỗi SV có nhiệm vụ phụ và minh chứng cá nhân.</v>
      </c>
      <c r="I467" t="s">
        <v>36</v>
      </c>
      <c r="J467" t="s">
        <v>957</v>
      </c>
      <c r="K467" t="str">
        <f>IF(I467="Trung bình",'Huong dan giao do an'!$B$8,IF(I467="Khá",'Huong dan giao do an'!$B$9,'Huong dan giao do an'!$B$10))</f>
        <v>Tối thiểu 3 actor; 8-10 use case; 6-8 bảng dữ liệu; 2 quy trình lõi; đăng nhập/RBAC; 1 dashboard; 1 báo cáo; &gt;=25 test case; triển khai bản demo.</v>
      </c>
      <c r="L467" t="str">
        <f>'Huong dan giao do an'!$B$31</f>
        <v>Bắt buộc: Charter/PMP; SRS + scope/WBS; Gantt/baseline; effort-cost budget; RACI/timesheet; quality-test-defect; communication/minutes; risk register; procurement; change log; closure/lessons learned.</v>
      </c>
      <c r="M467" t="str">
        <f>'Huong dan giao do an'!$B$33</f>
        <v>Tuần 1: 07.09–13.09.2026; Tuần 2: 14.09–20.09.2026; Tuần 3: 21.09–27.09.2026; Tuần 4: 28.09–04.10.2026; Tuần 5: 05.10–11.10.2026; Tuần 6: 12.10–18.10.2026; Tuần 7: 19.10–25.10.2026; Tuần 8: 26.10–01.11.2026.</v>
      </c>
      <c r="N4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7" s="17" t="str">
        <f t="shared" si="7"/>
        <v>Còn trống</v>
      </c>
    </row>
    <row r="468" spans="1:16" x14ac:dyDescent="0.3">
      <c r="A468">
        <v>467</v>
      </c>
      <c r="B468" t="s">
        <v>942</v>
      </c>
      <c r="C468" t="s">
        <v>1103</v>
      </c>
      <c r="D468" t="s">
        <v>1104</v>
      </c>
      <c r="E468" t="s">
        <v>19</v>
      </c>
      <c r="F468" t="s">
        <v>950</v>
      </c>
      <c r="G468" t="s">
        <v>971</v>
      </c>
      <c r="H468" t="str">
        <f>'Huong dan giao do an'!$B$14</f>
        <v>5 SV (vai trò chính): 1 PM/Scrum Master kiêm Integration; 2 BA/PO; 3 UI-UX + Frontend; 4 Backend/API + DevOps; 5 Database + QA/Tester. Mỗi SV có nhiệm vụ phụ và minh chứng cá nhân.</v>
      </c>
      <c r="I468" t="s">
        <v>22</v>
      </c>
      <c r="J468" t="s">
        <v>947</v>
      </c>
      <c r="K468" t="str">
        <f>IF(I468="Trung bình",'Huong dan giao do an'!$B$8,IF(I468="Khá",'Huong dan giao do an'!$B$9,'Huong dan giao do an'!$B$10))</f>
        <v>Tối thiểu 4 actor; 10-14 use case; 8-12 bảng; 3 quy trình lõi; phân quyền chi tiết; 2 báo cáo; tích hợp 1 dịch vụ; &gt;=35 test case; CI/CD hoặc deploy cloud.</v>
      </c>
      <c r="L468" t="str">
        <f>'Huong dan giao do an'!$B$31</f>
        <v>Bắt buộc: Charter/PMP; SRS + scope/WBS; Gantt/baseline; effort-cost budget; RACI/timesheet; quality-test-defect; communication/minutes; risk register; procurement; change log; closure/lessons learned.</v>
      </c>
      <c r="M468" t="str">
        <f>'Huong dan giao do an'!$B$33</f>
        <v>Tuần 1: 07.09–13.09.2026; Tuần 2: 14.09–20.09.2026; Tuần 3: 21.09–27.09.2026; Tuần 4: 28.09–04.10.2026; Tuần 5: 05.10–11.10.2026; Tuần 6: 12.10–18.10.2026; Tuần 7: 19.10–25.10.2026; Tuần 8: 26.10–01.11.2026.</v>
      </c>
      <c r="N4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8" s="17" t="str">
        <f t="shared" si="7"/>
        <v>Còn trống</v>
      </c>
    </row>
    <row r="469" spans="1:16" x14ac:dyDescent="0.3">
      <c r="A469">
        <v>468</v>
      </c>
      <c r="B469" t="s">
        <v>942</v>
      </c>
      <c r="C469" t="s">
        <v>1105</v>
      </c>
      <c r="D469" t="s">
        <v>1106</v>
      </c>
      <c r="E469" t="s">
        <v>26</v>
      </c>
      <c r="F469" t="s">
        <v>955</v>
      </c>
      <c r="G469" t="s">
        <v>974</v>
      </c>
      <c r="H469" t="str">
        <f>'Huong dan giao do an'!$B$14</f>
        <v>5 SV (vai trò chính): 1 PM/Scrum Master kiêm Integration; 2 BA/PO; 3 UI-UX + Frontend; 4 Backend/API + DevOps; 5 Database + QA/Tester. Mỗi SV có nhiệm vụ phụ và minh chứng cá nhân.</v>
      </c>
      <c r="I469" t="s">
        <v>29</v>
      </c>
      <c r="J469" t="s">
        <v>952</v>
      </c>
      <c r="K469" t="str">
        <f>IF(I469="Trung bình",'Huong dan giao do an'!$B$8,IF(I469="Khá",'Huong dan giao do an'!$B$9,'Huong dan giao do an'!$B$10))</f>
        <v>Tối thiểu 5 actor; 14-18 use case; 10-15 bảng; 4 quy trình; tích hợp ngoài/realtime hoặc xử lý nâng cao; 3 báo cáo; &gt;=45 test case; logging, backup và deploy.</v>
      </c>
      <c r="L469" t="str">
        <f>'Huong dan giao do an'!$B$31</f>
        <v>Bắt buộc: Charter/PMP; SRS + scope/WBS; Gantt/baseline; effort-cost budget; RACI/timesheet; quality-test-defect; communication/minutes; risk register; procurement; change log; closure/lessons learned.</v>
      </c>
      <c r="M469" t="str">
        <f>'Huong dan giao do an'!$B$33</f>
        <v>Tuần 1: 07.09–13.09.2026; Tuần 2: 14.09–20.09.2026; Tuần 3: 21.09–27.09.2026; Tuần 4: 28.09–04.10.2026; Tuần 5: 05.10–11.10.2026; Tuần 6: 12.10–18.10.2026; Tuần 7: 19.10–25.10.2026; Tuần 8: 26.10–01.11.2026.</v>
      </c>
      <c r="N4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69" s="17" t="str">
        <f t="shared" si="7"/>
        <v>Còn trống</v>
      </c>
    </row>
    <row r="470" spans="1:16" x14ac:dyDescent="0.3">
      <c r="A470">
        <v>469</v>
      </c>
      <c r="B470" t="s">
        <v>942</v>
      </c>
      <c r="C470" t="s">
        <v>1107</v>
      </c>
      <c r="D470" t="s">
        <v>1108</v>
      </c>
      <c r="E470" t="s">
        <v>33</v>
      </c>
      <c r="F470" t="s">
        <v>960</v>
      </c>
      <c r="G470" t="s">
        <v>977</v>
      </c>
      <c r="H470" t="str">
        <f>'Huong dan giao do an'!$B$14</f>
        <v>5 SV (vai trò chính): 1 PM/Scrum Master kiêm Integration; 2 BA/PO; 3 UI-UX + Frontend; 4 Backend/API + DevOps; 5 Database + QA/Tester. Mỗi SV có nhiệm vụ phụ và minh chứng cá nhân.</v>
      </c>
      <c r="I470" t="s">
        <v>36</v>
      </c>
      <c r="J470" t="s">
        <v>957</v>
      </c>
      <c r="K470" t="str">
        <f>IF(I470="Trung bình",'Huong dan giao do an'!$B$8,IF(I470="Khá",'Huong dan giao do an'!$B$9,'Huong dan giao do an'!$B$10))</f>
        <v>Tối thiểu 3 actor; 8-10 use case; 6-8 bảng dữ liệu; 2 quy trình lõi; đăng nhập/RBAC; 1 dashboard; 1 báo cáo; &gt;=25 test case; triển khai bản demo.</v>
      </c>
      <c r="L470" t="str">
        <f>'Huong dan giao do an'!$B$31</f>
        <v>Bắt buộc: Charter/PMP; SRS + scope/WBS; Gantt/baseline; effort-cost budget; RACI/timesheet; quality-test-defect; communication/minutes; risk register; procurement; change log; closure/lessons learned.</v>
      </c>
      <c r="M470" t="str">
        <f>'Huong dan giao do an'!$B$33</f>
        <v>Tuần 1: 07.09–13.09.2026; Tuần 2: 14.09–20.09.2026; Tuần 3: 21.09–27.09.2026; Tuần 4: 28.09–04.10.2026; Tuần 5: 05.10–11.10.2026; Tuần 6: 12.10–18.10.2026; Tuần 7: 19.10–25.10.2026; Tuần 8: 26.10–01.11.2026.</v>
      </c>
      <c r="N4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0" s="17" t="str">
        <f t="shared" si="7"/>
        <v>Còn trống</v>
      </c>
    </row>
    <row r="471" spans="1:16" x14ac:dyDescent="0.3">
      <c r="A471">
        <v>470</v>
      </c>
      <c r="B471" t="s">
        <v>942</v>
      </c>
      <c r="C471" t="s">
        <v>1109</v>
      </c>
      <c r="D471" t="s">
        <v>1110</v>
      </c>
      <c r="E471" t="s">
        <v>40</v>
      </c>
      <c r="F471" t="s">
        <v>964</v>
      </c>
      <c r="G471" t="s">
        <v>980</v>
      </c>
      <c r="H471" t="str">
        <f>'Huong dan giao do an'!$B$14</f>
        <v>5 SV (vai trò chính): 1 PM/Scrum Master kiêm Integration; 2 BA/PO; 3 UI-UX + Frontend; 4 Backend/API + DevOps; 5 Database + QA/Tester. Mỗi SV có nhiệm vụ phụ và minh chứng cá nhân.</v>
      </c>
      <c r="I471" t="s">
        <v>22</v>
      </c>
      <c r="J471" t="s">
        <v>947</v>
      </c>
      <c r="K471" t="str">
        <f>IF(I471="Trung bình",'Huong dan giao do an'!$B$8,IF(I471="Khá",'Huong dan giao do an'!$B$9,'Huong dan giao do an'!$B$10))</f>
        <v>Tối thiểu 4 actor; 10-14 use case; 8-12 bảng; 3 quy trình lõi; phân quyền chi tiết; 2 báo cáo; tích hợp 1 dịch vụ; &gt;=35 test case; CI/CD hoặc deploy cloud.</v>
      </c>
      <c r="L471" t="str">
        <f>'Huong dan giao do an'!$B$31</f>
        <v>Bắt buộc: Charter/PMP; SRS + scope/WBS; Gantt/baseline; effort-cost budget; RACI/timesheet; quality-test-defect; communication/minutes; risk register; procurement; change log; closure/lessons learned.</v>
      </c>
      <c r="M471" t="str">
        <f>'Huong dan giao do an'!$B$33</f>
        <v>Tuần 1: 07.09–13.09.2026; Tuần 2: 14.09–20.09.2026; Tuần 3: 21.09–27.09.2026; Tuần 4: 28.09–04.10.2026; Tuần 5: 05.10–11.10.2026; Tuần 6: 12.10–18.10.2026; Tuần 7: 19.10–25.10.2026; Tuần 8: 26.10–01.11.2026.</v>
      </c>
      <c r="N4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1" s="17" t="str">
        <f t="shared" si="7"/>
        <v>Còn trống</v>
      </c>
    </row>
    <row r="472" spans="1:16" x14ac:dyDescent="0.3">
      <c r="A472">
        <v>471</v>
      </c>
      <c r="B472" t="s">
        <v>942</v>
      </c>
      <c r="C472" t="s">
        <v>1111</v>
      </c>
      <c r="D472" t="s">
        <v>1112</v>
      </c>
      <c r="E472" t="s">
        <v>45</v>
      </c>
      <c r="F472" t="s">
        <v>945</v>
      </c>
      <c r="G472" t="s">
        <v>983</v>
      </c>
      <c r="H472" t="str">
        <f>'Huong dan giao do an'!$B$14</f>
        <v>5 SV (vai trò chính): 1 PM/Scrum Master kiêm Integration; 2 BA/PO; 3 UI-UX + Frontend; 4 Backend/API + DevOps; 5 Database + QA/Tester. Mỗi SV có nhiệm vụ phụ và minh chứng cá nhân.</v>
      </c>
      <c r="I472" t="s">
        <v>29</v>
      </c>
      <c r="J472" t="s">
        <v>952</v>
      </c>
      <c r="K472" t="str">
        <f>IF(I472="Trung bình",'Huong dan giao do an'!$B$8,IF(I472="Khá",'Huong dan giao do an'!$B$9,'Huong dan giao do an'!$B$10))</f>
        <v>Tối thiểu 5 actor; 14-18 use case; 10-15 bảng; 4 quy trình; tích hợp ngoài/realtime hoặc xử lý nâng cao; 3 báo cáo; &gt;=45 test case; logging, backup và deploy.</v>
      </c>
      <c r="L472" t="str">
        <f>'Huong dan giao do an'!$B$31</f>
        <v>Bắt buộc: Charter/PMP; SRS + scope/WBS; Gantt/baseline; effort-cost budget; RACI/timesheet; quality-test-defect; communication/minutes; risk register; procurement; change log; closure/lessons learned.</v>
      </c>
      <c r="M472" t="str">
        <f>'Huong dan giao do an'!$B$33</f>
        <v>Tuần 1: 07.09–13.09.2026; Tuần 2: 14.09–20.09.2026; Tuần 3: 21.09–27.09.2026; Tuần 4: 28.09–04.10.2026; Tuần 5: 05.10–11.10.2026; Tuần 6: 12.10–18.10.2026; Tuần 7: 19.10–25.10.2026; Tuần 8: 26.10–01.11.2026.</v>
      </c>
      <c r="N4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2" s="17" t="str">
        <f t="shared" si="7"/>
        <v>Còn trống</v>
      </c>
    </row>
    <row r="473" spans="1:16" x14ac:dyDescent="0.3">
      <c r="A473">
        <v>472</v>
      </c>
      <c r="B473" t="s">
        <v>942</v>
      </c>
      <c r="C473" t="s">
        <v>1113</v>
      </c>
      <c r="D473" t="s">
        <v>1114</v>
      </c>
      <c r="E473" t="s">
        <v>19</v>
      </c>
      <c r="F473" t="s">
        <v>950</v>
      </c>
      <c r="G473" t="s">
        <v>986</v>
      </c>
      <c r="H473" t="str">
        <f>'Huong dan giao do an'!$B$14</f>
        <v>5 SV (vai trò chính): 1 PM/Scrum Master kiêm Integration; 2 BA/PO; 3 UI-UX + Frontend; 4 Backend/API + DevOps; 5 Database + QA/Tester. Mỗi SV có nhiệm vụ phụ và minh chứng cá nhân.</v>
      </c>
      <c r="I473" t="s">
        <v>36</v>
      </c>
      <c r="J473" t="s">
        <v>957</v>
      </c>
      <c r="K473" t="str">
        <f>IF(I473="Trung bình",'Huong dan giao do an'!$B$8,IF(I473="Khá",'Huong dan giao do an'!$B$9,'Huong dan giao do an'!$B$10))</f>
        <v>Tối thiểu 3 actor; 8-10 use case; 6-8 bảng dữ liệu; 2 quy trình lõi; đăng nhập/RBAC; 1 dashboard; 1 báo cáo; &gt;=25 test case; triển khai bản demo.</v>
      </c>
      <c r="L473" t="str">
        <f>'Huong dan giao do an'!$B$31</f>
        <v>Bắt buộc: Charter/PMP; SRS + scope/WBS; Gantt/baseline; effort-cost budget; RACI/timesheet; quality-test-defect; communication/minutes; risk register; procurement; change log; closure/lessons learned.</v>
      </c>
      <c r="M473" t="str">
        <f>'Huong dan giao do an'!$B$33</f>
        <v>Tuần 1: 07.09–13.09.2026; Tuần 2: 14.09–20.09.2026; Tuần 3: 21.09–27.09.2026; Tuần 4: 28.09–04.10.2026; Tuần 5: 05.10–11.10.2026; Tuần 6: 12.10–18.10.2026; Tuần 7: 19.10–25.10.2026; Tuần 8: 26.10–01.11.2026.</v>
      </c>
      <c r="N4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3" s="17" t="str">
        <f t="shared" si="7"/>
        <v>Còn trống</v>
      </c>
    </row>
    <row r="474" spans="1:16" x14ac:dyDescent="0.3">
      <c r="A474">
        <v>473</v>
      </c>
      <c r="B474" t="s">
        <v>942</v>
      </c>
      <c r="C474" t="s">
        <v>1115</v>
      </c>
      <c r="D474" t="s">
        <v>1116</v>
      </c>
      <c r="E474" t="s">
        <v>26</v>
      </c>
      <c r="F474" t="s">
        <v>955</v>
      </c>
      <c r="G474" t="s">
        <v>989</v>
      </c>
      <c r="H474" t="str">
        <f>'Huong dan giao do an'!$B$14</f>
        <v>5 SV (vai trò chính): 1 PM/Scrum Master kiêm Integration; 2 BA/PO; 3 UI-UX + Frontend; 4 Backend/API + DevOps; 5 Database + QA/Tester. Mỗi SV có nhiệm vụ phụ và minh chứng cá nhân.</v>
      </c>
      <c r="I474" t="s">
        <v>22</v>
      </c>
      <c r="J474" t="s">
        <v>947</v>
      </c>
      <c r="K474" t="str">
        <f>IF(I474="Trung bình",'Huong dan giao do an'!$B$8,IF(I474="Khá",'Huong dan giao do an'!$B$9,'Huong dan giao do an'!$B$10))</f>
        <v>Tối thiểu 4 actor; 10-14 use case; 8-12 bảng; 3 quy trình lõi; phân quyền chi tiết; 2 báo cáo; tích hợp 1 dịch vụ; &gt;=35 test case; CI/CD hoặc deploy cloud.</v>
      </c>
      <c r="L474" t="str">
        <f>'Huong dan giao do an'!$B$31</f>
        <v>Bắt buộc: Charter/PMP; SRS + scope/WBS; Gantt/baseline; effort-cost budget; RACI/timesheet; quality-test-defect; communication/minutes; risk register; procurement; change log; closure/lessons learned.</v>
      </c>
      <c r="M474" t="str">
        <f>'Huong dan giao do an'!$B$33</f>
        <v>Tuần 1: 07.09–13.09.2026; Tuần 2: 14.09–20.09.2026; Tuần 3: 21.09–27.09.2026; Tuần 4: 28.09–04.10.2026; Tuần 5: 05.10–11.10.2026; Tuần 6: 12.10–18.10.2026; Tuần 7: 19.10–25.10.2026; Tuần 8: 26.10–01.11.2026.</v>
      </c>
      <c r="N4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4" s="17" t="str">
        <f t="shared" si="7"/>
        <v>Còn trống</v>
      </c>
    </row>
    <row r="475" spans="1:16" x14ac:dyDescent="0.3">
      <c r="A475">
        <v>474</v>
      </c>
      <c r="B475" t="s">
        <v>942</v>
      </c>
      <c r="C475" t="s">
        <v>1117</v>
      </c>
      <c r="D475" t="s">
        <v>1118</v>
      </c>
      <c r="E475" t="s">
        <v>33</v>
      </c>
      <c r="F475" t="s">
        <v>960</v>
      </c>
      <c r="G475" t="s">
        <v>992</v>
      </c>
      <c r="H475" t="str">
        <f>'Huong dan giao do an'!$B$14</f>
        <v>5 SV (vai trò chính): 1 PM/Scrum Master kiêm Integration; 2 BA/PO; 3 UI-UX + Frontend; 4 Backend/API + DevOps; 5 Database + QA/Tester. Mỗi SV có nhiệm vụ phụ và minh chứng cá nhân.</v>
      </c>
      <c r="I475" t="s">
        <v>29</v>
      </c>
      <c r="J475" t="s">
        <v>952</v>
      </c>
      <c r="K475" t="str">
        <f>IF(I475="Trung bình",'Huong dan giao do an'!$B$8,IF(I475="Khá",'Huong dan giao do an'!$B$9,'Huong dan giao do an'!$B$10))</f>
        <v>Tối thiểu 5 actor; 14-18 use case; 10-15 bảng; 4 quy trình; tích hợp ngoài/realtime hoặc xử lý nâng cao; 3 báo cáo; &gt;=45 test case; logging, backup và deploy.</v>
      </c>
      <c r="L475" t="str">
        <f>'Huong dan giao do an'!$B$31</f>
        <v>Bắt buộc: Charter/PMP; SRS + scope/WBS; Gantt/baseline; effort-cost budget; RACI/timesheet; quality-test-defect; communication/minutes; risk register; procurement; change log; closure/lessons learned.</v>
      </c>
      <c r="M475" t="str">
        <f>'Huong dan giao do an'!$B$33</f>
        <v>Tuần 1: 07.09–13.09.2026; Tuần 2: 14.09–20.09.2026; Tuần 3: 21.09–27.09.2026; Tuần 4: 28.09–04.10.2026; Tuần 5: 05.10–11.10.2026; Tuần 6: 12.10–18.10.2026; Tuần 7: 19.10–25.10.2026; Tuần 8: 26.10–01.11.2026.</v>
      </c>
      <c r="N4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5" s="17" t="str">
        <f t="shared" si="7"/>
        <v>Còn trống</v>
      </c>
    </row>
    <row r="476" spans="1:16" x14ac:dyDescent="0.3">
      <c r="A476">
        <v>475</v>
      </c>
      <c r="B476" t="s">
        <v>942</v>
      </c>
      <c r="C476" t="s">
        <v>1119</v>
      </c>
      <c r="D476" t="s">
        <v>1120</v>
      </c>
      <c r="E476" t="s">
        <v>40</v>
      </c>
      <c r="F476" t="s">
        <v>964</v>
      </c>
      <c r="G476" t="s">
        <v>995</v>
      </c>
      <c r="H476" t="str">
        <f>'Huong dan giao do an'!$B$14</f>
        <v>5 SV (vai trò chính): 1 PM/Scrum Master kiêm Integration; 2 BA/PO; 3 UI-UX + Frontend; 4 Backend/API + DevOps; 5 Database + QA/Tester. Mỗi SV có nhiệm vụ phụ và minh chứng cá nhân.</v>
      </c>
      <c r="I476" t="s">
        <v>36</v>
      </c>
      <c r="J476" t="s">
        <v>957</v>
      </c>
      <c r="K476" t="str">
        <f>IF(I476="Trung bình",'Huong dan giao do an'!$B$8,IF(I476="Khá",'Huong dan giao do an'!$B$9,'Huong dan giao do an'!$B$10))</f>
        <v>Tối thiểu 3 actor; 8-10 use case; 6-8 bảng dữ liệu; 2 quy trình lõi; đăng nhập/RBAC; 1 dashboard; 1 báo cáo; &gt;=25 test case; triển khai bản demo.</v>
      </c>
      <c r="L476" t="str">
        <f>'Huong dan giao do an'!$B$31</f>
        <v>Bắt buộc: Charter/PMP; SRS + scope/WBS; Gantt/baseline; effort-cost budget; RACI/timesheet; quality-test-defect; communication/minutes; risk register; procurement; change log; closure/lessons learned.</v>
      </c>
      <c r="M476" t="str">
        <f>'Huong dan giao do an'!$B$33</f>
        <v>Tuần 1: 07.09–13.09.2026; Tuần 2: 14.09–20.09.2026; Tuần 3: 21.09–27.09.2026; Tuần 4: 28.09–04.10.2026; Tuần 5: 05.10–11.10.2026; Tuần 6: 12.10–18.10.2026; Tuần 7: 19.10–25.10.2026; Tuần 8: 26.10–01.11.2026.</v>
      </c>
      <c r="N4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6" s="17" t="str">
        <f t="shared" si="7"/>
        <v>Còn trống</v>
      </c>
    </row>
    <row r="477" spans="1:16" x14ac:dyDescent="0.3">
      <c r="A477">
        <v>476</v>
      </c>
      <c r="B477" t="s">
        <v>942</v>
      </c>
      <c r="C477" t="s">
        <v>1121</v>
      </c>
      <c r="D477" t="s">
        <v>1122</v>
      </c>
      <c r="E477" t="s">
        <v>45</v>
      </c>
      <c r="F477" t="s">
        <v>945</v>
      </c>
      <c r="G477" t="s">
        <v>998</v>
      </c>
      <c r="H477" t="str">
        <f>'Huong dan giao do an'!$B$14</f>
        <v>5 SV (vai trò chính): 1 PM/Scrum Master kiêm Integration; 2 BA/PO; 3 UI-UX + Frontend; 4 Backend/API + DevOps; 5 Database + QA/Tester. Mỗi SV có nhiệm vụ phụ và minh chứng cá nhân.</v>
      </c>
      <c r="I477" t="s">
        <v>22</v>
      </c>
      <c r="J477" t="s">
        <v>947</v>
      </c>
      <c r="K477" t="str">
        <f>IF(I477="Trung bình",'Huong dan giao do an'!$B$8,IF(I477="Khá",'Huong dan giao do an'!$B$9,'Huong dan giao do an'!$B$10))</f>
        <v>Tối thiểu 4 actor; 10-14 use case; 8-12 bảng; 3 quy trình lõi; phân quyền chi tiết; 2 báo cáo; tích hợp 1 dịch vụ; &gt;=35 test case; CI/CD hoặc deploy cloud.</v>
      </c>
      <c r="L477" t="str">
        <f>'Huong dan giao do an'!$B$31</f>
        <v>Bắt buộc: Charter/PMP; SRS + scope/WBS; Gantt/baseline; effort-cost budget; RACI/timesheet; quality-test-defect; communication/minutes; risk register; procurement; change log; closure/lessons learned.</v>
      </c>
      <c r="M477" t="str">
        <f>'Huong dan giao do an'!$B$33</f>
        <v>Tuần 1: 07.09–13.09.2026; Tuần 2: 14.09–20.09.2026; Tuần 3: 21.09–27.09.2026; Tuần 4: 28.09–04.10.2026; Tuần 5: 05.10–11.10.2026; Tuần 6: 12.10–18.10.2026; Tuần 7: 19.10–25.10.2026; Tuần 8: 26.10–01.11.2026.</v>
      </c>
      <c r="N4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7" s="17" t="str">
        <f t="shared" si="7"/>
        <v>Còn trống</v>
      </c>
    </row>
    <row r="478" spans="1:16" x14ac:dyDescent="0.3">
      <c r="A478">
        <v>477</v>
      </c>
      <c r="B478" t="s">
        <v>942</v>
      </c>
      <c r="C478" t="s">
        <v>1123</v>
      </c>
      <c r="D478" t="s">
        <v>1124</v>
      </c>
      <c r="E478" t="s">
        <v>19</v>
      </c>
      <c r="F478" t="s">
        <v>950</v>
      </c>
      <c r="G478" t="s">
        <v>1001</v>
      </c>
      <c r="H478" t="str">
        <f>'Huong dan giao do an'!$B$14</f>
        <v>5 SV (vai trò chính): 1 PM/Scrum Master kiêm Integration; 2 BA/PO; 3 UI-UX + Frontend; 4 Backend/API + DevOps; 5 Database + QA/Tester. Mỗi SV có nhiệm vụ phụ và minh chứng cá nhân.</v>
      </c>
      <c r="I478" t="s">
        <v>29</v>
      </c>
      <c r="J478" t="s">
        <v>952</v>
      </c>
      <c r="K478" t="str">
        <f>IF(I478="Trung bình",'Huong dan giao do an'!$B$8,IF(I478="Khá",'Huong dan giao do an'!$B$9,'Huong dan giao do an'!$B$10))</f>
        <v>Tối thiểu 5 actor; 14-18 use case; 10-15 bảng; 4 quy trình; tích hợp ngoài/realtime hoặc xử lý nâng cao; 3 báo cáo; &gt;=45 test case; logging, backup và deploy.</v>
      </c>
      <c r="L478" t="str">
        <f>'Huong dan giao do an'!$B$31</f>
        <v>Bắt buộc: Charter/PMP; SRS + scope/WBS; Gantt/baseline; effort-cost budget; RACI/timesheet; quality-test-defect; communication/minutes; risk register; procurement; change log; closure/lessons learned.</v>
      </c>
      <c r="M478" t="str">
        <f>'Huong dan giao do an'!$B$33</f>
        <v>Tuần 1: 07.09–13.09.2026; Tuần 2: 14.09–20.09.2026; Tuần 3: 21.09–27.09.2026; Tuần 4: 28.09–04.10.2026; Tuần 5: 05.10–11.10.2026; Tuần 6: 12.10–18.10.2026; Tuần 7: 19.10–25.10.2026; Tuần 8: 26.10–01.11.2026.</v>
      </c>
      <c r="N4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8" s="17" t="str">
        <f t="shared" si="7"/>
        <v>Còn trống</v>
      </c>
    </row>
    <row r="479" spans="1:16" x14ac:dyDescent="0.3">
      <c r="A479">
        <v>478</v>
      </c>
      <c r="B479" t="s">
        <v>942</v>
      </c>
      <c r="C479" t="s">
        <v>1125</v>
      </c>
      <c r="D479" t="s">
        <v>1126</v>
      </c>
      <c r="E479" t="s">
        <v>26</v>
      </c>
      <c r="F479" t="s">
        <v>955</v>
      </c>
      <c r="G479" t="s">
        <v>1004</v>
      </c>
      <c r="H479" t="str">
        <f>'Huong dan giao do an'!$B$14</f>
        <v>5 SV (vai trò chính): 1 PM/Scrum Master kiêm Integration; 2 BA/PO; 3 UI-UX + Frontend; 4 Backend/API + DevOps; 5 Database + QA/Tester. Mỗi SV có nhiệm vụ phụ và minh chứng cá nhân.</v>
      </c>
      <c r="I479" t="s">
        <v>36</v>
      </c>
      <c r="J479" t="s">
        <v>957</v>
      </c>
      <c r="K479" t="str">
        <f>IF(I479="Trung bình",'Huong dan giao do an'!$B$8,IF(I479="Khá",'Huong dan giao do an'!$B$9,'Huong dan giao do an'!$B$10))</f>
        <v>Tối thiểu 3 actor; 8-10 use case; 6-8 bảng dữ liệu; 2 quy trình lõi; đăng nhập/RBAC; 1 dashboard; 1 báo cáo; &gt;=25 test case; triển khai bản demo.</v>
      </c>
      <c r="L479" t="str">
        <f>'Huong dan giao do an'!$B$31</f>
        <v>Bắt buộc: Charter/PMP; SRS + scope/WBS; Gantt/baseline; effort-cost budget; RACI/timesheet; quality-test-defect; communication/minutes; risk register; procurement; change log; closure/lessons learned.</v>
      </c>
      <c r="M479" t="str">
        <f>'Huong dan giao do an'!$B$33</f>
        <v>Tuần 1: 07.09–13.09.2026; Tuần 2: 14.09–20.09.2026; Tuần 3: 21.09–27.09.2026; Tuần 4: 28.09–04.10.2026; Tuần 5: 05.10–11.10.2026; Tuần 6: 12.10–18.10.2026; Tuần 7: 19.10–25.10.2026; Tuần 8: 26.10–01.11.2026.</v>
      </c>
      <c r="N4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79" s="17" t="str">
        <f t="shared" si="7"/>
        <v>Còn trống</v>
      </c>
    </row>
    <row r="480" spans="1:16" x14ac:dyDescent="0.3">
      <c r="A480">
        <v>479</v>
      </c>
      <c r="B480" t="s">
        <v>942</v>
      </c>
      <c r="C480" t="s">
        <v>1127</v>
      </c>
      <c r="D480" t="s">
        <v>1128</v>
      </c>
      <c r="E480" t="s">
        <v>33</v>
      </c>
      <c r="F480" t="s">
        <v>960</v>
      </c>
      <c r="G480" t="s">
        <v>1007</v>
      </c>
      <c r="H480" t="str">
        <f>'Huong dan giao do an'!$B$14</f>
        <v>5 SV (vai trò chính): 1 PM/Scrum Master kiêm Integration; 2 BA/PO; 3 UI-UX + Frontend; 4 Backend/API + DevOps; 5 Database + QA/Tester. Mỗi SV có nhiệm vụ phụ và minh chứng cá nhân.</v>
      </c>
      <c r="I480" t="s">
        <v>22</v>
      </c>
      <c r="J480" t="s">
        <v>947</v>
      </c>
      <c r="K480" t="str">
        <f>IF(I480="Trung bình",'Huong dan giao do an'!$B$8,IF(I480="Khá",'Huong dan giao do an'!$B$9,'Huong dan giao do an'!$B$10))</f>
        <v>Tối thiểu 4 actor; 10-14 use case; 8-12 bảng; 3 quy trình lõi; phân quyền chi tiết; 2 báo cáo; tích hợp 1 dịch vụ; &gt;=35 test case; CI/CD hoặc deploy cloud.</v>
      </c>
      <c r="L480" t="str">
        <f>'Huong dan giao do an'!$B$31</f>
        <v>Bắt buộc: Charter/PMP; SRS + scope/WBS; Gantt/baseline; effort-cost budget; RACI/timesheet; quality-test-defect; communication/minutes; risk register; procurement; change log; closure/lessons learned.</v>
      </c>
      <c r="M480" t="str">
        <f>'Huong dan giao do an'!$B$33</f>
        <v>Tuần 1: 07.09–13.09.2026; Tuần 2: 14.09–20.09.2026; Tuần 3: 21.09–27.09.2026; Tuần 4: 28.09–04.10.2026; Tuần 5: 05.10–11.10.2026; Tuần 6: 12.10–18.10.2026; Tuần 7: 19.10–25.10.2026; Tuần 8: 26.10–01.11.2026.</v>
      </c>
      <c r="N4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0" s="17" t="str">
        <f t="shared" si="7"/>
        <v>Còn trống</v>
      </c>
    </row>
    <row r="481" spans="1:16" x14ac:dyDescent="0.3">
      <c r="A481">
        <v>480</v>
      </c>
      <c r="B481" t="s">
        <v>942</v>
      </c>
      <c r="C481" t="s">
        <v>1129</v>
      </c>
      <c r="D481" t="s">
        <v>1130</v>
      </c>
      <c r="E481" t="s">
        <v>40</v>
      </c>
      <c r="F481" t="s">
        <v>964</v>
      </c>
      <c r="G481" t="s">
        <v>1010</v>
      </c>
      <c r="H481" t="str">
        <f>'Huong dan giao do an'!$B$14</f>
        <v>5 SV (vai trò chính): 1 PM/Scrum Master kiêm Integration; 2 BA/PO; 3 UI-UX + Frontend; 4 Backend/API + DevOps; 5 Database + QA/Tester. Mỗi SV có nhiệm vụ phụ và minh chứng cá nhân.</v>
      </c>
      <c r="I481" t="s">
        <v>29</v>
      </c>
      <c r="J481" t="s">
        <v>952</v>
      </c>
      <c r="K481" t="str">
        <f>IF(I481="Trung bình",'Huong dan giao do an'!$B$8,IF(I481="Khá",'Huong dan giao do an'!$B$9,'Huong dan giao do an'!$B$10))</f>
        <v>Tối thiểu 5 actor; 14-18 use case; 10-15 bảng; 4 quy trình; tích hợp ngoài/realtime hoặc xử lý nâng cao; 3 báo cáo; &gt;=45 test case; logging, backup và deploy.</v>
      </c>
      <c r="L481" t="str">
        <f>'Huong dan giao do an'!$B$31</f>
        <v>Bắt buộc: Charter/PMP; SRS + scope/WBS; Gantt/baseline; effort-cost budget; RACI/timesheet; quality-test-defect; communication/minutes; risk register; procurement; change log; closure/lessons learned.</v>
      </c>
      <c r="M481" t="str">
        <f>'Huong dan giao do an'!$B$33</f>
        <v>Tuần 1: 07.09–13.09.2026; Tuần 2: 14.09–20.09.2026; Tuần 3: 21.09–27.09.2026; Tuần 4: 28.09–04.10.2026; Tuần 5: 05.10–11.10.2026; Tuần 6: 12.10–18.10.2026; Tuần 7: 19.10–25.10.2026; Tuần 8: 26.10–01.11.2026.</v>
      </c>
      <c r="N4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1" s="17" t="str">
        <f t="shared" si="7"/>
        <v>Còn trống</v>
      </c>
    </row>
    <row r="482" spans="1:16" x14ac:dyDescent="0.3">
      <c r="A482">
        <v>481</v>
      </c>
      <c r="B482" t="s">
        <v>942</v>
      </c>
      <c r="C482" t="s">
        <v>1131</v>
      </c>
      <c r="D482" t="s">
        <v>1132</v>
      </c>
      <c r="E482" t="s">
        <v>45</v>
      </c>
      <c r="F482" t="s">
        <v>945</v>
      </c>
      <c r="G482" t="s">
        <v>946</v>
      </c>
      <c r="H482" t="str">
        <f>'Huong dan giao do an'!$B$14</f>
        <v>5 SV (vai trò chính): 1 PM/Scrum Master kiêm Integration; 2 BA/PO; 3 UI-UX + Frontend; 4 Backend/API + DevOps; 5 Database + QA/Tester. Mỗi SV có nhiệm vụ phụ và minh chứng cá nhân.</v>
      </c>
      <c r="I482" t="s">
        <v>22</v>
      </c>
      <c r="J482" t="s">
        <v>947</v>
      </c>
      <c r="K482" t="str">
        <f>IF(I482="Trung bình",'Huong dan giao do an'!$B$8,IF(I482="Khá",'Huong dan giao do an'!$B$9,'Huong dan giao do an'!$B$10))</f>
        <v>Tối thiểu 4 actor; 10-14 use case; 8-12 bảng; 3 quy trình lõi; phân quyền chi tiết; 2 báo cáo; tích hợp 1 dịch vụ; &gt;=35 test case; CI/CD hoặc deploy cloud.</v>
      </c>
      <c r="L482" t="str">
        <f>'Huong dan giao do an'!$B$31</f>
        <v>Bắt buộc: Charter/PMP; SRS + scope/WBS; Gantt/baseline; effort-cost budget; RACI/timesheet; quality-test-defect; communication/minutes; risk register; procurement; change log; closure/lessons learned.</v>
      </c>
      <c r="M482" t="str">
        <f>'Huong dan giao do an'!$B$33</f>
        <v>Tuần 1: 07.09–13.09.2026; Tuần 2: 14.09–20.09.2026; Tuần 3: 21.09–27.09.2026; Tuần 4: 28.09–04.10.2026; Tuần 5: 05.10–11.10.2026; Tuần 6: 12.10–18.10.2026; Tuần 7: 19.10–25.10.2026; Tuần 8: 26.10–01.11.2026.</v>
      </c>
      <c r="N4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2" s="17" t="str">
        <f t="shared" si="7"/>
        <v>Còn trống</v>
      </c>
    </row>
    <row r="483" spans="1:16" x14ac:dyDescent="0.3">
      <c r="A483">
        <v>482</v>
      </c>
      <c r="B483" t="s">
        <v>942</v>
      </c>
      <c r="C483" t="s">
        <v>1133</v>
      </c>
      <c r="D483" t="s">
        <v>1134</v>
      </c>
      <c r="E483" t="s">
        <v>19</v>
      </c>
      <c r="F483" t="s">
        <v>950</v>
      </c>
      <c r="G483" t="s">
        <v>951</v>
      </c>
      <c r="H483" t="str">
        <f>'Huong dan giao do an'!$B$14</f>
        <v>5 SV (vai trò chính): 1 PM/Scrum Master kiêm Integration; 2 BA/PO; 3 UI-UX + Frontend; 4 Backend/API + DevOps; 5 Database + QA/Tester. Mỗi SV có nhiệm vụ phụ và minh chứng cá nhân.</v>
      </c>
      <c r="I483" t="s">
        <v>29</v>
      </c>
      <c r="J483" t="s">
        <v>952</v>
      </c>
      <c r="K483" t="str">
        <f>IF(I483="Trung bình",'Huong dan giao do an'!$B$8,IF(I483="Khá",'Huong dan giao do an'!$B$9,'Huong dan giao do an'!$B$10))</f>
        <v>Tối thiểu 5 actor; 14-18 use case; 10-15 bảng; 4 quy trình; tích hợp ngoài/realtime hoặc xử lý nâng cao; 3 báo cáo; &gt;=45 test case; logging, backup và deploy.</v>
      </c>
      <c r="L483" t="str">
        <f>'Huong dan giao do an'!$B$31</f>
        <v>Bắt buộc: Charter/PMP; SRS + scope/WBS; Gantt/baseline; effort-cost budget; RACI/timesheet; quality-test-defect; communication/minutes; risk register; procurement; change log; closure/lessons learned.</v>
      </c>
      <c r="M483" t="str">
        <f>'Huong dan giao do an'!$B$33</f>
        <v>Tuần 1: 07.09–13.09.2026; Tuần 2: 14.09–20.09.2026; Tuần 3: 21.09–27.09.2026; Tuần 4: 28.09–04.10.2026; Tuần 5: 05.10–11.10.2026; Tuần 6: 12.10–18.10.2026; Tuần 7: 19.10–25.10.2026; Tuần 8: 26.10–01.11.2026.</v>
      </c>
      <c r="N4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3" s="17" t="str">
        <f t="shared" si="7"/>
        <v>Còn trống</v>
      </c>
    </row>
    <row r="484" spans="1:16" x14ac:dyDescent="0.3">
      <c r="A484">
        <v>483</v>
      </c>
      <c r="B484" t="s">
        <v>942</v>
      </c>
      <c r="C484" t="s">
        <v>1135</v>
      </c>
      <c r="D484" t="s">
        <v>1136</v>
      </c>
      <c r="E484" t="s">
        <v>26</v>
      </c>
      <c r="F484" t="s">
        <v>955</v>
      </c>
      <c r="G484" t="s">
        <v>956</v>
      </c>
      <c r="H484" t="str">
        <f>'Huong dan giao do an'!$B$14</f>
        <v>5 SV (vai trò chính): 1 PM/Scrum Master kiêm Integration; 2 BA/PO; 3 UI-UX + Frontend; 4 Backend/API + DevOps; 5 Database + QA/Tester. Mỗi SV có nhiệm vụ phụ và minh chứng cá nhân.</v>
      </c>
      <c r="I484" t="s">
        <v>36</v>
      </c>
      <c r="J484" t="s">
        <v>957</v>
      </c>
      <c r="K484" t="str">
        <f>IF(I484="Trung bình",'Huong dan giao do an'!$B$8,IF(I484="Khá",'Huong dan giao do an'!$B$9,'Huong dan giao do an'!$B$10))</f>
        <v>Tối thiểu 3 actor; 8-10 use case; 6-8 bảng dữ liệu; 2 quy trình lõi; đăng nhập/RBAC; 1 dashboard; 1 báo cáo; &gt;=25 test case; triển khai bản demo.</v>
      </c>
      <c r="L484" t="str">
        <f>'Huong dan giao do an'!$B$31</f>
        <v>Bắt buộc: Charter/PMP; SRS + scope/WBS; Gantt/baseline; effort-cost budget; RACI/timesheet; quality-test-defect; communication/minutes; risk register; procurement; change log; closure/lessons learned.</v>
      </c>
      <c r="M484" t="str">
        <f>'Huong dan giao do an'!$B$33</f>
        <v>Tuần 1: 07.09–13.09.2026; Tuần 2: 14.09–20.09.2026; Tuần 3: 21.09–27.09.2026; Tuần 4: 28.09–04.10.2026; Tuần 5: 05.10–11.10.2026; Tuần 6: 12.10–18.10.2026; Tuần 7: 19.10–25.10.2026; Tuần 8: 26.10–01.11.2026.</v>
      </c>
      <c r="N4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4" s="17" t="str">
        <f t="shared" si="7"/>
        <v>Còn trống</v>
      </c>
    </row>
    <row r="485" spans="1:16" x14ac:dyDescent="0.3">
      <c r="A485">
        <v>484</v>
      </c>
      <c r="B485" t="s">
        <v>942</v>
      </c>
      <c r="C485" t="s">
        <v>1137</v>
      </c>
      <c r="D485" t="s">
        <v>1138</v>
      </c>
      <c r="E485" t="s">
        <v>33</v>
      </c>
      <c r="F485" t="s">
        <v>960</v>
      </c>
      <c r="G485" t="s">
        <v>961</v>
      </c>
      <c r="H485" t="str">
        <f>'Huong dan giao do an'!$B$14</f>
        <v>5 SV (vai trò chính): 1 PM/Scrum Master kiêm Integration; 2 BA/PO; 3 UI-UX + Frontend; 4 Backend/API + DevOps; 5 Database + QA/Tester. Mỗi SV có nhiệm vụ phụ và minh chứng cá nhân.</v>
      </c>
      <c r="I485" t="s">
        <v>22</v>
      </c>
      <c r="J485" t="s">
        <v>947</v>
      </c>
      <c r="K485" t="str">
        <f>IF(I485="Trung bình",'Huong dan giao do an'!$B$8,IF(I485="Khá",'Huong dan giao do an'!$B$9,'Huong dan giao do an'!$B$10))</f>
        <v>Tối thiểu 4 actor; 10-14 use case; 8-12 bảng; 3 quy trình lõi; phân quyền chi tiết; 2 báo cáo; tích hợp 1 dịch vụ; &gt;=35 test case; CI/CD hoặc deploy cloud.</v>
      </c>
      <c r="L485" t="str">
        <f>'Huong dan giao do an'!$B$31</f>
        <v>Bắt buộc: Charter/PMP; SRS + scope/WBS; Gantt/baseline; effort-cost budget; RACI/timesheet; quality-test-defect; communication/minutes; risk register; procurement; change log; closure/lessons learned.</v>
      </c>
      <c r="M485" t="str">
        <f>'Huong dan giao do an'!$B$33</f>
        <v>Tuần 1: 07.09–13.09.2026; Tuần 2: 14.09–20.09.2026; Tuần 3: 21.09–27.09.2026; Tuần 4: 28.09–04.10.2026; Tuần 5: 05.10–11.10.2026; Tuần 6: 12.10–18.10.2026; Tuần 7: 19.10–25.10.2026; Tuần 8: 26.10–01.11.2026.</v>
      </c>
      <c r="N4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5" s="17" t="str">
        <f t="shared" si="7"/>
        <v>Còn trống</v>
      </c>
    </row>
    <row r="486" spans="1:16" x14ac:dyDescent="0.3">
      <c r="A486">
        <v>485</v>
      </c>
      <c r="B486" t="s">
        <v>942</v>
      </c>
      <c r="C486" t="s">
        <v>1139</v>
      </c>
      <c r="D486" t="s">
        <v>1140</v>
      </c>
      <c r="E486" t="s">
        <v>40</v>
      </c>
      <c r="F486" t="s">
        <v>964</v>
      </c>
      <c r="G486" t="s">
        <v>965</v>
      </c>
      <c r="H486" t="str">
        <f>'Huong dan giao do an'!$B$14</f>
        <v>5 SV (vai trò chính): 1 PM/Scrum Master kiêm Integration; 2 BA/PO; 3 UI-UX + Frontend; 4 Backend/API + DevOps; 5 Database + QA/Tester. Mỗi SV có nhiệm vụ phụ và minh chứng cá nhân.</v>
      </c>
      <c r="I486" t="s">
        <v>29</v>
      </c>
      <c r="J486" t="s">
        <v>952</v>
      </c>
      <c r="K486" t="str">
        <f>IF(I486="Trung bình",'Huong dan giao do an'!$B$8,IF(I486="Khá",'Huong dan giao do an'!$B$9,'Huong dan giao do an'!$B$10))</f>
        <v>Tối thiểu 5 actor; 14-18 use case; 10-15 bảng; 4 quy trình; tích hợp ngoài/realtime hoặc xử lý nâng cao; 3 báo cáo; &gt;=45 test case; logging, backup và deploy.</v>
      </c>
      <c r="L486" t="str">
        <f>'Huong dan giao do an'!$B$31</f>
        <v>Bắt buộc: Charter/PMP; SRS + scope/WBS; Gantt/baseline; effort-cost budget; RACI/timesheet; quality-test-defect; communication/minutes; risk register; procurement; change log; closure/lessons learned.</v>
      </c>
      <c r="M486" t="str">
        <f>'Huong dan giao do an'!$B$33</f>
        <v>Tuần 1: 07.09–13.09.2026; Tuần 2: 14.09–20.09.2026; Tuần 3: 21.09–27.09.2026; Tuần 4: 28.09–04.10.2026; Tuần 5: 05.10–11.10.2026; Tuần 6: 12.10–18.10.2026; Tuần 7: 19.10–25.10.2026; Tuần 8: 26.10–01.11.2026.</v>
      </c>
      <c r="N4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6" s="17" t="str">
        <f t="shared" si="7"/>
        <v>Còn trống</v>
      </c>
    </row>
    <row r="487" spans="1:16" x14ac:dyDescent="0.3">
      <c r="A487">
        <v>486</v>
      </c>
      <c r="B487" t="s">
        <v>942</v>
      </c>
      <c r="C487" t="s">
        <v>1141</v>
      </c>
      <c r="D487" t="s">
        <v>1142</v>
      </c>
      <c r="E487" t="s">
        <v>45</v>
      </c>
      <c r="F487" t="s">
        <v>945</v>
      </c>
      <c r="G487" t="s">
        <v>968</v>
      </c>
      <c r="H487" t="str">
        <f>'Huong dan giao do an'!$B$14</f>
        <v>5 SV (vai trò chính): 1 PM/Scrum Master kiêm Integration; 2 BA/PO; 3 UI-UX + Frontend; 4 Backend/API + DevOps; 5 Database + QA/Tester. Mỗi SV có nhiệm vụ phụ và minh chứng cá nhân.</v>
      </c>
      <c r="I487" t="s">
        <v>36</v>
      </c>
      <c r="J487" t="s">
        <v>957</v>
      </c>
      <c r="K487" t="str">
        <f>IF(I487="Trung bình",'Huong dan giao do an'!$B$8,IF(I487="Khá",'Huong dan giao do an'!$B$9,'Huong dan giao do an'!$B$10))</f>
        <v>Tối thiểu 3 actor; 8-10 use case; 6-8 bảng dữ liệu; 2 quy trình lõi; đăng nhập/RBAC; 1 dashboard; 1 báo cáo; &gt;=25 test case; triển khai bản demo.</v>
      </c>
      <c r="L487" t="str">
        <f>'Huong dan giao do an'!$B$31</f>
        <v>Bắt buộc: Charter/PMP; SRS + scope/WBS; Gantt/baseline; effort-cost budget; RACI/timesheet; quality-test-defect; communication/minutes; risk register; procurement; change log; closure/lessons learned.</v>
      </c>
      <c r="M487" t="str">
        <f>'Huong dan giao do an'!$B$33</f>
        <v>Tuần 1: 07.09–13.09.2026; Tuần 2: 14.09–20.09.2026; Tuần 3: 21.09–27.09.2026; Tuần 4: 28.09–04.10.2026; Tuần 5: 05.10–11.10.2026; Tuần 6: 12.10–18.10.2026; Tuần 7: 19.10–25.10.2026; Tuần 8: 26.10–01.11.2026.</v>
      </c>
      <c r="N4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7" s="17" t="str">
        <f t="shared" si="7"/>
        <v>Còn trống</v>
      </c>
    </row>
    <row r="488" spans="1:16" x14ac:dyDescent="0.3">
      <c r="A488">
        <v>487</v>
      </c>
      <c r="B488" t="s">
        <v>942</v>
      </c>
      <c r="C488" t="s">
        <v>1143</v>
      </c>
      <c r="D488" t="s">
        <v>1144</v>
      </c>
      <c r="E488" t="s">
        <v>19</v>
      </c>
      <c r="F488" t="s">
        <v>950</v>
      </c>
      <c r="G488" t="s">
        <v>971</v>
      </c>
      <c r="H488" t="str">
        <f>'Huong dan giao do an'!$B$14</f>
        <v>5 SV (vai trò chính): 1 PM/Scrum Master kiêm Integration; 2 BA/PO; 3 UI-UX + Frontend; 4 Backend/API + DevOps; 5 Database + QA/Tester. Mỗi SV có nhiệm vụ phụ và minh chứng cá nhân.</v>
      </c>
      <c r="I488" t="s">
        <v>22</v>
      </c>
      <c r="J488" t="s">
        <v>947</v>
      </c>
      <c r="K488" t="str">
        <f>IF(I488="Trung bình",'Huong dan giao do an'!$B$8,IF(I488="Khá",'Huong dan giao do an'!$B$9,'Huong dan giao do an'!$B$10))</f>
        <v>Tối thiểu 4 actor; 10-14 use case; 8-12 bảng; 3 quy trình lõi; phân quyền chi tiết; 2 báo cáo; tích hợp 1 dịch vụ; &gt;=35 test case; CI/CD hoặc deploy cloud.</v>
      </c>
      <c r="L488" t="str">
        <f>'Huong dan giao do an'!$B$31</f>
        <v>Bắt buộc: Charter/PMP; SRS + scope/WBS; Gantt/baseline; effort-cost budget; RACI/timesheet; quality-test-defect; communication/minutes; risk register; procurement; change log; closure/lessons learned.</v>
      </c>
      <c r="M488" t="str">
        <f>'Huong dan giao do an'!$B$33</f>
        <v>Tuần 1: 07.09–13.09.2026; Tuần 2: 14.09–20.09.2026; Tuần 3: 21.09–27.09.2026; Tuần 4: 28.09–04.10.2026; Tuần 5: 05.10–11.10.2026; Tuần 6: 12.10–18.10.2026; Tuần 7: 19.10–25.10.2026; Tuần 8: 26.10–01.11.2026.</v>
      </c>
      <c r="N4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8" s="17" t="str">
        <f t="shared" si="7"/>
        <v>Còn trống</v>
      </c>
    </row>
    <row r="489" spans="1:16" x14ac:dyDescent="0.3">
      <c r="A489">
        <v>488</v>
      </c>
      <c r="B489" t="s">
        <v>942</v>
      </c>
      <c r="C489" t="s">
        <v>1145</v>
      </c>
      <c r="D489" t="s">
        <v>1146</v>
      </c>
      <c r="E489" t="s">
        <v>26</v>
      </c>
      <c r="F489" t="s">
        <v>955</v>
      </c>
      <c r="G489" t="s">
        <v>974</v>
      </c>
      <c r="H489" t="str">
        <f>'Huong dan giao do an'!$B$14</f>
        <v>5 SV (vai trò chính): 1 PM/Scrum Master kiêm Integration; 2 BA/PO; 3 UI-UX + Frontend; 4 Backend/API + DevOps; 5 Database + QA/Tester. Mỗi SV có nhiệm vụ phụ và minh chứng cá nhân.</v>
      </c>
      <c r="I489" t="s">
        <v>29</v>
      </c>
      <c r="J489" t="s">
        <v>952</v>
      </c>
      <c r="K489" t="str">
        <f>IF(I489="Trung bình",'Huong dan giao do an'!$B$8,IF(I489="Khá",'Huong dan giao do an'!$B$9,'Huong dan giao do an'!$B$10))</f>
        <v>Tối thiểu 5 actor; 14-18 use case; 10-15 bảng; 4 quy trình; tích hợp ngoài/realtime hoặc xử lý nâng cao; 3 báo cáo; &gt;=45 test case; logging, backup và deploy.</v>
      </c>
      <c r="L489" t="str">
        <f>'Huong dan giao do an'!$B$31</f>
        <v>Bắt buộc: Charter/PMP; SRS + scope/WBS; Gantt/baseline; effort-cost budget; RACI/timesheet; quality-test-defect; communication/minutes; risk register; procurement; change log; closure/lessons learned.</v>
      </c>
      <c r="M489" t="str">
        <f>'Huong dan giao do an'!$B$33</f>
        <v>Tuần 1: 07.09–13.09.2026; Tuần 2: 14.09–20.09.2026; Tuần 3: 21.09–27.09.2026; Tuần 4: 28.09–04.10.2026; Tuần 5: 05.10–11.10.2026; Tuần 6: 12.10–18.10.2026; Tuần 7: 19.10–25.10.2026; Tuần 8: 26.10–01.11.2026.</v>
      </c>
      <c r="N4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89" s="17" t="str">
        <f t="shared" si="7"/>
        <v>Còn trống</v>
      </c>
    </row>
    <row r="490" spans="1:16" x14ac:dyDescent="0.3">
      <c r="A490">
        <v>489</v>
      </c>
      <c r="B490" t="s">
        <v>942</v>
      </c>
      <c r="C490" t="s">
        <v>1147</v>
      </c>
      <c r="D490" t="s">
        <v>1148</v>
      </c>
      <c r="E490" t="s">
        <v>33</v>
      </c>
      <c r="F490" t="s">
        <v>960</v>
      </c>
      <c r="G490" t="s">
        <v>977</v>
      </c>
      <c r="H490" t="str">
        <f>'Huong dan giao do an'!$B$14</f>
        <v>5 SV (vai trò chính): 1 PM/Scrum Master kiêm Integration; 2 BA/PO; 3 UI-UX + Frontend; 4 Backend/API + DevOps; 5 Database + QA/Tester. Mỗi SV có nhiệm vụ phụ và minh chứng cá nhân.</v>
      </c>
      <c r="I490" t="s">
        <v>36</v>
      </c>
      <c r="J490" t="s">
        <v>957</v>
      </c>
      <c r="K490" t="str">
        <f>IF(I490="Trung bình",'Huong dan giao do an'!$B$8,IF(I490="Khá",'Huong dan giao do an'!$B$9,'Huong dan giao do an'!$B$10))</f>
        <v>Tối thiểu 3 actor; 8-10 use case; 6-8 bảng dữ liệu; 2 quy trình lõi; đăng nhập/RBAC; 1 dashboard; 1 báo cáo; &gt;=25 test case; triển khai bản demo.</v>
      </c>
      <c r="L490" t="str">
        <f>'Huong dan giao do an'!$B$31</f>
        <v>Bắt buộc: Charter/PMP; SRS + scope/WBS; Gantt/baseline; effort-cost budget; RACI/timesheet; quality-test-defect; communication/minutes; risk register; procurement; change log; closure/lessons learned.</v>
      </c>
      <c r="M490" t="str">
        <f>'Huong dan giao do an'!$B$33</f>
        <v>Tuần 1: 07.09–13.09.2026; Tuần 2: 14.09–20.09.2026; Tuần 3: 21.09–27.09.2026; Tuần 4: 28.09–04.10.2026; Tuần 5: 05.10–11.10.2026; Tuần 6: 12.10–18.10.2026; Tuần 7: 19.10–25.10.2026; Tuần 8: 26.10–01.11.2026.</v>
      </c>
      <c r="N4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0" s="17" t="str">
        <f t="shared" si="7"/>
        <v>Còn trống</v>
      </c>
    </row>
    <row r="491" spans="1:16" x14ac:dyDescent="0.3">
      <c r="A491">
        <v>490</v>
      </c>
      <c r="B491" t="s">
        <v>942</v>
      </c>
      <c r="C491" t="s">
        <v>1149</v>
      </c>
      <c r="D491" t="s">
        <v>1150</v>
      </c>
      <c r="E491" t="s">
        <v>40</v>
      </c>
      <c r="F491" t="s">
        <v>964</v>
      </c>
      <c r="G491" t="s">
        <v>980</v>
      </c>
      <c r="H491" t="str">
        <f>'Huong dan giao do an'!$B$14</f>
        <v>5 SV (vai trò chính): 1 PM/Scrum Master kiêm Integration; 2 BA/PO; 3 UI-UX + Frontend; 4 Backend/API + DevOps; 5 Database + QA/Tester. Mỗi SV có nhiệm vụ phụ và minh chứng cá nhân.</v>
      </c>
      <c r="I491" t="s">
        <v>22</v>
      </c>
      <c r="J491" t="s">
        <v>947</v>
      </c>
      <c r="K491" t="str">
        <f>IF(I491="Trung bình",'Huong dan giao do an'!$B$8,IF(I491="Khá",'Huong dan giao do an'!$B$9,'Huong dan giao do an'!$B$10))</f>
        <v>Tối thiểu 4 actor; 10-14 use case; 8-12 bảng; 3 quy trình lõi; phân quyền chi tiết; 2 báo cáo; tích hợp 1 dịch vụ; &gt;=35 test case; CI/CD hoặc deploy cloud.</v>
      </c>
      <c r="L491" t="str">
        <f>'Huong dan giao do an'!$B$31</f>
        <v>Bắt buộc: Charter/PMP; SRS + scope/WBS; Gantt/baseline; effort-cost budget; RACI/timesheet; quality-test-defect; communication/minutes; risk register; procurement; change log; closure/lessons learned.</v>
      </c>
      <c r="M491" t="str">
        <f>'Huong dan giao do an'!$B$33</f>
        <v>Tuần 1: 07.09–13.09.2026; Tuần 2: 14.09–20.09.2026; Tuần 3: 21.09–27.09.2026; Tuần 4: 28.09–04.10.2026; Tuần 5: 05.10–11.10.2026; Tuần 6: 12.10–18.10.2026; Tuần 7: 19.10–25.10.2026; Tuần 8: 26.10–01.11.2026.</v>
      </c>
      <c r="N4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1" s="17" t="str">
        <f t="shared" si="7"/>
        <v>Còn trống</v>
      </c>
    </row>
    <row r="492" spans="1:16" x14ac:dyDescent="0.3">
      <c r="A492">
        <v>491</v>
      </c>
      <c r="B492" t="s">
        <v>942</v>
      </c>
      <c r="C492" t="s">
        <v>1151</v>
      </c>
      <c r="D492" t="s">
        <v>1152</v>
      </c>
      <c r="E492" t="s">
        <v>45</v>
      </c>
      <c r="F492" t="s">
        <v>945</v>
      </c>
      <c r="G492" t="s">
        <v>983</v>
      </c>
      <c r="H492" t="str">
        <f>'Huong dan giao do an'!$B$14</f>
        <v>5 SV (vai trò chính): 1 PM/Scrum Master kiêm Integration; 2 BA/PO; 3 UI-UX + Frontend; 4 Backend/API + DevOps; 5 Database + QA/Tester. Mỗi SV có nhiệm vụ phụ và minh chứng cá nhân.</v>
      </c>
      <c r="I492" t="s">
        <v>29</v>
      </c>
      <c r="J492" t="s">
        <v>952</v>
      </c>
      <c r="K492" t="str">
        <f>IF(I492="Trung bình",'Huong dan giao do an'!$B$8,IF(I492="Khá",'Huong dan giao do an'!$B$9,'Huong dan giao do an'!$B$10))</f>
        <v>Tối thiểu 5 actor; 14-18 use case; 10-15 bảng; 4 quy trình; tích hợp ngoài/realtime hoặc xử lý nâng cao; 3 báo cáo; &gt;=45 test case; logging, backup và deploy.</v>
      </c>
      <c r="L492" t="str">
        <f>'Huong dan giao do an'!$B$31</f>
        <v>Bắt buộc: Charter/PMP; SRS + scope/WBS; Gantt/baseline; effort-cost budget; RACI/timesheet; quality-test-defect; communication/minutes; risk register; procurement; change log; closure/lessons learned.</v>
      </c>
      <c r="M492" t="str">
        <f>'Huong dan giao do an'!$B$33</f>
        <v>Tuần 1: 07.09–13.09.2026; Tuần 2: 14.09–20.09.2026; Tuần 3: 21.09–27.09.2026; Tuần 4: 28.09–04.10.2026; Tuần 5: 05.10–11.10.2026; Tuần 6: 12.10–18.10.2026; Tuần 7: 19.10–25.10.2026; Tuần 8: 26.10–01.11.2026.</v>
      </c>
      <c r="N4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2" s="17" t="str">
        <f t="shared" si="7"/>
        <v>Còn trống</v>
      </c>
    </row>
    <row r="493" spans="1:16" x14ac:dyDescent="0.3">
      <c r="A493">
        <v>492</v>
      </c>
      <c r="B493" t="s">
        <v>942</v>
      </c>
      <c r="C493" t="s">
        <v>1153</v>
      </c>
      <c r="D493" t="s">
        <v>1154</v>
      </c>
      <c r="E493" t="s">
        <v>19</v>
      </c>
      <c r="F493" t="s">
        <v>950</v>
      </c>
      <c r="G493" t="s">
        <v>986</v>
      </c>
      <c r="H493" t="str">
        <f>'Huong dan giao do an'!$B$14</f>
        <v>5 SV (vai trò chính): 1 PM/Scrum Master kiêm Integration; 2 BA/PO; 3 UI-UX + Frontend; 4 Backend/API + DevOps; 5 Database + QA/Tester. Mỗi SV có nhiệm vụ phụ và minh chứng cá nhân.</v>
      </c>
      <c r="I493" t="s">
        <v>36</v>
      </c>
      <c r="J493" t="s">
        <v>957</v>
      </c>
      <c r="K493" t="str">
        <f>IF(I493="Trung bình",'Huong dan giao do an'!$B$8,IF(I493="Khá",'Huong dan giao do an'!$B$9,'Huong dan giao do an'!$B$10))</f>
        <v>Tối thiểu 3 actor; 8-10 use case; 6-8 bảng dữ liệu; 2 quy trình lõi; đăng nhập/RBAC; 1 dashboard; 1 báo cáo; &gt;=25 test case; triển khai bản demo.</v>
      </c>
      <c r="L493" t="str">
        <f>'Huong dan giao do an'!$B$31</f>
        <v>Bắt buộc: Charter/PMP; SRS + scope/WBS; Gantt/baseline; effort-cost budget; RACI/timesheet; quality-test-defect; communication/minutes; risk register; procurement; change log; closure/lessons learned.</v>
      </c>
      <c r="M493" t="str">
        <f>'Huong dan giao do an'!$B$33</f>
        <v>Tuần 1: 07.09–13.09.2026; Tuần 2: 14.09–20.09.2026; Tuần 3: 21.09–27.09.2026; Tuần 4: 28.09–04.10.2026; Tuần 5: 05.10–11.10.2026; Tuần 6: 12.10–18.10.2026; Tuần 7: 19.10–25.10.2026; Tuần 8: 26.10–01.11.2026.</v>
      </c>
      <c r="N4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3" s="17" t="str">
        <f t="shared" si="7"/>
        <v>Còn trống</v>
      </c>
    </row>
    <row r="494" spans="1:16" x14ac:dyDescent="0.3">
      <c r="A494">
        <v>493</v>
      </c>
      <c r="B494" t="s">
        <v>942</v>
      </c>
      <c r="C494" t="s">
        <v>1155</v>
      </c>
      <c r="D494" t="s">
        <v>1156</v>
      </c>
      <c r="E494" t="s">
        <v>26</v>
      </c>
      <c r="F494" t="s">
        <v>955</v>
      </c>
      <c r="G494" t="s">
        <v>989</v>
      </c>
      <c r="H494" t="str">
        <f>'Huong dan giao do an'!$B$14</f>
        <v>5 SV (vai trò chính): 1 PM/Scrum Master kiêm Integration; 2 BA/PO; 3 UI-UX + Frontend; 4 Backend/API + DevOps; 5 Database + QA/Tester. Mỗi SV có nhiệm vụ phụ và minh chứng cá nhân.</v>
      </c>
      <c r="I494" t="s">
        <v>22</v>
      </c>
      <c r="J494" t="s">
        <v>947</v>
      </c>
      <c r="K494" t="str">
        <f>IF(I494="Trung bình",'Huong dan giao do an'!$B$8,IF(I494="Khá",'Huong dan giao do an'!$B$9,'Huong dan giao do an'!$B$10))</f>
        <v>Tối thiểu 4 actor; 10-14 use case; 8-12 bảng; 3 quy trình lõi; phân quyền chi tiết; 2 báo cáo; tích hợp 1 dịch vụ; &gt;=35 test case; CI/CD hoặc deploy cloud.</v>
      </c>
      <c r="L494" t="str">
        <f>'Huong dan giao do an'!$B$31</f>
        <v>Bắt buộc: Charter/PMP; SRS + scope/WBS; Gantt/baseline; effort-cost budget; RACI/timesheet; quality-test-defect; communication/minutes; risk register; procurement; change log; closure/lessons learned.</v>
      </c>
      <c r="M494" t="str">
        <f>'Huong dan giao do an'!$B$33</f>
        <v>Tuần 1: 07.09–13.09.2026; Tuần 2: 14.09–20.09.2026; Tuần 3: 21.09–27.09.2026; Tuần 4: 28.09–04.10.2026; Tuần 5: 05.10–11.10.2026; Tuần 6: 12.10–18.10.2026; Tuần 7: 19.10–25.10.2026; Tuần 8: 26.10–01.11.2026.</v>
      </c>
      <c r="N4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4" s="17" t="str">
        <f t="shared" si="7"/>
        <v>Còn trống</v>
      </c>
    </row>
    <row r="495" spans="1:16" x14ac:dyDescent="0.3">
      <c r="A495">
        <v>494</v>
      </c>
      <c r="B495" t="s">
        <v>942</v>
      </c>
      <c r="C495" t="s">
        <v>1157</v>
      </c>
      <c r="D495" t="s">
        <v>1158</v>
      </c>
      <c r="E495" t="s">
        <v>33</v>
      </c>
      <c r="F495" t="s">
        <v>960</v>
      </c>
      <c r="G495" t="s">
        <v>992</v>
      </c>
      <c r="H495" t="str">
        <f>'Huong dan giao do an'!$B$14</f>
        <v>5 SV (vai trò chính): 1 PM/Scrum Master kiêm Integration; 2 BA/PO; 3 UI-UX + Frontend; 4 Backend/API + DevOps; 5 Database + QA/Tester. Mỗi SV có nhiệm vụ phụ và minh chứng cá nhân.</v>
      </c>
      <c r="I495" t="s">
        <v>29</v>
      </c>
      <c r="J495" t="s">
        <v>952</v>
      </c>
      <c r="K495" t="str">
        <f>IF(I495="Trung bình",'Huong dan giao do an'!$B$8,IF(I495="Khá",'Huong dan giao do an'!$B$9,'Huong dan giao do an'!$B$10))</f>
        <v>Tối thiểu 5 actor; 14-18 use case; 10-15 bảng; 4 quy trình; tích hợp ngoài/realtime hoặc xử lý nâng cao; 3 báo cáo; &gt;=45 test case; logging, backup và deploy.</v>
      </c>
      <c r="L495" t="str">
        <f>'Huong dan giao do an'!$B$31</f>
        <v>Bắt buộc: Charter/PMP; SRS + scope/WBS; Gantt/baseline; effort-cost budget; RACI/timesheet; quality-test-defect; communication/minutes; risk register; procurement; change log; closure/lessons learned.</v>
      </c>
      <c r="M495" t="str">
        <f>'Huong dan giao do an'!$B$33</f>
        <v>Tuần 1: 07.09–13.09.2026; Tuần 2: 14.09–20.09.2026; Tuần 3: 21.09–27.09.2026; Tuần 4: 28.09–04.10.2026; Tuần 5: 05.10–11.10.2026; Tuần 6: 12.10–18.10.2026; Tuần 7: 19.10–25.10.2026; Tuần 8: 26.10–01.11.2026.</v>
      </c>
      <c r="N4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5" s="17" t="str">
        <f t="shared" si="7"/>
        <v>Còn trống</v>
      </c>
    </row>
    <row r="496" spans="1:16" x14ac:dyDescent="0.3">
      <c r="A496">
        <v>495</v>
      </c>
      <c r="B496" t="s">
        <v>942</v>
      </c>
      <c r="C496" t="s">
        <v>1159</v>
      </c>
      <c r="D496" t="s">
        <v>1160</v>
      </c>
      <c r="E496" t="s">
        <v>40</v>
      </c>
      <c r="F496" t="s">
        <v>964</v>
      </c>
      <c r="G496" t="s">
        <v>995</v>
      </c>
      <c r="H496" t="str">
        <f>'Huong dan giao do an'!$B$14</f>
        <v>5 SV (vai trò chính): 1 PM/Scrum Master kiêm Integration; 2 BA/PO; 3 UI-UX + Frontend; 4 Backend/API + DevOps; 5 Database + QA/Tester. Mỗi SV có nhiệm vụ phụ và minh chứng cá nhân.</v>
      </c>
      <c r="I496" t="s">
        <v>36</v>
      </c>
      <c r="J496" t="s">
        <v>957</v>
      </c>
      <c r="K496" t="str">
        <f>IF(I496="Trung bình",'Huong dan giao do an'!$B$8,IF(I496="Khá",'Huong dan giao do an'!$B$9,'Huong dan giao do an'!$B$10))</f>
        <v>Tối thiểu 3 actor; 8-10 use case; 6-8 bảng dữ liệu; 2 quy trình lõi; đăng nhập/RBAC; 1 dashboard; 1 báo cáo; &gt;=25 test case; triển khai bản demo.</v>
      </c>
      <c r="L496" t="str">
        <f>'Huong dan giao do an'!$B$31</f>
        <v>Bắt buộc: Charter/PMP; SRS + scope/WBS; Gantt/baseline; effort-cost budget; RACI/timesheet; quality-test-defect; communication/minutes; risk register; procurement; change log; closure/lessons learned.</v>
      </c>
      <c r="M496" t="str">
        <f>'Huong dan giao do an'!$B$33</f>
        <v>Tuần 1: 07.09–13.09.2026; Tuần 2: 14.09–20.09.2026; Tuần 3: 21.09–27.09.2026; Tuần 4: 28.09–04.10.2026; Tuần 5: 05.10–11.10.2026; Tuần 6: 12.10–18.10.2026; Tuần 7: 19.10–25.10.2026; Tuần 8: 26.10–01.11.2026.</v>
      </c>
      <c r="N4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6" s="17" t="str">
        <f t="shared" si="7"/>
        <v>Còn trống</v>
      </c>
    </row>
    <row r="497" spans="1:16" x14ac:dyDescent="0.3">
      <c r="A497">
        <v>496</v>
      </c>
      <c r="B497" t="s">
        <v>942</v>
      </c>
      <c r="C497" t="s">
        <v>1161</v>
      </c>
      <c r="D497" t="s">
        <v>1162</v>
      </c>
      <c r="E497" t="s">
        <v>45</v>
      </c>
      <c r="F497" t="s">
        <v>945</v>
      </c>
      <c r="G497" t="s">
        <v>998</v>
      </c>
      <c r="H497" t="str">
        <f>'Huong dan giao do an'!$B$14</f>
        <v>5 SV (vai trò chính): 1 PM/Scrum Master kiêm Integration; 2 BA/PO; 3 UI-UX + Frontend; 4 Backend/API + DevOps; 5 Database + QA/Tester. Mỗi SV có nhiệm vụ phụ và minh chứng cá nhân.</v>
      </c>
      <c r="I497" t="s">
        <v>22</v>
      </c>
      <c r="J497" t="s">
        <v>947</v>
      </c>
      <c r="K497" t="str">
        <f>IF(I497="Trung bình",'Huong dan giao do an'!$B$8,IF(I497="Khá",'Huong dan giao do an'!$B$9,'Huong dan giao do an'!$B$10))</f>
        <v>Tối thiểu 4 actor; 10-14 use case; 8-12 bảng; 3 quy trình lõi; phân quyền chi tiết; 2 báo cáo; tích hợp 1 dịch vụ; &gt;=35 test case; CI/CD hoặc deploy cloud.</v>
      </c>
      <c r="L497" t="str">
        <f>'Huong dan giao do an'!$B$31</f>
        <v>Bắt buộc: Charter/PMP; SRS + scope/WBS; Gantt/baseline; effort-cost budget; RACI/timesheet; quality-test-defect; communication/minutes; risk register; procurement; change log; closure/lessons learned.</v>
      </c>
      <c r="M497" t="str">
        <f>'Huong dan giao do an'!$B$33</f>
        <v>Tuần 1: 07.09–13.09.2026; Tuần 2: 14.09–20.09.2026; Tuần 3: 21.09–27.09.2026; Tuần 4: 28.09–04.10.2026; Tuần 5: 05.10–11.10.2026; Tuần 6: 12.10–18.10.2026; Tuần 7: 19.10–25.10.2026; Tuần 8: 26.10–01.11.2026.</v>
      </c>
      <c r="N4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7" s="17" t="str">
        <f t="shared" si="7"/>
        <v>Còn trống</v>
      </c>
    </row>
    <row r="498" spans="1:16" x14ac:dyDescent="0.3">
      <c r="A498">
        <v>497</v>
      </c>
      <c r="B498" t="s">
        <v>942</v>
      </c>
      <c r="C498" t="s">
        <v>1163</v>
      </c>
      <c r="D498" t="s">
        <v>1164</v>
      </c>
      <c r="E498" t="s">
        <v>19</v>
      </c>
      <c r="F498" t="s">
        <v>950</v>
      </c>
      <c r="G498" t="s">
        <v>1001</v>
      </c>
      <c r="H498" t="str">
        <f>'Huong dan giao do an'!$B$14</f>
        <v>5 SV (vai trò chính): 1 PM/Scrum Master kiêm Integration; 2 BA/PO; 3 UI-UX + Frontend; 4 Backend/API + DevOps; 5 Database + QA/Tester. Mỗi SV có nhiệm vụ phụ và minh chứng cá nhân.</v>
      </c>
      <c r="I498" t="s">
        <v>29</v>
      </c>
      <c r="J498" t="s">
        <v>952</v>
      </c>
      <c r="K498" t="str">
        <f>IF(I498="Trung bình",'Huong dan giao do an'!$B$8,IF(I498="Khá",'Huong dan giao do an'!$B$9,'Huong dan giao do an'!$B$10))</f>
        <v>Tối thiểu 5 actor; 14-18 use case; 10-15 bảng; 4 quy trình; tích hợp ngoài/realtime hoặc xử lý nâng cao; 3 báo cáo; &gt;=45 test case; logging, backup và deploy.</v>
      </c>
      <c r="L498" t="str">
        <f>'Huong dan giao do an'!$B$31</f>
        <v>Bắt buộc: Charter/PMP; SRS + scope/WBS; Gantt/baseline; effort-cost budget; RACI/timesheet; quality-test-defect; communication/minutes; risk register; procurement; change log; closure/lessons learned.</v>
      </c>
      <c r="M498" t="str">
        <f>'Huong dan giao do an'!$B$33</f>
        <v>Tuần 1: 07.09–13.09.2026; Tuần 2: 14.09–20.09.2026; Tuần 3: 21.09–27.09.2026; Tuần 4: 28.09–04.10.2026; Tuần 5: 05.10–11.10.2026; Tuần 6: 12.10–18.10.2026; Tuần 7: 19.10–25.10.2026; Tuần 8: 26.10–01.11.2026.</v>
      </c>
      <c r="N4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8" s="17" t="str">
        <f t="shared" si="7"/>
        <v>Còn trống</v>
      </c>
    </row>
    <row r="499" spans="1:16" x14ac:dyDescent="0.3">
      <c r="A499">
        <v>498</v>
      </c>
      <c r="B499" t="s">
        <v>942</v>
      </c>
      <c r="C499" t="s">
        <v>1165</v>
      </c>
      <c r="D499" t="s">
        <v>1166</v>
      </c>
      <c r="E499" t="s">
        <v>26</v>
      </c>
      <c r="F499" t="s">
        <v>955</v>
      </c>
      <c r="G499" t="s">
        <v>1004</v>
      </c>
      <c r="H499" t="str">
        <f>'Huong dan giao do an'!$B$14</f>
        <v>5 SV (vai trò chính): 1 PM/Scrum Master kiêm Integration; 2 BA/PO; 3 UI-UX + Frontend; 4 Backend/API + DevOps; 5 Database + QA/Tester. Mỗi SV có nhiệm vụ phụ và minh chứng cá nhân.</v>
      </c>
      <c r="I499" t="s">
        <v>36</v>
      </c>
      <c r="J499" t="s">
        <v>957</v>
      </c>
      <c r="K499" t="str">
        <f>IF(I499="Trung bình",'Huong dan giao do an'!$B$8,IF(I499="Khá",'Huong dan giao do an'!$B$9,'Huong dan giao do an'!$B$10))</f>
        <v>Tối thiểu 3 actor; 8-10 use case; 6-8 bảng dữ liệu; 2 quy trình lõi; đăng nhập/RBAC; 1 dashboard; 1 báo cáo; &gt;=25 test case; triển khai bản demo.</v>
      </c>
      <c r="L499" t="str">
        <f>'Huong dan giao do an'!$B$31</f>
        <v>Bắt buộc: Charter/PMP; SRS + scope/WBS; Gantt/baseline; effort-cost budget; RACI/timesheet; quality-test-defect; communication/minutes; risk register; procurement; change log; closure/lessons learned.</v>
      </c>
      <c r="M499" t="str">
        <f>'Huong dan giao do an'!$B$33</f>
        <v>Tuần 1: 07.09–13.09.2026; Tuần 2: 14.09–20.09.2026; Tuần 3: 21.09–27.09.2026; Tuần 4: 28.09–04.10.2026; Tuần 5: 05.10–11.10.2026; Tuần 6: 12.10–18.10.2026; Tuần 7: 19.10–25.10.2026; Tuần 8: 26.10–01.11.2026.</v>
      </c>
      <c r="N4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499" s="17" t="str">
        <f t="shared" si="7"/>
        <v>Còn trống</v>
      </c>
    </row>
    <row r="500" spans="1:16" x14ac:dyDescent="0.3">
      <c r="A500">
        <v>499</v>
      </c>
      <c r="B500" t="s">
        <v>942</v>
      </c>
      <c r="C500" t="s">
        <v>1167</v>
      </c>
      <c r="D500" t="s">
        <v>1168</v>
      </c>
      <c r="E500" t="s">
        <v>33</v>
      </c>
      <c r="F500" t="s">
        <v>960</v>
      </c>
      <c r="G500" t="s">
        <v>1007</v>
      </c>
      <c r="H500" t="str">
        <f>'Huong dan giao do an'!$B$14</f>
        <v>5 SV (vai trò chính): 1 PM/Scrum Master kiêm Integration; 2 BA/PO; 3 UI-UX + Frontend; 4 Backend/API + DevOps; 5 Database + QA/Tester. Mỗi SV có nhiệm vụ phụ và minh chứng cá nhân.</v>
      </c>
      <c r="I500" t="s">
        <v>22</v>
      </c>
      <c r="J500" t="s">
        <v>947</v>
      </c>
      <c r="K500" t="str">
        <f>IF(I500="Trung bình",'Huong dan giao do an'!$B$8,IF(I500="Khá",'Huong dan giao do an'!$B$9,'Huong dan giao do an'!$B$10))</f>
        <v>Tối thiểu 4 actor; 10-14 use case; 8-12 bảng; 3 quy trình lõi; phân quyền chi tiết; 2 báo cáo; tích hợp 1 dịch vụ; &gt;=35 test case; CI/CD hoặc deploy cloud.</v>
      </c>
      <c r="L500" t="str">
        <f>'Huong dan giao do an'!$B$31</f>
        <v>Bắt buộc: Charter/PMP; SRS + scope/WBS; Gantt/baseline; effort-cost budget; RACI/timesheet; quality-test-defect; communication/minutes; risk register; procurement; change log; closure/lessons learned.</v>
      </c>
      <c r="M500" t="str">
        <f>'Huong dan giao do an'!$B$33</f>
        <v>Tuần 1: 07.09–13.09.2026; Tuần 2: 14.09–20.09.2026; Tuần 3: 21.09–27.09.2026; Tuần 4: 28.09–04.10.2026; Tuần 5: 05.10–11.10.2026; Tuần 6: 12.10–18.10.2026; Tuần 7: 19.10–25.10.2026; Tuần 8: 26.10–01.11.2026.</v>
      </c>
      <c r="N5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0" s="17" t="str">
        <f t="shared" si="7"/>
        <v>Còn trống</v>
      </c>
    </row>
    <row r="501" spans="1:16" x14ac:dyDescent="0.3">
      <c r="A501">
        <v>500</v>
      </c>
      <c r="B501" t="s">
        <v>942</v>
      </c>
      <c r="C501" t="s">
        <v>1169</v>
      </c>
      <c r="D501" t="s">
        <v>1170</v>
      </c>
      <c r="E501" t="s">
        <v>40</v>
      </c>
      <c r="F501" t="s">
        <v>964</v>
      </c>
      <c r="G501" t="s">
        <v>1010</v>
      </c>
      <c r="H501" t="str">
        <f>'Huong dan giao do an'!$B$14</f>
        <v>5 SV (vai trò chính): 1 PM/Scrum Master kiêm Integration; 2 BA/PO; 3 UI-UX + Frontend; 4 Backend/API + DevOps; 5 Database + QA/Tester. Mỗi SV có nhiệm vụ phụ và minh chứng cá nhân.</v>
      </c>
      <c r="I501" t="s">
        <v>29</v>
      </c>
      <c r="J501" t="s">
        <v>952</v>
      </c>
      <c r="K501" t="str">
        <f>IF(I501="Trung bình",'Huong dan giao do an'!$B$8,IF(I501="Khá",'Huong dan giao do an'!$B$9,'Huong dan giao do an'!$B$10))</f>
        <v>Tối thiểu 5 actor; 14-18 use case; 10-15 bảng; 4 quy trình; tích hợp ngoài/realtime hoặc xử lý nâng cao; 3 báo cáo; &gt;=45 test case; logging, backup và deploy.</v>
      </c>
      <c r="L501" t="str">
        <f>'Huong dan giao do an'!$B$31</f>
        <v>Bắt buộc: Charter/PMP; SRS + scope/WBS; Gantt/baseline; effort-cost budget; RACI/timesheet; quality-test-defect; communication/minutes; risk register; procurement; change log; closure/lessons learned.</v>
      </c>
      <c r="M501" t="str">
        <f>'Huong dan giao do an'!$B$33</f>
        <v>Tuần 1: 07.09–13.09.2026; Tuần 2: 14.09–20.09.2026; Tuần 3: 21.09–27.09.2026; Tuần 4: 28.09–04.10.2026; Tuần 5: 05.10–11.10.2026; Tuần 6: 12.10–18.10.2026; Tuần 7: 19.10–25.10.2026; Tuần 8: 26.10–01.11.2026.</v>
      </c>
      <c r="N5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1" s="17" t="str">
        <f t="shared" si="7"/>
        <v>Còn trống</v>
      </c>
    </row>
    <row r="502" spans="1:16" x14ac:dyDescent="0.3">
      <c r="A502">
        <v>501</v>
      </c>
      <c r="B502" t="s">
        <v>1171</v>
      </c>
      <c r="C502" t="s">
        <v>1172</v>
      </c>
      <c r="D502" t="s">
        <v>1173</v>
      </c>
      <c r="E502" t="s">
        <v>19</v>
      </c>
      <c r="F502" t="s">
        <v>1174</v>
      </c>
      <c r="G502" t="s">
        <v>1175</v>
      </c>
      <c r="H502" t="str">
        <f>'Huong dan giao do an'!$B$14</f>
        <v>5 SV (vai trò chính): 1 PM/Scrum Master kiêm Integration; 2 BA/PO; 3 UI-UX + Frontend; 4 Backend/API + DevOps; 5 Database + QA/Tester. Mỗi SV có nhiệm vụ phụ và minh chứng cá nhân.</v>
      </c>
      <c r="I502" t="s">
        <v>22</v>
      </c>
      <c r="J502" t="s">
        <v>1176</v>
      </c>
      <c r="K502" t="str">
        <f>IF(I502="Trung bình",'Huong dan giao do an'!$B$8,IF(I502="Khá",'Huong dan giao do an'!$B$9,'Huong dan giao do an'!$B$10))</f>
        <v>Tối thiểu 4 actor; 10-14 use case; 8-12 bảng; 3 quy trình lõi; phân quyền chi tiết; 2 báo cáo; tích hợp 1 dịch vụ; &gt;=35 test case; CI/CD hoặc deploy cloud.</v>
      </c>
      <c r="L502" t="str">
        <f>'Huong dan giao do an'!$B$31</f>
        <v>Bắt buộc: Charter/PMP; SRS + scope/WBS; Gantt/baseline; effort-cost budget; RACI/timesheet; quality-test-defect; communication/minutes; risk register; procurement; change log; closure/lessons learned.</v>
      </c>
      <c r="M502" t="str">
        <f>'Huong dan giao do an'!$B$33</f>
        <v>Tuần 1: 07.09–13.09.2026; Tuần 2: 14.09–20.09.2026; Tuần 3: 21.09–27.09.2026; Tuần 4: 28.09–04.10.2026; Tuần 5: 05.10–11.10.2026; Tuần 6: 12.10–18.10.2026; Tuần 7: 19.10–25.10.2026; Tuần 8: 26.10–01.11.2026.</v>
      </c>
      <c r="N5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2" s="17" t="str">
        <f t="shared" si="7"/>
        <v>Còn trống</v>
      </c>
    </row>
    <row r="503" spans="1:16" x14ac:dyDescent="0.3">
      <c r="A503">
        <v>502</v>
      </c>
      <c r="B503" t="s">
        <v>1171</v>
      </c>
      <c r="C503" t="s">
        <v>1177</v>
      </c>
      <c r="D503" t="s">
        <v>1178</v>
      </c>
      <c r="E503" t="s">
        <v>26</v>
      </c>
      <c r="F503" t="s">
        <v>1179</v>
      </c>
      <c r="G503" t="s">
        <v>1180</v>
      </c>
      <c r="H503" t="str">
        <f>'Huong dan giao do an'!$B$14</f>
        <v>5 SV (vai trò chính): 1 PM/Scrum Master kiêm Integration; 2 BA/PO; 3 UI-UX + Frontend; 4 Backend/API + DevOps; 5 Database + QA/Tester. Mỗi SV có nhiệm vụ phụ và minh chứng cá nhân.</v>
      </c>
      <c r="I503" t="s">
        <v>29</v>
      </c>
      <c r="J503" t="s">
        <v>1181</v>
      </c>
      <c r="K503" t="str">
        <f>IF(I503="Trung bình",'Huong dan giao do an'!$B$8,IF(I503="Khá",'Huong dan giao do an'!$B$9,'Huong dan giao do an'!$B$10))</f>
        <v>Tối thiểu 5 actor; 14-18 use case; 10-15 bảng; 4 quy trình; tích hợp ngoài/realtime hoặc xử lý nâng cao; 3 báo cáo; &gt;=45 test case; logging, backup và deploy.</v>
      </c>
      <c r="L503" t="str">
        <f>'Huong dan giao do an'!$B$31</f>
        <v>Bắt buộc: Charter/PMP; SRS + scope/WBS; Gantt/baseline; effort-cost budget; RACI/timesheet; quality-test-defect; communication/minutes; risk register; procurement; change log; closure/lessons learned.</v>
      </c>
      <c r="M503" t="str">
        <f>'Huong dan giao do an'!$B$33</f>
        <v>Tuần 1: 07.09–13.09.2026; Tuần 2: 14.09–20.09.2026; Tuần 3: 21.09–27.09.2026; Tuần 4: 28.09–04.10.2026; Tuần 5: 05.10–11.10.2026; Tuần 6: 12.10–18.10.2026; Tuần 7: 19.10–25.10.2026; Tuần 8: 26.10–01.11.2026.</v>
      </c>
      <c r="N5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3" s="17" t="str">
        <f t="shared" si="7"/>
        <v>Còn trống</v>
      </c>
    </row>
    <row r="504" spans="1:16" x14ac:dyDescent="0.3">
      <c r="A504">
        <v>503</v>
      </c>
      <c r="B504" t="s">
        <v>1171</v>
      </c>
      <c r="C504" t="s">
        <v>1182</v>
      </c>
      <c r="D504" t="s">
        <v>1183</v>
      </c>
      <c r="E504" t="s">
        <v>33</v>
      </c>
      <c r="F504" t="s">
        <v>1184</v>
      </c>
      <c r="G504" t="s">
        <v>1185</v>
      </c>
      <c r="H504" t="str">
        <f>'Huong dan giao do an'!$B$14</f>
        <v>5 SV (vai trò chính): 1 PM/Scrum Master kiêm Integration; 2 BA/PO; 3 UI-UX + Frontend; 4 Backend/API + DevOps; 5 Database + QA/Tester. Mỗi SV có nhiệm vụ phụ và minh chứng cá nhân.</v>
      </c>
      <c r="I504" t="s">
        <v>36</v>
      </c>
      <c r="J504" t="s">
        <v>1186</v>
      </c>
      <c r="K504" t="str">
        <f>IF(I504="Trung bình",'Huong dan giao do an'!$B$8,IF(I504="Khá",'Huong dan giao do an'!$B$9,'Huong dan giao do an'!$B$10))</f>
        <v>Tối thiểu 3 actor; 8-10 use case; 6-8 bảng dữ liệu; 2 quy trình lõi; đăng nhập/RBAC; 1 dashboard; 1 báo cáo; &gt;=25 test case; triển khai bản demo.</v>
      </c>
      <c r="L504" t="str">
        <f>'Huong dan giao do an'!$B$31</f>
        <v>Bắt buộc: Charter/PMP; SRS + scope/WBS; Gantt/baseline; effort-cost budget; RACI/timesheet; quality-test-defect; communication/minutes; risk register; procurement; change log; closure/lessons learned.</v>
      </c>
      <c r="M504" t="str">
        <f>'Huong dan giao do an'!$B$33</f>
        <v>Tuần 1: 07.09–13.09.2026; Tuần 2: 14.09–20.09.2026; Tuần 3: 21.09–27.09.2026; Tuần 4: 28.09–04.10.2026; Tuần 5: 05.10–11.10.2026; Tuần 6: 12.10–18.10.2026; Tuần 7: 19.10–25.10.2026; Tuần 8: 26.10–01.11.2026.</v>
      </c>
      <c r="N5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4" s="17" t="str">
        <f t="shared" si="7"/>
        <v>Còn trống</v>
      </c>
    </row>
    <row r="505" spans="1:16" x14ac:dyDescent="0.3">
      <c r="A505">
        <v>504</v>
      </c>
      <c r="B505" t="s">
        <v>1171</v>
      </c>
      <c r="C505" t="s">
        <v>1187</v>
      </c>
      <c r="D505" t="s">
        <v>1188</v>
      </c>
      <c r="E505" t="s">
        <v>40</v>
      </c>
      <c r="F505" t="s">
        <v>1189</v>
      </c>
      <c r="G505" t="s">
        <v>1190</v>
      </c>
      <c r="H505" t="str">
        <f>'Huong dan giao do an'!$B$14</f>
        <v>5 SV (vai trò chính): 1 PM/Scrum Master kiêm Integration; 2 BA/PO; 3 UI-UX + Frontend; 4 Backend/API + DevOps; 5 Database + QA/Tester. Mỗi SV có nhiệm vụ phụ và minh chứng cá nhân.</v>
      </c>
      <c r="I505" t="s">
        <v>22</v>
      </c>
      <c r="J505" t="s">
        <v>1176</v>
      </c>
      <c r="K505" t="str">
        <f>IF(I505="Trung bình",'Huong dan giao do an'!$B$8,IF(I505="Khá",'Huong dan giao do an'!$B$9,'Huong dan giao do an'!$B$10))</f>
        <v>Tối thiểu 4 actor; 10-14 use case; 8-12 bảng; 3 quy trình lõi; phân quyền chi tiết; 2 báo cáo; tích hợp 1 dịch vụ; &gt;=35 test case; CI/CD hoặc deploy cloud.</v>
      </c>
      <c r="L505" t="str">
        <f>'Huong dan giao do an'!$B$31</f>
        <v>Bắt buộc: Charter/PMP; SRS + scope/WBS; Gantt/baseline; effort-cost budget; RACI/timesheet; quality-test-defect; communication/minutes; risk register; procurement; change log; closure/lessons learned.</v>
      </c>
      <c r="M505" t="str">
        <f>'Huong dan giao do an'!$B$33</f>
        <v>Tuần 1: 07.09–13.09.2026; Tuần 2: 14.09–20.09.2026; Tuần 3: 21.09–27.09.2026; Tuần 4: 28.09–04.10.2026; Tuần 5: 05.10–11.10.2026; Tuần 6: 12.10–18.10.2026; Tuần 7: 19.10–25.10.2026; Tuần 8: 26.10–01.11.2026.</v>
      </c>
      <c r="N5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5" s="17" t="str">
        <f t="shared" si="7"/>
        <v>Còn trống</v>
      </c>
    </row>
    <row r="506" spans="1:16" x14ac:dyDescent="0.3">
      <c r="A506">
        <v>505</v>
      </c>
      <c r="B506" t="s">
        <v>1171</v>
      </c>
      <c r="C506" t="s">
        <v>1191</v>
      </c>
      <c r="D506" t="s">
        <v>1192</v>
      </c>
      <c r="E506" t="s">
        <v>45</v>
      </c>
      <c r="F506" t="s">
        <v>1193</v>
      </c>
      <c r="G506" t="s">
        <v>1194</v>
      </c>
      <c r="H506" t="str">
        <f>'Huong dan giao do an'!$B$14</f>
        <v>5 SV (vai trò chính): 1 PM/Scrum Master kiêm Integration; 2 BA/PO; 3 UI-UX + Frontend; 4 Backend/API + DevOps; 5 Database + QA/Tester. Mỗi SV có nhiệm vụ phụ và minh chứng cá nhân.</v>
      </c>
      <c r="I506" t="s">
        <v>29</v>
      </c>
      <c r="J506" t="s">
        <v>1181</v>
      </c>
      <c r="K506" t="str">
        <f>IF(I506="Trung bình",'Huong dan giao do an'!$B$8,IF(I506="Khá",'Huong dan giao do an'!$B$9,'Huong dan giao do an'!$B$10))</f>
        <v>Tối thiểu 5 actor; 14-18 use case; 10-15 bảng; 4 quy trình; tích hợp ngoài/realtime hoặc xử lý nâng cao; 3 báo cáo; &gt;=45 test case; logging, backup và deploy.</v>
      </c>
      <c r="L506" t="str">
        <f>'Huong dan giao do an'!$B$31</f>
        <v>Bắt buộc: Charter/PMP; SRS + scope/WBS; Gantt/baseline; effort-cost budget; RACI/timesheet; quality-test-defect; communication/minutes; risk register; procurement; change log; closure/lessons learned.</v>
      </c>
      <c r="M506" t="str">
        <f>'Huong dan giao do an'!$B$33</f>
        <v>Tuần 1: 07.09–13.09.2026; Tuần 2: 14.09–20.09.2026; Tuần 3: 21.09–27.09.2026; Tuần 4: 28.09–04.10.2026; Tuần 5: 05.10–11.10.2026; Tuần 6: 12.10–18.10.2026; Tuần 7: 19.10–25.10.2026; Tuần 8: 26.10–01.11.2026.</v>
      </c>
      <c r="N5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6" s="17" t="str">
        <f t="shared" si="7"/>
        <v>Còn trống</v>
      </c>
    </row>
    <row r="507" spans="1:16" x14ac:dyDescent="0.3">
      <c r="A507">
        <v>506</v>
      </c>
      <c r="B507" t="s">
        <v>1171</v>
      </c>
      <c r="C507" t="s">
        <v>1195</v>
      </c>
      <c r="D507" t="s">
        <v>1196</v>
      </c>
      <c r="E507" t="s">
        <v>19</v>
      </c>
      <c r="F507" t="s">
        <v>1174</v>
      </c>
      <c r="G507" t="s">
        <v>1197</v>
      </c>
      <c r="H507" t="str">
        <f>'Huong dan giao do an'!$B$14</f>
        <v>5 SV (vai trò chính): 1 PM/Scrum Master kiêm Integration; 2 BA/PO; 3 UI-UX + Frontend; 4 Backend/API + DevOps; 5 Database + QA/Tester. Mỗi SV có nhiệm vụ phụ và minh chứng cá nhân.</v>
      </c>
      <c r="I507" t="s">
        <v>36</v>
      </c>
      <c r="J507" t="s">
        <v>1186</v>
      </c>
      <c r="K507" t="str">
        <f>IF(I507="Trung bình",'Huong dan giao do an'!$B$8,IF(I507="Khá",'Huong dan giao do an'!$B$9,'Huong dan giao do an'!$B$10))</f>
        <v>Tối thiểu 3 actor; 8-10 use case; 6-8 bảng dữ liệu; 2 quy trình lõi; đăng nhập/RBAC; 1 dashboard; 1 báo cáo; &gt;=25 test case; triển khai bản demo.</v>
      </c>
      <c r="L507" t="str">
        <f>'Huong dan giao do an'!$B$31</f>
        <v>Bắt buộc: Charter/PMP; SRS + scope/WBS; Gantt/baseline; effort-cost budget; RACI/timesheet; quality-test-defect; communication/minutes; risk register; procurement; change log; closure/lessons learned.</v>
      </c>
      <c r="M507" t="str">
        <f>'Huong dan giao do an'!$B$33</f>
        <v>Tuần 1: 07.09–13.09.2026; Tuần 2: 14.09–20.09.2026; Tuần 3: 21.09–27.09.2026; Tuần 4: 28.09–04.10.2026; Tuần 5: 05.10–11.10.2026; Tuần 6: 12.10–18.10.2026; Tuần 7: 19.10–25.10.2026; Tuần 8: 26.10–01.11.2026.</v>
      </c>
      <c r="N5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7" s="17" t="str">
        <f t="shared" si="7"/>
        <v>Còn trống</v>
      </c>
    </row>
    <row r="508" spans="1:16" x14ac:dyDescent="0.3">
      <c r="A508">
        <v>507</v>
      </c>
      <c r="B508" t="s">
        <v>1171</v>
      </c>
      <c r="C508" t="s">
        <v>1198</v>
      </c>
      <c r="D508" t="s">
        <v>1199</v>
      </c>
      <c r="E508" t="s">
        <v>26</v>
      </c>
      <c r="F508" t="s">
        <v>1179</v>
      </c>
      <c r="G508" t="s">
        <v>1200</v>
      </c>
      <c r="H508" t="str">
        <f>'Huong dan giao do an'!$B$14</f>
        <v>5 SV (vai trò chính): 1 PM/Scrum Master kiêm Integration; 2 BA/PO; 3 UI-UX + Frontend; 4 Backend/API + DevOps; 5 Database + QA/Tester. Mỗi SV có nhiệm vụ phụ và minh chứng cá nhân.</v>
      </c>
      <c r="I508" t="s">
        <v>22</v>
      </c>
      <c r="J508" t="s">
        <v>1176</v>
      </c>
      <c r="K508" t="str">
        <f>IF(I508="Trung bình",'Huong dan giao do an'!$B$8,IF(I508="Khá",'Huong dan giao do an'!$B$9,'Huong dan giao do an'!$B$10))</f>
        <v>Tối thiểu 4 actor; 10-14 use case; 8-12 bảng; 3 quy trình lõi; phân quyền chi tiết; 2 báo cáo; tích hợp 1 dịch vụ; &gt;=35 test case; CI/CD hoặc deploy cloud.</v>
      </c>
      <c r="L508" t="str">
        <f>'Huong dan giao do an'!$B$31</f>
        <v>Bắt buộc: Charter/PMP; SRS + scope/WBS; Gantt/baseline; effort-cost budget; RACI/timesheet; quality-test-defect; communication/minutes; risk register; procurement; change log; closure/lessons learned.</v>
      </c>
      <c r="M508" t="str">
        <f>'Huong dan giao do an'!$B$33</f>
        <v>Tuần 1: 07.09–13.09.2026; Tuần 2: 14.09–20.09.2026; Tuần 3: 21.09–27.09.2026; Tuần 4: 28.09–04.10.2026; Tuần 5: 05.10–11.10.2026; Tuần 6: 12.10–18.10.2026; Tuần 7: 19.10–25.10.2026; Tuần 8: 26.10–01.11.2026.</v>
      </c>
      <c r="N5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8" s="17" t="str">
        <f t="shared" si="7"/>
        <v>Còn trống</v>
      </c>
    </row>
    <row r="509" spans="1:16" x14ac:dyDescent="0.3">
      <c r="A509">
        <v>508</v>
      </c>
      <c r="B509" t="s">
        <v>1171</v>
      </c>
      <c r="C509" t="s">
        <v>1201</v>
      </c>
      <c r="D509" t="s">
        <v>1202</v>
      </c>
      <c r="E509" t="s">
        <v>33</v>
      </c>
      <c r="F509" t="s">
        <v>1184</v>
      </c>
      <c r="G509" t="s">
        <v>1203</v>
      </c>
      <c r="H509" t="str">
        <f>'Huong dan giao do an'!$B$14</f>
        <v>5 SV (vai trò chính): 1 PM/Scrum Master kiêm Integration; 2 BA/PO; 3 UI-UX + Frontend; 4 Backend/API + DevOps; 5 Database + QA/Tester. Mỗi SV có nhiệm vụ phụ và minh chứng cá nhân.</v>
      </c>
      <c r="I509" t="s">
        <v>29</v>
      </c>
      <c r="J509" t="s">
        <v>1181</v>
      </c>
      <c r="K509" t="str">
        <f>IF(I509="Trung bình",'Huong dan giao do an'!$B$8,IF(I509="Khá",'Huong dan giao do an'!$B$9,'Huong dan giao do an'!$B$10))</f>
        <v>Tối thiểu 5 actor; 14-18 use case; 10-15 bảng; 4 quy trình; tích hợp ngoài/realtime hoặc xử lý nâng cao; 3 báo cáo; &gt;=45 test case; logging, backup và deploy.</v>
      </c>
      <c r="L509" t="str">
        <f>'Huong dan giao do an'!$B$31</f>
        <v>Bắt buộc: Charter/PMP; SRS + scope/WBS; Gantt/baseline; effort-cost budget; RACI/timesheet; quality-test-defect; communication/minutes; risk register; procurement; change log; closure/lessons learned.</v>
      </c>
      <c r="M509" t="str">
        <f>'Huong dan giao do an'!$B$33</f>
        <v>Tuần 1: 07.09–13.09.2026; Tuần 2: 14.09–20.09.2026; Tuần 3: 21.09–27.09.2026; Tuần 4: 28.09–04.10.2026; Tuần 5: 05.10–11.10.2026; Tuần 6: 12.10–18.10.2026; Tuần 7: 19.10–25.10.2026; Tuần 8: 26.10–01.11.2026.</v>
      </c>
      <c r="N5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09" s="17" t="str">
        <f t="shared" si="7"/>
        <v>Còn trống</v>
      </c>
    </row>
    <row r="510" spans="1:16" x14ac:dyDescent="0.3">
      <c r="A510">
        <v>509</v>
      </c>
      <c r="B510" t="s">
        <v>1171</v>
      </c>
      <c r="C510" t="s">
        <v>1204</v>
      </c>
      <c r="D510" t="s">
        <v>1205</v>
      </c>
      <c r="E510" t="s">
        <v>40</v>
      </c>
      <c r="F510" t="s">
        <v>1189</v>
      </c>
      <c r="G510" t="s">
        <v>1206</v>
      </c>
      <c r="H510" t="str">
        <f>'Huong dan giao do an'!$B$14</f>
        <v>5 SV (vai trò chính): 1 PM/Scrum Master kiêm Integration; 2 BA/PO; 3 UI-UX + Frontend; 4 Backend/API + DevOps; 5 Database + QA/Tester. Mỗi SV có nhiệm vụ phụ và minh chứng cá nhân.</v>
      </c>
      <c r="I510" t="s">
        <v>36</v>
      </c>
      <c r="J510" t="s">
        <v>1186</v>
      </c>
      <c r="K510" t="str">
        <f>IF(I510="Trung bình",'Huong dan giao do an'!$B$8,IF(I510="Khá",'Huong dan giao do an'!$B$9,'Huong dan giao do an'!$B$10))</f>
        <v>Tối thiểu 3 actor; 8-10 use case; 6-8 bảng dữ liệu; 2 quy trình lõi; đăng nhập/RBAC; 1 dashboard; 1 báo cáo; &gt;=25 test case; triển khai bản demo.</v>
      </c>
      <c r="L510" t="str">
        <f>'Huong dan giao do an'!$B$31</f>
        <v>Bắt buộc: Charter/PMP; SRS + scope/WBS; Gantt/baseline; effort-cost budget; RACI/timesheet; quality-test-defect; communication/minutes; risk register; procurement; change log; closure/lessons learned.</v>
      </c>
      <c r="M510" t="str">
        <f>'Huong dan giao do an'!$B$33</f>
        <v>Tuần 1: 07.09–13.09.2026; Tuần 2: 14.09–20.09.2026; Tuần 3: 21.09–27.09.2026; Tuần 4: 28.09–04.10.2026; Tuần 5: 05.10–11.10.2026; Tuần 6: 12.10–18.10.2026; Tuần 7: 19.10–25.10.2026; Tuần 8: 26.10–01.11.2026.</v>
      </c>
      <c r="N5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0" s="17" t="str">
        <f t="shared" si="7"/>
        <v>Còn trống</v>
      </c>
    </row>
    <row r="511" spans="1:16" x14ac:dyDescent="0.3">
      <c r="A511">
        <v>510</v>
      </c>
      <c r="B511" t="s">
        <v>1171</v>
      </c>
      <c r="C511" t="s">
        <v>1207</v>
      </c>
      <c r="D511" t="s">
        <v>1208</v>
      </c>
      <c r="E511" t="s">
        <v>45</v>
      </c>
      <c r="F511" t="s">
        <v>1193</v>
      </c>
      <c r="G511" t="s">
        <v>1209</v>
      </c>
      <c r="H511" t="str">
        <f>'Huong dan giao do an'!$B$14</f>
        <v>5 SV (vai trò chính): 1 PM/Scrum Master kiêm Integration; 2 BA/PO; 3 UI-UX + Frontend; 4 Backend/API + DevOps; 5 Database + QA/Tester. Mỗi SV có nhiệm vụ phụ và minh chứng cá nhân.</v>
      </c>
      <c r="I511" t="s">
        <v>22</v>
      </c>
      <c r="J511" t="s">
        <v>1176</v>
      </c>
      <c r="K511" t="str">
        <f>IF(I511="Trung bình",'Huong dan giao do an'!$B$8,IF(I511="Khá",'Huong dan giao do an'!$B$9,'Huong dan giao do an'!$B$10))</f>
        <v>Tối thiểu 4 actor; 10-14 use case; 8-12 bảng; 3 quy trình lõi; phân quyền chi tiết; 2 báo cáo; tích hợp 1 dịch vụ; &gt;=35 test case; CI/CD hoặc deploy cloud.</v>
      </c>
      <c r="L511" t="str">
        <f>'Huong dan giao do an'!$B$31</f>
        <v>Bắt buộc: Charter/PMP; SRS + scope/WBS; Gantt/baseline; effort-cost budget; RACI/timesheet; quality-test-defect; communication/minutes; risk register; procurement; change log; closure/lessons learned.</v>
      </c>
      <c r="M511" t="str">
        <f>'Huong dan giao do an'!$B$33</f>
        <v>Tuần 1: 07.09–13.09.2026; Tuần 2: 14.09–20.09.2026; Tuần 3: 21.09–27.09.2026; Tuần 4: 28.09–04.10.2026; Tuần 5: 05.10–11.10.2026; Tuần 6: 12.10–18.10.2026; Tuần 7: 19.10–25.10.2026; Tuần 8: 26.10–01.11.2026.</v>
      </c>
      <c r="N5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1" s="17" t="str">
        <f t="shared" si="7"/>
        <v>Còn trống</v>
      </c>
    </row>
    <row r="512" spans="1:16" x14ac:dyDescent="0.3">
      <c r="A512">
        <v>511</v>
      </c>
      <c r="B512" t="s">
        <v>1171</v>
      </c>
      <c r="C512" t="s">
        <v>1210</v>
      </c>
      <c r="D512" t="s">
        <v>1211</v>
      </c>
      <c r="E512" t="s">
        <v>19</v>
      </c>
      <c r="F512" t="s">
        <v>1174</v>
      </c>
      <c r="G512" t="s">
        <v>1212</v>
      </c>
      <c r="H512" t="str">
        <f>'Huong dan giao do an'!$B$14</f>
        <v>5 SV (vai trò chính): 1 PM/Scrum Master kiêm Integration; 2 BA/PO; 3 UI-UX + Frontend; 4 Backend/API + DevOps; 5 Database + QA/Tester. Mỗi SV có nhiệm vụ phụ và minh chứng cá nhân.</v>
      </c>
      <c r="I512" t="s">
        <v>29</v>
      </c>
      <c r="J512" t="s">
        <v>1181</v>
      </c>
      <c r="K512" t="str">
        <f>IF(I512="Trung bình",'Huong dan giao do an'!$B$8,IF(I512="Khá",'Huong dan giao do an'!$B$9,'Huong dan giao do an'!$B$10))</f>
        <v>Tối thiểu 5 actor; 14-18 use case; 10-15 bảng; 4 quy trình; tích hợp ngoài/realtime hoặc xử lý nâng cao; 3 báo cáo; &gt;=45 test case; logging, backup và deploy.</v>
      </c>
      <c r="L512" t="str">
        <f>'Huong dan giao do an'!$B$31</f>
        <v>Bắt buộc: Charter/PMP; SRS + scope/WBS; Gantt/baseline; effort-cost budget; RACI/timesheet; quality-test-defect; communication/minutes; risk register; procurement; change log; closure/lessons learned.</v>
      </c>
      <c r="M512" t="str">
        <f>'Huong dan giao do an'!$B$33</f>
        <v>Tuần 1: 07.09–13.09.2026; Tuần 2: 14.09–20.09.2026; Tuần 3: 21.09–27.09.2026; Tuần 4: 28.09–04.10.2026; Tuần 5: 05.10–11.10.2026; Tuần 6: 12.10–18.10.2026; Tuần 7: 19.10–25.10.2026; Tuần 8: 26.10–01.11.2026.</v>
      </c>
      <c r="N5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2" s="17" t="str">
        <f t="shared" si="7"/>
        <v>Còn trống</v>
      </c>
    </row>
    <row r="513" spans="1:16" x14ac:dyDescent="0.3">
      <c r="A513">
        <v>512</v>
      </c>
      <c r="B513" t="s">
        <v>1171</v>
      </c>
      <c r="C513" t="s">
        <v>1213</v>
      </c>
      <c r="D513" t="s">
        <v>1214</v>
      </c>
      <c r="E513" t="s">
        <v>26</v>
      </c>
      <c r="F513" t="s">
        <v>1179</v>
      </c>
      <c r="G513" t="s">
        <v>1215</v>
      </c>
      <c r="H513" t="str">
        <f>'Huong dan giao do an'!$B$14</f>
        <v>5 SV (vai trò chính): 1 PM/Scrum Master kiêm Integration; 2 BA/PO; 3 UI-UX + Frontend; 4 Backend/API + DevOps; 5 Database + QA/Tester. Mỗi SV có nhiệm vụ phụ và minh chứng cá nhân.</v>
      </c>
      <c r="I513" t="s">
        <v>36</v>
      </c>
      <c r="J513" t="s">
        <v>1186</v>
      </c>
      <c r="K513" t="str">
        <f>IF(I513="Trung bình",'Huong dan giao do an'!$B$8,IF(I513="Khá",'Huong dan giao do an'!$B$9,'Huong dan giao do an'!$B$10))</f>
        <v>Tối thiểu 3 actor; 8-10 use case; 6-8 bảng dữ liệu; 2 quy trình lõi; đăng nhập/RBAC; 1 dashboard; 1 báo cáo; &gt;=25 test case; triển khai bản demo.</v>
      </c>
      <c r="L513" t="str">
        <f>'Huong dan giao do an'!$B$31</f>
        <v>Bắt buộc: Charter/PMP; SRS + scope/WBS; Gantt/baseline; effort-cost budget; RACI/timesheet; quality-test-defect; communication/minutes; risk register; procurement; change log; closure/lessons learned.</v>
      </c>
      <c r="M513" t="str">
        <f>'Huong dan giao do an'!$B$33</f>
        <v>Tuần 1: 07.09–13.09.2026; Tuần 2: 14.09–20.09.2026; Tuần 3: 21.09–27.09.2026; Tuần 4: 28.09–04.10.2026; Tuần 5: 05.10–11.10.2026; Tuần 6: 12.10–18.10.2026; Tuần 7: 19.10–25.10.2026; Tuần 8: 26.10–01.11.2026.</v>
      </c>
      <c r="N5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3" s="17" t="str">
        <f t="shared" si="7"/>
        <v>Còn trống</v>
      </c>
    </row>
    <row r="514" spans="1:16" x14ac:dyDescent="0.3">
      <c r="A514">
        <v>513</v>
      </c>
      <c r="B514" t="s">
        <v>1171</v>
      </c>
      <c r="C514" t="s">
        <v>1216</v>
      </c>
      <c r="D514" t="s">
        <v>1217</v>
      </c>
      <c r="E514" t="s">
        <v>33</v>
      </c>
      <c r="F514" t="s">
        <v>1184</v>
      </c>
      <c r="G514" t="s">
        <v>1218</v>
      </c>
      <c r="H514" t="str">
        <f>'Huong dan giao do an'!$B$14</f>
        <v>5 SV (vai trò chính): 1 PM/Scrum Master kiêm Integration; 2 BA/PO; 3 UI-UX + Frontend; 4 Backend/API + DevOps; 5 Database + QA/Tester. Mỗi SV có nhiệm vụ phụ và minh chứng cá nhân.</v>
      </c>
      <c r="I514" t="s">
        <v>22</v>
      </c>
      <c r="J514" t="s">
        <v>1176</v>
      </c>
      <c r="K514" t="str">
        <f>IF(I514="Trung bình",'Huong dan giao do an'!$B$8,IF(I514="Khá",'Huong dan giao do an'!$B$9,'Huong dan giao do an'!$B$10))</f>
        <v>Tối thiểu 4 actor; 10-14 use case; 8-12 bảng; 3 quy trình lõi; phân quyền chi tiết; 2 báo cáo; tích hợp 1 dịch vụ; &gt;=35 test case; CI/CD hoặc deploy cloud.</v>
      </c>
      <c r="L514" t="str">
        <f>'Huong dan giao do an'!$B$31</f>
        <v>Bắt buộc: Charter/PMP; SRS + scope/WBS; Gantt/baseline; effort-cost budget; RACI/timesheet; quality-test-defect; communication/minutes; risk register; procurement; change log; closure/lessons learned.</v>
      </c>
      <c r="M514" t="str">
        <f>'Huong dan giao do an'!$B$33</f>
        <v>Tuần 1: 07.09–13.09.2026; Tuần 2: 14.09–20.09.2026; Tuần 3: 21.09–27.09.2026; Tuần 4: 28.09–04.10.2026; Tuần 5: 05.10–11.10.2026; Tuần 6: 12.10–18.10.2026; Tuần 7: 19.10–25.10.2026; Tuần 8: 26.10–01.11.2026.</v>
      </c>
      <c r="N5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4" s="17" t="str">
        <f t="shared" si="7"/>
        <v>Còn trống</v>
      </c>
    </row>
    <row r="515" spans="1:16" x14ac:dyDescent="0.3">
      <c r="A515">
        <v>514</v>
      </c>
      <c r="B515" t="s">
        <v>1171</v>
      </c>
      <c r="C515" t="s">
        <v>1219</v>
      </c>
      <c r="D515" t="s">
        <v>1220</v>
      </c>
      <c r="E515" t="s">
        <v>40</v>
      </c>
      <c r="F515" t="s">
        <v>1189</v>
      </c>
      <c r="G515" t="s">
        <v>1221</v>
      </c>
      <c r="H515" t="str">
        <f>'Huong dan giao do an'!$B$14</f>
        <v>5 SV (vai trò chính): 1 PM/Scrum Master kiêm Integration; 2 BA/PO; 3 UI-UX + Frontend; 4 Backend/API + DevOps; 5 Database + QA/Tester. Mỗi SV có nhiệm vụ phụ và minh chứng cá nhân.</v>
      </c>
      <c r="I515" t="s">
        <v>29</v>
      </c>
      <c r="J515" t="s">
        <v>1181</v>
      </c>
      <c r="K515" t="str">
        <f>IF(I515="Trung bình",'Huong dan giao do an'!$B$8,IF(I515="Khá",'Huong dan giao do an'!$B$9,'Huong dan giao do an'!$B$10))</f>
        <v>Tối thiểu 5 actor; 14-18 use case; 10-15 bảng; 4 quy trình; tích hợp ngoài/realtime hoặc xử lý nâng cao; 3 báo cáo; &gt;=45 test case; logging, backup và deploy.</v>
      </c>
      <c r="L515" t="str">
        <f>'Huong dan giao do an'!$B$31</f>
        <v>Bắt buộc: Charter/PMP; SRS + scope/WBS; Gantt/baseline; effort-cost budget; RACI/timesheet; quality-test-defect; communication/minutes; risk register; procurement; change log; closure/lessons learned.</v>
      </c>
      <c r="M515" t="str">
        <f>'Huong dan giao do an'!$B$33</f>
        <v>Tuần 1: 07.09–13.09.2026; Tuần 2: 14.09–20.09.2026; Tuần 3: 21.09–27.09.2026; Tuần 4: 28.09–04.10.2026; Tuần 5: 05.10–11.10.2026; Tuần 6: 12.10–18.10.2026; Tuần 7: 19.10–25.10.2026; Tuần 8: 26.10–01.11.2026.</v>
      </c>
      <c r="N5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5" s="17" t="str">
        <f t="shared" ref="P515:P578" si="8">IF(O515="","Còn trống","Đã đăng ký")</f>
        <v>Còn trống</v>
      </c>
    </row>
    <row r="516" spans="1:16" x14ac:dyDescent="0.3">
      <c r="A516">
        <v>515</v>
      </c>
      <c r="B516" t="s">
        <v>1171</v>
      </c>
      <c r="C516" t="s">
        <v>1222</v>
      </c>
      <c r="D516" t="s">
        <v>1223</v>
      </c>
      <c r="E516" t="s">
        <v>45</v>
      </c>
      <c r="F516" t="s">
        <v>1193</v>
      </c>
      <c r="G516" t="s">
        <v>1224</v>
      </c>
      <c r="H516" t="str">
        <f>'Huong dan giao do an'!$B$14</f>
        <v>5 SV (vai trò chính): 1 PM/Scrum Master kiêm Integration; 2 BA/PO; 3 UI-UX + Frontend; 4 Backend/API + DevOps; 5 Database + QA/Tester. Mỗi SV có nhiệm vụ phụ và minh chứng cá nhân.</v>
      </c>
      <c r="I516" t="s">
        <v>36</v>
      </c>
      <c r="J516" t="s">
        <v>1186</v>
      </c>
      <c r="K516" t="str">
        <f>IF(I516="Trung bình",'Huong dan giao do an'!$B$8,IF(I516="Khá",'Huong dan giao do an'!$B$9,'Huong dan giao do an'!$B$10))</f>
        <v>Tối thiểu 3 actor; 8-10 use case; 6-8 bảng dữ liệu; 2 quy trình lõi; đăng nhập/RBAC; 1 dashboard; 1 báo cáo; &gt;=25 test case; triển khai bản demo.</v>
      </c>
      <c r="L516" t="str">
        <f>'Huong dan giao do an'!$B$31</f>
        <v>Bắt buộc: Charter/PMP; SRS + scope/WBS; Gantt/baseline; effort-cost budget; RACI/timesheet; quality-test-defect; communication/minutes; risk register; procurement; change log; closure/lessons learned.</v>
      </c>
      <c r="M516" t="str">
        <f>'Huong dan giao do an'!$B$33</f>
        <v>Tuần 1: 07.09–13.09.2026; Tuần 2: 14.09–20.09.2026; Tuần 3: 21.09–27.09.2026; Tuần 4: 28.09–04.10.2026; Tuần 5: 05.10–11.10.2026; Tuần 6: 12.10–18.10.2026; Tuần 7: 19.10–25.10.2026; Tuần 8: 26.10–01.11.2026.</v>
      </c>
      <c r="N5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6" s="17" t="str">
        <f t="shared" si="8"/>
        <v>Còn trống</v>
      </c>
    </row>
    <row r="517" spans="1:16" x14ac:dyDescent="0.3">
      <c r="A517">
        <v>516</v>
      </c>
      <c r="B517" t="s">
        <v>1171</v>
      </c>
      <c r="C517" t="s">
        <v>1225</v>
      </c>
      <c r="D517" t="s">
        <v>1226</v>
      </c>
      <c r="E517" t="s">
        <v>19</v>
      </c>
      <c r="F517" t="s">
        <v>1174</v>
      </c>
      <c r="G517" t="s">
        <v>1227</v>
      </c>
      <c r="H517" t="str">
        <f>'Huong dan giao do an'!$B$14</f>
        <v>5 SV (vai trò chính): 1 PM/Scrum Master kiêm Integration; 2 BA/PO; 3 UI-UX + Frontend; 4 Backend/API + DevOps; 5 Database + QA/Tester. Mỗi SV có nhiệm vụ phụ và minh chứng cá nhân.</v>
      </c>
      <c r="I517" t="s">
        <v>22</v>
      </c>
      <c r="J517" t="s">
        <v>1176</v>
      </c>
      <c r="K517" t="str">
        <f>IF(I517="Trung bình",'Huong dan giao do an'!$B$8,IF(I517="Khá",'Huong dan giao do an'!$B$9,'Huong dan giao do an'!$B$10))</f>
        <v>Tối thiểu 4 actor; 10-14 use case; 8-12 bảng; 3 quy trình lõi; phân quyền chi tiết; 2 báo cáo; tích hợp 1 dịch vụ; &gt;=35 test case; CI/CD hoặc deploy cloud.</v>
      </c>
      <c r="L517" t="str">
        <f>'Huong dan giao do an'!$B$31</f>
        <v>Bắt buộc: Charter/PMP; SRS + scope/WBS; Gantt/baseline; effort-cost budget; RACI/timesheet; quality-test-defect; communication/minutes; risk register; procurement; change log; closure/lessons learned.</v>
      </c>
      <c r="M517" t="str">
        <f>'Huong dan giao do an'!$B$33</f>
        <v>Tuần 1: 07.09–13.09.2026; Tuần 2: 14.09–20.09.2026; Tuần 3: 21.09–27.09.2026; Tuần 4: 28.09–04.10.2026; Tuần 5: 05.10–11.10.2026; Tuần 6: 12.10–18.10.2026; Tuần 7: 19.10–25.10.2026; Tuần 8: 26.10–01.11.2026.</v>
      </c>
      <c r="N5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7" s="17" t="str">
        <f t="shared" si="8"/>
        <v>Còn trống</v>
      </c>
    </row>
    <row r="518" spans="1:16" x14ac:dyDescent="0.3">
      <c r="A518">
        <v>517</v>
      </c>
      <c r="B518" t="s">
        <v>1171</v>
      </c>
      <c r="C518" t="s">
        <v>1228</v>
      </c>
      <c r="D518" t="s">
        <v>1229</v>
      </c>
      <c r="E518" t="s">
        <v>26</v>
      </c>
      <c r="F518" t="s">
        <v>1179</v>
      </c>
      <c r="G518" t="s">
        <v>1230</v>
      </c>
      <c r="H518" t="str">
        <f>'Huong dan giao do an'!$B$14</f>
        <v>5 SV (vai trò chính): 1 PM/Scrum Master kiêm Integration; 2 BA/PO; 3 UI-UX + Frontend; 4 Backend/API + DevOps; 5 Database + QA/Tester. Mỗi SV có nhiệm vụ phụ và minh chứng cá nhân.</v>
      </c>
      <c r="I518" t="s">
        <v>29</v>
      </c>
      <c r="J518" t="s">
        <v>1181</v>
      </c>
      <c r="K518" t="str">
        <f>IF(I518="Trung bình",'Huong dan giao do an'!$B$8,IF(I518="Khá",'Huong dan giao do an'!$B$9,'Huong dan giao do an'!$B$10))</f>
        <v>Tối thiểu 5 actor; 14-18 use case; 10-15 bảng; 4 quy trình; tích hợp ngoài/realtime hoặc xử lý nâng cao; 3 báo cáo; &gt;=45 test case; logging, backup và deploy.</v>
      </c>
      <c r="L518" t="str">
        <f>'Huong dan giao do an'!$B$31</f>
        <v>Bắt buộc: Charter/PMP; SRS + scope/WBS; Gantt/baseline; effort-cost budget; RACI/timesheet; quality-test-defect; communication/minutes; risk register; procurement; change log; closure/lessons learned.</v>
      </c>
      <c r="M518" t="str">
        <f>'Huong dan giao do an'!$B$33</f>
        <v>Tuần 1: 07.09–13.09.2026; Tuần 2: 14.09–20.09.2026; Tuần 3: 21.09–27.09.2026; Tuần 4: 28.09–04.10.2026; Tuần 5: 05.10–11.10.2026; Tuần 6: 12.10–18.10.2026; Tuần 7: 19.10–25.10.2026; Tuần 8: 26.10–01.11.2026.</v>
      </c>
      <c r="N5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8" s="17" t="str">
        <f t="shared" si="8"/>
        <v>Còn trống</v>
      </c>
    </row>
    <row r="519" spans="1:16" x14ac:dyDescent="0.3">
      <c r="A519">
        <v>518</v>
      </c>
      <c r="B519" t="s">
        <v>1171</v>
      </c>
      <c r="C519" t="s">
        <v>1231</v>
      </c>
      <c r="D519" t="s">
        <v>1232</v>
      </c>
      <c r="E519" t="s">
        <v>33</v>
      </c>
      <c r="F519" t="s">
        <v>1184</v>
      </c>
      <c r="G519" t="s">
        <v>1233</v>
      </c>
      <c r="H519" t="str">
        <f>'Huong dan giao do an'!$B$14</f>
        <v>5 SV (vai trò chính): 1 PM/Scrum Master kiêm Integration; 2 BA/PO; 3 UI-UX + Frontend; 4 Backend/API + DevOps; 5 Database + QA/Tester. Mỗi SV có nhiệm vụ phụ và minh chứng cá nhân.</v>
      </c>
      <c r="I519" t="s">
        <v>36</v>
      </c>
      <c r="J519" t="s">
        <v>1186</v>
      </c>
      <c r="K519" t="str">
        <f>IF(I519="Trung bình",'Huong dan giao do an'!$B$8,IF(I519="Khá",'Huong dan giao do an'!$B$9,'Huong dan giao do an'!$B$10))</f>
        <v>Tối thiểu 3 actor; 8-10 use case; 6-8 bảng dữ liệu; 2 quy trình lõi; đăng nhập/RBAC; 1 dashboard; 1 báo cáo; &gt;=25 test case; triển khai bản demo.</v>
      </c>
      <c r="L519" t="str">
        <f>'Huong dan giao do an'!$B$31</f>
        <v>Bắt buộc: Charter/PMP; SRS + scope/WBS; Gantt/baseline; effort-cost budget; RACI/timesheet; quality-test-defect; communication/minutes; risk register; procurement; change log; closure/lessons learned.</v>
      </c>
      <c r="M519" t="str">
        <f>'Huong dan giao do an'!$B$33</f>
        <v>Tuần 1: 07.09–13.09.2026; Tuần 2: 14.09–20.09.2026; Tuần 3: 21.09–27.09.2026; Tuần 4: 28.09–04.10.2026; Tuần 5: 05.10–11.10.2026; Tuần 6: 12.10–18.10.2026; Tuần 7: 19.10–25.10.2026; Tuần 8: 26.10–01.11.2026.</v>
      </c>
      <c r="N5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19" s="17" t="str">
        <f t="shared" si="8"/>
        <v>Còn trống</v>
      </c>
    </row>
    <row r="520" spans="1:16" x14ac:dyDescent="0.3">
      <c r="A520">
        <v>519</v>
      </c>
      <c r="B520" t="s">
        <v>1171</v>
      </c>
      <c r="C520" t="s">
        <v>1234</v>
      </c>
      <c r="D520" t="s">
        <v>1235</v>
      </c>
      <c r="E520" t="s">
        <v>40</v>
      </c>
      <c r="F520" t="s">
        <v>1189</v>
      </c>
      <c r="G520" t="s">
        <v>1236</v>
      </c>
      <c r="H520" t="str">
        <f>'Huong dan giao do an'!$B$14</f>
        <v>5 SV (vai trò chính): 1 PM/Scrum Master kiêm Integration; 2 BA/PO; 3 UI-UX + Frontend; 4 Backend/API + DevOps; 5 Database + QA/Tester. Mỗi SV có nhiệm vụ phụ và minh chứng cá nhân.</v>
      </c>
      <c r="I520" t="s">
        <v>22</v>
      </c>
      <c r="J520" t="s">
        <v>1176</v>
      </c>
      <c r="K520" t="str">
        <f>IF(I520="Trung bình",'Huong dan giao do an'!$B$8,IF(I520="Khá",'Huong dan giao do an'!$B$9,'Huong dan giao do an'!$B$10))</f>
        <v>Tối thiểu 4 actor; 10-14 use case; 8-12 bảng; 3 quy trình lõi; phân quyền chi tiết; 2 báo cáo; tích hợp 1 dịch vụ; &gt;=35 test case; CI/CD hoặc deploy cloud.</v>
      </c>
      <c r="L520" t="str">
        <f>'Huong dan giao do an'!$B$31</f>
        <v>Bắt buộc: Charter/PMP; SRS + scope/WBS; Gantt/baseline; effort-cost budget; RACI/timesheet; quality-test-defect; communication/minutes; risk register; procurement; change log; closure/lessons learned.</v>
      </c>
      <c r="M520" t="str">
        <f>'Huong dan giao do an'!$B$33</f>
        <v>Tuần 1: 07.09–13.09.2026; Tuần 2: 14.09–20.09.2026; Tuần 3: 21.09–27.09.2026; Tuần 4: 28.09–04.10.2026; Tuần 5: 05.10–11.10.2026; Tuần 6: 12.10–18.10.2026; Tuần 7: 19.10–25.10.2026; Tuần 8: 26.10–01.11.2026.</v>
      </c>
      <c r="N5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0" s="17" t="str">
        <f t="shared" si="8"/>
        <v>Còn trống</v>
      </c>
    </row>
    <row r="521" spans="1:16" x14ac:dyDescent="0.3">
      <c r="A521">
        <v>520</v>
      </c>
      <c r="B521" t="s">
        <v>1171</v>
      </c>
      <c r="C521" t="s">
        <v>1237</v>
      </c>
      <c r="D521" t="s">
        <v>1238</v>
      </c>
      <c r="E521" t="s">
        <v>45</v>
      </c>
      <c r="F521" t="s">
        <v>1193</v>
      </c>
      <c r="G521" t="s">
        <v>1239</v>
      </c>
      <c r="H521" t="str">
        <f>'Huong dan giao do an'!$B$14</f>
        <v>5 SV (vai trò chính): 1 PM/Scrum Master kiêm Integration; 2 BA/PO; 3 UI-UX + Frontend; 4 Backend/API + DevOps; 5 Database + QA/Tester. Mỗi SV có nhiệm vụ phụ và minh chứng cá nhân.</v>
      </c>
      <c r="I521" t="s">
        <v>29</v>
      </c>
      <c r="J521" t="s">
        <v>1181</v>
      </c>
      <c r="K521" t="str">
        <f>IF(I521="Trung bình",'Huong dan giao do an'!$B$8,IF(I521="Khá",'Huong dan giao do an'!$B$9,'Huong dan giao do an'!$B$10))</f>
        <v>Tối thiểu 5 actor; 14-18 use case; 10-15 bảng; 4 quy trình; tích hợp ngoài/realtime hoặc xử lý nâng cao; 3 báo cáo; &gt;=45 test case; logging, backup và deploy.</v>
      </c>
      <c r="L521" t="str">
        <f>'Huong dan giao do an'!$B$31</f>
        <v>Bắt buộc: Charter/PMP; SRS + scope/WBS; Gantt/baseline; effort-cost budget; RACI/timesheet; quality-test-defect; communication/minutes; risk register; procurement; change log; closure/lessons learned.</v>
      </c>
      <c r="M521" t="str">
        <f>'Huong dan giao do an'!$B$33</f>
        <v>Tuần 1: 07.09–13.09.2026; Tuần 2: 14.09–20.09.2026; Tuần 3: 21.09–27.09.2026; Tuần 4: 28.09–04.10.2026; Tuần 5: 05.10–11.10.2026; Tuần 6: 12.10–18.10.2026; Tuần 7: 19.10–25.10.2026; Tuần 8: 26.10–01.11.2026.</v>
      </c>
      <c r="N5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1" s="17" t="str">
        <f t="shared" si="8"/>
        <v>Còn trống</v>
      </c>
    </row>
    <row r="522" spans="1:16" x14ac:dyDescent="0.3">
      <c r="A522">
        <v>521</v>
      </c>
      <c r="B522" t="s">
        <v>1171</v>
      </c>
      <c r="C522" t="s">
        <v>1240</v>
      </c>
      <c r="D522" t="s">
        <v>1241</v>
      </c>
      <c r="E522" t="s">
        <v>19</v>
      </c>
      <c r="F522" t="s">
        <v>1174</v>
      </c>
      <c r="G522" t="s">
        <v>1175</v>
      </c>
      <c r="H522" t="str">
        <f>'Huong dan giao do an'!$B$14</f>
        <v>5 SV (vai trò chính): 1 PM/Scrum Master kiêm Integration; 2 BA/PO; 3 UI-UX + Frontend; 4 Backend/API + DevOps; 5 Database + QA/Tester. Mỗi SV có nhiệm vụ phụ và minh chứng cá nhân.</v>
      </c>
      <c r="I522" t="s">
        <v>22</v>
      </c>
      <c r="J522" t="s">
        <v>1176</v>
      </c>
      <c r="K522" t="str">
        <f>IF(I522="Trung bình",'Huong dan giao do an'!$B$8,IF(I522="Khá",'Huong dan giao do an'!$B$9,'Huong dan giao do an'!$B$10))</f>
        <v>Tối thiểu 4 actor; 10-14 use case; 8-12 bảng; 3 quy trình lõi; phân quyền chi tiết; 2 báo cáo; tích hợp 1 dịch vụ; &gt;=35 test case; CI/CD hoặc deploy cloud.</v>
      </c>
      <c r="L522" t="str">
        <f>'Huong dan giao do an'!$B$31</f>
        <v>Bắt buộc: Charter/PMP; SRS + scope/WBS; Gantt/baseline; effort-cost budget; RACI/timesheet; quality-test-defect; communication/minutes; risk register; procurement; change log; closure/lessons learned.</v>
      </c>
      <c r="M522" t="str">
        <f>'Huong dan giao do an'!$B$33</f>
        <v>Tuần 1: 07.09–13.09.2026; Tuần 2: 14.09–20.09.2026; Tuần 3: 21.09–27.09.2026; Tuần 4: 28.09–04.10.2026; Tuần 5: 05.10–11.10.2026; Tuần 6: 12.10–18.10.2026; Tuần 7: 19.10–25.10.2026; Tuần 8: 26.10–01.11.2026.</v>
      </c>
      <c r="N5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2" s="17" t="str">
        <f t="shared" si="8"/>
        <v>Còn trống</v>
      </c>
    </row>
    <row r="523" spans="1:16" x14ac:dyDescent="0.3">
      <c r="A523">
        <v>522</v>
      </c>
      <c r="B523" t="s">
        <v>1171</v>
      </c>
      <c r="C523" t="s">
        <v>1242</v>
      </c>
      <c r="D523" t="s">
        <v>1243</v>
      </c>
      <c r="E523" t="s">
        <v>26</v>
      </c>
      <c r="F523" t="s">
        <v>1179</v>
      </c>
      <c r="G523" t="s">
        <v>1180</v>
      </c>
      <c r="H523" t="str">
        <f>'Huong dan giao do an'!$B$14</f>
        <v>5 SV (vai trò chính): 1 PM/Scrum Master kiêm Integration; 2 BA/PO; 3 UI-UX + Frontend; 4 Backend/API + DevOps; 5 Database + QA/Tester. Mỗi SV có nhiệm vụ phụ và minh chứng cá nhân.</v>
      </c>
      <c r="I523" t="s">
        <v>29</v>
      </c>
      <c r="J523" t="s">
        <v>1181</v>
      </c>
      <c r="K523" t="str">
        <f>IF(I523="Trung bình",'Huong dan giao do an'!$B$8,IF(I523="Khá",'Huong dan giao do an'!$B$9,'Huong dan giao do an'!$B$10))</f>
        <v>Tối thiểu 5 actor; 14-18 use case; 10-15 bảng; 4 quy trình; tích hợp ngoài/realtime hoặc xử lý nâng cao; 3 báo cáo; &gt;=45 test case; logging, backup và deploy.</v>
      </c>
      <c r="L523" t="str">
        <f>'Huong dan giao do an'!$B$31</f>
        <v>Bắt buộc: Charter/PMP; SRS + scope/WBS; Gantt/baseline; effort-cost budget; RACI/timesheet; quality-test-defect; communication/minutes; risk register; procurement; change log; closure/lessons learned.</v>
      </c>
      <c r="M523" t="str">
        <f>'Huong dan giao do an'!$B$33</f>
        <v>Tuần 1: 07.09–13.09.2026; Tuần 2: 14.09–20.09.2026; Tuần 3: 21.09–27.09.2026; Tuần 4: 28.09–04.10.2026; Tuần 5: 05.10–11.10.2026; Tuần 6: 12.10–18.10.2026; Tuần 7: 19.10–25.10.2026; Tuần 8: 26.10–01.11.2026.</v>
      </c>
      <c r="N5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3" s="17" t="str">
        <f t="shared" si="8"/>
        <v>Còn trống</v>
      </c>
    </row>
    <row r="524" spans="1:16" x14ac:dyDescent="0.3">
      <c r="A524">
        <v>523</v>
      </c>
      <c r="B524" t="s">
        <v>1171</v>
      </c>
      <c r="C524" t="s">
        <v>1244</v>
      </c>
      <c r="D524" t="s">
        <v>1245</v>
      </c>
      <c r="E524" t="s">
        <v>33</v>
      </c>
      <c r="F524" t="s">
        <v>1184</v>
      </c>
      <c r="G524" t="s">
        <v>1185</v>
      </c>
      <c r="H524" t="str">
        <f>'Huong dan giao do an'!$B$14</f>
        <v>5 SV (vai trò chính): 1 PM/Scrum Master kiêm Integration; 2 BA/PO; 3 UI-UX + Frontend; 4 Backend/API + DevOps; 5 Database + QA/Tester. Mỗi SV có nhiệm vụ phụ và minh chứng cá nhân.</v>
      </c>
      <c r="I524" t="s">
        <v>36</v>
      </c>
      <c r="J524" t="s">
        <v>1186</v>
      </c>
      <c r="K524" t="str">
        <f>IF(I524="Trung bình",'Huong dan giao do an'!$B$8,IF(I524="Khá",'Huong dan giao do an'!$B$9,'Huong dan giao do an'!$B$10))</f>
        <v>Tối thiểu 3 actor; 8-10 use case; 6-8 bảng dữ liệu; 2 quy trình lõi; đăng nhập/RBAC; 1 dashboard; 1 báo cáo; &gt;=25 test case; triển khai bản demo.</v>
      </c>
      <c r="L524" t="str">
        <f>'Huong dan giao do an'!$B$31</f>
        <v>Bắt buộc: Charter/PMP; SRS + scope/WBS; Gantt/baseline; effort-cost budget; RACI/timesheet; quality-test-defect; communication/minutes; risk register; procurement; change log; closure/lessons learned.</v>
      </c>
      <c r="M524" t="str">
        <f>'Huong dan giao do an'!$B$33</f>
        <v>Tuần 1: 07.09–13.09.2026; Tuần 2: 14.09–20.09.2026; Tuần 3: 21.09–27.09.2026; Tuần 4: 28.09–04.10.2026; Tuần 5: 05.10–11.10.2026; Tuần 6: 12.10–18.10.2026; Tuần 7: 19.10–25.10.2026; Tuần 8: 26.10–01.11.2026.</v>
      </c>
      <c r="N5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4" s="17" t="str">
        <f t="shared" si="8"/>
        <v>Còn trống</v>
      </c>
    </row>
    <row r="525" spans="1:16" x14ac:dyDescent="0.3">
      <c r="A525">
        <v>524</v>
      </c>
      <c r="B525" t="s">
        <v>1171</v>
      </c>
      <c r="C525" t="s">
        <v>1246</v>
      </c>
      <c r="D525" t="s">
        <v>1247</v>
      </c>
      <c r="E525" t="s">
        <v>40</v>
      </c>
      <c r="F525" t="s">
        <v>1189</v>
      </c>
      <c r="G525" t="s">
        <v>1190</v>
      </c>
      <c r="H525" t="str">
        <f>'Huong dan giao do an'!$B$14</f>
        <v>5 SV (vai trò chính): 1 PM/Scrum Master kiêm Integration; 2 BA/PO; 3 UI-UX + Frontend; 4 Backend/API + DevOps; 5 Database + QA/Tester. Mỗi SV có nhiệm vụ phụ và minh chứng cá nhân.</v>
      </c>
      <c r="I525" t="s">
        <v>22</v>
      </c>
      <c r="J525" t="s">
        <v>1176</v>
      </c>
      <c r="K525" t="str">
        <f>IF(I525="Trung bình",'Huong dan giao do an'!$B$8,IF(I525="Khá",'Huong dan giao do an'!$B$9,'Huong dan giao do an'!$B$10))</f>
        <v>Tối thiểu 4 actor; 10-14 use case; 8-12 bảng; 3 quy trình lõi; phân quyền chi tiết; 2 báo cáo; tích hợp 1 dịch vụ; &gt;=35 test case; CI/CD hoặc deploy cloud.</v>
      </c>
      <c r="L525" t="str">
        <f>'Huong dan giao do an'!$B$31</f>
        <v>Bắt buộc: Charter/PMP; SRS + scope/WBS; Gantt/baseline; effort-cost budget; RACI/timesheet; quality-test-defect; communication/minutes; risk register; procurement; change log; closure/lessons learned.</v>
      </c>
      <c r="M525" t="str">
        <f>'Huong dan giao do an'!$B$33</f>
        <v>Tuần 1: 07.09–13.09.2026; Tuần 2: 14.09–20.09.2026; Tuần 3: 21.09–27.09.2026; Tuần 4: 28.09–04.10.2026; Tuần 5: 05.10–11.10.2026; Tuần 6: 12.10–18.10.2026; Tuần 7: 19.10–25.10.2026; Tuần 8: 26.10–01.11.2026.</v>
      </c>
      <c r="N5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5" s="17" t="str">
        <f t="shared" si="8"/>
        <v>Còn trống</v>
      </c>
    </row>
    <row r="526" spans="1:16" x14ac:dyDescent="0.3">
      <c r="A526">
        <v>525</v>
      </c>
      <c r="B526" t="s">
        <v>1171</v>
      </c>
      <c r="C526" t="s">
        <v>1248</v>
      </c>
      <c r="D526" t="s">
        <v>1249</v>
      </c>
      <c r="E526" t="s">
        <v>45</v>
      </c>
      <c r="F526" t="s">
        <v>1193</v>
      </c>
      <c r="G526" t="s">
        <v>1194</v>
      </c>
      <c r="H526" t="str">
        <f>'Huong dan giao do an'!$B$14</f>
        <v>5 SV (vai trò chính): 1 PM/Scrum Master kiêm Integration; 2 BA/PO; 3 UI-UX + Frontend; 4 Backend/API + DevOps; 5 Database + QA/Tester. Mỗi SV có nhiệm vụ phụ và minh chứng cá nhân.</v>
      </c>
      <c r="I526" t="s">
        <v>29</v>
      </c>
      <c r="J526" t="s">
        <v>1181</v>
      </c>
      <c r="K526" t="str">
        <f>IF(I526="Trung bình",'Huong dan giao do an'!$B$8,IF(I526="Khá",'Huong dan giao do an'!$B$9,'Huong dan giao do an'!$B$10))</f>
        <v>Tối thiểu 5 actor; 14-18 use case; 10-15 bảng; 4 quy trình; tích hợp ngoài/realtime hoặc xử lý nâng cao; 3 báo cáo; &gt;=45 test case; logging, backup và deploy.</v>
      </c>
      <c r="L526" t="str">
        <f>'Huong dan giao do an'!$B$31</f>
        <v>Bắt buộc: Charter/PMP; SRS + scope/WBS; Gantt/baseline; effort-cost budget; RACI/timesheet; quality-test-defect; communication/minutes; risk register; procurement; change log; closure/lessons learned.</v>
      </c>
      <c r="M526" t="str">
        <f>'Huong dan giao do an'!$B$33</f>
        <v>Tuần 1: 07.09–13.09.2026; Tuần 2: 14.09–20.09.2026; Tuần 3: 21.09–27.09.2026; Tuần 4: 28.09–04.10.2026; Tuần 5: 05.10–11.10.2026; Tuần 6: 12.10–18.10.2026; Tuần 7: 19.10–25.10.2026; Tuần 8: 26.10–01.11.2026.</v>
      </c>
      <c r="N5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6" s="17" t="str">
        <f t="shared" si="8"/>
        <v>Còn trống</v>
      </c>
    </row>
    <row r="527" spans="1:16" x14ac:dyDescent="0.3">
      <c r="A527">
        <v>526</v>
      </c>
      <c r="B527" t="s">
        <v>1171</v>
      </c>
      <c r="C527" t="s">
        <v>1250</v>
      </c>
      <c r="D527" t="s">
        <v>1251</v>
      </c>
      <c r="E527" t="s">
        <v>19</v>
      </c>
      <c r="F527" t="s">
        <v>1174</v>
      </c>
      <c r="G527" t="s">
        <v>1197</v>
      </c>
      <c r="H527" t="str">
        <f>'Huong dan giao do an'!$B$14</f>
        <v>5 SV (vai trò chính): 1 PM/Scrum Master kiêm Integration; 2 BA/PO; 3 UI-UX + Frontend; 4 Backend/API + DevOps; 5 Database + QA/Tester. Mỗi SV có nhiệm vụ phụ và minh chứng cá nhân.</v>
      </c>
      <c r="I527" t="s">
        <v>36</v>
      </c>
      <c r="J527" t="s">
        <v>1186</v>
      </c>
      <c r="K527" t="str">
        <f>IF(I527="Trung bình",'Huong dan giao do an'!$B$8,IF(I527="Khá",'Huong dan giao do an'!$B$9,'Huong dan giao do an'!$B$10))</f>
        <v>Tối thiểu 3 actor; 8-10 use case; 6-8 bảng dữ liệu; 2 quy trình lõi; đăng nhập/RBAC; 1 dashboard; 1 báo cáo; &gt;=25 test case; triển khai bản demo.</v>
      </c>
      <c r="L527" t="str">
        <f>'Huong dan giao do an'!$B$31</f>
        <v>Bắt buộc: Charter/PMP; SRS + scope/WBS; Gantt/baseline; effort-cost budget; RACI/timesheet; quality-test-defect; communication/minutes; risk register; procurement; change log; closure/lessons learned.</v>
      </c>
      <c r="M527" t="str">
        <f>'Huong dan giao do an'!$B$33</f>
        <v>Tuần 1: 07.09–13.09.2026; Tuần 2: 14.09–20.09.2026; Tuần 3: 21.09–27.09.2026; Tuần 4: 28.09–04.10.2026; Tuần 5: 05.10–11.10.2026; Tuần 6: 12.10–18.10.2026; Tuần 7: 19.10–25.10.2026; Tuần 8: 26.10–01.11.2026.</v>
      </c>
      <c r="N5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7" s="17" t="str">
        <f t="shared" si="8"/>
        <v>Còn trống</v>
      </c>
    </row>
    <row r="528" spans="1:16" x14ac:dyDescent="0.3">
      <c r="A528">
        <v>527</v>
      </c>
      <c r="B528" t="s">
        <v>1171</v>
      </c>
      <c r="C528" t="s">
        <v>1252</v>
      </c>
      <c r="D528" t="s">
        <v>1253</v>
      </c>
      <c r="E528" t="s">
        <v>26</v>
      </c>
      <c r="F528" t="s">
        <v>1179</v>
      </c>
      <c r="G528" t="s">
        <v>1200</v>
      </c>
      <c r="H528" t="str">
        <f>'Huong dan giao do an'!$B$14</f>
        <v>5 SV (vai trò chính): 1 PM/Scrum Master kiêm Integration; 2 BA/PO; 3 UI-UX + Frontend; 4 Backend/API + DevOps; 5 Database + QA/Tester. Mỗi SV có nhiệm vụ phụ và minh chứng cá nhân.</v>
      </c>
      <c r="I528" t="s">
        <v>22</v>
      </c>
      <c r="J528" t="s">
        <v>1176</v>
      </c>
      <c r="K528" t="str">
        <f>IF(I528="Trung bình",'Huong dan giao do an'!$B$8,IF(I528="Khá",'Huong dan giao do an'!$B$9,'Huong dan giao do an'!$B$10))</f>
        <v>Tối thiểu 4 actor; 10-14 use case; 8-12 bảng; 3 quy trình lõi; phân quyền chi tiết; 2 báo cáo; tích hợp 1 dịch vụ; &gt;=35 test case; CI/CD hoặc deploy cloud.</v>
      </c>
      <c r="L528" t="str">
        <f>'Huong dan giao do an'!$B$31</f>
        <v>Bắt buộc: Charter/PMP; SRS + scope/WBS; Gantt/baseline; effort-cost budget; RACI/timesheet; quality-test-defect; communication/minutes; risk register; procurement; change log; closure/lessons learned.</v>
      </c>
      <c r="M528" t="str">
        <f>'Huong dan giao do an'!$B$33</f>
        <v>Tuần 1: 07.09–13.09.2026; Tuần 2: 14.09–20.09.2026; Tuần 3: 21.09–27.09.2026; Tuần 4: 28.09–04.10.2026; Tuần 5: 05.10–11.10.2026; Tuần 6: 12.10–18.10.2026; Tuần 7: 19.10–25.10.2026; Tuần 8: 26.10–01.11.2026.</v>
      </c>
      <c r="N5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8" s="17" t="str">
        <f t="shared" si="8"/>
        <v>Còn trống</v>
      </c>
    </row>
    <row r="529" spans="1:16" x14ac:dyDescent="0.3">
      <c r="A529">
        <v>528</v>
      </c>
      <c r="B529" t="s">
        <v>1171</v>
      </c>
      <c r="C529" t="s">
        <v>1254</v>
      </c>
      <c r="D529" t="s">
        <v>1255</v>
      </c>
      <c r="E529" t="s">
        <v>33</v>
      </c>
      <c r="F529" t="s">
        <v>1184</v>
      </c>
      <c r="G529" t="s">
        <v>1203</v>
      </c>
      <c r="H529" t="str">
        <f>'Huong dan giao do an'!$B$14</f>
        <v>5 SV (vai trò chính): 1 PM/Scrum Master kiêm Integration; 2 BA/PO; 3 UI-UX + Frontend; 4 Backend/API + DevOps; 5 Database + QA/Tester. Mỗi SV có nhiệm vụ phụ và minh chứng cá nhân.</v>
      </c>
      <c r="I529" t="s">
        <v>29</v>
      </c>
      <c r="J529" t="s">
        <v>1181</v>
      </c>
      <c r="K529" t="str">
        <f>IF(I529="Trung bình",'Huong dan giao do an'!$B$8,IF(I529="Khá",'Huong dan giao do an'!$B$9,'Huong dan giao do an'!$B$10))</f>
        <v>Tối thiểu 5 actor; 14-18 use case; 10-15 bảng; 4 quy trình; tích hợp ngoài/realtime hoặc xử lý nâng cao; 3 báo cáo; &gt;=45 test case; logging, backup và deploy.</v>
      </c>
      <c r="L529" t="str">
        <f>'Huong dan giao do an'!$B$31</f>
        <v>Bắt buộc: Charter/PMP; SRS + scope/WBS; Gantt/baseline; effort-cost budget; RACI/timesheet; quality-test-defect; communication/minutes; risk register; procurement; change log; closure/lessons learned.</v>
      </c>
      <c r="M529" t="str">
        <f>'Huong dan giao do an'!$B$33</f>
        <v>Tuần 1: 07.09–13.09.2026; Tuần 2: 14.09–20.09.2026; Tuần 3: 21.09–27.09.2026; Tuần 4: 28.09–04.10.2026; Tuần 5: 05.10–11.10.2026; Tuần 6: 12.10–18.10.2026; Tuần 7: 19.10–25.10.2026; Tuần 8: 26.10–01.11.2026.</v>
      </c>
      <c r="N5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29" s="17" t="str">
        <f t="shared" si="8"/>
        <v>Còn trống</v>
      </c>
    </row>
    <row r="530" spans="1:16" x14ac:dyDescent="0.3">
      <c r="A530">
        <v>529</v>
      </c>
      <c r="B530" t="s">
        <v>1171</v>
      </c>
      <c r="C530" t="s">
        <v>1256</v>
      </c>
      <c r="D530" t="s">
        <v>1257</v>
      </c>
      <c r="E530" t="s">
        <v>40</v>
      </c>
      <c r="F530" t="s">
        <v>1189</v>
      </c>
      <c r="G530" t="s">
        <v>1206</v>
      </c>
      <c r="H530" t="str">
        <f>'Huong dan giao do an'!$B$14</f>
        <v>5 SV (vai trò chính): 1 PM/Scrum Master kiêm Integration; 2 BA/PO; 3 UI-UX + Frontend; 4 Backend/API + DevOps; 5 Database + QA/Tester. Mỗi SV có nhiệm vụ phụ và minh chứng cá nhân.</v>
      </c>
      <c r="I530" t="s">
        <v>36</v>
      </c>
      <c r="J530" t="s">
        <v>1186</v>
      </c>
      <c r="K530" t="str">
        <f>IF(I530="Trung bình",'Huong dan giao do an'!$B$8,IF(I530="Khá",'Huong dan giao do an'!$B$9,'Huong dan giao do an'!$B$10))</f>
        <v>Tối thiểu 3 actor; 8-10 use case; 6-8 bảng dữ liệu; 2 quy trình lõi; đăng nhập/RBAC; 1 dashboard; 1 báo cáo; &gt;=25 test case; triển khai bản demo.</v>
      </c>
      <c r="L530" t="str">
        <f>'Huong dan giao do an'!$B$31</f>
        <v>Bắt buộc: Charter/PMP; SRS + scope/WBS; Gantt/baseline; effort-cost budget; RACI/timesheet; quality-test-defect; communication/minutes; risk register; procurement; change log; closure/lessons learned.</v>
      </c>
      <c r="M530" t="str">
        <f>'Huong dan giao do an'!$B$33</f>
        <v>Tuần 1: 07.09–13.09.2026; Tuần 2: 14.09–20.09.2026; Tuần 3: 21.09–27.09.2026; Tuần 4: 28.09–04.10.2026; Tuần 5: 05.10–11.10.2026; Tuần 6: 12.10–18.10.2026; Tuần 7: 19.10–25.10.2026; Tuần 8: 26.10–01.11.2026.</v>
      </c>
      <c r="N5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0" s="17" t="str">
        <f t="shared" si="8"/>
        <v>Còn trống</v>
      </c>
    </row>
    <row r="531" spans="1:16" x14ac:dyDescent="0.3">
      <c r="A531">
        <v>530</v>
      </c>
      <c r="B531" t="s">
        <v>1171</v>
      </c>
      <c r="C531" t="s">
        <v>1258</v>
      </c>
      <c r="D531" t="s">
        <v>1259</v>
      </c>
      <c r="E531" t="s">
        <v>45</v>
      </c>
      <c r="F531" t="s">
        <v>1193</v>
      </c>
      <c r="G531" t="s">
        <v>1209</v>
      </c>
      <c r="H531" t="str">
        <f>'Huong dan giao do an'!$B$14</f>
        <v>5 SV (vai trò chính): 1 PM/Scrum Master kiêm Integration; 2 BA/PO; 3 UI-UX + Frontend; 4 Backend/API + DevOps; 5 Database + QA/Tester. Mỗi SV có nhiệm vụ phụ và minh chứng cá nhân.</v>
      </c>
      <c r="I531" t="s">
        <v>22</v>
      </c>
      <c r="J531" t="s">
        <v>1176</v>
      </c>
      <c r="K531" t="str">
        <f>IF(I531="Trung bình",'Huong dan giao do an'!$B$8,IF(I531="Khá",'Huong dan giao do an'!$B$9,'Huong dan giao do an'!$B$10))</f>
        <v>Tối thiểu 4 actor; 10-14 use case; 8-12 bảng; 3 quy trình lõi; phân quyền chi tiết; 2 báo cáo; tích hợp 1 dịch vụ; &gt;=35 test case; CI/CD hoặc deploy cloud.</v>
      </c>
      <c r="L531" t="str">
        <f>'Huong dan giao do an'!$B$31</f>
        <v>Bắt buộc: Charter/PMP; SRS + scope/WBS; Gantt/baseline; effort-cost budget; RACI/timesheet; quality-test-defect; communication/minutes; risk register; procurement; change log; closure/lessons learned.</v>
      </c>
      <c r="M531" t="str">
        <f>'Huong dan giao do an'!$B$33</f>
        <v>Tuần 1: 07.09–13.09.2026; Tuần 2: 14.09–20.09.2026; Tuần 3: 21.09–27.09.2026; Tuần 4: 28.09–04.10.2026; Tuần 5: 05.10–11.10.2026; Tuần 6: 12.10–18.10.2026; Tuần 7: 19.10–25.10.2026; Tuần 8: 26.10–01.11.2026.</v>
      </c>
      <c r="N5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1" s="17" t="str">
        <f t="shared" si="8"/>
        <v>Còn trống</v>
      </c>
    </row>
    <row r="532" spans="1:16" x14ac:dyDescent="0.3">
      <c r="A532">
        <v>531</v>
      </c>
      <c r="B532" t="s">
        <v>1171</v>
      </c>
      <c r="C532" t="s">
        <v>1260</v>
      </c>
      <c r="D532" t="s">
        <v>1261</v>
      </c>
      <c r="E532" t="s">
        <v>19</v>
      </c>
      <c r="F532" t="s">
        <v>1174</v>
      </c>
      <c r="G532" t="s">
        <v>1212</v>
      </c>
      <c r="H532" t="str">
        <f>'Huong dan giao do an'!$B$14</f>
        <v>5 SV (vai trò chính): 1 PM/Scrum Master kiêm Integration; 2 BA/PO; 3 UI-UX + Frontend; 4 Backend/API + DevOps; 5 Database + QA/Tester. Mỗi SV có nhiệm vụ phụ và minh chứng cá nhân.</v>
      </c>
      <c r="I532" t="s">
        <v>29</v>
      </c>
      <c r="J532" t="s">
        <v>1181</v>
      </c>
      <c r="K532" t="str">
        <f>IF(I532="Trung bình",'Huong dan giao do an'!$B$8,IF(I532="Khá",'Huong dan giao do an'!$B$9,'Huong dan giao do an'!$B$10))</f>
        <v>Tối thiểu 5 actor; 14-18 use case; 10-15 bảng; 4 quy trình; tích hợp ngoài/realtime hoặc xử lý nâng cao; 3 báo cáo; &gt;=45 test case; logging, backup và deploy.</v>
      </c>
      <c r="L532" t="str">
        <f>'Huong dan giao do an'!$B$31</f>
        <v>Bắt buộc: Charter/PMP; SRS + scope/WBS; Gantt/baseline; effort-cost budget; RACI/timesheet; quality-test-defect; communication/minutes; risk register; procurement; change log; closure/lessons learned.</v>
      </c>
      <c r="M532" t="str">
        <f>'Huong dan giao do an'!$B$33</f>
        <v>Tuần 1: 07.09–13.09.2026; Tuần 2: 14.09–20.09.2026; Tuần 3: 21.09–27.09.2026; Tuần 4: 28.09–04.10.2026; Tuần 5: 05.10–11.10.2026; Tuần 6: 12.10–18.10.2026; Tuần 7: 19.10–25.10.2026; Tuần 8: 26.10–01.11.2026.</v>
      </c>
      <c r="N5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2" s="17" t="str">
        <f t="shared" si="8"/>
        <v>Còn trống</v>
      </c>
    </row>
    <row r="533" spans="1:16" x14ac:dyDescent="0.3">
      <c r="A533">
        <v>532</v>
      </c>
      <c r="B533" t="s">
        <v>1171</v>
      </c>
      <c r="C533" t="s">
        <v>1262</v>
      </c>
      <c r="D533" t="s">
        <v>1263</v>
      </c>
      <c r="E533" t="s">
        <v>26</v>
      </c>
      <c r="F533" t="s">
        <v>1179</v>
      </c>
      <c r="G533" t="s">
        <v>1215</v>
      </c>
      <c r="H533" t="str">
        <f>'Huong dan giao do an'!$B$14</f>
        <v>5 SV (vai trò chính): 1 PM/Scrum Master kiêm Integration; 2 BA/PO; 3 UI-UX + Frontend; 4 Backend/API + DevOps; 5 Database + QA/Tester. Mỗi SV có nhiệm vụ phụ và minh chứng cá nhân.</v>
      </c>
      <c r="I533" t="s">
        <v>36</v>
      </c>
      <c r="J533" t="s">
        <v>1186</v>
      </c>
      <c r="K533" t="str">
        <f>IF(I533="Trung bình",'Huong dan giao do an'!$B$8,IF(I533="Khá",'Huong dan giao do an'!$B$9,'Huong dan giao do an'!$B$10))</f>
        <v>Tối thiểu 3 actor; 8-10 use case; 6-8 bảng dữ liệu; 2 quy trình lõi; đăng nhập/RBAC; 1 dashboard; 1 báo cáo; &gt;=25 test case; triển khai bản demo.</v>
      </c>
      <c r="L533" t="str">
        <f>'Huong dan giao do an'!$B$31</f>
        <v>Bắt buộc: Charter/PMP; SRS + scope/WBS; Gantt/baseline; effort-cost budget; RACI/timesheet; quality-test-defect; communication/minutes; risk register; procurement; change log; closure/lessons learned.</v>
      </c>
      <c r="M533" t="str">
        <f>'Huong dan giao do an'!$B$33</f>
        <v>Tuần 1: 07.09–13.09.2026; Tuần 2: 14.09–20.09.2026; Tuần 3: 21.09–27.09.2026; Tuần 4: 28.09–04.10.2026; Tuần 5: 05.10–11.10.2026; Tuần 6: 12.10–18.10.2026; Tuần 7: 19.10–25.10.2026; Tuần 8: 26.10–01.11.2026.</v>
      </c>
      <c r="N5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3" s="17" t="str">
        <f t="shared" si="8"/>
        <v>Còn trống</v>
      </c>
    </row>
    <row r="534" spans="1:16" x14ac:dyDescent="0.3">
      <c r="A534">
        <v>533</v>
      </c>
      <c r="B534" t="s">
        <v>1171</v>
      </c>
      <c r="C534" t="s">
        <v>1264</v>
      </c>
      <c r="D534" t="s">
        <v>1265</v>
      </c>
      <c r="E534" t="s">
        <v>33</v>
      </c>
      <c r="F534" t="s">
        <v>1184</v>
      </c>
      <c r="G534" t="s">
        <v>1218</v>
      </c>
      <c r="H534" t="str">
        <f>'Huong dan giao do an'!$B$14</f>
        <v>5 SV (vai trò chính): 1 PM/Scrum Master kiêm Integration; 2 BA/PO; 3 UI-UX + Frontend; 4 Backend/API + DevOps; 5 Database + QA/Tester. Mỗi SV có nhiệm vụ phụ và minh chứng cá nhân.</v>
      </c>
      <c r="I534" t="s">
        <v>22</v>
      </c>
      <c r="J534" t="s">
        <v>1176</v>
      </c>
      <c r="K534" t="str">
        <f>IF(I534="Trung bình",'Huong dan giao do an'!$B$8,IF(I534="Khá",'Huong dan giao do an'!$B$9,'Huong dan giao do an'!$B$10))</f>
        <v>Tối thiểu 4 actor; 10-14 use case; 8-12 bảng; 3 quy trình lõi; phân quyền chi tiết; 2 báo cáo; tích hợp 1 dịch vụ; &gt;=35 test case; CI/CD hoặc deploy cloud.</v>
      </c>
      <c r="L534" t="str">
        <f>'Huong dan giao do an'!$B$31</f>
        <v>Bắt buộc: Charter/PMP; SRS + scope/WBS; Gantt/baseline; effort-cost budget; RACI/timesheet; quality-test-defect; communication/minutes; risk register; procurement; change log; closure/lessons learned.</v>
      </c>
      <c r="M534" t="str">
        <f>'Huong dan giao do an'!$B$33</f>
        <v>Tuần 1: 07.09–13.09.2026; Tuần 2: 14.09–20.09.2026; Tuần 3: 21.09–27.09.2026; Tuần 4: 28.09–04.10.2026; Tuần 5: 05.10–11.10.2026; Tuần 6: 12.10–18.10.2026; Tuần 7: 19.10–25.10.2026; Tuần 8: 26.10–01.11.2026.</v>
      </c>
      <c r="N5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4" s="17" t="str">
        <f t="shared" si="8"/>
        <v>Còn trống</v>
      </c>
    </row>
    <row r="535" spans="1:16" x14ac:dyDescent="0.3">
      <c r="A535">
        <v>534</v>
      </c>
      <c r="B535" t="s">
        <v>1171</v>
      </c>
      <c r="C535" t="s">
        <v>1266</v>
      </c>
      <c r="D535" t="s">
        <v>1267</v>
      </c>
      <c r="E535" t="s">
        <v>40</v>
      </c>
      <c r="F535" t="s">
        <v>1189</v>
      </c>
      <c r="G535" t="s">
        <v>1221</v>
      </c>
      <c r="H535" t="str">
        <f>'Huong dan giao do an'!$B$14</f>
        <v>5 SV (vai trò chính): 1 PM/Scrum Master kiêm Integration; 2 BA/PO; 3 UI-UX + Frontend; 4 Backend/API + DevOps; 5 Database + QA/Tester. Mỗi SV có nhiệm vụ phụ và minh chứng cá nhân.</v>
      </c>
      <c r="I535" t="s">
        <v>29</v>
      </c>
      <c r="J535" t="s">
        <v>1181</v>
      </c>
      <c r="K535" t="str">
        <f>IF(I535="Trung bình",'Huong dan giao do an'!$B$8,IF(I535="Khá",'Huong dan giao do an'!$B$9,'Huong dan giao do an'!$B$10))</f>
        <v>Tối thiểu 5 actor; 14-18 use case; 10-15 bảng; 4 quy trình; tích hợp ngoài/realtime hoặc xử lý nâng cao; 3 báo cáo; &gt;=45 test case; logging, backup và deploy.</v>
      </c>
      <c r="L535" t="str">
        <f>'Huong dan giao do an'!$B$31</f>
        <v>Bắt buộc: Charter/PMP; SRS + scope/WBS; Gantt/baseline; effort-cost budget; RACI/timesheet; quality-test-defect; communication/minutes; risk register; procurement; change log; closure/lessons learned.</v>
      </c>
      <c r="M535" t="str">
        <f>'Huong dan giao do an'!$B$33</f>
        <v>Tuần 1: 07.09–13.09.2026; Tuần 2: 14.09–20.09.2026; Tuần 3: 21.09–27.09.2026; Tuần 4: 28.09–04.10.2026; Tuần 5: 05.10–11.10.2026; Tuần 6: 12.10–18.10.2026; Tuần 7: 19.10–25.10.2026; Tuần 8: 26.10–01.11.2026.</v>
      </c>
      <c r="N5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5" s="17" t="str">
        <f t="shared" si="8"/>
        <v>Còn trống</v>
      </c>
    </row>
    <row r="536" spans="1:16" x14ac:dyDescent="0.3">
      <c r="A536">
        <v>535</v>
      </c>
      <c r="B536" t="s">
        <v>1171</v>
      </c>
      <c r="C536" t="s">
        <v>1268</v>
      </c>
      <c r="D536" t="s">
        <v>1269</v>
      </c>
      <c r="E536" t="s">
        <v>45</v>
      </c>
      <c r="F536" t="s">
        <v>1193</v>
      </c>
      <c r="G536" t="s">
        <v>1224</v>
      </c>
      <c r="H536" t="str">
        <f>'Huong dan giao do an'!$B$14</f>
        <v>5 SV (vai trò chính): 1 PM/Scrum Master kiêm Integration; 2 BA/PO; 3 UI-UX + Frontend; 4 Backend/API + DevOps; 5 Database + QA/Tester. Mỗi SV có nhiệm vụ phụ và minh chứng cá nhân.</v>
      </c>
      <c r="I536" t="s">
        <v>36</v>
      </c>
      <c r="J536" t="s">
        <v>1186</v>
      </c>
      <c r="K536" t="str">
        <f>IF(I536="Trung bình",'Huong dan giao do an'!$B$8,IF(I536="Khá",'Huong dan giao do an'!$B$9,'Huong dan giao do an'!$B$10))</f>
        <v>Tối thiểu 3 actor; 8-10 use case; 6-8 bảng dữ liệu; 2 quy trình lõi; đăng nhập/RBAC; 1 dashboard; 1 báo cáo; &gt;=25 test case; triển khai bản demo.</v>
      </c>
      <c r="L536" t="str">
        <f>'Huong dan giao do an'!$B$31</f>
        <v>Bắt buộc: Charter/PMP; SRS + scope/WBS; Gantt/baseline; effort-cost budget; RACI/timesheet; quality-test-defect; communication/minutes; risk register; procurement; change log; closure/lessons learned.</v>
      </c>
      <c r="M536" t="str">
        <f>'Huong dan giao do an'!$B$33</f>
        <v>Tuần 1: 07.09–13.09.2026; Tuần 2: 14.09–20.09.2026; Tuần 3: 21.09–27.09.2026; Tuần 4: 28.09–04.10.2026; Tuần 5: 05.10–11.10.2026; Tuần 6: 12.10–18.10.2026; Tuần 7: 19.10–25.10.2026; Tuần 8: 26.10–01.11.2026.</v>
      </c>
      <c r="N5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6" s="17" t="str">
        <f t="shared" si="8"/>
        <v>Còn trống</v>
      </c>
    </row>
    <row r="537" spans="1:16" x14ac:dyDescent="0.3">
      <c r="A537">
        <v>536</v>
      </c>
      <c r="B537" t="s">
        <v>1171</v>
      </c>
      <c r="C537" t="s">
        <v>1270</v>
      </c>
      <c r="D537" t="s">
        <v>1271</v>
      </c>
      <c r="E537" t="s">
        <v>19</v>
      </c>
      <c r="F537" t="s">
        <v>1174</v>
      </c>
      <c r="G537" t="s">
        <v>1227</v>
      </c>
      <c r="H537" t="str">
        <f>'Huong dan giao do an'!$B$14</f>
        <v>5 SV (vai trò chính): 1 PM/Scrum Master kiêm Integration; 2 BA/PO; 3 UI-UX + Frontend; 4 Backend/API + DevOps; 5 Database + QA/Tester. Mỗi SV có nhiệm vụ phụ và minh chứng cá nhân.</v>
      </c>
      <c r="I537" t="s">
        <v>22</v>
      </c>
      <c r="J537" t="s">
        <v>1176</v>
      </c>
      <c r="K537" t="str">
        <f>IF(I537="Trung bình",'Huong dan giao do an'!$B$8,IF(I537="Khá",'Huong dan giao do an'!$B$9,'Huong dan giao do an'!$B$10))</f>
        <v>Tối thiểu 4 actor; 10-14 use case; 8-12 bảng; 3 quy trình lõi; phân quyền chi tiết; 2 báo cáo; tích hợp 1 dịch vụ; &gt;=35 test case; CI/CD hoặc deploy cloud.</v>
      </c>
      <c r="L537" t="str">
        <f>'Huong dan giao do an'!$B$31</f>
        <v>Bắt buộc: Charter/PMP; SRS + scope/WBS; Gantt/baseline; effort-cost budget; RACI/timesheet; quality-test-defect; communication/minutes; risk register; procurement; change log; closure/lessons learned.</v>
      </c>
      <c r="M537" t="str">
        <f>'Huong dan giao do an'!$B$33</f>
        <v>Tuần 1: 07.09–13.09.2026; Tuần 2: 14.09–20.09.2026; Tuần 3: 21.09–27.09.2026; Tuần 4: 28.09–04.10.2026; Tuần 5: 05.10–11.10.2026; Tuần 6: 12.10–18.10.2026; Tuần 7: 19.10–25.10.2026; Tuần 8: 26.10–01.11.2026.</v>
      </c>
      <c r="N5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7" s="17" t="str">
        <f t="shared" si="8"/>
        <v>Còn trống</v>
      </c>
    </row>
    <row r="538" spans="1:16" x14ac:dyDescent="0.3">
      <c r="A538">
        <v>537</v>
      </c>
      <c r="B538" t="s">
        <v>1171</v>
      </c>
      <c r="C538" t="s">
        <v>1272</v>
      </c>
      <c r="D538" t="s">
        <v>1273</v>
      </c>
      <c r="E538" t="s">
        <v>26</v>
      </c>
      <c r="F538" t="s">
        <v>1179</v>
      </c>
      <c r="G538" t="s">
        <v>1230</v>
      </c>
      <c r="H538" t="str">
        <f>'Huong dan giao do an'!$B$14</f>
        <v>5 SV (vai trò chính): 1 PM/Scrum Master kiêm Integration; 2 BA/PO; 3 UI-UX + Frontend; 4 Backend/API + DevOps; 5 Database + QA/Tester. Mỗi SV có nhiệm vụ phụ và minh chứng cá nhân.</v>
      </c>
      <c r="I538" t="s">
        <v>29</v>
      </c>
      <c r="J538" t="s">
        <v>1181</v>
      </c>
      <c r="K538" t="str">
        <f>IF(I538="Trung bình",'Huong dan giao do an'!$B$8,IF(I538="Khá",'Huong dan giao do an'!$B$9,'Huong dan giao do an'!$B$10))</f>
        <v>Tối thiểu 5 actor; 14-18 use case; 10-15 bảng; 4 quy trình; tích hợp ngoài/realtime hoặc xử lý nâng cao; 3 báo cáo; &gt;=45 test case; logging, backup và deploy.</v>
      </c>
      <c r="L538" t="str">
        <f>'Huong dan giao do an'!$B$31</f>
        <v>Bắt buộc: Charter/PMP; SRS + scope/WBS; Gantt/baseline; effort-cost budget; RACI/timesheet; quality-test-defect; communication/minutes; risk register; procurement; change log; closure/lessons learned.</v>
      </c>
      <c r="M538" t="str">
        <f>'Huong dan giao do an'!$B$33</f>
        <v>Tuần 1: 07.09–13.09.2026; Tuần 2: 14.09–20.09.2026; Tuần 3: 21.09–27.09.2026; Tuần 4: 28.09–04.10.2026; Tuần 5: 05.10–11.10.2026; Tuần 6: 12.10–18.10.2026; Tuần 7: 19.10–25.10.2026; Tuần 8: 26.10–01.11.2026.</v>
      </c>
      <c r="N5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8" s="17" t="str">
        <f t="shared" si="8"/>
        <v>Còn trống</v>
      </c>
    </row>
    <row r="539" spans="1:16" x14ac:dyDescent="0.3">
      <c r="A539">
        <v>538</v>
      </c>
      <c r="B539" t="s">
        <v>1171</v>
      </c>
      <c r="C539" t="s">
        <v>1274</v>
      </c>
      <c r="D539" t="s">
        <v>1275</v>
      </c>
      <c r="E539" t="s">
        <v>33</v>
      </c>
      <c r="F539" t="s">
        <v>1184</v>
      </c>
      <c r="G539" t="s">
        <v>1233</v>
      </c>
      <c r="H539" t="str">
        <f>'Huong dan giao do an'!$B$14</f>
        <v>5 SV (vai trò chính): 1 PM/Scrum Master kiêm Integration; 2 BA/PO; 3 UI-UX + Frontend; 4 Backend/API + DevOps; 5 Database + QA/Tester. Mỗi SV có nhiệm vụ phụ và minh chứng cá nhân.</v>
      </c>
      <c r="I539" t="s">
        <v>36</v>
      </c>
      <c r="J539" t="s">
        <v>1186</v>
      </c>
      <c r="K539" t="str">
        <f>IF(I539="Trung bình",'Huong dan giao do an'!$B$8,IF(I539="Khá",'Huong dan giao do an'!$B$9,'Huong dan giao do an'!$B$10))</f>
        <v>Tối thiểu 3 actor; 8-10 use case; 6-8 bảng dữ liệu; 2 quy trình lõi; đăng nhập/RBAC; 1 dashboard; 1 báo cáo; &gt;=25 test case; triển khai bản demo.</v>
      </c>
      <c r="L539" t="str">
        <f>'Huong dan giao do an'!$B$31</f>
        <v>Bắt buộc: Charter/PMP; SRS + scope/WBS; Gantt/baseline; effort-cost budget; RACI/timesheet; quality-test-defect; communication/minutes; risk register; procurement; change log; closure/lessons learned.</v>
      </c>
      <c r="M539" t="str">
        <f>'Huong dan giao do an'!$B$33</f>
        <v>Tuần 1: 07.09–13.09.2026; Tuần 2: 14.09–20.09.2026; Tuần 3: 21.09–27.09.2026; Tuần 4: 28.09–04.10.2026; Tuần 5: 05.10–11.10.2026; Tuần 6: 12.10–18.10.2026; Tuần 7: 19.10–25.10.2026; Tuần 8: 26.10–01.11.2026.</v>
      </c>
      <c r="N5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39" s="17" t="str">
        <f t="shared" si="8"/>
        <v>Còn trống</v>
      </c>
    </row>
    <row r="540" spans="1:16" x14ac:dyDescent="0.3">
      <c r="A540">
        <v>539</v>
      </c>
      <c r="B540" t="s">
        <v>1171</v>
      </c>
      <c r="C540" t="s">
        <v>1276</v>
      </c>
      <c r="D540" t="s">
        <v>1277</v>
      </c>
      <c r="E540" t="s">
        <v>40</v>
      </c>
      <c r="F540" t="s">
        <v>1189</v>
      </c>
      <c r="G540" t="s">
        <v>1236</v>
      </c>
      <c r="H540" t="str">
        <f>'Huong dan giao do an'!$B$14</f>
        <v>5 SV (vai trò chính): 1 PM/Scrum Master kiêm Integration; 2 BA/PO; 3 UI-UX + Frontend; 4 Backend/API + DevOps; 5 Database + QA/Tester. Mỗi SV có nhiệm vụ phụ và minh chứng cá nhân.</v>
      </c>
      <c r="I540" t="s">
        <v>22</v>
      </c>
      <c r="J540" t="s">
        <v>1176</v>
      </c>
      <c r="K540" t="str">
        <f>IF(I540="Trung bình",'Huong dan giao do an'!$B$8,IF(I540="Khá",'Huong dan giao do an'!$B$9,'Huong dan giao do an'!$B$10))</f>
        <v>Tối thiểu 4 actor; 10-14 use case; 8-12 bảng; 3 quy trình lõi; phân quyền chi tiết; 2 báo cáo; tích hợp 1 dịch vụ; &gt;=35 test case; CI/CD hoặc deploy cloud.</v>
      </c>
      <c r="L540" t="str">
        <f>'Huong dan giao do an'!$B$31</f>
        <v>Bắt buộc: Charter/PMP; SRS + scope/WBS; Gantt/baseline; effort-cost budget; RACI/timesheet; quality-test-defect; communication/minutes; risk register; procurement; change log; closure/lessons learned.</v>
      </c>
      <c r="M540" t="str">
        <f>'Huong dan giao do an'!$B$33</f>
        <v>Tuần 1: 07.09–13.09.2026; Tuần 2: 14.09–20.09.2026; Tuần 3: 21.09–27.09.2026; Tuần 4: 28.09–04.10.2026; Tuần 5: 05.10–11.10.2026; Tuần 6: 12.10–18.10.2026; Tuần 7: 19.10–25.10.2026; Tuần 8: 26.10–01.11.2026.</v>
      </c>
      <c r="N5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0" s="17" t="str">
        <f t="shared" si="8"/>
        <v>Còn trống</v>
      </c>
    </row>
    <row r="541" spans="1:16" x14ac:dyDescent="0.3">
      <c r="A541">
        <v>540</v>
      </c>
      <c r="B541" t="s">
        <v>1171</v>
      </c>
      <c r="C541" t="s">
        <v>1278</v>
      </c>
      <c r="D541" t="s">
        <v>1279</v>
      </c>
      <c r="E541" t="s">
        <v>45</v>
      </c>
      <c r="F541" t="s">
        <v>1193</v>
      </c>
      <c r="G541" t="s">
        <v>1239</v>
      </c>
      <c r="H541" t="str">
        <f>'Huong dan giao do an'!$B$14</f>
        <v>5 SV (vai trò chính): 1 PM/Scrum Master kiêm Integration; 2 BA/PO; 3 UI-UX + Frontend; 4 Backend/API + DevOps; 5 Database + QA/Tester. Mỗi SV có nhiệm vụ phụ và minh chứng cá nhân.</v>
      </c>
      <c r="I541" t="s">
        <v>29</v>
      </c>
      <c r="J541" t="s">
        <v>1181</v>
      </c>
      <c r="K541" t="str">
        <f>IF(I541="Trung bình",'Huong dan giao do an'!$B$8,IF(I541="Khá",'Huong dan giao do an'!$B$9,'Huong dan giao do an'!$B$10))</f>
        <v>Tối thiểu 5 actor; 14-18 use case; 10-15 bảng; 4 quy trình; tích hợp ngoài/realtime hoặc xử lý nâng cao; 3 báo cáo; &gt;=45 test case; logging, backup và deploy.</v>
      </c>
      <c r="L541" t="str">
        <f>'Huong dan giao do an'!$B$31</f>
        <v>Bắt buộc: Charter/PMP; SRS + scope/WBS; Gantt/baseline; effort-cost budget; RACI/timesheet; quality-test-defect; communication/minutes; risk register; procurement; change log; closure/lessons learned.</v>
      </c>
      <c r="M541" t="str">
        <f>'Huong dan giao do an'!$B$33</f>
        <v>Tuần 1: 07.09–13.09.2026; Tuần 2: 14.09–20.09.2026; Tuần 3: 21.09–27.09.2026; Tuần 4: 28.09–04.10.2026; Tuần 5: 05.10–11.10.2026; Tuần 6: 12.10–18.10.2026; Tuần 7: 19.10–25.10.2026; Tuần 8: 26.10–01.11.2026.</v>
      </c>
      <c r="N5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1" s="17" t="str">
        <f t="shared" si="8"/>
        <v>Còn trống</v>
      </c>
    </row>
    <row r="542" spans="1:16" x14ac:dyDescent="0.3">
      <c r="A542">
        <v>541</v>
      </c>
      <c r="B542" t="s">
        <v>1171</v>
      </c>
      <c r="C542" t="s">
        <v>1280</v>
      </c>
      <c r="D542" t="s">
        <v>1281</v>
      </c>
      <c r="E542" t="s">
        <v>19</v>
      </c>
      <c r="F542" t="s">
        <v>1174</v>
      </c>
      <c r="G542" t="s">
        <v>1175</v>
      </c>
      <c r="H542" t="str">
        <f>'Huong dan giao do an'!$B$14</f>
        <v>5 SV (vai trò chính): 1 PM/Scrum Master kiêm Integration; 2 BA/PO; 3 UI-UX + Frontend; 4 Backend/API + DevOps; 5 Database + QA/Tester. Mỗi SV có nhiệm vụ phụ và minh chứng cá nhân.</v>
      </c>
      <c r="I542" t="s">
        <v>22</v>
      </c>
      <c r="J542" t="s">
        <v>1176</v>
      </c>
      <c r="K542" t="str">
        <f>IF(I542="Trung bình",'Huong dan giao do an'!$B$8,IF(I542="Khá",'Huong dan giao do an'!$B$9,'Huong dan giao do an'!$B$10))</f>
        <v>Tối thiểu 4 actor; 10-14 use case; 8-12 bảng; 3 quy trình lõi; phân quyền chi tiết; 2 báo cáo; tích hợp 1 dịch vụ; &gt;=35 test case; CI/CD hoặc deploy cloud.</v>
      </c>
      <c r="L542" t="str">
        <f>'Huong dan giao do an'!$B$31</f>
        <v>Bắt buộc: Charter/PMP; SRS + scope/WBS; Gantt/baseline; effort-cost budget; RACI/timesheet; quality-test-defect; communication/minutes; risk register; procurement; change log; closure/lessons learned.</v>
      </c>
      <c r="M542" t="str">
        <f>'Huong dan giao do an'!$B$33</f>
        <v>Tuần 1: 07.09–13.09.2026; Tuần 2: 14.09–20.09.2026; Tuần 3: 21.09–27.09.2026; Tuần 4: 28.09–04.10.2026; Tuần 5: 05.10–11.10.2026; Tuần 6: 12.10–18.10.2026; Tuần 7: 19.10–25.10.2026; Tuần 8: 26.10–01.11.2026.</v>
      </c>
      <c r="N5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2" s="17" t="str">
        <f t="shared" si="8"/>
        <v>Còn trống</v>
      </c>
    </row>
    <row r="543" spans="1:16" x14ac:dyDescent="0.3">
      <c r="A543">
        <v>542</v>
      </c>
      <c r="B543" t="s">
        <v>1171</v>
      </c>
      <c r="C543" t="s">
        <v>1282</v>
      </c>
      <c r="D543" t="s">
        <v>1283</v>
      </c>
      <c r="E543" t="s">
        <v>26</v>
      </c>
      <c r="F543" t="s">
        <v>1179</v>
      </c>
      <c r="G543" t="s">
        <v>1180</v>
      </c>
      <c r="H543" t="str">
        <f>'Huong dan giao do an'!$B$14</f>
        <v>5 SV (vai trò chính): 1 PM/Scrum Master kiêm Integration; 2 BA/PO; 3 UI-UX + Frontend; 4 Backend/API + DevOps; 5 Database + QA/Tester. Mỗi SV có nhiệm vụ phụ và minh chứng cá nhân.</v>
      </c>
      <c r="I543" t="s">
        <v>29</v>
      </c>
      <c r="J543" t="s">
        <v>1181</v>
      </c>
      <c r="K543" t="str">
        <f>IF(I543="Trung bình",'Huong dan giao do an'!$B$8,IF(I543="Khá",'Huong dan giao do an'!$B$9,'Huong dan giao do an'!$B$10))</f>
        <v>Tối thiểu 5 actor; 14-18 use case; 10-15 bảng; 4 quy trình; tích hợp ngoài/realtime hoặc xử lý nâng cao; 3 báo cáo; &gt;=45 test case; logging, backup và deploy.</v>
      </c>
      <c r="L543" t="str">
        <f>'Huong dan giao do an'!$B$31</f>
        <v>Bắt buộc: Charter/PMP; SRS + scope/WBS; Gantt/baseline; effort-cost budget; RACI/timesheet; quality-test-defect; communication/minutes; risk register; procurement; change log; closure/lessons learned.</v>
      </c>
      <c r="M543" t="str">
        <f>'Huong dan giao do an'!$B$33</f>
        <v>Tuần 1: 07.09–13.09.2026; Tuần 2: 14.09–20.09.2026; Tuần 3: 21.09–27.09.2026; Tuần 4: 28.09–04.10.2026; Tuần 5: 05.10–11.10.2026; Tuần 6: 12.10–18.10.2026; Tuần 7: 19.10–25.10.2026; Tuần 8: 26.10–01.11.2026.</v>
      </c>
      <c r="N5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3" s="17" t="str">
        <f t="shared" si="8"/>
        <v>Còn trống</v>
      </c>
    </row>
    <row r="544" spans="1:16" x14ac:dyDescent="0.3">
      <c r="A544">
        <v>543</v>
      </c>
      <c r="B544" t="s">
        <v>1171</v>
      </c>
      <c r="C544" t="s">
        <v>1284</v>
      </c>
      <c r="D544" t="s">
        <v>1285</v>
      </c>
      <c r="E544" t="s">
        <v>33</v>
      </c>
      <c r="F544" t="s">
        <v>1184</v>
      </c>
      <c r="G544" t="s">
        <v>1185</v>
      </c>
      <c r="H544" t="str">
        <f>'Huong dan giao do an'!$B$14</f>
        <v>5 SV (vai trò chính): 1 PM/Scrum Master kiêm Integration; 2 BA/PO; 3 UI-UX + Frontend; 4 Backend/API + DevOps; 5 Database + QA/Tester. Mỗi SV có nhiệm vụ phụ và minh chứng cá nhân.</v>
      </c>
      <c r="I544" t="s">
        <v>36</v>
      </c>
      <c r="J544" t="s">
        <v>1186</v>
      </c>
      <c r="K544" t="str">
        <f>IF(I544="Trung bình",'Huong dan giao do an'!$B$8,IF(I544="Khá",'Huong dan giao do an'!$B$9,'Huong dan giao do an'!$B$10))</f>
        <v>Tối thiểu 3 actor; 8-10 use case; 6-8 bảng dữ liệu; 2 quy trình lõi; đăng nhập/RBAC; 1 dashboard; 1 báo cáo; &gt;=25 test case; triển khai bản demo.</v>
      </c>
      <c r="L544" t="str">
        <f>'Huong dan giao do an'!$B$31</f>
        <v>Bắt buộc: Charter/PMP; SRS + scope/WBS; Gantt/baseline; effort-cost budget; RACI/timesheet; quality-test-defect; communication/minutes; risk register; procurement; change log; closure/lessons learned.</v>
      </c>
      <c r="M544" t="str">
        <f>'Huong dan giao do an'!$B$33</f>
        <v>Tuần 1: 07.09–13.09.2026; Tuần 2: 14.09–20.09.2026; Tuần 3: 21.09–27.09.2026; Tuần 4: 28.09–04.10.2026; Tuần 5: 05.10–11.10.2026; Tuần 6: 12.10–18.10.2026; Tuần 7: 19.10–25.10.2026; Tuần 8: 26.10–01.11.2026.</v>
      </c>
      <c r="N5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4" s="17" t="str">
        <f t="shared" si="8"/>
        <v>Còn trống</v>
      </c>
    </row>
    <row r="545" spans="1:16" x14ac:dyDescent="0.3">
      <c r="A545">
        <v>544</v>
      </c>
      <c r="B545" t="s">
        <v>1171</v>
      </c>
      <c r="C545" t="s">
        <v>1286</v>
      </c>
      <c r="D545" t="s">
        <v>1287</v>
      </c>
      <c r="E545" t="s">
        <v>40</v>
      </c>
      <c r="F545" t="s">
        <v>1189</v>
      </c>
      <c r="G545" t="s">
        <v>1190</v>
      </c>
      <c r="H545" t="str">
        <f>'Huong dan giao do an'!$B$14</f>
        <v>5 SV (vai trò chính): 1 PM/Scrum Master kiêm Integration; 2 BA/PO; 3 UI-UX + Frontend; 4 Backend/API + DevOps; 5 Database + QA/Tester. Mỗi SV có nhiệm vụ phụ và minh chứng cá nhân.</v>
      </c>
      <c r="I545" t="s">
        <v>22</v>
      </c>
      <c r="J545" t="s">
        <v>1176</v>
      </c>
      <c r="K545" t="str">
        <f>IF(I545="Trung bình",'Huong dan giao do an'!$B$8,IF(I545="Khá",'Huong dan giao do an'!$B$9,'Huong dan giao do an'!$B$10))</f>
        <v>Tối thiểu 4 actor; 10-14 use case; 8-12 bảng; 3 quy trình lõi; phân quyền chi tiết; 2 báo cáo; tích hợp 1 dịch vụ; &gt;=35 test case; CI/CD hoặc deploy cloud.</v>
      </c>
      <c r="L545" t="str">
        <f>'Huong dan giao do an'!$B$31</f>
        <v>Bắt buộc: Charter/PMP; SRS + scope/WBS; Gantt/baseline; effort-cost budget; RACI/timesheet; quality-test-defect; communication/minutes; risk register; procurement; change log; closure/lessons learned.</v>
      </c>
      <c r="M545" t="str">
        <f>'Huong dan giao do an'!$B$33</f>
        <v>Tuần 1: 07.09–13.09.2026; Tuần 2: 14.09–20.09.2026; Tuần 3: 21.09–27.09.2026; Tuần 4: 28.09–04.10.2026; Tuần 5: 05.10–11.10.2026; Tuần 6: 12.10–18.10.2026; Tuần 7: 19.10–25.10.2026; Tuần 8: 26.10–01.11.2026.</v>
      </c>
      <c r="N5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5" s="17" t="str">
        <f t="shared" si="8"/>
        <v>Còn trống</v>
      </c>
    </row>
    <row r="546" spans="1:16" x14ac:dyDescent="0.3">
      <c r="A546">
        <v>545</v>
      </c>
      <c r="B546" t="s">
        <v>1171</v>
      </c>
      <c r="C546" t="s">
        <v>1288</v>
      </c>
      <c r="D546" t="s">
        <v>1289</v>
      </c>
      <c r="E546" t="s">
        <v>45</v>
      </c>
      <c r="F546" t="s">
        <v>1193</v>
      </c>
      <c r="G546" t="s">
        <v>1194</v>
      </c>
      <c r="H546" t="str">
        <f>'Huong dan giao do an'!$B$14</f>
        <v>5 SV (vai trò chính): 1 PM/Scrum Master kiêm Integration; 2 BA/PO; 3 UI-UX + Frontend; 4 Backend/API + DevOps; 5 Database + QA/Tester. Mỗi SV có nhiệm vụ phụ và minh chứng cá nhân.</v>
      </c>
      <c r="I546" t="s">
        <v>29</v>
      </c>
      <c r="J546" t="s">
        <v>1181</v>
      </c>
      <c r="K546" t="str">
        <f>IF(I546="Trung bình",'Huong dan giao do an'!$B$8,IF(I546="Khá",'Huong dan giao do an'!$B$9,'Huong dan giao do an'!$B$10))</f>
        <v>Tối thiểu 5 actor; 14-18 use case; 10-15 bảng; 4 quy trình; tích hợp ngoài/realtime hoặc xử lý nâng cao; 3 báo cáo; &gt;=45 test case; logging, backup và deploy.</v>
      </c>
      <c r="L546" t="str">
        <f>'Huong dan giao do an'!$B$31</f>
        <v>Bắt buộc: Charter/PMP; SRS + scope/WBS; Gantt/baseline; effort-cost budget; RACI/timesheet; quality-test-defect; communication/minutes; risk register; procurement; change log; closure/lessons learned.</v>
      </c>
      <c r="M546" t="str">
        <f>'Huong dan giao do an'!$B$33</f>
        <v>Tuần 1: 07.09–13.09.2026; Tuần 2: 14.09–20.09.2026; Tuần 3: 21.09–27.09.2026; Tuần 4: 28.09–04.10.2026; Tuần 5: 05.10–11.10.2026; Tuần 6: 12.10–18.10.2026; Tuần 7: 19.10–25.10.2026; Tuần 8: 26.10–01.11.2026.</v>
      </c>
      <c r="N5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6" s="17" t="str">
        <f t="shared" si="8"/>
        <v>Còn trống</v>
      </c>
    </row>
    <row r="547" spans="1:16" x14ac:dyDescent="0.3">
      <c r="A547">
        <v>546</v>
      </c>
      <c r="B547" t="s">
        <v>1171</v>
      </c>
      <c r="C547" t="s">
        <v>1290</v>
      </c>
      <c r="D547" t="s">
        <v>1291</v>
      </c>
      <c r="E547" t="s">
        <v>19</v>
      </c>
      <c r="F547" t="s">
        <v>1174</v>
      </c>
      <c r="G547" t="s">
        <v>1197</v>
      </c>
      <c r="H547" t="str">
        <f>'Huong dan giao do an'!$B$14</f>
        <v>5 SV (vai trò chính): 1 PM/Scrum Master kiêm Integration; 2 BA/PO; 3 UI-UX + Frontend; 4 Backend/API + DevOps; 5 Database + QA/Tester. Mỗi SV có nhiệm vụ phụ và minh chứng cá nhân.</v>
      </c>
      <c r="I547" t="s">
        <v>36</v>
      </c>
      <c r="J547" t="s">
        <v>1186</v>
      </c>
      <c r="K547" t="str">
        <f>IF(I547="Trung bình",'Huong dan giao do an'!$B$8,IF(I547="Khá",'Huong dan giao do an'!$B$9,'Huong dan giao do an'!$B$10))</f>
        <v>Tối thiểu 3 actor; 8-10 use case; 6-8 bảng dữ liệu; 2 quy trình lõi; đăng nhập/RBAC; 1 dashboard; 1 báo cáo; &gt;=25 test case; triển khai bản demo.</v>
      </c>
      <c r="L547" t="str">
        <f>'Huong dan giao do an'!$B$31</f>
        <v>Bắt buộc: Charter/PMP; SRS + scope/WBS; Gantt/baseline; effort-cost budget; RACI/timesheet; quality-test-defect; communication/minutes; risk register; procurement; change log; closure/lessons learned.</v>
      </c>
      <c r="M547" t="str">
        <f>'Huong dan giao do an'!$B$33</f>
        <v>Tuần 1: 07.09–13.09.2026; Tuần 2: 14.09–20.09.2026; Tuần 3: 21.09–27.09.2026; Tuần 4: 28.09–04.10.2026; Tuần 5: 05.10–11.10.2026; Tuần 6: 12.10–18.10.2026; Tuần 7: 19.10–25.10.2026; Tuần 8: 26.10–01.11.2026.</v>
      </c>
      <c r="N5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7" s="17" t="str">
        <f t="shared" si="8"/>
        <v>Còn trống</v>
      </c>
    </row>
    <row r="548" spans="1:16" x14ac:dyDescent="0.3">
      <c r="A548">
        <v>547</v>
      </c>
      <c r="B548" t="s">
        <v>1171</v>
      </c>
      <c r="C548" t="s">
        <v>1292</v>
      </c>
      <c r="D548" t="s">
        <v>1293</v>
      </c>
      <c r="E548" t="s">
        <v>26</v>
      </c>
      <c r="F548" t="s">
        <v>1179</v>
      </c>
      <c r="G548" t="s">
        <v>1200</v>
      </c>
      <c r="H548" t="str">
        <f>'Huong dan giao do an'!$B$14</f>
        <v>5 SV (vai trò chính): 1 PM/Scrum Master kiêm Integration; 2 BA/PO; 3 UI-UX + Frontend; 4 Backend/API + DevOps; 5 Database + QA/Tester. Mỗi SV có nhiệm vụ phụ và minh chứng cá nhân.</v>
      </c>
      <c r="I548" t="s">
        <v>22</v>
      </c>
      <c r="J548" t="s">
        <v>1176</v>
      </c>
      <c r="K548" t="str">
        <f>IF(I548="Trung bình",'Huong dan giao do an'!$B$8,IF(I548="Khá",'Huong dan giao do an'!$B$9,'Huong dan giao do an'!$B$10))</f>
        <v>Tối thiểu 4 actor; 10-14 use case; 8-12 bảng; 3 quy trình lõi; phân quyền chi tiết; 2 báo cáo; tích hợp 1 dịch vụ; &gt;=35 test case; CI/CD hoặc deploy cloud.</v>
      </c>
      <c r="L548" t="str">
        <f>'Huong dan giao do an'!$B$31</f>
        <v>Bắt buộc: Charter/PMP; SRS + scope/WBS; Gantt/baseline; effort-cost budget; RACI/timesheet; quality-test-defect; communication/minutes; risk register; procurement; change log; closure/lessons learned.</v>
      </c>
      <c r="M548" t="str">
        <f>'Huong dan giao do an'!$B$33</f>
        <v>Tuần 1: 07.09–13.09.2026; Tuần 2: 14.09–20.09.2026; Tuần 3: 21.09–27.09.2026; Tuần 4: 28.09–04.10.2026; Tuần 5: 05.10–11.10.2026; Tuần 6: 12.10–18.10.2026; Tuần 7: 19.10–25.10.2026; Tuần 8: 26.10–01.11.2026.</v>
      </c>
      <c r="N5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8" s="17" t="str">
        <f t="shared" si="8"/>
        <v>Còn trống</v>
      </c>
    </row>
    <row r="549" spans="1:16" x14ac:dyDescent="0.3">
      <c r="A549">
        <v>548</v>
      </c>
      <c r="B549" t="s">
        <v>1171</v>
      </c>
      <c r="C549" t="s">
        <v>1294</v>
      </c>
      <c r="D549" t="s">
        <v>1295</v>
      </c>
      <c r="E549" t="s">
        <v>33</v>
      </c>
      <c r="F549" t="s">
        <v>1184</v>
      </c>
      <c r="G549" t="s">
        <v>1203</v>
      </c>
      <c r="H549" t="str">
        <f>'Huong dan giao do an'!$B$14</f>
        <v>5 SV (vai trò chính): 1 PM/Scrum Master kiêm Integration; 2 BA/PO; 3 UI-UX + Frontend; 4 Backend/API + DevOps; 5 Database + QA/Tester. Mỗi SV có nhiệm vụ phụ và minh chứng cá nhân.</v>
      </c>
      <c r="I549" t="s">
        <v>29</v>
      </c>
      <c r="J549" t="s">
        <v>1181</v>
      </c>
      <c r="K549" t="str">
        <f>IF(I549="Trung bình",'Huong dan giao do an'!$B$8,IF(I549="Khá",'Huong dan giao do an'!$B$9,'Huong dan giao do an'!$B$10))</f>
        <v>Tối thiểu 5 actor; 14-18 use case; 10-15 bảng; 4 quy trình; tích hợp ngoài/realtime hoặc xử lý nâng cao; 3 báo cáo; &gt;=45 test case; logging, backup và deploy.</v>
      </c>
      <c r="L549" t="str">
        <f>'Huong dan giao do an'!$B$31</f>
        <v>Bắt buộc: Charter/PMP; SRS + scope/WBS; Gantt/baseline; effort-cost budget; RACI/timesheet; quality-test-defect; communication/minutes; risk register; procurement; change log; closure/lessons learned.</v>
      </c>
      <c r="M549" t="str">
        <f>'Huong dan giao do an'!$B$33</f>
        <v>Tuần 1: 07.09–13.09.2026; Tuần 2: 14.09–20.09.2026; Tuần 3: 21.09–27.09.2026; Tuần 4: 28.09–04.10.2026; Tuần 5: 05.10–11.10.2026; Tuần 6: 12.10–18.10.2026; Tuần 7: 19.10–25.10.2026; Tuần 8: 26.10–01.11.2026.</v>
      </c>
      <c r="N5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49" s="17" t="str">
        <f t="shared" si="8"/>
        <v>Còn trống</v>
      </c>
    </row>
    <row r="550" spans="1:16" x14ac:dyDescent="0.3">
      <c r="A550">
        <v>549</v>
      </c>
      <c r="B550" t="s">
        <v>1171</v>
      </c>
      <c r="C550" t="s">
        <v>1296</v>
      </c>
      <c r="D550" t="s">
        <v>1297</v>
      </c>
      <c r="E550" t="s">
        <v>40</v>
      </c>
      <c r="F550" t="s">
        <v>1189</v>
      </c>
      <c r="G550" t="s">
        <v>1206</v>
      </c>
      <c r="H550" t="str">
        <f>'Huong dan giao do an'!$B$14</f>
        <v>5 SV (vai trò chính): 1 PM/Scrum Master kiêm Integration; 2 BA/PO; 3 UI-UX + Frontend; 4 Backend/API + DevOps; 5 Database + QA/Tester. Mỗi SV có nhiệm vụ phụ và minh chứng cá nhân.</v>
      </c>
      <c r="I550" t="s">
        <v>36</v>
      </c>
      <c r="J550" t="s">
        <v>1186</v>
      </c>
      <c r="K550" t="str">
        <f>IF(I550="Trung bình",'Huong dan giao do an'!$B$8,IF(I550="Khá",'Huong dan giao do an'!$B$9,'Huong dan giao do an'!$B$10))</f>
        <v>Tối thiểu 3 actor; 8-10 use case; 6-8 bảng dữ liệu; 2 quy trình lõi; đăng nhập/RBAC; 1 dashboard; 1 báo cáo; &gt;=25 test case; triển khai bản demo.</v>
      </c>
      <c r="L550" t="str">
        <f>'Huong dan giao do an'!$B$31</f>
        <v>Bắt buộc: Charter/PMP; SRS + scope/WBS; Gantt/baseline; effort-cost budget; RACI/timesheet; quality-test-defect; communication/minutes; risk register; procurement; change log; closure/lessons learned.</v>
      </c>
      <c r="M550" t="str">
        <f>'Huong dan giao do an'!$B$33</f>
        <v>Tuần 1: 07.09–13.09.2026; Tuần 2: 14.09–20.09.2026; Tuần 3: 21.09–27.09.2026; Tuần 4: 28.09–04.10.2026; Tuần 5: 05.10–11.10.2026; Tuần 6: 12.10–18.10.2026; Tuần 7: 19.10–25.10.2026; Tuần 8: 26.10–01.11.2026.</v>
      </c>
      <c r="N5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0" s="17" t="str">
        <f t="shared" si="8"/>
        <v>Còn trống</v>
      </c>
    </row>
    <row r="551" spans="1:16" x14ac:dyDescent="0.3">
      <c r="A551">
        <v>550</v>
      </c>
      <c r="B551" t="s">
        <v>1171</v>
      </c>
      <c r="C551" t="s">
        <v>1298</v>
      </c>
      <c r="D551" t="s">
        <v>1299</v>
      </c>
      <c r="E551" t="s">
        <v>45</v>
      </c>
      <c r="F551" t="s">
        <v>1193</v>
      </c>
      <c r="G551" t="s">
        <v>1209</v>
      </c>
      <c r="H551" t="str">
        <f>'Huong dan giao do an'!$B$14</f>
        <v>5 SV (vai trò chính): 1 PM/Scrum Master kiêm Integration; 2 BA/PO; 3 UI-UX + Frontend; 4 Backend/API + DevOps; 5 Database + QA/Tester. Mỗi SV có nhiệm vụ phụ và minh chứng cá nhân.</v>
      </c>
      <c r="I551" t="s">
        <v>22</v>
      </c>
      <c r="J551" t="s">
        <v>1176</v>
      </c>
      <c r="K551" t="str">
        <f>IF(I551="Trung bình",'Huong dan giao do an'!$B$8,IF(I551="Khá",'Huong dan giao do an'!$B$9,'Huong dan giao do an'!$B$10))</f>
        <v>Tối thiểu 4 actor; 10-14 use case; 8-12 bảng; 3 quy trình lõi; phân quyền chi tiết; 2 báo cáo; tích hợp 1 dịch vụ; &gt;=35 test case; CI/CD hoặc deploy cloud.</v>
      </c>
      <c r="L551" t="str">
        <f>'Huong dan giao do an'!$B$31</f>
        <v>Bắt buộc: Charter/PMP; SRS + scope/WBS; Gantt/baseline; effort-cost budget; RACI/timesheet; quality-test-defect; communication/minutes; risk register; procurement; change log; closure/lessons learned.</v>
      </c>
      <c r="M551" t="str">
        <f>'Huong dan giao do an'!$B$33</f>
        <v>Tuần 1: 07.09–13.09.2026; Tuần 2: 14.09–20.09.2026; Tuần 3: 21.09–27.09.2026; Tuần 4: 28.09–04.10.2026; Tuần 5: 05.10–11.10.2026; Tuần 6: 12.10–18.10.2026; Tuần 7: 19.10–25.10.2026; Tuần 8: 26.10–01.11.2026.</v>
      </c>
      <c r="N5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1" s="17" t="str">
        <f t="shared" si="8"/>
        <v>Còn trống</v>
      </c>
    </row>
    <row r="552" spans="1:16" x14ac:dyDescent="0.3">
      <c r="A552">
        <v>551</v>
      </c>
      <c r="B552" t="s">
        <v>1171</v>
      </c>
      <c r="C552" t="s">
        <v>1300</v>
      </c>
      <c r="D552" t="s">
        <v>1301</v>
      </c>
      <c r="E552" t="s">
        <v>19</v>
      </c>
      <c r="F552" t="s">
        <v>1174</v>
      </c>
      <c r="G552" t="s">
        <v>1212</v>
      </c>
      <c r="H552" t="str">
        <f>'Huong dan giao do an'!$B$14</f>
        <v>5 SV (vai trò chính): 1 PM/Scrum Master kiêm Integration; 2 BA/PO; 3 UI-UX + Frontend; 4 Backend/API + DevOps; 5 Database + QA/Tester. Mỗi SV có nhiệm vụ phụ và minh chứng cá nhân.</v>
      </c>
      <c r="I552" t="s">
        <v>29</v>
      </c>
      <c r="J552" t="s">
        <v>1181</v>
      </c>
      <c r="K552" t="str">
        <f>IF(I552="Trung bình",'Huong dan giao do an'!$B$8,IF(I552="Khá",'Huong dan giao do an'!$B$9,'Huong dan giao do an'!$B$10))</f>
        <v>Tối thiểu 5 actor; 14-18 use case; 10-15 bảng; 4 quy trình; tích hợp ngoài/realtime hoặc xử lý nâng cao; 3 báo cáo; &gt;=45 test case; logging, backup và deploy.</v>
      </c>
      <c r="L552" t="str">
        <f>'Huong dan giao do an'!$B$31</f>
        <v>Bắt buộc: Charter/PMP; SRS + scope/WBS; Gantt/baseline; effort-cost budget; RACI/timesheet; quality-test-defect; communication/minutes; risk register; procurement; change log; closure/lessons learned.</v>
      </c>
      <c r="M552" t="str">
        <f>'Huong dan giao do an'!$B$33</f>
        <v>Tuần 1: 07.09–13.09.2026; Tuần 2: 14.09–20.09.2026; Tuần 3: 21.09–27.09.2026; Tuần 4: 28.09–04.10.2026; Tuần 5: 05.10–11.10.2026; Tuần 6: 12.10–18.10.2026; Tuần 7: 19.10–25.10.2026; Tuần 8: 26.10–01.11.2026.</v>
      </c>
      <c r="N5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2" s="17" t="str">
        <f t="shared" si="8"/>
        <v>Còn trống</v>
      </c>
    </row>
    <row r="553" spans="1:16" x14ac:dyDescent="0.3">
      <c r="A553">
        <v>552</v>
      </c>
      <c r="B553" t="s">
        <v>1171</v>
      </c>
      <c r="C553" t="s">
        <v>1302</v>
      </c>
      <c r="D553" t="s">
        <v>1303</v>
      </c>
      <c r="E553" t="s">
        <v>26</v>
      </c>
      <c r="F553" t="s">
        <v>1179</v>
      </c>
      <c r="G553" t="s">
        <v>1215</v>
      </c>
      <c r="H553" t="str">
        <f>'Huong dan giao do an'!$B$14</f>
        <v>5 SV (vai trò chính): 1 PM/Scrum Master kiêm Integration; 2 BA/PO; 3 UI-UX + Frontend; 4 Backend/API + DevOps; 5 Database + QA/Tester. Mỗi SV có nhiệm vụ phụ và minh chứng cá nhân.</v>
      </c>
      <c r="I553" t="s">
        <v>36</v>
      </c>
      <c r="J553" t="s">
        <v>1186</v>
      </c>
      <c r="K553" t="str">
        <f>IF(I553="Trung bình",'Huong dan giao do an'!$B$8,IF(I553="Khá",'Huong dan giao do an'!$B$9,'Huong dan giao do an'!$B$10))</f>
        <v>Tối thiểu 3 actor; 8-10 use case; 6-8 bảng dữ liệu; 2 quy trình lõi; đăng nhập/RBAC; 1 dashboard; 1 báo cáo; &gt;=25 test case; triển khai bản demo.</v>
      </c>
      <c r="L553" t="str">
        <f>'Huong dan giao do an'!$B$31</f>
        <v>Bắt buộc: Charter/PMP; SRS + scope/WBS; Gantt/baseline; effort-cost budget; RACI/timesheet; quality-test-defect; communication/minutes; risk register; procurement; change log; closure/lessons learned.</v>
      </c>
      <c r="M553" t="str">
        <f>'Huong dan giao do an'!$B$33</f>
        <v>Tuần 1: 07.09–13.09.2026; Tuần 2: 14.09–20.09.2026; Tuần 3: 21.09–27.09.2026; Tuần 4: 28.09–04.10.2026; Tuần 5: 05.10–11.10.2026; Tuần 6: 12.10–18.10.2026; Tuần 7: 19.10–25.10.2026; Tuần 8: 26.10–01.11.2026.</v>
      </c>
      <c r="N5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3" s="17" t="str">
        <f t="shared" si="8"/>
        <v>Còn trống</v>
      </c>
    </row>
    <row r="554" spans="1:16" x14ac:dyDescent="0.3">
      <c r="A554">
        <v>553</v>
      </c>
      <c r="B554" t="s">
        <v>1171</v>
      </c>
      <c r="C554" t="s">
        <v>1304</v>
      </c>
      <c r="D554" t="s">
        <v>1305</v>
      </c>
      <c r="E554" t="s">
        <v>33</v>
      </c>
      <c r="F554" t="s">
        <v>1184</v>
      </c>
      <c r="G554" t="s">
        <v>1218</v>
      </c>
      <c r="H554" t="str">
        <f>'Huong dan giao do an'!$B$14</f>
        <v>5 SV (vai trò chính): 1 PM/Scrum Master kiêm Integration; 2 BA/PO; 3 UI-UX + Frontend; 4 Backend/API + DevOps; 5 Database + QA/Tester. Mỗi SV có nhiệm vụ phụ và minh chứng cá nhân.</v>
      </c>
      <c r="I554" t="s">
        <v>22</v>
      </c>
      <c r="J554" t="s">
        <v>1176</v>
      </c>
      <c r="K554" t="str">
        <f>IF(I554="Trung bình",'Huong dan giao do an'!$B$8,IF(I554="Khá",'Huong dan giao do an'!$B$9,'Huong dan giao do an'!$B$10))</f>
        <v>Tối thiểu 4 actor; 10-14 use case; 8-12 bảng; 3 quy trình lõi; phân quyền chi tiết; 2 báo cáo; tích hợp 1 dịch vụ; &gt;=35 test case; CI/CD hoặc deploy cloud.</v>
      </c>
      <c r="L554" t="str">
        <f>'Huong dan giao do an'!$B$31</f>
        <v>Bắt buộc: Charter/PMP; SRS + scope/WBS; Gantt/baseline; effort-cost budget; RACI/timesheet; quality-test-defect; communication/minutes; risk register; procurement; change log; closure/lessons learned.</v>
      </c>
      <c r="M554" t="str">
        <f>'Huong dan giao do an'!$B$33</f>
        <v>Tuần 1: 07.09–13.09.2026; Tuần 2: 14.09–20.09.2026; Tuần 3: 21.09–27.09.2026; Tuần 4: 28.09–04.10.2026; Tuần 5: 05.10–11.10.2026; Tuần 6: 12.10–18.10.2026; Tuần 7: 19.10–25.10.2026; Tuần 8: 26.10–01.11.2026.</v>
      </c>
      <c r="N5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4" s="17" t="str">
        <f t="shared" si="8"/>
        <v>Còn trống</v>
      </c>
    </row>
    <row r="555" spans="1:16" x14ac:dyDescent="0.3">
      <c r="A555">
        <v>554</v>
      </c>
      <c r="B555" t="s">
        <v>1171</v>
      </c>
      <c r="C555" t="s">
        <v>1306</v>
      </c>
      <c r="D555" t="s">
        <v>1307</v>
      </c>
      <c r="E555" t="s">
        <v>40</v>
      </c>
      <c r="F555" t="s">
        <v>1189</v>
      </c>
      <c r="G555" t="s">
        <v>1221</v>
      </c>
      <c r="H555" t="str">
        <f>'Huong dan giao do an'!$B$14</f>
        <v>5 SV (vai trò chính): 1 PM/Scrum Master kiêm Integration; 2 BA/PO; 3 UI-UX + Frontend; 4 Backend/API + DevOps; 5 Database + QA/Tester. Mỗi SV có nhiệm vụ phụ và minh chứng cá nhân.</v>
      </c>
      <c r="I555" t="s">
        <v>29</v>
      </c>
      <c r="J555" t="s">
        <v>1181</v>
      </c>
      <c r="K555" t="str">
        <f>IF(I555="Trung bình",'Huong dan giao do an'!$B$8,IF(I555="Khá",'Huong dan giao do an'!$B$9,'Huong dan giao do an'!$B$10))</f>
        <v>Tối thiểu 5 actor; 14-18 use case; 10-15 bảng; 4 quy trình; tích hợp ngoài/realtime hoặc xử lý nâng cao; 3 báo cáo; &gt;=45 test case; logging, backup và deploy.</v>
      </c>
      <c r="L555" t="str">
        <f>'Huong dan giao do an'!$B$31</f>
        <v>Bắt buộc: Charter/PMP; SRS + scope/WBS; Gantt/baseline; effort-cost budget; RACI/timesheet; quality-test-defect; communication/minutes; risk register; procurement; change log; closure/lessons learned.</v>
      </c>
      <c r="M555" t="str">
        <f>'Huong dan giao do an'!$B$33</f>
        <v>Tuần 1: 07.09–13.09.2026; Tuần 2: 14.09–20.09.2026; Tuần 3: 21.09–27.09.2026; Tuần 4: 28.09–04.10.2026; Tuần 5: 05.10–11.10.2026; Tuần 6: 12.10–18.10.2026; Tuần 7: 19.10–25.10.2026; Tuần 8: 26.10–01.11.2026.</v>
      </c>
      <c r="N5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5" s="17" t="str">
        <f t="shared" si="8"/>
        <v>Còn trống</v>
      </c>
    </row>
    <row r="556" spans="1:16" x14ac:dyDescent="0.3">
      <c r="A556">
        <v>555</v>
      </c>
      <c r="B556" t="s">
        <v>1171</v>
      </c>
      <c r="C556" t="s">
        <v>1308</v>
      </c>
      <c r="D556" t="s">
        <v>1309</v>
      </c>
      <c r="E556" t="s">
        <v>45</v>
      </c>
      <c r="F556" t="s">
        <v>1193</v>
      </c>
      <c r="G556" t="s">
        <v>1224</v>
      </c>
      <c r="H556" t="str">
        <f>'Huong dan giao do an'!$B$14</f>
        <v>5 SV (vai trò chính): 1 PM/Scrum Master kiêm Integration; 2 BA/PO; 3 UI-UX + Frontend; 4 Backend/API + DevOps; 5 Database + QA/Tester. Mỗi SV có nhiệm vụ phụ và minh chứng cá nhân.</v>
      </c>
      <c r="I556" t="s">
        <v>36</v>
      </c>
      <c r="J556" t="s">
        <v>1186</v>
      </c>
      <c r="K556" t="str">
        <f>IF(I556="Trung bình",'Huong dan giao do an'!$B$8,IF(I556="Khá",'Huong dan giao do an'!$B$9,'Huong dan giao do an'!$B$10))</f>
        <v>Tối thiểu 3 actor; 8-10 use case; 6-8 bảng dữ liệu; 2 quy trình lõi; đăng nhập/RBAC; 1 dashboard; 1 báo cáo; &gt;=25 test case; triển khai bản demo.</v>
      </c>
      <c r="L556" t="str">
        <f>'Huong dan giao do an'!$B$31</f>
        <v>Bắt buộc: Charter/PMP; SRS + scope/WBS; Gantt/baseline; effort-cost budget; RACI/timesheet; quality-test-defect; communication/minutes; risk register; procurement; change log; closure/lessons learned.</v>
      </c>
      <c r="M556" t="str">
        <f>'Huong dan giao do an'!$B$33</f>
        <v>Tuần 1: 07.09–13.09.2026; Tuần 2: 14.09–20.09.2026; Tuần 3: 21.09–27.09.2026; Tuần 4: 28.09–04.10.2026; Tuần 5: 05.10–11.10.2026; Tuần 6: 12.10–18.10.2026; Tuần 7: 19.10–25.10.2026; Tuần 8: 26.10–01.11.2026.</v>
      </c>
      <c r="N5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6" s="17" t="str">
        <f t="shared" si="8"/>
        <v>Còn trống</v>
      </c>
    </row>
    <row r="557" spans="1:16" x14ac:dyDescent="0.3">
      <c r="A557">
        <v>556</v>
      </c>
      <c r="B557" t="s">
        <v>1171</v>
      </c>
      <c r="C557" t="s">
        <v>1310</v>
      </c>
      <c r="D557" t="s">
        <v>1311</v>
      </c>
      <c r="E557" t="s">
        <v>19</v>
      </c>
      <c r="F557" t="s">
        <v>1174</v>
      </c>
      <c r="G557" t="s">
        <v>1227</v>
      </c>
      <c r="H557" t="str">
        <f>'Huong dan giao do an'!$B$14</f>
        <v>5 SV (vai trò chính): 1 PM/Scrum Master kiêm Integration; 2 BA/PO; 3 UI-UX + Frontend; 4 Backend/API + DevOps; 5 Database + QA/Tester. Mỗi SV có nhiệm vụ phụ và minh chứng cá nhân.</v>
      </c>
      <c r="I557" t="s">
        <v>22</v>
      </c>
      <c r="J557" t="s">
        <v>1176</v>
      </c>
      <c r="K557" t="str">
        <f>IF(I557="Trung bình",'Huong dan giao do an'!$B$8,IF(I557="Khá",'Huong dan giao do an'!$B$9,'Huong dan giao do an'!$B$10))</f>
        <v>Tối thiểu 4 actor; 10-14 use case; 8-12 bảng; 3 quy trình lõi; phân quyền chi tiết; 2 báo cáo; tích hợp 1 dịch vụ; &gt;=35 test case; CI/CD hoặc deploy cloud.</v>
      </c>
      <c r="L557" t="str">
        <f>'Huong dan giao do an'!$B$31</f>
        <v>Bắt buộc: Charter/PMP; SRS + scope/WBS; Gantt/baseline; effort-cost budget; RACI/timesheet; quality-test-defect; communication/minutes; risk register; procurement; change log; closure/lessons learned.</v>
      </c>
      <c r="M557" t="str">
        <f>'Huong dan giao do an'!$B$33</f>
        <v>Tuần 1: 07.09–13.09.2026; Tuần 2: 14.09–20.09.2026; Tuần 3: 21.09–27.09.2026; Tuần 4: 28.09–04.10.2026; Tuần 5: 05.10–11.10.2026; Tuần 6: 12.10–18.10.2026; Tuần 7: 19.10–25.10.2026; Tuần 8: 26.10–01.11.2026.</v>
      </c>
      <c r="N5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7" s="17" t="str">
        <f t="shared" si="8"/>
        <v>Còn trống</v>
      </c>
    </row>
    <row r="558" spans="1:16" x14ac:dyDescent="0.3">
      <c r="A558">
        <v>557</v>
      </c>
      <c r="B558" t="s">
        <v>1171</v>
      </c>
      <c r="C558" t="s">
        <v>1312</v>
      </c>
      <c r="D558" t="s">
        <v>1313</v>
      </c>
      <c r="E558" t="s">
        <v>26</v>
      </c>
      <c r="F558" t="s">
        <v>1179</v>
      </c>
      <c r="G558" t="s">
        <v>1230</v>
      </c>
      <c r="H558" t="str">
        <f>'Huong dan giao do an'!$B$14</f>
        <v>5 SV (vai trò chính): 1 PM/Scrum Master kiêm Integration; 2 BA/PO; 3 UI-UX + Frontend; 4 Backend/API + DevOps; 5 Database + QA/Tester. Mỗi SV có nhiệm vụ phụ và minh chứng cá nhân.</v>
      </c>
      <c r="I558" t="s">
        <v>29</v>
      </c>
      <c r="J558" t="s">
        <v>1181</v>
      </c>
      <c r="K558" t="str">
        <f>IF(I558="Trung bình",'Huong dan giao do an'!$B$8,IF(I558="Khá",'Huong dan giao do an'!$B$9,'Huong dan giao do an'!$B$10))</f>
        <v>Tối thiểu 5 actor; 14-18 use case; 10-15 bảng; 4 quy trình; tích hợp ngoài/realtime hoặc xử lý nâng cao; 3 báo cáo; &gt;=45 test case; logging, backup và deploy.</v>
      </c>
      <c r="L558" t="str">
        <f>'Huong dan giao do an'!$B$31</f>
        <v>Bắt buộc: Charter/PMP; SRS + scope/WBS; Gantt/baseline; effort-cost budget; RACI/timesheet; quality-test-defect; communication/minutes; risk register; procurement; change log; closure/lessons learned.</v>
      </c>
      <c r="M558" t="str">
        <f>'Huong dan giao do an'!$B$33</f>
        <v>Tuần 1: 07.09–13.09.2026; Tuần 2: 14.09–20.09.2026; Tuần 3: 21.09–27.09.2026; Tuần 4: 28.09–04.10.2026; Tuần 5: 05.10–11.10.2026; Tuần 6: 12.10–18.10.2026; Tuần 7: 19.10–25.10.2026; Tuần 8: 26.10–01.11.2026.</v>
      </c>
      <c r="N5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8" s="17" t="str">
        <f t="shared" si="8"/>
        <v>Còn trống</v>
      </c>
    </row>
    <row r="559" spans="1:16" x14ac:dyDescent="0.3">
      <c r="A559">
        <v>558</v>
      </c>
      <c r="B559" t="s">
        <v>1171</v>
      </c>
      <c r="C559" t="s">
        <v>1314</v>
      </c>
      <c r="D559" t="s">
        <v>1315</v>
      </c>
      <c r="E559" t="s">
        <v>33</v>
      </c>
      <c r="F559" t="s">
        <v>1184</v>
      </c>
      <c r="G559" t="s">
        <v>1233</v>
      </c>
      <c r="H559" t="str">
        <f>'Huong dan giao do an'!$B$14</f>
        <v>5 SV (vai trò chính): 1 PM/Scrum Master kiêm Integration; 2 BA/PO; 3 UI-UX + Frontend; 4 Backend/API + DevOps; 5 Database + QA/Tester. Mỗi SV có nhiệm vụ phụ và minh chứng cá nhân.</v>
      </c>
      <c r="I559" t="s">
        <v>36</v>
      </c>
      <c r="J559" t="s">
        <v>1186</v>
      </c>
      <c r="K559" t="str">
        <f>IF(I559="Trung bình",'Huong dan giao do an'!$B$8,IF(I559="Khá",'Huong dan giao do an'!$B$9,'Huong dan giao do an'!$B$10))</f>
        <v>Tối thiểu 3 actor; 8-10 use case; 6-8 bảng dữ liệu; 2 quy trình lõi; đăng nhập/RBAC; 1 dashboard; 1 báo cáo; &gt;=25 test case; triển khai bản demo.</v>
      </c>
      <c r="L559" t="str">
        <f>'Huong dan giao do an'!$B$31</f>
        <v>Bắt buộc: Charter/PMP; SRS + scope/WBS; Gantt/baseline; effort-cost budget; RACI/timesheet; quality-test-defect; communication/minutes; risk register; procurement; change log; closure/lessons learned.</v>
      </c>
      <c r="M559" t="str">
        <f>'Huong dan giao do an'!$B$33</f>
        <v>Tuần 1: 07.09–13.09.2026; Tuần 2: 14.09–20.09.2026; Tuần 3: 21.09–27.09.2026; Tuần 4: 28.09–04.10.2026; Tuần 5: 05.10–11.10.2026; Tuần 6: 12.10–18.10.2026; Tuần 7: 19.10–25.10.2026; Tuần 8: 26.10–01.11.2026.</v>
      </c>
      <c r="N5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59" s="17" t="str">
        <f t="shared" si="8"/>
        <v>Còn trống</v>
      </c>
    </row>
    <row r="560" spans="1:16" x14ac:dyDescent="0.3">
      <c r="A560">
        <v>559</v>
      </c>
      <c r="B560" t="s">
        <v>1171</v>
      </c>
      <c r="C560" t="s">
        <v>1316</v>
      </c>
      <c r="D560" t="s">
        <v>1317</v>
      </c>
      <c r="E560" t="s">
        <v>40</v>
      </c>
      <c r="F560" t="s">
        <v>1189</v>
      </c>
      <c r="G560" t="s">
        <v>1236</v>
      </c>
      <c r="H560" t="str">
        <f>'Huong dan giao do an'!$B$14</f>
        <v>5 SV (vai trò chính): 1 PM/Scrum Master kiêm Integration; 2 BA/PO; 3 UI-UX + Frontend; 4 Backend/API + DevOps; 5 Database + QA/Tester. Mỗi SV có nhiệm vụ phụ và minh chứng cá nhân.</v>
      </c>
      <c r="I560" t="s">
        <v>22</v>
      </c>
      <c r="J560" t="s">
        <v>1176</v>
      </c>
      <c r="K560" t="str">
        <f>IF(I560="Trung bình",'Huong dan giao do an'!$B$8,IF(I560="Khá",'Huong dan giao do an'!$B$9,'Huong dan giao do an'!$B$10))</f>
        <v>Tối thiểu 4 actor; 10-14 use case; 8-12 bảng; 3 quy trình lõi; phân quyền chi tiết; 2 báo cáo; tích hợp 1 dịch vụ; &gt;=35 test case; CI/CD hoặc deploy cloud.</v>
      </c>
      <c r="L560" t="str">
        <f>'Huong dan giao do an'!$B$31</f>
        <v>Bắt buộc: Charter/PMP; SRS + scope/WBS; Gantt/baseline; effort-cost budget; RACI/timesheet; quality-test-defect; communication/minutes; risk register; procurement; change log; closure/lessons learned.</v>
      </c>
      <c r="M560" t="str">
        <f>'Huong dan giao do an'!$B$33</f>
        <v>Tuần 1: 07.09–13.09.2026; Tuần 2: 14.09–20.09.2026; Tuần 3: 21.09–27.09.2026; Tuần 4: 28.09–04.10.2026; Tuần 5: 05.10–11.10.2026; Tuần 6: 12.10–18.10.2026; Tuần 7: 19.10–25.10.2026; Tuần 8: 26.10–01.11.2026.</v>
      </c>
      <c r="N5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0" s="17" t="str">
        <f t="shared" si="8"/>
        <v>Còn trống</v>
      </c>
    </row>
    <row r="561" spans="1:16" x14ac:dyDescent="0.3">
      <c r="A561">
        <v>560</v>
      </c>
      <c r="B561" t="s">
        <v>1171</v>
      </c>
      <c r="C561" t="s">
        <v>1318</v>
      </c>
      <c r="D561" t="s">
        <v>1319</v>
      </c>
      <c r="E561" t="s">
        <v>45</v>
      </c>
      <c r="F561" t="s">
        <v>1193</v>
      </c>
      <c r="G561" t="s">
        <v>1239</v>
      </c>
      <c r="H561" t="str">
        <f>'Huong dan giao do an'!$B$14</f>
        <v>5 SV (vai trò chính): 1 PM/Scrum Master kiêm Integration; 2 BA/PO; 3 UI-UX + Frontend; 4 Backend/API + DevOps; 5 Database + QA/Tester. Mỗi SV có nhiệm vụ phụ và minh chứng cá nhân.</v>
      </c>
      <c r="I561" t="s">
        <v>29</v>
      </c>
      <c r="J561" t="s">
        <v>1181</v>
      </c>
      <c r="K561" t="str">
        <f>IF(I561="Trung bình",'Huong dan giao do an'!$B$8,IF(I561="Khá",'Huong dan giao do an'!$B$9,'Huong dan giao do an'!$B$10))</f>
        <v>Tối thiểu 5 actor; 14-18 use case; 10-15 bảng; 4 quy trình; tích hợp ngoài/realtime hoặc xử lý nâng cao; 3 báo cáo; &gt;=45 test case; logging, backup và deploy.</v>
      </c>
      <c r="L561" t="str">
        <f>'Huong dan giao do an'!$B$31</f>
        <v>Bắt buộc: Charter/PMP; SRS + scope/WBS; Gantt/baseline; effort-cost budget; RACI/timesheet; quality-test-defect; communication/minutes; risk register; procurement; change log; closure/lessons learned.</v>
      </c>
      <c r="M561" t="str">
        <f>'Huong dan giao do an'!$B$33</f>
        <v>Tuần 1: 07.09–13.09.2026; Tuần 2: 14.09–20.09.2026; Tuần 3: 21.09–27.09.2026; Tuần 4: 28.09–04.10.2026; Tuần 5: 05.10–11.10.2026; Tuần 6: 12.10–18.10.2026; Tuần 7: 19.10–25.10.2026; Tuần 8: 26.10–01.11.2026.</v>
      </c>
      <c r="N5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1" s="17" t="str">
        <f t="shared" si="8"/>
        <v>Còn trống</v>
      </c>
    </row>
    <row r="562" spans="1:16" x14ac:dyDescent="0.3">
      <c r="A562">
        <v>561</v>
      </c>
      <c r="B562" t="s">
        <v>1171</v>
      </c>
      <c r="C562" t="s">
        <v>1320</v>
      </c>
      <c r="D562" t="s">
        <v>1321</v>
      </c>
      <c r="E562" t="s">
        <v>19</v>
      </c>
      <c r="F562" t="s">
        <v>1174</v>
      </c>
      <c r="G562" t="s">
        <v>1175</v>
      </c>
      <c r="H562" t="str">
        <f>'Huong dan giao do an'!$B$14</f>
        <v>5 SV (vai trò chính): 1 PM/Scrum Master kiêm Integration; 2 BA/PO; 3 UI-UX + Frontend; 4 Backend/API + DevOps; 5 Database + QA/Tester. Mỗi SV có nhiệm vụ phụ và minh chứng cá nhân.</v>
      </c>
      <c r="I562" t="s">
        <v>22</v>
      </c>
      <c r="J562" t="s">
        <v>1176</v>
      </c>
      <c r="K562" t="str">
        <f>IF(I562="Trung bình",'Huong dan giao do an'!$B$8,IF(I562="Khá",'Huong dan giao do an'!$B$9,'Huong dan giao do an'!$B$10))</f>
        <v>Tối thiểu 4 actor; 10-14 use case; 8-12 bảng; 3 quy trình lõi; phân quyền chi tiết; 2 báo cáo; tích hợp 1 dịch vụ; &gt;=35 test case; CI/CD hoặc deploy cloud.</v>
      </c>
      <c r="L562" t="str">
        <f>'Huong dan giao do an'!$B$31</f>
        <v>Bắt buộc: Charter/PMP; SRS + scope/WBS; Gantt/baseline; effort-cost budget; RACI/timesheet; quality-test-defect; communication/minutes; risk register; procurement; change log; closure/lessons learned.</v>
      </c>
      <c r="M562" t="str">
        <f>'Huong dan giao do an'!$B$33</f>
        <v>Tuần 1: 07.09–13.09.2026; Tuần 2: 14.09–20.09.2026; Tuần 3: 21.09–27.09.2026; Tuần 4: 28.09–04.10.2026; Tuần 5: 05.10–11.10.2026; Tuần 6: 12.10–18.10.2026; Tuần 7: 19.10–25.10.2026; Tuần 8: 26.10–01.11.2026.</v>
      </c>
      <c r="N5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2" s="17" t="str">
        <f t="shared" si="8"/>
        <v>Còn trống</v>
      </c>
    </row>
    <row r="563" spans="1:16" x14ac:dyDescent="0.3">
      <c r="A563">
        <v>562</v>
      </c>
      <c r="B563" t="s">
        <v>1171</v>
      </c>
      <c r="C563" t="s">
        <v>1322</v>
      </c>
      <c r="D563" t="s">
        <v>1323</v>
      </c>
      <c r="E563" t="s">
        <v>26</v>
      </c>
      <c r="F563" t="s">
        <v>1179</v>
      </c>
      <c r="G563" t="s">
        <v>1180</v>
      </c>
      <c r="H563" t="str">
        <f>'Huong dan giao do an'!$B$14</f>
        <v>5 SV (vai trò chính): 1 PM/Scrum Master kiêm Integration; 2 BA/PO; 3 UI-UX + Frontend; 4 Backend/API + DevOps; 5 Database + QA/Tester. Mỗi SV có nhiệm vụ phụ và minh chứng cá nhân.</v>
      </c>
      <c r="I563" t="s">
        <v>29</v>
      </c>
      <c r="J563" t="s">
        <v>1181</v>
      </c>
      <c r="K563" t="str">
        <f>IF(I563="Trung bình",'Huong dan giao do an'!$B$8,IF(I563="Khá",'Huong dan giao do an'!$B$9,'Huong dan giao do an'!$B$10))</f>
        <v>Tối thiểu 5 actor; 14-18 use case; 10-15 bảng; 4 quy trình; tích hợp ngoài/realtime hoặc xử lý nâng cao; 3 báo cáo; &gt;=45 test case; logging, backup và deploy.</v>
      </c>
      <c r="L563" t="str">
        <f>'Huong dan giao do an'!$B$31</f>
        <v>Bắt buộc: Charter/PMP; SRS + scope/WBS; Gantt/baseline; effort-cost budget; RACI/timesheet; quality-test-defect; communication/minutes; risk register; procurement; change log; closure/lessons learned.</v>
      </c>
      <c r="M563" t="str">
        <f>'Huong dan giao do an'!$B$33</f>
        <v>Tuần 1: 07.09–13.09.2026; Tuần 2: 14.09–20.09.2026; Tuần 3: 21.09–27.09.2026; Tuần 4: 28.09–04.10.2026; Tuần 5: 05.10–11.10.2026; Tuần 6: 12.10–18.10.2026; Tuần 7: 19.10–25.10.2026; Tuần 8: 26.10–01.11.2026.</v>
      </c>
      <c r="N5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3" s="17" t="str">
        <f t="shared" si="8"/>
        <v>Còn trống</v>
      </c>
    </row>
    <row r="564" spans="1:16" x14ac:dyDescent="0.3">
      <c r="A564">
        <v>563</v>
      </c>
      <c r="B564" t="s">
        <v>1171</v>
      </c>
      <c r="C564" t="s">
        <v>1324</v>
      </c>
      <c r="D564" t="s">
        <v>1325</v>
      </c>
      <c r="E564" t="s">
        <v>33</v>
      </c>
      <c r="F564" t="s">
        <v>1184</v>
      </c>
      <c r="G564" t="s">
        <v>1185</v>
      </c>
      <c r="H564" t="str">
        <f>'Huong dan giao do an'!$B$14</f>
        <v>5 SV (vai trò chính): 1 PM/Scrum Master kiêm Integration; 2 BA/PO; 3 UI-UX + Frontend; 4 Backend/API + DevOps; 5 Database + QA/Tester. Mỗi SV có nhiệm vụ phụ và minh chứng cá nhân.</v>
      </c>
      <c r="I564" t="s">
        <v>36</v>
      </c>
      <c r="J564" t="s">
        <v>1186</v>
      </c>
      <c r="K564" t="str">
        <f>IF(I564="Trung bình",'Huong dan giao do an'!$B$8,IF(I564="Khá",'Huong dan giao do an'!$B$9,'Huong dan giao do an'!$B$10))</f>
        <v>Tối thiểu 3 actor; 8-10 use case; 6-8 bảng dữ liệu; 2 quy trình lõi; đăng nhập/RBAC; 1 dashboard; 1 báo cáo; &gt;=25 test case; triển khai bản demo.</v>
      </c>
      <c r="L564" t="str">
        <f>'Huong dan giao do an'!$B$31</f>
        <v>Bắt buộc: Charter/PMP; SRS + scope/WBS; Gantt/baseline; effort-cost budget; RACI/timesheet; quality-test-defect; communication/minutes; risk register; procurement; change log; closure/lessons learned.</v>
      </c>
      <c r="M564" t="str">
        <f>'Huong dan giao do an'!$B$33</f>
        <v>Tuần 1: 07.09–13.09.2026; Tuần 2: 14.09–20.09.2026; Tuần 3: 21.09–27.09.2026; Tuần 4: 28.09–04.10.2026; Tuần 5: 05.10–11.10.2026; Tuần 6: 12.10–18.10.2026; Tuần 7: 19.10–25.10.2026; Tuần 8: 26.10–01.11.2026.</v>
      </c>
      <c r="N5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4" s="17" t="str">
        <f t="shared" si="8"/>
        <v>Còn trống</v>
      </c>
    </row>
    <row r="565" spans="1:16" x14ac:dyDescent="0.3">
      <c r="A565">
        <v>564</v>
      </c>
      <c r="B565" t="s">
        <v>1171</v>
      </c>
      <c r="C565" t="s">
        <v>1326</v>
      </c>
      <c r="D565" t="s">
        <v>1327</v>
      </c>
      <c r="E565" t="s">
        <v>40</v>
      </c>
      <c r="F565" t="s">
        <v>1189</v>
      </c>
      <c r="G565" t="s">
        <v>1190</v>
      </c>
      <c r="H565" t="str">
        <f>'Huong dan giao do an'!$B$14</f>
        <v>5 SV (vai trò chính): 1 PM/Scrum Master kiêm Integration; 2 BA/PO; 3 UI-UX + Frontend; 4 Backend/API + DevOps; 5 Database + QA/Tester. Mỗi SV có nhiệm vụ phụ và minh chứng cá nhân.</v>
      </c>
      <c r="I565" t="s">
        <v>22</v>
      </c>
      <c r="J565" t="s">
        <v>1176</v>
      </c>
      <c r="K565" t="str">
        <f>IF(I565="Trung bình",'Huong dan giao do an'!$B$8,IF(I565="Khá",'Huong dan giao do an'!$B$9,'Huong dan giao do an'!$B$10))</f>
        <v>Tối thiểu 4 actor; 10-14 use case; 8-12 bảng; 3 quy trình lõi; phân quyền chi tiết; 2 báo cáo; tích hợp 1 dịch vụ; &gt;=35 test case; CI/CD hoặc deploy cloud.</v>
      </c>
      <c r="L565" t="str">
        <f>'Huong dan giao do an'!$B$31</f>
        <v>Bắt buộc: Charter/PMP; SRS + scope/WBS; Gantt/baseline; effort-cost budget; RACI/timesheet; quality-test-defect; communication/minutes; risk register; procurement; change log; closure/lessons learned.</v>
      </c>
      <c r="M565" t="str">
        <f>'Huong dan giao do an'!$B$33</f>
        <v>Tuần 1: 07.09–13.09.2026; Tuần 2: 14.09–20.09.2026; Tuần 3: 21.09–27.09.2026; Tuần 4: 28.09–04.10.2026; Tuần 5: 05.10–11.10.2026; Tuần 6: 12.10–18.10.2026; Tuần 7: 19.10–25.10.2026; Tuần 8: 26.10–01.11.2026.</v>
      </c>
      <c r="N5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5" s="17" t="str">
        <f t="shared" si="8"/>
        <v>Còn trống</v>
      </c>
    </row>
    <row r="566" spans="1:16" x14ac:dyDescent="0.3">
      <c r="A566">
        <v>565</v>
      </c>
      <c r="B566" t="s">
        <v>1171</v>
      </c>
      <c r="C566" t="s">
        <v>1328</v>
      </c>
      <c r="D566" t="s">
        <v>1329</v>
      </c>
      <c r="E566" t="s">
        <v>45</v>
      </c>
      <c r="F566" t="s">
        <v>1193</v>
      </c>
      <c r="G566" t="s">
        <v>1194</v>
      </c>
      <c r="H566" t="str">
        <f>'Huong dan giao do an'!$B$14</f>
        <v>5 SV (vai trò chính): 1 PM/Scrum Master kiêm Integration; 2 BA/PO; 3 UI-UX + Frontend; 4 Backend/API + DevOps; 5 Database + QA/Tester. Mỗi SV có nhiệm vụ phụ và minh chứng cá nhân.</v>
      </c>
      <c r="I566" t="s">
        <v>29</v>
      </c>
      <c r="J566" t="s">
        <v>1181</v>
      </c>
      <c r="K566" t="str">
        <f>IF(I566="Trung bình",'Huong dan giao do an'!$B$8,IF(I566="Khá",'Huong dan giao do an'!$B$9,'Huong dan giao do an'!$B$10))</f>
        <v>Tối thiểu 5 actor; 14-18 use case; 10-15 bảng; 4 quy trình; tích hợp ngoài/realtime hoặc xử lý nâng cao; 3 báo cáo; &gt;=45 test case; logging, backup và deploy.</v>
      </c>
      <c r="L566" t="str">
        <f>'Huong dan giao do an'!$B$31</f>
        <v>Bắt buộc: Charter/PMP; SRS + scope/WBS; Gantt/baseline; effort-cost budget; RACI/timesheet; quality-test-defect; communication/minutes; risk register; procurement; change log; closure/lessons learned.</v>
      </c>
      <c r="M566" t="str">
        <f>'Huong dan giao do an'!$B$33</f>
        <v>Tuần 1: 07.09–13.09.2026; Tuần 2: 14.09–20.09.2026; Tuần 3: 21.09–27.09.2026; Tuần 4: 28.09–04.10.2026; Tuần 5: 05.10–11.10.2026; Tuần 6: 12.10–18.10.2026; Tuần 7: 19.10–25.10.2026; Tuần 8: 26.10–01.11.2026.</v>
      </c>
      <c r="N5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6" s="17" t="str">
        <f t="shared" si="8"/>
        <v>Còn trống</v>
      </c>
    </row>
    <row r="567" spans="1:16" x14ac:dyDescent="0.3">
      <c r="A567">
        <v>566</v>
      </c>
      <c r="B567" t="s">
        <v>1171</v>
      </c>
      <c r="C567" t="s">
        <v>1330</v>
      </c>
      <c r="D567" t="s">
        <v>1331</v>
      </c>
      <c r="E567" t="s">
        <v>19</v>
      </c>
      <c r="F567" t="s">
        <v>1174</v>
      </c>
      <c r="G567" t="s">
        <v>1197</v>
      </c>
      <c r="H567" t="str">
        <f>'Huong dan giao do an'!$B$14</f>
        <v>5 SV (vai trò chính): 1 PM/Scrum Master kiêm Integration; 2 BA/PO; 3 UI-UX + Frontend; 4 Backend/API + DevOps; 5 Database + QA/Tester. Mỗi SV có nhiệm vụ phụ và minh chứng cá nhân.</v>
      </c>
      <c r="I567" t="s">
        <v>36</v>
      </c>
      <c r="J567" t="s">
        <v>1186</v>
      </c>
      <c r="K567" t="str">
        <f>IF(I567="Trung bình",'Huong dan giao do an'!$B$8,IF(I567="Khá",'Huong dan giao do an'!$B$9,'Huong dan giao do an'!$B$10))</f>
        <v>Tối thiểu 3 actor; 8-10 use case; 6-8 bảng dữ liệu; 2 quy trình lõi; đăng nhập/RBAC; 1 dashboard; 1 báo cáo; &gt;=25 test case; triển khai bản demo.</v>
      </c>
      <c r="L567" t="str">
        <f>'Huong dan giao do an'!$B$31</f>
        <v>Bắt buộc: Charter/PMP; SRS + scope/WBS; Gantt/baseline; effort-cost budget; RACI/timesheet; quality-test-defect; communication/minutes; risk register; procurement; change log; closure/lessons learned.</v>
      </c>
      <c r="M567" t="str">
        <f>'Huong dan giao do an'!$B$33</f>
        <v>Tuần 1: 07.09–13.09.2026; Tuần 2: 14.09–20.09.2026; Tuần 3: 21.09–27.09.2026; Tuần 4: 28.09–04.10.2026; Tuần 5: 05.10–11.10.2026; Tuần 6: 12.10–18.10.2026; Tuần 7: 19.10–25.10.2026; Tuần 8: 26.10–01.11.2026.</v>
      </c>
      <c r="N5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7" s="17" t="str">
        <f t="shared" si="8"/>
        <v>Còn trống</v>
      </c>
    </row>
    <row r="568" spans="1:16" x14ac:dyDescent="0.3">
      <c r="A568">
        <v>567</v>
      </c>
      <c r="B568" t="s">
        <v>1171</v>
      </c>
      <c r="C568" t="s">
        <v>1332</v>
      </c>
      <c r="D568" t="s">
        <v>1333</v>
      </c>
      <c r="E568" t="s">
        <v>26</v>
      </c>
      <c r="F568" t="s">
        <v>1179</v>
      </c>
      <c r="G568" t="s">
        <v>1200</v>
      </c>
      <c r="H568" t="str">
        <f>'Huong dan giao do an'!$B$14</f>
        <v>5 SV (vai trò chính): 1 PM/Scrum Master kiêm Integration; 2 BA/PO; 3 UI-UX + Frontend; 4 Backend/API + DevOps; 5 Database + QA/Tester. Mỗi SV có nhiệm vụ phụ và minh chứng cá nhân.</v>
      </c>
      <c r="I568" t="s">
        <v>22</v>
      </c>
      <c r="J568" t="s">
        <v>1176</v>
      </c>
      <c r="K568" t="str">
        <f>IF(I568="Trung bình",'Huong dan giao do an'!$B$8,IF(I568="Khá",'Huong dan giao do an'!$B$9,'Huong dan giao do an'!$B$10))</f>
        <v>Tối thiểu 4 actor; 10-14 use case; 8-12 bảng; 3 quy trình lõi; phân quyền chi tiết; 2 báo cáo; tích hợp 1 dịch vụ; &gt;=35 test case; CI/CD hoặc deploy cloud.</v>
      </c>
      <c r="L568" t="str">
        <f>'Huong dan giao do an'!$B$31</f>
        <v>Bắt buộc: Charter/PMP; SRS + scope/WBS; Gantt/baseline; effort-cost budget; RACI/timesheet; quality-test-defect; communication/minutes; risk register; procurement; change log; closure/lessons learned.</v>
      </c>
      <c r="M568" t="str">
        <f>'Huong dan giao do an'!$B$33</f>
        <v>Tuần 1: 07.09–13.09.2026; Tuần 2: 14.09–20.09.2026; Tuần 3: 21.09–27.09.2026; Tuần 4: 28.09–04.10.2026; Tuần 5: 05.10–11.10.2026; Tuần 6: 12.10–18.10.2026; Tuần 7: 19.10–25.10.2026; Tuần 8: 26.10–01.11.2026.</v>
      </c>
      <c r="N5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8" s="17" t="str">
        <f t="shared" si="8"/>
        <v>Còn trống</v>
      </c>
    </row>
    <row r="569" spans="1:16" x14ac:dyDescent="0.3">
      <c r="A569">
        <v>568</v>
      </c>
      <c r="B569" t="s">
        <v>1171</v>
      </c>
      <c r="C569" t="s">
        <v>1334</v>
      </c>
      <c r="D569" t="s">
        <v>1335</v>
      </c>
      <c r="E569" t="s">
        <v>33</v>
      </c>
      <c r="F569" t="s">
        <v>1184</v>
      </c>
      <c r="G569" t="s">
        <v>1203</v>
      </c>
      <c r="H569" t="str">
        <f>'Huong dan giao do an'!$B$14</f>
        <v>5 SV (vai trò chính): 1 PM/Scrum Master kiêm Integration; 2 BA/PO; 3 UI-UX + Frontend; 4 Backend/API + DevOps; 5 Database + QA/Tester. Mỗi SV có nhiệm vụ phụ và minh chứng cá nhân.</v>
      </c>
      <c r="I569" t="s">
        <v>29</v>
      </c>
      <c r="J569" t="s">
        <v>1181</v>
      </c>
      <c r="K569" t="str">
        <f>IF(I569="Trung bình",'Huong dan giao do an'!$B$8,IF(I569="Khá",'Huong dan giao do an'!$B$9,'Huong dan giao do an'!$B$10))</f>
        <v>Tối thiểu 5 actor; 14-18 use case; 10-15 bảng; 4 quy trình; tích hợp ngoài/realtime hoặc xử lý nâng cao; 3 báo cáo; &gt;=45 test case; logging, backup và deploy.</v>
      </c>
      <c r="L569" t="str">
        <f>'Huong dan giao do an'!$B$31</f>
        <v>Bắt buộc: Charter/PMP; SRS + scope/WBS; Gantt/baseline; effort-cost budget; RACI/timesheet; quality-test-defect; communication/minutes; risk register; procurement; change log; closure/lessons learned.</v>
      </c>
      <c r="M569" t="str">
        <f>'Huong dan giao do an'!$B$33</f>
        <v>Tuần 1: 07.09–13.09.2026; Tuần 2: 14.09–20.09.2026; Tuần 3: 21.09–27.09.2026; Tuần 4: 28.09–04.10.2026; Tuần 5: 05.10–11.10.2026; Tuần 6: 12.10–18.10.2026; Tuần 7: 19.10–25.10.2026; Tuần 8: 26.10–01.11.2026.</v>
      </c>
      <c r="N5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69" s="17" t="str">
        <f t="shared" si="8"/>
        <v>Còn trống</v>
      </c>
    </row>
    <row r="570" spans="1:16" x14ac:dyDescent="0.3">
      <c r="A570">
        <v>569</v>
      </c>
      <c r="B570" t="s">
        <v>1171</v>
      </c>
      <c r="C570" t="s">
        <v>1336</v>
      </c>
      <c r="D570" t="s">
        <v>1337</v>
      </c>
      <c r="E570" t="s">
        <v>40</v>
      </c>
      <c r="F570" t="s">
        <v>1189</v>
      </c>
      <c r="G570" t="s">
        <v>1206</v>
      </c>
      <c r="H570" t="str">
        <f>'Huong dan giao do an'!$B$14</f>
        <v>5 SV (vai trò chính): 1 PM/Scrum Master kiêm Integration; 2 BA/PO; 3 UI-UX + Frontend; 4 Backend/API + DevOps; 5 Database + QA/Tester. Mỗi SV có nhiệm vụ phụ và minh chứng cá nhân.</v>
      </c>
      <c r="I570" t="s">
        <v>36</v>
      </c>
      <c r="J570" t="s">
        <v>1186</v>
      </c>
      <c r="K570" t="str">
        <f>IF(I570="Trung bình",'Huong dan giao do an'!$B$8,IF(I570="Khá",'Huong dan giao do an'!$B$9,'Huong dan giao do an'!$B$10))</f>
        <v>Tối thiểu 3 actor; 8-10 use case; 6-8 bảng dữ liệu; 2 quy trình lõi; đăng nhập/RBAC; 1 dashboard; 1 báo cáo; &gt;=25 test case; triển khai bản demo.</v>
      </c>
      <c r="L570" t="str">
        <f>'Huong dan giao do an'!$B$31</f>
        <v>Bắt buộc: Charter/PMP; SRS + scope/WBS; Gantt/baseline; effort-cost budget; RACI/timesheet; quality-test-defect; communication/minutes; risk register; procurement; change log; closure/lessons learned.</v>
      </c>
      <c r="M570" t="str">
        <f>'Huong dan giao do an'!$B$33</f>
        <v>Tuần 1: 07.09–13.09.2026; Tuần 2: 14.09–20.09.2026; Tuần 3: 21.09–27.09.2026; Tuần 4: 28.09–04.10.2026; Tuần 5: 05.10–11.10.2026; Tuần 6: 12.10–18.10.2026; Tuần 7: 19.10–25.10.2026; Tuần 8: 26.10–01.11.2026.</v>
      </c>
      <c r="N5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0" s="17" t="str">
        <f t="shared" si="8"/>
        <v>Còn trống</v>
      </c>
    </row>
    <row r="571" spans="1:16" x14ac:dyDescent="0.3">
      <c r="A571">
        <v>570</v>
      </c>
      <c r="B571" t="s">
        <v>1171</v>
      </c>
      <c r="C571" t="s">
        <v>1338</v>
      </c>
      <c r="D571" t="s">
        <v>1339</v>
      </c>
      <c r="E571" t="s">
        <v>45</v>
      </c>
      <c r="F571" t="s">
        <v>1193</v>
      </c>
      <c r="G571" t="s">
        <v>1209</v>
      </c>
      <c r="H571" t="str">
        <f>'Huong dan giao do an'!$B$14</f>
        <v>5 SV (vai trò chính): 1 PM/Scrum Master kiêm Integration; 2 BA/PO; 3 UI-UX + Frontend; 4 Backend/API + DevOps; 5 Database + QA/Tester. Mỗi SV có nhiệm vụ phụ và minh chứng cá nhân.</v>
      </c>
      <c r="I571" t="s">
        <v>22</v>
      </c>
      <c r="J571" t="s">
        <v>1176</v>
      </c>
      <c r="K571" t="str">
        <f>IF(I571="Trung bình",'Huong dan giao do an'!$B$8,IF(I571="Khá",'Huong dan giao do an'!$B$9,'Huong dan giao do an'!$B$10))</f>
        <v>Tối thiểu 4 actor; 10-14 use case; 8-12 bảng; 3 quy trình lõi; phân quyền chi tiết; 2 báo cáo; tích hợp 1 dịch vụ; &gt;=35 test case; CI/CD hoặc deploy cloud.</v>
      </c>
      <c r="L571" t="str">
        <f>'Huong dan giao do an'!$B$31</f>
        <v>Bắt buộc: Charter/PMP; SRS + scope/WBS; Gantt/baseline; effort-cost budget; RACI/timesheet; quality-test-defect; communication/minutes; risk register; procurement; change log; closure/lessons learned.</v>
      </c>
      <c r="M571" t="str">
        <f>'Huong dan giao do an'!$B$33</f>
        <v>Tuần 1: 07.09–13.09.2026; Tuần 2: 14.09–20.09.2026; Tuần 3: 21.09–27.09.2026; Tuần 4: 28.09–04.10.2026; Tuần 5: 05.10–11.10.2026; Tuần 6: 12.10–18.10.2026; Tuần 7: 19.10–25.10.2026; Tuần 8: 26.10–01.11.2026.</v>
      </c>
      <c r="N5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1" s="17" t="str">
        <f t="shared" si="8"/>
        <v>Còn trống</v>
      </c>
    </row>
    <row r="572" spans="1:16" x14ac:dyDescent="0.3">
      <c r="A572">
        <v>571</v>
      </c>
      <c r="B572" t="s">
        <v>1171</v>
      </c>
      <c r="C572" t="s">
        <v>1340</v>
      </c>
      <c r="D572" t="s">
        <v>1341</v>
      </c>
      <c r="E572" t="s">
        <v>19</v>
      </c>
      <c r="F572" t="s">
        <v>1174</v>
      </c>
      <c r="G572" t="s">
        <v>1212</v>
      </c>
      <c r="H572" t="str">
        <f>'Huong dan giao do an'!$B$14</f>
        <v>5 SV (vai trò chính): 1 PM/Scrum Master kiêm Integration; 2 BA/PO; 3 UI-UX + Frontend; 4 Backend/API + DevOps; 5 Database + QA/Tester. Mỗi SV có nhiệm vụ phụ và minh chứng cá nhân.</v>
      </c>
      <c r="I572" t="s">
        <v>29</v>
      </c>
      <c r="J572" t="s">
        <v>1181</v>
      </c>
      <c r="K572" t="str">
        <f>IF(I572="Trung bình",'Huong dan giao do an'!$B$8,IF(I572="Khá",'Huong dan giao do an'!$B$9,'Huong dan giao do an'!$B$10))</f>
        <v>Tối thiểu 5 actor; 14-18 use case; 10-15 bảng; 4 quy trình; tích hợp ngoài/realtime hoặc xử lý nâng cao; 3 báo cáo; &gt;=45 test case; logging, backup và deploy.</v>
      </c>
      <c r="L572" t="str">
        <f>'Huong dan giao do an'!$B$31</f>
        <v>Bắt buộc: Charter/PMP; SRS + scope/WBS; Gantt/baseline; effort-cost budget; RACI/timesheet; quality-test-defect; communication/minutes; risk register; procurement; change log; closure/lessons learned.</v>
      </c>
      <c r="M572" t="str">
        <f>'Huong dan giao do an'!$B$33</f>
        <v>Tuần 1: 07.09–13.09.2026; Tuần 2: 14.09–20.09.2026; Tuần 3: 21.09–27.09.2026; Tuần 4: 28.09–04.10.2026; Tuần 5: 05.10–11.10.2026; Tuần 6: 12.10–18.10.2026; Tuần 7: 19.10–25.10.2026; Tuần 8: 26.10–01.11.2026.</v>
      </c>
      <c r="N5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2" s="17" t="str">
        <f t="shared" si="8"/>
        <v>Còn trống</v>
      </c>
    </row>
    <row r="573" spans="1:16" x14ac:dyDescent="0.3">
      <c r="A573">
        <v>572</v>
      </c>
      <c r="B573" t="s">
        <v>1171</v>
      </c>
      <c r="C573" t="s">
        <v>1342</v>
      </c>
      <c r="D573" t="s">
        <v>1343</v>
      </c>
      <c r="E573" t="s">
        <v>26</v>
      </c>
      <c r="F573" t="s">
        <v>1179</v>
      </c>
      <c r="G573" t="s">
        <v>1215</v>
      </c>
      <c r="H573" t="str">
        <f>'Huong dan giao do an'!$B$14</f>
        <v>5 SV (vai trò chính): 1 PM/Scrum Master kiêm Integration; 2 BA/PO; 3 UI-UX + Frontend; 4 Backend/API + DevOps; 5 Database + QA/Tester. Mỗi SV có nhiệm vụ phụ và minh chứng cá nhân.</v>
      </c>
      <c r="I573" t="s">
        <v>36</v>
      </c>
      <c r="J573" t="s">
        <v>1186</v>
      </c>
      <c r="K573" t="str">
        <f>IF(I573="Trung bình",'Huong dan giao do an'!$B$8,IF(I573="Khá",'Huong dan giao do an'!$B$9,'Huong dan giao do an'!$B$10))</f>
        <v>Tối thiểu 3 actor; 8-10 use case; 6-8 bảng dữ liệu; 2 quy trình lõi; đăng nhập/RBAC; 1 dashboard; 1 báo cáo; &gt;=25 test case; triển khai bản demo.</v>
      </c>
      <c r="L573" t="str">
        <f>'Huong dan giao do an'!$B$31</f>
        <v>Bắt buộc: Charter/PMP; SRS + scope/WBS; Gantt/baseline; effort-cost budget; RACI/timesheet; quality-test-defect; communication/minutes; risk register; procurement; change log; closure/lessons learned.</v>
      </c>
      <c r="M573" t="str">
        <f>'Huong dan giao do an'!$B$33</f>
        <v>Tuần 1: 07.09–13.09.2026; Tuần 2: 14.09–20.09.2026; Tuần 3: 21.09–27.09.2026; Tuần 4: 28.09–04.10.2026; Tuần 5: 05.10–11.10.2026; Tuần 6: 12.10–18.10.2026; Tuần 7: 19.10–25.10.2026; Tuần 8: 26.10–01.11.2026.</v>
      </c>
      <c r="N5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3" s="17" t="str">
        <f t="shared" si="8"/>
        <v>Còn trống</v>
      </c>
    </row>
    <row r="574" spans="1:16" x14ac:dyDescent="0.3">
      <c r="A574">
        <v>573</v>
      </c>
      <c r="B574" t="s">
        <v>1171</v>
      </c>
      <c r="C574" t="s">
        <v>1344</v>
      </c>
      <c r="D574" t="s">
        <v>1345</v>
      </c>
      <c r="E574" t="s">
        <v>33</v>
      </c>
      <c r="F574" t="s">
        <v>1184</v>
      </c>
      <c r="G574" t="s">
        <v>1218</v>
      </c>
      <c r="H574" t="str">
        <f>'Huong dan giao do an'!$B$14</f>
        <v>5 SV (vai trò chính): 1 PM/Scrum Master kiêm Integration; 2 BA/PO; 3 UI-UX + Frontend; 4 Backend/API + DevOps; 5 Database + QA/Tester. Mỗi SV có nhiệm vụ phụ và minh chứng cá nhân.</v>
      </c>
      <c r="I574" t="s">
        <v>22</v>
      </c>
      <c r="J574" t="s">
        <v>1176</v>
      </c>
      <c r="K574" t="str">
        <f>IF(I574="Trung bình",'Huong dan giao do an'!$B$8,IF(I574="Khá",'Huong dan giao do an'!$B$9,'Huong dan giao do an'!$B$10))</f>
        <v>Tối thiểu 4 actor; 10-14 use case; 8-12 bảng; 3 quy trình lõi; phân quyền chi tiết; 2 báo cáo; tích hợp 1 dịch vụ; &gt;=35 test case; CI/CD hoặc deploy cloud.</v>
      </c>
      <c r="L574" t="str">
        <f>'Huong dan giao do an'!$B$31</f>
        <v>Bắt buộc: Charter/PMP; SRS + scope/WBS; Gantt/baseline; effort-cost budget; RACI/timesheet; quality-test-defect; communication/minutes; risk register; procurement; change log; closure/lessons learned.</v>
      </c>
      <c r="M574" t="str">
        <f>'Huong dan giao do an'!$B$33</f>
        <v>Tuần 1: 07.09–13.09.2026; Tuần 2: 14.09–20.09.2026; Tuần 3: 21.09–27.09.2026; Tuần 4: 28.09–04.10.2026; Tuần 5: 05.10–11.10.2026; Tuần 6: 12.10–18.10.2026; Tuần 7: 19.10–25.10.2026; Tuần 8: 26.10–01.11.2026.</v>
      </c>
      <c r="N5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4" s="17" t="str">
        <f t="shared" si="8"/>
        <v>Còn trống</v>
      </c>
    </row>
    <row r="575" spans="1:16" x14ac:dyDescent="0.3">
      <c r="A575">
        <v>574</v>
      </c>
      <c r="B575" t="s">
        <v>1171</v>
      </c>
      <c r="C575" t="s">
        <v>1346</v>
      </c>
      <c r="D575" t="s">
        <v>1347</v>
      </c>
      <c r="E575" t="s">
        <v>40</v>
      </c>
      <c r="F575" t="s">
        <v>1189</v>
      </c>
      <c r="G575" t="s">
        <v>1221</v>
      </c>
      <c r="H575" t="str">
        <f>'Huong dan giao do an'!$B$14</f>
        <v>5 SV (vai trò chính): 1 PM/Scrum Master kiêm Integration; 2 BA/PO; 3 UI-UX + Frontend; 4 Backend/API + DevOps; 5 Database + QA/Tester. Mỗi SV có nhiệm vụ phụ và minh chứng cá nhân.</v>
      </c>
      <c r="I575" t="s">
        <v>29</v>
      </c>
      <c r="J575" t="s">
        <v>1181</v>
      </c>
      <c r="K575" t="str">
        <f>IF(I575="Trung bình",'Huong dan giao do an'!$B$8,IF(I575="Khá",'Huong dan giao do an'!$B$9,'Huong dan giao do an'!$B$10))</f>
        <v>Tối thiểu 5 actor; 14-18 use case; 10-15 bảng; 4 quy trình; tích hợp ngoài/realtime hoặc xử lý nâng cao; 3 báo cáo; &gt;=45 test case; logging, backup và deploy.</v>
      </c>
      <c r="L575" t="str">
        <f>'Huong dan giao do an'!$B$31</f>
        <v>Bắt buộc: Charter/PMP; SRS + scope/WBS; Gantt/baseline; effort-cost budget; RACI/timesheet; quality-test-defect; communication/minutes; risk register; procurement; change log; closure/lessons learned.</v>
      </c>
      <c r="M575" t="str">
        <f>'Huong dan giao do an'!$B$33</f>
        <v>Tuần 1: 07.09–13.09.2026; Tuần 2: 14.09–20.09.2026; Tuần 3: 21.09–27.09.2026; Tuần 4: 28.09–04.10.2026; Tuần 5: 05.10–11.10.2026; Tuần 6: 12.10–18.10.2026; Tuần 7: 19.10–25.10.2026; Tuần 8: 26.10–01.11.2026.</v>
      </c>
      <c r="N5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5" s="17" t="str">
        <f t="shared" si="8"/>
        <v>Còn trống</v>
      </c>
    </row>
    <row r="576" spans="1:16" x14ac:dyDescent="0.3">
      <c r="A576">
        <v>575</v>
      </c>
      <c r="B576" t="s">
        <v>1171</v>
      </c>
      <c r="C576" t="s">
        <v>1348</v>
      </c>
      <c r="D576" t="s">
        <v>1349</v>
      </c>
      <c r="E576" t="s">
        <v>45</v>
      </c>
      <c r="F576" t="s">
        <v>1193</v>
      </c>
      <c r="G576" t="s">
        <v>1224</v>
      </c>
      <c r="H576" t="str">
        <f>'Huong dan giao do an'!$B$14</f>
        <v>5 SV (vai trò chính): 1 PM/Scrum Master kiêm Integration; 2 BA/PO; 3 UI-UX + Frontend; 4 Backend/API + DevOps; 5 Database + QA/Tester. Mỗi SV có nhiệm vụ phụ và minh chứng cá nhân.</v>
      </c>
      <c r="I576" t="s">
        <v>36</v>
      </c>
      <c r="J576" t="s">
        <v>1186</v>
      </c>
      <c r="K576" t="str">
        <f>IF(I576="Trung bình",'Huong dan giao do an'!$B$8,IF(I576="Khá",'Huong dan giao do an'!$B$9,'Huong dan giao do an'!$B$10))</f>
        <v>Tối thiểu 3 actor; 8-10 use case; 6-8 bảng dữ liệu; 2 quy trình lõi; đăng nhập/RBAC; 1 dashboard; 1 báo cáo; &gt;=25 test case; triển khai bản demo.</v>
      </c>
      <c r="L576" t="str">
        <f>'Huong dan giao do an'!$B$31</f>
        <v>Bắt buộc: Charter/PMP; SRS + scope/WBS; Gantt/baseline; effort-cost budget; RACI/timesheet; quality-test-defect; communication/minutes; risk register; procurement; change log; closure/lessons learned.</v>
      </c>
      <c r="M576" t="str">
        <f>'Huong dan giao do an'!$B$33</f>
        <v>Tuần 1: 07.09–13.09.2026; Tuần 2: 14.09–20.09.2026; Tuần 3: 21.09–27.09.2026; Tuần 4: 28.09–04.10.2026; Tuần 5: 05.10–11.10.2026; Tuần 6: 12.10–18.10.2026; Tuần 7: 19.10–25.10.2026; Tuần 8: 26.10–01.11.2026.</v>
      </c>
      <c r="N5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6" s="17" t="str">
        <f t="shared" si="8"/>
        <v>Còn trống</v>
      </c>
    </row>
    <row r="577" spans="1:16" x14ac:dyDescent="0.3">
      <c r="A577">
        <v>576</v>
      </c>
      <c r="B577" t="s">
        <v>1171</v>
      </c>
      <c r="C577" t="s">
        <v>1350</v>
      </c>
      <c r="D577" t="s">
        <v>1351</v>
      </c>
      <c r="E577" t="s">
        <v>19</v>
      </c>
      <c r="F577" t="s">
        <v>1174</v>
      </c>
      <c r="G577" t="s">
        <v>1227</v>
      </c>
      <c r="H577" t="str">
        <f>'Huong dan giao do an'!$B$14</f>
        <v>5 SV (vai trò chính): 1 PM/Scrum Master kiêm Integration; 2 BA/PO; 3 UI-UX + Frontend; 4 Backend/API + DevOps; 5 Database + QA/Tester. Mỗi SV có nhiệm vụ phụ và minh chứng cá nhân.</v>
      </c>
      <c r="I577" t="s">
        <v>22</v>
      </c>
      <c r="J577" t="s">
        <v>1176</v>
      </c>
      <c r="K577" t="str">
        <f>IF(I577="Trung bình",'Huong dan giao do an'!$B$8,IF(I577="Khá",'Huong dan giao do an'!$B$9,'Huong dan giao do an'!$B$10))</f>
        <v>Tối thiểu 4 actor; 10-14 use case; 8-12 bảng; 3 quy trình lõi; phân quyền chi tiết; 2 báo cáo; tích hợp 1 dịch vụ; &gt;=35 test case; CI/CD hoặc deploy cloud.</v>
      </c>
      <c r="L577" t="str">
        <f>'Huong dan giao do an'!$B$31</f>
        <v>Bắt buộc: Charter/PMP; SRS + scope/WBS; Gantt/baseline; effort-cost budget; RACI/timesheet; quality-test-defect; communication/minutes; risk register; procurement; change log; closure/lessons learned.</v>
      </c>
      <c r="M577" t="str">
        <f>'Huong dan giao do an'!$B$33</f>
        <v>Tuần 1: 07.09–13.09.2026; Tuần 2: 14.09–20.09.2026; Tuần 3: 21.09–27.09.2026; Tuần 4: 28.09–04.10.2026; Tuần 5: 05.10–11.10.2026; Tuần 6: 12.10–18.10.2026; Tuần 7: 19.10–25.10.2026; Tuần 8: 26.10–01.11.2026.</v>
      </c>
      <c r="N5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7" s="17" t="str">
        <f t="shared" si="8"/>
        <v>Còn trống</v>
      </c>
    </row>
    <row r="578" spans="1:16" x14ac:dyDescent="0.3">
      <c r="A578">
        <v>577</v>
      </c>
      <c r="B578" t="s">
        <v>1171</v>
      </c>
      <c r="C578" t="s">
        <v>1352</v>
      </c>
      <c r="D578" t="s">
        <v>1353</v>
      </c>
      <c r="E578" t="s">
        <v>26</v>
      </c>
      <c r="F578" t="s">
        <v>1179</v>
      </c>
      <c r="G578" t="s">
        <v>1230</v>
      </c>
      <c r="H578" t="str">
        <f>'Huong dan giao do an'!$B$14</f>
        <v>5 SV (vai trò chính): 1 PM/Scrum Master kiêm Integration; 2 BA/PO; 3 UI-UX + Frontend; 4 Backend/API + DevOps; 5 Database + QA/Tester. Mỗi SV có nhiệm vụ phụ và minh chứng cá nhân.</v>
      </c>
      <c r="I578" t="s">
        <v>29</v>
      </c>
      <c r="J578" t="s">
        <v>1181</v>
      </c>
      <c r="K578" t="str">
        <f>IF(I578="Trung bình",'Huong dan giao do an'!$B$8,IF(I578="Khá",'Huong dan giao do an'!$B$9,'Huong dan giao do an'!$B$10))</f>
        <v>Tối thiểu 5 actor; 14-18 use case; 10-15 bảng; 4 quy trình; tích hợp ngoài/realtime hoặc xử lý nâng cao; 3 báo cáo; &gt;=45 test case; logging, backup và deploy.</v>
      </c>
      <c r="L578" t="str">
        <f>'Huong dan giao do an'!$B$31</f>
        <v>Bắt buộc: Charter/PMP; SRS + scope/WBS; Gantt/baseline; effort-cost budget; RACI/timesheet; quality-test-defect; communication/minutes; risk register; procurement; change log; closure/lessons learned.</v>
      </c>
      <c r="M578" t="str">
        <f>'Huong dan giao do an'!$B$33</f>
        <v>Tuần 1: 07.09–13.09.2026; Tuần 2: 14.09–20.09.2026; Tuần 3: 21.09–27.09.2026; Tuần 4: 28.09–04.10.2026; Tuần 5: 05.10–11.10.2026; Tuần 6: 12.10–18.10.2026; Tuần 7: 19.10–25.10.2026; Tuần 8: 26.10–01.11.2026.</v>
      </c>
      <c r="N5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8" s="17" t="str">
        <f t="shared" si="8"/>
        <v>Còn trống</v>
      </c>
    </row>
    <row r="579" spans="1:16" x14ac:dyDescent="0.3">
      <c r="A579">
        <v>578</v>
      </c>
      <c r="B579" t="s">
        <v>1171</v>
      </c>
      <c r="C579" t="s">
        <v>1354</v>
      </c>
      <c r="D579" t="s">
        <v>1355</v>
      </c>
      <c r="E579" t="s">
        <v>33</v>
      </c>
      <c r="F579" t="s">
        <v>1184</v>
      </c>
      <c r="G579" t="s">
        <v>1233</v>
      </c>
      <c r="H579" t="str">
        <f>'Huong dan giao do an'!$B$14</f>
        <v>5 SV (vai trò chính): 1 PM/Scrum Master kiêm Integration; 2 BA/PO; 3 UI-UX + Frontend; 4 Backend/API + DevOps; 5 Database + QA/Tester. Mỗi SV có nhiệm vụ phụ và minh chứng cá nhân.</v>
      </c>
      <c r="I579" t="s">
        <v>36</v>
      </c>
      <c r="J579" t="s">
        <v>1186</v>
      </c>
      <c r="K579" t="str">
        <f>IF(I579="Trung bình",'Huong dan giao do an'!$B$8,IF(I579="Khá",'Huong dan giao do an'!$B$9,'Huong dan giao do an'!$B$10))</f>
        <v>Tối thiểu 3 actor; 8-10 use case; 6-8 bảng dữ liệu; 2 quy trình lõi; đăng nhập/RBAC; 1 dashboard; 1 báo cáo; &gt;=25 test case; triển khai bản demo.</v>
      </c>
      <c r="L579" t="str">
        <f>'Huong dan giao do an'!$B$31</f>
        <v>Bắt buộc: Charter/PMP; SRS + scope/WBS; Gantt/baseline; effort-cost budget; RACI/timesheet; quality-test-defect; communication/minutes; risk register; procurement; change log; closure/lessons learned.</v>
      </c>
      <c r="M579" t="str">
        <f>'Huong dan giao do an'!$B$33</f>
        <v>Tuần 1: 07.09–13.09.2026; Tuần 2: 14.09–20.09.2026; Tuần 3: 21.09–27.09.2026; Tuần 4: 28.09–04.10.2026; Tuần 5: 05.10–11.10.2026; Tuần 6: 12.10–18.10.2026; Tuần 7: 19.10–25.10.2026; Tuần 8: 26.10–01.11.2026.</v>
      </c>
      <c r="N5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79" s="17" t="str">
        <f t="shared" ref="P579:P642" si="9">IF(O579="","Còn trống","Đã đăng ký")</f>
        <v>Còn trống</v>
      </c>
    </row>
    <row r="580" spans="1:16" x14ac:dyDescent="0.3">
      <c r="A580">
        <v>579</v>
      </c>
      <c r="B580" t="s">
        <v>1171</v>
      </c>
      <c r="C580" t="s">
        <v>1356</v>
      </c>
      <c r="D580" t="s">
        <v>1357</v>
      </c>
      <c r="E580" t="s">
        <v>40</v>
      </c>
      <c r="F580" t="s">
        <v>1189</v>
      </c>
      <c r="G580" t="s">
        <v>1236</v>
      </c>
      <c r="H580" t="str">
        <f>'Huong dan giao do an'!$B$14</f>
        <v>5 SV (vai trò chính): 1 PM/Scrum Master kiêm Integration; 2 BA/PO; 3 UI-UX + Frontend; 4 Backend/API + DevOps; 5 Database + QA/Tester. Mỗi SV có nhiệm vụ phụ và minh chứng cá nhân.</v>
      </c>
      <c r="I580" t="s">
        <v>22</v>
      </c>
      <c r="J580" t="s">
        <v>1176</v>
      </c>
      <c r="K580" t="str">
        <f>IF(I580="Trung bình",'Huong dan giao do an'!$B$8,IF(I580="Khá",'Huong dan giao do an'!$B$9,'Huong dan giao do an'!$B$10))</f>
        <v>Tối thiểu 4 actor; 10-14 use case; 8-12 bảng; 3 quy trình lõi; phân quyền chi tiết; 2 báo cáo; tích hợp 1 dịch vụ; &gt;=35 test case; CI/CD hoặc deploy cloud.</v>
      </c>
      <c r="L580" t="str">
        <f>'Huong dan giao do an'!$B$31</f>
        <v>Bắt buộc: Charter/PMP; SRS + scope/WBS; Gantt/baseline; effort-cost budget; RACI/timesheet; quality-test-defect; communication/minutes; risk register; procurement; change log; closure/lessons learned.</v>
      </c>
      <c r="M580" t="str">
        <f>'Huong dan giao do an'!$B$33</f>
        <v>Tuần 1: 07.09–13.09.2026; Tuần 2: 14.09–20.09.2026; Tuần 3: 21.09–27.09.2026; Tuần 4: 28.09–04.10.2026; Tuần 5: 05.10–11.10.2026; Tuần 6: 12.10–18.10.2026; Tuần 7: 19.10–25.10.2026; Tuần 8: 26.10–01.11.2026.</v>
      </c>
      <c r="N5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0" s="17" t="str">
        <f t="shared" si="9"/>
        <v>Còn trống</v>
      </c>
    </row>
    <row r="581" spans="1:16" x14ac:dyDescent="0.3">
      <c r="A581">
        <v>580</v>
      </c>
      <c r="B581" t="s">
        <v>1171</v>
      </c>
      <c r="C581" t="s">
        <v>1358</v>
      </c>
      <c r="D581" t="s">
        <v>1359</v>
      </c>
      <c r="E581" t="s">
        <v>45</v>
      </c>
      <c r="F581" t="s">
        <v>1193</v>
      </c>
      <c r="G581" t="s">
        <v>1239</v>
      </c>
      <c r="H581" t="str">
        <f>'Huong dan giao do an'!$B$14</f>
        <v>5 SV (vai trò chính): 1 PM/Scrum Master kiêm Integration; 2 BA/PO; 3 UI-UX + Frontend; 4 Backend/API + DevOps; 5 Database + QA/Tester. Mỗi SV có nhiệm vụ phụ và minh chứng cá nhân.</v>
      </c>
      <c r="I581" t="s">
        <v>29</v>
      </c>
      <c r="J581" t="s">
        <v>1181</v>
      </c>
      <c r="K581" t="str">
        <f>IF(I581="Trung bình",'Huong dan giao do an'!$B$8,IF(I581="Khá",'Huong dan giao do an'!$B$9,'Huong dan giao do an'!$B$10))</f>
        <v>Tối thiểu 5 actor; 14-18 use case; 10-15 bảng; 4 quy trình; tích hợp ngoài/realtime hoặc xử lý nâng cao; 3 báo cáo; &gt;=45 test case; logging, backup và deploy.</v>
      </c>
      <c r="L581" t="str">
        <f>'Huong dan giao do an'!$B$31</f>
        <v>Bắt buộc: Charter/PMP; SRS + scope/WBS; Gantt/baseline; effort-cost budget; RACI/timesheet; quality-test-defect; communication/minutes; risk register; procurement; change log; closure/lessons learned.</v>
      </c>
      <c r="M581" t="str">
        <f>'Huong dan giao do an'!$B$33</f>
        <v>Tuần 1: 07.09–13.09.2026; Tuần 2: 14.09–20.09.2026; Tuần 3: 21.09–27.09.2026; Tuần 4: 28.09–04.10.2026; Tuần 5: 05.10–11.10.2026; Tuần 6: 12.10–18.10.2026; Tuần 7: 19.10–25.10.2026; Tuần 8: 26.10–01.11.2026.</v>
      </c>
      <c r="N5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1" s="17" t="str">
        <f t="shared" si="9"/>
        <v>Còn trống</v>
      </c>
    </row>
    <row r="582" spans="1:16" x14ac:dyDescent="0.3">
      <c r="A582">
        <v>581</v>
      </c>
      <c r="B582" t="s">
        <v>1171</v>
      </c>
      <c r="C582" t="s">
        <v>1360</v>
      </c>
      <c r="D582" t="s">
        <v>1361</v>
      </c>
      <c r="E582" t="s">
        <v>19</v>
      </c>
      <c r="F582" t="s">
        <v>1174</v>
      </c>
      <c r="G582" t="s">
        <v>1175</v>
      </c>
      <c r="H582" t="str">
        <f>'Huong dan giao do an'!$B$14</f>
        <v>5 SV (vai trò chính): 1 PM/Scrum Master kiêm Integration; 2 BA/PO; 3 UI-UX + Frontend; 4 Backend/API + DevOps; 5 Database + QA/Tester. Mỗi SV có nhiệm vụ phụ và minh chứng cá nhân.</v>
      </c>
      <c r="I582" t="s">
        <v>22</v>
      </c>
      <c r="J582" t="s">
        <v>1176</v>
      </c>
      <c r="K582" t="str">
        <f>IF(I582="Trung bình",'Huong dan giao do an'!$B$8,IF(I582="Khá",'Huong dan giao do an'!$B$9,'Huong dan giao do an'!$B$10))</f>
        <v>Tối thiểu 4 actor; 10-14 use case; 8-12 bảng; 3 quy trình lõi; phân quyền chi tiết; 2 báo cáo; tích hợp 1 dịch vụ; &gt;=35 test case; CI/CD hoặc deploy cloud.</v>
      </c>
      <c r="L582" t="str">
        <f>'Huong dan giao do an'!$B$31</f>
        <v>Bắt buộc: Charter/PMP; SRS + scope/WBS; Gantt/baseline; effort-cost budget; RACI/timesheet; quality-test-defect; communication/minutes; risk register; procurement; change log; closure/lessons learned.</v>
      </c>
      <c r="M582" t="str">
        <f>'Huong dan giao do an'!$B$33</f>
        <v>Tuần 1: 07.09–13.09.2026; Tuần 2: 14.09–20.09.2026; Tuần 3: 21.09–27.09.2026; Tuần 4: 28.09–04.10.2026; Tuần 5: 05.10–11.10.2026; Tuần 6: 12.10–18.10.2026; Tuần 7: 19.10–25.10.2026; Tuần 8: 26.10–01.11.2026.</v>
      </c>
      <c r="N5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2" s="17" t="str">
        <f t="shared" si="9"/>
        <v>Còn trống</v>
      </c>
    </row>
    <row r="583" spans="1:16" x14ac:dyDescent="0.3">
      <c r="A583">
        <v>582</v>
      </c>
      <c r="B583" t="s">
        <v>1171</v>
      </c>
      <c r="C583" t="s">
        <v>1362</v>
      </c>
      <c r="D583" t="s">
        <v>1363</v>
      </c>
      <c r="E583" t="s">
        <v>26</v>
      </c>
      <c r="F583" t="s">
        <v>1179</v>
      </c>
      <c r="G583" t="s">
        <v>1180</v>
      </c>
      <c r="H583" t="str">
        <f>'Huong dan giao do an'!$B$14</f>
        <v>5 SV (vai trò chính): 1 PM/Scrum Master kiêm Integration; 2 BA/PO; 3 UI-UX + Frontend; 4 Backend/API + DevOps; 5 Database + QA/Tester. Mỗi SV có nhiệm vụ phụ và minh chứng cá nhân.</v>
      </c>
      <c r="I583" t="s">
        <v>29</v>
      </c>
      <c r="J583" t="s">
        <v>1181</v>
      </c>
      <c r="K583" t="str">
        <f>IF(I583="Trung bình",'Huong dan giao do an'!$B$8,IF(I583="Khá",'Huong dan giao do an'!$B$9,'Huong dan giao do an'!$B$10))</f>
        <v>Tối thiểu 5 actor; 14-18 use case; 10-15 bảng; 4 quy trình; tích hợp ngoài/realtime hoặc xử lý nâng cao; 3 báo cáo; &gt;=45 test case; logging, backup và deploy.</v>
      </c>
      <c r="L583" t="str">
        <f>'Huong dan giao do an'!$B$31</f>
        <v>Bắt buộc: Charter/PMP; SRS + scope/WBS; Gantt/baseline; effort-cost budget; RACI/timesheet; quality-test-defect; communication/minutes; risk register; procurement; change log; closure/lessons learned.</v>
      </c>
      <c r="M583" t="str">
        <f>'Huong dan giao do an'!$B$33</f>
        <v>Tuần 1: 07.09–13.09.2026; Tuần 2: 14.09–20.09.2026; Tuần 3: 21.09–27.09.2026; Tuần 4: 28.09–04.10.2026; Tuần 5: 05.10–11.10.2026; Tuần 6: 12.10–18.10.2026; Tuần 7: 19.10–25.10.2026; Tuần 8: 26.10–01.11.2026.</v>
      </c>
      <c r="N5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3" s="17" t="str">
        <f t="shared" si="9"/>
        <v>Còn trống</v>
      </c>
    </row>
    <row r="584" spans="1:16" x14ac:dyDescent="0.3">
      <c r="A584">
        <v>583</v>
      </c>
      <c r="B584" t="s">
        <v>1171</v>
      </c>
      <c r="C584" t="s">
        <v>1364</v>
      </c>
      <c r="D584" t="s">
        <v>1365</v>
      </c>
      <c r="E584" t="s">
        <v>33</v>
      </c>
      <c r="F584" t="s">
        <v>1184</v>
      </c>
      <c r="G584" t="s">
        <v>1185</v>
      </c>
      <c r="H584" t="str">
        <f>'Huong dan giao do an'!$B$14</f>
        <v>5 SV (vai trò chính): 1 PM/Scrum Master kiêm Integration; 2 BA/PO; 3 UI-UX + Frontend; 4 Backend/API + DevOps; 5 Database + QA/Tester. Mỗi SV có nhiệm vụ phụ và minh chứng cá nhân.</v>
      </c>
      <c r="I584" t="s">
        <v>36</v>
      </c>
      <c r="J584" t="s">
        <v>1186</v>
      </c>
      <c r="K584" t="str">
        <f>IF(I584="Trung bình",'Huong dan giao do an'!$B$8,IF(I584="Khá",'Huong dan giao do an'!$B$9,'Huong dan giao do an'!$B$10))</f>
        <v>Tối thiểu 3 actor; 8-10 use case; 6-8 bảng dữ liệu; 2 quy trình lõi; đăng nhập/RBAC; 1 dashboard; 1 báo cáo; &gt;=25 test case; triển khai bản demo.</v>
      </c>
      <c r="L584" t="str">
        <f>'Huong dan giao do an'!$B$31</f>
        <v>Bắt buộc: Charter/PMP; SRS + scope/WBS; Gantt/baseline; effort-cost budget; RACI/timesheet; quality-test-defect; communication/minutes; risk register; procurement; change log; closure/lessons learned.</v>
      </c>
      <c r="M584" t="str">
        <f>'Huong dan giao do an'!$B$33</f>
        <v>Tuần 1: 07.09–13.09.2026; Tuần 2: 14.09–20.09.2026; Tuần 3: 21.09–27.09.2026; Tuần 4: 28.09–04.10.2026; Tuần 5: 05.10–11.10.2026; Tuần 6: 12.10–18.10.2026; Tuần 7: 19.10–25.10.2026; Tuần 8: 26.10–01.11.2026.</v>
      </c>
      <c r="N5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4" s="17" t="str">
        <f t="shared" si="9"/>
        <v>Còn trống</v>
      </c>
    </row>
    <row r="585" spans="1:16" x14ac:dyDescent="0.3">
      <c r="A585">
        <v>584</v>
      </c>
      <c r="B585" t="s">
        <v>1171</v>
      </c>
      <c r="C585" t="s">
        <v>1366</v>
      </c>
      <c r="D585" t="s">
        <v>1367</v>
      </c>
      <c r="E585" t="s">
        <v>40</v>
      </c>
      <c r="F585" t="s">
        <v>1189</v>
      </c>
      <c r="G585" t="s">
        <v>1190</v>
      </c>
      <c r="H585" t="str">
        <f>'Huong dan giao do an'!$B$14</f>
        <v>5 SV (vai trò chính): 1 PM/Scrum Master kiêm Integration; 2 BA/PO; 3 UI-UX + Frontend; 4 Backend/API + DevOps; 5 Database + QA/Tester. Mỗi SV có nhiệm vụ phụ và minh chứng cá nhân.</v>
      </c>
      <c r="I585" t="s">
        <v>22</v>
      </c>
      <c r="J585" t="s">
        <v>1176</v>
      </c>
      <c r="K585" t="str">
        <f>IF(I585="Trung bình",'Huong dan giao do an'!$B$8,IF(I585="Khá",'Huong dan giao do an'!$B$9,'Huong dan giao do an'!$B$10))</f>
        <v>Tối thiểu 4 actor; 10-14 use case; 8-12 bảng; 3 quy trình lõi; phân quyền chi tiết; 2 báo cáo; tích hợp 1 dịch vụ; &gt;=35 test case; CI/CD hoặc deploy cloud.</v>
      </c>
      <c r="L585" t="str">
        <f>'Huong dan giao do an'!$B$31</f>
        <v>Bắt buộc: Charter/PMP; SRS + scope/WBS; Gantt/baseline; effort-cost budget; RACI/timesheet; quality-test-defect; communication/minutes; risk register; procurement; change log; closure/lessons learned.</v>
      </c>
      <c r="M585" t="str">
        <f>'Huong dan giao do an'!$B$33</f>
        <v>Tuần 1: 07.09–13.09.2026; Tuần 2: 14.09–20.09.2026; Tuần 3: 21.09–27.09.2026; Tuần 4: 28.09–04.10.2026; Tuần 5: 05.10–11.10.2026; Tuần 6: 12.10–18.10.2026; Tuần 7: 19.10–25.10.2026; Tuần 8: 26.10–01.11.2026.</v>
      </c>
      <c r="N5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5" s="17" t="str">
        <f t="shared" si="9"/>
        <v>Còn trống</v>
      </c>
    </row>
    <row r="586" spans="1:16" x14ac:dyDescent="0.3">
      <c r="A586">
        <v>585</v>
      </c>
      <c r="B586" t="s">
        <v>1171</v>
      </c>
      <c r="C586" t="s">
        <v>1368</v>
      </c>
      <c r="D586" t="s">
        <v>1369</v>
      </c>
      <c r="E586" t="s">
        <v>45</v>
      </c>
      <c r="F586" t="s">
        <v>1193</v>
      </c>
      <c r="G586" t="s">
        <v>1194</v>
      </c>
      <c r="H586" t="str">
        <f>'Huong dan giao do an'!$B$14</f>
        <v>5 SV (vai trò chính): 1 PM/Scrum Master kiêm Integration; 2 BA/PO; 3 UI-UX + Frontend; 4 Backend/API + DevOps; 5 Database + QA/Tester. Mỗi SV có nhiệm vụ phụ và minh chứng cá nhân.</v>
      </c>
      <c r="I586" t="s">
        <v>29</v>
      </c>
      <c r="J586" t="s">
        <v>1181</v>
      </c>
      <c r="K586" t="str">
        <f>IF(I586="Trung bình",'Huong dan giao do an'!$B$8,IF(I586="Khá",'Huong dan giao do an'!$B$9,'Huong dan giao do an'!$B$10))</f>
        <v>Tối thiểu 5 actor; 14-18 use case; 10-15 bảng; 4 quy trình; tích hợp ngoài/realtime hoặc xử lý nâng cao; 3 báo cáo; &gt;=45 test case; logging, backup và deploy.</v>
      </c>
      <c r="L586" t="str">
        <f>'Huong dan giao do an'!$B$31</f>
        <v>Bắt buộc: Charter/PMP; SRS + scope/WBS; Gantt/baseline; effort-cost budget; RACI/timesheet; quality-test-defect; communication/minutes; risk register; procurement; change log; closure/lessons learned.</v>
      </c>
      <c r="M586" t="str">
        <f>'Huong dan giao do an'!$B$33</f>
        <v>Tuần 1: 07.09–13.09.2026; Tuần 2: 14.09–20.09.2026; Tuần 3: 21.09–27.09.2026; Tuần 4: 28.09–04.10.2026; Tuần 5: 05.10–11.10.2026; Tuần 6: 12.10–18.10.2026; Tuần 7: 19.10–25.10.2026; Tuần 8: 26.10–01.11.2026.</v>
      </c>
      <c r="N5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6" s="17" t="str">
        <f t="shared" si="9"/>
        <v>Còn trống</v>
      </c>
    </row>
    <row r="587" spans="1:16" x14ac:dyDescent="0.3">
      <c r="A587">
        <v>586</v>
      </c>
      <c r="B587" t="s">
        <v>1171</v>
      </c>
      <c r="C587" t="s">
        <v>1370</v>
      </c>
      <c r="D587" t="s">
        <v>1371</v>
      </c>
      <c r="E587" t="s">
        <v>19</v>
      </c>
      <c r="F587" t="s">
        <v>1174</v>
      </c>
      <c r="G587" t="s">
        <v>1197</v>
      </c>
      <c r="H587" t="str">
        <f>'Huong dan giao do an'!$B$14</f>
        <v>5 SV (vai trò chính): 1 PM/Scrum Master kiêm Integration; 2 BA/PO; 3 UI-UX + Frontend; 4 Backend/API + DevOps; 5 Database + QA/Tester. Mỗi SV có nhiệm vụ phụ và minh chứng cá nhân.</v>
      </c>
      <c r="I587" t="s">
        <v>36</v>
      </c>
      <c r="J587" t="s">
        <v>1186</v>
      </c>
      <c r="K587" t="str">
        <f>IF(I587="Trung bình",'Huong dan giao do an'!$B$8,IF(I587="Khá",'Huong dan giao do an'!$B$9,'Huong dan giao do an'!$B$10))</f>
        <v>Tối thiểu 3 actor; 8-10 use case; 6-8 bảng dữ liệu; 2 quy trình lõi; đăng nhập/RBAC; 1 dashboard; 1 báo cáo; &gt;=25 test case; triển khai bản demo.</v>
      </c>
      <c r="L587" t="str">
        <f>'Huong dan giao do an'!$B$31</f>
        <v>Bắt buộc: Charter/PMP; SRS + scope/WBS; Gantt/baseline; effort-cost budget; RACI/timesheet; quality-test-defect; communication/minutes; risk register; procurement; change log; closure/lessons learned.</v>
      </c>
      <c r="M587" t="str">
        <f>'Huong dan giao do an'!$B$33</f>
        <v>Tuần 1: 07.09–13.09.2026; Tuần 2: 14.09–20.09.2026; Tuần 3: 21.09–27.09.2026; Tuần 4: 28.09–04.10.2026; Tuần 5: 05.10–11.10.2026; Tuần 6: 12.10–18.10.2026; Tuần 7: 19.10–25.10.2026; Tuần 8: 26.10–01.11.2026.</v>
      </c>
      <c r="N5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7" s="17" t="str">
        <f t="shared" si="9"/>
        <v>Còn trống</v>
      </c>
    </row>
    <row r="588" spans="1:16" x14ac:dyDescent="0.3">
      <c r="A588">
        <v>587</v>
      </c>
      <c r="B588" t="s">
        <v>1171</v>
      </c>
      <c r="C588" t="s">
        <v>1372</v>
      </c>
      <c r="D588" t="s">
        <v>1373</v>
      </c>
      <c r="E588" t="s">
        <v>26</v>
      </c>
      <c r="F588" t="s">
        <v>1179</v>
      </c>
      <c r="G588" t="s">
        <v>1200</v>
      </c>
      <c r="H588" t="str">
        <f>'Huong dan giao do an'!$B$14</f>
        <v>5 SV (vai trò chính): 1 PM/Scrum Master kiêm Integration; 2 BA/PO; 3 UI-UX + Frontend; 4 Backend/API + DevOps; 5 Database + QA/Tester. Mỗi SV có nhiệm vụ phụ và minh chứng cá nhân.</v>
      </c>
      <c r="I588" t="s">
        <v>22</v>
      </c>
      <c r="J588" t="s">
        <v>1176</v>
      </c>
      <c r="K588" t="str">
        <f>IF(I588="Trung bình",'Huong dan giao do an'!$B$8,IF(I588="Khá",'Huong dan giao do an'!$B$9,'Huong dan giao do an'!$B$10))</f>
        <v>Tối thiểu 4 actor; 10-14 use case; 8-12 bảng; 3 quy trình lõi; phân quyền chi tiết; 2 báo cáo; tích hợp 1 dịch vụ; &gt;=35 test case; CI/CD hoặc deploy cloud.</v>
      </c>
      <c r="L588" t="str">
        <f>'Huong dan giao do an'!$B$31</f>
        <v>Bắt buộc: Charter/PMP; SRS + scope/WBS; Gantt/baseline; effort-cost budget; RACI/timesheet; quality-test-defect; communication/minutes; risk register; procurement; change log; closure/lessons learned.</v>
      </c>
      <c r="M588" t="str">
        <f>'Huong dan giao do an'!$B$33</f>
        <v>Tuần 1: 07.09–13.09.2026; Tuần 2: 14.09–20.09.2026; Tuần 3: 21.09–27.09.2026; Tuần 4: 28.09–04.10.2026; Tuần 5: 05.10–11.10.2026; Tuần 6: 12.10–18.10.2026; Tuần 7: 19.10–25.10.2026; Tuần 8: 26.10–01.11.2026.</v>
      </c>
      <c r="N5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8" s="17" t="str">
        <f t="shared" si="9"/>
        <v>Còn trống</v>
      </c>
    </row>
    <row r="589" spans="1:16" x14ac:dyDescent="0.3">
      <c r="A589">
        <v>588</v>
      </c>
      <c r="B589" t="s">
        <v>1171</v>
      </c>
      <c r="C589" t="s">
        <v>1374</v>
      </c>
      <c r="D589" t="s">
        <v>1375</v>
      </c>
      <c r="E589" t="s">
        <v>33</v>
      </c>
      <c r="F589" t="s">
        <v>1184</v>
      </c>
      <c r="G589" t="s">
        <v>1203</v>
      </c>
      <c r="H589" t="str">
        <f>'Huong dan giao do an'!$B$14</f>
        <v>5 SV (vai trò chính): 1 PM/Scrum Master kiêm Integration; 2 BA/PO; 3 UI-UX + Frontend; 4 Backend/API + DevOps; 5 Database + QA/Tester. Mỗi SV có nhiệm vụ phụ và minh chứng cá nhân.</v>
      </c>
      <c r="I589" t="s">
        <v>29</v>
      </c>
      <c r="J589" t="s">
        <v>1181</v>
      </c>
      <c r="K589" t="str">
        <f>IF(I589="Trung bình",'Huong dan giao do an'!$B$8,IF(I589="Khá",'Huong dan giao do an'!$B$9,'Huong dan giao do an'!$B$10))</f>
        <v>Tối thiểu 5 actor; 14-18 use case; 10-15 bảng; 4 quy trình; tích hợp ngoài/realtime hoặc xử lý nâng cao; 3 báo cáo; &gt;=45 test case; logging, backup và deploy.</v>
      </c>
      <c r="L589" t="str">
        <f>'Huong dan giao do an'!$B$31</f>
        <v>Bắt buộc: Charter/PMP; SRS + scope/WBS; Gantt/baseline; effort-cost budget; RACI/timesheet; quality-test-defect; communication/minutes; risk register; procurement; change log; closure/lessons learned.</v>
      </c>
      <c r="M589" t="str">
        <f>'Huong dan giao do an'!$B$33</f>
        <v>Tuần 1: 07.09–13.09.2026; Tuần 2: 14.09–20.09.2026; Tuần 3: 21.09–27.09.2026; Tuần 4: 28.09–04.10.2026; Tuần 5: 05.10–11.10.2026; Tuần 6: 12.10–18.10.2026; Tuần 7: 19.10–25.10.2026; Tuần 8: 26.10–01.11.2026.</v>
      </c>
      <c r="N5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89" s="17" t="str">
        <f t="shared" si="9"/>
        <v>Còn trống</v>
      </c>
    </row>
    <row r="590" spans="1:16" x14ac:dyDescent="0.3">
      <c r="A590">
        <v>589</v>
      </c>
      <c r="B590" t="s">
        <v>1171</v>
      </c>
      <c r="C590" t="s">
        <v>1376</v>
      </c>
      <c r="D590" t="s">
        <v>1377</v>
      </c>
      <c r="E590" t="s">
        <v>40</v>
      </c>
      <c r="F590" t="s">
        <v>1189</v>
      </c>
      <c r="G590" t="s">
        <v>1206</v>
      </c>
      <c r="H590" t="str">
        <f>'Huong dan giao do an'!$B$14</f>
        <v>5 SV (vai trò chính): 1 PM/Scrum Master kiêm Integration; 2 BA/PO; 3 UI-UX + Frontend; 4 Backend/API + DevOps; 5 Database + QA/Tester. Mỗi SV có nhiệm vụ phụ và minh chứng cá nhân.</v>
      </c>
      <c r="I590" t="s">
        <v>36</v>
      </c>
      <c r="J590" t="s">
        <v>1186</v>
      </c>
      <c r="K590" t="str">
        <f>IF(I590="Trung bình",'Huong dan giao do an'!$B$8,IF(I590="Khá",'Huong dan giao do an'!$B$9,'Huong dan giao do an'!$B$10))</f>
        <v>Tối thiểu 3 actor; 8-10 use case; 6-8 bảng dữ liệu; 2 quy trình lõi; đăng nhập/RBAC; 1 dashboard; 1 báo cáo; &gt;=25 test case; triển khai bản demo.</v>
      </c>
      <c r="L590" t="str">
        <f>'Huong dan giao do an'!$B$31</f>
        <v>Bắt buộc: Charter/PMP; SRS + scope/WBS; Gantt/baseline; effort-cost budget; RACI/timesheet; quality-test-defect; communication/minutes; risk register; procurement; change log; closure/lessons learned.</v>
      </c>
      <c r="M590" t="str">
        <f>'Huong dan giao do an'!$B$33</f>
        <v>Tuần 1: 07.09–13.09.2026; Tuần 2: 14.09–20.09.2026; Tuần 3: 21.09–27.09.2026; Tuần 4: 28.09–04.10.2026; Tuần 5: 05.10–11.10.2026; Tuần 6: 12.10–18.10.2026; Tuần 7: 19.10–25.10.2026; Tuần 8: 26.10–01.11.2026.</v>
      </c>
      <c r="N5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0" s="17" t="str">
        <f t="shared" si="9"/>
        <v>Còn trống</v>
      </c>
    </row>
    <row r="591" spans="1:16" x14ac:dyDescent="0.3">
      <c r="A591">
        <v>590</v>
      </c>
      <c r="B591" t="s">
        <v>1171</v>
      </c>
      <c r="C591" t="s">
        <v>1378</v>
      </c>
      <c r="D591" t="s">
        <v>1379</v>
      </c>
      <c r="E591" t="s">
        <v>45</v>
      </c>
      <c r="F591" t="s">
        <v>1193</v>
      </c>
      <c r="G591" t="s">
        <v>1209</v>
      </c>
      <c r="H591" t="str">
        <f>'Huong dan giao do an'!$B$14</f>
        <v>5 SV (vai trò chính): 1 PM/Scrum Master kiêm Integration; 2 BA/PO; 3 UI-UX + Frontend; 4 Backend/API + DevOps; 5 Database + QA/Tester. Mỗi SV có nhiệm vụ phụ và minh chứng cá nhân.</v>
      </c>
      <c r="I591" t="s">
        <v>22</v>
      </c>
      <c r="J591" t="s">
        <v>1176</v>
      </c>
      <c r="K591" t="str">
        <f>IF(I591="Trung bình",'Huong dan giao do an'!$B$8,IF(I591="Khá",'Huong dan giao do an'!$B$9,'Huong dan giao do an'!$B$10))</f>
        <v>Tối thiểu 4 actor; 10-14 use case; 8-12 bảng; 3 quy trình lõi; phân quyền chi tiết; 2 báo cáo; tích hợp 1 dịch vụ; &gt;=35 test case; CI/CD hoặc deploy cloud.</v>
      </c>
      <c r="L591" t="str">
        <f>'Huong dan giao do an'!$B$31</f>
        <v>Bắt buộc: Charter/PMP; SRS + scope/WBS; Gantt/baseline; effort-cost budget; RACI/timesheet; quality-test-defect; communication/minutes; risk register; procurement; change log; closure/lessons learned.</v>
      </c>
      <c r="M591" t="str">
        <f>'Huong dan giao do an'!$B$33</f>
        <v>Tuần 1: 07.09–13.09.2026; Tuần 2: 14.09–20.09.2026; Tuần 3: 21.09–27.09.2026; Tuần 4: 28.09–04.10.2026; Tuần 5: 05.10–11.10.2026; Tuần 6: 12.10–18.10.2026; Tuần 7: 19.10–25.10.2026; Tuần 8: 26.10–01.11.2026.</v>
      </c>
      <c r="N5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1" s="17" t="str">
        <f t="shared" si="9"/>
        <v>Còn trống</v>
      </c>
    </row>
    <row r="592" spans="1:16" x14ac:dyDescent="0.3">
      <c r="A592">
        <v>591</v>
      </c>
      <c r="B592" t="s">
        <v>1171</v>
      </c>
      <c r="C592" t="s">
        <v>1380</v>
      </c>
      <c r="D592" t="s">
        <v>1381</v>
      </c>
      <c r="E592" t="s">
        <v>19</v>
      </c>
      <c r="F592" t="s">
        <v>1174</v>
      </c>
      <c r="G592" t="s">
        <v>1212</v>
      </c>
      <c r="H592" t="str">
        <f>'Huong dan giao do an'!$B$14</f>
        <v>5 SV (vai trò chính): 1 PM/Scrum Master kiêm Integration; 2 BA/PO; 3 UI-UX + Frontend; 4 Backend/API + DevOps; 5 Database + QA/Tester. Mỗi SV có nhiệm vụ phụ và minh chứng cá nhân.</v>
      </c>
      <c r="I592" t="s">
        <v>29</v>
      </c>
      <c r="J592" t="s">
        <v>1181</v>
      </c>
      <c r="K592" t="str">
        <f>IF(I592="Trung bình",'Huong dan giao do an'!$B$8,IF(I592="Khá",'Huong dan giao do an'!$B$9,'Huong dan giao do an'!$B$10))</f>
        <v>Tối thiểu 5 actor; 14-18 use case; 10-15 bảng; 4 quy trình; tích hợp ngoài/realtime hoặc xử lý nâng cao; 3 báo cáo; &gt;=45 test case; logging, backup và deploy.</v>
      </c>
      <c r="L592" t="str">
        <f>'Huong dan giao do an'!$B$31</f>
        <v>Bắt buộc: Charter/PMP; SRS + scope/WBS; Gantt/baseline; effort-cost budget; RACI/timesheet; quality-test-defect; communication/minutes; risk register; procurement; change log; closure/lessons learned.</v>
      </c>
      <c r="M592" t="str">
        <f>'Huong dan giao do an'!$B$33</f>
        <v>Tuần 1: 07.09–13.09.2026; Tuần 2: 14.09–20.09.2026; Tuần 3: 21.09–27.09.2026; Tuần 4: 28.09–04.10.2026; Tuần 5: 05.10–11.10.2026; Tuần 6: 12.10–18.10.2026; Tuần 7: 19.10–25.10.2026; Tuần 8: 26.10–01.11.2026.</v>
      </c>
      <c r="N5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2" s="17" t="str">
        <f t="shared" si="9"/>
        <v>Còn trống</v>
      </c>
    </row>
    <row r="593" spans="1:16" x14ac:dyDescent="0.3">
      <c r="A593">
        <v>592</v>
      </c>
      <c r="B593" t="s">
        <v>1171</v>
      </c>
      <c r="C593" t="s">
        <v>1382</v>
      </c>
      <c r="D593" t="s">
        <v>1383</v>
      </c>
      <c r="E593" t="s">
        <v>26</v>
      </c>
      <c r="F593" t="s">
        <v>1179</v>
      </c>
      <c r="G593" t="s">
        <v>1215</v>
      </c>
      <c r="H593" t="str">
        <f>'Huong dan giao do an'!$B$14</f>
        <v>5 SV (vai trò chính): 1 PM/Scrum Master kiêm Integration; 2 BA/PO; 3 UI-UX + Frontend; 4 Backend/API + DevOps; 5 Database + QA/Tester. Mỗi SV có nhiệm vụ phụ và minh chứng cá nhân.</v>
      </c>
      <c r="I593" t="s">
        <v>36</v>
      </c>
      <c r="J593" t="s">
        <v>1186</v>
      </c>
      <c r="K593" t="str">
        <f>IF(I593="Trung bình",'Huong dan giao do an'!$B$8,IF(I593="Khá",'Huong dan giao do an'!$B$9,'Huong dan giao do an'!$B$10))</f>
        <v>Tối thiểu 3 actor; 8-10 use case; 6-8 bảng dữ liệu; 2 quy trình lõi; đăng nhập/RBAC; 1 dashboard; 1 báo cáo; &gt;=25 test case; triển khai bản demo.</v>
      </c>
      <c r="L593" t="str">
        <f>'Huong dan giao do an'!$B$31</f>
        <v>Bắt buộc: Charter/PMP; SRS + scope/WBS; Gantt/baseline; effort-cost budget; RACI/timesheet; quality-test-defect; communication/minutes; risk register; procurement; change log; closure/lessons learned.</v>
      </c>
      <c r="M593" t="str">
        <f>'Huong dan giao do an'!$B$33</f>
        <v>Tuần 1: 07.09–13.09.2026; Tuần 2: 14.09–20.09.2026; Tuần 3: 21.09–27.09.2026; Tuần 4: 28.09–04.10.2026; Tuần 5: 05.10–11.10.2026; Tuần 6: 12.10–18.10.2026; Tuần 7: 19.10–25.10.2026; Tuần 8: 26.10–01.11.2026.</v>
      </c>
      <c r="N5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3" s="17" t="str">
        <f t="shared" si="9"/>
        <v>Còn trống</v>
      </c>
    </row>
    <row r="594" spans="1:16" x14ac:dyDescent="0.3">
      <c r="A594">
        <v>593</v>
      </c>
      <c r="B594" t="s">
        <v>1171</v>
      </c>
      <c r="C594" t="s">
        <v>1384</v>
      </c>
      <c r="D594" t="s">
        <v>1385</v>
      </c>
      <c r="E594" t="s">
        <v>33</v>
      </c>
      <c r="F594" t="s">
        <v>1184</v>
      </c>
      <c r="G594" t="s">
        <v>1218</v>
      </c>
      <c r="H594" t="str">
        <f>'Huong dan giao do an'!$B$14</f>
        <v>5 SV (vai trò chính): 1 PM/Scrum Master kiêm Integration; 2 BA/PO; 3 UI-UX + Frontend; 4 Backend/API + DevOps; 5 Database + QA/Tester. Mỗi SV có nhiệm vụ phụ và minh chứng cá nhân.</v>
      </c>
      <c r="I594" t="s">
        <v>22</v>
      </c>
      <c r="J594" t="s">
        <v>1176</v>
      </c>
      <c r="K594" t="str">
        <f>IF(I594="Trung bình",'Huong dan giao do an'!$B$8,IF(I594="Khá",'Huong dan giao do an'!$B$9,'Huong dan giao do an'!$B$10))</f>
        <v>Tối thiểu 4 actor; 10-14 use case; 8-12 bảng; 3 quy trình lõi; phân quyền chi tiết; 2 báo cáo; tích hợp 1 dịch vụ; &gt;=35 test case; CI/CD hoặc deploy cloud.</v>
      </c>
      <c r="L594" t="str">
        <f>'Huong dan giao do an'!$B$31</f>
        <v>Bắt buộc: Charter/PMP; SRS + scope/WBS; Gantt/baseline; effort-cost budget; RACI/timesheet; quality-test-defect; communication/minutes; risk register; procurement; change log; closure/lessons learned.</v>
      </c>
      <c r="M594" t="str">
        <f>'Huong dan giao do an'!$B$33</f>
        <v>Tuần 1: 07.09–13.09.2026; Tuần 2: 14.09–20.09.2026; Tuần 3: 21.09–27.09.2026; Tuần 4: 28.09–04.10.2026; Tuần 5: 05.10–11.10.2026; Tuần 6: 12.10–18.10.2026; Tuần 7: 19.10–25.10.2026; Tuần 8: 26.10–01.11.2026.</v>
      </c>
      <c r="N5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4" s="17" t="str">
        <f t="shared" si="9"/>
        <v>Còn trống</v>
      </c>
    </row>
    <row r="595" spans="1:16" x14ac:dyDescent="0.3">
      <c r="A595">
        <v>594</v>
      </c>
      <c r="B595" t="s">
        <v>1171</v>
      </c>
      <c r="C595" t="s">
        <v>1386</v>
      </c>
      <c r="D595" t="s">
        <v>1387</v>
      </c>
      <c r="E595" t="s">
        <v>40</v>
      </c>
      <c r="F595" t="s">
        <v>1189</v>
      </c>
      <c r="G595" t="s">
        <v>1221</v>
      </c>
      <c r="H595" t="str">
        <f>'Huong dan giao do an'!$B$14</f>
        <v>5 SV (vai trò chính): 1 PM/Scrum Master kiêm Integration; 2 BA/PO; 3 UI-UX + Frontend; 4 Backend/API + DevOps; 5 Database + QA/Tester. Mỗi SV có nhiệm vụ phụ và minh chứng cá nhân.</v>
      </c>
      <c r="I595" t="s">
        <v>29</v>
      </c>
      <c r="J595" t="s">
        <v>1181</v>
      </c>
      <c r="K595" t="str">
        <f>IF(I595="Trung bình",'Huong dan giao do an'!$B$8,IF(I595="Khá",'Huong dan giao do an'!$B$9,'Huong dan giao do an'!$B$10))</f>
        <v>Tối thiểu 5 actor; 14-18 use case; 10-15 bảng; 4 quy trình; tích hợp ngoài/realtime hoặc xử lý nâng cao; 3 báo cáo; &gt;=45 test case; logging, backup và deploy.</v>
      </c>
      <c r="L595" t="str">
        <f>'Huong dan giao do an'!$B$31</f>
        <v>Bắt buộc: Charter/PMP; SRS + scope/WBS; Gantt/baseline; effort-cost budget; RACI/timesheet; quality-test-defect; communication/minutes; risk register; procurement; change log; closure/lessons learned.</v>
      </c>
      <c r="M595" t="str">
        <f>'Huong dan giao do an'!$B$33</f>
        <v>Tuần 1: 07.09–13.09.2026; Tuần 2: 14.09–20.09.2026; Tuần 3: 21.09–27.09.2026; Tuần 4: 28.09–04.10.2026; Tuần 5: 05.10–11.10.2026; Tuần 6: 12.10–18.10.2026; Tuần 7: 19.10–25.10.2026; Tuần 8: 26.10–01.11.2026.</v>
      </c>
      <c r="N5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5" s="17" t="str">
        <f t="shared" si="9"/>
        <v>Còn trống</v>
      </c>
    </row>
    <row r="596" spans="1:16" x14ac:dyDescent="0.3">
      <c r="A596">
        <v>595</v>
      </c>
      <c r="B596" t="s">
        <v>1171</v>
      </c>
      <c r="C596" t="s">
        <v>1388</v>
      </c>
      <c r="D596" t="s">
        <v>1389</v>
      </c>
      <c r="E596" t="s">
        <v>45</v>
      </c>
      <c r="F596" t="s">
        <v>1193</v>
      </c>
      <c r="G596" t="s">
        <v>1224</v>
      </c>
      <c r="H596" t="str">
        <f>'Huong dan giao do an'!$B$14</f>
        <v>5 SV (vai trò chính): 1 PM/Scrum Master kiêm Integration; 2 BA/PO; 3 UI-UX + Frontend; 4 Backend/API + DevOps; 5 Database + QA/Tester. Mỗi SV có nhiệm vụ phụ và minh chứng cá nhân.</v>
      </c>
      <c r="I596" t="s">
        <v>36</v>
      </c>
      <c r="J596" t="s">
        <v>1186</v>
      </c>
      <c r="K596" t="str">
        <f>IF(I596="Trung bình",'Huong dan giao do an'!$B$8,IF(I596="Khá",'Huong dan giao do an'!$B$9,'Huong dan giao do an'!$B$10))</f>
        <v>Tối thiểu 3 actor; 8-10 use case; 6-8 bảng dữ liệu; 2 quy trình lõi; đăng nhập/RBAC; 1 dashboard; 1 báo cáo; &gt;=25 test case; triển khai bản demo.</v>
      </c>
      <c r="L596" t="str">
        <f>'Huong dan giao do an'!$B$31</f>
        <v>Bắt buộc: Charter/PMP; SRS + scope/WBS; Gantt/baseline; effort-cost budget; RACI/timesheet; quality-test-defect; communication/minutes; risk register; procurement; change log; closure/lessons learned.</v>
      </c>
      <c r="M596" t="str">
        <f>'Huong dan giao do an'!$B$33</f>
        <v>Tuần 1: 07.09–13.09.2026; Tuần 2: 14.09–20.09.2026; Tuần 3: 21.09–27.09.2026; Tuần 4: 28.09–04.10.2026; Tuần 5: 05.10–11.10.2026; Tuần 6: 12.10–18.10.2026; Tuần 7: 19.10–25.10.2026; Tuần 8: 26.10–01.11.2026.</v>
      </c>
      <c r="N5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6" s="17" t="str">
        <f t="shared" si="9"/>
        <v>Còn trống</v>
      </c>
    </row>
    <row r="597" spans="1:16" x14ac:dyDescent="0.3">
      <c r="A597">
        <v>596</v>
      </c>
      <c r="B597" t="s">
        <v>1171</v>
      </c>
      <c r="C597" t="s">
        <v>1390</v>
      </c>
      <c r="D597" t="s">
        <v>1391</v>
      </c>
      <c r="E597" t="s">
        <v>19</v>
      </c>
      <c r="F597" t="s">
        <v>1174</v>
      </c>
      <c r="G597" t="s">
        <v>1227</v>
      </c>
      <c r="H597" t="str">
        <f>'Huong dan giao do an'!$B$14</f>
        <v>5 SV (vai trò chính): 1 PM/Scrum Master kiêm Integration; 2 BA/PO; 3 UI-UX + Frontend; 4 Backend/API + DevOps; 5 Database + QA/Tester. Mỗi SV có nhiệm vụ phụ và minh chứng cá nhân.</v>
      </c>
      <c r="I597" t="s">
        <v>22</v>
      </c>
      <c r="J597" t="s">
        <v>1176</v>
      </c>
      <c r="K597" t="str">
        <f>IF(I597="Trung bình",'Huong dan giao do an'!$B$8,IF(I597="Khá",'Huong dan giao do an'!$B$9,'Huong dan giao do an'!$B$10))</f>
        <v>Tối thiểu 4 actor; 10-14 use case; 8-12 bảng; 3 quy trình lõi; phân quyền chi tiết; 2 báo cáo; tích hợp 1 dịch vụ; &gt;=35 test case; CI/CD hoặc deploy cloud.</v>
      </c>
      <c r="L597" t="str">
        <f>'Huong dan giao do an'!$B$31</f>
        <v>Bắt buộc: Charter/PMP; SRS + scope/WBS; Gantt/baseline; effort-cost budget; RACI/timesheet; quality-test-defect; communication/minutes; risk register; procurement; change log; closure/lessons learned.</v>
      </c>
      <c r="M597" t="str">
        <f>'Huong dan giao do an'!$B$33</f>
        <v>Tuần 1: 07.09–13.09.2026; Tuần 2: 14.09–20.09.2026; Tuần 3: 21.09–27.09.2026; Tuần 4: 28.09–04.10.2026; Tuần 5: 05.10–11.10.2026; Tuần 6: 12.10–18.10.2026; Tuần 7: 19.10–25.10.2026; Tuần 8: 26.10–01.11.2026.</v>
      </c>
      <c r="N5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7" s="17" t="str">
        <f t="shared" si="9"/>
        <v>Còn trống</v>
      </c>
    </row>
    <row r="598" spans="1:16" x14ac:dyDescent="0.3">
      <c r="A598">
        <v>597</v>
      </c>
      <c r="B598" t="s">
        <v>1171</v>
      </c>
      <c r="C598" t="s">
        <v>1392</v>
      </c>
      <c r="D598" t="s">
        <v>1393</v>
      </c>
      <c r="E598" t="s">
        <v>26</v>
      </c>
      <c r="F598" t="s">
        <v>1179</v>
      </c>
      <c r="G598" t="s">
        <v>1230</v>
      </c>
      <c r="H598" t="str">
        <f>'Huong dan giao do an'!$B$14</f>
        <v>5 SV (vai trò chính): 1 PM/Scrum Master kiêm Integration; 2 BA/PO; 3 UI-UX + Frontend; 4 Backend/API + DevOps; 5 Database + QA/Tester. Mỗi SV có nhiệm vụ phụ và minh chứng cá nhân.</v>
      </c>
      <c r="I598" t="s">
        <v>29</v>
      </c>
      <c r="J598" t="s">
        <v>1181</v>
      </c>
      <c r="K598" t="str">
        <f>IF(I598="Trung bình",'Huong dan giao do an'!$B$8,IF(I598="Khá",'Huong dan giao do an'!$B$9,'Huong dan giao do an'!$B$10))</f>
        <v>Tối thiểu 5 actor; 14-18 use case; 10-15 bảng; 4 quy trình; tích hợp ngoài/realtime hoặc xử lý nâng cao; 3 báo cáo; &gt;=45 test case; logging, backup và deploy.</v>
      </c>
      <c r="L598" t="str">
        <f>'Huong dan giao do an'!$B$31</f>
        <v>Bắt buộc: Charter/PMP; SRS + scope/WBS; Gantt/baseline; effort-cost budget; RACI/timesheet; quality-test-defect; communication/minutes; risk register; procurement; change log; closure/lessons learned.</v>
      </c>
      <c r="M598" t="str">
        <f>'Huong dan giao do an'!$B$33</f>
        <v>Tuần 1: 07.09–13.09.2026; Tuần 2: 14.09–20.09.2026; Tuần 3: 21.09–27.09.2026; Tuần 4: 28.09–04.10.2026; Tuần 5: 05.10–11.10.2026; Tuần 6: 12.10–18.10.2026; Tuần 7: 19.10–25.10.2026; Tuần 8: 26.10–01.11.2026.</v>
      </c>
      <c r="N5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8" s="17" t="str">
        <f t="shared" si="9"/>
        <v>Còn trống</v>
      </c>
    </row>
    <row r="599" spans="1:16" x14ac:dyDescent="0.3">
      <c r="A599">
        <v>598</v>
      </c>
      <c r="B599" t="s">
        <v>1171</v>
      </c>
      <c r="C599" t="s">
        <v>1394</v>
      </c>
      <c r="D599" t="s">
        <v>1395</v>
      </c>
      <c r="E599" t="s">
        <v>33</v>
      </c>
      <c r="F599" t="s">
        <v>1184</v>
      </c>
      <c r="G599" t="s">
        <v>1233</v>
      </c>
      <c r="H599" t="str">
        <f>'Huong dan giao do an'!$B$14</f>
        <v>5 SV (vai trò chính): 1 PM/Scrum Master kiêm Integration; 2 BA/PO; 3 UI-UX + Frontend; 4 Backend/API + DevOps; 5 Database + QA/Tester. Mỗi SV có nhiệm vụ phụ và minh chứng cá nhân.</v>
      </c>
      <c r="I599" t="s">
        <v>36</v>
      </c>
      <c r="J599" t="s">
        <v>1186</v>
      </c>
      <c r="K599" t="str">
        <f>IF(I599="Trung bình",'Huong dan giao do an'!$B$8,IF(I599="Khá",'Huong dan giao do an'!$B$9,'Huong dan giao do an'!$B$10))</f>
        <v>Tối thiểu 3 actor; 8-10 use case; 6-8 bảng dữ liệu; 2 quy trình lõi; đăng nhập/RBAC; 1 dashboard; 1 báo cáo; &gt;=25 test case; triển khai bản demo.</v>
      </c>
      <c r="L599" t="str">
        <f>'Huong dan giao do an'!$B$31</f>
        <v>Bắt buộc: Charter/PMP; SRS + scope/WBS; Gantt/baseline; effort-cost budget; RACI/timesheet; quality-test-defect; communication/minutes; risk register; procurement; change log; closure/lessons learned.</v>
      </c>
      <c r="M599" t="str">
        <f>'Huong dan giao do an'!$B$33</f>
        <v>Tuần 1: 07.09–13.09.2026; Tuần 2: 14.09–20.09.2026; Tuần 3: 21.09–27.09.2026; Tuần 4: 28.09–04.10.2026; Tuần 5: 05.10–11.10.2026; Tuần 6: 12.10–18.10.2026; Tuần 7: 19.10–25.10.2026; Tuần 8: 26.10–01.11.2026.</v>
      </c>
      <c r="N5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599" s="17" t="str">
        <f t="shared" si="9"/>
        <v>Còn trống</v>
      </c>
    </row>
    <row r="600" spans="1:16" x14ac:dyDescent="0.3">
      <c r="A600">
        <v>599</v>
      </c>
      <c r="B600" t="s">
        <v>1171</v>
      </c>
      <c r="C600" t="s">
        <v>1396</v>
      </c>
      <c r="D600" t="s">
        <v>1397</v>
      </c>
      <c r="E600" t="s">
        <v>40</v>
      </c>
      <c r="F600" t="s">
        <v>1189</v>
      </c>
      <c r="G600" t="s">
        <v>1236</v>
      </c>
      <c r="H600" t="str">
        <f>'Huong dan giao do an'!$B$14</f>
        <v>5 SV (vai trò chính): 1 PM/Scrum Master kiêm Integration; 2 BA/PO; 3 UI-UX + Frontend; 4 Backend/API + DevOps; 5 Database + QA/Tester. Mỗi SV có nhiệm vụ phụ và minh chứng cá nhân.</v>
      </c>
      <c r="I600" t="s">
        <v>22</v>
      </c>
      <c r="J600" t="s">
        <v>1176</v>
      </c>
      <c r="K600" t="str">
        <f>IF(I600="Trung bình",'Huong dan giao do an'!$B$8,IF(I600="Khá",'Huong dan giao do an'!$B$9,'Huong dan giao do an'!$B$10))</f>
        <v>Tối thiểu 4 actor; 10-14 use case; 8-12 bảng; 3 quy trình lõi; phân quyền chi tiết; 2 báo cáo; tích hợp 1 dịch vụ; &gt;=35 test case; CI/CD hoặc deploy cloud.</v>
      </c>
      <c r="L600" t="str">
        <f>'Huong dan giao do an'!$B$31</f>
        <v>Bắt buộc: Charter/PMP; SRS + scope/WBS; Gantt/baseline; effort-cost budget; RACI/timesheet; quality-test-defect; communication/minutes; risk register; procurement; change log; closure/lessons learned.</v>
      </c>
      <c r="M600" t="str">
        <f>'Huong dan giao do an'!$B$33</f>
        <v>Tuần 1: 07.09–13.09.2026; Tuần 2: 14.09–20.09.2026; Tuần 3: 21.09–27.09.2026; Tuần 4: 28.09–04.10.2026; Tuần 5: 05.10–11.10.2026; Tuần 6: 12.10–18.10.2026; Tuần 7: 19.10–25.10.2026; Tuần 8: 26.10–01.11.2026.</v>
      </c>
      <c r="N6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0" s="17" t="str">
        <f t="shared" si="9"/>
        <v>Còn trống</v>
      </c>
    </row>
    <row r="601" spans="1:16" x14ac:dyDescent="0.3">
      <c r="A601">
        <v>600</v>
      </c>
      <c r="B601" t="s">
        <v>1171</v>
      </c>
      <c r="C601" t="s">
        <v>1398</v>
      </c>
      <c r="D601" t="s">
        <v>1399</v>
      </c>
      <c r="E601" t="s">
        <v>45</v>
      </c>
      <c r="F601" t="s">
        <v>1193</v>
      </c>
      <c r="G601" t="s">
        <v>1239</v>
      </c>
      <c r="H601" t="str">
        <f>'Huong dan giao do an'!$B$14</f>
        <v>5 SV (vai trò chính): 1 PM/Scrum Master kiêm Integration; 2 BA/PO; 3 UI-UX + Frontend; 4 Backend/API + DevOps; 5 Database + QA/Tester. Mỗi SV có nhiệm vụ phụ và minh chứng cá nhân.</v>
      </c>
      <c r="I601" t="s">
        <v>29</v>
      </c>
      <c r="J601" t="s">
        <v>1181</v>
      </c>
      <c r="K601" t="str">
        <f>IF(I601="Trung bình",'Huong dan giao do an'!$B$8,IF(I601="Khá",'Huong dan giao do an'!$B$9,'Huong dan giao do an'!$B$10))</f>
        <v>Tối thiểu 5 actor; 14-18 use case; 10-15 bảng; 4 quy trình; tích hợp ngoài/realtime hoặc xử lý nâng cao; 3 báo cáo; &gt;=45 test case; logging, backup và deploy.</v>
      </c>
      <c r="L601" t="str">
        <f>'Huong dan giao do an'!$B$31</f>
        <v>Bắt buộc: Charter/PMP; SRS + scope/WBS; Gantt/baseline; effort-cost budget; RACI/timesheet; quality-test-defect; communication/minutes; risk register; procurement; change log; closure/lessons learned.</v>
      </c>
      <c r="M601" t="str">
        <f>'Huong dan giao do an'!$B$33</f>
        <v>Tuần 1: 07.09–13.09.2026; Tuần 2: 14.09–20.09.2026; Tuần 3: 21.09–27.09.2026; Tuần 4: 28.09–04.10.2026; Tuần 5: 05.10–11.10.2026; Tuần 6: 12.10–18.10.2026; Tuần 7: 19.10–25.10.2026; Tuần 8: 26.10–01.11.2026.</v>
      </c>
      <c r="N6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1" s="17" t="str">
        <f t="shared" si="9"/>
        <v>Còn trống</v>
      </c>
    </row>
    <row r="602" spans="1:16" x14ac:dyDescent="0.3">
      <c r="A602">
        <v>601</v>
      </c>
      <c r="B602" t="s">
        <v>1400</v>
      </c>
      <c r="C602" t="s">
        <v>1401</v>
      </c>
      <c r="D602" t="s">
        <v>1402</v>
      </c>
      <c r="E602" t="s">
        <v>26</v>
      </c>
      <c r="F602" t="s">
        <v>1403</v>
      </c>
      <c r="G602" t="s">
        <v>1404</v>
      </c>
      <c r="H602" t="str">
        <f>'Huong dan giao do an'!$B$14</f>
        <v>5 SV (vai trò chính): 1 PM/Scrum Master kiêm Integration; 2 BA/PO; 3 UI-UX + Frontend; 4 Backend/API + DevOps; 5 Database + QA/Tester. Mỗi SV có nhiệm vụ phụ và minh chứng cá nhân.</v>
      </c>
      <c r="I602" t="s">
        <v>22</v>
      </c>
      <c r="J602" t="s">
        <v>30</v>
      </c>
      <c r="K602" t="str">
        <f>IF(I602="Trung bình",'Huong dan giao do an'!$B$8,IF(I602="Khá",'Huong dan giao do an'!$B$9,'Huong dan giao do an'!$B$10))</f>
        <v>Tối thiểu 4 actor; 10-14 use case; 8-12 bảng; 3 quy trình lõi; phân quyền chi tiết; 2 báo cáo; tích hợp 1 dịch vụ; &gt;=35 test case; CI/CD hoặc deploy cloud.</v>
      </c>
      <c r="L602" t="str">
        <f>'Huong dan giao do an'!$B$31</f>
        <v>Bắt buộc: Charter/PMP; SRS + scope/WBS; Gantt/baseline; effort-cost budget; RACI/timesheet; quality-test-defect; communication/minutes; risk register; procurement; change log; closure/lessons learned.</v>
      </c>
      <c r="M602" t="str">
        <f>'Huong dan giao do an'!$B$33</f>
        <v>Tuần 1: 07.09–13.09.2026; Tuần 2: 14.09–20.09.2026; Tuần 3: 21.09–27.09.2026; Tuần 4: 28.09–04.10.2026; Tuần 5: 05.10–11.10.2026; Tuần 6: 12.10–18.10.2026; Tuần 7: 19.10–25.10.2026; Tuần 8: 26.10–01.11.2026.</v>
      </c>
      <c r="N6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2" s="17" t="str">
        <f t="shared" si="9"/>
        <v>Còn trống</v>
      </c>
    </row>
    <row r="603" spans="1:16" x14ac:dyDescent="0.3">
      <c r="A603">
        <v>602</v>
      </c>
      <c r="B603" t="s">
        <v>1400</v>
      </c>
      <c r="C603" t="s">
        <v>1405</v>
      </c>
      <c r="D603" t="s">
        <v>1406</v>
      </c>
      <c r="E603" t="s">
        <v>33</v>
      </c>
      <c r="F603" t="s">
        <v>1407</v>
      </c>
      <c r="G603" t="s">
        <v>1408</v>
      </c>
      <c r="H603" t="str">
        <f>'Huong dan giao do an'!$B$14</f>
        <v>5 SV (vai trò chính): 1 PM/Scrum Master kiêm Integration; 2 BA/PO; 3 UI-UX + Frontend; 4 Backend/API + DevOps; 5 Database + QA/Tester. Mỗi SV có nhiệm vụ phụ và minh chứng cá nhân.</v>
      </c>
      <c r="I603" t="s">
        <v>29</v>
      </c>
      <c r="J603" t="s">
        <v>1409</v>
      </c>
      <c r="K603" t="str">
        <f>IF(I603="Trung bình",'Huong dan giao do an'!$B$8,IF(I603="Khá",'Huong dan giao do an'!$B$9,'Huong dan giao do an'!$B$10))</f>
        <v>Tối thiểu 5 actor; 14-18 use case; 10-15 bảng; 4 quy trình; tích hợp ngoài/realtime hoặc xử lý nâng cao; 3 báo cáo; &gt;=45 test case; logging, backup và deploy.</v>
      </c>
      <c r="L603" t="str">
        <f>'Huong dan giao do an'!$B$31</f>
        <v>Bắt buộc: Charter/PMP; SRS + scope/WBS; Gantt/baseline; effort-cost budget; RACI/timesheet; quality-test-defect; communication/minutes; risk register; procurement; change log; closure/lessons learned.</v>
      </c>
      <c r="M603" t="str">
        <f>'Huong dan giao do an'!$B$33</f>
        <v>Tuần 1: 07.09–13.09.2026; Tuần 2: 14.09–20.09.2026; Tuần 3: 21.09–27.09.2026; Tuần 4: 28.09–04.10.2026; Tuần 5: 05.10–11.10.2026; Tuần 6: 12.10–18.10.2026; Tuần 7: 19.10–25.10.2026; Tuần 8: 26.10–01.11.2026.</v>
      </c>
      <c r="N6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3" s="17" t="str">
        <f t="shared" si="9"/>
        <v>Còn trống</v>
      </c>
    </row>
    <row r="604" spans="1:16" x14ac:dyDescent="0.3">
      <c r="A604">
        <v>603</v>
      </c>
      <c r="B604" t="s">
        <v>1400</v>
      </c>
      <c r="C604" t="s">
        <v>1410</v>
      </c>
      <c r="D604" t="s">
        <v>1411</v>
      </c>
      <c r="E604" t="s">
        <v>40</v>
      </c>
      <c r="F604" t="s">
        <v>1412</v>
      </c>
      <c r="G604" t="s">
        <v>1413</v>
      </c>
      <c r="H604" t="str">
        <f>'Huong dan giao do an'!$B$14</f>
        <v>5 SV (vai trò chính): 1 PM/Scrum Master kiêm Integration; 2 BA/PO; 3 UI-UX + Frontend; 4 Backend/API + DevOps; 5 Database + QA/Tester. Mỗi SV có nhiệm vụ phụ và minh chứng cá nhân.</v>
      </c>
      <c r="I604" t="s">
        <v>36</v>
      </c>
      <c r="J604" t="s">
        <v>1414</v>
      </c>
      <c r="K604" t="str">
        <f>IF(I604="Trung bình",'Huong dan giao do an'!$B$8,IF(I604="Khá",'Huong dan giao do an'!$B$9,'Huong dan giao do an'!$B$10))</f>
        <v>Tối thiểu 3 actor; 8-10 use case; 6-8 bảng dữ liệu; 2 quy trình lõi; đăng nhập/RBAC; 1 dashboard; 1 báo cáo; &gt;=25 test case; triển khai bản demo.</v>
      </c>
      <c r="L604" t="str">
        <f>'Huong dan giao do an'!$B$31</f>
        <v>Bắt buộc: Charter/PMP; SRS + scope/WBS; Gantt/baseline; effort-cost budget; RACI/timesheet; quality-test-defect; communication/minutes; risk register; procurement; change log; closure/lessons learned.</v>
      </c>
      <c r="M604" t="str">
        <f>'Huong dan giao do an'!$B$33</f>
        <v>Tuần 1: 07.09–13.09.2026; Tuần 2: 14.09–20.09.2026; Tuần 3: 21.09–27.09.2026; Tuần 4: 28.09–04.10.2026; Tuần 5: 05.10–11.10.2026; Tuần 6: 12.10–18.10.2026; Tuần 7: 19.10–25.10.2026; Tuần 8: 26.10–01.11.2026.</v>
      </c>
      <c r="N6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4" s="17" t="str">
        <f t="shared" si="9"/>
        <v>Còn trống</v>
      </c>
    </row>
    <row r="605" spans="1:16" x14ac:dyDescent="0.3">
      <c r="A605">
        <v>604</v>
      </c>
      <c r="B605" t="s">
        <v>1400</v>
      </c>
      <c r="C605" t="s">
        <v>1415</v>
      </c>
      <c r="D605" t="s">
        <v>1416</v>
      </c>
      <c r="E605" t="s">
        <v>45</v>
      </c>
      <c r="F605" t="s">
        <v>1417</v>
      </c>
      <c r="G605" t="s">
        <v>1418</v>
      </c>
      <c r="H605" t="str">
        <f>'Huong dan giao do an'!$B$14</f>
        <v>5 SV (vai trò chính): 1 PM/Scrum Master kiêm Integration; 2 BA/PO; 3 UI-UX + Frontend; 4 Backend/API + DevOps; 5 Database + QA/Tester. Mỗi SV có nhiệm vụ phụ và minh chứng cá nhân.</v>
      </c>
      <c r="I605" t="s">
        <v>22</v>
      </c>
      <c r="J605" t="s">
        <v>30</v>
      </c>
      <c r="K605" t="str">
        <f>IF(I605="Trung bình",'Huong dan giao do an'!$B$8,IF(I605="Khá",'Huong dan giao do an'!$B$9,'Huong dan giao do an'!$B$10))</f>
        <v>Tối thiểu 4 actor; 10-14 use case; 8-12 bảng; 3 quy trình lõi; phân quyền chi tiết; 2 báo cáo; tích hợp 1 dịch vụ; &gt;=35 test case; CI/CD hoặc deploy cloud.</v>
      </c>
      <c r="L605" t="str">
        <f>'Huong dan giao do an'!$B$31</f>
        <v>Bắt buộc: Charter/PMP; SRS + scope/WBS; Gantt/baseline; effort-cost budget; RACI/timesheet; quality-test-defect; communication/minutes; risk register; procurement; change log; closure/lessons learned.</v>
      </c>
      <c r="M605" t="str">
        <f>'Huong dan giao do an'!$B$33</f>
        <v>Tuần 1: 07.09–13.09.2026; Tuần 2: 14.09–20.09.2026; Tuần 3: 21.09–27.09.2026; Tuần 4: 28.09–04.10.2026; Tuần 5: 05.10–11.10.2026; Tuần 6: 12.10–18.10.2026; Tuần 7: 19.10–25.10.2026; Tuần 8: 26.10–01.11.2026.</v>
      </c>
      <c r="N6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5" s="17" t="str">
        <f t="shared" si="9"/>
        <v>Còn trống</v>
      </c>
    </row>
    <row r="606" spans="1:16" x14ac:dyDescent="0.3">
      <c r="A606">
        <v>605</v>
      </c>
      <c r="B606" t="s">
        <v>1400</v>
      </c>
      <c r="C606" t="s">
        <v>1419</v>
      </c>
      <c r="D606" t="s">
        <v>1420</v>
      </c>
      <c r="E606" t="s">
        <v>19</v>
      </c>
      <c r="F606" t="s">
        <v>1421</v>
      </c>
      <c r="G606" t="s">
        <v>1422</v>
      </c>
      <c r="H606" t="str">
        <f>'Huong dan giao do an'!$B$14</f>
        <v>5 SV (vai trò chính): 1 PM/Scrum Master kiêm Integration; 2 BA/PO; 3 UI-UX + Frontend; 4 Backend/API + DevOps; 5 Database + QA/Tester. Mỗi SV có nhiệm vụ phụ và minh chứng cá nhân.</v>
      </c>
      <c r="I606" t="s">
        <v>29</v>
      </c>
      <c r="J606" t="s">
        <v>1409</v>
      </c>
      <c r="K606" t="str">
        <f>IF(I606="Trung bình",'Huong dan giao do an'!$B$8,IF(I606="Khá",'Huong dan giao do an'!$B$9,'Huong dan giao do an'!$B$10))</f>
        <v>Tối thiểu 5 actor; 14-18 use case; 10-15 bảng; 4 quy trình; tích hợp ngoài/realtime hoặc xử lý nâng cao; 3 báo cáo; &gt;=45 test case; logging, backup và deploy.</v>
      </c>
      <c r="L606" t="str">
        <f>'Huong dan giao do an'!$B$31</f>
        <v>Bắt buộc: Charter/PMP; SRS + scope/WBS; Gantt/baseline; effort-cost budget; RACI/timesheet; quality-test-defect; communication/minutes; risk register; procurement; change log; closure/lessons learned.</v>
      </c>
      <c r="M606" t="str">
        <f>'Huong dan giao do an'!$B$33</f>
        <v>Tuần 1: 07.09–13.09.2026; Tuần 2: 14.09–20.09.2026; Tuần 3: 21.09–27.09.2026; Tuần 4: 28.09–04.10.2026; Tuần 5: 05.10–11.10.2026; Tuần 6: 12.10–18.10.2026; Tuần 7: 19.10–25.10.2026; Tuần 8: 26.10–01.11.2026.</v>
      </c>
      <c r="N6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6" s="17" t="str">
        <f t="shared" si="9"/>
        <v>Còn trống</v>
      </c>
    </row>
    <row r="607" spans="1:16" x14ac:dyDescent="0.3">
      <c r="A607">
        <v>606</v>
      </c>
      <c r="B607" t="s">
        <v>1400</v>
      </c>
      <c r="C607" t="s">
        <v>1423</v>
      </c>
      <c r="D607" t="s">
        <v>1424</v>
      </c>
      <c r="E607" t="s">
        <v>26</v>
      </c>
      <c r="F607" t="s">
        <v>1403</v>
      </c>
      <c r="G607" t="s">
        <v>1425</v>
      </c>
      <c r="H607" t="str">
        <f>'Huong dan giao do an'!$B$14</f>
        <v>5 SV (vai trò chính): 1 PM/Scrum Master kiêm Integration; 2 BA/PO; 3 UI-UX + Frontend; 4 Backend/API + DevOps; 5 Database + QA/Tester. Mỗi SV có nhiệm vụ phụ và minh chứng cá nhân.</v>
      </c>
      <c r="I607" t="s">
        <v>36</v>
      </c>
      <c r="J607" t="s">
        <v>1414</v>
      </c>
      <c r="K607" t="str">
        <f>IF(I607="Trung bình",'Huong dan giao do an'!$B$8,IF(I607="Khá",'Huong dan giao do an'!$B$9,'Huong dan giao do an'!$B$10))</f>
        <v>Tối thiểu 3 actor; 8-10 use case; 6-8 bảng dữ liệu; 2 quy trình lõi; đăng nhập/RBAC; 1 dashboard; 1 báo cáo; &gt;=25 test case; triển khai bản demo.</v>
      </c>
      <c r="L607" t="str">
        <f>'Huong dan giao do an'!$B$31</f>
        <v>Bắt buộc: Charter/PMP; SRS + scope/WBS; Gantt/baseline; effort-cost budget; RACI/timesheet; quality-test-defect; communication/minutes; risk register; procurement; change log; closure/lessons learned.</v>
      </c>
      <c r="M607" t="str">
        <f>'Huong dan giao do an'!$B$33</f>
        <v>Tuần 1: 07.09–13.09.2026; Tuần 2: 14.09–20.09.2026; Tuần 3: 21.09–27.09.2026; Tuần 4: 28.09–04.10.2026; Tuần 5: 05.10–11.10.2026; Tuần 6: 12.10–18.10.2026; Tuần 7: 19.10–25.10.2026; Tuần 8: 26.10–01.11.2026.</v>
      </c>
      <c r="N6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7" s="17" t="str">
        <f t="shared" si="9"/>
        <v>Còn trống</v>
      </c>
    </row>
    <row r="608" spans="1:16" x14ac:dyDescent="0.3">
      <c r="A608">
        <v>607</v>
      </c>
      <c r="B608" t="s">
        <v>1400</v>
      </c>
      <c r="C608" t="s">
        <v>1426</v>
      </c>
      <c r="D608" t="s">
        <v>1427</v>
      </c>
      <c r="E608" t="s">
        <v>33</v>
      </c>
      <c r="F608" t="s">
        <v>1407</v>
      </c>
      <c r="G608" t="s">
        <v>1428</v>
      </c>
      <c r="H608" t="str">
        <f>'Huong dan giao do an'!$B$14</f>
        <v>5 SV (vai trò chính): 1 PM/Scrum Master kiêm Integration; 2 BA/PO; 3 UI-UX + Frontend; 4 Backend/API + DevOps; 5 Database + QA/Tester. Mỗi SV có nhiệm vụ phụ và minh chứng cá nhân.</v>
      </c>
      <c r="I608" t="s">
        <v>22</v>
      </c>
      <c r="J608" t="s">
        <v>30</v>
      </c>
      <c r="K608" t="str">
        <f>IF(I608="Trung bình",'Huong dan giao do an'!$B$8,IF(I608="Khá",'Huong dan giao do an'!$B$9,'Huong dan giao do an'!$B$10))</f>
        <v>Tối thiểu 4 actor; 10-14 use case; 8-12 bảng; 3 quy trình lõi; phân quyền chi tiết; 2 báo cáo; tích hợp 1 dịch vụ; &gt;=35 test case; CI/CD hoặc deploy cloud.</v>
      </c>
      <c r="L608" t="str">
        <f>'Huong dan giao do an'!$B$31</f>
        <v>Bắt buộc: Charter/PMP; SRS + scope/WBS; Gantt/baseline; effort-cost budget; RACI/timesheet; quality-test-defect; communication/minutes; risk register; procurement; change log; closure/lessons learned.</v>
      </c>
      <c r="M608" t="str">
        <f>'Huong dan giao do an'!$B$33</f>
        <v>Tuần 1: 07.09–13.09.2026; Tuần 2: 14.09–20.09.2026; Tuần 3: 21.09–27.09.2026; Tuần 4: 28.09–04.10.2026; Tuần 5: 05.10–11.10.2026; Tuần 6: 12.10–18.10.2026; Tuần 7: 19.10–25.10.2026; Tuần 8: 26.10–01.11.2026.</v>
      </c>
      <c r="N6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8" s="17" t="str">
        <f t="shared" si="9"/>
        <v>Còn trống</v>
      </c>
    </row>
    <row r="609" spans="1:16" x14ac:dyDescent="0.3">
      <c r="A609">
        <v>608</v>
      </c>
      <c r="B609" t="s">
        <v>1400</v>
      </c>
      <c r="C609" t="s">
        <v>1429</v>
      </c>
      <c r="D609" t="s">
        <v>1430</v>
      </c>
      <c r="E609" t="s">
        <v>40</v>
      </c>
      <c r="F609" t="s">
        <v>1412</v>
      </c>
      <c r="G609" t="s">
        <v>1431</v>
      </c>
      <c r="H609" t="str">
        <f>'Huong dan giao do an'!$B$14</f>
        <v>5 SV (vai trò chính): 1 PM/Scrum Master kiêm Integration; 2 BA/PO; 3 UI-UX + Frontend; 4 Backend/API + DevOps; 5 Database + QA/Tester. Mỗi SV có nhiệm vụ phụ và minh chứng cá nhân.</v>
      </c>
      <c r="I609" t="s">
        <v>29</v>
      </c>
      <c r="J609" t="s">
        <v>1409</v>
      </c>
      <c r="K609" t="str">
        <f>IF(I609="Trung bình",'Huong dan giao do an'!$B$8,IF(I609="Khá",'Huong dan giao do an'!$B$9,'Huong dan giao do an'!$B$10))</f>
        <v>Tối thiểu 5 actor; 14-18 use case; 10-15 bảng; 4 quy trình; tích hợp ngoài/realtime hoặc xử lý nâng cao; 3 báo cáo; &gt;=45 test case; logging, backup và deploy.</v>
      </c>
      <c r="L609" t="str">
        <f>'Huong dan giao do an'!$B$31</f>
        <v>Bắt buộc: Charter/PMP; SRS + scope/WBS; Gantt/baseline; effort-cost budget; RACI/timesheet; quality-test-defect; communication/minutes; risk register; procurement; change log; closure/lessons learned.</v>
      </c>
      <c r="M609" t="str">
        <f>'Huong dan giao do an'!$B$33</f>
        <v>Tuần 1: 07.09–13.09.2026; Tuần 2: 14.09–20.09.2026; Tuần 3: 21.09–27.09.2026; Tuần 4: 28.09–04.10.2026; Tuần 5: 05.10–11.10.2026; Tuần 6: 12.10–18.10.2026; Tuần 7: 19.10–25.10.2026; Tuần 8: 26.10–01.11.2026.</v>
      </c>
      <c r="N6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09" s="17" t="str">
        <f t="shared" si="9"/>
        <v>Còn trống</v>
      </c>
    </row>
    <row r="610" spans="1:16" x14ac:dyDescent="0.3">
      <c r="A610">
        <v>609</v>
      </c>
      <c r="B610" t="s">
        <v>1400</v>
      </c>
      <c r="C610" t="s">
        <v>1432</v>
      </c>
      <c r="D610" t="s">
        <v>1433</v>
      </c>
      <c r="E610" t="s">
        <v>45</v>
      </c>
      <c r="F610" t="s">
        <v>1417</v>
      </c>
      <c r="G610" t="s">
        <v>1434</v>
      </c>
      <c r="H610" t="str">
        <f>'Huong dan giao do an'!$B$14</f>
        <v>5 SV (vai trò chính): 1 PM/Scrum Master kiêm Integration; 2 BA/PO; 3 UI-UX + Frontend; 4 Backend/API + DevOps; 5 Database + QA/Tester. Mỗi SV có nhiệm vụ phụ và minh chứng cá nhân.</v>
      </c>
      <c r="I610" t="s">
        <v>36</v>
      </c>
      <c r="J610" t="s">
        <v>1414</v>
      </c>
      <c r="K610" t="str">
        <f>IF(I610="Trung bình",'Huong dan giao do an'!$B$8,IF(I610="Khá",'Huong dan giao do an'!$B$9,'Huong dan giao do an'!$B$10))</f>
        <v>Tối thiểu 3 actor; 8-10 use case; 6-8 bảng dữ liệu; 2 quy trình lõi; đăng nhập/RBAC; 1 dashboard; 1 báo cáo; &gt;=25 test case; triển khai bản demo.</v>
      </c>
      <c r="L610" t="str">
        <f>'Huong dan giao do an'!$B$31</f>
        <v>Bắt buộc: Charter/PMP; SRS + scope/WBS; Gantt/baseline; effort-cost budget; RACI/timesheet; quality-test-defect; communication/minutes; risk register; procurement; change log; closure/lessons learned.</v>
      </c>
      <c r="M610" t="str">
        <f>'Huong dan giao do an'!$B$33</f>
        <v>Tuần 1: 07.09–13.09.2026; Tuần 2: 14.09–20.09.2026; Tuần 3: 21.09–27.09.2026; Tuần 4: 28.09–04.10.2026; Tuần 5: 05.10–11.10.2026; Tuần 6: 12.10–18.10.2026; Tuần 7: 19.10–25.10.2026; Tuần 8: 26.10–01.11.2026.</v>
      </c>
      <c r="N6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0" s="17" t="str">
        <f t="shared" si="9"/>
        <v>Còn trống</v>
      </c>
    </row>
    <row r="611" spans="1:16" x14ac:dyDescent="0.3">
      <c r="A611">
        <v>610</v>
      </c>
      <c r="B611" t="s">
        <v>1400</v>
      </c>
      <c r="C611" t="s">
        <v>1435</v>
      </c>
      <c r="D611" t="s">
        <v>1436</v>
      </c>
      <c r="E611" t="s">
        <v>19</v>
      </c>
      <c r="F611" t="s">
        <v>1421</v>
      </c>
      <c r="G611" t="s">
        <v>1437</v>
      </c>
      <c r="H611" t="str">
        <f>'Huong dan giao do an'!$B$14</f>
        <v>5 SV (vai trò chính): 1 PM/Scrum Master kiêm Integration; 2 BA/PO; 3 UI-UX + Frontend; 4 Backend/API + DevOps; 5 Database + QA/Tester. Mỗi SV có nhiệm vụ phụ và minh chứng cá nhân.</v>
      </c>
      <c r="I611" t="s">
        <v>22</v>
      </c>
      <c r="J611" t="s">
        <v>30</v>
      </c>
      <c r="K611" t="str">
        <f>IF(I611="Trung bình",'Huong dan giao do an'!$B$8,IF(I611="Khá",'Huong dan giao do an'!$B$9,'Huong dan giao do an'!$B$10))</f>
        <v>Tối thiểu 4 actor; 10-14 use case; 8-12 bảng; 3 quy trình lõi; phân quyền chi tiết; 2 báo cáo; tích hợp 1 dịch vụ; &gt;=35 test case; CI/CD hoặc deploy cloud.</v>
      </c>
      <c r="L611" t="str">
        <f>'Huong dan giao do an'!$B$31</f>
        <v>Bắt buộc: Charter/PMP; SRS + scope/WBS; Gantt/baseline; effort-cost budget; RACI/timesheet; quality-test-defect; communication/minutes; risk register; procurement; change log; closure/lessons learned.</v>
      </c>
      <c r="M611" t="str">
        <f>'Huong dan giao do an'!$B$33</f>
        <v>Tuần 1: 07.09–13.09.2026; Tuần 2: 14.09–20.09.2026; Tuần 3: 21.09–27.09.2026; Tuần 4: 28.09–04.10.2026; Tuần 5: 05.10–11.10.2026; Tuần 6: 12.10–18.10.2026; Tuần 7: 19.10–25.10.2026; Tuần 8: 26.10–01.11.2026.</v>
      </c>
      <c r="N6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1" s="17" t="str">
        <f t="shared" si="9"/>
        <v>Còn trống</v>
      </c>
    </row>
    <row r="612" spans="1:16" x14ac:dyDescent="0.3">
      <c r="A612">
        <v>611</v>
      </c>
      <c r="B612" t="s">
        <v>1400</v>
      </c>
      <c r="C612" t="s">
        <v>1438</v>
      </c>
      <c r="D612" t="s">
        <v>1439</v>
      </c>
      <c r="E612" t="s">
        <v>26</v>
      </c>
      <c r="F612" t="s">
        <v>1403</v>
      </c>
      <c r="G612" t="s">
        <v>1440</v>
      </c>
      <c r="H612" t="str">
        <f>'Huong dan giao do an'!$B$14</f>
        <v>5 SV (vai trò chính): 1 PM/Scrum Master kiêm Integration; 2 BA/PO; 3 UI-UX + Frontend; 4 Backend/API + DevOps; 5 Database + QA/Tester. Mỗi SV có nhiệm vụ phụ và minh chứng cá nhân.</v>
      </c>
      <c r="I612" t="s">
        <v>29</v>
      </c>
      <c r="J612" t="s">
        <v>1409</v>
      </c>
      <c r="K612" t="str">
        <f>IF(I612="Trung bình",'Huong dan giao do an'!$B$8,IF(I612="Khá",'Huong dan giao do an'!$B$9,'Huong dan giao do an'!$B$10))</f>
        <v>Tối thiểu 5 actor; 14-18 use case; 10-15 bảng; 4 quy trình; tích hợp ngoài/realtime hoặc xử lý nâng cao; 3 báo cáo; &gt;=45 test case; logging, backup và deploy.</v>
      </c>
      <c r="L612" t="str">
        <f>'Huong dan giao do an'!$B$31</f>
        <v>Bắt buộc: Charter/PMP; SRS + scope/WBS; Gantt/baseline; effort-cost budget; RACI/timesheet; quality-test-defect; communication/minutes; risk register; procurement; change log; closure/lessons learned.</v>
      </c>
      <c r="M612" t="str">
        <f>'Huong dan giao do an'!$B$33</f>
        <v>Tuần 1: 07.09–13.09.2026; Tuần 2: 14.09–20.09.2026; Tuần 3: 21.09–27.09.2026; Tuần 4: 28.09–04.10.2026; Tuần 5: 05.10–11.10.2026; Tuần 6: 12.10–18.10.2026; Tuần 7: 19.10–25.10.2026; Tuần 8: 26.10–01.11.2026.</v>
      </c>
      <c r="N6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2" s="17" t="str">
        <f t="shared" si="9"/>
        <v>Còn trống</v>
      </c>
    </row>
    <row r="613" spans="1:16" x14ac:dyDescent="0.3">
      <c r="A613">
        <v>612</v>
      </c>
      <c r="B613" t="s">
        <v>1400</v>
      </c>
      <c r="C613" t="s">
        <v>1441</v>
      </c>
      <c r="D613" t="s">
        <v>1442</v>
      </c>
      <c r="E613" t="s">
        <v>33</v>
      </c>
      <c r="F613" t="s">
        <v>1407</v>
      </c>
      <c r="G613" t="s">
        <v>1443</v>
      </c>
      <c r="H613" t="str">
        <f>'Huong dan giao do an'!$B$14</f>
        <v>5 SV (vai trò chính): 1 PM/Scrum Master kiêm Integration; 2 BA/PO; 3 UI-UX + Frontend; 4 Backend/API + DevOps; 5 Database + QA/Tester. Mỗi SV có nhiệm vụ phụ và minh chứng cá nhân.</v>
      </c>
      <c r="I613" t="s">
        <v>36</v>
      </c>
      <c r="J613" t="s">
        <v>1414</v>
      </c>
      <c r="K613" t="str">
        <f>IF(I613="Trung bình",'Huong dan giao do an'!$B$8,IF(I613="Khá",'Huong dan giao do an'!$B$9,'Huong dan giao do an'!$B$10))</f>
        <v>Tối thiểu 3 actor; 8-10 use case; 6-8 bảng dữ liệu; 2 quy trình lõi; đăng nhập/RBAC; 1 dashboard; 1 báo cáo; &gt;=25 test case; triển khai bản demo.</v>
      </c>
      <c r="L613" t="str">
        <f>'Huong dan giao do an'!$B$31</f>
        <v>Bắt buộc: Charter/PMP; SRS + scope/WBS; Gantt/baseline; effort-cost budget; RACI/timesheet; quality-test-defect; communication/minutes; risk register; procurement; change log; closure/lessons learned.</v>
      </c>
      <c r="M613" t="str">
        <f>'Huong dan giao do an'!$B$33</f>
        <v>Tuần 1: 07.09–13.09.2026; Tuần 2: 14.09–20.09.2026; Tuần 3: 21.09–27.09.2026; Tuần 4: 28.09–04.10.2026; Tuần 5: 05.10–11.10.2026; Tuần 6: 12.10–18.10.2026; Tuần 7: 19.10–25.10.2026; Tuần 8: 26.10–01.11.2026.</v>
      </c>
      <c r="N6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3" s="17" t="str">
        <f t="shared" si="9"/>
        <v>Còn trống</v>
      </c>
    </row>
    <row r="614" spans="1:16" x14ac:dyDescent="0.3">
      <c r="A614">
        <v>613</v>
      </c>
      <c r="B614" t="s">
        <v>1400</v>
      </c>
      <c r="C614" t="s">
        <v>1444</v>
      </c>
      <c r="D614" t="s">
        <v>1445</v>
      </c>
      <c r="E614" t="s">
        <v>40</v>
      </c>
      <c r="F614" t="s">
        <v>1412</v>
      </c>
      <c r="G614" t="s">
        <v>1446</v>
      </c>
      <c r="H614" t="str">
        <f>'Huong dan giao do an'!$B$14</f>
        <v>5 SV (vai trò chính): 1 PM/Scrum Master kiêm Integration; 2 BA/PO; 3 UI-UX + Frontend; 4 Backend/API + DevOps; 5 Database + QA/Tester. Mỗi SV có nhiệm vụ phụ và minh chứng cá nhân.</v>
      </c>
      <c r="I614" t="s">
        <v>22</v>
      </c>
      <c r="J614" t="s">
        <v>30</v>
      </c>
      <c r="K614" t="str">
        <f>IF(I614="Trung bình",'Huong dan giao do an'!$B$8,IF(I614="Khá",'Huong dan giao do an'!$B$9,'Huong dan giao do an'!$B$10))</f>
        <v>Tối thiểu 4 actor; 10-14 use case; 8-12 bảng; 3 quy trình lõi; phân quyền chi tiết; 2 báo cáo; tích hợp 1 dịch vụ; &gt;=35 test case; CI/CD hoặc deploy cloud.</v>
      </c>
      <c r="L614" t="str">
        <f>'Huong dan giao do an'!$B$31</f>
        <v>Bắt buộc: Charter/PMP; SRS + scope/WBS; Gantt/baseline; effort-cost budget; RACI/timesheet; quality-test-defect; communication/minutes; risk register; procurement; change log; closure/lessons learned.</v>
      </c>
      <c r="M614" t="str">
        <f>'Huong dan giao do an'!$B$33</f>
        <v>Tuần 1: 07.09–13.09.2026; Tuần 2: 14.09–20.09.2026; Tuần 3: 21.09–27.09.2026; Tuần 4: 28.09–04.10.2026; Tuần 5: 05.10–11.10.2026; Tuần 6: 12.10–18.10.2026; Tuần 7: 19.10–25.10.2026; Tuần 8: 26.10–01.11.2026.</v>
      </c>
      <c r="N6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4" s="17" t="str">
        <f t="shared" si="9"/>
        <v>Còn trống</v>
      </c>
    </row>
    <row r="615" spans="1:16" x14ac:dyDescent="0.3">
      <c r="A615">
        <v>614</v>
      </c>
      <c r="B615" t="s">
        <v>1400</v>
      </c>
      <c r="C615" t="s">
        <v>1447</v>
      </c>
      <c r="D615" t="s">
        <v>1448</v>
      </c>
      <c r="E615" t="s">
        <v>45</v>
      </c>
      <c r="F615" t="s">
        <v>1417</v>
      </c>
      <c r="G615" t="s">
        <v>1449</v>
      </c>
      <c r="H615" t="str">
        <f>'Huong dan giao do an'!$B$14</f>
        <v>5 SV (vai trò chính): 1 PM/Scrum Master kiêm Integration; 2 BA/PO; 3 UI-UX + Frontend; 4 Backend/API + DevOps; 5 Database + QA/Tester. Mỗi SV có nhiệm vụ phụ và minh chứng cá nhân.</v>
      </c>
      <c r="I615" t="s">
        <v>29</v>
      </c>
      <c r="J615" t="s">
        <v>1409</v>
      </c>
      <c r="K615" t="str">
        <f>IF(I615="Trung bình",'Huong dan giao do an'!$B$8,IF(I615="Khá",'Huong dan giao do an'!$B$9,'Huong dan giao do an'!$B$10))</f>
        <v>Tối thiểu 5 actor; 14-18 use case; 10-15 bảng; 4 quy trình; tích hợp ngoài/realtime hoặc xử lý nâng cao; 3 báo cáo; &gt;=45 test case; logging, backup và deploy.</v>
      </c>
      <c r="L615" t="str">
        <f>'Huong dan giao do an'!$B$31</f>
        <v>Bắt buộc: Charter/PMP; SRS + scope/WBS; Gantt/baseline; effort-cost budget; RACI/timesheet; quality-test-defect; communication/minutes; risk register; procurement; change log; closure/lessons learned.</v>
      </c>
      <c r="M615" t="str">
        <f>'Huong dan giao do an'!$B$33</f>
        <v>Tuần 1: 07.09–13.09.2026; Tuần 2: 14.09–20.09.2026; Tuần 3: 21.09–27.09.2026; Tuần 4: 28.09–04.10.2026; Tuần 5: 05.10–11.10.2026; Tuần 6: 12.10–18.10.2026; Tuần 7: 19.10–25.10.2026; Tuần 8: 26.10–01.11.2026.</v>
      </c>
      <c r="N6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5" s="17" t="str">
        <f t="shared" si="9"/>
        <v>Còn trống</v>
      </c>
    </row>
    <row r="616" spans="1:16" x14ac:dyDescent="0.3">
      <c r="A616">
        <v>615</v>
      </c>
      <c r="B616" t="s">
        <v>1400</v>
      </c>
      <c r="C616" t="s">
        <v>1450</v>
      </c>
      <c r="D616" t="s">
        <v>1451</v>
      </c>
      <c r="E616" t="s">
        <v>19</v>
      </c>
      <c r="F616" t="s">
        <v>1421</v>
      </c>
      <c r="G616" t="s">
        <v>1452</v>
      </c>
      <c r="H616" t="str">
        <f>'Huong dan giao do an'!$B$14</f>
        <v>5 SV (vai trò chính): 1 PM/Scrum Master kiêm Integration; 2 BA/PO; 3 UI-UX + Frontend; 4 Backend/API + DevOps; 5 Database + QA/Tester. Mỗi SV có nhiệm vụ phụ và minh chứng cá nhân.</v>
      </c>
      <c r="I616" t="s">
        <v>36</v>
      </c>
      <c r="J616" t="s">
        <v>1414</v>
      </c>
      <c r="K616" t="str">
        <f>IF(I616="Trung bình",'Huong dan giao do an'!$B$8,IF(I616="Khá",'Huong dan giao do an'!$B$9,'Huong dan giao do an'!$B$10))</f>
        <v>Tối thiểu 3 actor; 8-10 use case; 6-8 bảng dữ liệu; 2 quy trình lõi; đăng nhập/RBAC; 1 dashboard; 1 báo cáo; &gt;=25 test case; triển khai bản demo.</v>
      </c>
      <c r="L616" t="str">
        <f>'Huong dan giao do an'!$B$31</f>
        <v>Bắt buộc: Charter/PMP; SRS + scope/WBS; Gantt/baseline; effort-cost budget; RACI/timesheet; quality-test-defect; communication/minutes; risk register; procurement; change log; closure/lessons learned.</v>
      </c>
      <c r="M616" t="str">
        <f>'Huong dan giao do an'!$B$33</f>
        <v>Tuần 1: 07.09–13.09.2026; Tuần 2: 14.09–20.09.2026; Tuần 3: 21.09–27.09.2026; Tuần 4: 28.09–04.10.2026; Tuần 5: 05.10–11.10.2026; Tuần 6: 12.10–18.10.2026; Tuần 7: 19.10–25.10.2026; Tuần 8: 26.10–01.11.2026.</v>
      </c>
      <c r="N6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6" s="17" t="str">
        <f t="shared" si="9"/>
        <v>Còn trống</v>
      </c>
    </row>
    <row r="617" spans="1:16" x14ac:dyDescent="0.3">
      <c r="A617">
        <v>616</v>
      </c>
      <c r="B617" t="s">
        <v>1400</v>
      </c>
      <c r="C617" t="s">
        <v>1453</v>
      </c>
      <c r="D617" t="s">
        <v>1454</v>
      </c>
      <c r="E617" t="s">
        <v>26</v>
      </c>
      <c r="F617" t="s">
        <v>1403</v>
      </c>
      <c r="G617" t="s">
        <v>1455</v>
      </c>
      <c r="H617" t="str">
        <f>'Huong dan giao do an'!$B$14</f>
        <v>5 SV (vai trò chính): 1 PM/Scrum Master kiêm Integration; 2 BA/PO; 3 UI-UX + Frontend; 4 Backend/API + DevOps; 5 Database + QA/Tester. Mỗi SV có nhiệm vụ phụ và minh chứng cá nhân.</v>
      </c>
      <c r="I617" t="s">
        <v>22</v>
      </c>
      <c r="J617" t="s">
        <v>30</v>
      </c>
      <c r="K617" t="str">
        <f>IF(I617="Trung bình",'Huong dan giao do an'!$B$8,IF(I617="Khá",'Huong dan giao do an'!$B$9,'Huong dan giao do an'!$B$10))</f>
        <v>Tối thiểu 4 actor; 10-14 use case; 8-12 bảng; 3 quy trình lõi; phân quyền chi tiết; 2 báo cáo; tích hợp 1 dịch vụ; &gt;=35 test case; CI/CD hoặc deploy cloud.</v>
      </c>
      <c r="L617" t="str">
        <f>'Huong dan giao do an'!$B$31</f>
        <v>Bắt buộc: Charter/PMP; SRS + scope/WBS; Gantt/baseline; effort-cost budget; RACI/timesheet; quality-test-defect; communication/minutes; risk register; procurement; change log; closure/lessons learned.</v>
      </c>
      <c r="M617" t="str">
        <f>'Huong dan giao do an'!$B$33</f>
        <v>Tuần 1: 07.09–13.09.2026; Tuần 2: 14.09–20.09.2026; Tuần 3: 21.09–27.09.2026; Tuần 4: 28.09–04.10.2026; Tuần 5: 05.10–11.10.2026; Tuần 6: 12.10–18.10.2026; Tuần 7: 19.10–25.10.2026; Tuần 8: 26.10–01.11.2026.</v>
      </c>
      <c r="N6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7" s="17" t="str">
        <f t="shared" si="9"/>
        <v>Còn trống</v>
      </c>
    </row>
    <row r="618" spans="1:16" x14ac:dyDescent="0.3">
      <c r="A618">
        <v>617</v>
      </c>
      <c r="B618" t="s">
        <v>1400</v>
      </c>
      <c r="C618" t="s">
        <v>1456</v>
      </c>
      <c r="D618" t="s">
        <v>1457</v>
      </c>
      <c r="E618" t="s">
        <v>33</v>
      </c>
      <c r="F618" t="s">
        <v>1407</v>
      </c>
      <c r="G618" t="s">
        <v>1458</v>
      </c>
      <c r="H618" t="str">
        <f>'Huong dan giao do an'!$B$14</f>
        <v>5 SV (vai trò chính): 1 PM/Scrum Master kiêm Integration; 2 BA/PO; 3 UI-UX + Frontend; 4 Backend/API + DevOps; 5 Database + QA/Tester. Mỗi SV có nhiệm vụ phụ và minh chứng cá nhân.</v>
      </c>
      <c r="I618" t="s">
        <v>29</v>
      </c>
      <c r="J618" t="s">
        <v>1409</v>
      </c>
      <c r="K618" t="str">
        <f>IF(I618="Trung bình",'Huong dan giao do an'!$B$8,IF(I618="Khá",'Huong dan giao do an'!$B$9,'Huong dan giao do an'!$B$10))</f>
        <v>Tối thiểu 5 actor; 14-18 use case; 10-15 bảng; 4 quy trình; tích hợp ngoài/realtime hoặc xử lý nâng cao; 3 báo cáo; &gt;=45 test case; logging, backup và deploy.</v>
      </c>
      <c r="L618" t="str">
        <f>'Huong dan giao do an'!$B$31</f>
        <v>Bắt buộc: Charter/PMP; SRS + scope/WBS; Gantt/baseline; effort-cost budget; RACI/timesheet; quality-test-defect; communication/minutes; risk register; procurement; change log; closure/lessons learned.</v>
      </c>
      <c r="M618" t="str">
        <f>'Huong dan giao do an'!$B$33</f>
        <v>Tuần 1: 07.09–13.09.2026; Tuần 2: 14.09–20.09.2026; Tuần 3: 21.09–27.09.2026; Tuần 4: 28.09–04.10.2026; Tuần 5: 05.10–11.10.2026; Tuần 6: 12.10–18.10.2026; Tuần 7: 19.10–25.10.2026; Tuần 8: 26.10–01.11.2026.</v>
      </c>
      <c r="N6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8" s="17" t="str">
        <f t="shared" si="9"/>
        <v>Còn trống</v>
      </c>
    </row>
    <row r="619" spans="1:16" x14ac:dyDescent="0.3">
      <c r="A619">
        <v>618</v>
      </c>
      <c r="B619" t="s">
        <v>1400</v>
      </c>
      <c r="C619" t="s">
        <v>1459</v>
      </c>
      <c r="D619" t="s">
        <v>1460</v>
      </c>
      <c r="E619" t="s">
        <v>40</v>
      </c>
      <c r="F619" t="s">
        <v>1412</v>
      </c>
      <c r="G619" t="s">
        <v>1461</v>
      </c>
      <c r="H619" t="str">
        <f>'Huong dan giao do an'!$B$14</f>
        <v>5 SV (vai trò chính): 1 PM/Scrum Master kiêm Integration; 2 BA/PO; 3 UI-UX + Frontend; 4 Backend/API + DevOps; 5 Database + QA/Tester. Mỗi SV có nhiệm vụ phụ và minh chứng cá nhân.</v>
      </c>
      <c r="I619" t="s">
        <v>36</v>
      </c>
      <c r="J619" t="s">
        <v>1414</v>
      </c>
      <c r="K619" t="str">
        <f>IF(I619="Trung bình",'Huong dan giao do an'!$B$8,IF(I619="Khá",'Huong dan giao do an'!$B$9,'Huong dan giao do an'!$B$10))</f>
        <v>Tối thiểu 3 actor; 8-10 use case; 6-8 bảng dữ liệu; 2 quy trình lõi; đăng nhập/RBAC; 1 dashboard; 1 báo cáo; &gt;=25 test case; triển khai bản demo.</v>
      </c>
      <c r="L619" t="str">
        <f>'Huong dan giao do an'!$B$31</f>
        <v>Bắt buộc: Charter/PMP; SRS + scope/WBS; Gantt/baseline; effort-cost budget; RACI/timesheet; quality-test-defect; communication/minutes; risk register; procurement; change log; closure/lessons learned.</v>
      </c>
      <c r="M619" t="str">
        <f>'Huong dan giao do an'!$B$33</f>
        <v>Tuần 1: 07.09–13.09.2026; Tuần 2: 14.09–20.09.2026; Tuần 3: 21.09–27.09.2026; Tuần 4: 28.09–04.10.2026; Tuần 5: 05.10–11.10.2026; Tuần 6: 12.10–18.10.2026; Tuần 7: 19.10–25.10.2026; Tuần 8: 26.10–01.11.2026.</v>
      </c>
      <c r="N6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19" s="17" t="str">
        <f t="shared" si="9"/>
        <v>Còn trống</v>
      </c>
    </row>
    <row r="620" spans="1:16" x14ac:dyDescent="0.3">
      <c r="A620">
        <v>619</v>
      </c>
      <c r="B620" t="s">
        <v>1400</v>
      </c>
      <c r="C620" t="s">
        <v>1462</v>
      </c>
      <c r="D620" t="s">
        <v>1463</v>
      </c>
      <c r="E620" t="s">
        <v>45</v>
      </c>
      <c r="F620" t="s">
        <v>1417</v>
      </c>
      <c r="G620" t="s">
        <v>1464</v>
      </c>
      <c r="H620" t="str">
        <f>'Huong dan giao do an'!$B$14</f>
        <v>5 SV (vai trò chính): 1 PM/Scrum Master kiêm Integration; 2 BA/PO; 3 UI-UX + Frontend; 4 Backend/API + DevOps; 5 Database + QA/Tester. Mỗi SV có nhiệm vụ phụ và minh chứng cá nhân.</v>
      </c>
      <c r="I620" t="s">
        <v>22</v>
      </c>
      <c r="J620" t="s">
        <v>30</v>
      </c>
      <c r="K620" t="str">
        <f>IF(I620="Trung bình",'Huong dan giao do an'!$B$8,IF(I620="Khá",'Huong dan giao do an'!$B$9,'Huong dan giao do an'!$B$10))</f>
        <v>Tối thiểu 4 actor; 10-14 use case; 8-12 bảng; 3 quy trình lõi; phân quyền chi tiết; 2 báo cáo; tích hợp 1 dịch vụ; &gt;=35 test case; CI/CD hoặc deploy cloud.</v>
      </c>
      <c r="L620" t="str">
        <f>'Huong dan giao do an'!$B$31</f>
        <v>Bắt buộc: Charter/PMP; SRS + scope/WBS; Gantt/baseline; effort-cost budget; RACI/timesheet; quality-test-defect; communication/minutes; risk register; procurement; change log; closure/lessons learned.</v>
      </c>
      <c r="M620" t="str">
        <f>'Huong dan giao do an'!$B$33</f>
        <v>Tuần 1: 07.09–13.09.2026; Tuần 2: 14.09–20.09.2026; Tuần 3: 21.09–27.09.2026; Tuần 4: 28.09–04.10.2026; Tuần 5: 05.10–11.10.2026; Tuần 6: 12.10–18.10.2026; Tuần 7: 19.10–25.10.2026; Tuần 8: 26.10–01.11.2026.</v>
      </c>
      <c r="N6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0" s="17" t="str">
        <f t="shared" si="9"/>
        <v>Còn trống</v>
      </c>
    </row>
    <row r="621" spans="1:16" x14ac:dyDescent="0.3">
      <c r="A621">
        <v>620</v>
      </c>
      <c r="B621" t="s">
        <v>1400</v>
      </c>
      <c r="C621" t="s">
        <v>1465</v>
      </c>
      <c r="D621" t="s">
        <v>1466</v>
      </c>
      <c r="E621" t="s">
        <v>19</v>
      </c>
      <c r="F621" t="s">
        <v>1421</v>
      </c>
      <c r="G621" t="s">
        <v>1467</v>
      </c>
      <c r="H621" t="str">
        <f>'Huong dan giao do an'!$B$14</f>
        <v>5 SV (vai trò chính): 1 PM/Scrum Master kiêm Integration; 2 BA/PO; 3 UI-UX + Frontend; 4 Backend/API + DevOps; 5 Database + QA/Tester. Mỗi SV có nhiệm vụ phụ và minh chứng cá nhân.</v>
      </c>
      <c r="I621" t="s">
        <v>29</v>
      </c>
      <c r="J621" t="s">
        <v>1409</v>
      </c>
      <c r="K621" t="str">
        <f>IF(I621="Trung bình",'Huong dan giao do an'!$B$8,IF(I621="Khá",'Huong dan giao do an'!$B$9,'Huong dan giao do an'!$B$10))</f>
        <v>Tối thiểu 5 actor; 14-18 use case; 10-15 bảng; 4 quy trình; tích hợp ngoài/realtime hoặc xử lý nâng cao; 3 báo cáo; &gt;=45 test case; logging, backup và deploy.</v>
      </c>
      <c r="L621" t="str">
        <f>'Huong dan giao do an'!$B$31</f>
        <v>Bắt buộc: Charter/PMP; SRS + scope/WBS; Gantt/baseline; effort-cost budget; RACI/timesheet; quality-test-defect; communication/minutes; risk register; procurement; change log; closure/lessons learned.</v>
      </c>
      <c r="M621" t="str">
        <f>'Huong dan giao do an'!$B$33</f>
        <v>Tuần 1: 07.09–13.09.2026; Tuần 2: 14.09–20.09.2026; Tuần 3: 21.09–27.09.2026; Tuần 4: 28.09–04.10.2026; Tuần 5: 05.10–11.10.2026; Tuần 6: 12.10–18.10.2026; Tuần 7: 19.10–25.10.2026; Tuần 8: 26.10–01.11.2026.</v>
      </c>
      <c r="N6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1" s="17" t="str">
        <f t="shared" si="9"/>
        <v>Còn trống</v>
      </c>
    </row>
    <row r="622" spans="1:16" x14ac:dyDescent="0.3">
      <c r="A622">
        <v>621</v>
      </c>
      <c r="B622" t="s">
        <v>1400</v>
      </c>
      <c r="C622" t="s">
        <v>1468</v>
      </c>
      <c r="D622" t="s">
        <v>1469</v>
      </c>
      <c r="E622" t="s">
        <v>26</v>
      </c>
      <c r="F622" t="s">
        <v>1403</v>
      </c>
      <c r="G622" t="s">
        <v>1404</v>
      </c>
      <c r="H622" t="str">
        <f>'Huong dan giao do an'!$B$14</f>
        <v>5 SV (vai trò chính): 1 PM/Scrum Master kiêm Integration; 2 BA/PO; 3 UI-UX + Frontend; 4 Backend/API + DevOps; 5 Database + QA/Tester. Mỗi SV có nhiệm vụ phụ và minh chứng cá nhân.</v>
      </c>
      <c r="I622" t="s">
        <v>22</v>
      </c>
      <c r="J622" t="s">
        <v>30</v>
      </c>
      <c r="K622" t="str">
        <f>IF(I622="Trung bình",'Huong dan giao do an'!$B$8,IF(I622="Khá",'Huong dan giao do an'!$B$9,'Huong dan giao do an'!$B$10))</f>
        <v>Tối thiểu 4 actor; 10-14 use case; 8-12 bảng; 3 quy trình lõi; phân quyền chi tiết; 2 báo cáo; tích hợp 1 dịch vụ; &gt;=35 test case; CI/CD hoặc deploy cloud.</v>
      </c>
      <c r="L622" t="str">
        <f>'Huong dan giao do an'!$B$31</f>
        <v>Bắt buộc: Charter/PMP; SRS + scope/WBS; Gantt/baseline; effort-cost budget; RACI/timesheet; quality-test-defect; communication/minutes; risk register; procurement; change log; closure/lessons learned.</v>
      </c>
      <c r="M622" t="str">
        <f>'Huong dan giao do an'!$B$33</f>
        <v>Tuần 1: 07.09–13.09.2026; Tuần 2: 14.09–20.09.2026; Tuần 3: 21.09–27.09.2026; Tuần 4: 28.09–04.10.2026; Tuần 5: 05.10–11.10.2026; Tuần 6: 12.10–18.10.2026; Tuần 7: 19.10–25.10.2026; Tuần 8: 26.10–01.11.2026.</v>
      </c>
      <c r="N6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2" s="17" t="str">
        <f t="shared" si="9"/>
        <v>Còn trống</v>
      </c>
    </row>
    <row r="623" spans="1:16" x14ac:dyDescent="0.3">
      <c r="A623">
        <v>622</v>
      </c>
      <c r="B623" t="s">
        <v>1400</v>
      </c>
      <c r="C623" t="s">
        <v>1470</v>
      </c>
      <c r="D623" t="s">
        <v>1471</v>
      </c>
      <c r="E623" t="s">
        <v>33</v>
      </c>
      <c r="F623" t="s">
        <v>1407</v>
      </c>
      <c r="G623" t="s">
        <v>1408</v>
      </c>
      <c r="H623" t="str">
        <f>'Huong dan giao do an'!$B$14</f>
        <v>5 SV (vai trò chính): 1 PM/Scrum Master kiêm Integration; 2 BA/PO; 3 UI-UX + Frontend; 4 Backend/API + DevOps; 5 Database + QA/Tester. Mỗi SV có nhiệm vụ phụ và minh chứng cá nhân.</v>
      </c>
      <c r="I623" t="s">
        <v>29</v>
      </c>
      <c r="J623" t="s">
        <v>1409</v>
      </c>
      <c r="K623" t="str">
        <f>IF(I623="Trung bình",'Huong dan giao do an'!$B$8,IF(I623="Khá",'Huong dan giao do an'!$B$9,'Huong dan giao do an'!$B$10))</f>
        <v>Tối thiểu 5 actor; 14-18 use case; 10-15 bảng; 4 quy trình; tích hợp ngoài/realtime hoặc xử lý nâng cao; 3 báo cáo; &gt;=45 test case; logging, backup và deploy.</v>
      </c>
      <c r="L623" t="str">
        <f>'Huong dan giao do an'!$B$31</f>
        <v>Bắt buộc: Charter/PMP; SRS + scope/WBS; Gantt/baseline; effort-cost budget; RACI/timesheet; quality-test-defect; communication/minutes; risk register; procurement; change log; closure/lessons learned.</v>
      </c>
      <c r="M623" t="str">
        <f>'Huong dan giao do an'!$B$33</f>
        <v>Tuần 1: 07.09–13.09.2026; Tuần 2: 14.09–20.09.2026; Tuần 3: 21.09–27.09.2026; Tuần 4: 28.09–04.10.2026; Tuần 5: 05.10–11.10.2026; Tuần 6: 12.10–18.10.2026; Tuần 7: 19.10–25.10.2026; Tuần 8: 26.10–01.11.2026.</v>
      </c>
      <c r="N6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3" s="17" t="str">
        <f t="shared" si="9"/>
        <v>Còn trống</v>
      </c>
    </row>
    <row r="624" spans="1:16" x14ac:dyDescent="0.3">
      <c r="A624">
        <v>623</v>
      </c>
      <c r="B624" t="s">
        <v>1400</v>
      </c>
      <c r="C624" t="s">
        <v>1472</v>
      </c>
      <c r="D624" t="s">
        <v>1473</v>
      </c>
      <c r="E624" t="s">
        <v>40</v>
      </c>
      <c r="F624" t="s">
        <v>1412</v>
      </c>
      <c r="G624" t="s">
        <v>1413</v>
      </c>
      <c r="H624" t="str">
        <f>'Huong dan giao do an'!$B$14</f>
        <v>5 SV (vai trò chính): 1 PM/Scrum Master kiêm Integration; 2 BA/PO; 3 UI-UX + Frontend; 4 Backend/API + DevOps; 5 Database + QA/Tester. Mỗi SV có nhiệm vụ phụ và minh chứng cá nhân.</v>
      </c>
      <c r="I624" t="s">
        <v>36</v>
      </c>
      <c r="J624" t="s">
        <v>1414</v>
      </c>
      <c r="K624" t="str">
        <f>IF(I624="Trung bình",'Huong dan giao do an'!$B$8,IF(I624="Khá",'Huong dan giao do an'!$B$9,'Huong dan giao do an'!$B$10))</f>
        <v>Tối thiểu 3 actor; 8-10 use case; 6-8 bảng dữ liệu; 2 quy trình lõi; đăng nhập/RBAC; 1 dashboard; 1 báo cáo; &gt;=25 test case; triển khai bản demo.</v>
      </c>
      <c r="L624" t="str">
        <f>'Huong dan giao do an'!$B$31</f>
        <v>Bắt buộc: Charter/PMP; SRS + scope/WBS; Gantt/baseline; effort-cost budget; RACI/timesheet; quality-test-defect; communication/minutes; risk register; procurement; change log; closure/lessons learned.</v>
      </c>
      <c r="M624" t="str">
        <f>'Huong dan giao do an'!$B$33</f>
        <v>Tuần 1: 07.09–13.09.2026; Tuần 2: 14.09–20.09.2026; Tuần 3: 21.09–27.09.2026; Tuần 4: 28.09–04.10.2026; Tuần 5: 05.10–11.10.2026; Tuần 6: 12.10–18.10.2026; Tuần 7: 19.10–25.10.2026; Tuần 8: 26.10–01.11.2026.</v>
      </c>
      <c r="N6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4" s="17" t="str">
        <f t="shared" si="9"/>
        <v>Còn trống</v>
      </c>
    </row>
    <row r="625" spans="1:16" x14ac:dyDescent="0.3">
      <c r="A625">
        <v>624</v>
      </c>
      <c r="B625" t="s">
        <v>1400</v>
      </c>
      <c r="C625" t="s">
        <v>1474</v>
      </c>
      <c r="D625" t="s">
        <v>1475</v>
      </c>
      <c r="E625" t="s">
        <v>45</v>
      </c>
      <c r="F625" t="s">
        <v>1417</v>
      </c>
      <c r="G625" t="s">
        <v>1418</v>
      </c>
      <c r="H625" t="str">
        <f>'Huong dan giao do an'!$B$14</f>
        <v>5 SV (vai trò chính): 1 PM/Scrum Master kiêm Integration; 2 BA/PO; 3 UI-UX + Frontend; 4 Backend/API + DevOps; 5 Database + QA/Tester. Mỗi SV có nhiệm vụ phụ và minh chứng cá nhân.</v>
      </c>
      <c r="I625" t="s">
        <v>22</v>
      </c>
      <c r="J625" t="s">
        <v>30</v>
      </c>
      <c r="K625" t="str">
        <f>IF(I625="Trung bình",'Huong dan giao do an'!$B$8,IF(I625="Khá",'Huong dan giao do an'!$B$9,'Huong dan giao do an'!$B$10))</f>
        <v>Tối thiểu 4 actor; 10-14 use case; 8-12 bảng; 3 quy trình lõi; phân quyền chi tiết; 2 báo cáo; tích hợp 1 dịch vụ; &gt;=35 test case; CI/CD hoặc deploy cloud.</v>
      </c>
      <c r="L625" t="str">
        <f>'Huong dan giao do an'!$B$31</f>
        <v>Bắt buộc: Charter/PMP; SRS + scope/WBS; Gantt/baseline; effort-cost budget; RACI/timesheet; quality-test-defect; communication/minutes; risk register; procurement; change log; closure/lessons learned.</v>
      </c>
      <c r="M625" t="str">
        <f>'Huong dan giao do an'!$B$33</f>
        <v>Tuần 1: 07.09–13.09.2026; Tuần 2: 14.09–20.09.2026; Tuần 3: 21.09–27.09.2026; Tuần 4: 28.09–04.10.2026; Tuần 5: 05.10–11.10.2026; Tuần 6: 12.10–18.10.2026; Tuần 7: 19.10–25.10.2026; Tuần 8: 26.10–01.11.2026.</v>
      </c>
      <c r="N6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5" s="17" t="str">
        <f t="shared" si="9"/>
        <v>Còn trống</v>
      </c>
    </row>
    <row r="626" spans="1:16" x14ac:dyDescent="0.3">
      <c r="A626">
        <v>625</v>
      </c>
      <c r="B626" t="s">
        <v>1400</v>
      </c>
      <c r="C626" t="s">
        <v>1476</v>
      </c>
      <c r="D626" t="s">
        <v>1477</v>
      </c>
      <c r="E626" t="s">
        <v>19</v>
      </c>
      <c r="F626" t="s">
        <v>1421</v>
      </c>
      <c r="G626" t="s">
        <v>1422</v>
      </c>
      <c r="H626" t="str">
        <f>'Huong dan giao do an'!$B$14</f>
        <v>5 SV (vai trò chính): 1 PM/Scrum Master kiêm Integration; 2 BA/PO; 3 UI-UX + Frontend; 4 Backend/API + DevOps; 5 Database + QA/Tester. Mỗi SV có nhiệm vụ phụ và minh chứng cá nhân.</v>
      </c>
      <c r="I626" t="s">
        <v>29</v>
      </c>
      <c r="J626" t="s">
        <v>1409</v>
      </c>
      <c r="K626" t="str">
        <f>IF(I626="Trung bình",'Huong dan giao do an'!$B$8,IF(I626="Khá",'Huong dan giao do an'!$B$9,'Huong dan giao do an'!$B$10))</f>
        <v>Tối thiểu 5 actor; 14-18 use case; 10-15 bảng; 4 quy trình; tích hợp ngoài/realtime hoặc xử lý nâng cao; 3 báo cáo; &gt;=45 test case; logging, backup và deploy.</v>
      </c>
      <c r="L626" t="str">
        <f>'Huong dan giao do an'!$B$31</f>
        <v>Bắt buộc: Charter/PMP; SRS + scope/WBS; Gantt/baseline; effort-cost budget; RACI/timesheet; quality-test-defect; communication/minutes; risk register; procurement; change log; closure/lessons learned.</v>
      </c>
      <c r="M626" t="str">
        <f>'Huong dan giao do an'!$B$33</f>
        <v>Tuần 1: 07.09–13.09.2026; Tuần 2: 14.09–20.09.2026; Tuần 3: 21.09–27.09.2026; Tuần 4: 28.09–04.10.2026; Tuần 5: 05.10–11.10.2026; Tuần 6: 12.10–18.10.2026; Tuần 7: 19.10–25.10.2026; Tuần 8: 26.10–01.11.2026.</v>
      </c>
      <c r="N6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6" s="17" t="str">
        <f t="shared" si="9"/>
        <v>Còn trống</v>
      </c>
    </row>
    <row r="627" spans="1:16" x14ac:dyDescent="0.3">
      <c r="A627">
        <v>626</v>
      </c>
      <c r="B627" t="s">
        <v>1400</v>
      </c>
      <c r="C627" t="s">
        <v>1478</v>
      </c>
      <c r="D627" t="s">
        <v>1479</v>
      </c>
      <c r="E627" t="s">
        <v>26</v>
      </c>
      <c r="F627" t="s">
        <v>1403</v>
      </c>
      <c r="G627" t="s">
        <v>1425</v>
      </c>
      <c r="H627" t="str">
        <f>'Huong dan giao do an'!$B$14</f>
        <v>5 SV (vai trò chính): 1 PM/Scrum Master kiêm Integration; 2 BA/PO; 3 UI-UX + Frontend; 4 Backend/API + DevOps; 5 Database + QA/Tester. Mỗi SV có nhiệm vụ phụ và minh chứng cá nhân.</v>
      </c>
      <c r="I627" t="s">
        <v>36</v>
      </c>
      <c r="J627" t="s">
        <v>1414</v>
      </c>
      <c r="K627" t="str">
        <f>IF(I627="Trung bình",'Huong dan giao do an'!$B$8,IF(I627="Khá",'Huong dan giao do an'!$B$9,'Huong dan giao do an'!$B$10))</f>
        <v>Tối thiểu 3 actor; 8-10 use case; 6-8 bảng dữ liệu; 2 quy trình lõi; đăng nhập/RBAC; 1 dashboard; 1 báo cáo; &gt;=25 test case; triển khai bản demo.</v>
      </c>
      <c r="L627" t="str">
        <f>'Huong dan giao do an'!$B$31</f>
        <v>Bắt buộc: Charter/PMP; SRS + scope/WBS; Gantt/baseline; effort-cost budget; RACI/timesheet; quality-test-defect; communication/minutes; risk register; procurement; change log; closure/lessons learned.</v>
      </c>
      <c r="M627" t="str">
        <f>'Huong dan giao do an'!$B$33</f>
        <v>Tuần 1: 07.09–13.09.2026; Tuần 2: 14.09–20.09.2026; Tuần 3: 21.09–27.09.2026; Tuần 4: 28.09–04.10.2026; Tuần 5: 05.10–11.10.2026; Tuần 6: 12.10–18.10.2026; Tuần 7: 19.10–25.10.2026; Tuần 8: 26.10–01.11.2026.</v>
      </c>
      <c r="N6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7" s="17" t="str">
        <f t="shared" si="9"/>
        <v>Còn trống</v>
      </c>
    </row>
    <row r="628" spans="1:16" x14ac:dyDescent="0.3">
      <c r="A628">
        <v>627</v>
      </c>
      <c r="B628" t="s">
        <v>1400</v>
      </c>
      <c r="C628" t="s">
        <v>1480</v>
      </c>
      <c r="D628" t="s">
        <v>1481</v>
      </c>
      <c r="E628" t="s">
        <v>33</v>
      </c>
      <c r="F628" t="s">
        <v>1407</v>
      </c>
      <c r="G628" t="s">
        <v>1428</v>
      </c>
      <c r="H628" t="str">
        <f>'Huong dan giao do an'!$B$14</f>
        <v>5 SV (vai trò chính): 1 PM/Scrum Master kiêm Integration; 2 BA/PO; 3 UI-UX + Frontend; 4 Backend/API + DevOps; 5 Database + QA/Tester. Mỗi SV có nhiệm vụ phụ và minh chứng cá nhân.</v>
      </c>
      <c r="I628" t="s">
        <v>22</v>
      </c>
      <c r="J628" t="s">
        <v>30</v>
      </c>
      <c r="K628" t="str">
        <f>IF(I628="Trung bình",'Huong dan giao do an'!$B$8,IF(I628="Khá",'Huong dan giao do an'!$B$9,'Huong dan giao do an'!$B$10))</f>
        <v>Tối thiểu 4 actor; 10-14 use case; 8-12 bảng; 3 quy trình lõi; phân quyền chi tiết; 2 báo cáo; tích hợp 1 dịch vụ; &gt;=35 test case; CI/CD hoặc deploy cloud.</v>
      </c>
      <c r="L628" t="str">
        <f>'Huong dan giao do an'!$B$31</f>
        <v>Bắt buộc: Charter/PMP; SRS + scope/WBS; Gantt/baseline; effort-cost budget; RACI/timesheet; quality-test-defect; communication/minutes; risk register; procurement; change log; closure/lessons learned.</v>
      </c>
      <c r="M628" t="str">
        <f>'Huong dan giao do an'!$B$33</f>
        <v>Tuần 1: 07.09–13.09.2026; Tuần 2: 14.09–20.09.2026; Tuần 3: 21.09–27.09.2026; Tuần 4: 28.09–04.10.2026; Tuần 5: 05.10–11.10.2026; Tuần 6: 12.10–18.10.2026; Tuần 7: 19.10–25.10.2026; Tuần 8: 26.10–01.11.2026.</v>
      </c>
      <c r="N6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8" s="17" t="str">
        <f t="shared" si="9"/>
        <v>Còn trống</v>
      </c>
    </row>
    <row r="629" spans="1:16" x14ac:dyDescent="0.3">
      <c r="A629">
        <v>628</v>
      </c>
      <c r="B629" t="s">
        <v>1400</v>
      </c>
      <c r="C629" t="s">
        <v>1482</v>
      </c>
      <c r="D629" t="s">
        <v>1483</v>
      </c>
      <c r="E629" t="s">
        <v>40</v>
      </c>
      <c r="F629" t="s">
        <v>1412</v>
      </c>
      <c r="G629" t="s">
        <v>1431</v>
      </c>
      <c r="H629" t="str">
        <f>'Huong dan giao do an'!$B$14</f>
        <v>5 SV (vai trò chính): 1 PM/Scrum Master kiêm Integration; 2 BA/PO; 3 UI-UX + Frontend; 4 Backend/API + DevOps; 5 Database + QA/Tester. Mỗi SV có nhiệm vụ phụ và minh chứng cá nhân.</v>
      </c>
      <c r="I629" t="s">
        <v>29</v>
      </c>
      <c r="J629" t="s">
        <v>1409</v>
      </c>
      <c r="K629" t="str">
        <f>IF(I629="Trung bình",'Huong dan giao do an'!$B$8,IF(I629="Khá",'Huong dan giao do an'!$B$9,'Huong dan giao do an'!$B$10))</f>
        <v>Tối thiểu 5 actor; 14-18 use case; 10-15 bảng; 4 quy trình; tích hợp ngoài/realtime hoặc xử lý nâng cao; 3 báo cáo; &gt;=45 test case; logging, backup và deploy.</v>
      </c>
      <c r="L629" t="str">
        <f>'Huong dan giao do an'!$B$31</f>
        <v>Bắt buộc: Charter/PMP; SRS + scope/WBS; Gantt/baseline; effort-cost budget; RACI/timesheet; quality-test-defect; communication/minutes; risk register; procurement; change log; closure/lessons learned.</v>
      </c>
      <c r="M629" t="str">
        <f>'Huong dan giao do an'!$B$33</f>
        <v>Tuần 1: 07.09–13.09.2026; Tuần 2: 14.09–20.09.2026; Tuần 3: 21.09–27.09.2026; Tuần 4: 28.09–04.10.2026; Tuần 5: 05.10–11.10.2026; Tuần 6: 12.10–18.10.2026; Tuần 7: 19.10–25.10.2026; Tuần 8: 26.10–01.11.2026.</v>
      </c>
      <c r="N6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29" s="17" t="str">
        <f t="shared" si="9"/>
        <v>Còn trống</v>
      </c>
    </row>
    <row r="630" spans="1:16" x14ac:dyDescent="0.3">
      <c r="A630">
        <v>629</v>
      </c>
      <c r="B630" t="s">
        <v>1400</v>
      </c>
      <c r="C630" t="s">
        <v>1484</v>
      </c>
      <c r="D630" t="s">
        <v>1485</v>
      </c>
      <c r="E630" t="s">
        <v>45</v>
      </c>
      <c r="F630" t="s">
        <v>1417</v>
      </c>
      <c r="G630" t="s">
        <v>1434</v>
      </c>
      <c r="H630" t="str">
        <f>'Huong dan giao do an'!$B$14</f>
        <v>5 SV (vai trò chính): 1 PM/Scrum Master kiêm Integration; 2 BA/PO; 3 UI-UX + Frontend; 4 Backend/API + DevOps; 5 Database + QA/Tester. Mỗi SV có nhiệm vụ phụ và minh chứng cá nhân.</v>
      </c>
      <c r="I630" t="s">
        <v>36</v>
      </c>
      <c r="J630" t="s">
        <v>1414</v>
      </c>
      <c r="K630" t="str">
        <f>IF(I630="Trung bình",'Huong dan giao do an'!$B$8,IF(I630="Khá",'Huong dan giao do an'!$B$9,'Huong dan giao do an'!$B$10))</f>
        <v>Tối thiểu 3 actor; 8-10 use case; 6-8 bảng dữ liệu; 2 quy trình lõi; đăng nhập/RBAC; 1 dashboard; 1 báo cáo; &gt;=25 test case; triển khai bản demo.</v>
      </c>
      <c r="L630" t="str">
        <f>'Huong dan giao do an'!$B$31</f>
        <v>Bắt buộc: Charter/PMP; SRS + scope/WBS; Gantt/baseline; effort-cost budget; RACI/timesheet; quality-test-defect; communication/minutes; risk register; procurement; change log; closure/lessons learned.</v>
      </c>
      <c r="M630" t="str">
        <f>'Huong dan giao do an'!$B$33</f>
        <v>Tuần 1: 07.09–13.09.2026; Tuần 2: 14.09–20.09.2026; Tuần 3: 21.09–27.09.2026; Tuần 4: 28.09–04.10.2026; Tuần 5: 05.10–11.10.2026; Tuần 6: 12.10–18.10.2026; Tuần 7: 19.10–25.10.2026; Tuần 8: 26.10–01.11.2026.</v>
      </c>
      <c r="N6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0" s="17" t="str">
        <f t="shared" si="9"/>
        <v>Còn trống</v>
      </c>
    </row>
    <row r="631" spans="1:16" x14ac:dyDescent="0.3">
      <c r="A631">
        <v>630</v>
      </c>
      <c r="B631" t="s">
        <v>1400</v>
      </c>
      <c r="C631" t="s">
        <v>1486</v>
      </c>
      <c r="D631" t="s">
        <v>1487</v>
      </c>
      <c r="E631" t="s">
        <v>19</v>
      </c>
      <c r="F631" t="s">
        <v>1421</v>
      </c>
      <c r="G631" t="s">
        <v>1437</v>
      </c>
      <c r="H631" t="str">
        <f>'Huong dan giao do an'!$B$14</f>
        <v>5 SV (vai trò chính): 1 PM/Scrum Master kiêm Integration; 2 BA/PO; 3 UI-UX + Frontend; 4 Backend/API + DevOps; 5 Database + QA/Tester. Mỗi SV có nhiệm vụ phụ và minh chứng cá nhân.</v>
      </c>
      <c r="I631" t="s">
        <v>22</v>
      </c>
      <c r="J631" t="s">
        <v>30</v>
      </c>
      <c r="K631" t="str">
        <f>IF(I631="Trung bình",'Huong dan giao do an'!$B$8,IF(I631="Khá",'Huong dan giao do an'!$B$9,'Huong dan giao do an'!$B$10))</f>
        <v>Tối thiểu 4 actor; 10-14 use case; 8-12 bảng; 3 quy trình lõi; phân quyền chi tiết; 2 báo cáo; tích hợp 1 dịch vụ; &gt;=35 test case; CI/CD hoặc deploy cloud.</v>
      </c>
      <c r="L631" t="str">
        <f>'Huong dan giao do an'!$B$31</f>
        <v>Bắt buộc: Charter/PMP; SRS + scope/WBS; Gantt/baseline; effort-cost budget; RACI/timesheet; quality-test-defect; communication/minutes; risk register; procurement; change log; closure/lessons learned.</v>
      </c>
      <c r="M631" t="str">
        <f>'Huong dan giao do an'!$B$33</f>
        <v>Tuần 1: 07.09–13.09.2026; Tuần 2: 14.09–20.09.2026; Tuần 3: 21.09–27.09.2026; Tuần 4: 28.09–04.10.2026; Tuần 5: 05.10–11.10.2026; Tuần 6: 12.10–18.10.2026; Tuần 7: 19.10–25.10.2026; Tuần 8: 26.10–01.11.2026.</v>
      </c>
      <c r="N6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1" s="17" t="str">
        <f t="shared" si="9"/>
        <v>Còn trống</v>
      </c>
    </row>
    <row r="632" spans="1:16" x14ac:dyDescent="0.3">
      <c r="A632">
        <v>631</v>
      </c>
      <c r="B632" t="s">
        <v>1400</v>
      </c>
      <c r="C632" t="s">
        <v>1488</v>
      </c>
      <c r="D632" t="s">
        <v>1489</v>
      </c>
      <c r="E632" t="s">
        <v>26</v>
      </c>
      <c r="F632" t="s">
        <v>1403</v>
      </c>
      <c r="G632" t="s">
        <v>1440</v>
      </c>
      <c r="H632" t="str">
        <f>'Huong dan giao do an'!$B$14</f>
        <v>5 SV (vai trò chính): 1 PM/Scrum Master kiêm Integration; 2 BA/PO; 3 UI-UX + Frontend; 4 Backend/API + DevOps; 5 Database + QA/Tester. Mỗi SV có nhiệm vụ phụ và minh chứng cá nhân.</v>
      </c>
      <c r="I632" t="s">
        <v>29</v>
      </c>
      <c r="J632" t="s">
        <v>1409</v>
      </c>
      <c r="K632" t="str">
        <f>IF(I632="Trung bình",'Huong dan giao do an'!$B$8,IF(I632="Khá",'Huong dan giao do an'!$B$9,'Huong dan giao do an'!$B$10))</f>
        <v>Tối thiểu 5 actor; 14-18 use case; 10-15 bảng; 4 quy trình; tích hợp ngoài/realtime hoặc xử lý nâng cao; 3 báo cáo; &gt;=45 test case; logging, backup và deploy.</v>
      </c>
      <c r="L632" t="str">
        <f>'Huong dan giao do an'!$B$31</f>
        <v>Bắt buộc: Charter/PMP; SRS + scope/WBS; Gantt/baseline; effort-cost budget; RACI/timesheet; quality-test-defect; communication/minutes; risk register; procurement; change log; closure/lessons learned.</v>
      </c>
      <c r="M632" t="str">
        <f>'Huong dan giao do an'!$B$33</f>
        <v>Tuần 1: 07.09–13.09.2026; Tuần 2: 14.09–20.09.2026; Tuần 3: 21.09–27.09.2026; Tuần 4: 28.09–04.10.2026; Tuần 5: 05.10–11.10.2026; Tuần 6: 12.10–18.10.2026; Tuần 7: 19.10–25.10.2026; Tuần 8: 26.10–01.11.2026.</v>
      </c>
      <c r="N6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2" s="17" t="str">
        <f t="shared" si="9"/>
        <v>Còn trống</v>
      </c>
    </row>
    <row r="633" spans="1:16" x14ac:dyDescent="0.3">
      <c r="A633">
        <v>632</v>
      </c>
      <c r="B633" t="s">
        <v>1400</v>
      </c>
      <c r="C633" t="s">
        <v>1490</v>
      </c>
      <c r="D633" t="s">
        <v>1491</v>
      </c>
      <c r="E633" t="s">
        <v>33</v>
      </c>
      <c r="F633" t="s">
        <v>1407</v>
      </c>
      <c r="G633" t="s">
        <v>1443</v>
      </c>
      <c r="H633" t="str">
        <f>'Huong dan giao do an'!$B$14</f>
        <v>5 SV (vai trò chính): 1 PM/Scrum Master kiêm Integration; 2 BA/PO; 3 UI-UX + Frontend; 4 Backend/API + DevOps; 5 Database + QA/Tester. Mỗi SV có nhiệm vụ phụ và minh chứng cá nhân.</v>
      </c>
      <c r="I633" t="s">
        <v>36</v>
      </c>
      <c r="J633" t="s">
        <v>1414</v>
      </c>
      <c r="K633" t="str">
        <f>IF(I633="Trung bình",'Huong dan giao do an'!$B$8,IF(I633="Khá",'Huong dan giao do an'!$B$9,'Huong dan giao do an'!$B$10))</f>
        <v>Tối thiểu 3 actor; 8-10 use case; 6-8 bảng dữ liệu; 2 quy trình lõi; đăng nhập/RBAC; 1 dashboard; 1 báo cáo; &gt;=25 test case; triển khai bản demo.</v>
      </c>
      <c r="L633" t="str">
        <f>'Huong dan giao do an'!$B$31</f>
        <v>Bắt buộc: Charter/PMP; SRS + scope/WBS; Gantt/baseline; effort-cost budget; RACI/timesheet; quality-test-defect; communication/minutes; risk register; procurement; change log; closure/lessons learned.</v>
      </c>
      <c r="M633" t="str">
        <f>'Huong dan giao do an'!$B$33</f>
        <v>Tuần 1: 07.09–13.09.2026; Tuần 2: 14.09–20.09.2026; Tuần 3: 21.09–27.09.2026; Tuần 4: 28.09–04.10.2026; Tuần 5: 05.10–11.10.2026; Tuần 6: 12.10–18.10.2026; Tuần 7: 19.10–25.10.2026; Tuần 8: 26.10–01.11.2026.</v>
      </c>
      <c r="N6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3" s="17" t="str">
        <f t="shared" si="9"/>
        <v>Còn trống</v>
      </c>
    </row>
    <row r="634" spans="1:16" x14ac:dyDescent="0.3">
      <c r="A634">
        <v>633</v>
      </c>
      <c r="B634" t="s">
        <v>1400</v>
      </c>
      <c r="C634" t="s">
        <v>1492</v>
      </c>
      <c r="D634" t="s">
        <v>1493</v>
      </c>
      <c r="E634" t="s">
        <v>40</v>
      </c>
      <c r="F634" t="s">
        <v>1412</v>
      </c>
      <c r="G634" t="s">
        <v>1446</v>
      </c>
      <c r="H634" t="str">
        <f>'Huong dan giao do an'!$B$14</f>
        <v>5 SV (vai trò chính): 1 PM/Scrum Master kiêm Integration; 2 BA/PO; 3 UI-UX + Frontend; 4 Backend/API + DevOps; 5 Database + QA/Tester. Mỗi SV có nhiệm vụ phụ và minh chứng cá nhân.</v>
      </c>
      <c r="I634" t="s">
        <v>22</v>
      </c>
      <c r="J634" t="s">
        <v>30</v>
      </c>
      <c r="K634" t="str">
        <f>IF(I634="Trung bình",'Huong dan giao do an'!$B$8,IF(I634="Khá",'Huong dan giao do an'!$B$9,'Huong dan giao do an'!$B$10))</f>
        <v>Tối thiểu 4 actor; 10-14 use case; 8-12 bảng; 3 quy trình lõi; phân quyền chi tiết; 2 báo cáo; tích hợp 1 dịch vụ; &gt;=35 test case; CI/CD hoặc deploy cloud.</v>
      </c>
      <c r="L634" t="str">
        <f>'Huong dan giao do an'!$B$31</f>
        <v>Bắt buộc: Charter/PMP; SRS + scope/WBS; Gantt/baseline; effort-cost budget; RACI/timesheet; quality-test-defect; communication/minutes; risk register; procurement; change log; closure/lessons learned.</v>
      </c>
      <c r="M634" t="str">
        <f>'Huong dan giao do an'!$B$33</f>
        <v>Tuần 1: 07.09–13.09.2026; Tuần 2: 14.09–20.09.2026; Tuần 3: 21.09–27.09.2026; Tuần 4: 28.09–04.10.2026; Tuần 5: 05.10–11.10.2026; Tuần 6: 12.10–18.10.2026; Tuần 7: 19.10–25.10.2026; Tuần 8: 26.10–01.11.2026.</v>
      </c>
      <c r="N6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4" s="17" t="str">
        <f t="shared" si="9"/>
        <v>Còn trống</v>
      </c>
    </row>
    <row r="635" spans="1:16" x14ac:dyDescent="0.3">
      <c r="A635">
        <v>634</v>
      </c>
      <c r="B635" t="s">
        <v>1400</v>
      </c>
      <c r="C635" t="s">
        <v>1494</v>
      </c>
      <c r="D635" t="s">
        <v>1495</v>
      </c>
      <c r="E635" t="s">
        <v>45</v>
      </c>
      <c r="F635" t="s">
        <v>1417</v>
      </c>
      <c r="G635" t="s">
        <v>1449</v>
      </c>
      <c r="H635" t="str">
        <f>'Huong dan giao do an'!$B$14</f>
        <v>5 SV (vai trò chính): 1 PM/Scrum Master kiêm Integration; 2 BA/PO; 3 UI-UX + Frontend; 4 Backend/API + DevOps; 5 Database + QA/Tester. Mỗi SV có nhiệm vụ phụ và minh chứng cá nhân.</v>
      </c>
      <c r="I635" t="s">
        <v>29</v>
      </c>
      <c r="J635" t="s">
        <v>1409</v>
      </c>
      <c r="K635" t="str">
        <f>IF(I635="Trung bình",'Huong dan giao do an'!$B$8,IF(I635="Khá",'Huong dan giao do an'!$B$9,'Huong dan giao do an'!$B$10))</f>
        <v>Tối thiểu 5 actor; 14-18 use case; 10-15 bảng; 4 quy trình; tích hợp ngoài/realtime hoặc xử lý nâng cao; 3 báo cáo; &gt;=45 test case; logging, backup và deploy.</v>
      </c>
      <c r="L635" t="str">
        <f>'Huong dan giao do an'!$B$31</f>
        <v>Bắt buộc: Charter/PMP; SRS + scope/WBS; Gantt/baseline; effort-cost budget; RACI/timesheet; quality-test-defect; communication/minutes; risk register; procurement; change log; closure/lessons learned.</v>
      </c>
      <c r="M635" t="str">
        <f>'Huong dan giao do an'!$B$33</f>
        <v>Tuần 1: 07.09–13.09.2026; Tuần 2: 14.09–20.09.2026; Tuần 3: 21.09–27.09.2026; Tuần 4: 28.09–04.10.2026; Tuần 5: 05.10–11.10.2026; Tuần 6: 12.10–18.10.2026; Tuần 7: 19.10–25.10.2026; Tuần 8: 26.10–01.11.2026.</v>
      </c>
      <c r="N6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5" s="17" t="str">
        <f t="shared" si="9"/>
        <v>Còn trống</v>
      </c>
    </row>
    <row r="636" spans="1:16" x14ac:dyDescent="0.3">
      <c r="A636">
        <v>635</v>
      </c>
      <c r="B636" t="s">
        <v>1400</v>
      </c>
      <c r="C636" t="s">
        <v>1496</v>
      </c>
      <c r="D636" t="s">
        <v>1497</v>
      </c>
      <c r="E636" t="s">
        <v>19</v>
      </c>
      <c r="F636" t="s">
        <v>1421</v>
      </c>
      <c r="G636" t="s">
        <v>1452</v>
      </c>
      <c r="H636" t="str">
        <f>'Huong dan giao do an'!$B$14</f>
        <v>5 SV (vai trò chính): 1 PM/Scrum Master kiêm Integration; 2 BA/PO; 3 UI-UX + Frontend; 4 Backend/API + DevOps; 5 Database + QA/Tester. Mỗi SV có nhiệm vụ phụ và minh chứng cá nhân.</v>
      </c>
      <c r="I636" t="s">
        <v>36</v>
      </c>
      <c r="J636" t="s">
        <v>1414</v>
      </c>
      <c r="K636" t="str">
        <f>IF(I636="Trung bình",'Huong dan giao do an'!$B$8,IF(I636="Khá",'Huong dan giao do an'!$B$9,'Huong dan giao do an'!$B$10))</f>
        <v>Tối thiểu 3 actor; 8-10 use case; 6-8 bảng dữ liệu; 2 quy trình lõi; đăng nhập/RBAC; 1 dashboard; 1 báo cáo; &gt;=25 test case; triển khai bản demo.</v>
      </c>
      <c r="L636" t="str">
        <f>'Huong dan giao do an'!$B$31</f>
        <v>Bắt buộc: Charter/PMP; SRS + scope/WBS; Gantt/baseline; effort-cost budget; RACI/timesheet; quality-test-defect; communication/minutes; risk register; procurement; change log; closure/lessons learned.</v>
      </c>
      <c r="M636" t="str">
        <f>'Huong dan giao do an'!$B$33</f>
        <v>Tuần 1: 07.09–13.09.2026; Tuần 2: 14.09–20.09.2026; Tuần 3: 21.09–27.09.2026; Tuần 4: 28.09–04.10.2026; Tuần 5: 05.10–11.10.2026; Tuần 6: 12.10–18.10.2026; Tuần 7: 19.10–25.10.2026; Tuần 8: 26.10–01.11.2026.</v>
      </c>
      <c r="N6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6" s="17" t="str">
        <f t="shared" si="9"/>
        <v>Còn trống</v>
      </c>
    </row>
    <row r="637" spans="1:16" x14ac:dyDescent="0.3">
      <c r="A637">
        <v>636</v>
      </c>
      <c r="B637" t="s">
        <v>1400</v>
      </c>
      <c r="C637" t="s">
        <v>1498</v>
      </c>
      <c r="D637" t="s">
        <v>1499</v>
      </c>
      <c r="E637" t="s">
        <v>26</v>
      </c>
      <c r="F637" t="s">
        <v>1403</v>
      </c>
      <c r="G637" t="s">
        <v>1455</v>
      </c>
      <c r="H637" t="str">
        <f>'Huong dan giao do an'!$B$14</f>
        <v>5 SV (vai trò chính): 1 PM/Scrum Master kiêm Integration; 2 BA/PO; 3 UI-UX + Frontend; 4 Backend/API + DevOps; 5 Database + QA/Tester. Mỗi SV có nhiệm vụ phụ và minh chứng cá nhân.</v>
      </c>
      <c r="I637" t="s">
        <v>22</v>
      </c>
      <c r="J637" t="s">
        <v>30</v>
      </c>
      <c r="K637" t="str">
        <f>IF(I637="Trung bình",'Huong dan giao do an'!$B$8,IF(I637="Khá",'Huong dan giao do an'!$B$9,'Huong dan giao do an'!$B$10))</f>
        <v>Tối thiểu 4 actor; 10-14 use case; 8-12 bảng; 3 quy trình lõi; phân quyền chi tiết; 2 báo cáo; tích hợp 1 dịch vụ; &gt;=35 test case; CI/CD hoặc deploy cloud.</v>
      </c>
      <c r="L637" t="str">
        <f>'Huong dan giao do an'!$B$31</f>
        <v>Bắt buộc: Charter/PMP; SRS + scope/WBS; Gantt/baseline; effort-cost budget; RACI/timesheet; quality-test-defect; communication/minutes; risk register; procurement; change log; closure/lessons learned.</v>
      </c>
      <c r="M637" t="str">
        <f>'Huong dan giao do an'!$B$33</f>
        <v>Tuần 1: 07.09–13.09.2026; Tuần 2: 14.09–20.09.2026; Tuần 3: 21.09–27.09.2026; Tuần 4: 28.09–04.10.2026; Tuần 5: 05.10–11.10.2026; Tuần 6: 12.10–18.10.2026; Tuần 7: 19.10–25.10.2026; Tuần 8: 26.10–01.11.2026.</v>
      </c>
      <c r="N6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7" s="17" t="str">
        <f t="shared" si="9"/>
        <v>Còn trống</v>
      </c>
    </row>
    <row r="638" spans="1:16" x14ac:dyDescent="0.3">
      <c r="A638">
        <v>637</v>
      </c>
      <c r="B638" t="s">
        <v>1400</v>
      </c>
      <c r="C638" t="s">
        <v>1500</v>
      </c>
      <c r="D638" t="s">
        <v>1501</v>
      </c>
      <c r="E638" t="s">
        <v>33</v>
      </c>
      <c r="F638" t="s">
        <v>1407</v>
      </c>
      <c r="G638" t="s">
        <v>1458</v>
      </c>
      <c r="H638" t="str">
        <f>'Huong dan giao do an'!$B$14</f>
        <v>5 SV (vai trò chính): 1 PM/Scrum Master kiêm Integration; 2 BA/PO; 3 UI-UX + Frontend; 4 Backend/API + DevOps; 5 Database + QA/Tester. Mỗi SV có nhiệm vụ phụ và minh chứng cá nhân.</v>
      </c>
      <c r="I638" t="s">
        <v>29</v>
      </c>
      <c r="J638" t="s">
        <v>1409</v>
      </c>
      <c r="K638" t="str">
        <f>IF(I638="Trung bình",'Huong dan giao do an'!$B$8,IF(I638="Khá",'Huong dan giao do an'!$B$9,'Huong dan giao do an'!$B$10))</f>
        <v>Tối thiểu 5 actor; 14-18 use case; 10-15 bảng; 4 quy trình; tích hợp ngoài/realtime hoặc xử lý nâng cao; 3 báo cáo; &gt;=45 test case; logging, backup và deploy.</v>
      </c>
      <c r="L638" t="str">
        <f>'Huong dan giao do an'!$B$31</f>
        <v>Bắt buộc: Charter/PMP; SRS + scope/WBS; Gantt/baseline; effort-cost budget; RACI/timesheet; quality-test-defect; communication/minutes; risk register; procurement; change log; closure/lessons learned.</v>
      </c>
      <c r="M638" t="str">
        <f>'Huong dan giao do an'!$B$33</f>
        <v>Tuần 1: 07.09–13.09.2026; Tuần 2: 14.09–20.09.2026; Tuần 3: 21.09–27.09.2026; Tuần 4: 28.09–04.10.2026; Tuần 5: 05.10–11.10.2026; Tuần 6: 12.10–18.10.2026; Tuần 7: 19.10–25.10.2026; Tuần 8: 26.10–01.11.2026.</v>
      </c>
      <c r="N6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8" s="17" t="str">
        <f t="shared" si="9"/>
        <v>Còn trống</v>
      </c>
    </row>
    <row r="639" spans="1:16" x14ac:dyDescent="0.3">
      <c r="A639">
        <v>638</v>
      </c>
      <c r="B639" t="s">
        <v>1400</v>
      </c>
      <c r="C639" t="s">
        <v>1502</v>
      </c>
      <c r="D639" t="s">
        <v>1503</v>
      </c>
      <c r="E639" t="s">
        <v>40</v>
      </c>
      <c r="F639" t="s">
        <v>1412</v>
      </c>
      <c r="G639" t="s">
        <v>1461</v>
      </c>
      <c r="H639" t="str">
        <f>'Huong dan giao do an'!$B$14</f>
        <v>5 SV (vai trò chính): 1 PM/Scrum Master kiêm Integration; 2 BA/PO; 3 UI-UX + Frontend; 4 Backend/API + DevOps; 5 Database + QA/Tester. Mỗi SV có nhiệm vụ phụ và minh chứng cá nhân.</v>
      </c>
      <c r="I639" t="s">
        <v>36</v>
      </c>
      <c r="J639" t="s">
        <v>1414</v>
      </c>
      <c r="K639" t="str">
        <f>IF(I639="Trung bình",'Huong dan giao do an'!$B$8,IF(I639="Khá",'Huong dan giao do an'!$B$9,'Huong dan giao do an'!$B$10))</f>
        <v>Tối thiểu 3 actor; 8-10 use case; 6-8 bảng dữ liệu; 2 quy trình lõi; đăng nhập/RBAC; 1 dashboard; 1 báo cáo; &gt;=25 test case; triển khai bản demo.</v>
      </c>
      <c r="L639" t="str">
        <f>'Huong dan giao do an'!$B$31</f>
        <v>Bắt buộc: Charter/PMP; SRS + scope/WBS; Gantt/baseline; effort-cost budget; RACI/timesheet; quality-test-defect; communication/minutes; risk register; procurement; change log; closure/lessons learned.</v>
      </c>
      <c r="M639" t="str">
        <f>'Huong dan giao do an'!$B$33</f>
        <v>Tuần 1: 07.09–13.09.2026; Tuần 2: 14.09–20.09.2026; Tuần 3: 21.09–27.09.2026; Tuần 4: 28.09–04.10.2026; Tuần 5: 05.10–11.10.2026; Tuần 6: 12.10–18.10.2026; Tuần 7: 19.10–25.10.2026; Tuần 8: 26.10–01.11.2026.</v>
      </c>
      <c r="N6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39" s="17" t="str">
        <f t="shared" si="9"/>
        <v>Còn trống</v>
      </c>
    </row>
    <row r="640" spans="1:16" x14ac:dyDescent="0.3">
      <c r="A640">
        <v>639</v>
      </c>
      <c r="B640" t="s">
        <v>1400</v>
      </c>
      <c r="C640" t="s">
        <v>1504</v>
      </c>
      <c r="D640" t="s">
        <v>1505</v>
      </c>
      <c r="E640" t="s">
        <v>45</v>
      </c>
      <c r="F640" t="s">
        <v>1417</v>
      </c>
      <c r="G640" t="s">
        <v>1464</v>
      </c>
      <c r="H640" t="str">
        <f>'Huong dan giao do an'!$B$14</f>
        <v>5 SV (vai trò chính): 1 PM/Scrum Master kiêm Integration; 2 BA/PO; 3 UI-UX + Frontend; 4 Backend/API + DevOps; 5 Database + QA/Tester. Mỗi SV có nhiệm vụ phụ và minh chứng cá nhân.</v>
      </c>
      <c r="I640" t="s">
        <v>22</v>
      </c>
      <c r="J640" t="s">
        <v>30</v>
      </c>
      <c r="K640" t="str">
        <f>IF(I640="Trung bình",'Huong dan giao do an'!$B$8,IF(I640="Khá",'Huong dan giao do an'!$B$9,'Huong dan giao do an'!$B$10))</f>
        <v>Tối thiểu 4 actor; 10-14 use case; 8-12 bảng; 3 quy trình lõi; phân quyền chi tiết; 2 báo cáo; tích hợp 1 dịch vụ; &gt;=35 test case; CI/CD hoặc deploy cloud.</v>
      </c>
      <c r="L640" t="str">
        <f>'Huong dan giao do an'!$B$31</f>
        <v>Bắt buộc: Charter/PMP; SRS + scope/WBS; Gantt/baseline; effort-cost budget; RACI/timesheet; quality-test-defect; communication/minutes; risk register; procurement; change log; closure/lessons learned.</v>
      </c>
      <c r="M640" t="str">
        <f>'Huong dan giao do an'!$B$33</f>
        <v>Tuần 1: 07.09–13.09.2026; Tuần 2: 14.09–20.09.2026; Tuần 3: 21.09–27.09.2026; Tuần 4: 28.09–04.10.2026; Tuần 5: 05.10–11.10.2026; Tuần 6: 12.10–18.10.2026; Tuần 7: 19.10–25.10.2026; Tuần 8: 26.10–01.11.2026.</v>
      </c>
      <c r="N6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0" s="17" t="str">
        <f t="shared" si="9"/>
        <v>Còn trống</v>
      </c>
    </row>
    <row r="641" spans="1:16" x14ac:dyDescent="0.3">
      <c r="A641">
        <v>640</v>
      </c>
      <c r="B641" t="s">
        <v>1400</v>
      </c>
      <c r="C641" t="s">
        <v>1506</v>
      </c>
      <c r="D641" t="s">
        <v>1507</v>
      </c>
      <c r="E641" t="s">
        <v>19</v>
      </c>
      <c r="F641" t="s">
        <v>1421</v>
      </c>
      <c r="G641" t="s">
        <v>1467</v>
      </c>
      <c r="H641" t="str">
        <f>'Huong dan giao do an'!$B$14</f>
        <v>5 SV (vai trò chính): 1 PM/Scrum Master kiêm Integration; 2 BA/PO; 3 UI-UX + Frontend; 4 Backend/API + DevOps; 5 Database + QA/Tester. Mỗi SV có nhiệm vụ phụ và minh chứng cá nhân.</v>
      </c>
      <c r="I641" t="s">
        <v>29</v>
      </c>
      <c r="J641" t="s">
        <v>1409</v>
      </c>
      <c r="K641" t="str">
        <f>IF(I641="Trung bình",'Huong dan giao do an'!$B$8,IF(I641="Khá",'Huong dan giao do an'!$B$9,'Huong dan giao do an'!$B$10))</f>
        <v>Tối thiểu 5 actor; 14-18 use case; 10-15 bảng; 4 quy trình; tích hợp ngoài/realtime hoặc xử lý nâng cao; 3 báo cáo; &gt;=45 test case; logging, backup và deploy.</v>
      </c>
      <c r="L641" t="str">
        <f>'Huong dan giao do an'!$B$31</f>
        <v>Bắt buộc: Charter/PMP; SRS + scope/WBS; Gantt/baseline; effort-cost budget; RACI/timesheet; quality-test-defect; communication/minutes; risk register; procurement; change log; closure/lessons learned.</v>
      </c>
      <c r="M641" t="str">
        <f>'Huong dan giao do an'!$B$33</f>
        <v>Tuần 1: 07.09–13.09.2026; Tuần 2: 14.09–20.09.2026; Tuần 3: 21.09–27.09.2026; Tuần 4: 28.09–04.10.2026; Tuần 5: 05.10–11.10.2026; Tuần 6: 12.10–18.10.2026; Tuần 7: 19.10–25.10.2026; Tuần 8: 26.10–01.11.2026.</v>
      </c>
      <c r="N6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1" s="17" t="str">
        <f t="shared" si="9"/>
        <v>Còn trống</v>
      </c>
    </row>
    <row r="642" spans="1:16" x14ac:dyDescent="0.3">
      <c r="A642">
        <v>641</v>
      </c>
      <c r="B642" t="s">
        <v>1400</v>
      </c>
      <c r="C642" t="s">
        <v>1508</v>
      </c>
      <c r="D642" t="s">
        <v>1509</v>
      </c>
      <c r="E642" t="s">
        <v>26</v>
      </c>
      <c r="F642" t="s">
        <v>1403</v>
      </c>
      <c r="G642" t="s">
        <v>1404</v>
      </c>
      <c r="H642" t="str">
        <f>'Huong dan giao do an'!$B$14</f>
        <v>5 SV (vai trò chính): 1 PM/Scrum Master kiêm Integration; 2 BA/PO; 3 UI-UX + Frontend; 4 Backend/API + DevOps; 5 Database + QA/Tester. Mỗi SV có nhiệm vụ phụ và minh chứng cá nhân.</v>
      </c>
      <c r="I642" t="s">
        <v>22</v>
      </c>
      <c r="J642" t="s">
        <v>30</v>
      </c>
      <c r="K642" t="str">
        <f>IF(I642="Trung bình",'Huong dan giao do an'!$B$8,IF(I642="Khá",'Huong dan giao do an'!$B$9,'Huong dan giao do an'!$B$10))</f>
        <v>Tối thiểu 4 actor; 10-14 use case; 8-12 bảng; 3 quy trình lõi; phân quyền chi tiết; 2 báo cáo; tích hợp 1 dịch vụ; &gt;=35 test case; CI/CD hoặc deploy cloud.</v>
      </c>
      <c r="L642" t="str">
        <f>'Huong dan giao do an'!$B$31</f>
        <v>Bắt buộc: Charter/PMP; SRS + scope/WBS; Gantt/baseline; effort-cost budget; RACI/timesheet; quality-test-defect; communication/minutes; risk register; procurement; change log; closure/lessons learned.</v>
      </c>
      <c r="M642" t="str">
        <f>'Huong dan giao do an'!$B$33</f>
        <v>Tuần 1: 07.09–13.09.2026; Tuần 2: 14.09–20.09.2026; Tuần 3: 21.09–27.09.2026; Tuần 4: 28.09–04.10.2026; Tuần 5: 05.10–11.10.2026; Tuần 6: 12.10–18.10.2026; Tuần 7: 19.10–25.10.2026; Tuần 8: 26.10–01.11.2026.</v>
      </c>
      <c r="N6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2" s="17" t="str">
        <f t="shared" si="9"/>
        <v>Còn trống</v>
      </c>
    </row>
    <row r="643" spans="1:16" x14ac:dyDescent="0.3">
      <c r="A643">
        <v>642</v>
      </c>
      <c r="B643" t="s">
        <v>1400</v>
      </c>
      <c r="C643" t="s">
        <v>1510</v>
      </c>
      <c r="D643" t="s">
        <v>1511</v>
      </c>
      <c r="E643" t="s">
        <v>33</v>
      </c>
      <c r="F643" t="s">
        <v>1407</v>
      </c>
      <c r="G643" t="s">
        <v>1408</v>
      </c>
      <c r="H643" t="str">
        <f>'Huong dan giao do an'!$B$14</f>
        <v>5 SV (vai trò chính): 1 PM/Scrum Master kiêm Integration; 2 BA/PO; 3 UI-UX + Frontend; 4 Backend/API + DevOps; 5 Database + QA/Tester. Mỗi SV có nhiệm vụ phụ và minh chứng cá nhân.</v>
      </c>
      <c r="I643" t="s">
        <v>29</v>
      </c>
      <c r="J643" t="s">
        <v>1409</v>
      </c>
      <c r="K643" t="str">
        <f>IF(I643="Trung bình",'Huong dan giao do an'!$B$8,IF(I643="Khá",'Huong dan giao do an'!$B$9,'Huong dan giao do an'!$B$10))</f>
        <v>Tối thiểu 5 actor; 14-18 use case; 10-15 bảng; 4 quy trình; tích hợp ngoài/realtime hoặc xử lý nâng cao; 3 báo cáo; &gt;=45 test case; logging, backup và deploy.</v>
      </c>
      <c r="L643" t="str">
        <f>'Huong dan giao do an'!$B$31</f>
        <v>Bắt buộc: Charter/PMP; SRS + scope/WBS; Gantt/baseline; effort-cost budget; RACI/timesheet; quality-test-defect; communication/minutes; risk register; procurement; change log; closure/lessons learned.</v>
      </c>
      <c r="M643" t="str">
        <f>'Huong dan giao do an'!$B$33</f>
        <v>Tuần 1: 07.09–13.09.2026; Tuần 2: 14.09–20.09.2026; Tuần 3: 21.09–27.09.2026; Tuần 4: 28.09–04.10.2026; Tuần 5: 05.10–11.10.2026; Tuần 6: 12.10–18.10.2026; Tuần 7: 19.10–25.10.2026; Tuần 8: 26.10–01.11.2026.</v>
      </c>
      <c r="N6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3" s="17" t="str">
        <f t="shared" ref="P643:P706" si="10">IF(O643="","Còn trống","Đã đăng ký")</f>
        <v>Còn trống</v>
      </c>
    </row>
    <row r="644" spans="1:16" x14ac:dyDescent="0.3">
      <c r="A644">
        <v>643</v>
      </c>
      <c r="B644" t="s">
        <v>1400</v>
      </c>
      <c r="C644" t="s">
        <v>1512</v>
      </c>
      <c r="D644" t="s">
        <v>1513</v>
      </c>
      <c r="E644" t="s">
        <v>40</v>
      </c>
      <c r="F644" t="s">
        <v>1412</v>
      </c>
      <c r="G644" t="s">
        <v>1413</v>
      </c>
      <c r="H644" t="str">
        <f>'Huong dan giao do an'!$B$14</f>
        <v>5 SV (vai trò chính): 1 PM/Scrum Master kiêm Integration; 2 BA/PO; 3 UI-UX + Frontend; 4 Backend/API + DevOps; 5 Database + QA/Tester. Mỗi SV có nhiệm vụ phụ và minh chứng cá nhân.</v>
      </c>
      <c r="I644" t="s">
        <v>36</v>
      </c>
      <c r="J644" t="s">
        <v>1414</v>
      </c>
      <c r="K644" t="str">
        <f>IF(I644="Trung bình",'Huong dan giao do an'!$B$8,IF(I644="Khá",'Huong dan giao do an'!$B$9,'Huong dan giao do an'!$B$10))</f>
        <v>Tối thiểu 3 actor; 8-10 use case; 6-8 bảng dữ liệu; 2 quy trình lõi; đăng nhập/RBAC; 1 dashboard; 1 báo cáo; &gt;=25 test case; triển khai bản demo.</v>
      </c>
      <c r="L644" t="str">
        <f>'Huong dan giao do an'!$B$31</f>
        <v>Bắt buộc: Charter/PMP; SRS + scope/WBS; Gantt/baseline; effort-cost budget; RACI/timesheet; quality-test-defect; communication/minutes; risk register; procurement; change log; closure/lessons learned.</v>
      </c>
      <c r="M644" t="str">
        <f>'Huong dan giao do an'!$B$33</f>
        <v>Tuần 1: 07.09–13.09.2026; Tuần 2: 14.09–20.09.2026; Tuần 3: 21.09–27.09.2026; Tuần 4: 28.09–04.10.2026; Tuần 5: 05.10–11.10.2026; Tuần 6: 12.10–18.10.2026; Tuần 7: 19.10–25.10.2026; Tuần 8: 26.10–01.11.2026.</v>
      </c>
      <c r="N6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4" s="17" t="str">
        <f t="shared" si="10"/>
        <v>Còn trống</v>
      </c>
    </row>
    <row r="645" spans="1:16" x14ac:dyDescent="0.3">
      <c r="A645">
        <v>644</v>
      </c>
      <c r="B645" t="s">
        <v>1400</v>
      </c>
      <c r="C645" t="s">
        <v>1514</v>
      </c>
      <c r="D645" t="s">
        <v>1515</v>
      </c>
      <c r="E645" t="s">
        <v>45</v>
      </c>
      <c r="F645" t="s">
        <v>1417</v>
      </c>
      <c r="G645" t="s">
        <v>1418</v>
      </c>
      <c r="H645" t="str">
        <f>'Huong dan giao do an'!$B$14</f>
        <v>5 SV (vai trò chính): 1 PM/Scrum Master kiêm Integration; 2 BA/PO; 3 UI-UX + Frontend; 4 Backend/API + DevOps; 5 Database + QA/Tester. Mỗi SV có nhiệm vụ phụ và minh chứng cá nhân.</v>
      </c>
      <c r="I645" t="s">
        <v>22</v>
      </c>
      <c r="J645" t="s">
        <v>30</v>
      </c>
      <c r="K645" t="str">
        <f>IF(I645="Trung bình",'Huong dan giao do an'!$B$8,IF(I645="Khá",'Huong dan giao do an'!$B$9,'Huong dan giao do an'!$B$10))</f>
        <v>Tối thiểu 4 actor; 10-14 use case; 8-12 bảng; 3 quy trình lõi; phân quyền chi tiết; 2 báo cáo; tích hợp 1 dịch vụ; &gt;=35 test case; CI/CD hoặc deploy cloud.</v>
      </c>
      <c r="L645" t="str">
        <f>'Huong dan giao do an'!$B$31</f>
        <v>Bắt buộc: Charter/PMP; SRS + scope/WBS; Gantt/baseline; effort-cost budget; RACI/timesheet; quality-test-defect; communication/minutes; risk register; procurement; change log; closure/lessons learned.</v>
      </c>
      <c r="M645" t="str">
        <f>'Huong dan giao do an'!$B$33</f>
        <v>Tuần 1: 07.09–13.09.2026; Tuần 2: 14.09–20.09.2026; Tuần 3: 21.09–27.09.2026; Tuần 4: 28.09–04.10.2026; Tuần 5: 05.10–11.10.2026; Tuần 6: 12.10–18.10.2026; Tuần 7: 19.10–25.10.2026; Tuần 8: 26.10–01.11.2026.</v>
      </c>
      <c r="N6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5" s="17" t="str">
        <f t="shared" si="10"/>
        <v>Còn trống</v>
      </c>
    </row>
    <row r="646" spans="1:16" x14ac:dyDescent="0.3">
      <c r="A646">
        <v>645</v>
      </c>
      <c r="B646" t="s">
        <v>1400</v>
      </c>
      <c r="C646" t="s">
        <v>1516</v>
      </c>
      <c r="D646" t="s">
        <v>1517</v>
      </c>
      <c r="E646" t="s">
        <v>19</v>
      </c>
      <c r="F646" t="s">
        <v>1421</v>
      </c>
      <c r="G646" t="s">
        <v>1422</v>
      </c>
      <c r="H646" t="str">
        <f>'Huong dan giao do an'!$B$14</f>
        <v>5 SV (vai trò chính): 1 PM/Scrum Master kiêm Integration; 2 BA/PO; 3 UI-UX + Frontend; 4 Backend/API + DevOps; 5 Database + QA/Tester. Mỗi SV có nhiệm vụ phụ và minh chứng cá nhân.</v>
      </c>
      <c r="I646" t="s">
        <v>29</v>
      </c>
      <c r="J646" t="s">
        <v>1409</v>
      </c>
      <c r="K646" t="str">
        <f>IF(I646="Trung bình",'Huong dan giao do an'!$B$8,IF(I646="Khá",'Huong dan giao do an'!$B$9,'Huong dan giao do an'!$B$10))</f>
        <v>Tối thiểu 5 actor; 14-18 use case; 10-15 bảng; 4 quy trình; tích hợp ngoài/realtime hoặc xử lý nâng cao; 3 báo cáo; &gt;=45 test case; logging, backup và deploy.</v>
      </c>
      <c r="L646" t="str">
        <f>'Huong dan giao do an'!$B$31</f>
        <v>Bắt buộc: Charter/PMP; SRS + scope/WBS; Gantt/baseline; effort-cost budget; RACI/timesheet; quality-test-defect; communication/minutes; risk register; procurement; change log; closure/lessons learned.</v>
      </c>
      <c r="M646" t="str">
        <f>'Huong dan giao do an'!$B$33</f>
        <v>Tuần 1: 07.09–13.09.2026; Tuần 2: 14.09–20.09.2026; Tuần 3: 21.09–27.09.2026; Tuần 4: 28.09–04.10.2026; Tuần 5: 05.10–11.10.2026; Tuần 6: 12.10–18.10.2026; Tuần 7: 19.10–25.10.2026; Tuần 8: 26.10–01.11.2026.</v>
      </c>
      <c r="N6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6" s="17" t="str">
        <f t="shared" si="10"/>
        <v>Còn trống</v>
      </c>
    </row>
    <row r="647" spans="1:16" x14ac:dyDescent="0.3">
      <c r="A647">
        <v>646</v>
      </c>
      <c r="B647" t="s">
        <v>1400</v>
      </c>
      <c r="C647" t="s">
        <v>1518</v>
      </c>
      <c r="D647" t="s">
        <v>1519</v>
      </c>
      <c r="E647" t="s">
        <v>26</v>
      </c>
      <c r="F647" t="s">
        <v>1403</v>
      </c>
      <c r="G647" t="s">
        <v>1425</v>
      </c>
      <c r="H647" t="str">
        <f>'Huong dan giao do an'!$B$14</f>
        <v>5 SV (vai trò chính): 1 PM/Scrum Master kiêm Integration; 2 BA/PO; 3 UI-UX + Frontend; 4 Backend/API + DevOps; 5 Database + QA/Tester. Mỗi SV có nhiệm vụ phụ và minh chứng cá nhân.</v>
      </c>
      <c r="I647" t="s">
        <v>36</v>
      </c>
      <c r="J647" t="s">
        <v>1414</v>
      </c>
      <c r="K647" t="str">
        <f>IF(I647="Trung bình",'Huong dan giao do an'!$B$8,IF(I647="Khá",'Huong dan giao do an'!$B$9,'Huong dan giao do an'!$B$10))</f>
        <v>Tối thiểu 3 actor; 8-10 use case; 6-8 bảng dữ liệu; 2 quy trình lõi; đăng nhập/RBAC; 1 dashboard; 1 báo cáo; &gt;=25 test case; triển khai bản demo.</v>
      </c>
      <c r="L647" t="str">
        <f>'Huong dan giao do an'!$B$31</f>
        <v>Bắt buộc: Charter/PMP; SRS + scope/WBS; Gantt/baseline; effort-cost budget; RACI/timesheet; quality-test-defect; communication/minutes; risk register; procurement; change log; closure/lessons learned.</v>
      </c>
      <c r="M647" t="str">
        <f>'Huong dan giao do an'!$B$33</f>
        <v>Tuần 1: 07.09–13.09.2026; Tuần 2: 14.09–20.09.2026; Tuần 3: 21.09–27.09.2026; Tuần 4: 28.09–04.10.2026; Tuần 5: 05.10–11.10.2026; Tuần 6: 12.10–18.10.2026; Tuần 7: 19.10–25.10.2026; Tuần 8: 26.10–01.11.2026.</v>
      </c>
      <c r="N6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7" s="17" t="str">
        <f t="shared" si="10"/>
        <v>Còn trống</v>
      </c>
    </row>
    <row r="648" spans="1:16" x14ac:dyDescent="0.3">
      <c r="A648">
        <v>647</v>
      </c>
      <c r="B648" t="s">
        <v>1400</v>
      </c>
      <c r="C648" t="s">
        <v>1520</v>
      </c>
      <c r="D648" t="s">
        <v>1521</v>
      </c>
      <c r="E648" t="s">
        <v>33</v>
      </c>
      <c r="F648" t="s">
        <v>1407</v>
      </c>
      <c r="G648" t="s">
        <v>1428</v>
      </c>
      <c r="H648" t="str">
        <f>'Huong dan giao do an'!$B$14</f>
        <v>5 SV (vai trò chính): 1 PM/Scrum Master kiêm Integration; 2 BA/PO; 3 UI-UX + Frontend; 4 Backend/API + DevOps; 5 Database + QA/Tester. Mỗi SV có nhiệm vụ phụ và minh chứng cá nhân.</v>
      </c>
      <c r="I648" t="s">
        <v>22</v>
      </c>
      <c r="J648" t="s">
        <v>30</v>
      </c>
      <c r="K648" t="str">
        <f>IF(I648="Trung bình",'Huong dan giao do an'!$B$8,IF(I648="Khá",'Huong dan giao do an'!$B$9,'Huong dan giao do an'!$B$10))</f>
        <v>Tối thiểu 4 actor; 10-14 use case; 8-12 bảng; 3 quy trình lõi; phân quyền chi tiết; 2 báo cáo; tích hợp 1 dịch vụ; &gt;=35 test case; CI/CD hoặc deploy cloud.</v>
      </c>
      <c r="L648" t="str">
        <f>'Huong dan giao do an'!$B$31</f>
        <v>Bắt buộc: Charter/PMP; SRS + scope/WBS; Gantt/baseline; effort-cost budget; RACI/timesheet; quality-test-defect; communication/minutes; risk register; procurement; change log; closure/lessons learned.</v>
      </c>
      <c r="M648" t="str">
        <f>'Huong dan giao do an'!$B$33</f>
        <v>Tuần 1: 07.09–13.09.2026; Tuần 2: 14.09–20.09.2026; Tuần 3: 21.09–27.09.2026; Tuần 4: 28.09–04.10.2026; Tuần 5: 05.10–11.10.2026; Tuần 6: 12.10–18.10.2026; Tuần 7: 19.10–25.10.2026; Tuần 8: 26.10–01.11.2026.</v>
      </c>
      <c r="N6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8" s="17" t="str">
        <f t="shared" si="10"/>
        <v>Còn trống</v>
      </c>
    </row>
    <row r="649" spans="1:16" x14ac:dyDescent="0.3">
      <c r="A649">
        <v>648</v>
      </c>
      <c r="B649" t="s">
        <v>1400</v>
      </c>
      <c r="C649" t="s">
        <v>1522</v>
      </c>
      <c r="D649" t="s">
        <v>1523</v>
      </c>
      <c r="E649" t="s">
        <v>40</v>
      </c>
      <c r="F649" t="s">
        <v>1412</v>
      </c>
      <c r="G649" t="s">
        <v>1431</v>
      </c>
      <c r="H649" t="str">
        <f>'Huong dan giao do an'!$B$14</f>
        <v>5 SV (vai trò chính): 1 PM/Scrum Master kiêm Integration; 2 BA/PO; 3 UI-UX + Frontend; 4 Backend/API + DevOps; 5 Database + QA/Tester. Mỗi SV có nhiệm vụ phụ và minh chứng cá nhân.</v>
      </c>
      <c r="I649" t="s">
        <v>29</v>
      </c>
      <c r="J649" t="s">
        <v>1409</v>
      </c>
      <c r="K649" t="str">
        <f>IF(I649="Trung bình",'Huong dan giao do an'!$B$8,IF(I649="Khá",'Huong dan giao do an'!$B$9,'Huong dan giao do an'!$B$10))</f>
        <v>Tối thiểu 5 actor; 14-18 use case; 10-15 bảng; 4 quy trình; tích hợp ngoài/realtime hoặc xử lý nâng cao; 3 báo cáo; &gt;=45 test case; logging, backup và deploy.</v>
      </c>
      <c r="L649" t="str">
        <f>'Huong dan giao do an'!$B$31</f>
        <v>Bắt buộc: Charter/PMP; SRS + scope/WBS; Gantt/baseline; effort-cost budget; RACI/timesheet; quality-test-defect; communication/minutes; risk register; procurement; change log; closure/lessons learned.</v>
      </c>
      <c r="M649" t="str">
        <f>'Huong dan giao do an'!$B$33</f>
        <v>Tuần 1: 07.09–13.09.2026; Tuần 2: 14.09–20.09.2026; Tuần 3: 21.09–27.09.2026; Tuần 4: 28.09–04.10.2026; Tuần 5: 05.10–11.10.2026; Tuần 6: 12.10–18.10.2026; Tuần 7: 19.10–25.10.2026; Tuần 8: 26.10–01.11.2026.</v>
      </c>
      <c r="N6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49" s="17" t="str">
        <f t="shared" si="10"/>
        <v>Còn trống</v>
      </c>
    </row>
    <row r="650" spans="1:16" x14ac:dyDescent="0.3">
      <c r="A650">
        <v>649</v>
      </c>
      <c r="B650" t="s">
        <v>1400</v>
      </c>
      <c r="C650" t="s">
        <v>1524</v>
      </c>
      <c r="D650" t="s">
        <v>1525</v>
      </c>
      <c r="E650" t="s">
        <v>45</v>
      </c>
      <c r="F650" t="s">
        <v>1417</v>
      </c>
      <c r="G650" t="s">
        <v>1434</v>
      </c>
      <c r="H650" t="str">
        <f>'Huong dan giao do an'!$B$14</f>
        <v>5 SV (vai trò chính): 1 PM/Scrum Master kiêm Integration; 2 BA/PO; 3 UI-UX + Frontend; 4 Backend/API + DevOps; 5 Database + QA/Tester. Mỗi SV có nhiệm vụ phụ và minh chứng cá nhân.</v>
      </c>
      <c r="I650" t="s">
        <v>36</v>
      </c>
      <c r="J650" t="s">
        <v>1414</v>
      </c>
      <c r="K650" t="str">
        <f>IF(I650="Trung bình",'Huong dan giao do an'!$B$8,IF(I650="Khá",'Huong dan giao do an'!$B$9,'Huong dan giao do an'!$B$10))</f>
        <v>Tối thiểu 3 actor; 8-10 use case; 6-8 bảng dữ liệu; 2 quy trình lõi; đăng nhập/RBAC; 1 dashboard; 1 báo cáo; &gt;=25 test case; triển khai bản demo.</v>
      </c>
      <c r="L650" t="str">
        <f>'Huong dan giao do an'!$B$31</f>
        <v>Bắt buộc: Charter/PMP; SRS + scope/WBS; Gantt/baseline; effort-cost budget; RACI/timesheet; quality-test-defect; communication/minutes; risk register; procurement; change log; closure/lessons learned.</v>
      </c>
      <c r="M650" t="str">
        <f>'Huong dan giao do an'!$B$33</f>
        <v>Tuần 1: 07.09–13.09.2026; Tuần 2: 14.09–20.09.2026; Tuần 3: 21.09–27.09.2026; Tuần 4: 28.09–04.10.2026; Tuần 5: 05.10–11.10.2026; Tuần 6: 12.10–18.10.2026; Tuần 7: 19.10–25.10.2026; Tuần 8: 26.10–01.11.2026.</v>
      </c>
      <c r="N6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0" s="17" t="str">
        <f t="shared" si="10"/>
        <v>Còn trống</v>
      </c>
    </row>
    <row r="651" spans="1:16" x14ac:dyDescent="0.3">
      <c r="A651">
        <v>650</v>
      </c>
      <c r="B651" t="s">
        <v>1400</v>
      </c>
      <c r="C651" t="s">
        <v>1526</v>
      </c>
      <c r="D651" t="s">
        <v>1527</v>
      </c>
      <c r="E651" t="s">
        <v>19</v>
      </c>
      <c r="F651" t="s">
        <v>1421</v>
      </c>
      <c r="G651" t="s">
        <v>1437</v>
      </c>
      <c r="H651" t="str">
        <f>'Huong dan giao do an'!$B$14</f>
        <v>5 SV (vai trò chính): 1 PM/Scrum Master kiêm Integration; 2 BA/PO; 3 UI-UX + Frontend; 4 Backend/API + DevOps; 5 Database + QA/Tester. Mỗi SV có nhiệm vụ phụ và minh chứng cá nhân.</v>
      </c>
      <c r="I651" t="s">
        <v>22</v>
      </c>
      <c r="J651" t="s">
        <v>30</v>
      </c>
      <c r="K651" t="str">
        <f>IF(I651="Trung bình",'Huong dan giao do an'!$B$8,IF(I651="Khá",'Huong dan giao do an'!$B$9,'Huong dan giao do an'!$B$10))</f>
        <v>Tối thiểu 4 actor; 10-14 use case; 8-12 bảng; 3 quy trình lõi; phân quyền chi tiết; 2 báo cáo; tích hợp 1 dịch vụ; &gt;=35 test case; CI/CD hoặc deploy cloud.</v>
      </c>
      <c r="L651" t="str">
        <f>'Huong dan giao do an'!$B$31</f>
        <v>Bắt buộc: Charter/PMP; SRS + scope/WBS; Gantt/baseline; effort-cost budget; RACI/timesheet; quality-test-defect; communication/minutes; risk register; procurement; change log; closure/lessons learned.</v>
      </c>
      <c r="M651" t="str">
        <f>'Huong dan giao do an'!$B$33</f>
        <v>Tuần 1: 07.09–13.09.2026; Tuần 2: 14.09–20.09.2026; Tuần 3: 21.09–27.09.2026; Tuần 4: 28.09–04.10.2026; Tuần 5: 05.10–11.10.2026; Tuần 6: 12.10–18.10.2026; Tuần 7: 19.10–25.10.2026; Tuần 8: 26.10–01.11.2026.</v>
      </c>
      <c r="N6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1" s="17" t="str">
        <f t="shared" si="10"/>
        <v>Còn trống</v>
      </c>
    </row>
    <row r="652" spans="1:16" x14ac:dyDescent="0.3">
      <c r="A652">
        <v>651</v>
      </c>
      <c r="B652" t="s">
        <v>1400</v>
      </c>
      <c r="C652" t="s">
        <v>1528</v>
      </c>
      <c r="D652" t="s">
        <v>1529</v>
      </c>
      <c r="E652" t="s">
        <v>26</v>
      </c>
      <c r="F652" t="s">
        <v>1403</v>
      </c>
      <c r="G652" t="s">
        <v>1440</v>
      </c>
      <c r="H652" t="str">
        <f>'Huong dan giao do an'!$B$14</f>
        <v>5 SV (vai trò chính): 1 PM/Scrum Master kiêm Integration; 2 BA/PO; 3 UI-UX + Frontend; 4 Backend/API + DevOps; 5 Database + QA/Tester. Mỗi SV có nhiệm vụ phụ và minh chứng cá nhân.</v>
      </c>
      <c r="I652" t="s">
        <v>29</v>
      </c>
      <c r="J652" t="s">
        <v>1409</v>
      </c>
      <c r="K652" t="str">
        <f>IF(I652="Trung bình",'Huong dan giao do an'!$B$8,IF(I652="Khá",'Huong dan giao do an'!$B$9,'Huong dan giao do an'!$B$10))</f>
        <v>Tối thiểu 5 actor; 14-18 use case; 10-15 bảng; 4 quy trình; tích hợp ngoài/realtime hoặc xử lý nâng cao; 3 báo cáo; &gt;=45 test case; logging, backup và deploy.</v>
      </c>
      <c r="L652" t="str">
        <f>'Huong dan giao do an'!$B$31</f>
        <v>Bắt buộc: Charter/PMP; SRS + scope/WBS; Gantt/baseline; effort-cost budget; RACI/timesheet; quality-test-defect; communication/minutes; risk register; procurement; change log; closure/lessons learned.</v>
      </c>
      <c r="M652" t="str">
        <f>'Huong dan giao do an'!$B$33</f>
        <v>Tuần 1: 07.09–13.09.2026; Tuần 2: 14.09–20.09.2026; Tuần 3: 21.09–27.09.2026; Tuần 4: 28.09–04.10.2026; Tuần 5: 05.10–11.10.2026; Tuần 6: 12.10–18.10.2026; Tuần 7: 19.10–25.10.2026; Tuần 8: 26.10–01.11.2026.</v>
      </c>
      <c r="N6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2" s="17" t="str">
        <f t="shared" si="10"/>
        <v>Còn trống</v>
      </c>
    </row>
    <row r="653" spans="1:16" x14ac:dyDescent="0.3">
      <c r="A653">
        <v>652</v>
      </c>
      <c r="B653" t="s">
        <v>1400</v>
      </c>
      <c r="C653" t="s">
        <v>1530</v>
      </c>
      <c r="D653" t="s">
        <v>1531</v>
      </c>
      <c r="E653" t="s">
        <v>33</v>
      </c>
      <c r="F653" t="s">
        <v>1407</v>
      </c>
      <c r="G653" t="s">
        <v>1443</v>
      </c>
      <c r="H653" t="str">
        <f>'Huong dan giao do an'!$B$14</f>
        <v>5 SV (vai trò chính): 1 PM/Scrum Master kiêm Integration; 2 BA/PO; 3 UI-UX + Frontend; 4 Backend/API + DevOps; 5 Database + QA/Tester. Mỗi SV có nhiệm vụ phụ và minh chứng cá nhân.</v>
      </c>
      <c r="I653" t="s">
        <v>36</v>
      </c>
      <c r="J653" t="s">
        <v>1414</v>
      </c>
      <c r="K653" t="str">
        <f>IF(I653="Trung bình",'Huong dan giao do an'!$B$8,IF(I653="Khá",'Huong dan giao do an'!$B$9,'Huong dan giao do an'!$B$10))</f>
        <v>Tối thiểu 3 actor; 8-10 use case; 6-8 bảng dữ liệu; 2 quy trình lõi; đăng nhập/RBAC; 1 dashboard; 1 báo cáo; &gt;=25 test case; triển khai bản demo.</v>
      </c>
      <c r="L653" t="str">
        <f>'Huong dan giao do an'!$B$31</f>
        <v>Bắt buộc: Charter/PMP; SRS + scope/WBS; Gantt/baseline; effort-cost budget; RACI/timesheet; quality-test-defect; communication/minutes; risk register; procurement; change log; closure/lessons learned.</v>
      </c>
      <c r="M653" t="str">
        <f>'Huong dan giao do an'!$B$33</f>
        <v>Tuần 1: 07.09–13.09.2026; Tuần 2: 14.09–20.09.2026; Tuần 3: 21.09–27.09.2026; Tuần 4: 28.09–04.10.2026; Tuần 5: 05.10–11.10.2026; Tuần 6: 12.10–18.10.2026; Tuần 7: 19.10–25.10.2026; Tuần 8: 26.10–01.11.2026.</v>
      </c>
      <c r="N6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3" s="17" t="str">
        <f t="shared" si="10"/>
        <v>Còn trống</v>
      </c>
    </row>
    <row r="654" spans="1:16" x14ac:dyDescent="0.3">
      <c r="A654">
        <v>653</v>
      </c>
      <c r="B654" t="s">
        <v>1400</v>
      </c>
      <c r="C654" t="s">
        <v>1532</v>
      </c>
      <c r="D654" t="s">
        <v>1533</v>
      </c>
      <c r="E654" t="s">
        <v>40</v>
      </c>
      <c r="F654" t="s">
        <v>1412</v>
      </c>
      <c r="G654" t="s">
        <v>1446</v>
      </c>
      <c r="H654" t="str">
        <f>'Huong dan giao do an'!$B$14</f>
        <v>5 SV (vai trò chính): 1 PM/Scrum Master kiêm Integration; 2 BA/PO; 3 UI-UX + Frontend; 4 Backend/API + DevOps; 5 Database + QA/Tester. Mỗi SV có nhiệm vụ phụ và minh chứng cá nhân.</v>
      </c>
      <c r="I654" t="s">
        <v>22</v>
      </c>
      <c r="J654" t="s">
        <v>30</v>
      </c>
      <c r="K654" t="str">
        <f>IF(I654="Trung bình",'Huong dan giao do an'!$B$8,IF(I654="Khá",'Huong dan giao do an'!$B$9,'Huong dan giao do an'!$B$10))</f>
        <v>Tối thiểu 4 actor; 10-14 use case; 8-12 bảng; 3 quy trình lõi; phân quyền chi tiết; 2 báo cáo; tích hợp 1 dịch vụ; &gt;=35 test case; CI/CD hoặc deploy cloud.</v>
      </c>
      <c r="L654" t="str">
        <f>'Huong dan giao do an'!$B$31</f>
        <v>Bắt buộc: Charter/PMP; SRS + scope/WBS; Gantt/baseline; effort-cost budget; RACI/timesheet; quality-test-defect; communication/minutes; risk register; procurement; change log; closure/lessons learned.</v>
      </c>
      <c r="M654" t="str">
        <f>'Huong dan giao do an'!$B$33</f>
        <v>Tuần 1: 07.09–13.09.2026; Tuần 2: 14.09–20.09.2026; Tuần 3: 21.09–27.09.2026; Tuần 4: 28.09–04.10.2026; Tuần 5: 05.10–11.10.2026; Tuần 6: 12.10–18.10.2026; Tuần 7: 19.10–25.10.2026; Tuần 8: 26.10–01.11.2026.</v>
      </c>
      <c r="N6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4" s="17" t="str">
        <f t="shared" si="10"/>
        <v>Còn trống</v>
      </c>
    </row>
    <row r="655" spans="1:16" x14ac:dyDescent="0.3">
      <c r="A655">
        <v>654</v>
      </c>
      <c r="B655" t="s">
        <v>1400</v>
      </c>
      <c r="C655" t="s">
        <v>1534</v>
      </c>
      <c r="D655" t="s">
        <v>1535</v>
      </c>
      <c r="E655" t="s">
        <v>45</v>
      </c>
      <c r="F655" t="s">
        <v>1417</v>
      </c>
      <c r="G655" t="s">
        <v>1449</v>
      </c>
      <c r="H655" t="str">
        <f>'Huong dan giao do an'!$B$14</f>
        <v>5 SV (vai trò chính): 1 PM/Scrum Master kiêm Integration; 2 BA/PO; 3 UI-UX + Frontend; 4 Backend/API + DevOps; 5 Database + QA/Tester. Mỗi SV có nhiệm vụ phụ và minh chứng cá nhân.</v>
      </c>
      <c r="I655" t="s">
        <v>29</v>
      </c>
      <c r="J655" t="s">
        <v>1409</v>
      </c>
      <c r="K655" t="str">
        <f>IF(I655="Trung bình",'Huong dan giao do an'!$B$8,IF(I655="Khá",'Huong dan giao do an'!$B$9,'Huong dan giao do an'!$B$10))</f>
        <v>Tối thiểu 5 actor; 14-18 use case; 10-15 bảng; 4 quy trình; tích hợp ngoài/realtime hoặc xử lý nâng cao; 3 báo cáo; &gt;=45 test case; logging, backup và deploy.</v>
      </c>
      <c r="L655" t="str">
        <f>'Huong dan giao do an'!$B$31</f>
        <v>Bắt buộc: Charter/PMP; SRS + scope/WBS; Gantt/baseline; effort-cost budget; RACI/timesheet; quality-test-defect; communication/minutes; risk register; procurement; change log; closure/lessons learned.</v>
      </c>
      <c r="M655" t="str">
        <f>'Huong dan giao do an'!$B$33</f>
        <v>Tuần 1: 07.09–13.09.2026; Tuần 2: 14.09–20.09.2026; Tuần 3: 21.09–27.09.2026; Tuần 4: 28.09–04.10.2026; Tuần 5: 05.10–11.10.2026; Tuần 6: 12.10–18.10.2026; Tuần 7: 19.10–25.10.2026; Tuần 8: 26.10–01.11.2026.</v>
      </c>
      <c r="N6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5" s="17" t="str">
        <f t="shared" si="10"/>
        <v>Còn trống</v>
      </c>
    </row>
    <row r="656" spans="1:16" x14ac:dyDescent="0.3">
      <c r="A656">
        <v>655</v>
      </c>
      <c r="B656" t="s">
        <v>1400</v>
      </c>
      <c r="C656" t="s">
        <v>1536</v>
      </c>
      <c r="D656" t="s">
        <v>1537</v>
      </c>
      <c r="E656" t="s">
        <v>19</v>
      </c>
      <c r="F656" t="s">
        <v>1421</v>
      </c>
      <c r="G656" t="s">
        <v>1452</v>
      </c>
      <c r="H656" t="str">
        <f>'Huong dan giao do an'!$B$14</f>
        <v>5 SV (vai trò chính): 1 PM/Scrum Master kiêm Integration; 2 BA/PO; 3 UI-UX + Frontend; 4 Backend/API + DevOps; 5 Database + QA/Tester. Mỗi SV có nhiệm vụ phụ và minh chứng cá nhân.</v>
      </c>
      <c r="I656" t="s">
        <v>36</v>
      </c>
      <c r="J656" t="s">
        <v>1414</v>
      </c>
      <c r="K656" t="str">
        <f>IF(I656="Trung bình",'Huong dan giao do an'!$B$8,IF(I656="Khá",'Huong dan giao do an'!$B$9,'Huong dan giao do an'!$B$10))</f>
        <v>Tối thiểu 3 actor; 8-10 use case; 6-8 bảng dữ liệu; 2 quy trình lõi; đăng nhập/RBAC; 1 dashboard; 1 báo cáo; &gt;=25 test case; triển khai bản demo.</v>
      </c>
      <c r="L656" t="str">
        <f>'Huong dan giao do an'!$B$31</f>
        <v>Bắt buộc: Charter/PMP; SRS + scope/WBS; Gantt/baseline; effort-cost budget; RACI/timesheet; quality-test-defect; communication/minutes; risk register; procurement; change log; closure/lessons learned.</v>
      </c>
      <c r="M656" t="str">
        <f>'Huong dan giao do an'!$B$33</f>
        <v>Tuần 1: 07.09–13.09.2026; Tuần 2: 14.09–20.09.2026; Tuần 3: 21.09–27.09.2026; Tuần 4: 28.09–04.10.2026; Tuần 5: 05.10–11.10.2026; Tuần 6: 12.10–18.10.2026; Tuần 7: 19.10–25.10.2026; Tuần 8: 26.10–01.11.2026.</v>
      </c>
      <c r="N6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6" s="17" t="str">
        <f t="shared" si="10"/>
        <v>Còn trống</v>
      </c>
    </row>
    <row r="657" spans="1:16" x14ac:dyDescent="0.3">
      <c r="A657">
        <v>656</v>
      </c>
      <c r="B657" t="s">
        <v>1400</v>
      </c>
      <c r="C657" t="s">
        <v>1538</v>
      </c>
      <c r="D657" t="s">
        <v>1539</v>
      </c>
      <c r="E657" t="s">
        <v>26</v>
      </c>
      <c r="F657" t="s">
        <v>1403</v>
      </c>
      <c r="G657" t="s">
        <v>1455</v>
      </c>
      <c r="H657" t="str">
        <f>'Huong dan giao do an'!$B$14</f>
        <v>5 SV (vai trò chính): 1 PM/Scrum Master kiêm Integration; 2 BA/PO; 3 UI-UX + Frontend; 4 Backend/API + DevOps; 5 Database + QA/Tester. Mỗi SV có nhiệm vụ phụ và minh chứng cá nhân.</v>
      </c>
      <c r="I657" t="s">
        <v>22</v>
      </c>
      <c r="J657" t="s">
        <v>30</v>
      </c>
      <c r="K657" t="str">
        <f>IF(I657="Trung bình",'Huong dan giao do an'!$B$8,IF(I657="Khá",'Huong dan giao do an'!$B$9,'Huong dan giao do an'!$B$10))</f>
        <v>Tối thiểu 4 actor; 10-14 use case; 8-12 bảng; 3 quy trình lõi; phân quyền chi tiết; 2 báo cáo; tích hợp 1 dịch vụ; &gt;=35 test case; CI/CD hoặc deploy cloud.</v>
      </c>
      <c r="L657" t="str">
        <f>'Huong dan giao do an'!$B$31</f>
        <v>Bắt buộc: Charter/PMP; SRS + scope/WBS; Gantt/baseline; effort-cost budget; RACI/timesheet; quality-test-defect; communication/minutes; risk register; procurement; change log; closure/lessons learned.</v>
      </c>
      <c r="M657" t="str">
        <f>'Huong dan giao do an'!$B$33</f>
        <v>Tuần 1: 07.09–13.09.2026; Tuần 2: 14.09–20.09.2026; Tuần 3: 21.09–27.09.2026; Tuần 4: 28.09–04.10.2026; Tuần 5: 05.10–11.10.2026; Tuần 6: 12.10–18.10.2026; Tuần 7: 19.10–25.10.2026; Tuần 8: 26.10–01.11.2026.</v>
      </c>
      <c r="N6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7" s="17" t="str">
        <f t="shared" si="10"/>
        <v>Còn trống</v>
      </c>
    </row>
    <row r="658" spans="1:16" x14ac:dyDescent="0.3">
      <c r="A658">
        <v>657</v>
      </c>
      <c r="B658" t="s">
        <v>1400</v>
      </c>
      <c r="C658" t="s">
        <v>1540</v>
      </c>
      <c r="D658" t="s">
        <v>1541</v>
      </c>
      <c r="E658" t="s">
        <v>33</v>
      </c>
      <c r="F658" t="s">
        <v>1407</v>
      </c>
      <c r="G658" t="s">
        <v>1458</v>
      </c>
      <c r="H658" t="str">
        <f>'Huong dan giao do an'!$B$14</f>
        <v>5 SV (vai trò chính): 1 PM/Scrum Master kiêm Integration; 2 BA/PO; 3 UI-UX + Frontend; 4 Backend/API + DevOps; 5 Database + QA/Tester. Mỗi SV có nhiệm vụ phụ và minh chứng cá nhân.</v>
      </c>
      <c r="I658" t="s">
        <v>29</v>
      </c>
      <c r="J658" t="s">
        <v>1409</v>
      </c>
      <c r="K658" t="str">
        <f>IF(I658="Trung bình",'Huong dan giao do an'!$B$8,IF(I658="Khá",'Huong dan giao do an'!$B$9,'Huong dan giao do an'!$B$10))</f>
        <v>Tối thiểu 5 actor; 14-18 use case; 10-15 bảng; 4 quy trình; tích hợp ngoài/realtime hoặc xử lý nâng cao; 3 báo cáo; &gt;=45 test case; logging, backup và deploy.</v>
      </c>
      <c r="L658" t="str">
        <f>'Huong dan giao do an'!$B$31</f>
        <v>Bắt buộc: Charter/PMP; SRS + scope/WBS; Gantt/baseline; effort-cost budget; RACI/timesheet; quality-test-defect; communication/minutes; risk register; procurement; change log; closure/lessons learned.</v>
      </c>
      <c r="M658" t="str">
        <f>'Huong dan giao do an'!$B$33</f>
        <v>Tuần 1: 07.09–13.09.2026; Tuần 2: 14.09–20.09.2026; Tuần 3: 21.09–27.09.2026; Tuần 4: 28.09–04.10.2026; Tuần 5: 05.10–11.10.2026; Tuần 6: 12.10–18.10.2026; Tuần 7: 19.10–25.10.2026; Tuần 8: 26.10–01.11.2026.</v>
      </c>
      <c r="N6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8" s="17" t="str">
        <f t="shared" si="10"/>
        <v>Còn trống</v>
      </c>
    </row>
    <row r="659" spans="1:16" x14ac:dyDescent="0.3">
      <c r="A659">
        <v>658</v>
      </c>
      <c r="B659" t="s">
        <v>1400</v>
      </c>
      <c r="C659" t="s">
        <v>1542</v>
      </c>
      <c r="D659" t="s">
        <v>1543</v>
      </c>
      <c r="E659" t="s">
        <v>40</v>
      </c>
      <c r="F659" t="s">
        <v>1412</v>
      </c>
      <c r="G659" t="s">
        <v>1461</v>
      </c>
      <c r="H659" t="str">
        <f>'Huong dan giao do an'!$B$14</f>
        <v>5 SV (vai trò chính): 1 PM/Scrum Master kiêm Integration; 2 BA/PO; 3 UI-UX + Frontend; 4 Backend/API + DevOps; 5 Database + QA/Tester. Mỗi SV có nhiệm vụ phụ và minh chứng cá nhân.</v>
      </c>
      <c r="I659" t="s">
        <v>36</v>
      </c>
      <c r="J659" t="s">
        <v>1414</v>
      </c>
      <c r="K659" t="str">
        <f>IF(I659="Trung bình",'Huong dan giao do an'!$B$8,IF(I659="Khá",'Huong dan giao do an'!$B$9,'Huong dan giao do an'!$B$10))</f>
        <v>Tối thiểu 3 actor; 8-10 use case; 6-8 bảng dữ liệu; 2 quy trình lõi; đăng nhập/RBAC; 1 dashboard; 1 báo cáo; &gt;=25 test case; triển khai bản demo.</v>
      </c>
      <c r="L659" t="str">
        <f>'Huong dan giao do an'!$B$31</f>
        <v>Bắt buộc: Charter/PMP; SRS + scope/WBS; Gantt/baseline; effort-cost budget; RACI/timesheet; quality-test-defect; communication/minutes; risk register; procurement; change log; closure/lessons learned.</v>
      </c>
      <c r="M659" t="str">
        <f>'Huong dan giao do an'!$B$33</f>
        <v>Tuần 1: 07.09–13.09.2026; Tuần 2: 14.09–20.09.2026; Tuần 3: 21.09–27.09.2026; Tuần 4: 28.09–04.10.2026; Tuần 5: 05.10–11.10.2026; Tuần 6: 12.10–18.10.2026; Tuần 7: 19.10–25.10.2026; Tuần 8: 26.10–01.11.2026.</v>
      </c>
      <c r="N6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59" s="17" t="str">
        <f t="shared" si="10"/>
        <v>Còn trống</v>
      </c>
    </row>
    <row r="660" spans="1:16" x14ac:dyDescent="0.3">
      <c r="A660">
        <v>659</v>
      </c>
      <c r="B660" t="s">
        <v>1400</v>
      </c>
      <c r="C660" t="s">
        <v>1544</v>
      </c>
      <c r="D660" t="s">
        <v>1545</v>
      </c>
      <c r="E660" t="s">
        <v>45</v>
      </c>
      <c r="F660" t="s">
        <v>1417</v>
      </c>
      <c r="G660" t="s">
        <v>1464</v>
      </c>
      <c r="H660" t="str">
        <f>'Huong dan giao do an'!$B$14</f>
        <v>5 SV (vai trò chính): 1 PM/Scrum Master kiêm Integration; 2 BA/PO; 3 UI-UX + Frontend; 4 Backend/API + DevOps; 5 Database + QA/Tester. Mỗi SV có nhiệm vụ phụ và minh chứng cá nhân.</v>
      </c>
      <c r="I660" t="s">
        <v>22</v>
      </c>
      <c r="J660" t="s">
        <v>30</v>
      </c>
      <c r="K660" t="str">
        <f>IF(I660="Trung bình",'Huong dan giao do an'!$B$8,IF(I660="Khá",'Huong dan giao do an'!$B$9,'Huong dan giao do an'!$B$10))</f>
        <v>Tối thiểu 4 actor; 10-14 use case; 8-12 bảng; 3 quy trình lõi; phân quyền chi tiết; 2 báo cáo; tích hợp 1 dịch vụ; &gt;=35 test case; CI/CD hoặc deploy cloud.</v>
      </c>
      <c r="L660" t="str">
        <f>'Huong dan giao do an'!$B$31</f>
        <v>Bắt buộc: Charter/PMP; SRS + scope/WBS; Gantt/baseline; effort-cost budget; RACI/timesheet; quality-test-defect; communication/minutes; risk register; procurement; change log; closure/lessons learned.</v>
      </c>
      <c r="M660" t="str">
        <f>'Huong dan giao do an'!$B$33</f>
        <v>Tuần 1: 07.09–13.09.2026; Tuần 2: 14.09–20.09.2026; Tuần 3: 21.09–27.09.2026; Tuần 4: 28.09–04.10.2026; Tuần 5: 05.10–11.10.2026; Tuần 6: 12.10–18.10.2026; Tuần 7: 19.10–25.10.2026; Tuần 8: 26.10–01.11.2026.</v>
      </c>
      <c r="N6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0" s="17" t="str">
        <f t="shared" si="10"/>
        <v>Còn trống</v>
      </c>
    </row>
    <row r="661" spans="1:16" x14ac:dyDescent="0.3">
      <c r="A661">
        <v>660</v>
      </c>
      <c r="B661" t="s">
        <v>1400</v>
      </c>
      <c r="C661" t="s">
        <v>1546</v>
      </c>
      <c r="D661" t="s">
        <v>1547</v>
      </c>
      <c r="E661" t="s">
        <v>19</v>
      </c>
      <c r="F661" t="s">
        <v>1421</v>
      </c>
      <c r="G661" t="s">
        <v>1467</v>
      </c>
      <c r="H661" t="str">
        <f>'Huong dan giao do an'!$B$14</f>
        <v>5 SV (vai trò chính): 1 PM/Scrum Master kiêm Integration; 2 BA/PO; 3 UI-UX + Frontend; 4 Backend/API + DevOps; 5 Database + QA/Tester. Mỗi SV có nhiệm vụ phụ và minh chứng cá nhân.</v>
      </c>
      <c r="I661" t="s">
        <v>29</v>
      </c>
      <c r="J661" t="s">
        <v>1409</v>
      </c>
      <c r="K661" t="str">
        <f>IF(I661="Trung bình",'Huong dan giao do an'!$B$8,IF(I661="Khá",'Huong dan giao do an'!$B$9,'Huong dan giao do an'!$B$10))</f>
        <v>Tối thiểu 5 actor; 14-18 use case; 10-15 bảng; 4 quy trình; tích hợp ngoài/realtime hoặc xử lý nâng cao; 3 báo cáo; &gt;=45 test case; logging, backup và deploy.</v>
      </c>
      <c r="L661" t="str">
        <f>'Huong dan giao do an'!$B$31</f>
        <v>Bắt buộc: Charter/PMP; SRS + scope/WBS; Gantt/baseline; effort-cost budget; RACI/timesheet; quality-test-defect; communication/minutes; risk register; procurement; change log; closure/lessons learned.</v>
      </c>
      <c r="M661" t="str">
        <f>'Huong dan giao do an'!$B$33</f>
        <v>Tuần 1: 07.09–13.09.2026; Tuần 2: 14.09–20.09.2026; Tuần 3: 21.09–27.09.2026; Tuần 4: 28.09–04.10.2026; Tuần 5: 05.10–11.10.2026; Tuần 6: 12.10–18.10.2026; Tuần 7: 19.10–25.10.2026; Tuần 8: 26.10–01.11.2026.</v>
      </c>
      <c r="N6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1" s="17" t="str">
        <f t="shared" si="10"/>
        <v>Còn trống</v>
      </c>
    </row>
    <row r="662" spans="1:16" x14ac:dyDescent="0.3">
      <c r="A662">
        <v>661</v>
      </c>
      <c r="B662" t="s">
        <v>1400</v>
      </c>
      <c r="C662" t="s">
        <v>1548</v>
      </c>
      <c r="D662" t="s">
        <v>1549</v>
      </c>
      <c r="E662" t="s">
        <v>26</v>
      </c>
      <c r="F662" t="s">
        <v>1403</v>
      </c>
      <c r="G662" t="s">
        <v>1404</v>
      </c>
      <c r="H662" t="str">
        <f>'Huong dan giao do an'!$B$14</f>
        <v>5 SV (vai trò chính): 1 PM/Scrum Master kiêm Integration; 2 BA/PO; 3 UI-UX + Frontend; 4 Backend/API + DevOps; 5 Database + QA/Tester. Mỗi SV có nhiệm vụ phụ và minh chứng cá nhân.</v>
      </c>
      <c r="I662" t="s">
        <v>22</v>
      </c>
      <c r="J662" t="s">
        <v>30</v>
      </c>
      <c r="K662" t="str">
        <f>IF(I662="Trung bình",'Huong dan giao do an'!$B$8,IF(I662="Khá",'Huong dan giao do an'!$B$9,'Huong dan giao do an'!$B$10))</f>
        <v>Tối thiểu 4 actor; 10-14 use case; 8-12 bảng; 3 quy trình lõi; phân quyền chi tiết; 2 báo cáo; tích hợp 1 dịch vụ; &gt;=35 test case; CI/CD hoặc deploy cloud.</v>
      </c>
      <c r="L662" t="str">
        <f>'Huong dan giao do an'!$B$31</f>
        <v>Bắt buộc: Charter/PMP; SRS + scope/WBS; Gantt/baseline; effort-cost budget; RACI/timesheet; quality-test-defect; communication/minutes; risk register; procurement; change log; closure/lessons learned.</v>
      </c>
      <c r="M662" t="str">
        <f>'Huong dan giao do an'!$B$33</f>
        <v>Tuần 1: 07.09–13.09.2026; Tuần 2: 14.09–20.09.2026; Tuần 3: 21.09–27.09.2026; Tuần 4: 28.09–04.10.2026; Tuần 5: 05.10–11.10.2026; Tuần 6: 12.10–18.10.2026; Tuần 7: 19.10–25.10.2026; Tuần 8: 26.10–01.11.2026.</v>
      </c>
      <c r="N6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2" s="17" t="str">
        <f t="shared" si="10"/>
        <v>Còn trống</v>
      </c>
    </row>
    <row r="663" spans="1:16" x14ac:dyDescent="0.3">
      <c r="A663">
        <v>662</v>
      </c>
      <c r="B663" t="s">
        <v>1400</v>
      </c>
      <c r="C663" t="s">
        <v>1550</v>
      </c>
      <c r="D663" t="s">
        <v>1551</v>
      </c>
      <c r="E663" t="s">
        <v>33</v>
      </c>
      <c r="F663" t="s">
        <v>1407</v>
      </c>
      <c r="G663" t="s">
        <v>1408</v>
      </c>
      <c r="H663" t="str">
        <f>'Huong dan giao do an'!$B$14</f>
        <v>5 SV (vai trò chính): 1 PM/Scrum Master kiêm Integration; 2 BA/PO; 3 UI-UX + Frontend; 4 Backend/API + DevOps; 5 Database + QA/Tester. Mỗi SV có nhiệm vụ phụ và minh chứng cá nhân.</v>
      </c>
      <c r="I663" t="s">
        <v>29</v>
      </c>
      <c r="J663" t="s">
        <v>1409</v>
      </c>
      <c r="K663" t="str">
        <f>IF(I663="Trung bình",'Huong dan giao do an'!$B$8,IF(I663="Khá",'Huong dan giao do an'!$B$9,'Huong dan giao do an'!$B$10))</f>
        <v>Tối thiểu 5 actor; 14-18 use case; 10-15 bảng; 4 quy trình; tích hợp ngoài/realtime hoặc xử lý nâng cao; 3 báo cáo; &gt;=45 test case; logging, backup và deploy.</v>
      </c>
      <c r="L663" t="str">
        <f>'Huong dan giao do an'!$B$31</f>
        <v>Bắt buộc: Charter/PMP; SRS + scope/WBS; Gantt/baseline; effort-cost budget; RACI/timesheet; quality-test-defect; communication/minutes; risk register; procurement; change log; closure/lessons learned.</v>
      </c>
      <c r="M663" t="str">
        <f>'Huong dan giao do an'!$B$33</f>
        <v>Tuần 1: 07.09–13.09.2026; Tuần 2: 14.09–20.09.2026; Tuần 3: 21.09–27.09.2026; Tuần 4: 28.09–04.10.2026; Tuần 5: 05.10–11.10.2026; Tuần 6: 12.10–18.10.2026; Tuần 7: 19.10–25.10.2026; Tuần 8: 26.10–01.11.2026.</v>
      </c>
      <c r="N6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3" s="17" t="str">
        <f t="shared" si="10"/>
        <v>Còn trống</v>
      </c>
    </row>
    <row r="664" spans="1:16" x14ac:dyDescent="0.3">
      <c r="A664">
        <v>663</v>
      </c>
      <c r="B664" t="s">
        <v>1400</v>
      </c>
      <c r="C664" t="s">
        <v>1552</v>
      </c>
      <c r="D664" t="s">
        <v>1553</v>
      </c>
      <c r="E664" t="s">
        <v>40</v>
      </c>
      <c r="F664" t="s">
        <v>1412</v>
      </c>
      <c r="G664" t="s">
        <v>1413</v>
      </c>
      <c r="H664" t="str">
        <f>'Huong dan giao do an'!$B$14</f>
        <v>5 SV (vai trò chính): 1 PM/Scrum Master kiêm Integration; 2 BA/PO; 3 UI-UX + Frontend; 4 Backend/API + DevOps; 5 Database + QA/Tester. Mỗi SV có nhiệm vụ phụ và minh chứng cá nhân.</v>
      </c>
      <c r="I664" t="s">
        <v>36</v>
      </c>
      <c r="J664" t="s">
        <v>1414</v>
      </c>
      <c r="K664" t="str">
        <f>IF(I664="Trung bình",'Huong dan giao do an'!$B$8,IF(I664="Khá",'Huong dan giao do an'!$B$9,'Huong dan giao do an'!$B$10))</f>
        <v>Tối thiểu 3 actor; 8-10 use case; 6-8 bảng dữ liệu; 2 quy trình lõi; đăng nhập/RBAC; 1 dashboard; 1 báo cáo; &gt;=25 test case; triển khai bản demo.</v>
      </c>
      <c r="L664" t="str">
        <f>'Huong dan giao do an'!$B$31</f>
        <v>Bắt buộc: Charter/PMP; SRS + scope/WBS; Gantt/baseline; effort-cost budget; RACI/timesheet; quality-test-defect; communication/minutes; risk register; procurement; change log; closure/lessons learned.</v>
      </c>
      <c r="M664" t="str">
        <f>'Huong dan giao do an'!$B$33</f>
        <v>Tuần 1: 07.09–13.09.2026; Tuần 2: 14.09–20.09.2026; Tuần 3: 21.09–27.09.2026; Tuần 4: 28.09–04.10.2026; Tuần 5: 05.10–11.10.2026; Tuần 6: 12.10–18.10.2026; Tuần 7: 19.10–25.10.2026; Tuần 8: 26.10–01.11.2026.</v>
      </c>
      <c r="N6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4" s="17" t="str">
        <f t="shared" si="10"/>
        <v>Còn trống</v>
      </c>
    </row>
    <row r="665" spans="1:16" x14ac:dyDescent="0.3">
      <c r="A665">
        <v>664</v>
      </c>
      <c r="B665" t="s">
        <v>1400</v>
      </c>
      <c r="C665" t="s">
        <v>1554</v>
      </c>
      <c r="D665" t="s">
        <v>1555</v>
      </c>
      <c r="E665" t="s">
        <v>45</v>
      </c>
      <c r="F665" t="s">
        <v>1417</v>
      </c>
      <c r="G665" t="s">
        <v>1418</v>
      </c>
      <c r="H665" t="str">
        <f>'Huong dan giao do an'!$B$14</f>
        <v>5 SV (vai trò chính): 1 PM/Scrum Master kiêm Integration; 2 BA/PO; 3 UI-UX + Frontend; 4 Backend/API + DevOps; 5 Database + QA/Tester. Mỗi SV có nhiệm vụ phụ và minh chứng cá nhân.</v>
      </c>
      <c r="I665" t="s">
        <v>22</v>
      </c>
      <c r="J665" t="s">
        <v>30</v>
      </c>
      <c r="K665" t="str">
        <f>IF(I665="Trung bình",'Huong dan giao do an'!$B$8,IF(I665="Khá",'Huong dan giao do an'!$B$9,'Huong dan giao do an'!$B$10))</f>
        <v>Tối thiểu 4 actor; 10-14 use case; 8-12 bảng; 3 quy trình lõi; phân quyền chi tiết; 2 báo cáo; tích hợp 1 dịch vụ; &gt;=35 test case; CI/CD hoặc deploy cloud.</v>
      </c>
      <c r="L665" t="str">
        <f>'Huong dan giao do an'!$B$31</f>
        <v>Bắt buộc: Charter/PMP; SRS + scope/WBS; Gantt/baseline; effort-cost budget; RACI/timesheet; quality-test-defect; communication/minutes; risk register; procurement; change log; closure/lessons learned.</v>
      </c>
      <c r="M665" t="str">
        <f>'Huong dan giao do an'!$B$33</f>
        <v>Tuần 1: 07.09–13.09.2026; Tuần 2: 14.09–20.09.2026; Tuần 3: 21.09–27.09.2026; Tuần 4: 28.09–04.10.2026; Tuần 5: 05.10–11.10.2026; Tuần 6: 12.10–18.10.2026; Tuần 7: 19.10–25.10.2026; Tuần 8: 26.10–01.11.2026.</v>
      </c>
      <c r="N6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5" s="17" t="str">
        <f t="shared" si="10"/>
        <v>Còn trống</v>
      </c>
    </row>
    <row r="666" spans="1:16" x14ac:dyDescent="0.3">
      <c r="A666">
        <v>665</v>
      </c>
      <c r="B666" t="s">
        <v>1400</v>
      </c>
      <c r="C666" t="s">
        <v>1556</v>
      </c>
      <c r="D666" t="s">
        <v>1557</v>
      </c>
      <c r="E666" t="s">
        <v>19</v>
      </c>
      <c r="F666" t="s">
        <v>1421</v>
      </c>
      <c r="G666" t="s">
        <v>1422</v>
      </c>
      <c r="H666" t="str">
        <f>'Huong dan giao do an'!$B$14</f>
        <v>5 SV (vai trò chính): 1 PM/Scrum Master kiêm Integration; 2 BA/PO; 3 UI-UX + Frontend; 4 Backend/API + DevOps; 5 Database + QA/Tester. Mỗi SV có nhiệm vụ phụ và minh chứng cá nhân.</v>
      </c>
      <c r="I666" t="s">
        <v>29</v>
      </c>
      <c r="J666" t="s">
        <v>1409</v>
      </c>
      <c r="K666" t="str">
        <f>IF(I666="Trung bình",'Huong dan giao do an'!$B$8,IF(I666="Khá",'Huong dan giao do an'!$B$9,'Huong dan giao do an'!$B$10))</f>
        <v>Tối thiểu 5 actor; 14-18 use case; 10-15 bảng; 4 quy trình; tích hợp ngoài/realtime hoặc xử lý nâng cao; 3 báo cáo; &gt;=45 test case; logging, backup và deploy.</v>
      </c>
      <c r="L666" t="str">
        <f>'Huong dan giao do an'!$B$31</f>
        <v>Bắt buộc: Charter/PMP; SRS + scope/WBS; Gantt/baseline; effort-cost budget; RACI/timesheet; quality-test-defect; communication/minutes; risk register; procurement; change log; closure/lessons learned.</v>
      </c>
      <c r="M666" t="str">
        <f>'Huong dan giao do an'!$B$33</f>
        <v>Tuần 1: 07.09–13.09.2026; Tuần 2: 14.09–20.09.2026; Tuần 3: 21.09–27.09.2026; Tuần 4: 28.09–04.10.2026; Tuần 5: 05.10–11.10.2026; Tuần 6: 12.10–18.10.2026; Tuần 7: 19.10–25.10.2026; Tuần 8: 26.10–01.11.2026.</v>
      </c>
      <c r="N6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6" s="17" t="str">
        <f t="shared" si="10"/>
        <v>Còn trống</v>
      </c>
    </row>
    <row r="667" spans="1:16" x14ac:dyDescent="0.3">
      <c r="A667">
        <v>666</v>
      </c>
      <c r="B667" t="s">
        <v>1400</v>
      </c>
      <c r="C667" t="s">
        <v>1558</v>
      </c>
      <c r="D667" t="s">
        <v>1559</v>
      </c>
      <c r="E667" t="s">
        <v>26</v>
      </c>
      <c r="F667" t="s">
        <v>1403</v>
      </c>
      <c r="G667" t="s">
        <v>1425</v>
      </c>
      <c r="H667" t="str">
        <f>'Huong dan giao do an'!$B$14</f>
        <v>5 SV (vai trò chính): 1 PM/Scrum Master kiêm Integration; 2 BA/PO; 3 UI-UX + Frontend; 4 Backend/API + DevOps; 5 Database + QA/Tester. Mỗi SV có nhiệm vụ phụ và minh chứng cá nhân.</v>
      </c>
      <c r="I667" t="s">
        <v>36</v>
      </c>
      <c r="J667" t="s">
        <v>1414</v>
      </c>
      <c r="K667" t="str">
        <f>IF(I667="Trung bình",'Huong dan giao do an'!$B$8,IF(I667="Khá",'Huong dan giao do an'!$B$9,'Huong dan giao do an'!$B$10))</f>
        <v>Tối thiểu 3 actor; 8-10 use case; 6-8 bảng dữ liệu; 2 quy trình lõi; đăng nhập/RBAC; 1 dashboard; 1 báo cáo; &gt;=25 test case; triển khai bản demo.</v>
      </c>
      <c r="L667" t="str">
        <f>'Huong dan giao do an'!$B$31</f>
        <v>Bắt buộc: Charter/PMP; SRS + scope/WBS; Gantt/baseline; effort-cost budget; RACI/timesheet; quality-test-defect; communication/minutes; risk register; procurement; change log; closure/lessons learned.</v>
      </c>
      <c r="M667" t="str">
        <f>'Huong dan giao do an'!$B$33</f>
        <v>Tuần 1: 07.09–13.09.2026; Tuần 2: 14.09–20.09.2026; Tuần 3: 21.09–27.09.2026; Tuần 4: 28.09–04.10.2026; Tuần 5: 05.10–11.10.2026; Tuần 6: 12.10–18.10.2026; Tuần 7: 19.10–25.10.2026; Tuần 8: 26.10–01.11.2026.</v>
      </c>
      <c r="N6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7" s="17" t="str">
        <f t="shared" si="10"/>
        <v>Còn trống</v>
      </c>
    </row>
    <row r="668" spans="1:16" x14ac:dyDescent="0.3">
      <c r="A668">
        <v>667</v>
      </c>
      <c r="B668" t="s">
        <v>1400</v>
      </c>
      <c r="C668" t="s">
        <v>1560</v>
      </c>
      <c r="D668" t="s">
        <v>1561</v>
      </c>
      <c r="E668" t="s">
        <v>33</v>
      </c>
      <c r="F668" t="s">
        <v>1407</v>
      </c>
      <c r="G668" t="s">
        <v>1428</v>
      </c>
      <c r="H668" t="str">
        <f>'Huong dan giao do an'!$B$14</f>
        <v>5 SV (vai trò chính): 1 PM/Scrum Master kiêm Integration; 2 BA/PO; 3 UI-UX + Frontend; 4 Backend/API + DevOps; 5 Database + QA/Tester. Mỗi SV có nhiệm vụ phụ và minh chứng cá nhân.</v>
      </c>
      <c r="I668" t="s">
        <v>22</v>
      </c>
      <c r="J668" t="s">
        <v>30</v>
      </c>
      <c r="K668" t="str">
        <f>IF(I668="Trung bình",'Huong dan giao do an'!$B$8,IF(I668="Khá",'Huong dan giao do an'!$B$9,'Huong dan giao do an'!$B$10))</f>
        <v>Tối thiểu 4 actor; 10-14 use case; 8-12 bảng; 3 quy trình lõi; phân quyền chi tiết; 2 báo cáo; tích hợp 1 dịch vụ; &gt;=35 test case; CI/CD hoặc deploy cloud.</v>
      </c>
      <c r="L668" t="str">
        <f>'Huong dan giao do an'!$B$31</f>
        <v>Bắt buộc: Charter/PMP; SRS + scope/WBS; Gantt/baseline; effort-cost budget; RACI/timesheet; quality-test-defect; communication/minutes; risk register; procurement; change log; closure/lessons learned.</v>
      </c>
      <c r="M668" t="str">
        <f>'Huong dan giao do an'!$B$33</f>
        <v>Tuần 1: 07.09–13.09.2026; Tuần 2: 14.09–20.09.2026; Tuần 3: 21.09–27.09.2026; Tuần 4: 28.09–04.10.2026; Tuần 5: 05.10–11.10.2026; Tuần 6: 12.10–18.10.2026; Tuần 7: 19.10–25.10.2026; Tuần 8: 26.10–01.11.2026.</v>
      </c>
      <c r="N6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8" s="17" t="str">
        <f t="shared" si="10"/>
        <v>Còn trống</v>
      </c>
    </row>
    <row r="669" spans="1:16" x14ac:dyDescent="0.3">
      <c r="A669">
        <v>668</v>
      </c>
      <c r="B669" t="s">
        <v>1400</v>
      </c>
      <c r="C669" t="s">
        <v>1562</v>
      </c>
      <c r="D669" t="s">
        <v>1563</v>
      </c>
      <c r="E669" t="s">
        <v>40</v>
      </c>
      <c r="F669" t="s">
        <v>1412</v>
      </c>
      <c r="G669" t="s">
        <v>1431</v>
      </c>
      <c r="H669" t="str">
        <f>'Huong dan giao do an'!$B$14</f>
        <v>5 SV (vai trò chính): 1 PM/Scrum Master kiêm Integration; 2 BA/PO; 3 UI-UX + Frontend; 4 Backend/API + DevOps; 5 Database + QA/Tester. Mỗi SV có nhiệm vụ phụ và minh chứng cá nhân.</v>
      </c>
      <c r="I669" t="s">
        <v>29</v>
      </c>
      <c r="J669" t="s">
        <v>1409</v>
      </c>
      <c r="K669" t="str">
        <f>IF(I669="Trung bình",'Huong dan giao do an'!$B$8,IF(I669="Khá",'Huong dan giao do an'!$B$9,'Huong dan giao do an'!$B$10))</f>
        <v>Tối thiểu 5 actor; 14-18 use case; 10-15 bảng; 4 quy trình; tích hợp ngoài/realtime hoặc xử lý nâng cao; 3 báo cáo; &gt;=45 test case; logging, backup và deploy.</v>
      </c>
      <c r="L669" t="str">
        <f>'Huong dan giao do an'!$B$31</f>
        <v>Bắt buộc: Charter/PMP; SRS + scope/WBS; Gantt/baseline; effort-cost budget; RACI/timesheet; quality-test-defect; communication/minutes; risk register; procurement; change log; closure/lessons learned.</v>
      </c>
      <c r="M669" t="str">
        <f>'Huong dan giao do an'!$B$33</f>
        <v>Tuần 1: 07.09–13.09.2026; Tuần 2: 14.09–20.09.2026; Tuần 3: 21.09–27.09.2026; Tuần 4: 28.09–04.10.2026; Tuần 5: 05.10–11.10.2026; Tuần 6: 12.10–18.10.2026; Tuần 7: 19.10–25.10.2026; Tuần 8: 26.10–01.11.2026.</v>
      </c>
      <c r="N6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69" s="17" t="str">
        <f t="shared" si="10"/>
        <v>Còn trống</v>
      </c>
    </row>
    <row r="670" spans="1:16" x14ac:dyDescent="0.3">
      <c r="A670">
        <v>669</v>
      </c>
      <c r="B670" t="s">
        <v>1400</v>
      </c>
      <c r="C670" t="s">
        <v>1564</v>
      </c>
      <c r="D670" t="s">
        <v>1565</v>
      </c>
      <c r="E670" t="s">
        <v>45</v>
      </c>
      <c r="F670" t="s">
        <v>1417</v>
      </c>
      <c r="G670" t="s">
        <v>1434</v>
      </c>
      <c r="H670" t="str">
        <f>'Huong dan giao do an'!$B$14</f>
        <v>5 SV (vai trò chính): 1 PM/Scrum Master kiêm Integration; 2 BA/PO; 3 UI-UX + Frontend; 4 Backend/API + DevOps; 5 Database + QA/Tester. Mỗi SV có nhiệm vụ phụ và minh chứng cá nhân.</v>
      </c>
      <c r="I670" t="s">
        <v>36</v>
      </c>
      <c r="J670" t="s">
        <v>1414</v>
      </c>
      <c r="K670" t="str">
        <f>IF(I670="Trung bình",'Huong dan giao do an'!$B$8,IF(I670="Khá",'Huong dan giao do an'!$B$9,'Huong dan giao do an'!$B$10))</f>
        <v>Tối thiểu 3 actor; 8-10 use case; 6-8 bảng dữ liệu; 2 quy trình lõi; đăng nhập/RBAC; 1 dashboard; 1 báo cáo; &gt;=25 test case; triển khai bản demo.</v>
      </c>
      <c r="L670" t="str">
        <f>'Huong dan giao do an'!$B$31</f>
        <v>Bắt buộc: Charter/PMP; SRS + scope/WBS; Gantt/baseline; effort-cost budget; RACI/timesheet; quality-test-defect; communication/minutes; risk register; procurement; change log; closure/lessons learned.</v>
      </c>
      <c r="M670" t="str">
        <f>'Huong dan giao do an'!$B$33</f>
        <v>Tuần 1: 07.09–13.09.2026; Tuần 2: 14.09–20.09.2026; Tuần 3: 21.09–27.09.2026; Tuần 4: 28.09–04.10.2026; Tuần 5: 05.10–11.10.2026; Tuần 6: 12.10–18.10.2026; Tuần 7: 19.10–25.10.2026; Tuần 8: 26.10–01.11.2026.</v>
      </c>
      <c r="N6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0" s="17" t="str">
        <f t="shared" si="10"/>
        <v>Còn trống</v>
      </c>
    </row>
    <row r="671" spans="1:16" x14ac:dyDescent="0.3">
      <c r="A671">
        <v>670</v>
      </c>
      <c r="B671" t="s">
        <v>1400</v>
      </c>
      <c r="C671" t="s">
        <v>1566</v>
      </c>
      <c r="D671" t="s">
        <v>1567</v>
      </c>
      <c r="E671" t="s">
        <v>19</v>
      </c>
      <c r="F671" t="s">
        <v>1421</v>
      </c>
      <c r="G671" t="s">
        <v>1437</v>
      </c>
      <c r="H671" t="str">
        <f>'Huong dan giao do an'!$B$14</f>
        <v>5 SV (vai trò chính): 1 PM/Scrum Master kiêm Integration; 2 BA/PO; 3 UI-UX + Frontend; 4 Backend/API + DevOps; 5 Database + QA/Tester. Mỗi SV có nhiệm vụ phụ và minh chứng cá nhân.</v>
      </c>
      <c r="I671" t="s">
        <v>22</v>
      </c>
      <c r="J671" t="s">
        <v>30</v>
      </c>
      <c r="K671" t="str">
        <f>IF(I671="Trung bình",'Huong dan giao do an'!$B$8,IF(I671="Khá",'Huong dan giao do an'!$B$9,'Huong dan giao do an'!$B$10))</f>
        <v>Tối thiểu 4 actor; 10-14 use case; 8-12 bảng; 3 quy trình lõi; phân quyền chi tiết; 2 báo cáo; tích hợp 1 dịch vụ; &gt;=35 test case; CI/CD hoặc deploy cloud.</v>
      </c>
      <c r="L671" t="str">
        <f>'Huong dan giao do an'!$B$31</f>
        <v>Bắt buộc: Charter/PMP; SRS + scope/WBS; Gantt/baseline; effort-cost budget; RACI/timesheet; quality-test-defect; communication/minutes; risk register; procurement; change log; closure/lessons learned.</v>
      </c>
      <c r="M671" t="str">
        <f>'Huong dan giao do an'!$B$33</f>
        <v>Tuần 1: 07.09–13.09.2026; Tuần 2: 14.09–20.09.2026; Tuần 3: 21.09–27.09.2026; Tuần 4: 28.09–04.10.2026; Tuần 5: 05.10–11.10.2026; Tuần 6: 12.10–18.10.2026; Tuần 7: 19.10–25.10.2026; Tuần 8: 26.10–01.11.2026.</v>
      </c>
      <c r="N6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1" s="17" t="str">
        <f t="shared" si="10"/>
        <v>Còn trống</v>
      </c>
    </row>
    <row r="672" spans="1:16" x14ac:dyDescent="0.3">
      <c r="A672">
        <v>671</v>
      </c>
      <c r="B672" t="s">
        <v>1400</v>
      </c>
      <c r="C672" t="s">
        <v>1568</v>
      </c>
      <c r="D672" t="s">
        <v>1569</v>
      </c>
      <c r="E672" t="s">
        <v>26</v>
      </c>
      <c r="F672" t="s">
        <v>1403</v>
      </c>
      <c r="G672" t="s">
        <v>1440</v>
      </c>
      <c r="H672" t="str">
        <f>'Huong dan giao do an'!$B$14</f>
        <v>5 SV (vai trò chính): 1 PM/Scrum Master kiêm Integration; 2 BA/PO; 3 UI-UX + Frontend; 4 Backend/API + DevOps; 5 Database + QA/Tester. Mỗi SV có nhiệm vụ phụ và minh chứng cá nhân.</v>
      </c>
      <c r="I672" t="s">
        <v>29</v>
      </c>
      <c r="J672" t="s">
        <v>1409</v>
      </c>
      <c r="K672" t="str">
        <f>IF(I672="Trung bình",'Huong dan giao do an'!$B$8,IF(I672="Khá",'Huong dan giao do an'!$B$9,'Huong dan giao do an'!$B$10))</f>
        <v>Tối thiểu 5 actor; 14-18 use case; 10-15 bảng; 4 quy trình; tích hợp ngoài/realtime hoặc xử lý nâng cao; 3 báo cáo; &gt;=45 test case; logging, backup và deploy.</v>
      </c>
      <c r="L672" t="str">
        <f>'Huong dan giao do an'!$B$31</f>
        <v>Bắt buộc: Charter/PMP; SRS + scope/WBS; Gantt/baseline; effort-cost budget; RACI/timesheet; quality-test-defect; communication/minutes; risk register; procurement; change log; closure/lessons learned.</v>
      </c>
      <c r="M672" t="str">
        <f>'Huong dan giao do an'!$B$33</f>
        <v>Tuần 1: 07.09–13.09.2026; Tuần 2: 14.09–20.09.2026; Tuần 3: 21.09–27.09.2026; Tuần 4: 28.09–04.10.2026; Tuần 5: 05.10–11.10.2026; Tuần 6: 12.10–18.10.2026; Tuần 7: 19.10–25.10.2026; Tuần 8: 26.10–01.11.2026.</v>
      </c>
      <c r="N6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2" s="17" t="str">
        <f t="shared" si="10"/>
        <v>Còn trống</v>
      </c>
    </row>
    <row r="673" spans="1:16" x14ac:dyDescent="0.3">
      <c r="A673">
        <v>672</v>
      </c>
      <c r="B673" t="s">
        <v>1400</v>
      </c>
      <c r="C673" t="s">
        <v>1570</v>
      </c>
      <c r="D673" t="s">
        <v>1571</v>
      </c>
      <c r="E673" t="s">
        <v>33</v>
      </c>
      <c r="F673" t="s">
        <v>1407</v>
      </c>
      <c r="G673" t="s">
        <v>1443</v>
      </c>
      <c r="H673" t="str">
        <f>'Huong dan giao do an'!$B$14</f>
        <v>5 SV (vai trò chính): 1 PM/Scrum Master kiêm Integration; 2 BA/PO; 3 UI-UX + Frontend; 4 Backend/API + DevOps; 5 Database + QA/Tester. Mỗi SV có nhiệm vụ phụ và minh chứng cá nhân.</v>
      </c>
      <c r="I673" t="s">
        <v>36</v>
      </c>
      <c r="J673" t="s">
        <v>1414</v>
      </c>
      <c r="K673" t="str">
        <f>IF(I673="Trung bình",'Huong dan giao do an'!$B$8,IF(I673="Khá",'Huong dan giao do an'!$B$9,'Huong dan giao do an'!$B$10))</f>
        <v>Tối thiểu 3 actor; 8-10 use case; 6-8 bảng dữ liệu; 2 quy trình lõi; đăng nhập/RBAC; 1 dashboard; 1 báo cáo; &gt;=25 test case; triển khai bản demo.</v>
      </c>
      <c r="L673" t="str">
        <f>'Huong dan giao do an'!$B$31</f>
        <v>Bắt buộc: Charter/PMP; SRS + scope/WBS; Gantt/baseline; effort-cost budget; RACI/timesheet; quality-test-defect; communication/minutes; risk register; procurement; change log; closure/lessons learned.</v>
      </c>
      <c r="M673" t="str">
        <f>'Huong dan giao do an'!$B$33</f>
        <v>Tuần 1: 07.09–13.09.2026; Tuần 2: 14.09–20.09.2026; Tuần 3: 21.09–27.09.2026; Tuần 4: 28.09–04.10.2026; Tuần 5: 05.10–11.10.2026; Tuần 6: 12.10–18.10.2026; Tuần 7: 19.10–25.10.2026; Tuần 8: 26.10–01.11.2026.</v>
      </c>
      <c r="N6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3" s="17" t="str">
        <f t="shared" si="10"/>
        <v>Còn trống</v>
      </c>
    </row>
    <row r="674" spans="1:16" x14ac:dyDescent="0.3">
      <c r="A674">
        <v>673</v>
      </c>
      <c r="B674" t="s">
        <v>1400</v>
      </c>
      <c r="C674" t="s">
        <v>1572</v>
      </c>
      <c r="D674" t="s">
        <v>1573</v>
      </c>
      <c r="E674" t="s">
        <v>40</v>
      </c>
      <c r="F674" t="s">
        <v>1412</v>
      </c>
      <c r="G674" t="s">
        <v>1446</v>
      </c>
      <c r="H674" t="str">
        <f>'Huong dan giao do an'!$B$14</f>
        <v>5 SV (vai trò chính): 1 PM/Scrum Master kiêm Integration; 2 BA/PO; 3 UI-UX + Frontend; 4 Backend/API + DevOps; 5 Database + QA/Tester. Mỗi SV có nhiệm vụ phụ và minh chứng cá nhân.</v>
      </c>
      <c r="I674" t="s">
        <v>22</v>
      </c>
      <c r="J674" t="s">
        <v>30</v>
      </c>
      <c r="K674" t="str">
        <f>IF(I674="Trung bình",'Huong dan giao do an'!$B$8,IF(I674="Khá",'Huong dan giao do an'!$B$9,'Huong dan giao do an'!$B$10))</f>
        <v>Tối thiểu 4 actor; 10-14 use case; 8-12 bảng; 3 quy trình lõi; phân quyền chi tiết; 2 báo cáo; tích hợp 1 dịch vụ; &gt;=35 test case; CI/CD hoặc deploy cloud.</v>
      </c>
      <c r="L674" t="str">
        <f>'Huong dan giao do an'!$B$31</f>
        <v>Bắt buộc: Charter/PMP; SRS + scope/WBS; Gantt/baseline; effort-cost budget; RACI/timesheet; quality-test-defect; communication/minutes; risk register; procurement; change log; closure/lessons learned.</v>
      </c>
      <c r="M674" t="str">
        <f>'Huong dan giao do an'!$B$33</f>
        <v>Tuần 1: 07.09–13.09.2026; Tuần 2: 14.09–20.09.2026; Tuần 3: 21.09–27.09.2026; Tuần 4: 28.09–04.10.2026; Tuần 5: 05.10–11.10.2026; Tuần 6: 12.10–18.10.2026; Tuần 7: 19.10–25.10.2026; Tuần 8: 26.10–01.11.2026.</v>
      </c>
      <c r="N6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4" s="17" t="str">
        <f t="shared" si="10"/>
        <v>Còn trống</v>
      </c>
    </row>
    <row r="675" spans="1:16" x14ac:dyDescent="0.3">
      <c r="A675">
        <v>674</v>
      </c>
      <c r="B675" t="s">
        <v>1400</v>
      </c>
      <c r="C675" t="s">
        <v>1574</v>
      </c>
      <c r="D675" t="s">
        <v>1575</v>
      </c>
      <c r="E675" t="s">
        <v>45</v>
      </c>
      <c r="F675" t="s">
        <v>1417</v>
      </c>
      <c r="G675" t="s">
        <v>1449</v>
      </c>
      <c r="H675" t="str">
        <f>'Huong dan giao do an'!$B$14</f>
        <v>5 SV (vai trò chính): 1 PM/Scrum Master kiêm Integration; 2 BA/PO; 3 UI-UX + Frontend; 4 Backend/API + DevOps; 5 Database + QA/Tester. Mỗi SV có nhiệm vụ phụ và minh chứng cá nhân.</v>
      </c>
      <c r="I675" t="s">
        <v>29</v>
      </c>
      <c r="J675" t="s">
        <v>1409</v>
      </c>
      <c r="K675" t="str">
        <f>IF(I675="Trung bình",'Huong dan giao do an'!$B$8,IF(I675="Khá",'Huong dan giao do an'!$B$9,'Huong dan giao do an'!$B$10))</f>
        <v>Tối thiểu 5 actor; 14-18 use case; 10-15 bảng; 4 quy trình; tích hợp ngoài/realtime hoặc xử lý nâng cao; 3 báo cáo; &gt;=45 test case; logging, backup và deploy.</v>
      </c>
      <c r="L675" t="str">
        <f>'Huong dan giao do an'!$B$31</f>
        <v>Bắt buộc: Charter/PMP; SRS + scope/WBS; Gantt/baseline; effort-cost budget; RACI/timesheet; quality-test-defect; communication/minutes; risk register; procurement; change log; closure/lessons learned.</v>
      </c>
      <c r="M675" t="str">
        <f>'Huong dan giao do an'!$B$33</f>
        <v>Tuần 1: 07.09–13.09.2026; Tuần 2: 14.09–20.09.2026; Tuần 3: 21.09–27.09.2026; Tuần 4: 28.09–04.10.2026; Tuần 5: 05.10–11.10.2026; Tuần 6: 12.10–18.10.2026; Tuần 7: 19.10–25.10.2026; Tuần 8: 26.10–01.11.2026.</v>
      </c>
      <c r="N6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5" s="17" t="str">
        <f t="shared" si="10"/>
        <v>Còn trống</v>
      </c>
    </row>
    <row r="676" spans="1:16" x14ac:dyDescent="0.3">
      <c r="A676">
        <v>675</v>
      </c>
      <c r="B676" t="s">
        <v>1400</v>
      </c>
      <c r="C676" t="s">
        <v>1576</v>
      </c>
      <c r="D676" t="s">
        <v>1577</v>
      </c>
      <c r="E676" t="s">
        <v>19</v>
      </c>
      <c r="F676" t="s">
        <v>1421</v>
      </c>
      <c r="G676" t="s">
        <v>1452</v>
      </c>
      <c r="H676" t="str">
        <f>'Huong dan giao do an'!$B$14</f>
        <v>5 SV (vai trò chính): 1 PM/Scrum Master kiêm Integration; 2 BA/PO; 3 UI-UX + Frontend; 4 Backend/API + DevOps; 5 Database + QA/Tester. Mỗi SV có nhiệm vụ phụ và minh chứng cá nhân.</v>
      </c>
      <c r="I676" t="s">
        <v>36</v>
      </c>
      <c r="J676" t="s">
        <v>1414</v>
      </c>
      <c r="K676" t="str">
        <f>IF(I676="Trung bình",'Huong dan giao do an'!$B$8,IF(I676="Khá",'Huong dan giao do an'!$B$9,'Huong dan giao do an'!$B$10))</f>
        <v>Tối thiểu 3 actor; 8-10 use case; 6-8 bảng dữ liệu; 2 quy trình lõi; đăng nhập/RBAC; 1 dashboard; 1 báo cáo; &gt;=25 test case; triển khai bản demo.</v>
      </c>
      <c r="L676" t="str">
        <f>'Huong dan giao do an'!$B$31</f>
        <v>Bắt buộc: Charter/PMP; SRS + scope/WBS; Gantt/baseline; effort-cost budget; RACI/timesheet; quality-test-defect; communication/minutes; risk register; procurement; change log; closure/lessons learned.</v>
      </c>
      <c r="M676" t="str">
        <f>'Huong dan giao do an'!$B$33</f>
        <v>Tuần 1: 07.09–13.09.2026; Tuần 2: 14.09–20.09.2026; Tuần 3: 21.09–27.09.2026; Tuần 4: 28.09–04.10.2026; Tuần 5: 05.10–11.10.2026; Tuần 6: 12.10–18.10.2026; Tuần 7: 19.10–25.10.2026; Tuần 8: 26.10–01.11.2026.</v>
      </c>
      <c r="N6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6" s="17" t="str">
        <f t="shared" si="10"/>
        <v>Còn trống</v>
      </c>
    </row>
    <row r="677" spans="1:16" x14ac:dyDescent="0.3">
      <c r="A677">
        <v>676</v>
      </c>
      <c r="B677" t="s">
        <v>1400</v>
      </c>
      <c r="C677" t="s">
        <v>1578</v>
      </c>
      <c r="D677" t="s">
        <v>1579</v>
      </c>
      <c r="E677" t="s">
        <v>26</v>
      </c>
      <c r="F677" t="s">
        <v>1403</v>
      </c>
      <c r="G677" t="s">
        <v>1455</v>
      </c>
      <c r="H677" t="str">
        <f>'Huong dan giao do an'!$B$14</f>
        <v>5 SV (vai trò chính): 1 PM/Scrum Master kiêm Integration; 2 BA/PO; 3 UI-UX + Frontend; 4 Backend/API + DevOps; 5 Database + QA/Tester. Mỗi SV có nhiệm vụ phụ và minh chứng cá nhân.</v>
      </c>
      <c r="I677" t="s">
        <v>22</v>
      </c>
      <c r="J677" t="s">
        <v>30</v>
      </c>
      <c r="K677" t="str">
        <f>IF(I677="Trung bình",'Huong dan giao do an'!$B$8,IF(I677="Khá",'Huong dan giao do an'!$B$9,'Huong dan giao do an'!$B$10))</f>
        <v>Tối thiểu 4 actor; 10-14 use case; 8-12 bảng; 3 quy trình lõi; phân quyền chi tiết; 2 báo cáo; tích hợp 1 dịch vụ; &gt;=35 test case; CI/CD hoặc deploy cloud.</v>
      </c>
      <c r="L677" t="str">
        <f>'Huong dan giao do an'!$B$31</f>
        <v>Bắt buộc: Charter/PMP; SRS + scope/WBS; Gantt/baseline; effort-cost budget; RACI/timesheet; quality-test-defect; communication/minutes; risk register; procurement; change log; closure/lessons learned.</v>
      </c>
      <c r="M677" t="str">
        <f>'Huong dan giao do an'!$B$33</f>
        <v>Tuần 1: 07.09–13.09.2026; Tuần 2: 14.09–20.09.2026; Tuần 3: 21.09–27.09.2026; Tuần 4: 28.09–04.10.2026; Tuần 5: 05.10–11.10.2026; Tuần 6: 12.10–18.10.2026; Tuần 7: 19.10–25.10.2026; Tuần 8: 26.10–01.11.2026.</v>
      </c>
      <c r="N6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7" s="17" t="str">
        <f t="shared" si="10"/>
        <v>Còn trống</v>
      </c>
    </row>
    <row r="678" spans="1:16" x14ac:dyDescent="0.3">
      <c r="A678">
        <v>677</v>
      </c>
      <c r="B678" t="s">
        <v>1400</v>
      </c>
      <c r="C678" t="s">
        <v>1580</v>
      </c>
      <c r="D678" t="s">
        <v>1581</v>
      </c>
      <c r="E678" t="s">
        <v>33</v>
      </c>
      <c r="F678" t="s">
        <v>1407</v>
      </c>
      <c r="G678" t="s">
        <v>1458</v>
      </c>
      <c r="H678" t="str">
        <f>'Huong dan giao do an'!$B$14</f>
        <v>5 SV (vai trò chính): 1 PM/Scrum Master kiêm Integration; 2 BA/PO; 3 UI-UX + Frontend; 4 Backend/API + DevOps; 5 Database + QA/Tester. Mỗi SV có nhiệm vụ phụ và minh chứng cá nhân.</v>
      </c>
      <c r="I678" t="s">
        <v>29</v>
      </c>
      <c r="J678" t="s">
        <v>1409</v>
      </c>
      <c r="K678" t="str">
        <f>IF(I678="Trung bình",'Huong dan giao do an'!$B$8,IF(I678="Khá",'Huong dan giao do an'!$B$9,'Huong dan giao do an'!$B$10))</f>
        <v>Tối thiểu 5 actor; 14-18 use case; 10-15 bảng; 4 quy trình; tích hợp ngoài/realtime hoặc xử lý nâng cao; 3 báo cáo; &gt;=45 test case; logging, backup và deploy.</v>
      </c>
      <c r="L678" t="str">
        <f>'Huong dan giao do an'!$B$31</f>
        <v>Bắt buộc: Charter/PMP; SRS + scope/WBS; Gantt/baseline; effort-cost budget; RACI/timesheet; quality-test-defect; communication/minutes; risk register; procurement; change log; closure/lessons learned.</v>
      </c>
      <c r="M678" t="str">
        <f>'Huong dan giao do an'!$B$33</f>
        <v>Tuần 1: 07.09–13.09.2026; Tuần 2: 14.09–20.09.2026; Tuần 3: 21.09–27.09.2026; Tuần 4: 28.09–04.10.2026; Tuần 5: 05.10–11.10.2026; Tuần 6: 12.10–18.10.2026; Tuần 7: 19.10–25.10.2026; Tuần 8: 26.10–01.11.2026.</v>
      </c>
      <c r="N6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8" s="17" t="str">
        <f t="shared" si="10"/>
        <v>Còn trống</v>
      </c>
    </row>
    <row r="679" spans="1:16" x14ac:dyDescent="0.3">
      <c r="A679">
        <v>678</v>
      </c>
      <c r="B679" t="s">
        <v>1400</v>
      </c>
      <c r="C679" t="s">
        <v>1582</v>
      </c>
      <c r="D679" t="s">
        <v>1583</v>
      </c>
      <c r="E679" t="s">
        <v>40</v>
      </c>
      <c r="F679" t="s">
        <v>1412</v>
      </c>
      <c r="G679" t="s">
        <v>1461</v>
      </c>
      <c r="H679" t="str">
        <f>'Huong dan giao do an'!$B$14</f>
        <v>5 SV (vai trò chính): 1 PM/Scrum Master kiêm Integration; 2 BA/PO; 3 UI-UX + Frontend; 4 Backend/API + DevOps; 5 Database + QA/Tester. Mỗi SV có nhiệm vụ phụ và minh chứng cá nhân.</v>
      </c>
      <c r="I679" t="s">
        <v>36</v>
      </c>
      <c r="J679" t="s">
        <v>1414</v>
      </c>
      <c r="K679" t="str">
        <f>IF(I679="Trung bình",'Huong dan giao do an'!$B$8,IF(I679="Khá",'Huong dan giao do an'!$B$9,'Huong dan giao do an'!$B$10))</f>
        <v>Tối thiểu 3 actor; 8-10 use case; 6-8 bảng dữ liệu; 2 quy trình lõi; đăng nhập/RBAC; 1 dashboard; 1 báo cáo; &gt;=25 test case; triển khai bản demo.</v>
      </c>
      <c r="L679" t="str">
        <f>'Huong dan giao do an'!$B$31</f>
        <v>Bắt buộc: Charter/PMP; SRS + scope/WBS; Gantt/baseline; effort-cost budget; RACI/timesheet; quality-test-defect; communication/minutes; risk register; procurement; change log; closure/lessons learned.</v>
      </c>
      <c r="M679" t="str">
        <f>'Huong dan giao do an'!$B$33</f>
        <v>Tuần 1: 07.09–13.09.2026; Tuần 2: 14.09–20.09.2026; Tuần 3: 21.09–27.09.2026; Tuần 4: 28.09–04.10.2026; Tuần 5: 05.10–11.10.2026; Tuần 6: 12.10–18.10.2026; Tuần 7: 19.10–25.10.2026; Tuần 8: 26.10–01.11.2026.</v>
      </c>
      <c r="N6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79" s="17" t="str">
        <f t="shared" si="10"/>
        <v>Còn trống</v>
      </c>
    </row>
    <row r="680" spans="1:16" x14ac:dyDescent="0.3">
      <c r="A680">
        <v>679</v>
      </c>
      <c r="B680" t="s">
        <v>1400</v>
      </c>
      <c r="C680" t="s">
        <v>1584</v>
      </c>
      <c r="D680" t="s">
        <v>1585</v>
      </c>
      <c r="E680" t="s">
        <v>45</v>
      </c>
      <c r="F680" t="s">
        <v>1417</v>
      </c>
      <c r="G680" t="s">
        <v>1464</v>
      </c>
      <c r="H680" t="str">
        <f>'Huong dan giao do an'!$B$14</f>
        <v>5 SV (vai trò chính): 1 PM/Scrum Master kiêm Integration; 2 BA/PO; 3 UI-UX + Frontend; 4 Backend/API + DevOps; 5 Database + QA/Tester. Mỗi SV có nhiệm vụ phụ và minh chứng cá nhân.</v>
      </c>
      <c r="I680" t="s">
        <v>22</v>
      </c>
      <c r="J680" t="s">
        <v>30</v>
      </c>
      <c r="K680" t="str">
        <f>IF(I680="Trung bình",'Huong dan giao do an'!$B$8,IF(I680="Khá",'Huong dan giao do an'!$B$9,'Huong dan giao do an'!$B$10))</f>
        <v>Tối thiểu 4 actor; 10-14 use case; 8-12 bảng; 3 quy trình lõi; phân quyền chi tiết; 2 báo cáo; tích hợp 1 dịch vụ; &gt;=35 test case; CI/CD hoặc deploy cloud.</v>
      </c>
      <c r="L680" t="str">
        <f>'Huong dan giao do an'!$B$31</f>
        <v>Bắt buộc: Charter/PMP; SRS + scope/WBS; Gantt/baseline; effort-cost budget; RACI/timesheet; quality-test-defect; communication/minutes; risk register; procurement; change log; closure/lessons learned.</v>
      </c>
      <c r="M680" t="str">
        <f>'Huong dan giao do an'!$B$33</f>
        <v>Tuần 1: 07.09–13.09.2026; Tuần 2: 14.09–20.09.2026; Tuần 3: 21.09–27.09.2026; Tuần 4: 28.09–04.10.2026; Tuần 5: 05.10–11.10.2026; Tuần 6: 12.10–18.10.2026; Tuần 7: 19.10–25.10.2026; Tuần 8: 26.10–01.11.2026.</v>
      </c>
      <c r="N6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0" s="17" t="str">
        <f t="shared" si="10"/>
        <v>Còn trống</v>
      </c>
    </row>
    <row r="681" spans="1:16" x14ac:dyDescent="0.3">
      <c r="A681">
        <v>680</v>
      </c>
      <c r="B681" t="s">
        <v>1400</v>
      </c>
      <c r="C681" t="s">
        <v>1586</v>
      </c>
      <c r="D681" t="s">
        <v>1587</v>
      </c>
      <c r="E681" t="s">
        <v>19</v>
      </c>
      <c r="F681" t="s">
        <v>1421</v>
      </c>
      <c r="G681" t="s">
        <v>1467</v>
      </c>
      <c r="H681" t="str">
        <f>'Huong dan giao do an'!$B$14</f>
        <v>5 SV (vai trò chính): 1 PM/Scrum Master kiêm Integration; 2 BA/PO; 3 UI-UX + Frontend; 4 Backend/API + DevOps; 5 Database + QA/Tester. Mỗi SV có nhiệm vụ phụ và minh chứng cá nhân.</v>
      </c>
      <c r="I681" t="s">
        <v>29</v>
      </c>
      <c r="J681" t="s">
        <v>1409</v>
      </c>
      <c r="K681" t="str">
        <f>IF(I681="Trung bình",'Huong dan giao do an'!$B$8,IF(I681="Khá",'Huong dan giao do an'!$B$9,'Huong dan giao do an'!$B$10))</f>
        <v>Tối thiểu 5 actor; 14-18 use case; 10-15 bảng; 4 quy trình; tích hợp ngoài/realtime hoặc xử lý nâng cao; 3 báo cáo; &gt;=45 test case; logging, backup và deploy.</v>
      </c>
      <c r="L681" t="str">
        <f>'Huong dan giao do an'!$B$31</f>
        <v>Bắt buộc: Charter/PMP; SRS + scope/WBS; Gantt/baseline; effort-cost budget; RACI/timesheet; quality-test-defect; communication/minutes; risk register; procurement; change log; closure/lessons learned.</v>
      </c>
      <c r="M681" t="str">
        <f>'Huong dan giao do an'!$B$33</f>
        <v>Tuần 1: 07.09–13.09.2026; Tuần 2: 14.09–20.09.2026; Tuần 3: 21.09–27.09.2026; Tuần 4: 28.09–04.10.2026; Tuần 5: 05.10–11.10.2026; Tuần 6: 12.10–18.10.2026; Tuần 7: 19.10–25.10.2026; Tuần 8: 26.10–01.11.2026.</v>
      </c>
      <c r="N6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1" s="17" t="str">
        <f t="shared" si="10"/>
        <v>Còn trống</v>
      </c>
    </row>
    <row r="682" spans="1:16" x14ac:dyDescent="0.3">
      <c r="A682">
        <v>681</v>
      </c>
      <c r="B682" t="s">
        <v>1400</v>
      </c>
      <c r="C682" t="s">
        <v>1588</v>
      </c>
      <c r="D682" t="s">
        <v>1589</v>
      </c>
      <c r="E682" t="s">
        <v>26</v>
      </c>
      <c r="F682" t="s">
        <v>1403</v>
      </c>
      <c r="G682" t="s">
        <v>1404</v>
      </c>
      <c r="H682" t="str">
        <f>'Huong dan giao do an'!$B$14</f>
        <v>5 SV (vai trò chính): 1 PM/Scrum Master kiêm Integration; 2 BA/PO; 3 UI-UX + Frontend; 4 Backend/API + DevOps; 5 Database + QA/Tester. Mỗi SV có nhiệm vụ phụ và minh chứng cá nhân.</v>
      </c>
      <c r="I682" t="s">
        <v>22</v>
      </c>
      <c r="J682" t="s">
        <v>30</v>
      </c>
      <c r="K682" t="str">
        <f>IF(I682="Trung bình",'Huong dan giao do an'!$B$8,IF(I682="Khá",'Huong dan giao do an'!$B$9,'Huong dan giao do an'!$B$10))</f>
        <v>Tối thiểu 4 actor; 10-14 use case; 8-12 bảng; 3 quy trình lõi; phân quyền chi tiết; 2 báo cáo; tích hợp 1 dịch vụ; &gt;=35 test case; CI/CD hoặc deploy cloud.</v>
      </c>
      <c r="L682" t="str">
        <f>'Huong dan giao do an'!$B$31</f>
        <v>Bắt buộc: Charter/PMP; SRS + scope/WBS; Gantt/baseline; effort-cost budget; RACI/timesheet; quality-test-defect; communication/minutes; risk register; procurement; change log; closure/lessons learned.</v>
      </c>
      <c r="M682" t="str">
        <f>'Huong dan giao do an'!$B$33</f>
        <v>Tuần 1: 07.09–13.09.2026; Tuần 2: 14.09–20.09.2026; Tuần 3: 21.09–27.09.2026; Tuần 4: 28.09–04.10.2026; Tuần 5: 05.10–11.10.2026; Tuần 6: 12.10–18.10.2026; Tuần 7: 19.10–25.10.2026; Tuần 8: 26.10–01.11.2026.</v>
      </c>
      <c r="N6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2" s="17" t="str">
        <f t="shared" si="10"/>
        <v>Còn trống</v>
      </c>
    </row>
    <row r="683" spans="1:16" x14ac:dyDescent="0.3">
      <c r="A683">
        <v>682</v>
      </c>
      <c r="B683" t="s">
        <v>1400</v>
      </c>
      <c r="C683" t="s">
        <v>1590</v>
      </c>
      <c r="D683" t="s">
        <v>1591</v>
      </c>
      <c r="E683" t="s">
        <v>33</v>
      </c>
      <c r="F683" t="s">
        <v>1407</v>
      </c>
      <c r="G683" t="s">
        <v>1408</v>
      </c>
      <c r="H683" t="str">
        <f>'Huong dan giao do an'!$B$14</f>
        <v>5 SV (vai trò chính): 1 PM/Scrum Master kiêm Integration; 2 BA/PO; 3 UI-UX + Frontend; 4 Backend/API + DevOps; 5 Database + QA/Tester. Mỗi SV có nhiệm vụ phụ và minh chứng cá nhân.</v>
      </c>
      <c r="I683" t="s">
        <v>29</v>
      </c>
      <c r="J683" t="s">
        <v>1409</v>
      </c>
      <c r="K683" t="str">
        <f>IF(I683="Trung bình",'Huong dan giao do an'!$B$8,IF(I683="Khá",'Huong dan giao do an'!$B$9,'Huong dan giao do an'!$B$10))</f>
        <v>Tối thiểu 5 actor; 14-18 use case; 10-15 bảng; 4 quy trình; tích hợp ngoài/realtime hoặc xử lý nâng cao; 3 báo cáo; &gt;=45 test case; logging, backup và deploy.</v>
      </c>
      <c r="L683" t="str">
        <f>'Huong dan giao do an'!$B$31</f>
        <v>Bắt buộc: Charter/PMP; SRS + scope/WBS; Gantt/baseline; effort-cost budget; RACI/timesheet; quality-test-defect; communication/minutes; risk register; procurement; change log; closure/lessons learned.</v>
      </c>
      <c r="M683" t="str">
        <f>'Huong dan giao do an'!$B$33</f>
        <v>Tuần 1: 07.09–13.09.2026; Tuần 2: 14.09–20.09.2026; Tuần 3: 21.09–27.09.2026; Tuần 4: 28.09–04.10.2026; Tuần 5: 05.10–11.10.2026; Tuần 6: 12.10–18.10.2026; Tuần 7: 19.10–25.10.2026; Tuần 8: 26.10–01.11.2026.</v>
      </c>
      <c r="N6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3" s="17" t="str">
        <f t="shared" si="10"/>
        <v>Còn trống</v>
      </c>
    </row>
    <row r="684" spans="1:16" x14ac:dyDescent="0.3">
      <c r="A684">
        <v>683</v>
      </c>
      <c r="B684" t="s">
        <v>1400</v>
      </c>
      <c r="C684" t="s">
        <v>1592</v>
      </c>
      <c r="D684" t="s">
        <v>1593</v>
      </c>
      <c r="E684" t="s">
        <v>40</v>
      </c>
      <c r="F684" t="s">
        <v>1412</v>
      </c>
      <c r="G684" t="s">
        <v>1413</v>
      </c>
      <c r="H684" t="str">
        <f>'Huong dan giao do an'!$B$14</f>
        <v>5 SV (vai trò chính): 1 PM/Scrum Master kiêm Integration; 2 BA/PO; 3 UI-UX + Frontend; 4 Backend/API + DevOps; 5 Database + QA/Tester. Mỗi SV có nhiệm vụ phụ và minh chứng cá nhân.</v>
      </c>
      <c r="I684" t="s">
        <v>36</v>
      </c>
      <c r="J684" t="s">
        <v>1414</v>
      </c>
      <c r="K684" t="str">
        <f>IF(I684="Trung bình",'Huong dan giao do an'!$B$8,IF(I684="Khá",'Huong dan giao do an'!$B$9,'Huong dan giao do an'!$B$10))</f>
        <v>Tối thiểu 3 actor; 8-10 use case; 6-8 bảng dữ liệu; 2 quy trình lõi; đăng nhập/RBAC; 1 dashboard; 1 báo cáo; &gt;=25 test case; triển khai bản demo.</v>
      </c>
      <c r="L684" t="str">
        <f>'Huong dan giao do an'!$B$31</f>
        <v>Bắt buộc: Charter/PMP; SRS + scope/WBS; Gantt/baseline; effort-cost budget; RACI/timesheet; quality-test-defect; communication/minutes; risk register; procurement; change log; closure/lessons learned.</v>
      </c>
      <c r="M684" t="str">
        <f>'Huong dan giao do an'!$B$33</f>
        <v>Tuần 1: 07.09–13.09.2026; Tuần 2: 14.09–20.09.2026; Tuần 3: 21.09–27.09.2026; Tuần 4: 28.09–04.10.2026; Tuần 5: 05.10–11.10.2026; Tuần 6: 12.10–18.10.2026; Tuần 7: 19.10–25.10.2026; Tuần 8: 26.10–01.11.2026.</v>
      </c>
      <c r="N6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4" s="17" t="str">
        <f t="shared" si="10"/>
        <v>Còn trống</v>
      </c>
    </row>
    <row r="685" spans="1:16" x14ac:dyDescent="0.3">
      <c r="A685">
        <v>684</v>
      </c>
      <c r="B685" t="s">
        <v>1400</v>
      </c>
      <c r="C685" t="s">
        <v>1594</v>
      </c>
      <c r="D685" t="s">
        <v>1595</v>
      </c>
      <c r="E685" t="s">
        <v>45</v>
      </c>
      <c r="F685" t="s">
        <v>1417</v>
      </c>
      <c r="G685" t="s">
        <v>1418</v>
      </c>
      <c r="H685" t="str">
        <f>'Huong dan giao do an'!$B$14</f>
        <v>5 SV (vai trò chính): 1 PM/Scrum Master kiêm Integration; 2 BA/PO; 3 UI-UX + Frontend; 4 Backend/API + DevOps; 5 Database + QA/Tester. Mỗi SV có nhiệm vụ phụ và minh chứng cá nhân.</v>
      </c>
      <c r="I685" t="s">
        <v>22</v>
      </c>
      <c r="J685" t="s">
        <v>30</v>
      </c>
      <c r="K685" t="str">
        <f>IF(I685="Trung bình",'Huong dan giao do an'!$B$8,IF(I685="Khá",'Huong dan giao do an'!$B$9,'Huong dan giao do an'!$B$10))</f>
        <v>Tối thiểu 4 actor; 10-14 use case; 8-12 bảng; 3 quy trình lõi; phân quyền chi tiết; 2 báo cáo; tích hợp 1 dịch vụ; &gt;=35 test case; CI/CD hoặc deploy cloud.</v>
      </c>
      <c r="L685" t="str">
        <f>'Huong dan giao do an'!$B$31</f>
        <v>Bắt buộc: Charter/PMP; SRS + scope/WBS; Gantt/baseline; effort-cost budget; RACI/timesheet; quality-test-defect; communication/minutes; risk register; procurement; change log; closure/lessons learned.</v>
      </c>
      <c r="M685" t="str">
        <f>'Huong dan giao do an'!$B$33</f>
        <v>Tuần 1: 07.09–13.09.2026; Tuần 2: 14.09–20.09.2026; Tuần 3: 21.09–27.09.2026; Tuần 4: 28.09–04.10.2026; Tuần 5: 05.10–11.10.2026; Tuần 6: 12.10–18.10.2026; Tuần 7: 19.10–25.10.2026; Tuần 8: 26.10–01.11.2026.</v>
      </c>
      <c r="N6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5" s="17" t="str">
        <f t="shared" si="10"/>
        <v>Còn trống</v>
      </c>
    </row>
    <row r="686" spans="1:16" x14ac:dyDescent="0.3">
      <c r="A686">
        <v>685</v>
      </c>
      <c r="B686" t="s">
        <v>1400</v>
      </c>
      <c r="C686" t="s">
        <v>1596</v>
      </c>
      <c r="D686" t="s">
        <v>1597</v>
      </c>
      <c r="E686" t="s">
        <v>19</v>
      </c>
      <c r="F686" t="s">
        <v>1421</v>
      </c>
      <c r="G686" t="s">
        <v>1422</v>
      </c>
      <c r="H686" t="str">
        <f>'Huong dan giao do an'!$B$14</f>
        <v>5 SV (vai trò chính): 1 PM/Scrum Master kiêm Integration; 2 BA/PO; 3 UI-UX + Frontend; 4 Backend/API + DevOps; 5 Database + QA/Tester. Mỗi SV có nhiệm vụ phụ và minh chứng cá nhân.</v>
      </c>
      <c r="I686" t="s">
        <v>29</v>
      </c>
      <c r="J686" t="s">
        <v>1409</v>
      </c>
      <c r="K686" t="str">
        <f>IF(I686="Trung bình",'Huong dan giao do an'!$B$8,IF(I686="Khá",'Huong dan giao do an'!$B$9,'Huong dan giao do an'!$B$10))</f>
        <v>Tối thiểu 5 actor; 14-18 use case; 10-15 bảng; 4 quy trình; tích hợp ngoài/realtime hoặc xử lý nâng cao; 3 báo cáo; &gt;=45 test case; logging, backup và deploy.</v>
      </c>
      <c r="L686" t="str">
        <f>'Huong dan giao do an'!$B$31</f>
        <v>Bắt buộc: Charter/PMP; SRS + scope/WBS; Gantt/baseline; effort-cost budget; RACI/timesheet; quality-test-defect; communication/minutes; risk register; procurement; change log; closure/lessons learned.</v>
      </c>
      <c r="M686" t="str">
        <f>'Huong dan giao do an'!$B$33</f>
        <v>Tuần 1: 07.09–13.09.2026; Tuần 2: 14.09–20.09.2026; Tuần 3: 21.09–27.09.2026; Tuần 4: 28.09–04.10.2026; Tuần 5: 05.10–11.10.2026; Tuần 6: 12.10–18.10.2026; Tuần 7: 19.10–25.10.2026; Tuần 8: 26.10–01.11.2026.</v>
      </c>
      <c r="N6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6" s="17" t="str">
        <f t="shared" si="10"/>
        <v>Còn trống</v>
      </c>
    </row>
    <row r="687" spans="1:16" x14ac:dyDescent="0.3">
      <c r="A687">
        <v>686</v>
      </c>
      <c r="B687" t="s">
        <v>1400</v>
      </c>
      <c r="C687" t="s">
        <v>1598</v>
      </c>
      <c r="D687" t="s">
        <v>1599</v>
      </c>
      <c r="E687" t="s">
        <v>26</v>
      </c>
      <c r="F687" t="s">
        <v>1403</v>
      </c>
      <c r="G687" t="s">
        <v>1425</v>
      </c>
      <c r="H687" t="str">
        <f>'Huong dan giao do an'!$B$14</f>
        <v>5 SV (vai trò chính): 1 PM/Scrum Master kiêm Integration; 2 BA/PO; 3 UI-UX + Frontend; 4 Backend/API + DevOps; 5 Database + QA/Tester. Mỗi SV có nhiệm vụ phụ và minh chứng cá nhân.</v>
      </c>
      <c r="I687" t="s">
        <v>36</v>
      </c>
      <c r="J687" t="s">
        <v>1414</v>
      </c>
      <c r="K687" t="str">
        <f>IF(I687="Trung bình",'Huong dan giao do an'!$B$8,IF(I687="Khá",'Huong dan giao do an'!$B$9,'Huong dan giao do an'!$B$10))</f>
        <v>Tối thiểu 3 actor; 8-10 use case; 6-8 bảng dữ liệu; 2 quy trình lõi; đăng nhập/RBAC; 1 dashboard; 1 báo cáo; &gt;=25 test case; triển khai bản demo.</v>
      </c>
      <c r="L687" t="str">
        <f>'Huong dan giao do an'!$B$31</f>
        <v>Bắt buộc: Charter/PMP; SRS + scope/WBS; Gantt/baseline; effort-cost budget; RACI/timesheet; quality-test-defect; communication/minutes; risk register; procurement; change log; closure/lessons learned.</v>
      </c>
      <c r="M687" t="str">
        <f>'Huong dan giao do an'!$B$33</f>
        <v>Tuần 1: 07.09–13.09.2026; Tuần 2: 14.09–20.09.2026; Tuần 3: 21.09–27.09.2026; Tuần 4: 28.09–04.10.2026; Tuần 5: 05.10–11.10.2026; Tuần 6: 12.10–18.10.2026; Tuần 7: 19.10–25.10.2026; Tuần 8: 26.10–01.11.2026.</v>
      </c>
      <c r="N6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7" s="17" t="str">
        <f t="shared" si="10"/>
        <v>Còn trống</v>
      </c>
    </row>
    <row r="688" spans="1:16" x14ac:dyDescent="0.3">
      <c r="A688">
        <v>687</v>
      </c>
      <c r="B688" t="s">
        <v>1400</v>
      </c>
      <c r="C688" t="s">
        <v>1600</v>
      </c>
      <c r="D688" t="s">
        <v>1601</v>
      </c>
      <c r="E688" t="s">
        <v>33</v>
      </c>
      <c r="F688" t="s">
        <v>1407</v>
      </c>
      <c r="G688" t="s">
        <v>1428</v>
      </c>
      <c r="H688" t="str">
        <f>'Huong dan giao do an'!$B$14</f>
        <v>5 SV (vai trò chính): 1 PM/Scrum Master kiêm Integration; 2 BA/PO; 3 UI-UX + Frontend; 4 Backend/API + DevOps; 5 Database + QA/Tester. Mỗi SV có nhiệm vụ phụ và minh chứng cá nhân.</v>
      </c>
      <c r="I688" t="s">
        <v>22</v>
      </c>
      <c r="J688" t="s">
        <v>30</v>
      </c>
      <c r="K688" t="str">
        <f>IF(I688="Trung bình",'Huong dan giao do an'!$B$8,IF(I688="Khá",'Huong dan giao do an'!$B$9,'Huong dan giao do an'!$B$10))</f>
        <v>Tối thiểu 4 actor; 10-14 use case; 8-12 bảng; 3 quy trình lõi; phân quyền chi tiết; 2 báo cáo; tích hợp 1 dịch vụ; &gt;=35 test case; CI/CD hoặc deploy cloud.</v>
      </c>
      <c r="L688" t="str">
        <f>'Huong dan giao do an'!$B$31</f>
        <v>Bắt buộc: Charter/PMP; SRS + scope/WBS; Gantt/baseline; effort-cost budget; RACI/timesheet; quality-test-defect; communication/minutes; risk register; procurement; change log; closure/lessons learned.</v>
      </c>
      <c r="M688" t="str">
        <f>'Huong dan giao do an'!$B$33</f>
        <v>Tuần 1: 07.09–13.09.2026; Tuần 2: 14.09–20.09.2026; Tuần 3: 21.09–27.09.2026; Tuần 4: 28.09–04.10.2026; Tuần 5: 05.10–11.10.2026; Tuần 6: 12.10–18.10.2026; Tuần 7: 19.10–25.10.2026; Tuần 8: 26.10–01.11.2026.</v>
      </c>
      <c r="N6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8" s="17" t="str">
        <f t="shared" si="10"/>
        <v>Còn trống</v>
      </c>
    </row>
    <row r="689" spans="1:16" x14ac:dyDescent="0.3">
      <c r="A689">
        <v>688</v>
      </c>
      <c r="B689" t="s">
        <v>1400</v>
      </c>
      <c r="C689" t="s">
        <v>1602</v>
      </c>
      <c r="D689" t="s">
        <v>1603</v>
      </c>
      <c r="E689" t="s">
        <v>40</v>
      </c>
      <c r="F689" t="s">
        <v>1412</v>
      </c>
      <c r="G689" t="s">
        <v>1431</v>
      </c>
      <c r="H689" t="str">
        <f>'Huong dan giao do an'!$B$14</f>
        <v>5 SV (vai trò chính): 1 PM/Scrum Master kiêm Integration; 2 BA/PO; 3 UI-UX + Frontend; 4 Backend/API + DevOps; 5 Database + QA/Tester. Mỗi SV có nhiệm vụ phụ và minh chứng cá nhân.</v>
      </c>
      <c r="I689" t="s">
        <v>29</v>
      </c>
      <c r="J689" t="s">
        <v>1409</v>
      </c>
      <c r="K689" t="str">
        <f>IF(I689="Trung bình",'Huong dan giao do an'!$B$8,IF(I689="Khá",'Huong dan giao do an'!$B$9,'Huong dan giao do an'!$B$10))</f>
        <v>Tối thiểu 5 actor; 14-18 use case; 10-15 bảng; 4 quy trình; tích hợp ngoài/realtime hoặc xử lý nâng cao; 3 báo cáo; &gt;=45 test case; logging, backup và deploy.</v>
      </c>
      <c r="L689" t="str">
        <f>'Huong dan giao do an'!$B$31</f>
        <v>Bắt buộc: Charter/PMP; SRS + scope/WBS; Gantt/baseline; effort-cost budget; RACI/timesheet; quality-test-defect; communication/minutes; risk register; procurement; change log; closure/lessons learned.</v>
      </c>
      <c r="M689" t="str">
        <f>'Huong dan giao do an'!$B$33</f>
        <v>Tuần 1: 07.09–13.09.2026; Tuần 2: 14.09–20.09.2026; Tuần 3: 21.09–27.09.2026; Tuần 4: 28.09–04.10.2026; Tuần 5: 05.10–11.10.2026; Tuần 6: 12.10–18.10.2026; Tuần 7: 19.10–25.10.2026; Tuần 8: 26.10–01.11.2026.</v>
      </c>
      <c r="N6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89" s="17" t="str">
        <f t="shared" si="10"/>
        <v>Còn trống</v>
      </c>
    </row>
    <row r="690" spans="1:16" x14ac:dyDescent="0.3">
      <c r="A690">
        <v>689</v>
      </c>
      <c r="B690" t="s">
        <v>1400</v>
      </c>
      <c r="C690" t="s">
        <v>1604</v>
      </c>
      <c r="D690" t="s">
        <v>1605</v>
      </c>
      <c r="E690" t="s">
        <v>45</v>
      </c>
      <c r="F690" t="s">
        <v>1417</v>
      </c>
      <c r="G690" t="s">
        <v>1434</v>
      </c>
      <c r="H690" t="str">
        <f>'Huong dan giao do an'!$B$14</f>
        <v>5 SV (vai trò chính): 1 PM/Scrum Master kiêm Integration; 2 BA/PO; 3 UI-UX + Frontend; 4 Backend/API + DevOps; 5 Database + QA/Tester. Mỗi SV có nhiệm vụ phụ và minh chứng cá nhân.</v>
      </c>
      <c r="I690" t="s">
        <v>36</v>
      </c>
      <c r="J690" t="s">
        <v>1414</v>
      </c>
      <c r="K690" t="str">
        <f>IF(I690="Trung bình",'Huong dan giao do an'!$B$8,IF(I690="Khá",'Huong dan giao do an'!$B$9,'Huong dan giao do an'!$B$10))</f>
        <v>Tối thiểu 3 actor; 8-10 use case; 6-8 bảng dữ liệu; 2 quy trình lõi; đăng nhập/RBAC; 1 dashboard; 1 báo cáo; &gt;=25 test case; triển khai bản demo.</v>
      </c>
      <c r="L690" t="str">
        <f>'Huong dan giao do an'!$B$31</f>
        <v>Bắt buộc: Charter/PMP; SRS + scope/WBS; Gantt/baseline; effort-cost budget; RACI/timesheet; quality-test-defect; communication/minutes; risk register; procurement; change log; closure/lessons learned.</v>
      </c>
      <c r="M690" t="str">
        <f>'Huong dan giao do an'!$B$33</f>
        <v>Tuần 1: 07.09–13.09.2026; Tuần 2: 14.09–20.09.2026; Tuần 3: 21.09–27.09.2026; Tuần 4: 28.09–04.10.2026; Tuần 5: 05.10–11.10.2026; Tuần 6: 12.10–18.10.2026; Tuần 7: 19.10–25.10.2026; Tuần 8: 26.10–01.11.2026.</v>
      </c>
      <c r="N6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0" s="17" t="str">
        <f t="shared" si="10"/>
        <v>Còn trống</v>
      </c>
    </row>
    <row r="691" spans="1:16" x14ac:dyDescent="0.3">
      <c r="A691">
        <v>690</v>
      </c>
      <c r="B691" t="s">
        <v>1400</v>
      </c>
      <c r="C691" t="s">
        <v>1606</v>
      </c>
      <c r="D691" t="s">
        <v>1607</v>
      </c>
      <c r="E691" t="s">
        <v>19</v>
      </c>
      <c r="F691" t="s">
        <v>1421</v>
      </c>
      <c r="G691" t="s">
        <v>1437</v>
      </c>
      <c r="H691" t="str">
        <f>'Huong dan giao do an'!$B$14</f>
        <v>5 SV (vai trò chính): 1 PM/Scrum Master kiêm Integration; 2 BA/PO; 3 UI-UX + Frontend; 4 Backend/API + DevOps; 5 Database + QA/Tester. Mỗi SV có nhiệm vụ phụ và minh chứng cá nhân.</v>
      </c>
      <c r="I691" t="s">
        <v>22</v>
      </c>
      <c r="J691" t="s">
        <v>30</v>
      </c>
      <c r="K691" t="str">
        <f>IF(I691="Trung bình",'Huong dan giao do an'!$B$8,IF(I691="Khá",'Huong dan giao do an'!$B$9,'Huong dan giao do an'!$B$10))</f>
        <v>Tối thiểu 4 actor; 10-14 use case; 8-12 bảng; 3 quy trình lõi; phân quyền chi tiết; 2 báo cáo; tích hợp 1 dịch vụ; &gt;=35 test case; CI/CD hoặc deploy cloud.</v>
      </c>
      <c r="L691" t="str">
        <f>'Huong dan giao do an'!$B$31</f>
        <v>Bắt buộc: Charter/PMP; SRS + scope/WBS; Gantt/baseline; effort-cost budget; RACI/timesheet; quality-test-defect; communication/minutes; risk register; procurement; change log; closure/lessons learned.</v>
      </c>
      <c r="M691" t="str">
        <f>'Huong dan giao do an'!$B$33</f>
        <v>Tuần 1: 07.09–13.09.2026; Tuần 2: 14.09–20.09.2026; Tuần 3: 21.09–27.09.2026; Tuần 4: 28.09–04.10.2026; Tuần 5: 05.10–11.10.2026; Tuần 6: 12.10–18.10.2026; Tuần 7: 19.10–25.10.2026; Tuần 8: 26.10–01.11.2026.</v>
      </c>
      <c r="N6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1" s="17" t="str">
        <f t="shared" si="10"/>
        <v>Còn trống</v>
      </c>
    </row>
    <row r="692" spans="1:16" x14ac:dyDescent="0.3">
      <c r="A692">
        <v>691</v>
      </c>
      <c r="B692" t="s">
        <v>1400</v>
      </c>
      <c r="C692" t="s">
        <v>1608</v>
      </c>
      <c r="D692" t="s">
        <v>1609</v>
      </c>
      <c r="E692" t="s">
        <v>26</v>
      </c>
      <c r="F692" t="s">
        <v>1403</v>
      </c>
      <c r="G692" t="s">
        <v>1440</v>
      </c>
      <c r="H692" t="str">
        <f>'Huong dan giao do an'!$B$14</f>
        <v>5 SV (vai trò chính): 1 PM/Scrum Master kiêm Integration; 2 BA/PO; 3 UI-UX + Frontend; 4 Backend/API + DevOps; 5 Database + QA/Tester. Mỗi SV có nhiệm vụ phụ và minh chứng cá nhân.</v>
      </c>
      <c r="I692" t="s">
        <v>29</v>
      </c>
      <c r="J692" t="s">
        <v>1409</v>
      </c>
      <c r="K692" t="str">
        <f>IF(I692="Trung bình",'Huong dan giao do an'!$B$8,IF(I692="Khá",'Huong dan giao do an'!$B$9,'Huong dan giao do an'!$B$10))</f>
        <v>Tối thiểu 5 actor; 14-18 use case; 10-15 bảng; 4 quy trình; tích hợp ngoài/realtime hoặc xử lý nâng cao; 3 báo cáo; &gt;=45 test case; logging, backup và deploy.</v>
      </c>
      <c r="L692" t="str">
        <f>'Huong dan giao do an'!$B$31</f>
        <v>Bắt buộc: Charter/PMP; SRS + scope/WBS; Gantt/baseline; effort-cost budget; RACI/timesheet; quality-test-defect; communication/minutes; risk register; procurement; change log; closure/lessons learned.</v>
      </c>
      <c r="M692" t="str">
        <f>'Huong dan giao do an'!$B$33</f>
        <v>Tuần 1: 07.09–13.09.2026; Tuần 2: 14.09–20.09.2026; Tuần 3: 21.09–27.09.2026; Tuần 4: 28.09–04.10.2026; Tuần 5: 05.10–11.10.2026; Tuần 6: 12.10–18.10.2026; Tuần 7: 19.10–25.10.2026; Tuần 8: 26.10–01.11.2026.</v>
      </c>
      <c r="N6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2" s="17" t="str">
        <f t="shared" si="10"/>
        <v>Còn trống</v>
      </c>
    </row>
    <row r="693" spans="1:16" x14ac:dyDescent="0.3">
      <c r="A693">
        <v>692</v>
      </c>
      <c r="B693" t="s">
        <v>1400</v>
      </c>
      <c r="C693" t="s">
        <v>1610</v>
      </c>
      <c r="D693" t="s">
        <v>1611</v>
      </c>
      <c r="E693" t="s">
        <v>33</v>
      </c>
      <c r="F693" t="s">
        <v>1407</v>
      </c>
      <c r="G693" t="s">
        <v>1443</v>
      </c>
      <c r="H693" t="str">
        <f>'Huong dan giao do an'!$B$14</f>
        <v>5 SV (vai trò chính): 1 PM/Scrum Master kiêm Integration; 2 BA/PO; 3 UI-UX + Frontend; 4 Backend/API + DevOps; 5 Database + QA/Tester. Mỗi SV có nhiệm vụ phụ và minh chứng cá nhân.</v>
      </c>
      <c r="I693" t="s">
        <v>36</v>
      </c>
      <c r="J693" t="s">
        <v>1414</v>
      </c>
      <c r="K693" t="str">
        <f>IF(I693="Trung bình",'Huong dan giao do an'!$B$8,IF(I693="Khá",'Huong dan giao do an'!$B$9,'Huong dan giao do an'!$B$10))</f>
        <v>Tối thiểu 3 actor; 8-10 use case; 6-8 bảng dữ liệu; 2 quy trình lõi; đăng nhập/RBAC; 1 dashboard; 1 báo cáo; &gt;=25 test case; triển khai bản demo.</v>
      </c>
      <c r="L693" t="str">
        <f>'Huong dan giao do an'!$B$31</f>
        <v>Bắt buộc: Charter/PMP; SRS + scope/WBS; Gantt/baseline; effort-cost budget; RACI/timesheet; quality-test-defect; communication/minutes; risk register; procurement; change log; closure/lessons learned.</v>
      </c>
      <c r="M693" t="str">
        <f>'Huong dan giao do an'!$B$33</f>
        <v>Tuần 1: 07.09–13.09.2026; Tuần 2: 14.09–20.09.2026; Tuần 3: 21.09–27.09.2026; Tuần 4: 28.09–04.10.2026; Tuần 5: 05.10–11.10.2026; Tuần 6: 12.10–18.10.2026; Tuần 7: 19.10–25.10.2026; Tuần 8: 26.10–01.11.2026.</v>
      </c>
      <c r="N6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3" s="17" t="str">
        <f t="shared" si="10"/>
        <v>Còn trống</v>
      </c>
    </row>
    <row r="694" spans="1:16" x14ac:dyDescent="0.3">
      <c r="A694">
        <v>693</v>
      </c>
      <c r="B694" t="s">
        <v>1400</v>
      </c>
      <c r="C694" t="s">
        <v>1612</v>
      </c>
      <c r="D694" t="s">
        <v>1613</v>
      </c>
      <c r="E694" t="s">
        <v>40</v>
      </c>
      <c r="F694" t="s">
        <v>1412</v>
      </c>
      <c r="G694" t="s">
        <v>1446</v>
      </c>
      <c r="H694" t="str">
        <f>'Huong dan giao do an'!$B$14</f>
        <v>5 SV (vai trò chính): 1 PM/Scrum Master kiêm Integration; 2 BA/PO; 3 UI-UX + Frontend; 4 Backend/API + DevOps; 5 Database + QA/Tester. Mỗi SV có nhiệm vụ phụ và minh chứng cá nhân.</v>
      </c>
      <c r="I694" t="s">
        <v>22</v>
      </c>
      <c r="J694" t="s">
        <v>30</v>
      </c>
      <c r="K694" t="str">
        <f>IF(I694="Trung bình",'Huong dan giao do an'!$B$8,IF(I694="Khá",'Huong dan giao do an'!$B$9,'Huong dan giao do an'!$B$10))</f>
        <v>Tối thiểu 4 actor; 10-14 use case; 8-12 bảng; 3 quy trình lõi; phân quyền chi tiết; 2 báo cáo; tích hợp 1 dịch vụ; &gt;=35 test case; CI/CD hoặc deploy cloud.</v>
      </c>
      <c r="L694" t="str">
        <f>'Huong dan giao do an'!$B$31</f>
        <v>Bắt buộc: Charter/PMP; SRS + scope/WBS; Gantt/baseline; effort-cost budget; RACI/timesheet; quality-test-defect; communication/minutes; risk register; procurement; change log; closure/lessons learned.</v>
      </c>
      <c r="M694" t="str">
        <f>'Huong dan giao do an'!$B$33</f>
        <v>Tuần 1: 07.09–13.09.2026; Tuần 2: 14.09–20.09.2026; Tuần 3: 21.09–27.09.2026; Tuần 4: 28.09–04.10.2026; Tuần 5: 05.10–11.10.2026; Tuần 6: 12.10–18.10.2026; Tuần 7: 19.10–25.10.2026; Tuần 8: 26.10–01.11.2026.</v>
      </c>
      <c r="N6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4" s="17" t="str">
        <f t="shared" si="10"/>
        <v>Còn trống</v>
      </c>
    </row>
    <row r="695" spans="1:16" x14ac:dyDescent="0.3">
      <c r="A695">
        <v>694</v>
      </c>
      <c r="B695" t="s">
        <v>1400</v>
      </c>
      <c r="C695" t="s">
        <v>1614</v>
      </c>
      <c r="D695" t="s">
        <v>1615</v>
      </c>
      <c r="E695" t="s">
        <v>45</v>
      </c>
      <c r="F695" t="s">
        <v>1417</v>
      </c>
      <c r="G695" t="s">
        <v>1449</v>
      </c>
      <c r="H695" t="str">
        <f>'Huong dan giao do an'!$B$14</f>
        <v>5 SV (vai trò chính): 1 PM/Scrum Master kiêm Integration; 2 BA/PO; 3 UI-UX + Frontend; 4 Backend/API + DevOps; 5 Database + QA/Tester. Mỗi SV có nhiệm vụ phụ và minh chứng cá nhân.</v>
      </c>
      <c r="I695" t="s">
        <v>29</v>
      </c>
      <c r="J695" t="s">
        <v>1409</v>
      </c>
      <c r="K695" t="str">
        <f>IF(I695="Trung bình",'Huong dan giao do an'!$B$8,IF(I695="Khá",'Huong dan giao do an'!$B$9,'Huong dan giao do an'!$B$10))</f>
        <v>Tối thiểu 5 actor; 14-18 use case; 10-15 bảng; 4 quy trình; tích hợp ngoài/realtime hoặc xử lý nâng cao; 3 báo cáo; &gt;=45 test case; logging, backup và deploy.</v>
      </c>
      <c r="L695" t="str">
        <f>'Huong dan giao do an'!$B$31</f>
        <v>Bắt buộc: Charter/PMP; SRS + scope/WBS; Gantt/baseline; effort-cost budget; RACI/timesheet; quality-test-defect; communication/minutes; risk register; procurement; change log; closure/lessons learned.</v>
      </c>
      <c r="M695" t="str">
        <f>'Huong dan giao do an'!$B$33</f>
        <v>Tuần 1: 07.09–13.09.2026; Tuần 2: 14.09–20.09.2026; Tuần 3: 21.09–27.09.2026; Tuần 4: 28.09–04.10.2026; Tuần 5: 05.10–11.10.2026; Tuần 6: 12.10–18.10.2026; Tuần 7: 19.10–25.10.2026; Tuần 8: 26.10–01.11.2026.</v>
      </c>
      <c r="N6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5" s="17" t="str">
        <f t="shared" si="10"/>
        <v>Còn trống</v>
      </c>
    </row>
    <row r="696" spans="1:16" x14ac:dyDescent="0.3">
      <c r="A696">
        <v>695</v>
      </c>
      <c r="B696" t="s">
        <v>1400</v>
      </c>
      <c r="C696" t="s">
        <v>1616</v>
      </c>
      <c r="D696" t="s">
        <v>1617</v>
      </c>
      <c r="E696" t="s">
        <v>19</v>
      </c>
      <c r="F696" t="s">
        <v>1421</v>
      </c>
      <c r="G696" t="s">
        <v>1452</v>
      </c>
      <c r="H696" t="str">
        <f>'Huong dan giao do an'!$B$14</f>
        <v>5 SV (vai trò chính): 1 PM/Scrum Master kiêm Integration; 2 BA/PO; 3 UI-UX + Frontend; 4 Backend/API + DevOps; 5 Database + QA/Tester. Mỗi SV có nhiệm vụ phụ và minh chứng cá nhân.</v>
      </c>
      <c r="I696" t="s">
        <v>36</v>
      </c>
      <c r="J696" t="s">
        <v>1414</v>
      </c>
      <c r="K696" t="str">
        <f>IF(I696="Trung bình",'Huong dan giao do an'!$B$8,IF(I696="Khá",'Huong dan giao do an'!$B$9,'Huong dan giao do an'!$B$10))</f>
        <v>Tối thiểu 3 actor; 8-10 use case; 6-8 bảng dữ liệu; 2 quy trình lõi; đăng nhập/RBAC; 1 dashboard; 1 báo cáo; &gt;=25 test case; triển khai bản demo.</v>
      </c>
      <c r="L696" t="str">
        <f>'Huong dan giao do an'!$B$31</f>
        <v>Bắt buộc: Charter/PMP; SRS + scope/WBS; Gantt/baseline; effort-cost budget; RACI/timesheet; quality-test-defect; communication/minutes; risk register; procurement; change log; closure/lessons learned.</v>
      </c>
      <c r="M696" t="str">
        <f>'Huong dan giao do an'!$B$33</f>
        <v>Tuần 1: 07.09–13.09.2026; Tuần 2: 14.09–20.09.2026; Tuần 3: 21.09–27.09.2026; Tuần 4: 28.09–04.10.2026; Tuần 5: 05.10–11.10.2026; Tuần 6: 12.10–18.10.2026; Tuần 7: 19.10–25.10.2026; Tuần 8: 26.10–01.11.2026.</v>
      </c>
      <c r="N6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6" s="17" t="str">
        <f t="shared" si="10"/>
        <v>Còn trống</v>
      </c>
    </row>
    <row r="697" spans="1:16" x14ac:dyDescent="0.3">
      <c r="A697">
        <v>696</v>
      </c>
      <c r="B697" t="s">
        <v>1400</v>
      </c>
      <c r="C697" t="s">
        <v>1618</v>
      </c>
      <c r="D697" t="s">
        <v>1619</v>
      </c>
      <c r="E697" t="s">
        <v>26</v>
      </c>
      <c r="F697" t="s">
        <v>1403</v>
      </c>
      <c r="G697" t="s">
        <v>1455</v>
      </c>
      <c r="H697" t="str">
        <f>'Huong dan giao do an'!$B$14</f>
        <v>5 SV (vai trò chính): 1 PM/Scrum Master kiêm Integration; 2 BA/PO; 3 UI-UX + Frontend; 4 Backend/API + DevOps; 5 Database + QA/Tester. Mỗi SV có nhiệm vụ phụ và minh chứng cá nhân.</v>
      </c>
      <c r="I697" t="s">
        <v>22</v>
      </c>
      <c r="J697" t="s">
        <v>30</v>
      </c>
      <c r="K697" t="str">
        <f>IF(I697="Trung bình",'Huong dan giao do an'!$B$8,IF(I697="Khá",'Huong dan giao do an'!$B$9,'Huong dan giao do an'!$B$10))</f>
        <v>Tối thiểu 4 actor; 10-14 use case; 8-12 bảng; 3 quy trình lõi; phân quyền chi tiết; 2 báo cáo; tích hợp 1 dịch vụ; &gt;=35 test case; CI/CD hoặc deploy cloud.</v>
      </c>
      <c r="L697" t="str">
        <f>'Huong dan giao do an'!$B$31</f>
        <v>Bắt buộc: Charter/PMP; SRS + scope/WBS; Gantt/baseline; effort-cost budget; RACI/timesheet; quality-test-defect; communication/minutes; risk register; procurement; change log; closure/lessons learned.</v>
      </c>
      <c r="M697" t="str">
        <f>'Huong dan giao do an'!$B$33</f>
        <v>Tuần 1: 07.09–13.09.2026; Tuần 2: 14.09–20.09.2026; Tuần 3: 21.09–27.09.2026; Tuần 4: 28.09–04.10.2026; Tuần 5: 05.10–11.10.2026; Tuần 6: 12.10–18.10.2026; Tuần 7: 19.10–25.10.2026; Tuần 8: 26.10–01.11.2026.</v>
      </c>
      <c r="N6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7" s="17" t="str">
        <f t="shared" si="10"/>
        <v>Còn trống</v>
      </c>
    </row>
    <row r="698" spans="1:16" x14ac:dyDescent="0.3">
      <c r="A698">
        <v>697</v>
      </c>
      <c r="B698" t="s">
        <v>1400</v>
      </c>
      <c r="C698" t="s">
        <v>1620</v>
      </c>
      <c r="D698" t="s">
        <v>1621</v>
      </c>
      <c r="E698" t="s">
        <v>33</v>
      </c>
      <c r="F698" t="s">
        <v>1407</v>
      </c>
      <c r="G698" t="s">
        <v>1458</v>
      </c>
      <c r="H698" t="str">
        <f>'Huong dan giao do an'!$B$14</f>
        <v>5 SV (vai trò chính): 1 PM/Scrum Master kiêm Integration; 2 BA/PO; 3 UI-UX + Frontend; 4 Backend/API + DevOps; 5 Database + QA/Tester. Mỗi SV có nhiệm vụ phụ và minh chứng cá nhân.</v>
      </c>
      <c r="I698" t="s">
        <v>29</v>
      </c>
      <c r="J698" t="s">
        <v>1409</v>
      </c>
      <c r="K698" t="str">
        <f>IF(I698="Trung bình",'Huong dan giao do an'!$B$8,IF(I698="Khá",'Huong dan giao do an'!$B$9,'Huong dan giao do an'!$B$10))</f>
        <v>Tối thiểu 5 actor; 14-18 use case; 10-15 bảng; 4 quy trình; tích hợp ngoài/realtime hoặc xử lý nâng cao; 3 báo cáo; &gt;=45 test case; logging, backup và deploy.</v>
      </c>
      <c r="L698" t="str">
        <f>'Huong dan giao do an'!$B$31</f>
        <v>Bắt buộc: Charter/PMP; SRS + scope/WBS; Gantt/baseline; effort-cost budget; RACI/timesheet; quality-test-defect; communication/minutes; risk register; procurement; change log; closure/lessons learned.</v>
      </c>
      <c r="M698" t="str">
        <f>'Huong dan giao do an'!$B$33</f>
        <v>Tuần 1: 07.09–13.09.2026; Tuần 2: 14.09–20.09.2026; Tuần 3: 21.09–27.09.2026; Tuần 4: 28.09–04.10.2026; Tuần 5: 05.10–11.10.2026; Tuần 6: 12.10–18.10.2026; Tuần 7: 19.10–25.10.2026; Tuần 8: 26.10–01.11.2026.</v>
      </c>
      <c r="N6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8" s="17" t="str">
        <f t="shared" si="10"/>
        <v>Còn trống</v>
      </c>
    </row>
    <row r="699" spans="1:16" x14ac:dyDescent="0.3">
      <c r="A699">
        <v>698</v>
      </c>
      <c r="B699" t="s">
        <v>1400</v>
      </c>
      <c r="C699" t="s">
        <v>1622</v>
      </c>
      <c r="D699" t="s">
        <v>1623</v>
      </c>
      <c r="E699" t="s">
        <v>40</v>
      </c>
      <c r="F699" t="s">
        <v>1412</v>
      </c>
      <c r="G699" t="s">
        <v>1461</v>
      </c>
      <c r="H699" t="str">
        <f>'Huong dan giao do an'!$B$14</f>
        <v>5 SV (vai trò chính): 1 PM/Scrum Master kiêm Integration; 2 BA/PO; 3 UI-UX + Frontend; 4 Backend/API + DevOps; 5 Database + QA/Tester. Mỗi SV có nhiệm vụ phụ và minh chứng cá nhân.</v>
      </c>
      <c r="I699" t="s">
        <v>36</v>
      </c>
      <c r="J699" t="s">
        <v>1414</v>
      </c>
      <c r="K699" t="str">
        <f>IF(I699="Trung bình",'Huong dan giao do an'!$B$8,IF(I699="Khá",'Huong dan giao do an'!$B$9,'Huong dan giao do an'!$B$10))</f>
        <v>Tối thiểu 3 actor; 8-10 use case; 6-8 bảng dữ liệu; 2 quy trình lõi; đăng nhập/RBAC; 1 dashboard; 1 báo cáo; &gt;=25 test case; triển khai bản demo.</v>
      </c>
      <c r="L699" t="str">
        <f>'Huong dan giao do an'!$B$31</f>
        <v>Bắt buộc: Charter/PMP; SRS + scope/WBS; Gantt/baseline; effort-cost budget; RACI/timesheet; quality-test-defect; communication/minutes; risk register; procurement; change log; closure/lessons learned.</v>
      </c>
      <c r="M699" t="str">
        <f>'Huong dan giao do an'!$B$33</f>
        <v>Tuần 1: 07.09–13.09.2026; Tuần 2: 14.09–20.09.2026; Tuần 3: 21.09–27.09.2026; Tuần 4: 28.09–04.10.2026; Tuần 5: 05.10–11.10.2026; Tuần 6: 12.10–18.10.2026; Tuần 7: 19.10–25.10.2026; Tuần 8: 26.10–01.11.2026.</v>
      </c>
      <c r="N6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699" s="17" t="str">
        <f t="shared" si="10"/>
        <v>Còn trống</v>
      </c>
    </row>
    <row r="700" spans="1:16" x14ac:dyDescent="0.3">
      <c r="A700">
        <v>699</v>
      </c>
      <c r="B700" t="s">
        <v>1400</v>
      </c>
      <c r="C700" t="s">
        <v>1624</v>
      </c>
      <c r="D700" t="s">
        <v>1625</v>
      </c>
      <c r="E700" t="s">
        <v>45</v>
      </c>
      <c r="F700" t="s">
        <v>1417</v>
      </c>
      <c r="G700" t="s">
        <v>1464</v>
      </c>
      <c r="H700" t="str">
        <f>'Huong dan giao do an'!$B$14</f>
        <v>5 SV (vai trò chính): 1 PM/Scrum Master kiêm Integration; 2 BA/PO; 3 UI-UX + Frontend; 4 Backend/API + DevOps; 5 Database + QA/Tester. Mỗi SV có nhiệm vụ phụ và minh chứng cá nhân.</v>
      </c>
      <c r="I700" t="s">
        <v>22</v>
      </c>
      <c r="J700" t="s">
        <v>30</v>
      </c>
      <c r="K700" t="str">
        <f>IF(I700="Trung bình",'Huong dan giao do an'!$B$8,IF(I700="Khá",'Huong dan giao do an'!$B$9,'Huong dan giao do an'!$B$10))</f>
        <v>Tối thiểu 4 actor; 10-14 use case; 8-12 bảng; 3 quy trình lõi; phân quyền chi tiết; 2 báo cáo; tích hợp 1 dịch vụ; &gt;=35 test case; CI/CD hoặc deploy cloud.</v>
      </c>
      <c r="L700" t="str">
        <f>'Huong dan giao do an'!$B$31</f>
        <v>Bắt buộc: Charter/PMP; SRS + scope/WBS; Gantt/baseline; effort-cost budget; RACI/timesheet; quality-test-defect; communication/minutes; risk register; procurement; change log; closure/lessons learned.</v>
      </c>
      <c r="M700" t="str">
        <f>'Huong dan giao do an'!$B$33</f>
        <v>Tuần 1: 07.09–13.09.2026; Tuần 2: 14.09–20.09.2026; Tuần 3: 21.09–27.09.2026; Tuần 4: 28.09–04.10.2026; Tuần 5: 05.10–11.10.2026; Tuần 6: 12.10–18.10.2026; Tuần 7: 19.10–25.10.2026; Tuần 8: 26.10–01.11.2026.</v>
      </c>
      <c r="N7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0" s="17" t="str">
        <f t="shared" si="10"/>
        <v>Còn trống</v>
      </c>
    </row>
    <row r="701" spans="1:16" x14ac:dyDescent="0.3">
      <c r="A701">
        <v>700</v>
      </c>
      <c r="B701" t="s">
        <v>1400</v>
      </c>
      <c r="C701" t="s">
        <v>1626</v>
      </c>
      <c r="D701" t="s">
        <v>1627</v>
      </c>
      <c r="E701" t="s">
        <v>19</v>
      </c>
      <c r="F701" t="s">
        <v>1421</v>
      </c>
      <c r="G701" t="s">
        <v>1467</v>
      </c>
      <c r="H701" t="str">
        <f>'Huong dan giao do an'!$B$14</f>
        <v>5 SV (vai trò chính): 1 PM/Scrum Master kiêm Integration; 2 BA/PO; 3 UI-UX + Frontend; 4 Backend/API + DevOps; 5 Database + QA/Tester. Mỗi SV có nhiệm vụ phụ và minh chứng cá nhân.</v>
      </c>
      <c r="I701" t="s">
        <v>29</v>
      </c>
      <c r="J701" t="s">
        <v>1409</v>
      </c>
      <c r="K701" t="str">
        <f>IF(I701="Trung bình",'Huong dan giao do an'!$B$8,IF(I701="Khá",'Huong dan giao do an'!$B$9,'Huong dan giao do an'!$B$10))</f>
        <v>Tối thiểu 5 actor; 14-18 use case; 10-15 bảng; 4 quy trình; tích hợp ngoài/realtime hoặc xử lý nâng cao; 3 báo cáo; &gt;=45 test case; logging, backup và deploy.</v>
      </c>
      <c r="L701" t="str">
        <f>'Huong dan giao do an'!$B$31</f>
        <v>Bắt buộc: Charter/PMP; SRS + scope/WBS; Gantt/baseline; effort-cost budget; RACI/timesheet; quality-test-defect; communication/minutes; risk register; procurement; change log; closure/lessons learned.</v>
      </c>
      <c r="M701" t="str">
        <f>'Huong dan giao do an'!$B$33</f>
        <v>Tuần 1: 07.09–13.09.2026; Tuần 2: 14.09–20.09.2026; Tuần 3: 21.09–27.09.2026; Tuần 4: 28.09–04.10.2026; Tuần 5: 05.10–11.10.2026; Tuần 6: 12.10–18.10.2026; Tuần 7: 19.10–25.10.2026; Tuần 8: 26.10–01.11.2026.</v>
      </c>
      <c r="N7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1" s="17" t="str">
        <f t="shared" si="10"/>
        <v>Còn trống</v>
      </c>
    </row>
    <row r="702" spans="1:16" x14ac:dyDescent="0.3">
      <c r="A702">
        <v>701</v>
      </c>
      <c r="B702" t="s">
        <v>1628</v>
      </c>
      <c r="C702" t="s">
        <v>1629</v>
      </c>
      <c r="D702" t="s">
        <v>1630</v>
      </c>
      <c r="E702" t="s">
        <v>33</v>
      </c>
      <c r="F702" t="s">
        <v>1631</v>
      </c>
      <c r="G702" t="s">
        <v>1632</v>
      </c>
      <c r="H702" t="str">
        <f>'Huong dan giao do an'!$B$14</f>
        <v>5 SV (vai trò chính): 1 PM/Scrum Master kiêm Integration; 2 BA/PO; 3 UI-UX + Frontend; 4 Backend/API + DevOps; 5 Database + QA/Tester. Mỗi SV có nhiệm vụ phụ và minh chứng cá nhân.</v>
      </c>
      <c r="I702" t="s">
        <v>22</v>
      </c>
      <c r="J702" t="s">
        <v>1633</v>
      </c>
      <c r="K702" t="str">
        <f>IF(I702="Trung bình",'Huong dan giao do an'!$B$8,IF(I702="Khá",'Huong dan giao do an'!$B$9,'Huong dan giao do an'!$B$10))</f>
        <v>Tối thiểu 4 actor; 10-14 use case; 8-12 bảng; 3 quy trình lõi; phân quyền chi tiết; 2 báo cáo; tích hợp 1 dịch vụ; &gt;=35 test case; CI/CD hoặc deploy cloud.</v>
      </c>
      <c r="L702" t="str">
        <f>'Huong dan giao do an'!$B$31</f>
        <v>Bắt buộc: Charter/PMP; SRS + scope/WBS; Gantt/baseline; effort-cost budget; RACI/timesheet; quality-test-defect; communication/minutes; risk register; procurement; change log; closure/lessons learned.</v>
      </c>
      <c r="M702" t="str">
        <f>'Huong dan giao do an'!$B$33</f>
        <v>Tuần 1: 07.09–13.09.2026; Tuần 2: 14.09–20.09.2026; Tuần 3: 21.09–27.09.2026; Tuần 4: 28.09–04.10.2026; Tuần 5: 05.10–11.10.2026; Tuần 6: 12.10–18.10.2026; Tuần 7: 19.10–25.10.2026; Tuần 8: 26.10–01.11.2026.</v>
      </c>
      <c r="N7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2" s="17" t="str">
        <f t="shared" si="10"/>
        <v>Còn trống</v>
      </c>
    </row>
    <row r="703" spans="1:16" x14ac:dyDescent="0.3">
      <c r="A703">
        <v>702</v>
      </c>
      <c r="B703" t="s">
        <v>1628</v>
      </c>
      <c r="C703" t="s">
        <v>1634</v>
      </c>
      <c r="D703" t="s">
        <v>1635</v>
      </c>
      <c r="E703" t="s">
        <v>40</v>
      </c>
      <c r="F703" t="s">
        <v>1636</v>
      </c>
      <c r="G703" t="s">
        <v>1637</v>
      </c>
      <c r="H703" t="str">
        <f>'Huong dan giao do an'!$B$14</f>
        <v>5 SV (vai trò chính): 1 PM/Scrum Master kiêm Integration; 2 BA/PO; 3 UI-UX + Frontend; 4 Backend/API + DevOps; 5 Database + QA/Tester. Mỗi SV có nhiệm vụ phụ và minh chứng cá nhân.</v>
      </c>
      <c r="I703" t="s">
        <v>29</v>
      </c>
      <c r="J703" t="s">
        <v>1638</v>
      </c>
      <c r="K703" t="str">
        <f>IF(I703="Trung bình",'Huong dan giao do an'!$B$8,IF(I703="Khá",'Huong dan giao do an'!$B$9,'Huong dan giao do an'!$B$10))</f>
        <v>Tối thiểu 5 actor; 14-18 use case; 10-15 bảng; 4 quy trình; tích hợp ngoài/realtime hoặc xử lý nâng cao; 3 báo cáo; &gt;=45 test case; logging, backup và deploy.</v>
      </c>
      <c r="L703" t="str">
        <f>'Huong dan giao do an'!$B$31</f>
        <v>Bắt buộc: Charter/PMP; SRS + scope/WBS; Gantt/baseline; effort-cost budget; RACI/timesheet; quality-test-defect; communication/minutes; risk register; procurement; change log; closure/lessons learned.</v>
      </c>
      <c r="M703" t="str">
        <f>'Huong dan giao do an'!$B$33</f>
        <v>Tuần 1: 07.09–13.09.2026; Tuần 2: 14.09–20.09.2026; Tuần 3: 21.09–27.09.2026; Tuần 4: 28.09–04.10.2026; Tuần 5: 05.10–11.10.2026; Tuần 6: 12.10–18.10.2026; Tuần 7: 19.10–25.10.2026; Tuần 8: 26.10–01.11.2026.</v>
      </c>
      <c r="N7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3" s="17" t="str">
        <f t="shared" si="10"/>
        <v>Còn trống</v>
      </c>
    </row>
    <row r="704" spans="1:16" x14ac:dyDescent="0.3">
      <c r="A704">
        <v>703</v>
      </c>
      <c r="B704" t="s">
        <v>1628</v>
      </c>
      <c r="C704" t="s">
        <v>1639</v>
      </c>
      <c r="D704" t="s">
        <v>1640</v>
      </c>
      <c r="E704" t="s">
        <v>45</v>
      </c>
      <c r="F704" t="s">
        <v>1641</v>
      </c>
      <c r="G704" t="s">
        <v>1642</v>
      </c>
      <c r="H704" t="str">
        <f>'Huong dan giao do an'!$B$14</f>
        <v>5 SV (vai trò chính): 1 PM/Scrum Master kiêm Integration; 2 BA/PO; 3 UI-UX + Frontend; 4 Backend/API + DevOps; 5 Database + QA/Tester. Mỗi SV có nhiệm vụ phụ và minh chứng cá nhân.</v>
      </c>
      <c r="I704" t="s">
        <v>36</v>
      </c>
      <c r="J704" t="s">
        <v>1643</v>
      </c>
      <c r="K704" t="str">
        <f>IF(I704="Trung bình",'Huong dan giao do an'!$B$8,IF(I704="Khá",'Huong dan giao do an'!$B$9,'Huong dan giao do an'!$B$10))</f>
        <v>Tối thiểu 3 actor; 8-10 use case; 6-8 bảng dữ liệu; 2 quy trình lõi; đăng nhập/RBAC; 1 dashboard; 1 báo cáo; &gt;=25 test case; triển khai bản demo.</v>
      </c>
      <c r="L704" t="str">
        <f>'Huong dan giao do an'!$B$31</f>
        <v>Bắt buộc: Charter/PMP; SRS + scope/WBS; Gantt/baseline; effort-cost budget; RACI/timesheet; quality-test-defect; communication/minutes; risk register; procurement; change log; closure/lessons learned.</v>
      </c>
      <c r="M704" t="str">
        <f>'Huong dan giao do an'!$B$33</f>
        <v>Tuần 1: 07.09–13.09.2026; Tuần 2: 14.09–20.09.2026; Tuần 3: 21.09–27.09.2026; Tuần 4: 28.09–04.10.2026; Tuần 5: 05.10–11.10.2026; Tuần 6: 12.10–18.10.2026; Tuần 7: 19.10–25.10.2026; Tuần 8: 26.10–01.11.2026.</v>
      </c>
      <c r="N7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4" s="17" t="str">
        <f t="shared" si="10"/>
        <v>Còn trống</v>
      </c>
    </row>
    <row r="705" spans="1:16" x14ac:dyDescent="0.3">
      <c r="A705">
        <v>704</v>
      </c>
      <c r="B705" t="s">
        <v>1628</v>
      </c>
      <c r="C705" t="s">
        <v>1644</v>
      </c>
      <c r="D705" t="s">
        <v>1645</v>
      </c>
      <c r="E705" t="s">
        <v>19</v>
      </c>
      <c r="F705" t="s">
        <v>1646</v>
      </c>
      <c r="G705" t="s">
        <v>1647</v>
      </c>
      <c r="H705" t="str">
        <f>'Huong dan giao do an'!$B$14</f>
        <v>5 SV (vai trò chính): 1 PM/Scrum Master kiêm Integration; 2 BA/PO; 3 UI-UX + Frontend; 4 Backend/API + DevOps; 5 Database + QA/Tester. Mỗi SV có nhiệm vụ phụ và minh chứng cá nhân.</v>
      </c>
      <c r="I705" t="s">
        <v>22</v>
      </c>
      <c r="J705" t="s">
        <v>1633</v>
      </c>
      <c r="K705" t="str">
        <f>IF(I705="Trung bình",'Huong dan giao do an'!$B$8,IF(I705="Khá",'Huong dan giao do an'!$B$9,'Huong dan giao do an'!$B$10))</f>
        <v>Tối thiểu 4 actor; 10-14 use case; 8-12 bảng; 3 quy trình lõi; phân quyền chi tiết; 2 báo cáo; tích hợp 1 dịch vụ; &gt;=35 test case; CI/CD hoặc deploy cloud.</v>
      </c>
      <c r="L705" t="str">
        <f>'Huong dan giao do an'!$B$31</f>
        <v>Bắt buộc: Charter/PMP; SRS + scope/WBS; Gantt/baseline; effort-cost budget; RACI/timesheet; quality-test-defect; communication/minutes; risk register; procurement; change log; closure/lessons learned.</v>
      </c>
      <c r="M705" t="str">
        <f>'Huong dan giao do an'!$B$33</f>
        <v>Tuần 1: 07.09–13.09.2026; Tuần 2: 14.09–20.09.2026; Tuần 3: 21.09–27.09.2026; Tuần 4: 28.09–04.10.2026; Tuần 5: 05.10–11.10.2026; Tuần 6: 12.10–18.10.2026; Tuần 7: 19.10–25.10.2026; Tuần 8: 26.10–01.11.2026.</v>
      </c>
      <c r="N7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5" s="17" t="str">
        <f t="shared" si="10"/>
        <v>Còn trống</v>
      </c>
    </row>
    <row r="706" spans="1:16" x14ac:dyDescent="0.3">
      <c r="A706">
        <v>705</v>
      </c>
      <c r="B706" t="s">
        <v>1628</v>
      </c>
      <c r="C706" t="s">
        <v>1648</v>
      </c>
      <c r="D706" t="s">
        <v>1649</v>
      </c>
      <c r="E706" t="s">
        <v>26</v>
      </c>
      <c r="F706" t="s">
        <v>1650</v>
      </c>
      <c r="G706" t="s">
        <v>1651</v>
      </c>
      <c r="H706" t="str">
        <f>'Huong dan giao do an'!$B$14</f>
        <v>5 SV (vai trò chính): 1 PM/Scrum Master kiêm Integration; 2 BA/PO; 3 UI-UX + Frontend; 4 Backend/API + DevOps; 5 Database + QA/Tester. Mỗi SV có nhiệm vụ phụ và minh chứng cá nhân.</v>
      </c>
      <c r="I706" t="s">
        <v>29</v>
      </c>
      <c r="J706" t="s">
        <v>1638</v>
      </c>
      <c r="K706" t="str">
        <f>IF(I706="Trung bình",'Huong dan giao do an'!$B$8,IF(I706="Khá",'Huong dan giao do an'!$B$9,'Huong dan giao do an'!$B$10))</f>
        <v>Tối thiểu 5 actor; 14-18 use case; 10-15 bảng; 4 quy trình; tích hợp ngoài/realtime hoặc xử lý nâng cao; 3 báo cáo; &gt;=45 test case; logging, backup và deploy.</v>
      </c>
      <c r="L706" t="str">
        <f>'Huong dan giao do an'!$B$31</f>
        <v>Bắt buộc: Charter/PMP; SRS + scope/WBS; Gantt/baseline; effort-cost budget; RACI/timesheet; quality-test-defect; communication/minutes; risk register; procurement; change log; closure/lessons learned.</v>
      </c>
      <c r="M706" t="str">
        <f>'Huong dan giao do an'!$B$33</f>
        <v>Tuần 1: 07.09–13.09.2026; Tuần 2: 14.09–20.09.2026; Tuần 3: 21.09–27.09.2026; Tuần 4: 28.09–04.10.2026; Tuần 5: 05.10–11.10.2026; Tuần 6: 12.10–18.10.2026; Tuần 7: 19.10–25.10.2026; Tuần 8: 26.10–01.11.2026.</v>
      </c>
      <c r="N7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6" s="17" t="str">
        <f t="shared" si="10"/>
        <v>Còn trống</v>
      </c>
    </row>
    <row r="707" spans="1:16" x14ac:dyDescent="0.3">
      <c r="A707">
        <v>706</v>
      </c>
      <c r="B707" t="s">
        <v>1628</v>
      </c>
      <c r="C707" t="s">
        <v>1652</v>
      </c>
      <c r="D707" t="s">
        <v>1653</v>
      </c>
      <c r="E707" t="s">
        <v>33</v>
      </c>
      <c r="F707" t="s">
        <v>1631</v>
      </c>
      <c r="G707" t="s">
        <v>1654</v>
      </c>
      <c r="H707" t="str">
        <f>'Huong dan giao do an'!$B$14</f>
        <v>5 SV (vai trò chính): 1 PM/Scrum Master kiêm Integration; 2 BA/PO; 3 UI-UX + Frontend; 4 Backend/API + DevOps; 5 Database + QA/Tester. Mỗi SV có nhiệm vụ phụ và minh chứng cá nhân.</v>
      </c>
      <c r="I707" t="s">
        <v>36</v>
      </c>
      <c r="J707" t="s">
        <v>1643</v>
      </c>
      <c r="K707" t="str">
        <f>IF(I707="Trung bình",'Huong dan giao do an'!$B$8,IF(I707="Khá",'Huong dan giao do an'!$B$9,'Huong dan giao do an'!$B$10))</f>
        <v>Tối thiểu 3 actor; 8-10 use case; 6-8 bảng dữ liệu; 2 quy trình lõi; đăng nhập/RBAC; 1 dashboard; 1 báo cáo; &gt;=25 test case; triển khai bản demo.</v>
      </c>
      <c r="L707" t="str">
        <f>'Huong dan giao do an'!$B$31</f>
        <v>Bắt buộc: Charter/PMP; SRS + scope/WBS; Gantt/baseline; effort-cost budget; RACI/timesheet; quality-test-defect; communication/minutes; risk register; procurement; change log; closure/lessons learned.</v>
      </c>
      <c r="M707" t="str">
        <f>'Huong dan giao do an'!$B$33</f>
        <v>Tuần 1: 07.09–13.09.2026; Tuần 2: 14.09–20.09.2026; Tuần 3: 21.09–27.09.2026; Tuần 4: 28.09–04.10.2026; Tuần 5: 05.10–11.10.2026; Tuần 6: 12.10–18.10.2026; Tuần 7: 19.10–25.10.2026; Tuần 8: 26.10–01.11.2026.</v>
      </c>
      <c r="N7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7" s="17" t="str">
        <f t="shared" ref="P707:P770" si="11">IF(O707="","Còn trống","Đã đăng ký")</f>
        <v>Còn trống</v>
      </c>
    </row>
    <row r="708" spans="1:16" x14ac:dyDescent="0.3">
      <c r="A708">
        <v>707</v>
      </c>
      <c r="B708" t="s">
        <v>1628</v>
      </c>
      <c r="C708" t="s">
        <v>1655</v>
      </c>
      <c r="D708" t="s">
        <v>1656</v>
      </c>
      <c r="E708" t="s">
        <v>40</v>
      </c>
      <c r="F708" t="s">
        <v>1636</v>
      </c>
      <c r="G708" t="s">
        <v>1657</v>
      </c>
      <c r="H708" t="str">
        <f>'Huong dan giao do an'!$B$14</f>
        <v>5 SV (vai trò chính): 1 PM/Scrum Master kiêm Integration; 2 BA/PO; 3 UI-UX + Frontend; 4 Backend/API + DevOps; 5 Database + QA/Tester. Mỗi SV có nhiệm vụ phụ và minh chứng cá nhân.</v>
      </c>
      <c r="I708" t="s">
        <v>22</v>
      </c>
      <c r="J708" t="s">
        <v>1633</v>
      </c>
      <c r="K708" t="str">
        <f>IF(I708="Trung bình",'Huong dan giao do an'!$B$8,IF(I708="Khá",'Huong dan giao do an'!$B$9,'Huong dan giao do an'!$B$10))</f>
        <v>Tối thiểu 4 actor; 10-14 use case; 8-12 bảng; 3 quy trình lõi; phân quyền chi tiết; 2 báo cáo; tích hợp 1 dịch vụ; &gt;=35 test case; CI/CD hoặc deploy cloud.</v>
      </c>
      <c r="L708" t="str">
        <f>'Huong dan giao do an'!$B$31</f>
        <v>Bắt buộc: Charter/PMP; SRS + scope/WBS; Gantt/baseline; effort-cost budget; RACI/timesheet; quality-test-defect; communication/minutes; risk register; procurement; change log; closure/lessons learned.</v>
      </c>
      <c r="M708" t="str">
        <f>'Huong dan giao do an'!$B$33</f>
        <v>Tuần 1: 07.09–13.09.2026; Tuần 2: 14.09–20.09.2026; Tuần 3: 21.09–27.09.2026; Tuần 4: 28.09–04.10.2026; Tuần 5: 05.10–11.10.2026; Tuần 6: 12.10–18.10.2026; Tuần 7: 19.10–25.10.2026; Tuần 8: 26.10–01.11.2026.</v>
      </c>
      <c r="N7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8" s="17" t="str">
        <f t="shared" si="11"/>
        <v>Còn trống</v>
      </c>
    </row>
    <row r="709" spans="1:16" x14ac:dyDescent="0.3">
      <c r="A709">
        <v>708</v>
      </c>
      <c r="B709" t="s">
        <v>1628</v>
      </c>
      <c r="C709" t="s">
        <v>1658</v>
      </c>
      <c r="D709" t="s">
        <v>1659</v>
      </c>
      <c r="E709" t="s">
        <v>45</v>
      </c>
      <c r="F709" t="s">
        <v>1641</v>
      </c>
      <c r="G709" t="s">
        <v>1660</v>
      </c>
      <c r="H709" t="str">
        <f>'Huong dan giao do an'!$B$14</f>
        <v>5 SV (vai trò chính): 1 PM/Scrum Master kiêm Integration; 2 BA/PO; 3 UI-UX + Frontend; 4 Backend/API + DevOps; 5 Database + QA/Tester. Mỗi SV có nhiệm vụ phụ và minh chứng cá nhân.</v>
      </c>
      <c r="I709" t="s">
        <v>29</v>
      </c>
      <c r="J709" t="s">
        <v>1638</v>
      </c>
      <c r="K709" t="str">
        <f>IF(I709="Trung bình",'Huong dan giao do an'!$B$8,IF(I709="Khá",'Huong dan giao do an'!$B$9,'Huong dan giao do an'!$B$10))</f>
        <v>Tối thiểu 5 actor; 14-18 use case; 10-15 bảng; 4 quy trình; tích hợp ngoài/realtime hoặc xử lý nâng cao; 3 báo cáo; &gt;=45 test case; logging, backup và deploy.</v>
      </c>
      <c r="L709" t="str">
        <f>'Huong dan giao do an'!$B$31</f>
        <v>Bắt buộc: Charter/PMP; SRS + scope/WBS; Gantt/baseline; effort-cost budget; RACI/timesheet; quality-test-defect; communication/minutes; risk register; procurement; change log; closure/lessons learned.</v>
      </c>
      <c r="M709" t="str">
        <f>'Huong dan giao do an'!$B$33</f>
        <v>Tuần 1: 07.09–13.09.2026; Tuần 2: 14.09–20.09.2026; Tuần 3: 21.09–27.09.2026; Tuần 4: 28.09–04.10.2026; Tuần 5: 05.10–11.10.2026; Tuần 6: 12.10–18.10.2026; Tuần 7: 19.10–25.10.2026; Tuần 8: 26.10–01.11.2026.</v>
      </c>
      <c r="N7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09" s="17" t="str">
        <f t="shared" si="11"/>
        <v>Còn trống</v>
      </c>
    </row>
    <row r="710" spans="1:16" x14ac:dyDescent="0.3">
      <c r="A710">
        <v>709</v>
      </c>
      <c r="B710" t="s">
        <v>1628</v>
      </c>
      <c r="C710" t="s">
        <v>1661</v>
      </c>
      <c r="D710" t="s">
        <v>1662</v>
      </c>
      <c r="E710" t="s">
        <v>19</v>
      </c>
      <c r="F710" t="s">
        <v>1646</v>
      </c>
      <c r="G710" t="s">
        <v>1663</v>
      </c>
      <c r="H710" t="str">
        <f>'Huong dan giao do an'!$B$14</f>
        <v>5 SV (vai trò chính): 1 PM/Scrum Master kiêm Integration; 2 BA/PO; 3 UI-UX + Frontend; 4 Backend/API + DevOps; 5 Database + QA/Tester. Mỗi SV có nhiệm vụ phụ và minh chứng cá nhân.</v>
      </c>
      <c r="I710" t="s">
        <v>36</v>
      </c>
      <c r="J710" t="s">
        <v>1643</v>
      </c>
      <c r="K710" t="str">
        <f>IF(I710="Trung bình",'Huong dan giao do an'!$B$8,IF(I710="Khá",'Huong dan giao do an'!$B$9,'Huong dan giao do an'!$B$10))</f>
        <v>Tối thiểu 3 actor; 8-10 use case; 6-8 bảng dữ liệu; 2 quy trình lõi; đăng nhập/RBAC; 1 dashboard; 1 báo cáo; &gt;=25 test case; triển khai bản demo.</v>
      </c>
      <c r="L710" t="str">
        <f>'Huong dan giao do an'!$B$31</f>
        <v>Bắt buộc: Charter/PMP; SRS + scope/WBS; Gantt/baseline; effort-cost budget; RACI/timesheet; quality-test-defect; communication/minutes; risk register; procurement; change log; closure/lessons learned.</v>
      </c>
      <c r="M710" t="str">
        <f>'Huong dan giao do an'!$B$33</f>
        <v>Tuần 1: 07.09–13.09.2026; Tuần 2: 14.09–20.09.2026; Tuần 3: 21.09–27.09.2026; Tuần 4: 28.09–04.10.2026; Tuần 5: 05.10–11.10.2026; Tuần 6: 12.10–18.10.2026; Tuần 7: 19.10–25.10.2026; Tuần 8: 26.10–01.11.2026.</v>
      </c>
      <c r="N7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0" s="17" t="str">
        <f t="shared" si="11"/>
        <v>Còn trống</v>
      </c>
    </row>
    <row r="711" spans="1:16" x14ac:dyDescent="0.3">
      <c r="A711">
        <v>710</v>
      </c>
      <c r="B711" t="s">
        <v>1628</v>
      </c>
      <c r="C711" t="s">
        <v>1664</v>
      </c>
      <c r="D711" t="s">
        <v>1665</v>
      </c>
      <c r="E711" t="s">
        <v>26</v>
      </c>
      <c r="F711" t="s">
        <v>1650</v>
      </c>
      <c r="G711" t="s">
        <v>1666</v>
      </c>
      <c r="H711" t="str">
        <f>'Huong dan giao do an'!$B$14</f>
        <v>5 SV (vai trò chính): 1 PM/Scrum Master kiêm Integration; 2 BA/PO; 3 UI-UX + Frontend; 4 Backend/API + DevOps; 5 Database + QA/Tester. Mỗi SV có nhiệm vụ phụ và minh chứng cá nhân.</v>
      </c>
      <c r="I711" t="s">
        <v>22</v>
      </c>
      <c r="J711" t="s">
        <v>1633</v>
      </c>
      <c r="K711" t="str">
        <f>IF(I711="Trung bình",'Huong dan giao do an'!$B$8,IF(I711="Khá",'Huong dan giao do an'!$B$9,'Huong dan giao do an'!$B$10))</f>
        <v>Tối thiểu 4 actor; 10-14 use case; 8-12 bảng; 3 quy trình lõi; phân quyền chi tiết; 2 báo cáo; tích hợp 1 dịch vụ; &gt;=35 test case; CI/CD hoặc deploy cloud.</v>
      </c>
      <c r="L711" t="str">
        <f>'Huong dan giao do an'!$B$31</f>
        <v>Bắt buộc: Charter/PMP; SRS + scope/WBS; Gantt/baseline; effort-cost budget; RACI/timesheet; quality-test-defect; communication/minutes; risk register; procurement; change log; closure/lessons learned.</v>
      </c>
      <c r="M711" t="str">
        <f>'Huong dan giao do an'!$B$33</f>
        <v>Tuần 1: 07.09–13.09.2026; Tuần 2: 14.09–20.09.2026; Tuần 3: 21.09–27.09.2026; Tuần 4: 28.09–04.10.2026; Tuần 5: 05.10–11.10.2026; Tuần 6: 12.10–18.10.2026; Tuần 7: 19.10–25.10.2026; Tuần 8: 26.10–01.11.2026.</v>
      </c>
      <c r="N7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1" s="17" t="str">
        <f t="shared" si="11"/>
        <v>Còn trống</v>
      </c>
    </row>
    <row r="712" spans="1:16" x14ac:dyDescent="0.3">
      <c r="A712">
        <v>711</v>
      </c>
      <c r="B712" t="s">
        <v>1628</v>
      </c>
      <c r="C712" t="s">
        <v>1667</v>
      </c>
      <c r="D712" t="s">
        <v>1668</v>
      </c>
      <c r="E712" t="s">
        <v>33</v>
      </c>
      <c r="F712" t="s">
        <v>1631</v>
      </c>
      <c r="G712" t="s">
        <v>1669</v>
      </c>
      <c r="H712" t="str">
        <f>'Huong dan giao do an'!$B$14</f>
        <v>5 SV (vai trò chính): 1 PM/Scrum Master kiêm Integration; 2 BA/PO; 3 UI-UX + Frontend; 4 Backend/API + DevOps; 5 Database + QA/Tester. Mỗi SV có nhiệm vụ phụ và minh chứng cá nhân.</v>
      </c>
      <c r="I712" t="s">
        <v>29</v>
      </c>
      <c r="J712" t="s">
        <v>1638</v>
      </c>
      <c r="K712" t="str">
        <f>IF(I712="Trung bình",'Huong dan giao do an'!$B$8,IF(I712="Khá",'Huong dan giao do an'!$B$9,'Huong dan giao do an'!$B$10))</f>
        <v>Tối thiểu 5 actor; 14-18 use case; 10-15 bảng; 4 quy trình; tích hợp ngoài/realtime hoặc xử lý nâng cao; 3 báo cáo; &gt;=45 test case; logging, backup và deploy.</v>
      </c>
      <c r="L712" t="str">
        <f>'Huong dan giao do an'!$B$31</f>
        <v>Bắt buộc: Charter/PMP; SRS + scope/WBS; Gantt/baseline; effort-cost budget; RACI/timesheet; quality-test-defect; communication/minutes; risk register; procurement; change log; closure/lessons learned.</v>
      </c>
      <c r="M712" t="str">
        <f>'Huong dan giao do an'!$B$33</f>
        <v>Tuần 1: 07.09–13.09.2026; Tuần 2: 14.09–20.09.2026; Tuần 3: 21.09–27.09.2026; Tuần 4: 28.09–04.10.2026; Tuần 5: 05.10–11.10.2026; Tuần 6: 12.10–18.10.2026; Tuần 7: 19.10–25.10.2026; Tuần 8: 26.10–01.11.2026.</v>
      </c>
      <c r="N7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2" s="17" t="str">
        <f t="shared" si="11"/>
        <v>Còn trống</v>
      </c>
    </row>
    <row r="713" spans="1:16" x14ac:dyDescent="0.3">
      <c r="A713">
        <v>712</v>
      </c>
      <c r="B713" t="s">
        <v>1628</v>
      </c>
      <c r="C713" t="s">
        <v>1670</v>
      </c>
      <c r="D713" t="s">
        <v>1671</v>
      </c>
      <c r="E713" t="s">
        <v>40</v>
      </c>
      <c r="F713" t="s">
        <v>1636</v>
      </c>
      <c r="G713" t="s">
        <v>1672</v>
      </c>
      <c r="H713" t="str">
        <f>'Huong dan giao do an'!$B$14</f>
        <v>5 SV (vai trò chính): 1 PM/Scrum Master kiêm Integration; 2 BA/PO; 3 UI-UX + Frontend; 4 Backend/API + DevOps; 5 Database + QA/Tester. Mỗi SV có nhiệm vụ phụ và minh chứng cá nhân.</v>
      </c>
      <c r="I713" t="s">
        <v>36</v>
      </c>
      <c r="J713" t="s">
        <v>1643</v>
      </c>
      <c r="K713" t="str">
        <f>IF(I713="Trung bình",'Huong dan giao do an'!$B$8,IF(I713="Khá",'Huong dan giao do an'!$B$9,'Huong dan giao do an'!$B$10))</f>
        <v>Tối thiểu 3 actor; 8-10 use case; 6-8 bảng dữ liệu; 2 quy trình lõi; đăng nhập/RBAC; 1 dashboard; 1 báo cáo; &gt;=25 test case; triển khai bản demo.</v>
      </c>
      <c r="L713" t="str">
        <f>'Huong dan giao do an'!$B$31</f>
        <v>Bắt buộc: Charter/PMP; SRS + scope/WBS; Gantt/baseline; effort-cost budget; RACI/timesheet; quality-test-defect; communication/minutes; risk register; procurement; change log; closure/lessons learned.</v>
      </c>
      <c r="M713" t="str">
        <f>'Huong dan giao do an'!$B$33</f>
        <v>Tuần 1: 07.09–13.09.2026; Tuần 2: 14.09–20.09.2026; Tuần 3: 21.09–27.09.2026; Tuần 4: 28.09–04.10.2026; Tuần 5: 05.10–11.10.2026; Tuần 6: 12.10–18.10.2026; Tuần 7: 19.10–25.10.2026; Tuần 8: 26.10–01.11.2026.</v>
      </c>
      <c r="N7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3" s="17" t="str">
        <f t="shared" si="11"/>
        <v>Còn trống</v>
      </c>
    </row>
    <row r="714" spans="1:16" x14ac:dyDescent="0.3">
      <c r="A714">
        <v>713</v>
      </c>
      <c r="B714" t="s">
        <v>1628</v>
      </c>
      <c r="C714" t="s">
        <v>1673</v>
      </c>
      <c r="D714" t="s">
        <v>1674</v>
      </c>
      <c r="E714" t="s">
        <v>45</v>
      </c>
      <c r="F714" t="s">
        <v>1641</v>
      </c>
      <c r="G714" t="s">
        <v>1675</v>
      </c>
      <c r="H714" t="str">
        <f>'Huong dan giao do an'!$B$14</f>
        <v>5 SV (vai trò chính): 1 PM/Scrum Master kiêm Integration; 2 BA/PO; 3 UI-UX + Frontend; 4 Backend/API + DevOps; 5 Database + QA/Tester. Mỗi SV có nhiệm vụ phụ và minh chứng cá nhân.</v>
      </c>
      <c r="I714" t="s">
        <v>22</v>
      </c>
      <c r="J714" t="s">
        <v>1633</v>
      </c>
      <c r="K714" t="str">
        <f>IF(I714="Trung bình",'Huong dan giao do an'!$B$8,IF(I714="Khá",'Huong dan giao do an'!$B$9,'Huong dan giao do an'!$B$10))</f>
        <v>Tối thiểu 4 actor; 10-14 use case; 8-12 bảng; 3 quy trình lõi; phân quyền chi tiết; 2 báo cáo; tích hợp 1 dịch vụ; &gt;=35 test case; CI/CD hoặc deploy cloud.</v>
      </c>
      <c r="L714" t="str">
        <f>'Huong dan giao do an'!$B$31</f>
        <v>Bắt buộc: Charter/PMP; SRS + scope/WBS; Gantt/baseline; effort-cost budget; RACI/timesheet; quality-test-defect; communication/minutes; risk register; procurement; change log; closure/lessons learned.</v>
      </c>
      <c r="M714" t="str">
        <f>'Huong dan giao do an'!$B$33</f>
        <v>Tuần 1: 07.09–13.09.2026; Tuần 2: 14.09–20.09.2026; Tuần 3: 21.09–27.09.2026; Tuần 4: 28.09–04.10.2026; Tuần 5: 05.10–11.10.2026; Tuần 6: 12.10–18.10.2026; Tuần 7: 19.10–25.10.2026; Tuần 8: 26.10–01.11.2026.</v>
      </c>
      <c r="N7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4" s="17" t="str">
        <f t="shared" si="11"/>
        <v>Còn trống</v>
      </c>
    </row>
    <row r="715" spans="1:16" x14ac:dyDescent="0.3">
      <c r="A715">
        <v>714</v>
      </c>
      <c r="B715" t="s">
        <v>1628</v>
      </c>
      <c r="C715" t="s">
        <v>1676</v>
      </c>
      <c r="D715" t="s">
        <v>1677</v>
      </c>
      <c r="E715" t="s">
        <v>19</v>
      </c>
      <c r="F715" t="s">
        <v>1646</v>
      </c>
      <c r="G715" t="s">
        <v>1678</v>
      </c>
      <c r="H715" t="str">
        <f>'Huong dan giao do an'!$B$14</f>
        <v>5 SV (vai trò chính): 1 PM/Scrum Master kiêm Integration; 2 BA/PO; 3 UI-UX + Frontend; 4 Backend/API + DevOps; 5 Database + QA/Tester. Mỗi SV có nhiệm vụ phụ và minh chứng cá nhân.</v>
      </c>
      <c r="I715" t="s">
        <v>29</v>
      </c>
      <c r="J715" t="s">
        <v>1638</v>
      </c>
      <c r="K715" t="str">
        <f>IF(I715="Trung bình",'Huong dan giao do an'!$B$8,IF(I715="Khá",'Huong dan giao do an'!$B$9,'Huong dan giao do an'!$B$10))</f>
        <v>Tối thiểu 5 actor; 14-18 use case; 10-15 bảng; 4 quy trình; tích hợp ngoài/realtime hoặc xử lý nâng cao; 3 báo cáo; &gt;=45 test case; logging, backup và deploy.</v>
      </c>
      <c r="L715" t="str">
        <f>'Huong dan giao do an'!$B$31</f>
        <v>Bắt buộc: Charter/PMP; SRS + scope/WBS; Gantt/baseline; effort-cost budget; RACI/timesheet; quality-test-defect; communication/minutes; risk register; procurement; change log; closure/lessons learned.</v>
      </c>
      <c r="M715" t="str">
        <f>'Huong dan giao do an'!$B$33</f>
        <v>Tuần 1: 07.09–13.09.2026; Tuần 2: 14.09–20.09.2026; Tuần 3: 21.09–27.09.2026; Tuần 4: 28.09–04.10.2026; Tuần 5: 05.10–11.10.2026; Tuần 6: 12.10–18.10.2026; Tuần 7: 19.10–25.10.2026; Tuần 8: 26.10–01.11.2026.</v>
      </c>
      <c r="N7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5" s="17" t="str">
        <f t="shared" si="11"/>
        <v>Còn trống</v>
      </c>
    </row>
    <row r="716" spans="1:16" x14ac:dyDescent="0.3">
      <c r="A716">
        <v>715</v>
      </c>
      <c r="B716" t="s">
        <v>1628</v>
      </c>
      <c r="C716" t="s">
        <v>1679</v>
      </c>
      <c r="D716" t="s">
        <v>1680</v>
      </c>
      <c r="E716" t="s">
        <v>26</v>
      </c>
      <c r="F716" t="s">
        <v>1650</v>
      </c>
      <c r="G716" t="s">
        <v>1681</v>
      </c>
      <c r="H716" t="str">
        <f>'Huong dan giao do an'!$B$14</f>
        <v>5 SV (vai trò chính): 1 PM/Scrum Master kiêm Integration; 2 BA/PO; 3 UI-UX + Frontend; 4 Backend/API + DevOps; 5 Database + QA/Tester. Mỗi SV có nhiệm vụ phụ và minh chứng cá nhân.</v>
      </c>
      <c r="I716" t="s">
        <v>36</v>
      </c>
      <c r="J716" t="s">
        <v>1643</v>
      </c>
      <c r="K716" t="str">
        <f>IF(I716="Trung bình",'Huong dan giao do an'!$B$8,IF(I716="Khá",'Huong dan giao do an'!$B$9,'Huong dan giao do an'!$B$10))</f>
        <v>Tối thiểu 3 actor; 8-10 use case; 6-8 bảng dữ liệu; 2 quy trình lõi; đăng nhập/RBAC; 1 dashboard; 1 báo cáo; &gt;=25 test case; triển khai bản demo.</v>
      </c>
      <c r="L716" t="str">
        <f>'Huong dan giao do an'!$B$31</f>
        <v>Bắt buộc: Charter/PMP; SRS + scope/WBS; Gantt/baseline; effort-cost budget; RACI/timesheet; quality-test-defect; communication/minutes; risk register; procurement; change log; closure/lessons learned.</v>
      </c>
      <c r="M716" t="str">
        <f>'Huong dan giao do an'!$B$33</f>
        <v>Tuần 1: 07.09–13.09.2026; Tuần 2: 14.09–20.09.2026; Tuần 3: 21.09–27.09.2026; Tuần 4: 28.09–04.10.2026; Tuần 5: 05.10–11.10.2026; Tuần 6: 12.10–18.10.2026; Tuần 7: 19.10–25.10.2026; Tuần 8: 26.10–01.11.2026.</v>
      </c>
      <c r="N7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6" s="17" t="str">
        <f t="shared" si="11"/>
        <v>Còn trống</v>
      </c>
    </row>
    <row r="717" spans="1:16" x14ac:dyDescent="0.3">
      <c r="A717">
        <v>716</v>
      </c>
      <c r="B717" t="s">
        <v>1628</v>
      </c>
      <c r="C717" t="s">
        <v>1682</v>
      </c>
      <c r="D717" t="s">
        <v>1683</v>
      </c>
      <c r="E717" t="s">
        <v>33</v>
      </c>
      <c r="F717" t="s">
        <v>1631</v>
      </c>
      <c r="G717" t="s">
        <v>1684</v>
      </c>
      <c r="H717" t="str">
        <f>'Huong dan giao do an'!$B$14</f>
        <v>5 SV (vai trò chính): 1 PM/Scrum Master kiêm Integration; 2 BA/PO; 3 UI-UX + Frontend; 4 Backend/API + DevOps; 5 Database + QA/Tester. Mỗi SV có nhiệm vụ phụ và minh chứng cá nhân.</v>
      </c>
      <c r="I717" t="s">
        <v>22</v>
      </c>
      <c r="J717" t="s">
        <v>1633</v>
      </c>
      <c r="K717" t="str">
        <f>IF(I717="Trung bình",'Huong dan giao do an'!$B$8,IF(I717="Khá",'Huong dan giao do an'!$B$9,'Huong dan giao do an'!$B$10))</f>
        <v>Tối thiểu 4 actor; 10-14 use case; 8-12 bảng; 3 quy trình lõi; phân quyền chi tiết; 2 báo cáo; tích hợp 1 dịch vụ; &gt;=35 test case; CI/CD hoặc deploy cloud.</v>
      </c>
      <c r="L717" t="str">
        <f>'Huong dan giao do an'!$B$31</f>
        <v>Bắt buộc: Charter/PMP; SRS + scope/WBS; Gantt/baseline; effort-cost budget; RACI/timesheet; quality-test-defect; communication/minutes; risk register; procurement; change log; closure/lessons learned.</v>
      </c>
      <c r="M717" t="str">
        <f>'Huong dan giao do an'!$B$33</f>
        <v>Tuần 1: 07.09–13.09.2026; Tuần 2: 14.09–20.09.2026; Tuần 3: 21.09–27.09.2026; Tuần 4: 28.09–04.10.2026; Tuần 5: 05.10–11.10.2026; Tuần 6: 12.10–18.10.2026; Tuần 7: 19.10–25.10.2026; Tuần 8: 26.10–01.11.2026.</v>
      </c>
      <c r="N7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7" s="17" t="str">
        <f t="shared" si="11"/>
        <v>Còn trống</v>
      </c>
    </row>
    <row r="718" spans="1:16" x14ac:dyDescent="0.3">
      <c r="A718">
        <v>717</v>
      </c>
      <c r="B718" t="s">
        <v>1628</v>
      </c>
      <c r="C718" t="s">
        <v>1685</v>
      </c>
      <c r="D718" t="s">
        <v>1686</v>
      </c>
      <c r="E718" t="s">
        <v>40</v>
      </c>
      <c r="F718" t="s">
        <v>1636</v>
      </c>
      <c r="G718" t="s">
        <v>1687</v>
      </c>
      <c r="H718" t="str">
        <f>'Huong dan giao do an'!$B$14</f>
        <v>5 SV (vai trò chính): 1 PM/Scrum Master kiêm Integration; 2 BA/PO; 3 UI-UX + Frontend; 4 Backend/API + DevOps; 5 Database + QA/Tester. Mỗi SV có nhiệm vụ phụ và minh chứng cá nhân.</v>
      </c>
      <c r="I718" t="s">
        <v>29</v>
      </c>
      <c r="J718" t="s">
        <v>1638</v>
      </c>
      <c r="K718" t="str">
        <f>IF(I718="Trung bình",'Huong dan giao do an'!$B$8,IF(I718="Khá",'Huong dan giao do an'!$B$9,'Huong dan giao do an'!$B$10))</f>
        <v>Tối thiểu 5 actor; 14-18 use case; 10-15 bảng; 4 quy trình; tích hợp ngoài/realtime hoặc xử lý nâng cao; 3 báo cáo; &gt;=45 test case; logging, backup và deploy.</v>
      </c>
      <c r="L718" t="str">
        <f>'Huong dan giao do an'!$B$31</f>
        <v>Bắt buộc: Charter/PMP; SRS + scope/WBS; Gantt/baseline; effort-cost budget; RACI/timesheet; quality-test-defect; communication/minutes; risk register; procurement; change log; closure/lessons learned.</v>
      </c>
      <c r="M718" t="str">
        <f>'Huong dan giao do an'!$B$33</f>
        <v>Tuần 1: 07.09–13.09.2026; Tuần 2: 14.09–20.09.2026; Tuần 3: 21.09–27.09.2026; Tuần 4: 28.09–04.10.2026; Tuần 5: 05.10–11.10.2026; Tuần 6: 12.10–18.10.2026; Tuần 7: 19.10–25.10.2026; Tuần 8: 26.10–01.11.2026.</v>
      </c>
      <c r="N7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8" s="17" t="str">
        <f t="shared" si="11"/>
        <v>Còn trống</v>
      </c>
    </row>
    <row r="719" spans="1:16" x14ac:dyDescent="0.3">
      <c r="A719">
        <v>718</v>
      </c>
      <c r="B719" t="s">
        <v>1628</v>
      </c>
      <c r="C719" t="s">
        <v>1688</v>
      </c>
      <c r="D719" t="s">
        <v>1689</v>
      </c>
      <c r="E719" t="s">
        <v>45</v>
      </c>
      <c r="F719" t="s">
        <v>1641</v>
      </c>
      <c r="G719" t="s">
        <v>1690</v>
      </c>
      <c r="H719" t="str">
        <f>'Huong dan giao do an'!$B$14</f>
        <v>5 SV (vai trò chính): 1 PM/Scrum Master kiêm Integration; 2 BA/PO; 3 UI-UX + Frontend; 4 Backend/API + DevOps; 5 Database + QA/Tester. Mỗi SV có nhiệm vụ phụ và minh chứng cá nhân.</v>
      </c>
      <c r="I719" t="s">
        <v>36</v>
      </c>
      <c r="J719" t="s">
        <v>1643</v>
      </c>
      <c r="K719" t="str">
        <f>IF(I719="Trung bình",'Huong dan giao do an'!$B$8,IF(I719="Khá",'Huong dan giao do an'!$B$9,'Huong dan giao do an'!$B$10))</f>
        <v>Tối thiểu 3 actor; 8-10 use case; 6-8 bảng dữ liệu; 2 quy trình lõi; đăng nhập/RBAC; 1 dashboard; 1 báo cáo; &gt;=25 test case; triển khai bản demo.</v>
      </c>
      <c r="L719" t="str">
        <f>'Huong dan giao do an'!$B$31</f>
        <v>Bắt buộc: Charter/PMP; SRS + scope/WBS; Gantt/baseline; effort-cost budget; RACI/timesheet; quality-test-defect; communication/minutes; risk register; procurement; change log; closure/lessons learned.</v>
      </c>
      <c r="M719" t="str">
        <f>'Huong dan giao do an'!$B$33</f>
        <v>Tuần 1: 07.09–13.09.2026; Tuần 2: 14.09–20.09.2026; Tuần 3: 21.09–27.09.2026; Tuần 4: 28.09–04.10.2026; Tuần 5: 05.10–11.10.2026; Tuần 6: 12.10–18.10.2026; Tuần 7: 19.10–25.10.2026; Tuần 8: 26.10–01.11.2026.</v>
      </c>
      <c r="N7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19" s="17" t="str">
        <f t="shared" si="11"/>
        <v>Còn trống</v>
      </c>
    </row>
    <row r="720" spans="1:16" x14ac:dyDescent="0.3">
      <c r="A720">
        <v>719</v>
      </c>
      <c r="B720" t="s">
        <v>1628</v>
      </c>
      <c r="C720" t="s">
        <v>1691</v>
      </c>
      <c r="D720" t="s">
        <v>1692</v>
      </c>
      <c r="E720" t="s">
        <v>19</v>
      </c>
      <c r="F720" t="s">
        <v>1646</v>
      </c>
      <c r="G720" t="s">
        <v>1693</v>
      </c>
      <c r="H720" t="str">
        <f>'Huong dan giao do an'!$B$14</f>
        <v>5 SV (vai trò chính): 1 PM/Scrum Master kiêm Integration; 2 BA/PO; 3 UI-UX + Frontend; 4 Backend/API + DevOps; 5 Database + QA/Tester. Mỗi SV có nhiệm vụ phụ và minh chứng cá nhân.</v>
      </c>
      <c r="I720" t="s">
        <v>22</v>
      </c>
      <c r="J720" t="s">
        <v>1633</v>
      </c>
      <c r="K720" t="str">
        <f>IF(I720="Trung bình",'Huong dan giao do an'!$B$8,IF(I720="Khá",'Huong dan giao do an'!$B$9,'Huong dan giao do an'!$B$10))</f>
        <v>Tối thiểu 4 actor; 10-14 use case; 8-12 bảng; 3 quy trình lõi; phân quyền chi tiết; 2 báo cáo; tích hợp 1 dịch vụ; &gt;=35 test case; CI/CD hoặc deploy cloud.</v>
      </c>
      <c r="L720" t="str">
        <f>'Huong dan giao do an'!$B$31</f>
        <v>Bắt buộc: Charter/PMP; SRS + scope/WBS; Gantt/baseline; effort-cost budget; RACI/timesheet; quality-test-defect; communication/minutes; risk register; procurement; change log; closure/lessons learned.</v>
      </c>
      <c r="M720" t="str">
        <f>'Huong dan giao do an'!$B$33</f>
        <v>Tuần 1: 07.09–13.09.2026; Tuần 2: 14.09–20.09.2026; Tuần 3: 21.09–27.09.2026; Tuần 4: 28.09–04.10.2026; Tuần 5: 05.10–11.10.2026; Tuần 6: 12.10–18.10.2026; Tuần 7: 19.10–25.10.2026; Tuần 8: 26.10–01.11.2026.</v>
      </c>
      <c r="N7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0" s="17" t="str">
        <f t="shared" si="11"/>
        <v>Còn trống</v>
      </c>
    </row>
    <row r="721" spans="1:16" x14ac:dyDescent="0.3">
      <c r="A721">
        <v>720</v>
      </c>
      <c r="B721" t="s">
        <v>1628</v>
      </c>
      <c r="C721" t="s">
        <v>1694</v>
      </c>
      <c r="D721" t="s">
        <v>1695</v>
      </c>
      <c r="E721" t="s">
        <v>26</v>
      </c>
      <c r="F721" t="s">
        <v>1650</v>
      </c>
      <c r="G721" t="s">
        <v>1696</v>
      </c>
      <c r="H721" t="str">
        <f>'Huong dan giao do an'!$B$14</f>
        <v>5 SV (vai trò chính): 1 PM/Scrum Master kiêm Integration; 2 BA/PO; 3 UI-UX + Frontend; 4 Backend/API + DevOps; 5 Database + QA/Tester. Mỗi SV có nhiệm vụ phụ và minh chứng cá nhân.</v>
      </c>
      <c r="I721" t="s">
        <v>29</v>
      </c>
      <c r="J721" t="s">
        <v>1638</v>
      </c>
      <c r="K721" t="str">
        <f>IF(I721="Trung bình",'Huong dan giao do an'!$B$8,IF(I721="Khá",'Huong dan giao do an'!$B$9,'Huong dan giao do an'!$B$10))</f>
        <v>Tối thiểu 5 actor; 14-18 use case; 10-15 bảng; 4 quy trình; tích hợp ngoài/realtime hoặc xử lý nâng cao; 3 báo cáo; &gt;=45 test case; logging, backup và deploy.</v>
      </c>
      <c r="L721" t="str">
        <f>'Huong dan giao do an'!$B$31</f>
        <v>Bắt buộc: Charter/PMP; SRS + scope/WBS; Gantt/baseline; effort-cost budget; RACI/timesheet; quality-test-defect; communication/minutes; risk register; procurement; change log; closure/lessons learned.</v>
      </c>
      <c r="M721" t="str">
        <f>'Huong dan giao do an'!$B$33</f>
        <v>Tuần 1: 07.09–13.09.2026; Tuần 2: 14.09–20.09.2026; Tuần 3: 21.09–27.09.2026; Tuần 4: 28.09–04.10.2026; Tuần 5: 05.10–11.10.2026; Tuần 6: 12.10–18.10.2026; Tuần 7: 19.10–25.10.2026; Tuần 8: 26.10–01.11.2026.</v>
      </c>
      <c r="N7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1" s="17" t="str">
        <f t="shared" si="11"/>
        <v>Còn trống</v>
      </c>
    </row>
    <row r="722" spans="1:16" x14ac:dyDescent="0.3">
      <c r="A722">
        <v>721</v>
      </c>
      <c r="B722" t="s">
        <v>1628</v>
      </c>
      <c r="C722" t="s">
        <v>1697</v>
      </c>
      <c r="D722" t="s">
        <v>1698</v>
      </c>
      <c r="E722" t="s">
        <v>33</v>
      </c>
      <c r="F722" t="s">
        <v>1631</v>
      </c>
      <c r="G722" t="s">
        <v>1632</v>
      </c>
      <c r="H722" t="str">
        <f>'Huong dan giao do an'!$B$14</f>
        <v>5 SV (vai trò chính): 1 PM/Scrum Master kiêm Integration; 2 BA/PO; 3 UI-UX + Frontend; 4 Backend/API + DevOps; 5 Database + QA/Tester. Mỗi SV có nhiệm vụ phụ và minh chứng cá nhân.</v>
      </c>
      <c r="I722" t="s">
        <v>22</v>
      </c>
      <c r="J722" t="s">
        <v>1633</v>
      </c>
      <c r="K722" t="str">
        <f>IF(I722="Trung bình",'Huong dan giao do an'!$B$8,IF(I722="Khá",'Huong dan giao do an'!$B$9,'Huong dan giao do an'!$B$10))</f>
        <v>Tối thiểu 4 actor; 10-14 use case; 8-12 bảng; 3 quy trình lõi; phân quyền chi tiết; 2 báo cáo; tích hợp 1 dịch vụ; &gt;=35 test case; CI/CD hoặc deploy cloud.</v>
      </c>
      <c r="L722" t="str">
        <f>'Huong dan giao do an'!$B$31</f>
        <v>Bắt buộc: Charter/PMP; SRS + scope/WBS; Gantt/baseline; effort-cost budget; RACI/timesheet; quality-test-defect; communication/minutes; risk register; procurement; change log; closure/lessons learned.</v>
      </c>
      <c r="M722" t="str">
        <f>'Huong dan giao do an'!$B$33</f>
        <v>Tuần 1: 07.09–13.09.2026; Tuần 2: 14.09–20.09.2026; Tuần 3: 21.09–27.09.2026; Tuần 4: 28.09–04.10.2026; Tuần 5: 05.10–11.10.2026; Tuần 6: 12.10–18.10.2026; Tuần 7: 19.10–25.10.2026; Tuần 8: 26.10–01.11.2026.</v>
      </c>
      <c r="N7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2" s="17" t="str">
        <f t="shared" si="11"/>
        <v>Còn trống</v>
      </c>
    </row>
    <row r="723" spans="1:16" x14ac:dyDescent="0.3">
      <c r="A723">
        <v>722</v>
      </c>
      <c r="B723" t="s">
        <v>1628</v>
      </c>
      <c r="C723" t="s">
        <v>1699</v>
      </c>
      <c r="D723" t="s">
        <v>1700</v>
      </c>
      <c r="E723" t="s">
        <v>40</v>
      </c>
      <c r="F723" t="s">
        <v>1636</v>
      </c>
      <c r="G723" t="s">
        <v>1637</v>
      </c>
      <c r="H723" t="str">
        <f>'Huong dan giao do an'!$B$14</f>
        <v>5 SV (vai trò chính): 1 PM/Scrum Master kiêm Integration; 2 BA/PO; 3 UI-UX + Frontend; 4 Backend/API + DevOps; 5 Database + QA/Tester. Mỗi SV có nhiệm vụ phụ và minh chứng cá nhân.</v>
      </c>
      <c r="I723" t="s">
        <v>29</v>
      </c>
      <c r="J723" t="s">
        <v>1638</v>
      </c>
      <c r="K723" t="str">
        <f>IF(I723="Trung bình",'Huong dan giao do an'!$B$8,IF(I723="Khá",'Huong dan giao do an'!$B$9,'Huong dan giao do an'!$B$10))</f>
        <v>Tối thiểu 5 actor; 14-18 use case; 10-15 bảng; 4 quy trình; tích hợp ngoài/realtime hoặc xử lý nâng cao; 3 báo cáo; &gt;=45 test case; logging, backup và deploy.</v>
      </c>
      <c r="L723" t="str">
        <f>'Huong dan giao do an'!$B$31</f>
        <v>Bắt buộc: Charter/PMP; SRS + scope/WBS; Gantt/baseline; effort-cost budget; RACI/timesheet; quality-test-defect; communication/minutes; risk register; procurement; change log; closure/lessons learned.</v>
      </c>
      <c r="M723" t="str">
        <f>'Huong dan giao do an'!$B$33</f>
        <v>Tuần 1: 07.09–13.09.2026; Tuần 2: 14.09–20.09.2026; Tuần 3: 21.09–27.09.2026; Tuần 4: 28.09–04.10.2026; Tuần 5: 05.10–11.10.2026; Tuần 6: 12.10–18.10.2026; Tuần 7: 19.10–25.10.2026; Tuần 8: 26.10–01.11.2026.</v>
      </c>
      <c r="N7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3" s="17" t="str">
        <f t="shared" si="11"/>
        <v>Còn trống</v>
      </c>
    </row>
    <row r="724" spans="1:16" x14ac:dyDescent="0.3">
      <c r="A724">
        <v>723</v>
      </c>
      <c r="B724" t="s">
        <v>1628</v>
      </c>
      <c r="C724" t="s">
        <v>1701</v>
      </c>
      <c r="D724" t="s">
        <v>1702</v>
      </c>
      <c r="E724" t="s">
        <v>45</v>
      </c>
      <c r="F724" t="s">
        <v>1641</v>
      </c>
      <c r="G724" t="s">
        <v>1642</v>
      </c>
      <c r="H724" t="str">
        <f>'Huong dan giao do an'!$B$14</f>
        <v>5 SV (vai trò chính): 1 PM/Scrum Master kiêm Integration; 2 BA/PO; 3 UI-UX + Frontend; 4 Backend/API + DevOps; 5 Database + QA/Tester. Mỗi SV có nhiệm vụ phụ và minh chứng cá nhân.</v>
      </c>
      <c r="I724" t="s">
        <v>36</v>
      </c>
      <c r="J724" t="s">
        <v>1643</v>
      </c>
      <c r="K724" t="str">
        <f>IF(I724="Trung bình",'Huong dan giao do an'!$B$8,IF(I724="Khá",'Huong dan giao do an'!$B$9,'Huong dan giao do an'!$B$10))</f>
        <v>Tối thiểu 3 actor; 8-10 use case; 6-8 bảng dữ liệu; 2 quy trình lõi; đăng nhập/RBAC; 1 dashboard; 1 báo cáo; &gt;=25 test case; triển khai bản demo.</v>
      </c>
      <c r="L724" t="str">
        <f>'Huong dan giao do an'!$B$31</f>
        <v>Bắt buộc: Charter/PMP; SRS + scope/WBS; Gantt/baseline; effort-cost budget; RACI/timesheet; quality-test-defect; communication/minutes; risk register; procurement; change log; closure/lessons learned.</v>
      </c>
      <c r="M724" t="str">
        <f>'Huong dan giao do an'!$B$33</f>
        <v>Tuần 1: 07.09–13.09.2026; Tuần 2: 14.09–20.09.2026; Tuần 3: 21.09–27.09.2026; Tuần 4: 28.09–04.10.2026; Tuần 5: 05.10–11.10.2026; Tuần 6: 12.10–18.10.2026; Tuần 7: 19.10–25.10.2026; Tuần 8: 26.10–01.11.2026.</v>
      </c>
      <c r="N7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4" s="17" t="str">
        <f t="shared" si="11"/>
        <v>Còn trống</v>
      </c>
    </row>
    <row r="725" spans="1:16" x14ac:dyDescent="0.3">
      <c r="A725">
        <v>724</v>
      </c>
      <c r="B725" t="s">
        <v>1628</v>
      </c>
      <c r="C725" t="s">
        <v>1703</v>
      </c>
      <c r="D725" t="s">
        <v>1704</v>
      </c>
      <c r="E725" t="s">
        <v>19</v>
      </c>
      <c r="F725" t="s">
        <v>1646</v>
      </c>
      <c r="G725" t="s">
        <v>1647</v>
      </c>
      <c r="H725" t="str">
        <f>'Huong dan giao do an'!$B$14</f>
        <v>5 SV (vai trò chính): 1 PM/Scrum Master kiêm Integration; 2 BA/PO; 3 UI-UX + Frontend; 4 Backend/API + DevOps; 5 Database + QA/Tester. Mỗi SV có nhiệm vụ phụ và minh chứng cá nhân.</v>
      </c>
      <c r="I725" t="s">
        <v>22</v>
      </c>
      <c r="J725" t="s">
        <v>1633</v>
      </c>
      <c r="K725" t="str">
        <f>IF(I725="Trung bình",'Huong dan giao do an'!$B$8,IF(I725="Khá",'Huong dan giao do an'!$B$9,'Huong dan giao do an'!$B$10))</f>
        <v>Tối thiểu 4 actor; 10-14 use case; 8-12 bảng; 3 quy trình lõi; phân quyền chi tiết; 2 báo cáo; tích hợp 1 dịch vụ; &gt;=35 test case; CI/CD hoặc deploy cloud.</v>
      </c>
      <c r="L725" t="str">
        <f>'Huong dan giao do an'!$B$31</f>
        <v>Bắt buộc: Charter/PMP; SRS + scope/WBS; Gantt/baseline; effort-cost budget; RACI/timesheet; quality-test-defect; communication/minutes; risk register; procurement; change log; closure/lessons learned.</v>
      </c>
      <c r="M725" t="str">
        <f>'Huong dan giao do an'!$B$33</f>
        <v>Tuần 1: 07.09–13.09.2026; Tuần 2: 14.09–20.09.2026; Tuần 3: 21.09–27.09.2026; Tuần 4: 28.09–04.10.2026; Tuần 5: 05.10–11.10.2026; Tuần 6: 12.10–18.10.2026; Tuần 7: 19.10–25.10.2026; Tuần 8: 26.10–01.11.2026.</v>
      </c>
      <c r="N7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5" s="17" t="str">
        <f t="shared" si="11"/>
        <v>Còn trống</v>
      </c>
    </row>
    <row r="726" spans="1:16" x14ac:dyDescent="0.3">
      <c r="A726">
        <v>725</v>
      </c>
      <c r="B726" t="s">
        <v>1628</v>
      </c>
      <c r="C726" t="s">
        <v>1705</v>
      </c>
      <c r="D726" t="s">
        <v>1706</v>
      </c>
      <c r="E726" t="s">
        <v>26</v>
      </c>
      <c r="F726" t="s">
        <v>1650</v>
      </c>
      <c r="G726" t="s">
        <v>1651</v>
      </c>
      <c r="H726" t="str">
        <f>'Huong dan giao do an'!$B$14</f>
        <v>5 SV (vai trò chính): 1 PM/Scrum Master kiêm Integration; 2 BA/PO; 3 UI-UX + Frontend; 4 Backend/API + DevOps; 5 Database + QA/Tester. Mỗi SV có nhiệm vụ phụ và minh chứng cá nhân.</v>
      </c>
      <c r="I726" t="s">
        <v>29</v>
      </c>
      <c r="J726" t="s">
        <v>1638</v>
      </c>
      <c r="K726" t="str">
        <f>IF(I726="Trung bình",'Huong dan giao do an'!$B$8,IF(I726="Khá",'Huong dan giao do an'!$B$9,'Huong dan giao do an'!$B$10))</f>
        <v>Tối thiểu 5 actor; 14-18 use case; 10-15 bảng; 4 quy trình; tích hợp ngoài/realtime hoặc xử lý nâng cao; 3 báo cáo; &gt;=45 test case; logging, backup và deploy.</v>
      </c>
      <c r="L726" t="str">
        <f>'Huong dan giao do an'!$B$31</f>
        <v>Bắt buộc: Charter/PMP; SRS + scope/WBS; Gantt/baseline; effort-cost budget; RACI/timesheet; quality-test-defect; communication/minutes; risk register; procurement; change log; closure/lessons learned.</v>
      </c>
      <c r="M726" t="str">
        <f>'Huong dan giao do an'!$B$33</f>
        <v>Tuần 1: 07.09–13.09.2026; Tuần 2: 14.09–20.09.2026; Tuần 3: 21.09–27.09.2026; Tuần 4: 28.09–04.10.2026; Tuần 5: 05.10–11.10.2026; Tuần 6: 12.10–18.10.2026; Tuần 7: 19.10–25.10.2026; Tuần 8: 26.10–01.11.2026.</v>
      </c>
      <c r="N7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6" s="17" t="str">
        <f t="shared" si="11"/>
        <v>Còn trống</v>
      </c>
    </row>
    <row r="727" spans="1:16" x14ac:dyDescent="0.3">
      <c r="A727">
        <v>726</v>
      </c>
      <c r="B727" t="s">
        <v>1628</v>
      </c>
      <c r="C727" t="s">
        <v>1707</v>
      </c>
      <c r="D727" t="s">
        <v>1708</v>
      </c>
      <c r="E727" t="s">
        <v>33</v>
      </c>
      <c r="F727" t="s">
        <v>1631</v>
      </c>
      <c r="G727" t="s">
        <v>1654</v>
      </c>
      <c r="H727" t="str">
        <f>'Huong dan giao do an'!$B$14</f>
        <v>5 SV (vai trò chính): 1 PM/Scrum Master kiêm Integration; 2 BA/PO; 3 UI-UX + Frontend; 4 Backend/API + DevOps; 5 Database + QA/Tester. Mỗi SV có nhiệm vụ phụ và minh chứng cá nhân.</v>
      </c>
      <c r="I727" t="s">
        <v>36</v>
      </c>
      <c r="J727" t="s">
        <v>1643</v>
      </c>
      <c r="K727" t="str">
        <f>IF(I727="Trung bình",'Huong dan giao do an'!$B$8,IF(I727="Khá",'Huong dan giao do an'!$B$9,'Huong dan giao do an'!$B$10))</f>
        <v>Tối thiểu 3 actor; 8-10 use case; 6-8 bảng dữ liệu; 2 quy trình lõi; đăng nhập/RBAC; 1 dashboard; 1 báo cáo; &gt;=25 test case; triển khai bản demo.</v>
      </c>
      <c r="L727" t="str">
        <f>'Huong dan giao do an'!$B$31</f>
        <v>Bắt buộc: Charter/PMP; SRS + scope/WBS; Gantt/baseline; effort-cost budget; RACI/timesheet; quality-test-defect; communication/minutes; risk register; procurement; change log; closure/lessons learned.</v>
      </c>
      <c r="M727" t="str">
        <f>'Huong dan giao do an'!$B$33</f>
        <v>Tuần 1: 07.09–13.09.2026; Tuần 2: 14.09–20.09.2026; Tuần 3: 21.09–27.09.2026; Tuần 4: 28.09–04.10.2026; Tuần 5: 05.10–11.10.2026; Tuần 6: 12.10–18.10.2026; Tuần 7: 19.10–25.10.2026; Tuần 8: 26.10–01.11.2026.</v>
      </c>
      <c r="N7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7" s="17" t="str">
        <f t="shared" si="11"/>
        <v>Còn trống</v>
      </c>
    </row>
    <row r="728" spans="1:16" x14ac:dyDescent="0.3">
      <c r="A728">
        <v>727</v>
      </c>
      <c r="B728" t="s">
        <v>1628</v>
      </c>
      <c r="C728" t="s">
        <v>1709</v>
      </c>
      <c r="D728" t="s">
        <v>1710</v>
      </c>
      <c r="E728" t="s">
        <v>40</v>
      </c>
      <c r="F728" t="s">
        <v>1636</v>
      </c>
      <c r="G728" t="s">
        <v>1657</v>
      </c>
      <c r="H728" t="str">
        <f>'Huong dan giao do an'!$B$14</f>
        <v>5 SV (vai trò chính): 1 PM/Scrum Master kiêm Integration; 2 BA/PO; 3 UI-UX + Frontend; 4 Backend/API + DevOps; 5 Database + QA/Tester. Mỗi SV có nhiệm vụ phụ và minh chứng cá nhân.</v>
      </c>
      <c r="I728" t="s">
        <v>22</v>
      </c>
      <c r="J728" t="s">
        <v>1633</v>
      </c>
      <c r="K728" t="str">
        <f>IF(I728="Trung bình",'Huong dan giao do an'!$B$8,IF(I728="Khá",'Huong dan giao do an'!$B$9,'Huong dan giao do an'!$B$10))</f>
        <v>Tối thiểu 4 actor; 10-14 use case; 8-12 bảng; 3 quy trình lõi; phân quyền chi tiết; 2 báo cáo; tích hợp 1 dịch vụ; &gt;=35 test case; CI/CD hoặc deploy cloud.</v>
      </c>
      <c r="L728" t="str">
        <f>'Huong dan giao do an'!$B$31</f>
        <v>Bắt buộc: Charter/PMP; SRS + scope/WBS; Gantt/baseline; effort-cost budget; RACI/timesheet; quality-test-defect; communication/minutes; risk register; procurement; change log; closure/lessons learned.</v>
      </c>
      <c r="M728" t="str">
        <f>'Huong dan giao do an'!$B$33</f>
        <v>Tuần 1: 07.09–13.09.2026; Tuần 2: 14.09–20.09.2026; Tuần 3: 21.09–27.09.2026; Tuần 4: 28.09–04.10.2026; Tuần 5: 05.10–11.10.2026; Tuần 6: 12.10–18.10.2026; Tuần 7: 19.10–25.10.2026; Tuần 8: 26.10–01.11.2026.</v>
      </c>
      <c r="N7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8" s="17" t="str">
        <f t="shared" si="11"/>
        <v>Còn trống</v>
      </c>
    </row>
    <row r="729" spans="1:16" x14ac:dyDescent="0.3">
      <c r="A729">
        <v>728</v>
      </c>
      <c r="B729" t="s">
        <v>1628</v>
      </c>
      <c r="C729" t="s">
        <v>1711</v>
      </c>
      <c r="D729" t="s">
        <v>1712</v>
      </c>
      <c r="E729" t="s">
        <v>45</v>
      </c>
      <c r="F729" t="s">
        <v>1641</v>
      </c>
      <c r="G729" t="s">
        <v>1660</v>
      </c>
      <c r="H729" t="str">
        <f>'Huong dan giao do an'!$B$14</f>
        <v>5 SV (vai trò chính): 1 PM/Scrum Master kiêm Integration; 2 BA/PO; 3 UI-UX + Frontend; 4 Backend/API + DevOps; 5 Database + QA/Tester. Mỗi SV có nhiệm vụ phụ và minh chứng cá nhân.</v>
      </c>
      <c r="I729" t="s">
        <v>29</v>
      </c>
      <c r="J729" t="s">
        <v>1638</v>
      </c>
      <c r="K729" t="str">
        <f>IF(I729="Trung bình",'Huong dan giao do an'!$B$8,IF(I729="Khá",'Huong dan giao do an'!$B$9,'Huong dan giao do an'!$B$10))</f>
        <v>Tối thiểu 5 actor; 14-18 use case; 10-15 bảng; 4 quy trình; tích hợp ngoài/realtime hoặc xử lý nâng cao; 3 báo cáo; &gt;=45 test case; logging, backup và deploy.</v>
      </c>
      <c r="L729" t="str">
        <f>'Huong dan giao do an'!$B$31</f>
        <v>Bắt buộc: Charter/PMP; SRS + scope/WBS; Gantt/baseline; effort-cost budget; RACI/timesheet; quality-test-defect; communication/minutes; risk register; procurement; change log; closure/lessons learned.</v>
      </c>
      <c r="M729" t="str">
        <f>'Huong dan giao do an'!$B$33</f>
        <v>Tuần 1: 07.09–13.09.2026; Tuần 2: 14.09–20.09.2026; Tuần 3: 21.09–27.09.2026; Tuần 4: 28.09–04.10.2026; Tuần 5: 05.10–11.10.2026; Tuần 6: 12.10–18.10.2026; Tuần 7: 19.10–25.10.2026; Tuần 8: 26.10–01.11.2026.</v>
      </c>
      <c r="N7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29" s="17" t="str">
        <f t="shared" si="11"/>
        <v>Còn trống</v>
      </c>
    </row>
    <row r="730" spans="1:16" x14ac:dyDescent="0.3">
      <c r="A730">
        <v>729</v>
      </c>
      <c r="B730" t="s">
        <v>1628</v>
      </c>
      <c r="C730" t="s">
        <v>1713</v>
      </c>
      <c r="D730" t="s">
        <v>1714</v>
      </c>
      <c r="E730" t="s">
        <v>19</v>
      </c>
      <c r="F730" t="s">
        <v>1646</v>
      </c>
      <c r="G730" t="s">
        <v>1663</v>
      </c>
      <c r="H730" t="str">
        <f>'Huong dan giao do an'!$B$14</f>
        <v>5 SV (vai trò chính): 1 PM/Scrum Master kiêm Integration; 2 BA/PO; 3 UI-UX + Frontend; 4 Backend/API + DevOps; 5 Database + QA/Tester. Mỗi SV có nhiệm vụ phụ và minh chứng cá nhân.</v>
      </c>
      <c r="I730" t="s">
        <v>36</v>
      </c>
      <c r="J730" t="s">
        <v>1643</v>
      </c>
      <c r="K730" t="str">
        <f>IF(I730="Trung bình",'Huong dan giao do an'!$B$8,IF(I730="Khá",'Huong dan giao do an'!$B$9,'Huong dan giao do an'!$B$10))</f>
        <v>Tối thiểu 3 actor; 8-10 use case; 6-8 bảng dữ liệu; 2 quy trình lõi; đăng nhập/RBAC; 1 dashboard; 1 báo cáo; &gt;=25 test case; triển khai bản demo.</v>
      </c>
      <c r="L730" t="str">
        <f>'Huong dan giao do an'!$B$31</f>
        <v>Bắt buộc: Charter/PMP; SRS + scope/WBS; Gantt/baseline; effort-cost budget; RACI/timesheet; quality-test-defect; communication/minutes; risk register; procurement; change log; closure/lessons learned.</v>
      </c>
      <c r="M730" t="str">
        <f>'Huong dan giao do an'!$B$33</f>
        <v>Tuần 1: 07.09–13.09.2026; Tuần 2: 14.09–20.09.2026; Tuần 3: 21.09–27.09.2026; Tuần 4: 28.09–04.10.2026; Tuần 5: 05.10–11.10.2026; Tuần 6: 12.10–18.10.2026; Tuần 7: 19.10–25.10.2026; Tuần 8: 26.10–01.11.2026.</v>
      </c>
      <c r="N7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0" s="17" t="str">
        <f t="shared" si="11"/>
        <v>Còn trống</v>
      </c>
    </row>
    <row r="731" spans="1:16" x14ac:dyDescent="0.3">
      <c r="A731">
        <v>730</v>
      </c>
      <c r="B731" t="s">
        <v>1628</v>
      </c>
      <c r="C731" t="s">
        <v>1715</v>
      </c>
      <c r="D731" t="s">
        <v>1716</v>
      </c>
      <c r="E731" t="s">
        <v>26</v>
      </c>
      <c r="F731" t="s">
        <v>1650</v>
      </c>
      <c r="G731" t="s">
        <v>1666</v>
      </c>
      <c r="H731" t="str">
        <f>'Huong dan giao do an'!$B$14</f>
        <v>5 SV (vai trò chính): 1 PM/Scrum Master kiêm Integration; 2 BA/PO; 3 UI-UX + Frontend; 4 Backend/API + DevOps; 5 Database + QA/Tester. Mỗi SV có nhiệm vụ phụ và minh chứng cá nhân.</v>
      </c>
      <c r="I731" t="s">
        <v>22</v>
      </c>
      <c r="J731" t="s">
        <v>1633</v>
      </c>
      <c r="K731" t="str">
        <f>IF(I731="Trung bình",'Huong dan giao do an'!$B$8,IF(I731="Khá",'Huong dan giao do an'!$B$9,'Huong dan giao do an'!$B$10))</f>
        <v>Tối thiểu 4 actor; 10-14 use case; 8-12 bảng; 3 quy trình lõi; phân quyền chi tiết; 2 báo cáo; tích hợp 1 dịch vụ; &gt;=35 test case; CI/CD hoặc deploy cloud.</v>
      </c>
      <c r="L731" t="str">
        <f>'Huong dan giao do an'!$B$31</f>
        <v>Bắt buộc: Charter/PMP; SRS + scope/WBS; Gantt/baseline; effort-cost budget; RACI/timesheet; quality-test-defect; communication/minutes; risk register; procurement; change log; closure/lessons learned.</v>
      </c>
      <c r="M731" t="str">
        <f>'Huong dan giao do an'!$B$33</f>
        <v>Tuần 1: 07.09–13.09.2026; Tuần 2: 14.09–20.09.2026; Tuần 3: 21.09–27.09.2026; Tuần 4: 28.09–04.10.2026; Tuần 5: 05.10–11.10.2026; Tuần 6: 12.10–18.10.2026; Tuần 7: 19.10–25.10.2026; Tuần 8: 26.10–01.11.2026.</v>
      </c>
      <c r="N7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1" s="17" t="str">
        <f t="shared" si="11"/>
        <v>Còn trống</v>
      </c>
    </row>
    <row r="732" spans="1:16" x14ac:dyDescent="0.3">
      <c r="A732">
        <v>731</v>
      </c>
      <c r="B732" t="s">
        <v>1628</v>
      </c>
      <c r="C732" t="s">
        <v>1717</v>
      </c>
      <c r="D732" t="s">
        <v>1718</v>
      </c>
      <c r="E732" t="s">
        <v>33</v>
      </c>
      <c r="F732" t="s">
        <v>1631</v>
      </c>
      <c r="G732" t="s">
        <v>1669</v>
      </c>
      <c r="H732" t="str">
        <f>'Huong dan giao do an'!$B$14</f>
        <v>5 SV (vai trò chính): 1 PM/Scrum Master kiêm Integration; 2 BA/PO; 3 UI-UX + Frontend; 4 Backend/API + DevOps; 5 Database + QA/Tester. Mỗi SV có nhiệm vụ phụ và minh chứng cá nhân.</v>
      </c>
      <c r="I732" t="s">
        <v>29</v>
      </c>
      <c r="J732" t="s">
        <v>1638</v>
      </c>
      <c r="K732" t="str">
        <f>IF(I732="Trung bình",'Huong dan giao do an'!$B$8,IF(I732="Khá",'Huong dan giao do an'!$B$9,'Huong dan giao do an'!$B$10))</f>
        <v>Tối thiểu 5 actor; 14-18 use case; 10-15 bảng; 4 quy trình; tích hợp ngoài/realtime hoặc xử lý nâng cao; 3 báo cáo; &gt;=45 test case; logging, backup và deploy.</v>
      </c>
      <c r="L732" t="str">
        <f>'Huong dan giao do an'!$B$31</f>
        <v>Bắt buộc: Charter/PMP; SRS + scope/WBS; Gantt/baseline; effort-cost budget; RACI/timesheet; quality-test-defect; communication/minutes; risk register; procurement; change log; closure/lessons learned.</v>
      </c>
      <c r="M732" t="str">
        <f>'Huong dan giao do an'!$B$33</f>
        <v>Tuần 1: 07.09–13.09.2026; Tuần 2: 14.09–20.09.2026; Tuần 3: 21.09–27.09.2026; Tuần 4: 28.09–04.10.2026; Tuần 5: 05.10–11.10.2026; Tuần 6: 12.10–18.10.2026; Tuần 7: 19.10–25.10.2026; Tuần 8: 26.10–01.11.2026.</v>
      </c>
      <c r="N7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2" s="17" t="str">
        <f t="shared" si="11"/>
        <v>Còn trống</v>
      </c>
    </row>
    <row r="733" spans="1:16" x14ac:dyDescent="0.3">
      <c r="A733">
        <v>732</v>
      </c>
      <c r="B733" t="s">
        <v>1628</v>
      </c>
      <c r="C733" t="s">
        <v>1719</v>
      </c>
      <c r="D733" t="s">
        <v>1720</v>
      </c>
      <c r="E733" t="s">
        <v>40</v>
      </c>
      <c r="F733" t="s">
        <v>1636</v>
      </c>
      <c r="G733" t="s">
        <v>1672</v>
      </c>
      <c r="H733" t="str">
        <f>'Huong dan giao do an'!$B$14</f>
        <v>5 SV (vai trò chính): 1 PM/Scrum Master kiêm Integration; 2 BA/PO; 3 UI-UX + Frontend; 4 Backend/API + DevOps; 5 Database + QA/Tester. Mỗi SV có nhiệm vụ phụ và minh chứng cá nhân.</v>
      </c>
      <c r="I733" t="s">
        <v>36</v>
      </c>
      <c r="J733" t="s">
        <v>1643</v>
      </c>
      <c r="K733" t="str">
        <f>IF(I733="Trung bình",'Huong dan giao do an'!$B$8,IF(I733="Khá",'Huong dan giao do an'!$B$9,'Huong dan giao do an'!$B$10))</f>
        <v>Tối thiểu 3 actor; 8-10 use case; 6-8 bảng dữ liệu; 2 quy trình lõi; đăng nhập/RBAC; 1 dashboard; 1 báo cáo; &gt;=25 test case; triển khai bản demo.</v>
      </c>
      <c r="L733" t="str">
        <f>'Huong dan giao do an'!$B$31</f>
        <v>Bắt buộc: Charter/PMP; SRS + scope/WBS; Gantt/baseline; effort-cost budget; RACI/timesheet; quality-test-defect; communication/minutes; risk register; procurement; change log; closure/lessons learned.</v>
      </c>
      <c r="M733" t="str">
        <f>'Huong dan giao do an'!$B$33</f>
        <v>Tuần 1: 07.09–13.09.2026; Tuần 2: 14.09–20.09.2026; Tuần 3: 21.09–27.09.2026; Tuần 4: 28.09–04.10.2026; Tuần 5: 05.10–11.10.2026; Tuần 6: 12.10–18.10.2026; Tuần 7: 19.10–25.10.2026; Tuần 8: 26.10–01.11.2026.</v>
      </c>
      <c r="N7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3" s="17" t="str">
        <f t="shared" si="11"/>
        <v>Còn trống</v>
      </c>
    </row>
    <row r="734" spans="1:16" x14ac:dyDescent="0.3">
      <c r="A734">
        <v>733</v>
      </c>
      <c r="B734" t="s">
        <v>1628</v>
      </c>
      <c r="C734" t="s">
        <v>1721</v>
      </c>
      <c r="D734" t="s">
        <v>1722</v>
      </c>
      <c r="E734" t="s">
        <v>45</v>
      </c>
      <c r="F734" t="s">
        <v>1641</v>
      </c>
      <c r="G734" t="s">
        <v>1675</v>
      </c>
      <c r="H734" t="str">
        <f>'Huong dan giao do an'!$B$14</f>
        <v>5 SV (vai trò chính): 1 PM/Scrum Master kiêm Integration; 2 BA/PO; 3 UI-UX + Frontend; 4 Backend/API + DevOps; 5 Database + QA/Tester. Mỗi SV có nhiệm vụ phụ và minh chứng cá nhân.</v>
      </c>
      <c r="I734" t="s">
        <v>22</v>
      </c>
      <c r="J734" t="s">
        <v>1633</v>
      </c>
      <c r="K734" t="str">
        <f>IF(I734="Trung bình",'Huong dan giao do an'!$B$8,IF(I734="Khá",'Huong dan giao do an'!$B$9,'Huong dan giao do an'!$B$10))</f>
        <v>Tối thiểu 4 actor; 10-14 use case; 8-12 bảng; 3 quy trình lõi; phân quyền chi tiết; 2 báo cáo; tích hợp 1 dịch vụ; &gt;=35 test case; CI/CD hoặc deploy cloud.</v>
      </c>
      <c r="L734" t="str">
        <f>'Huong dan giao do an'!$B$31</f>
        <v>Bắt buộc: Charter/PMP; SRS + scope/WBS; Gantt/baseline; effort-cost budget; RACI/timesheet; quality-test-defect; communication/minutes; risk register; procurement; change log; closure/lessons learned.</v>
      </c>
      <c r="M734" t="str">
        <f>'Huong dan giao do an'!$B$33</f>
        <v>Tuần 1: 07.09–13.09.2026; Tuần 2: 14.09–20.09.2026; Tuần 3: 21.09–27.09.2026; Tuần 4: 28.09–04.10.2026; Tuần 5: 05.10–11.10.2026; Tuần 6: 12.10–18.10.2026; Tuần 7: 19.10–25.10.2026; Tuần 8: 26.10–01.11.2026.</v>
      </c>
      <c r="N7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4" s="17" t="str">
        <f t="shared" si="11"/>
        <v>Còn trống</v>
      </c>
    </row>
    <row r="735" spans="1:16" x14ac:dyDescent="0.3">
      <c r="A735">
        <v>734</v>
      </c>
      <c r="B735" t="s">
        <v>1628</v>
      </c>
      <c r="C735" t="s">
        <v>1723</v>
      </c>
      <c r="D735" t="s">
        <v>1724</v>
      </c>
      <c r="E735" t="s">
        <v>19</v>
      </c>
      <c r="F735" t="s">
        <v>1646</v>
      </c>
      <c r="G735" t="s">
        <v>1678</v>
      </c>
      <c r="H735" t="str">
        <f>'Huong dan giao do an'!$B$14</f>
        <v>5 SV (vai trò chính): 1 PM/Scrum Master kiêm Integration; 2 BA/PO; 3 UI-UX + Frontend; 4 Backend/API + DevOps; 5 Database + QA/Tester. Mỗi SV có nhiệm vụ phụ và minh chứng cá nhân.</v>
      </c>
      <c r="I735" t="s">
        <v>29</v>
      </c>
      <c r="J735" t="s">
        <v>1638</v>
      </c>
      <c r="K735" t="str">
        <f>IF(I735="Trung bình",'Huong dan giao do an'!$B$8,IF(I735="Khá",'Huong dan giao do an'!$B$9,'Huong dan giao do an'!$B$10))</f>
        <v>Tối thiểu 5 actor; 14-18 use case; 10-15 bảng; 4 quy trình; tích hợp ngoài/realtime hoặc xử lý nâng cao; 3 báo cáo; &gt;=45 test case; logging, backup và deploy.</v>
      </c>
      <c r="L735" t="str">
        <f>'Huong dan giao do an'!$B$31</f>
        <v>Bắt buộc: Charter/PMP; SRS + scope/WBS; Gantt/baseline; effort-cost budget; RACI/timesheet; quality-test-defect; communication/minutes; risk register; procurement; change log; closure/lessons learned.</v>
      </c>
      <c r="M735" t="str">
        <f>'Huong dan giao do an'!$B$33</f>
        <v>Tuần 1: 07.09–13.09.2026; Tuần 2: 14.09–20.09.2026; Tuần 3: 21.09–27.09.2026; Tuần 4: 28.09–04.10.2026; Tuần 5: 05.10–11.10.2026; Tuần 6: 12.10–18.10.2026; Tuần 7: 19.10–25.10.2026; Tuần 8: 26.10–01.11.2026.</v>
      </c>
      <c r="N7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5" s="17" t="str">
        <f t="shared" si="11"/>
        <v>Còn trống</v>
      </c>
    </row>
    <row r="736" spans="1:16" x14ac:dyDescent="0.3">
      <c r="A736">
        <v>735</v>
      </c>
      <c r="B736" t="s">
        <v>1628</v>
      </c>
      <c r="C736" t="s">
        <v>1725</v>
      </c>
      <c r="D736" t="s">
        <v>1726</v>
      </c>
      <c r="E736" t="s">
        <v>26</v>
      </c>
      <c r="F736" t="s">
        <v>1650</v>
      </c>
      <c r="G736" t="s">
        <v>1681</v>
      </c>
      <c r="H736" t="str">
        <f>'Huong dan giao do an'!$B$14</f>
        <v>5 SV (vai trò chính): 1 PM/Scrum Master kiêm Integration; 2 BA/PO; 3 UI-UX + Frontend; 4 Backend/API + DevOps; 5 Database + QA/Tester. Mỗi SV có nhiệm vụ phụ và minh chứng cá nhân.</v>
      </c>
      <c r="I736" t="s">
        <v>36</v>
      </c>
      <c r="J736" t="s">
        <v>1643</v>
      </c>
      <c r="K736" t="str">
        <f>IF(I736="Trung bình",'Huong dan giao do an'!$B$8,IF(I736="Khá",'Huong dan giao do an'!$B$9,'Huong dan giao do an'!$B$10))</f>
        <v>Tối thiểu 3 actor; 8-10 use case; 6-8 bảng dữ liệu; 2 quy trình lõi; đăng nhập/RBAC; 1 dashboard; 1 báo cáo; &gt;=25 test case; triển khai bản demo.</v>
      </c>
      <c r="L736" t="str">
        <f>'Huong dan giao do an'!$B$31</f>
        <v>Bắt buộc: Charter/PMP; SRS + scope/WBS; Gantt/baseline; effort-cost budget; RACI/timesheet; quality-test-defect; communication/minutes; risk register; procurement; change log; closure/lessons learned.</v>
      </c>
      <c r="M736" t="str">
        <f>'Huong dan giao do an'!$B$33</f>
        <v>Tuần 1: 07.09–13.09.2026; Tuần 2: 14.09–20.09.2026; Tuần 3: 21.09–27.09.2026; Tuần 4: 28.09–04.10.2026; Tuần 5: 05.10–11.10.2026; Tuần 6: 12.10–18.10.2026; Tuần 7: 19.10–25.10.2026; Tuần 8: 26.10–01.11.2026.</v>
      </c>
      <c r="N7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6" s="17" t="str">
        <f t="shared" si="11"/>
        <v>Còn trống</v>
      </c>
    </row>
    <row r="737" spans="1:16" x14ac:dyDescent="0.3">
      <c r="A737">
        <v>736</v>
      </c>
      <c r="B737" t="s">
        <v>1628</v>
      </c>
      <c r="C737" t="s">
        <v>1727</v>
      </c>
      <c r="D737" t="s">
        <v>1728</v>
      </c>
      <c r="E737" t="s">
        <v>33</v>
      </c>
      <c r="F737" t="s">
        <v>1631</v>
      </c>
      <c r="G737" t="s">
        <v>1684</v>
      </c>
      <c r="H737" t="str">
        <f>'Huong dan giao do an'!$B$14</f>
        <v>5 SV (vai trò chính): 1 PM/Scrum Master kiêm Integration; 2 BA/PO; 3 UI-UX + Frontend; 4 Backend/API + DevOps; 5 Database + QA/Tester. Mỗi SV có nhiệm vụ phụ và minh chứng cá nhân.</v>
      </c>
      <c r="I737" t="s">
        <v>22</v>
      </c>
      <c r="J737" t="s">
        <v>1633</v>
      </c>
      <c r="K737" t="str">
        <f>IF(I737="Trung bình",'Huong dan giao do an'!$B$8,IF(I737="Khá",'Huong dan giao do an'!$B$9,'Huong dan giao do an'!$B$10))</f>
        <v>Tối thiểu 4 actor; 10-14 use case; 8-12 bảng; 3 quy trình lõi; phân quyền chi tiết; 2 báo cáo; tích hợp 1 dịch vụ; &gt;=35 test case; CI/CD hoặc deploy cloud.</v>
      </c>
      <c r="L737" t="str">
        <f>'Huong dan giao do an'!$B$31</f>
        <v>Bắt buộc: Charter/PMP; SRS + scope/WBS; Gantt/baseline; effort-cost budget; RACI/timesheet; quality-test-defect; communication/minutes; risk register; procurement; change log; closure/lessons learned.</v>
      </c>
      <c r="M737" t="str">
        <f>'Huong dan giao do an'!$B$33</f>
        <v>Tuần 1: 07.09–13.09.2026; Tuần 2: 14.09–20.09.2026; Tuần 3: 21.09–27.09.2026; Tuần 4: 28.09–04.10.2026; Tuần 5: 05.10–11.10.2026; Tuần 6: 12.10–18.10.2026; Tuần 7: 19.10–25.10.2026; Tuần 8: 26.10–01.11.2026.</v>
      </c>
      <c r="N7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7" s="17" t="str">
        <f t="shared" si="11"/>
        <v>Còn trống</v>
      </c>
    </row>
    <row r="738" spans="1:16" x14ac:dyDescent="0.3">
      <c r="A738">
        <v>737</v>
      </c>
      <c r="B738" t="s">
        <v>1628</v>
      </c>
      <c r="C738" t="s">
        <v>1729</v>
      </c>
      <c r="D738" t="s">
        <v>1730</v>
      </c>
      <c r="E738" t="s">
        <v>40</v>
      </c>
      <c r="F738" t="s">
        <v>1636</v>
      </c>
      <c r="G738" t="s">
        <v>1687</v>
      </c>
      <c r="H738" t="str">
        <f>'Huong dan giao do an'!$B$14</f>
        <v>5 SV (vai trò chính): 1 PM/Scrum Master kiêm Integration; 2 BA/PO; 3 UI-UX + Frontend; 4 Backend/API + DevOps; 5 Database + QA/Tester. Mỗi SV có nhiệm vụ phụ và minh chứng cá nhân.</v>
      </c>
      <c r="I738" t="s">
        <v>29</v>
      </c>
      <c r="J738" t="s">
        <v>1638</v>
      </c>
      <c r="K738" t="str">
        <f>IF(I738="Trung bình",'Huong dan giao do an'!$B$8,IF(I738="Khá",'Huong dan giao do an'!$B$9,'Huong dan giao do an'!$B$10))</f>
        <v>Tối thiểu 5 actor; 14-18 use case; 10-15 bảng; 4 quy trình; tích hợp ngoài/realtime hoặc xử lý nâng cao; 3 báo cáo; &gt;=45 test case; logging, backup và deploy.</v>
      </c>
      <c r="L738" t="str">
        <f>'Huong dan giao do an'!$B$31</f>
        <v>Bắt buộc: Charter/PMP; SRS + scope/WBS; Gantt/baseline; effort-cost budget; RACI/timesheet; quality-test-defect; communication/minutes; risk register; procurement; change log; closure/lessons learned.</v>
      </c>
      <c r="M738" t="str">
        <f>'Huong dan giao do an'!$B$33</f>
        <v>Tuần 1: 07.09–13.09.2026; Tuần 2: 14.09–20.09.2026; Tuần 3: 21.09–27.09.2026; Tuần 4: 28.09–04.10.2026; Tuần 5: 05.10–11.10.2026; Tuần 6: 12.10–18.10.2026; Tuần 7: 19.10–25.10.2026; Tuần 8: 26.10–01.11.2026.</v>
      </c>
      <c r="N7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8" s="17" t="str">
        <f t="shared" si="11"/>
        <v>Còn trống</v>
      </c>
    </row>
    <row r="739" spans="1:16" x14ac:dyDescent="0.3">
      <c r="A739">
        <v>738</v>
      </c>
      <c r="B739" t="s">
        <v>1628</v>
      </c>
      <c r="C739" t="s">
        <v>1731</v>
      </c>
      <c r="D739" t="s">
        <v>1732</v>
      </c>
      <c r="E739" t="s">
        <v>45</v>
      </c>
      <c r="F739" t="s">
        <v>1641</v>
      </c>
      <c r="G739" t="s">
        <v>1690</v>
      </c>
      <c r="H739" t="str">
        <f>'Huong dan giao do an'!$B$14</f>
        <v>5 SV (vai trò chính): 1 PM/Scrum Master kiêm Integration; 2 BA/PO; 3 UI-UX + Frontend; 4 Backend/API + DevOps; 5 Database + QA/Tester. Mỗi SV có nhiệm vụ phụ và minh chứng cá nhân.</v>
      </c>
      <c r="I739" t="s">
        <v>36</v>
      </c>
      <c r="J739" t="s">
        <v>1643</v>
      </c>
      <c r="K739" t="str">
        <f>IF(I739="Trung bình",'Huong dan giao do an'!$B$8,IF(I739="Khá",'Huong dan giao do an'!$B$9,'Huong dan giao do an'!$B$10))</f>
        <v>Tối thiểu 3 actor; 8-10 use case; 6-8 bảng dữ liệu; 2 quy trình lõi; đăng nhập/RBAC; 1 dashboard; 1 báo cáo; &gt;=25 test case; triển khai bản demo.</v>
      </c>
      <c r="L739" t="str">
        <f>'Huong dan giao do an'!$B$31</f>
        <v>Bắt buộc: Charter/PMP; SRS + scope/WBS; Gantt/baseline; effort-cost budget; RACI/timesheet; quality-test-defect; communication/minutes; risk register; procurement; change log; closure/lessons learned.</v>
      </c>
      <c r="M739" t="str">
        <f>'Huong dan giao do an'!$B$33</f>
        <v>Tuần 1: 07.09–13.09.2026; Tuần 2: 14.09–20.09.2026; Tuần 3: 21.09–27.09.2026; Tuần 4: 28.09–04.10.2026; Tuần 5: 05.10–11.10.2026; Tuần 6: 12.10–18.10.2026; Tuần 7: 19.10–25.10.2026; Tuần 8: 26.10–01.11.2026.</v>
      </c>
      <c r="N7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39" s="17" t="str">
        <f t="shared" si="11"/>
        <v>Còn trống</v>
      </c>
    </row>
    <row r="740" spans="1:16" x14ac:dyDescent="0.3">
      <c r="A740">
        <v>739</v>
      </c>
      <c r="B740" t="s">
        <v>1628</v>
      </c>
      <c r="C740" t="s">
        <v>1733</v>
      </c>
      <c r="D740" t="s">
        <v>1734</v>
      </c>
      <c r="E740" t="s">
        <v>19</v>
      </c>
      <c r="F740" t="s">
        <v>1646</v>
      </c>
      <c r="G740" t="s">
        <v>1693</v>
      </c>
      <c r="H740" t="str">
        <f>'Huong dan giao do an'!$B$14</f>
        <v>5 SV (vai trò chính): 1 PM/Scrum Master kiêm Integration; 2 BA/PO; 3 UI-UX + Frontend; 4 Backend/API + DevOps; 5 Database + QA/Tester. Mỗi SV có nhiệm vụ phụ và minh chứng cá nhân.</v>
      </c>
      <c r="I740" t="s">
        <v>22</v>
      </c>
      <c r="J740" t="s">
        <v>1633</v>
      </c>
      <c r="K740" t="str">
        <f>IF(I740="Trung bình",'Huong dan giao do an'!$B$8,IF(I740="Khá",'Huong dan giao do an'!$B$9,'Huong dan giao do an'!$B$10))</f>
        <v>Tối thiểu 4 actor; 10-14 use case; 8-12 bảng; 3 quy trình lõi; phân quyền chi tiết; 2 báo cáo; tích hợp 1 dịch vụ; &gt;=35 test case; CI/CD hoặc deploy cloud.</v>
      </c>
      <c r="L740" t="str">
        <f>'Huong dan giao do an'!$B$31</f>
        <v>Bắt buộc: Charter/PMP; SRS + scope/WBS; Gantt/baseline; effort-cost budget; RACI/timesheet; quality-test-defect; communication/minutes; risk register; procurement; change log; closure/lessons learned.</v>
      </c>
      <c r="M740" t="str">
        <f>'Huong dan giao do an'!$B$33</f>
        <v>Tuần 1: 07.09–13.09.2026; Tuần 2: 14.09–20.09.2026; Tuần 3: 21.09–27.09.2026; Tuần 4: 28.09–04.10.2026; Tuần 5: 05.10–11.10.2026; Tuần 6: 12.10–18.10.2026; Tuần 7: 19.10–25.10.2026; Tuần 8: 26.10–01.11.2026.</v>
      </c>
      <c r="N7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0" s="17" t="str">
        <f t="shared" si="11"/>
        <v>Còn trống</v>
      </c>
    </row>
    <row r="741" spans="1:16" x14ac:dyDescent="0.3">
      <c r="A741">
        <v>740</v>
      </c>
      <c r="B741" t="s">
        <v>1628</v>
      </c>
      <c r="C741" t="s">
        <v>1735</v>
      </c>
      <c r="D741" t="s">
        <v>1736</v>
      </c>
      <c r="E741" t="s">
        <v>26</v>
      </c>
      <c r="F741" t="s">
        <v>1650</v>
      </c>
      <c r="G741" t="s">
        <v>1696</v>
      </c>
      <c r="H741" t="str">
        <f>'Huong dan giao do an'!$B$14</f>
        <v>5 SV (vai trò chính): 1 PM/Scrum Master kiêm Integration; 2 BA/PO; 3 UI-UX + Frontend; 4 Backend/API + DevOps; 5 Database + QA/Tester. Mỗi SV có nhiệm vụ phụ và minh chứng cá nhân.</v>
      </c>
      <c r="I741" t="s">
        <v>29</v>
      </c>
      <c r="J741" t="s">
        <v>1638</v>
      </c>
      <c r="K741" t="str">
        <f>IF(I741="Trung bình",'Huong dan giao do an'!$B$8,IF(I741="Khá",'Huong dan giao do an'!$B$9,'Huong dan giao do an'!$B$10))</f>
        <v>Tối thiểu 5 actor; 14-18 use case; 10-15 bảng; 4 quy trình; tích hợp ngoài/realtime hoặc xử lý nâng cao; 3 báo cáo; &gt;=45 test case; logging, backup và deploy.</v>
      </c>
      <c r="L741" t="str">
        <f>'Huong dan giao do an'!$B$31</f>
        <v>Bắt buộc: Charter/PMP; SRS + scope/WBS; Gantt/baseline; effort-cost budget; RACI/timesheet; quality-test-defect; communication/minutes; risk register; procurement; change log; closure/lessons learned.</v>
      </c>
      <c r="M741" t="str">
        <f>'Huong dan giao do an'!$B$33</f>
        <v>Tuần 1: 07.09–13.09.2026; Tuần 2: 14.09–20.09.2026; Tuần 3: 21.09–27.09.2026; Tuần 4: 28.09–04.10.2026; Tuần 5: 05.10–11.10.2026; Tuần 6: 12.10–18.10.2026; Tuần 7: 19.10–25.10.2026; Tuần 8: 26.10–01.11.2026.</v>
      </c>
      <c r="N7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1" s="17" t="str">
        <f t="shared" si="11"/>
        <v>Còn trống</v>
      </c>
    </row>
    <row r="742" spans="1:16" x14ac:dyDescent="0.3">
      <c r="A742">
        <v>741</v>
      </c>
      <c r="B742" t="s">
        <v>1628</v>
      </c>
      <c r="C742" t="s">
        <v>1737</v>
      </c>
      <c r="D742" t="s">
        <v>1738</v>
      </c>
      <c r="E742" t="s">
        <v>33</v>
      </c>
      <c r="F742" t="s">
        <v>1631</v>
      </c>
      <c r="G742" t="s">
        <v>1632</v>
      </c>
      <c r="H742" t="str">
        <f>'Huong dan giao do an'!$B$14</f>
        <v>5 SV (vai trò chính): 1 PM/Scrum Master kiêm Integration; 2 BA/PO; 3 UI-UX + Frontend; 4 Backend/API + DevOps; 5 Database + QA/Tester. Mỗi SV có nhiệm vụ phụ và minh chứng cá nhân.</v>
      </c>
      <c r="I742" t="s">
        <v>22</v>
      </c>
      <c r="J742" t="s">
        <v>1633</v>
      </c>
      <c r="K742" t="str">
        <f>IF(I742="Trung bình",'Huong dan giao do an'!$B$8,IF(I742="Khá",'Huong dan giao do an'!$B$9,'Huong dan giao do an'!$B$10))</f>
        <v>Tối thiểu 4 actor; 10-14 use case; 8-12 bảng; 3 quy trình lõi; phân quyền chi tiết; 2 báo cáo; tích hợp 1 dịch vụ; &gt;=35 test case; CI/CD hoặc deploy cloud.</v>
      </c>
      <c r="L742" t="str">
        <f>'Huong dan giao do an'!$B$31</f>
        <v>Bắt buộc: Charter/PMP; SRS + scope/WBS; Gantt/baseline; effort-cost budget; RACI/timesheet; quality-test-defect; communication/minutes; risk register; procurement; change log; closure/lessons learned.</v>
      </c>
      <c r="M742" t="str">
        <f>'Huong dan giao do an'!$B$33</f>
        <v>Tuần 1: 07.09–13.09.2026; Tuần 2: 14.09–20.09.2026; Tuần 3: 21.09–27.09.2026; Tuần 4: 28.09–04.10.2026; Tuần 5: 05.10–11.10.2026; Tuần 6: 12.10–18.10.2026; Tuần 7: 19.10–25.10.2026; Tuần 8: 26.10–01.11.2026.</v>
      </c>
      <c r="N7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2" s="17" t="str">
        <f t="shared" si="11"/>
        <v>Còn trống</v>
      </c>
    </row>
    <row r="743" spans="1:16" x14ac:dyDescent="0.3">
      <c r="A743">
        <v>742</v>
      </c>
      <c r="B743" t="s">
        <v>1628</v>
      </c>
      <c r="C743" t="s">
        <v>1739</v>
      </c>
      <c r="D743" t="s">
        <v>1740</v>
      </c>
      <c r="E743" t="s">
        <v>40</v>
      </c>
      <c r="F743" t="s">
        <v>1636</v>
      </c>
      <c r="G743" t="s">
        <v>1637</v>
      </c>
      <c r="H743" t="str">
        <f>'Huong dan giao do an'!$B$14</f>
        <v>5 SV (vai trò chính): 1 PM/Scrum Master kiêm Integration; 2 BA/PO; 3 UI-UX + Frontend; 4 Backend/API + DevOps; 5 Database + QA/Tester. Mỗi SV có nhiệm vụ phụ và minh chứng cá nhân.</v>
      </c>
      <c r="I743" t="s">
        <v>29</v>
      </c>
      <c r="J743" t="s">
        <v>1638</v>
      </c>
      <c r="K743" t="str">
        <f>IF(I743="Trung bình",'Huong dan giao do an'!$B$8,IF(I743="Khá",'Huong dan giao do an'!$B$9,'Huong dan giao do an'!$B$10))</f>
        <v>Tối thiểu 5 actor; 14-18 use case; 10-15 bảng; 4 quy trình; tích hợp ngoài/realtime hoặc xử lý nâng cao; 3 báo cáo; &gt;=45 test case; logging, backup và deploy.</v>
      </c>
      <c r="L743" t="str">
        <f>'Huong dan giao do an'!$B$31</f>
        <v>Bắt buộc: Charter/PMP; SRS + scope/WBS; Gantt/baseline; effort-cost budget; RACI/timesheet; quality-test-defect; communication/minutes; risk register; procurement; change log; closure/lessons learned.</v>
      </c>
      <c r="M743" t="str">
        <f>'Huong dan giao do an'!$B$33</f>
        <v>Tuần 1: 07.09–13.09.2026; Tuần 2: 14.09–20.09.2026; Tuần 3: 21.09–27.09.2026; Tuần 4: 28.09–04.10.2026; Tuần 5: 05.10–11.10.2026; Tuần 6: 12.10–18.10.2026; Tuần 7: 19.10–25.10.2026; Tuần 8: 26.10–01.11.2026.</v>
      </c>
      <c r="N7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3" s="17" t="str">
        <f t="shared" si="11"/>
        <v>Còn trống</v>
      </c>
    </row>
    <row r="744" spans="1:16" x14ac:dyDescent="0.3">
      <c r="A744">
        <v>743</v>
      </c>
      <c r="B744" t="s">
        <v>1628</v>
      </c>
      <c r="C744" t="s">
        <v>1741</v>
      </c>
      <c r="D744" t="s">
        <v>1742</v>
      </c>
      <c r="E744" t="s">
        <v>45</v>
      </c>
      <c r="F744" t="s">
        <v>1641</v>
      </c>
      <c r="G744" t="s">
        <v>1642</v>
      </c>
      <c r="H744" t="str">
        <f>'Huong dan giao do an'!$B$14</f>
        <v>5 SV (vai trò chính): 1 PM/Scrum Master kiêm Integration; 2 BA/PO; 3 UI-UX + Frontend; 4 Backend/API + DevOps; 5 Database + QA/Tester. Mỗi SV có nhiệm vụ phụ và minh chứng cá nhân.</v>
      </c>
      <c r="I744" t="s">
        <v>36</v>
      </c>
      <c r="J744" t="s">
        <v>1643</v>
      </c>
      <c r="K744" t="str">
        <f>IF(I744="Trung bình",'Huong dan giao do an'!$B$8,IF(I744="Khá",'Huong dan giao do an'!$B$9,'Huong dan giao do an'!$B$10))</f>
        <v>Tối thiểu 3 actor; 8-10 use case; 6-8 bảng dữ liệu; 2 quy trình lõi; đăng nhập/RBAC; 1 dashboard; 1 báo cáo; &gt;=25 test case; triển khai bản demo.</v>
      </c>
      <c r="L744" t="str">
        <f>'Huong dan giao do an'!$B$31</f>
        <v>Bắt buộc: Charter/PMP; SRS + scope/WBS; Gantt/baseline; effort-cost budget; RACI/timesheet; quality-test-defect; communication/minutes; risk register; procurement; change log; closure/lessons learned.</v>
      </c>
      <c r="M744" t="str">
        <f>'Huong dan giao do an'!$B$33</f>
        <v>Tuần 1: 07.09–13.09.2026; Tuần 2: 14.09–20.09.2026; Tuần 3: 21.09–27.09.2026; Tuần 4: 28.09–04.10.2026; Tuần 5: 05.10–11.10.2026; Tuần 6: 12.10–18.10.2026; Tuần 7: 19.10–25.10.2026; Tuần 8: 26.10–01.11.2026.</v>
      </c>
      <c r="N7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4" s="17" t="str">
        <f t="shared" si="11"/>
        <v>Còn trống</v>
      </c>
    </row>
    <row r="745" spans="1:16" x14ac:dyDescent="0.3">
      <c r="A745">
        <v>744</v>
      </c>
      <c r="B745" t="s">
        <v>1628</v>
      </c>
      <c r="C745" t="s">
        <v>1743</v>
      </c>
      <c r="D745" t="s">
        <v>1744</v>
      </c>
      <c r="E745" t="s">
        <v>19</v>
      </c>
      <c r="F745" t="s">
        <v>1646</v>
      </c>
      <c r="G745" t="s">
        <v>1647</v>
      </c>
      <c r="H745" t="str">
        <f>'Huong dan giao do an'!$B$14</f>
        <v>5 SV (vai trò chính): 1 PM/Scrum Master kiêm Integration; 2 BA/PO; 3 UI-UX + Frontend; 4 Backend/API + DevOps; 5 Database + QA/Tester. Mỗi SV có nhiệm vụ phụ và minh chứng cá nhân.</v>
      </c>
      <c r="I745" t="s">
        <v>22</v>
      </c>
      <c r="J745" t="s">
        <v>1633</v>
      </c>
      <c r="K745" t="str">
        <f>IF(I745="Trung bình",'Huong dan giao do an'!$B$8,IF(I745="Khá",'Huong dan giao do an'!$B$9,'Huong dan giao do an'!$B$10))</f>
        <v>Tối thiểu 4 actor; 10-14 use case; 8-12 bảng; 3 quy trình lõi; phân quyền chi tiết; 2 báo cáo; tích hợp 1 dịch vụ; &gt;=35 test case; CI/CD hoặc deploy cloud.</v>
      </c>
      <c r="L745" t="str">
        <f>'Huong dan giao do an'!$B$31</f>
        <v>Bắt buộc: Charter/PMP; SRS + scope/WBS; Gantt/baseline; effort-cost budget; RACI/timesheet; quality-test-defect; communication/minutes; risk register; procurement; change log; closure/lessons learned.</v>
      </c>
      <c r="M745" t="str">
        <f>'Huong dan giao do an'!$B$33</f>
        <v>Tuần 1: 07.09–13.09.2026; Tuần 2: 14.09–20.09.2026; Tuần 3: 21.09–27.09.2026; Tuần 4: 28.09–04.10.2026; Tuần 5: 05.10–11.10.2026; Tuần 6: 12.10–18.10.2026; Tuần 7: 19.10–25.10.2026; Tuần 8: 26.10–01.11.2026.</v>
      </c>
      <c r="N7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5" s="17" t="str">
        <f t="shared" si="11"/>
        <v>Còn trống</v>
      </c>
    </row>
    <row r="746" spans="1:16" x14ac:dyDescent="0.3">
      <c r="A746">
        <v>745</v>
      </c>
      <c r="B746" t="s">
        <v>1628</v>
      </c>
      <c r="C746" t="s">
        <v>1745</v>
      </c>
      <c r="D746" t="s">
        <v>1746</v>
      </c>
      <c r="E746" t="s">
        <v>26</v>
      </c>
      <c r="F746" t="s">
        <v>1650</v>
      </c>
      <c r="G746" t="s">
        <v>1651</v>
      </c>
      <c r="H746" t="str">
        <f>'Huong dan giao do an'!$B$14</f>
        <v>5 SV (vai trò chính): 1 PM/Scrum Master kiêm Integration; 2 BA/PO; 3 UI-UX + Frontend; 4 Backend/API + DevOps; 5 Database + QA/Tester. Mỗi SV có nhiệm vụ phụ và minh chứng cá nhân.</v>
      </c>
      <c r="I746" t="s">
        <v>29</v>
      </c>
      <c r="J746" t="s">
        <v>1638</v>
      </c>
      <c r="K746" t="str">
        <f>IF(I746="Trung bình",'Huong dan giao do an'!$B$8,IF(I746="Khá",'Huong dan giao do an'!$B$9,'Huong dan giao do an'!$B$10))</f>
        <v>Tối thiểu 5 actor; 14-18 use case; 10-15 bảng; 4 quy trình; tích hợp ngoài/realtime hoặc xử lý nâng cao; 3 báo cáo; &gt;=45 test case; logging, backup và deploy.</v>
      </c>
      <c r="L746" t="str">
        <f>'Huong dan giao do an'!$B$31</f>
        <v>Bắt buộc: Charter/PMP; SRS + scope/WBS; Gantt/baseline; effort-cost budget; RACI/timesheet; quality-test-defect; communication/minutes; risk register; procurement; change log; closure/lessons learned.</v>
      </c>
      <c r="M746" t="str">
        <f>'Huong dan giao do an'!$B$33</f>
        <v>Tuần 1: 07.09–13.09.2026; Tuần 2: 14.09–20.09.2026; Tuần 3: 21.09–27.09.2026; Tuần 4: 28.09–04.10.2026; Tuần 5: 05.10–11.10.2026; Tuần 6: 12.10–18.10.2026; Tuần 7: 19.10–25.10.2026; Tuần 8: 26.10–01.11.2026.</v>
      </c>
      <c r="N7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6" s="17" t="str">
        <f t="shared" si="11"/>
        <v>Còn trống</v>
      </c>
    </row>
    <row r="747" spans="1:16" x14ac:dyDescent="0.3">
      <c r="A747">
        <v>746</v>
      </c>
      <c r="B747" t="s">
        <v>1628</v>
      </c>
      <c r="C747" t="s">
        <v>1747</v>
      </c>
      <c r="D747" t="s">
        <v>1748</v>
      </c>
      <c r="E747" t="s">
        <v>33</v>
      </c>
      <c r="F747" t="s">
        <v>1631</v>
      </c>
      <c r="G747" t="s">
        <v>1654</v>
      </c>
      <c r="H747" t="str">
        <f>'Huong dan giao do an'!$B$14</f>
        <v>5 SV (vai trò chính): 1 PM/Scrum Master kiêm Integration; 2 BA/PO; 3 UI-UX + Frontend; 4 Backend/API + DevOps; 5 Database + QA/Tester. Mỗi SV có nhiệm vụ phụ và minh chứng cá nhân.</v>
      </c>
      <c r="I747" t="s">
        <v>36</v>
      </c>
      <c r="J747" t="s">
        <v>1643</v>
      </c>
      <c r="K747" t="str">
        <f>IF(I747="Trung bình",'Huong dan giao do an'!$B$8,IF(I747="Khá",'Huong dan giao do an'!$B$9,'Huong dan giao do an'!$B$10))</f>
        <v>Tối thiểu 3 actor; 8-10 use case; 6-8 bảng dữ liệu; 2 quy trình lõi; đăng nhập/RBAC; 1 dashboard; 1 báo cáo; &gt;=25 test case; triển khai bản demo.</v>
      </c>
      <c r="L747" t="str">
        <f>'Huong dan giao do an'!$B$31</f>
        <v>Bắt buộc: Charter/PMP; SRS + scope/WBS; Gantt/baseline; effort-cost budget; RACI/timesheet; quality-test-defect; communication/minutes; risk register; procurement; change log; closure/lessons learned.</v>
      </c>
      <c r="M747" t="str">
        <f>'Huong dan giao do an'!$B$33</f>
        <v>Tuần 1: 07.09–13.09.2026; Tuần 2: 14.09–20.09.2026; Tuần 3: 21.09–27.09.2026; Tuần 4: 28.09–04.10.2026; Tuần 5: 05.10–11.10.2026; Tuần 6: 12.10–18.10.2026; Tuần 7: 19.10–25.10.2026; Tuần 8: 26.10–01.11.2026.</v>
      </c>
      <c r="N7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7" s="17" t="str">
        <f t="shared" si="11"/>
        <v>Còn trống</v>
      </c>
    </row>
    <row r="748" spans="1:16" x14ac:dyDescent="0.3">
      <c r="A748">
        <v>747</v>
      </c>
      <c r="B748" t="s">
        <v>1628</v>
      </c>
      <c r="C748" t="s">
        <v>1749</v>
      </c>
      <c r="D748" t="s">
        <v>1750</v>
      </c>
      <c r="E748" t="s">
        <v>40</v>
      </c>
      <c r="F748" t="s">
        <v>1636</v>
      </c>
      <c r="G748" t="s">
        <v>1657</v>
      </c>
      <c r="H748" t="str">
        <f>'Huong dan giao do an'!$B$14</f>
        <v>5 SV (vai trò chính): 1 PM/Scrum Master kiêm Integration; 2 BA/PO; 3 UI-UX + Frontend; 4 Backend/API + DevOps; 5 Database + QA/Tester. Mỗi SV có nhiệm vụ phụ và minh chứng cá nhân.</v>
      </c>
      <c r="I748" t="s">
        <v>22</v>
      </c>
      <c r="J748" t="s">
        <v>1633</v>
      </c>
      <c r="K748" t="str">
        <f>IF(I748="Trung bình",'Huong dan giao do an'!$B$8,IF(I748="Khá",'Huong dan giao do an'!$B$9,'Huong dan giao do an'!$B$10))</f>
        <v>Tối thiểu 4 actor; 10-14 use case; 8-12 bảng; 3 quy trình lõi; phân quyền chi tiết; 2 báo cáo; tích hợp 1 dịch vụ; &gt;=35 test case; CI/CD hoặc deploy cloud.</v>
      </c>
      <c r="L748" t="str">
        <f>'Huong dan giao do an'!$B$31</f>
        <v>Bắt buộc: Charter/PMP; SRS + scope/WBS; Gantt/baseline; effort-cost budget; RACI/timesheet; quality-test-defect; communication/minutes; risk register; procurement; change log; closure/lessons learned.</v>
      </c>
      <c r="M748" t="str">
        <f>'Huong dan giao do an'!$B$33</f>
        <v>Tuần 1: 07.09–13.09.2026; Tuần 2: 14.09–20.09.2026; Tuần 3: 21.09–27.09.2026; Tuần 4: 28.09–04.10.2026; Tuần 5: 05.10–11.10.2026; Tuần 6: 12.10–18.10.2026; Tuần 7: 19.10–25.10.2026; Tuần 8: 26.10–01.11.2026.</v>
      </c>
      <c r="N7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8" s="17" t="str">
        <f t="shared" si="11"/>
        <v>Còn trống</v>
      </c>
    </row>
    <row r="749" spans="1:16" x14ac:dyDescent="0.3">
      <c r="A749">
        <v>748</v>
      </c>
      <c r="B749" t="s">
        <v>1628</v>
      </c>
      <c r="C749" t="s">
        <v>1751</v>
      </c>
      <c r="D749" t="s">
        <v>1752</v>
      </c>
      <c r="E749" t="s">
        <v>45</v>
      </c>
      <c r="F749" t="s">
        <v>1641</v>
      </c>
      <c r="G749" t="s">
        <v>1660</v>
      </c>
      <c r="H749" t="str">
        <f>'Huong dan giao do an'!$B$14</f>
        <v>5 SV (vai trò chính): 1 PM/Scrum Master kiêm Integration; 2 BA/PO; 3 UI-UX + Frontend; 4 Backend/API + DevOps; 5 Database + QA/Tester. Mỗi SV có nhiệm vụ phụ và minh chứng cá nhân.</v>
      </c>
      <c r="I749" t="s">
        <v>29</v>
      </c>
      <c r="J749" t="s">
        <v>1638</v>
      </c>
      <c r="K749" t="str">
        <f>IF(I749="Trung bình",'Huong dan giao do an'!$B$8,IF(I749="Khá",'Huong dan giao do an'!$B$9,'Huong dan giao do an'!$B$10))</f>
        <v>Tối thiểu 5 actor; 14-18 use case; 10-15 bảng; 4 quy trình; tích hợp ngoài/realtime hoặc xử lý nâng cao; 3 báo cáo; &gt;=45 test case; logging, backup và deploy.</v>
      </c>
      <c r="L749" t="str">
        <f>'Huong dan giao do an'!$B$31</f>
        <v>Bắt buộc: Charter/PMP; SRS + scope/WBS; Gantt/baseline; effort-cost budget; RACI/timesheet; quality-test-defect; communication/minutes; risk register; procurement; change log; closure/lessons learned.</v>
      </c>
      <c r="M749" t="str">
        <f>'Huong dan giao do an'!$B$33</f>
        <v>Tuần 1: 07.09–13.09.2026; Tuần 2: 14.09–20.09.2026; Tuần 3: 21.09–27.09.2026; Tuần 4: 28.09–04.10.2026; Tuần 5: 05.10–11.10.2026; Tuần 6: 12.10–18.10.2026; Tuần 7: 19.10–25.10.2026; Tuần 8: 26.10–01.11.2026.</v>
      </c>
      <c r="N7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49" s="17" t="str">
        <f t="shared" si="11"/>
        <v>Còn trống</v>
      </c>
    </row>
    <row r="750" spans="1:16" x14ac:dyDescent="0.3">
      <c r="A750">
        <v>749</v>
      </c>
      <c r="B750" t="s">
        <v>1628</v>
      </c>
      <c r="C750" t="s">
        <v>1753</v>
      </c>
      <c r="D750" t="s">
        <v>1754</v>
      </c>
      <c r="E750" t="s">
        <v>19</v>
      </c>
      <c r="F750" t="s">
        <v>1646</v>
      </c>
      <c r="G750" t="s">
        <v>1663</v>
      </c>
      <c r="H750" t="str">
        <f>'Huong dan giao do an'!$B$14</f>
        <v>5 SV (vai trò chính): 1 PM/Scrum Master kiêm Integration; 2 BA/PO; 3 UI-UX + Frontend; 4 Backend/API + DevOps; 5 Database + QA/Tester. Mỗi SV có nhiệm vụ phụ và minh chứng cá nhân.</v>
      </c>
      <c r="I750" t="s">
        <v>36</v>
      </c>
      <c r="J750" t="s">
        <v>1643</v>
      </c>
      <c r="K750" t="str">
        <f>IF(I750="Trung bình",'Huong dan giao do an'!$B$8,IF(I750="Khá",'Huong dan giao do an'!$B$9,'Huong dan giao do an'!$B$10))</f>
        <v>Tối thiểu 3 actor; 8-10 use case; 6-8 bảng dữ liệu; 2 quy trình lõi; đăng nhập/RBAC; 1 dashboard; 1 báo cáo; &gt;=25 test case; triển khai bản demo.</v>
      </c>
      <c r="L750" t="str">
        <f>'Huong dan giao do an'!$B$31</f>
        <v>Bắt buộc: Charter/PMP; SRS + scope/WBS; Gantt/baseline; effort-cost budget; RACI/timesheet; quality-test-defect; communication/minutes; risk register; procurement; change log; closure/lessons learned.</v>
      </c>
      <c r="M750" t="str">
        <f>'Huong dan giao do an'!$B$33</f>
        <v>Tuần 1: 07.09–13.09.2026; Tuần 2: 14.09–20.09.2026; Tuần 3: 21.09–27.09.2026; Tuần 4: 28.09–04.10.2026; Tuần 5: 05.10–11.10.2026; Tuần 6: 12.10–18.10.2026; Tuần 7: 19.10–25.10.2026; Tuần 8: 26.10–01.11.2026.</v>
      </c>
      <c r="N7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0" s="17" t="str">
        <f t="shared" si="11"/>
        <v>Còn trống</v>
      </c>
    </row>
    <row r="751" spans="1:16" x14ac:dyDescent="0.3">
      <c r="A751">
        <v>750</v>
      </c>
      <c r="B751" t="s">
        <v>1628</v>
      </c>
      <c r="C751" t="s">
        <v>1755</v>
      </c>
      <c r="D751" t="s">
        <v>1756</v>
      </c>
      <c r="E751" t="s">
        <v>26</v>
      </c>
      <c r="F751" t="s">
        <v>1650</v>
      </c>
      <c r="G751" t="s">
        <v>1666</v>
      </c>
      <c r="H751" t="str">
        <f>'Huong dan giao do an'!$B$14</f>
        <v>5 SV (vai trò chính): 1 PM/Scrum Master kiêm Integration; 2 BA/PO; 3 UI-UX + Frontend; 4 Backend/API + DevOps; 5 Database + QA/Tester. Mỗi SV có nhiệm vụ phụ và minh chứng cá nhân.</v>
      </c>
      <c r="I751" t="s">
        <v>22</v>
      </c>
      <c r="J751" t="s">
        <v>1633</v>
      </c>
      <c r="K751" t="str">
        <f>IF(I751="Trung bình",'Huong dan giao do an'!$B$8,IF(I751="Khá",'Huong dan giao do an'!$B$9,'Huong dan giao do an'!$B$10))</f>
        <v>Tối thiểu 4 actor; 10-14 use case; 8-12 bảng; 3 quy trình lõi; phân quyền chi tiết; 2 báo cáo; tích hợp 1 dịch vụ; &gt;=35 test case; CI/CD hoặc deploy cloud.</v>
      </c>
      <c r="L751" t="str">
        <f>'Huong dan giao do an'!$B$31</f>
        <v>Bắt buộc: Charter/PMP; SRS + scope/WBS; Gantt/baseline; effort-cost budget; RACI/timesheet; quality-test-defect; communication/minutes; risk register; procurement; change log; closure/lessons learned.</v>
      </c>
      <c r="M751" t="str">
        <f>'Huong dan giao do an'!$B$33</f>
        <v>Tuần 1: 07.09–13.09.2026; Tuần 2: 14.09–20.09.2026; Tuần 3: 21.09–27.09.2026; Tuần 4: 28.09–04.10.2026; Tuần 5: 05.10–11.10.2026; Tuần 6: 12.10–18.10.2026; Tuần 7: 19.10–25.10.2026; Tuần 8: 26.10–01.11.2026.</v>
      </c>
      <c r="N7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1" s="17" t="str">
        <f t="shared" si="11"/>
        <v>Còn trống</v>
      </c>
    </row>
    <row r="752" spans="1:16" x14ac:dyDescent="0.3">
      <c r="A752">
        <v>751</v>
      </c>
      <c r="B752" t="s">
        <v>1628</v>
      </c>
      <c r="C752" t="s">
        <v>1757</v>
      </c>
      <c r="D752" t="s">
        <v>1758</v>
      </c>
      <c r="E752" t="s">
        <v>33</v>
      </c>
      <c r="F752" t="s">
        <v>1631</v>
      </c>
      <c r="G752" t="s">
        <v>1669</v>
      </c>
      <c r="H752" t="str">
        <f>'Huong dan giao do an'!$B$14</f>
        <v>5 SV (vai trò chính): 1 PM/Scrum Master kiêm Integration; 2 BA/PO; 3 UI-UX + Frontend; 4 Backend/API + DevOps; 5 Database + QA/Tester. Mỗi SV có nhiệm vụ phụ và minh chứng cá nhân.</v>
      </c>
      <c r="I752" t="s">
        <v>29</v>
      </c>
      <c r="J752" t="s">
        <v>1638</v>
      </c>
      <c r="K752" t="str">
        <f>IF(I752="Trung bình",'Huong dan giao do an'!$B$8,IF(I752="Khá",'Huong dan giao do an'!$B$9,'Huong dan giao do an'!$B$10))</f>
        <v>Tối thiểu 5 actor; 14-18 use case; 10-15 bảng; 4 quy trình; tích hợp ngoài/realtime hoặc xử lý nâng cao; 3 báo cáo; &gt;=45 test case; logging, backup và deploy.</v>
      </c>
      <c r="L752" t="str">
        <f>'Huong dan giao do an'!$B$31</f>
        <v>Bắt buộc: Charter/PMP; SRS + scope/WBS; Gantt/baseline; effort-cost budget; RACI/timesheet; quality-test-defect; communication/minutes; risk register; procurement; change log; closure/lessons learned.</v>
      </c>
      <c r="M752" t="str">
        <f>'Huong dan giao do an'!$B$33</f>
        <v>Tuần 1: 07.09–13.09.2026; Tuần 2: 14.09–20.09.2026; Tuần 3: 21.09–27.09.2026; Tuần 4: 28.09–04.10.2026; Tuần 5: 05.10–11.10.2026; Tuần 6: 12.10–18.10.2026; Tuần 7: 19.10–25.10.2026; Tuần 8: 26.10–01.11.2026.</v>
      </c>
      <c r="N7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2" s="17" t="str">
        <f t="shared" si="11"/>
        <v>Còn trống</v>
      </c>
    </row>
    <row r="753" spans="1:16" x14ac:dyDescent="0.3">
      <c r="A753">
        <v>752</v>
      </c>
      <c r="B753" t="s">
        <v>1628</v>
      </c>
      <c r="C753" t="s">
        <v>1759</v>
      </c>
      <c r="D753" t="s">
        <v>1760</v>
      </c>
      <c r="E753" t="s">
        <v>40</v>
      </c>
      <c r="F753" t="s">
        <v>1636</v>
      </c>
      <c r="G753" t="s">
        <v>1672</v>
      </c>
      <c r="H753" t="str">
        <f>'Huong dan giao do an'!$B$14</f>
        <v>5 SV (vai trò chính): 1 PM/Scrum Master kiêm Integration; 2 BA/PO; 3 UI-UX + Frontend; 4 Backend/API + DevOps; 5 Database + QA/Tester. Mỗi SV có nhiệm vụ phụ và minh chứng cá nhân.</v>
      </c>
      <c r="I753" t="s">
        <v>36</v>
      </c>
      <c r="J753" t="s">
        <v>1643</v>
      </c>
      <c r="K753" t="str">
        <f>IF(I753="Trung bình",'Huong dan giao do an'!$B$8,IF(I753="Khá",'Huong dan giao do an'!$B$9,'Huong dan giao do an'!$B$10))</f>
        <v>Tối thiểu 3 actor; 8-10 use case; 6-8 bảng dữ liệu; 2 quy trình lõi; đăng nhập/RBAC; 1 dashboard; 1 báo cáo; &gt;=25 test case; triển khai bản demo.</v>
      </c>
      <c r="L753" t="str">
        <f>'Huong dan giao do an'!$B$31</f>
        <v>Bắt buộc: Charter/PMP; SRS + scope/WBS; Gantt/baseline; effort-cost budget; RACI/timesheet; quality-test-defect; communication/minutes; risk register; procurement; change log; closure/lessons learned.</v>
      </c>
      <c r="M753" t="str">
        <f>'Huong dan giao do an'!$B$33</f>
        <v>Tuần 1: 07.09–13.09.2026; Tuần 2: 14.09–20.09.2026; Tuần 3: 21.09–27.09.2026; Tuần 4: 28.09–04.10.2026; Tuần 5: 05.10–11.10.2026; Tuần 6: 12.10–18.10.2026; Tuần 7: 19.10–25.10.2026; Tuần 8: 26.10–01.11.2026.</v>
      </c>
      <c r="N7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3" s="17" t="str">
        <f t="shared" si="11"/>
        <v>Còn trống</v>
      </c>
    </row>
    <row r="754" spans="1:16" x14ac:dyDescent="0.3">
      <c r="A754">
        <v>753</v>
      </c>
      <c r="B754" t="s">
        <v>1628</v>
      </c>
      <c r="C754" t="s">
        <v>1761</v>
      </c>
      <c r="D754" t="s">
        <v>1762</v>
      </c>
      <c r="E754" t="s">
        <v>45</v>
      </c>
      <c r="F754" t="s">
        <v>1641</v>
      </c>
      <c r="G754" t="s">
        <v>1675</v>
      </c>
      <c r="H754" t="str">
        <f>'Huong dan giao do an'!$B$14</f>
        <v>5 SV (vai trò chính): 1 PM/Scrum Master kiêm Integration; 2 BA/PO; 3 UI-UX + Frontend; 4 Backend/API + DevOps; 5 Database + QA/Tester. Mỗi SV có nhiệm vụ phụ và minh chứng cá nhân.</v>
      </c>
      <c r="I754" t="s">
        <v>22</v>
      </c>
      <c r="J754" t="s">
        <v>1633</v>
      </c>
      <c r="K754" t="str">
        <f>IF(I754="Trung bình",'Huong dan giao do an'!$B$8,IF(I754="Khá",'Huong dan giao do an'!$B$9,'Huong dan giao do an'!$B$10))</f>
        <v>Tối thiểu 4 actor; 10-14 use case; 8-12 bảng; 3 quy trình lõi; phân quyền chi tiết; 2 báo cáo; tích hợp 1 dịch vụ; &gt;=35 test case; CI/CD hoặc deploy cloud.</v>
      </c>
      <c r="L754" t="str">
        <f>'Huong dan giao do an'!$B$31</f>
        <v>Bắt buộc: Charter/PMP; SRS + scope/WBS; Gantt/baseline; effort-cost budget; RACI/timesheet; quality-test-defect; communication/minutes; risk register; procurement; change log; closure/lessons learned.</v>
      </c>
      <c r="M754" t="str">
        <f>'Huong dan giao do an'!$B$33</f>
        <v>Tuần 1: 07.09–13.09.2026; Tuần 2: 14.09–20.09.2026; Tuần 3: 21.09–27.09.2026; Tuần 4: 28.09–04.10.2026; Tuần 5: 05.10–11.10.2026; Tuần 6: 12.10–18.10.2026; Tuần 7: 19.10–25.10.2026; Tuần 8: 26.10–01.11.2026.</v>
      </c>
      <c r="N7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4" s="17" t="str">
        <f t="shared" si="11"/>
        <v>Còn trống</v>
      </c>
    </row>
    <row r="755" spans="1:16" x14ac:dyDescent="0.3">
      <c r="A755">
        <v>754</v>
      </c>
      <c r="B755" t="s">
        <v>1628</v>
      </c>
      <c r="C755" t="s">
        <v>1763</v>
      </c>
      <c r="D755" t="s">
        <v>1764</v>
      </c>
      <c r="E755" t="s">
        <v>19</v>
      </c>
      <c r="F755" t="s">
        <v>1646</v>
      </c>
      <c r="G755" t="s">
        <v>1678</v>
      </c>
      <c r="H755" t="str">
        <f>'Huong dan giao do an'!$B$14</f>
        <v>5 SV (vai trò chính): 1 PM/Scrum Master kiêm Integration; 2 BA/PO; 3 UI-UX + Frontend; 4 Backend/API + DevOps; 5 Database + QA/Tester. Mỗi SV có nhiệm vụ phụ và minh chứng cá nhân.</v>
      </c>
      <c r="I755" t="s">
        <v>29</v>
      </c>
      <c r="J755" t="s">
        <v>1638</v>
      </c>
      <c r="K755" t="str">
        <f>IF(I755="Trung bình",'Huong dan giao do an'!$B$8,IF(I755="Khá",'Huong dan giao do an'!$B$9,'Huong dan giao do an'!$B$10))</f>
        <v>Tối thiểu 5 actor; 14-18 use case; 10-15 bảng; 4 quy trình; tích hợp ngoài/realtime hoặc xử lý nâng cao; 3 báo cáo; &gt;=45 test case; logging, backup và deploy.</v>
      </c>
      <c r="L755" t="str">
        <f>'Huong dan giao do an'!$B$31</f>
        <v>Bắt buộc: Charter/PMP; SRS + scope/WBS; Gantt/baseline; effort-cost budget; RACI/timesheet; quality-test-defect; communication/minutes; risk register; procurement; change log; closure/lessons learned.</v>
      </c>
      <c r="M755" t="str">
        <f>'Huong dan giao do an'!$B$33</f>
        <v>Tuần 1: 07.09–13.09.2026; Tuần 2: 14.09–20.09.2026; Tuần 3: 21.09–27.09.2026; Tuần 4: 28.09–04.10.2026; Tuần 5: 05.10–11.10.2026; Tuần 6: 12.10–18.10.2026; Tuần 7: 19.10–25.10.2026; Tuần 8: 26.10–01.11.2026.</v>
      </c>
      <c r="N7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5" s="17" t="str">
        <f t="shared" si="11"/>
        <v>Còn trống</v>
      </c>
    </row>
    <row r="756" spans="1:16" x14ac:dyDescent="0.3">
      <c r="A756">
        <v>755</v>
      </c>
      <c r="B756" t="s">
        <v>1628</v>
      </c>
      <c r="C756" t="s">
        <v>1765</v>
      </c>
      <c r="D756" t="s">
        <v>1766</v>
      </c>
      <c r="E756" t="s">
        <v>26</v>
      </c>
      <c r="F756" t="s">
        <v>1650</v>
      </c>
      <c r="G756" t="s">
        <v>1681</v>
      </c>
      <c r="H756" t="str">
        <f>'Huong dan giao do an'!$B$14</f>
        <v>5 SV (vai trò chính): 1 PM/Scrum Master kiêm Integration; 2 BA/PO; 3 UI-UX + Frontend; 4 Backend/API + DevOps; 5 Database + QA/Tester. Mỗi SV có nhiệm vụ phụ và minh chứng cá nhân.</v>
      </c>
      <c r="I756" t="s">
        <v>36</v>
      </c>
      <c r="J756" t="s">
        <v>1643</v>
      </c>
      <c r="K756" t="str">
        <f>IF(I756="Trung bình",'Huong dan giao do an'!$B$8,IF(I756="Khá",'Huong dan giao do an'!$B$9,'Huong dan giao do an'!$B$10))</f>
        <v>Tối thiểu 3 actor; 8-10 use case; 6-8 bảng dữ liệu; 2 quy trình lõi; đăng nhập/RBAC; 1 dashboard; 1 báo cáo; &gt;=25 test case; triển khai bản demo.</v>
      </c>
      <c r="L756" t="str">
        <f>'Huong dan giao do an'!$B$31</f>
        <v>Bắt buộc: Charter/PMP; SRS + scope/WBS; Gantt/baseline; effort-cost budget; RACI/timesheet; quality-test-defect; communication/minutes; risk register; procurement; change log; closure/lessons learned.</v>
      </c>
      <c r="M756" t="str">
        <f>'Huong dan giao do an'!$B$33</f>
        <v>Tuần 1: 07.09–13.09.2026; Tuần 2: 14.09–20.09.2026; Tuần 3: 21.09–27.09.2026; Tuần 4: 28.09–04.10.2026; Tuần 5: 05.10–11.10.2026; Tuần 6: 12.10–18.10.2026; Tuần 7: 19.10–25.10.2026; Tuần 8: 26.10–01.11.2026.</v>
      </c>
      <c r="N7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6" s="17" t="str">
        <f t="shared" si="11"/>
        <v>Còn trống</v>
      </c>
    </row>
    <row r="757" spans="1:16" x14ac:dyDescent="0.3">
      <c r="A757">
        <v>756</v>
      </c>
      <c r="B757" t="s">
        <v>1628</v>
      </c>
      <c r="C757" t="s">
        <v>1767</v>
      </c>
      <c r="D757" t="s">
        <v>1768</v>
      </c>
      <c r="E757" t="s">
        <v>33</v>
      </c>
      <c r="F757" t="s">
        <v>1631</v>
      </c>
      <c r="G757" t="s">
        <v>1684</v>
      </c>
      <c r="H757" t="str">
        <f>'Huong dan giao do an'!$B$14</f>
        <v>5 SV (vai trò chính): 1 PM/Scrum Master kiêm Integration; 2 BA/PO; 3 UI-UX + Frontend; 4 Backend/API + DevOps; 5 Database + QA/Tester. Mỗi SV có nhiệm vụ phụ và minh chứng cá nhân.</v>
      </c>
      <c r="I757" t="s">
        <v>22</v>
      </c>
      <c r="J757" t="s">
        <v>1633</v>
      </c>
      <c r="K757" t="str">
        <f>IF(I757="Trung bình",'Huong dan giao do an'!$B$8,IF(I757="Khá",'Huong dan giao do an'!$B$9,'Huong dan giao do an'!$B$10))</f>
        <v>Tối thiểu 4 actor; 10-14 use case; 8-12 bảng; 3 quy trình lõi; phân quyền chi tiết; 2 báo cáo; tích hợp 1 dịch vụ; &gt;=35 test case; CI/CD hoặc deploy cloud.</v>
      </c>
      <c r="L757" t="str">
        <f>'Huong dan giao do an'!$B$31</f>
        <v>Bắt buộc: Charter/PMP; SRS + scope/WBS; Gantt/baseline; effort-cost budget; RACI/timesheet; quality-test-defect; communication/minutes; risk register; procurement; change log; closure/lessons learned.</v>
      </c>
      <c r="M757" t="str">
        <f>'Huong dan giao do an'!$B$33</f>
        <v>Tuần 1: 07.09–13.09.2026; Tuần 2: 14.09–20.09.2026; Tuần 3: 21.09–27.09.2026; Tuần 4: 28.09–04.10.2026; Tuần 5: 05.10–11.10.2026; Tuần 6: 12.10–18.10.2026; Tuần 7: 19.10–25.10.2026; Tuần 8: 26.10–01.11.2026.</v>
      </c>
      <c r="N7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7" s="17" t="str">
        <f t="shared" si="11"/>
        <v>Còn trống</v>
      </c>
    </row>
    <row r="758" spans="1:16" x14ac:dyDescent="0.3">
      <c r="A758">
        <v>757</v>
      </c>
      <c r="B758" t="s">
        <v>1628</v>
      </c>
      <c r="C758" t="s">
        <v>1769</v>
      </c>
      <c r="D758" t="s">
        <v>1770</v>
      </c>
      <c r="E758" t="s">
        <v>40</v>
      </c>
      <c r="F758" t="s">
        <v>1636</v>
      </c>
      <c r="G758" t="s">
        <v>1687</v>
      </c>
      <c r="H758" t="str">
        <f>'Huong dan giao do an'!$B$14</f>
        <v>5 SV (vai trò chính): 1 PM/Scrum Master kiêm Integration; 2 BA/PO; 3 UI-UX + Frontend; 4 Backend/API + DevOps; 5 Database + QA/Tester. Mỗi SV có nhiệm vụ phụ và minh chứng cá nhân.</v>
      </c>
      <c r="I758" t="s">
        <v>29</v>
      </c>
      <c r="J758" t="s">
        <v>1638</v>
      </c>
      <c r="K758" t="str">
        <f>IF(I758="Trung bình",'Huong dan giao do an'!$B$8,IF(I758="Khá",'Huong dan giao do an'!$B$9,'Huong dan giao do an'!$B$10))</f>
        <v>Tối thiểu 5 actor; 14-18 use case; 10-15 bảng; 4 quy trình; tích hợp ngoài/realtime hoặc xử lý nâng cao; 3 báo cáo; &gt;=45 test case; logging, backup và deploy.</v>
      </c>
      <c r="L758" t="str">
        <f>'Huong dan giao do an'!$B$31</f>
        <v>Bắt buộc: Charter/PMP; SRS + scope/WBS; Gantt/baseline; effort-cost budget; RACI/timesheet; quality-test-defect; communication/minutes; risk register; procurement; change log; closure/lessons learned.</v>
      </c>
      <c r="M758" t="str">
        <f>'Huong dan giao do an'!$B$33</f>
        <v>Tuần 1: 07.09–13.09.2026; Tuần 2: 14.09–20.09.2026; Tuần 3: 21.09–27.09.2026; Tuần 4: 28.09–04.10.2026; Tuần 5: 05.10–11.10.2026; Tuần 6: 12.10–18.10.2026; Tuần 7: 19.10–25.10.2026; Tuần 8: 26.10–01.11.2026.</v>
      </c>
      <c r="N7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8" s="17" t="str">
        <f t="shared" si="11"/>
        <v>Còn trống</v>
      </c>
    </row>
    <row r="759" spans="1:16" x14ac:dyDescent="0.3">
      <c r="A759">
        <v>758</v>
      </c>
      <c r="B759" t="s">
        <v>1628</v>
      </c>
      <c r="C759" t="s">
        <v>1771</v>
      </c>
      <c r="D759" t="s">
        <v>1772</v>
      </c>
      <c r="E759" t="s">
        <v>45</v>
      </c>
      <c r="F759" t="s">
        <v>1641</v>
      </c>
      <c r="G759" t="s">
        <v>1690</v>
      </c>
      <c r="H759" t="str">
        <f>'Huong dan giao do an'!$B$14</f>
        <v>5 SV (vai trò chính): 1 PM/Scrum Master kiêm Integration; 2 BA/PO; 3 UI-UX + Frontend; 4 Backend/API + DevOps; 5 Database + QA/Tester. Mỗi SV có nhiệm vụ phụ và minh chứng cá nhân.</v>
      </c>
      <c r="I759" t="s">
        <v>36</v>
      </c>
      <c r="J759" t="s">
        <v>1643</v>
      </c>
      <c r="K759" t="str">
        <f>IF(I759="Trung bình",'Huong dan giao do an'!$B$8,IF(I759="Khá",'Huong dan giao do an'!$B$9,'Huong dan giao do an'!$B$10))</f>
        <v>Tối thiểu 3 actor; 8-10 use case; 6-8 bảng dữ liệu; 2 quy trình lõi; đăng nhập/RBAC; 1 dashboard; 1 báo cáo; &gt;=25 test case; triển khai bản demo.</v>
      </c>
      <c r="L759" t="str">
        <f>'Huong dan giao do an'!$B$31</f>
        <v>Bắt buộc: Charter/PMP; SRS + scope/WBS; Gantt/baseline; effort-cost budget; RACI/timesheet; quality-test-defect; communication/minutes; risk register; procurement; change log; closure/lessons learned.</v>
      </c>
      <c r="M759" t="str">
        <f>'Huong dan giao do an'!$B$33</f>
        <v>Tuần 1: 07.09–13.09.2026; Tuần 2: 14.09–20.09.2026; Tuần 3: 21.09–27.09.2026; Tuần 4: 28.09–04.10.2026; Tuần 5: 05.10–11.10.2026; Tuần 6: 12.10–18.10.2026; Tuần 7: 19.10–25.10.2026; Tuần 8: 26.10–01.11.2026.</v>
      </c>
      <c r="N7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59" s="17" t="str">
        <f t="shared" si="11"/>
        <v>Còn trống</v>
      </c>
    </row>
    <row r="760" spans="1:16" x14ac:dyDescent="0.3">
      <c r="A760">
        <v>759</v>
      </c>
      <c r="B760" t="s">
        <v>1628</v>
      </c>
      <c r="C760" t="s">
        <v>1773</v>
      </c>
      <c r="D760" t="s">
        <v>1774</v>
      </c>
      <c r="E760" t="s">
        <v>19</v>
      </c>
      <c r="F760" t="s">
        <v>1646</v>
      </c>
      <c r="G760" t="s">
        <v>1693</v>
      </c>
      <c r="H760" t="str">
        <f>'Huong dan giao do an'!$B$14</f>
        <v>5 SV (vai trò chính): 1 PM/Scrum Master kiêm Integration; 2 BA/PO; 3 UI-UX + Frontend; 4 Backend/API + DevOps; 5 Database + QA/Tester. Mỗi SV có nhiệm vụ phụ và minh chứng cá nhân.</v>
      </c>
      <c r="I760" t="s">
        <v>22</v>
      </c>
      <c r="J760" t="s">
        <v>1633</v>
      </c>
      <c r="K760" t="str">
        <f>IF(I760="Trung bình",'Huong dan giao do an'!$B$8,IF(I760="Khá",'Huong dan giao do an'!$B$9,'Huong dan giao do an'!$B$10))</f>
        <v>Tối thiểu 4 actor; 10-14 use case; 8-12 bảng; 3 quy trình lõi; phân quyền chi tiết; 2 báo cáo; tích hợp 1 dịch vụ; &gt;=35 test case; CI/CD hoặc deploy cloud.</v>
      </c>
      <c r="L760" t="str">
        <f>'Huong dan giao do an'!$B$31</f>
        <v>Bắt buộc: Charter/PMP; SRS + scope/WBS; Gantt/baseline; effort-cost budget; RACI/timesheet; quality-test-defect; communication/minutes; risk register; procurement; change log; closure/lessons learned.</v>
      </c>
      <c r="M760" t="str">
        <f>'Huong dan giao do an'!$B$33</f>
        <v>Tuần 1: 07.09–13.09.2026; Tuần 2: 14.09–20.09.2026; Tuần 3: 21.09–27.09.2026; Tuần 4: 28.09–04.10.2026; Tuần 5: 05.10–11.10.2026; Tuần 6: 12.10–18.10.2026; Tuần 7: 19.10–25.10.2026; Tuần 8: 26.10–01.11.2026.</v>
      </c>
      <c r="N7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0" s="17" t="str">
        <f t="shared" si="11"/>
        <v>Còn trống</v>
      </c>
    </row>
    <row r="761" spans="1:16" x14ac:dyDescent="0.3">
      <c r="A761">
        <v>760</v>
      </c>
      <c r="B761" t="s">
        <v>1628</v>
      </c>
      <c r="C761" t="s">
        <v>1775</v>
      </c>
      <c r="D761" t="s">
        <v>1776</v>
      </c>
      <c r="E761" t="s">
        <v>26</v>
      </c>
      <c r="F761" t="s">
        <v>1650</v>
      </c>
      <c r="G761" t="s">
        <v>1696</v>
      </c>
      <c r="H761" t="str">
        <f>'Huong dan giao do an'!$B$14</f>
        <v>5 SV (vai trò chính): 1 PM/Scrum Master kiêm Integration; 2 BA/PO; 3 UI-UX + Frontend; 4 Backend/API + DevOps; 5 Database + QA/Tester. Mỗi SV có nhiệm vụ phụ và minh chứng cá nhân.</v>
      </c>
      <c r="I761" t="s">
        <v>29</v>
      </c>
      <c r="J761" t="s">
        <v>1638</v>
      </c>
      <c r="K761" t="str">
        <f>IF(I761="Trung bình",'Huong dan giao do an'!$B$8,IF(I761="Khá",'Huong dan giao do an'!$B$9,'Huong dan giao do an'!$B$10))</f>
        <v>Tối thiểu 5 actor; 14-18 use case; 10-15 bảng; 4 quy trình; tích hợp ngoài/realtime hoặc xử lý nâng cao; 3 báo cáo; &gt;=45 test case; logging, backup và deploy.</v>
      </c>
      <c r="L761" t="str">
        <f>'Huong dan giao do an'!$B$31</f>
        <v>Bắt buộc: Charter/PMP; SRS + scope/WBS; Gantt/baseline; effort-cost budget; RACI/timesheet; quality-test-defect; communication/minutes; risk register; procurement; change log; closure/lessons learned.</v>
      </c>
      <c r="M761" t="str">
        <f>'Huong dan giao do an'!$B$33</f>
        <v>Tuần 1: 07.09–13.09.2026; Tuần 2: 14.09–20.09.2026; Tuần 3: 21.09–27.09.2026; Tuần 4: 28.09–04.10.2026; Tuần 5: 05.10–11.10.2026; Tuần 6: 12.10–18.10.2026; Tuần 7: 19.10–25.10.2026; Tuần 8: 26.10–01.11.2026.</v>
      </c>
      <c r="N7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1" s="17" t="str">
        <f t="shared" si="11"/>
        <v>Còn trống</v>
      </c>
    </row>
    <row r="762" spans="1:16" x14ac:dyDescent="0.3">
      <c r="A762">
        <v>761</v>
      </c>
      <c r="B762" t="s">
        <v>1628</v>
      </c>
      <c r="C762" t="s">
        <v>1777</v>
      </c>
      <c r="D762" t="s">
        <v>1778</v>
      </c>
      <c r="E762" t="s">
        <v>33</v>
      </c>
      <c r="F762" t="s">
        <v>1631</v>
      </c>
      <c r="G762" t="s">
        <v>1632</v>
      </c>
      <c r="H762" t="str">
        <f>'Huong dan giao do an'!$B$14</f>
        <v>5 SV (vai trò chính): 1 PM/Scrum Master kiêm Integration; 2 BA/PO; 3 UI-UX + Frontend; 4 Backend/API + DevOps; 5 Database + QA/Tester. Mỗi SV có nhiệm vụ phụ và minh chứng cá nhân.</v>
      </c>
      <c r="I762" t="s">
        <v>22</v>
      </c>
      <c r="J762" t="s">
        <v>1633</v>
      </c>
      <c r="K762" t="str">
        <f>IF(I762="Trung bình",'Huong dan giao do an'!$B$8,IF(I762="Khá",'Huong dan giao do an'!$B$9,'Huong dan giao do an'!$B$10))</f>
        <v>Tối thiểu 4 actor; 10-14 use case; 8-12 bảng; 3 quy trình lõi; phân quyền chi tiết; 2 báo cáo; tích hợp 1 dịch vụ; &gt;=35 test case; CI/CD hoặc deploy cloud.</v>
      </c>
      <c r="L762" t="str">
        <f>'Huong dan giao do an'!$B$31</f>
        <v>Bắt buộc: Charter/PMP; SRS + scope/WBS; Gantt/baseline; effort-cost budget; RACI/timesheet; quality-test-defect; communication/minutes; risk register; procurement; change log; closure/lessons learned.</v>
      </c>
      <c r="M762" t="str">
        <f>'Huong dan giao do an'!$B$33</f>
        <v>Tuần 1: 07.09–13.09.2026; Tuần 2: 14.09–20.09.2026; Tuần 3: 21.09–27.09.2026; Tuần 4: 28.09–04.10.2026; Tuần 5: 05.10–11.10.2026; Tuần 6: 12.10–18.10.2026; Tuần 7: 19.10–25.10.2026; Tuần 8: 26.10–01.11.2026.</v>
      </c>
      <c r="N7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2" s="17" t="str">
        <f t="shared" si="11"/>
        <v>Còn trống</v>
      </c>
    </row>
    <row r="763" spans="1:16" x14ac:dyDescent="0.3">
      <c r="A763">
        <v>762</v>
      </c>
      <c r="B763" t="s">
        <v>1628</v>
      </c>
      <c r="C763" t="s">
        <v>1779</v>
      </c>
      <c r="D763" t="s">
        <v>1780</v>
      </c>
      <c r="E763" t="s">
        <v>40</v>
      </c>
      <c r="F763" t="s">
        <v>1636</v>
      </c>
      <c r="G763" t="s">
        <v>1637</v>
      </c>
      <c r="H763" t="str">
        <f>'Huong dan giao do an'!$B$14</f>
        <v>5 SV (vai trò chính): 1 PM/Scrum Master kiêm Integration; 2 BA/PO; 3 UI-UX + Frontend; 4 Backend/API + DevOps; 5 Database + QA/Tester. Mỗi SV có nhiệm vụ phụ và minh chứng cá nhân.</v>
      </c>
      <c r="I763" t="s">
        <v>29</v>
      </c>
      <c r="J763" t="s">
        <v>1638</v>
      </c>
      <c r="K763" t="str">
        <f>IF(I763="Trung bình",'Huong dan giao do an'!$B$8,IF(I763="Khá",'Huong dan giao do an'!$B$9,'Huong dan giao do an'!$B$10))</f>
        <v>Tối thiểu 5 actor; 14-18 use case; 10-15 bảng; 4 quy trình; tích hợp ngoài/realtime hoặc xử lý nâng cao; 3 báo cáo; &gt;=45 test case; logging, backup và deploy.</v>
      </c>
      <c r="L763" t="str">
        <f>'Huong dan giao do an'!$B$31</f>
        <v>Bắt buộc: Charter/PMP; SRS + scope/WBS; Gantt/baseline; effort-cost budget; RACI/timesheet; quality-test-defect; communication/minutes; risk register; procurement; change log; closure/lessons learned.</v>
      </c>
      <c r="M763" t="str">
        <f>'Huong dan giao do an'!$B$33</f>
        <v>Tuần 1: 07.09–13.09.2026; Tuần 2: 14.09–20.09.2026; Tuần 3: 21.09–27.09.2026; Tuần 4: 28.09–04.10.2026; Tuần 5: 05.10–11.10.2026; Tuần 6: 12.10–18.10.2026; Tuần 7: 19.10–25.10.2026; Tuần 8: 26.10–01.11.2026.</v>
      </c>
      <c r="N7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3" s="17" t="str">
        <f t="shared" si="11"/>
        <v>Còn trống</v>
      </c>
    </row>
    <row r="764" spans="1:16" x14ac:dyDescent="0.3">
      <c r="A764">
        <v>763</v>
      </c>
      <c r="B764" t="s">
        <v>1628</v>
      </c>
      <c r="C764" t="s">
        <v>1781</v>
      </c>
      <c r="D764" t="s">
        <v>1782</v>
      </c>
      <c r="E764" t="s">
        <v>45</v>
      </c>
      <c r="F764" t="s">
        <v>1641</v>
      </c>
      <c r="G764" t="s">
        <v>1642</v>
      </c>
      <c r="H764" t="str">
        <f>'Huong dan giao do an'!$B$14</f>
        <v>5 SV (vai trò chính): 1 PM/Scrum Master kiêm Integration; 2 BA/PO; 3 UI-UX + Frontend; 4 Backend/API + DevOps; 5 Database + QA/Tester. Mỗi SV có nhiệm vụ phụ và minh chứng cá nhân.</v>
      </c>
      <c r="I764" t="s">
        <v>36</v>
      </c>
      <c r="J764" t="s">
        <v>1643</v>
      </c>
      <c r="K764" t="str">
        <f>IF(I764="Trung bình",'Huong dan giao do an'!$B$8,IF(I764="Khá",'Huong dan giao do an'!$B$9,'Huong dan giao do an'!$B$10))</f>
        <v>Tối thiểu 3 actor; 8-10 use case; 6-8 bảng dữ liệu; 2 quy trình lõi; đăng nhập/RBAC; 1 dashboard; 1 báo cáo; &gt;=25 test case; triển khai bản demo.</v>
      </c>
      <c r="L764" t="str">
        <f>'Huong dan giao do an'!$B$31</f>
        <v>Bắt buộc: Charter/PMP; SRS + scope/WBS; Gantt/baseline; effort-cost budget; RACI/timesheet; quality-test-defect; communication/minutes; risk register; procurement; change log; closure/lessons learned.</v>
      </c>
      <c r="M764" t="str">
        <f>'Huong dan giao do an'!$B$33</f>
        <v>Tuần 1: 07.09–13.09.2026; Tuần 2: 14.09–20.09.2026; Tuần 3: 21.09–27.09.2026; Tuần 4: 28.09–04.10.2026; Tuần 5: 05.10–11.10.2026; Tuần 6: 12.10–18.10.2026; Tuần 7: 19.10–25.10.2026; Tuần 8: 26.10–01.11.2026.</v>
      </c>
      <c r="N7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4" s="17" t="str">
        <f t="shared" si="11"/>
        <v>Còn trống</v>
      </c>
    </row>
    <row r="765" spans="1:16" x14ac:dyDescent="0.3">
      <c r="A765">
        <v>764</v>
      </c>
      <c r="B765" t="s">
        <v>1628</v>
      </c>
      <c r="C765" t="s">
        <v>1783</v>
      </c>
      <c r="D765" t="s">
        <v>1784</v>
      </c>
      <c r="E765" t="s">
        <v>19</v>
      </c>
      <c r="F765" t="s">
        <v>1646</v>
      </c>
      <c r="G765" t="s">
        <v>1647</v>
      </c>
      <c r="H765" t="str">
        <f>'Huong dan giao do an'!$B$14</f>
        <v>5 SV (vai trò chính): 1 PM/Scrum Master kiêm Integration; 2 BA/PO; 3 UI-UX + Frontend; 4 Backend/API + DevOps; 5 Database + QA/Tester. Mỗi SV có nhiệm vụ phụ và minh chứng cá nhân.</v>
      </c>
      <c r="I765" t="s">
        <v>22</v>
      </c>
      <c r="J765" t="s">
        <v>1633</v>
      </c>
      <c r="K765" t="str">
        <f>IF(I765="Trung bình",'Huong dan giao do an'!$B$8,IF(I765="Khá",'Huong dan giao do an'!$B$9,'Huong dan giao do an'!$B$10))</f>
        <v>Tối thiểu 4 actor; 10-14 use case; 8-12 bảng; 3 quy trình lõi; phân quyền chi tiết; 2 báo cáo; tích hợp 1 dịch vụ; &gt;=35 test case; CI/CD hoặc deploy cloud.</v>
      </c>
      <c r="L765" t="str">
        <f>'Huong dan giao do an'!$B$31</f>
        <v>Bắt buộc: Charter/PMP; SRS + scope/WBS; Gantt/baseline; effort-cost budget; RACI/timesheet; quality-test-defect; communication/minutes; risk register; procurement; change log; closure/lessons learned.</v>
      </c>
      <c r="M765" t="str">
        <f>'Huong dan giao do an'!$B$33</f>
        <v>Tuần 1: 07.09–13.09.2026; Tuần 2: 14.09–20.09.2026; Tuần 3: 21.09–27.09.2026; Tuần 4: 28.09–04.10.2026; Tuần 5: 05.10–11.10.2026; Tuần 6: 12.10–18.10.2026; Tuần 7: 19.10–25.10.2026; Tuần 8: 26.10–01.11.2026.</v>
      </c>
      <c r="N7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5" s="17" t="str">
        <f t="shared" si="11"/>
        <v>Còn trống</v>
      </c>
    </row>
    <row r="766" spans="1:16" x14ac:dyDescent="0.3">
      <c r="A766">
        <v>765</v>
      </c>
      <c r="B766" t="s">
        <v>1628</v>
      </c>
      <c r="C766" t="s">
        <v>1785</v>
      </c>
      <c r="D766" t="s">
        <v>1786</v>
      </c>
      <c r="E766" t="s">
        <v>26</v>
      </c>
      <c r="F766" t="s">
        <v>1650</v>
      </c>
      <c r="G766" t="s">
        <v>1651</v>
      </c>
      <c r="H766" t="str">
        <f>'Huong dan giao do an'!$B$14</f>
        <v>5 SV (vai trò chính): 1 PM/Scrum Master kiêm Integration; 2 BA/PO; 3 UI-UX + Frontend; 4 Backend/API + DevOps; 5 Database + QA/Tester. Mỗi SV có nhiệm vụ phụ và minh chứng cá nhân.</v>
      </c>
      <c r="I766" t="s">
        <v>29</v>
      </c>
      <c r="J766" t="s">
        <v>1638</v>
      </c>
      <c r="K766" t="str">
        <f>IF(I766="Trung bình",'Huong dan giao do an'!$B$8,IF(I766="Khá",'Huong dan giao do an'!$B$9,'Huong dan giao do an'!$B$10))</f>
        <v>Tối thiểu 5 actor; 14-18 use case; 10-15 bảng; 4 quy trình; tích hợp ngoài/realtime hoặc xử lý nâng cao; 3 báo cáo; &gt;=45 test case; logging, backup và deploy.</v>
      </c>
      <c r="L766" t="str">
        <f>'Huong dan giao do an'!$B$31</f>
        <v>Bắt buộc: Charter/PMP; SRS + scope/WBS; Gantt/baseline; effort-cost budget; RACI/timesheet; quality-test-defect; communication/minutes; risk register; procurement; change log; closure/lessons learned.</v>
      </c>
      <c r="M766" t="str">
        <f>'Huong dan giao do an'!$B$33</f>
        <v>Tuần 1: 07.09–13.09.2026; Tuần 2: 14.09–20.09.2026; Tuần 3: 21.09–27.09.2026; Tuần 4: 28.09–04.10.2026; Tuần 5: 05.10–11.10.2026; Tuần 6: 12.10–18.10.2026; Tuần 7: 19.10–25.10.2026; Tuần 8: 26.10–01.11.2026.</v>
      </c>
      <c r="N7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6" s="17" t="str">
        <f t="shared" si="11"/>
        <v>Còn trống</v>
      </c>
    </row>
    <row r="767" spans="1:16" x14ac:dyDescent="0.3">
      <c r="A767">
        <v>766</v>
      </c>
      <c r="B767" t="s">
        <v>1628</v>
      </c>
      <c r="C767" t="s">
        <v>1787</v>
      </c>
      <c r="D767" t="s">
        <v>1788</v>
      </c>
      <c r="E767" t="s">
        <v>33</v>
      </c>
      <c r="F767" t="s">
        <v>1631</v>
      </c>
      <c r="G767" t="s">
        <v>1654</v>
      </c>
      <c r="H767" t="str">
        <f>'Huong dan giao do an'!$B$14</f>
        <v>5 SV (vai trò chính): 1 PM/Scrum Master kiêm Integration; 2 BA/PO; 3 UI-UX + Frontend; 4 Backend/API + DevOps; 5 Database + QA/Tester. Mỗi SV có nhiệm vụ phụ và minh chứng cá nhân.</v>
      </c>
      <c r="I767" t="s">
        <v>36</v>
      </c>
      <c r="J767" t="s">
        <v>1643</v>
      </c>
      <c r="K767" t="str">
        <f>IF(I767="Trung bình",'Huong dan giao do an'!$B$8,IF(I767="Khá",'Huong dan giao do an'!$B$9,'Huong dan giao do an'!$B$10))</f>
        <v>Tối thiểu 3 actor; 8-10 use case; 6-8 bảng dữ liệu; 2 quy trình lõi; đăng nhập/RBAC; 1 dashboard; 1 báo cáo; &gt;=25 test case; triển khai bản demo.</v>
      </c>
      <c r="L767" t="str">
        <f>'Huong dan giao do an'!$B$31</f>
        <v>Bắt buộc: Charter/PMP; SRS + scope/WBS; Gantt/baseline; effort-cost budget; RACI/timesheet; quality-test-defect; communication/minutes; risk register; procurement; change log; closure/lessons learned.</v>
      </c>
      <c r="M767" t="str">
        <f>'Huong dan giao do an'!$B$33</f>
        <v>Tuần 1: 07.09–13.09.2026; Tuần 2: 14.09–20.09.2026; Tuần 3: 21.09–27.09.2026; Tuần 4: 28.09–04.10.2026; Tuần 5: 05.10–11.10.2026; Tuần 6: 12.10–18.10.2026; Tuần 7: 19.10–25.10.2026; Tuần 8: 26.10–01.11.2026.</v>
      </c>
      <c r="N7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7" s="17" t="str">
        <f t="shared" si="11"/>
        <v>Còn trống</v>
      </c>
    </row>
    <row r="768" spans="1:16" x14ac:dyDescent="0.3">
      <c r="A768">
        <v>767</v>
      </c>
      <c r="B768" t="s">
        <v>1628</v>
      </c>
      <c r="C768" t="s">
        <v>1789</v>
      </c>
      <c r="D768" t="s">
        <v>1790</v>
      </c>
      <c r="E768" t="s">
        <v>40</v>
      </c>
      <c r="F768" t="s">
        <v>1636</v>
      </c>
      <c r="G768" t="s">
        <v>1657</v>
      </c>
      <c r="H768" t="str">
        <f>'Huong dan giao do an'!$B$14</f>
        <v>5 SV (vai trò chính): 1 PM/Scrum Master kiêm Integration; 2 BA/PO; 3 UI-UX + Frontend; 4 Backend/API + DevOps; 5 Database + QA/Tester. Mỗi SV có nhiệm vụ phụ và minh chứng cá nhân.</v>
      </c>
      <c r="I768" t="s">
        <v>22</v>
      </c>
      <c r="J768" t="s">
        <v>1633</v>
      </c>
      <c r="K768" t="str">
        <f>IF(I768="Trung bình",'Huong dan giao do an'!$B$8,IF(I768="Khá",'Huong dan giao do an'!$B$9,'Huong dan giao do an'!$B$10))</f>
        <v>Tối thiểu 4 actor; 10-14 use case; 8-12 bảng; 3 quy trình lõi; phân quyền chi tiết; 2 báo cáo; tích hợp 1 dịch vụ; &gt;=35 test case; CI/CD hoặc deploy cloud.</v>
      </c>
      <c r="L768" t="str">
        <f>'Huong dan giao do an'!$B$31</f>
        <v>Bắt buộc: Charter/PMP; SRS + scope/WBS; Gantt/baseline; effort-cost budget; RACI/timesheet; quality-test-defect; communication/minutes; risk register; procurement; change log; closure/lessons learned.</v>
      </c>
      <c r="M768" t="str">
        <f>'Huong dan giao do an'!$B$33</f>
        <v>Tuần 1: 07.09–13.09.2026; Tuần 2: 14.09–20.09.2026; Tuần 3: 21.09–27.09.2026; Tuần 4: 28.09–04.10.2026; Tuần 5: 05.10–11.10.2026; Tuần 6: 12.10–18.10.2026; Tuần 7: 19.10–25.10.2026; Tuần 8: 26.10–01.11.2026.</v>
      </c>
      <c r="N7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8" s="17" t="str">
        <f t="shared" si="11"/>
        <v>Còn trống</v>
      </c>
    </row>
    <row r="769" spans="1:16" x14ac:dyDescent="0.3">
      <c r="A769">
        <v>768</v>
      </c>
      <c r="B769" t="s">
        <v>1628</v>
      </c>
      <c r="C769" t="s">
        <v>1791</v>
      </c>
      <c r="D769" t="s">
        <v>1792</v>
      </c>
      <c r="E769" t="s">
        <v>45</v>
      </c>
      <c r="F769" t="s">
        <v>1641</v>
      </c>
      <c r="G769" t="s">
        <v>1660</v>
      </c>
      <c r="H769" t="str">
        <f>'Huong dan giao do an'!$B$14</f>
        <v>5 SV (vai trò chính): 1 PM/Scrum Master kiêm Integration; 2 BA/PO; 3 UI-UX + Frontend; 4 Backend/API + DevOps; 5 Database + QA/Tester. Mỗi SV có nhiệm vụ phụ và minh chứng cá nhân.</v>
      </c>
      <c r="I769" t="s">
        <v>29</v>
      </c>
      <c r="J769" t="s">
        <v>1638</v>
      </c>
      <c r="K769" t="str">
        <f>IF(I769="Trung bình",'Huong dan giao do an'!$B$8,IF(I769="Khá",'Huong dan giao do an'!$B$9,'Huong dan giao do an'!$B$10))</f>
        <v>Tối thiểu 5 actor; 14-18 use case; 10-15 bảng; 4 quy trình; tích hợp ngoài/realtime hoặc xử lý nâng cao; 3 báo cáo; &gt;=45 test case; logging, backup và deploy.</v>
      </c>
      <c r="L769" t="str">
        <f>'Huong dan giao do an'!$B$31</f>
        <v>Bắt buộc: Charter/PMP; SRS + scope/WBS; Gantt/baseline; effort-cost budget; RACI/timesheet; quality-test-defect; communication/minutes; risk register; procurement; change log; closure/lessons learned.</v>
      </c>
      <c r="M769" t="str">
        <f>'Huong dan giao do an'!$B$33</f>
        <v>Tuần 1: 07.09–13.09.2026; Tuần 2: 14.09–20.09.2026; Tuần 3: 21.09–27.09.2026; Tuần 4: 28.09–04.10.2026; Tuần 5: 05.10–11.10.2026; Tuần 6: 12.10–18.10.2026; Tuần 7: 19.10–25.10.2026; Tuần 8: 26.10–01.11.2026.</v>
      </c>
      <c r="N7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69" s="17" t="str">
        <f t="shared" si="11"/>
        <v>Còn trống</v>
      </c>
    </row>
    <row r="770" spans="1:16" x14ac:dyDescent="0.3">
      <c r="A770">
        <v>769</v>
      </c>
      <c r="B770" t="s">
        <v>1628</v>
      </c>
      <c r="C770" t="s">
        <v>1793</v>
      </c>
      <c r="D770" t="s">
        <v>1794</v>
      </c>
      <c r="E770" t="s">
        <v>19</v>
      </c>
      <c r="F770" t="s">
        <v>1646</v>
      </c>
      <c r="G770" t="s">
        <v>1663</v>
      </c>
      <c r="H770" t="str">
        <f>'Huong dan giao do an'!$B$14</f>
        <v>5 SV (vai trò chính): 1 PM/Scrum Master kiêm Integration; 2 BA/PO; 3 UI-UX + Frontend; 4 Backend/API + DevOps; 5 Database + QA/Tester. Mỗi SV có nhiệm vụ phụ và minh chứng cá nhân.</v>
      </c>
      <c r="I770" t="s">
        <v>36</v>
      </c>
      <c r="J770" t="s">
        <v>1643</v>
      </c>
      <c r="K770" t="str">
        <f>IF(I770="Trung bình",'Huong dan giao do an'!$B$8,IF(I770="Khá",'Huong dan giao do an'!$B$9,'Huong dan giao do an'!$B$10))</f>
        <v>Tối thiểu 3 actor; 8-10 use case; 6-8 bảng dữ liệu; 2 quy trình lõi; đăng nhập/RBAC; 1 dashboard; 1 báo cáo; &gt;=25 test case; triển khai bản demo.</v>
      </c>
      <c r="L770" t="str">
        <f>'Huong dan giao do an'!$B$31</f>
        <v>Bắt buộc: Charter/PMP; SRS + scope/WBS; Gantt/baseline; effort-cost budget; RACI/timesheet; quality-test-defect; communication/minutes; risk register; procurement; change log; closure/lessons learned.</v>
      </c>
      <c r="M770" t="str">
        <f>'Huong dan giao do an'!$B$33</f>
        <v>Tuần 1: 07.09–13.09.2026; Tuần 2: 14.09–20.09.2026; Tuần 3: 21.09–27.09.2026; Tuần 4: 28.09–04.10.2026; Tuần 5: 05.10–11.10.2026; Tuần 6: 12.10–18.10.2026; Tuần 7: 19.10–25.10.2026; Tuần 8: 26.10–01.11.2026.</v>
      </c>
      <c r="N7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0" s="17" t="str">
        <f t="shared" si="11"/>
        <v>Còn trống</v>
      </c>
    </row>
    <row r="771" spans="1:16" x14ac:dyDescent="0.3">
      <c r="A771">
        <v>770</v>
      </c>
      <c r="B771" t="s">
        <v>1628</v>
      </c>
      <c r="C771" t="s">
        <v>1795</v>
      </c>
      <c r="D771" t="s">
        <v>1796</v>
      </c>
      <c r="E771" t="s">
        <v>26</v>
      </c>
      <c r="F771" t="s">
        <v>1650</v>
      </c>
      <c r="G771" t="s">
        <v>1666</v>
      </c>
      <c r="H771" t="str">
        <f>'Huong dan giao do an'!$B$14</f>
        <v>5 SV (vai trò chính): 1 PM/Scrum Master kiêm Integration; 2 BA/PO; 3 UI-UX + Frontend; 4 Backend/API + DevOps; 5 Database + QA/Tester. Mỗi SV có nhiệm vụ phụ và minh chứng cá nhân.</v>
      </c>
      <c r="I771" t="s">
        <v>22</v>
      </c>
      <c r="J771" t="s">
        <v>1633</v>
      </c>
      <c r="K771" t="str">
        <f>IF(I771="Trung bình",'Huong dan giao do an'!$B$8,IF(I771="Khá",'Huong dan giao do an'!$B$9,'Huong dan giao do an'!$B$10))</f>
        <v>Tối thiểu 4 actor; 10-14 use case; 8-12 bảng; 3 quy trình lõi; phân quyền chi tiết; 2 báo cáo; tích hợp 1 dịch vụ; &gt;=35 test case; CI/CD hoặc deploy cloud.</v>
      </c>
      <c r="L771" t="str">
        <f>'Huong dan giao do an'!$B$31</f>
        <v>Bắt buộc: Charter/PMP; SRS + scope/WBS; Gantt/baseline; effort-cost budget; RACI/timesheet; quality-test-defect; communication/minutes; risk register; procurement; change log; closure/lessons learned.</v>
      </c>
      <c r="M771" t="str">
        <f>'Huong dan giao do an'!$B$33</f>
        <v>Tuần 1: 07.09–13.09.2026; Tuần 2: 14.09–20.09.2026; Tuần 3: 21.09–27.09.2026; Tuần 4: 28.09–04.10.2026; Tuần 5: 05.10–11.10.2026; Tuần 6: 12.10–18.10.2026; Tuần 7: 19.10–25.10.2026; Tuần 8: 26.10–01.11.2026.</v>
      </c>
      <c r="N7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1" s="17" t="str">
        <f t="shared" ref="P771:P834" si="12">IF(O771="","Còn trống","Đã đăng ký")</f>
        <v>Còn trống</v>
      </c>
    </row>
    <row r="772" spans="1:16" x14ac:dyDescent="0.3">
      <c r="A772">
        <v>771</v>
      </c>
      <c r="B772" t="s">
        <v>1628</v>
      </c>
      <c r="C772" t="s">
        <v>1797</v>
      </c>
      <c r="D772" t="s">
        <v>1798</v>
      </c>
      <c r="E772" t="s">
        <v>33</v>
      </c>
      <c r="F772" t="s">
        <v>1631</v>
      </c>
      <c r="G772" t="s">
        <v>1669</v>
      </c>
      <c r="H772" t="str">
        <f>'Huong dan giao do an'!$B$14</f>
        <v>5 SV (vai trò chính): 1 PM/Scrum Master kiêm Integration; 2 BA/PO; 3 UI-UX + Frontend; 4 Backend/API + DevOps; 5 Database + QA/Tester. Mỗi SV có nhiệm vụ phụ và minh chứng cá nhân.</v>
      </c>
      <c r="I772" t="s">
        <v>29</v>
      </c>
      <c r="J772" t="s">
        <v>1638</v>
      </c>
      <c r="K772" t="str">
        <f>IF(I772="Trung bình",'Huong dan giao do an'!$B$8,IF(I772="Khá",'Huong dan giao do an'!$B$9,'Huong dan giao do an'!$B$10))</f>
        <v>Tối thiểu 5 actor; 14-18 use case; 10-15 bảng; 4 quy trình; tích hợp ngoài/realtime hoặc xử lý nâng cao; 3 báo cáo; &gt;=45 test case; logging, backup và deploy.</v>
      </c>
      <c r="L772" t="str">
        <f>'Huong dan giao do an'!$B$31</f>
        <v>Bắt buộc: Charter/PMP; SRS + scope/WBS; Gantt/baseline; effort-cost budget; RACI/timesheet; quality-test-defect; communication/minutes; risk register; procurement; change log; closure/lessons learned.</v>
      </c>
      <c r="M772" t="str">
        <f>'Huong dan giao do an'!$B$33</f>
        <v>Tuần 1: 07.09–13.09.2026; Tuần 2: 14.09–20.09.2026; Tuần 3: 21.09–27.09.2026; Tuần 4: 28.09–04.10.2026; Tuần 5: 05.10–11.10.2026; Tuần 6: 12.10–18.10.2026; Tuần 7: 19.10–25.10.2026; Tuần 8: 26.10–01.11.2026.</v>
      </c>
      <c r="N7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2" s="17" t="str">
        <f t="shared" si="12"/>
        <v>Còn trống</v>
      </c>
    </row>
    <row r="773" spans="1:16" x14ac:dyDescent="0.3">
      <c r="A773">
        <v>772</v>
      </c>
      <c r="B773" t="s">
        <v>1628</v>
      </c>
      <c r="C773" t="s">
        <v>1799</v>
      </c>
      <c r="D773" t="s">
        <v>1800</v>
      </c>
      <c r="E773" t="s">
        <v>40</v>
      </c>
      <c r="F773" t="s">
        <v>1636</v>
      </c>
      <c r="G773" t="s">
        <v>1672</v>
      </c>
      <c r="H773" t="str">
        <f>'Huong dan giao do an'!$B$14</f>
        <v>5 SV (vai trò chính): 1 PM/Scrum Master kiêm Integration; 2 BA/PO; 3 UI-UX + Frontend; 4 Backend/API + DevOps; 5 Database + QA/Tester. Mỗi SV có nhiệm vụ phụ và minh chứng cá nhân.</v>
      </c>
      <c r="I773" t="s">
        <v>36</v>
      </c>
      <c r="J773" t="s">
        <v>1643</v>
      </c>
      <c r="K773" t="str">
        <f>IF(I773="Trung bình",'Huong dan giao do an'!$B$8,IF(I773="Khá",'Huong dan giao do an'!$B$9,'Huong dan giao do an'!$B$10))</f>
        <v>Tối thiểu 3 actor; 8-10 use case; 6-8 bảng dữ liệu; 2 quy trình lõi; đăng nhập/RBAC; 1 dashboard; 1 báo cáo; &gt;=25 test case; triển khai bản demo.</v>
      </c>
      <c r="L773" t="str">
        <f>'Huong dan giao do an'!$B$31</f>
        <v>Bắt buộc: Charter/PMP; SRS + scope/WBS; Gantt/baseline; effort-cost budget; RACI/timesheet; quality-test-defect; communication/minutes; risk register; procurement; change log; closure/lessons learned.</v>
      </c>
      <c r="M773" t="str">
        <f>'Huong dan giao do an'!$B$33</f>
        <v>Tuần 1: 07.09–13.09.2026; Tuần 2: 14.09–20.09.2026; Tuần 3: 21.09–27.09.2026; Tuần 4: 28.09–04.10.2026; Tuần 5: 05.10–11.10.2026; Tuần 6: 12.10–18.10.2026; Tuần 7: 19.10–25.10.2026; Tuần 8: 26.10–01.11.2026.</v>
      </c>
      <c r="N7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3" s="17" t="str">
        <f t="shared" si="12"/>
        <v>Còn trống</v>
      </c>
    </row>
    <row r="774" spans="1:16" x14ac:dyDescent="0.3">
      <c r="A774">
        <v>773</v>
      </c>
      <c r="B774" t="s">
        <v>1628</v>
      </c>
      <c r="C774" t="s">
        <v>1801</v>
      </c>
      <c r="D774" t="s">
        <v>1802</v>
      </c>
      <c r="E774" t="s">
        <v>45</v>
      </c>
      <c r="F774" t="s">
        <v>1641</v>
      </c>
      <c r="G774" t="s">
        <v>1675</v>
      </c>
      <c r="H774" t="str">
        <f>'Huong dan giao do an'!$B$14</f>
        <v>5 SV (vai trò chính): 1 PM/Scrum Master kiêm Integration; 2 BA/PO; 3 UI-UX + Frontend; 4 Backend/API + DevOps; 5 Database + QA/Tester. Mỗi SV có nhiệm vụ phụ và minh chứng cá nhân.</v>
      </c>
      <c r="I774" t="s">
        <v>22</v>
      </c>
      <c r="J774" t="s">
        <v>1633</v>
      </c>
      <c r="K774" t="str">
        <f>IF(I774="Trung bình",'Huong dan giao do an'!$B$8,IF(I774="Khá",'Huong dan giao do an'!$B$9,'Huong dan giao do an'!$B$10))</f>
        <v>Tối thiểu 4 actor; 10-14 use case; 8-12 bảng; 3 quy trình lõi; phân quyền chi tiết; 2 báo cáo; tích hợp 1 dịch vụ; &gt;=35 test case; CI/CD hoặc deploy cloud.</v>
      </c>
      <c r="L774" t="str">
        <f>'Huong dan giao do an'!$B$31</f>
        <v>Bắt buộc: Charter/PMP; SRS + scope/WBS; Gantt/baseline; effort-cost budget; RACI/timesheet; quality-test-defect; communication/minutes; risk register; procurement; change log; closure/lessons learned.</v>
      </c>
      <c r="M774" t="str">
        <f>'Huong dan giao do an'!$B$33</f>
        <v>Tuần 1: 07.09–13.09.2026; Tuần 2: 14.09–20.09.2026; Tuần 3: 21.09–27.09.2026; Tuần 4: 28.09–04.10.2026; Tuần 5: 05.10–11.10.2026; Tuần 6: 12.10–18.10.2026; Tuần 7: 19.10–25.10.2026; Tuần 8: 26.10–01.11.2026.</v>
      </c>
      <c r="N7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4" s="17" t="str">
        <f t="shared" si="12"/>
        <v>Còn trống</v>
      </c>
    </row>
    <row r="775" spans="1:16" x14ac:dyDescent="0.3">
      <c r="A775">
        <v>774</v>
      </c>
      <c r="B775" t="s">
        <v>1628</v>
      </c>
      <c r="C775" t="s">
        <v>1803</v>
      </c>
      <c r="D775" t="s">
        <v>1804</v>
      </c>
      <c r="E775" t="s">
        <v>19</v>
      </c>
      <c r="F775" t="s">
        <v>1646</v>
      </c>
      <c r="G775" t="s">
        <v>1678</v>
      </c>
      <c r="H775" t="str">
        <f>'Huong dan giao do an'!$B$14</f>
        <v>5 SV (vai trò chính): 1 PM/Scrum Master kiêm Integration; 2 BA/PO; 3 UI-UX + Frontend; 4 Backend/API + DevOps; 5 Database + QA/Tester. Mỗi SV có nhiệm vụ phụ và minh chứng cá nhân.</v>
      </c>
      <c r="I775" t="s">
        <v>29</v>
      </c>
      <c r="J775" t="s">
        <v>1638</v>
      </c>
      <c r="K775" t="str">
        <f>IF(I775="Trung bình",'Huong dan giao do an'!$B$8,IF(I775="Khá",'Huong dan giao do an'!$B$9,'Huong dan giao do an'!$B$10))</f>
        <v>Tối thiểu 5 actor; 14-18 use case; 10-15 bảng; 4 quy trình; tích hợp ngoài/realtime hoặc xử lý nâng cao; 3 báo cáo; &gt;=45 test case; logging, backup và deploy.</v>
      </c>
      <c r="L775" t="str">
        <f>'Huong dan giao do an'!$B$31</f>
        <v>Bắt buộc: Charter/PMP; SRS + scope/WBS; Gantt/baseline; effort-cost budget; RACI/timesheet; quality-test-defect; communication/minutes; risk register; procurement; change log; closure/lessons learned.</v>
      </c>
      <c r="M775" t="str">
        <f>'Huong dan giao do an'!$B$33</f>
        <v>Tuần 1: 07.09–13.09.2026; Tuần 2: 14.09–20.09.2026; Tuần 3: 21.09–27.09.2026; Tuần 4: 28.09–04.10.2026; Tuần 5: 05.10–11.10.2026; Tuần 6: 12.10–18.10.2026; Tuần 7: 19.10–25.10.2026; Tuần 8: 26.10–01.11.2026.</v>
      </c>
      <c r="N7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5" s="17" t="str">
        <f t="shared" si="12"/>
        <v>Còn trống</v>
      </c>
    </row>
    <row r="776" spans="1:16" x14ac:dyDescent="0.3">
      <c r="A776">
        <v>775</v>
      </c>
      <c r="B776" t="s">
        <v>1628</v>
      </c>
      <c r="C776" t="s">
        <v>1805</v>
      </c>
      <c r="D776" t="s">
        <v>1806</v>
      </c>
      <c r="E776" t="s">
        <v>26</v>
      </c>
      <c r="F776" t="s">
        <v>1650</v>
      </c>
      <c r="G776" t="s">
        <v>1681</v>
      </c>
      <c r="H776" t="str">
        <f>'Huong dan giao do an'!$B$14</f>
        <v>5 SV (vai trò chính): 1 PM/Scrum Master kiêm Integration; 2 BA/PO; 3 UI-UX + Frontend; 4 Backend/API + DevOps; 5 Database + QA/Tester. Mỗi SV có nhiệm vụ phụ và minh chứng cá nhân.</v>
      </c>
      <c r="I776" t="s">
        <v>36</v>
      </c>
      <c r="J776" t="s">
        <v>1643</v>
      </c>
      <c r="K776" t="str">
        <f>IF(I776="Trung bình",'Huong dan giao do an'!$B$8,IF(I776="Khá",'Huong dan giao do an'!$B$9,'Huong dan giao do an'!$B$10))</f>
        <v>Tối thiểu 3 actor; 8-10 use case; 6-8 bảng dữ liệu; 2 quy trình lõi; đăng nhập/RBAC; 1 dashboard; 1 báo cáo; &gt;=25 test case; triển khai bản demo.</v>
      </c>
      <c r="L776" t="str">
        <f>'Huong dan giao do an'!$B$31</f>
        <v>Bắt buộc: Charter/PMP; SRS + scope/WBS; Gantt/baseline; effort-cost budget; RACI/timesheet; quality-test-defect; communication/minutes; risk register; procurement; change log; closure/lessons learned.</v>
      </c>
      <c r="M776" t="str">
        <f>'Huong dan giao do an'!$B$33</f>
        <v>Tuần 1: 07.09–13.09.2026; Tuần 2: 14.09–20.09.2026; Tuần 3: 21.09–27.09.2026; Tuần 4: 28.09–04.10.2026; Tuần 5: 05.10–11.10.2026; Tuần 6: 12.10–18.10.2026; Tuần 7: 19.10–25.10.2026; Tuần 8: 26.10–01.11.2026.</v>
      </c>
      <c r="N7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6" s="17" t="str">
        <f t="shared" si="12"/>
        <v>Còn trống</v>
      </c>
    </row>
    <row r="777" spans="1:16" x14ac:dyDescent="0.3">
      <c r="A777">
        <v>776</v>
      </c>
      <c r="B777" t="s">
        <v>1628</v>
      </c>
      <c r="C777" t="s">
        <v>1807</v>
      </c>
      <c r="D777" t="s">
        <v>1808</v>
      </c>
      <c r="E777" t="s">
        <v>33</v>
      </c>
      <c r="F777" t="s">
        <v>1631</v>
      </c>
      <c r="G777" t="s">
        <v>1684</v>
      </c>
      <c r="H777" t="str">
        <f>'Huong dan giao do an'!$B$14</f>
        <v>5 SV (vai trò chính): 1 PM/Scrum Master kiêm Integration; 2 BA/PO; 3 UI-UX + Frontend; 4 Backend/API + DevOps; 5 Database + QA/Tester. Mỗi SV có nhiệm vụ phụ và minh chứng cá nhân.</v>
      </c>
      <c r="I777" t="s">
        <v>22</v>
      </c>
      <c r="J777" t="s">
        <v>1633</v>
      </c>
      <c r="K777" t="str">
        <f>IF(I777="Trung bình",'Huong dan giao do an'!$B$8,IF(I777="Khá",'Huong dan giao do an'!$B$9,'Huong dan giao do an'!$B$10))</f>
        <v>Tối thiểu 4 actor; 10-14 use case; 8-12 bảng; 3 quy trình lõi; phân quyền chi tiết; 2 báo cáo; tích hợp 1 dịch vụ; &gt;=35 test case; CI/CD hoặc deploy cloud.</v>
      </c>
      <c r="L777" t="str">
        <f>'Huong dan giao do an'!$B$31</f>
        <v>Bắt buộc: Charter/PMP; SRS + scope/WBS; Gantt/baseline; effort-cost budget; RACI/timesheet; quality-test-defect; communication/minutes; risk register; procurement; change log; closure/lessons learned.</v>
      </c>
      <c r="M777" t="str">
        <f>'Huong dan giao do an'!$B$33</f>
        <v>Tuần 1: 07.09–13.09.2026; Tuần 2: 14.09–20.09.2026; Tuần 3: 21.09–27.09.2026; Tuần 4: 28.09–04.10.2026; Tuần 5: 05.10–11.10.2026; Tuần 6: 12.10–18.10.2026; Tuần 7: 19.10–25.10.2026; Tuần 8: 26.10–01.11.2026.</v>
      </c>
      <c r="N7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7" s="17" t="str">
        <f t="shared" si="12"/>
        <v>Còn trống</v>
      </c>
    </row>
    <row r="778" spans="1:16" x14ac:dyDescent="0.3">
      <c r="A778">
        <v>777</v>
      </c>
      <c r="B778" t="s">
        <v>1628</v>
      </c>
      <c r="C778" t="s">
        <v>1809</v>
      </c>
      <c r="D778" t="s">
        <v>1810</v>
      </c>
      <c r="E778" t="s">
        <v>40</v>
      </c>
      <c r="F778" t="s">
        <v>1636</v>
      </c>
      <c r="G778" t="s">
        <v>1687</v>
      </c>
      <c r="H778" t="str">
        <f>'Huong dan giao do an'!$B$14</f>
        <v>5 SV (vai trò chính): 1 PM/Scrum Master kiêm Integration; 2 BA/PO; 3 UI-UX + Frontend; 4 Backend/API + DevOps; 5 Database + QA/Tester. Mỗi SV có nhiệm vụ phụ và minh chứng cá nhân.</v>
      </c>
      <c r="I778" t="s">
        <v>29</v>
      </c>
      <c r="J778" t="s">
        <v>1638</v>
      </c>
      <c r="K778" t="str">
        <f>IF(I778="Trung bình",'Huong dan giao do an'!$B$8,IF(I778="Khá",'Huong dan giao do an'!$B$9,'Huong dan giao do an'!$B$10))</f>
        <v>Tối thiểu 5 actor; 14-18 use case; 10-15 bảng; 4 quy trình; tích hợp ngoài/realtime hoặc xử lý nâng cao; 3 báo cáo; &gt;=45 test case; logging, backup và deploy.</v>
      </c>
      <c r="L778" t="str">
        <f>'Huong dan giao do an'!$B$31</f>
        <v>Bắt buộc: Charter/PMP; SRS + scope/WBS; Gantt/baseline; effort-cost budget; RACI/timesheet; quality-test-defect; communication/minutes; risk register; procurement; change log; closure/lessons learned.</v>
      </c>
      <c r="M778" t="str">
        <f>'Huong dan giao do an'!$B$33</f>
        <v>Tuần 1: 07.09–13.09.2026; Tuần 2: 14.09–20.09.2026; Tuần 3: 21.09–27.09.2026; Tuần 4: 28.09–04.10.2026; Tuần 5: 05.10–11.10.2026; Tuần 6: 12.10–18.10.2026; Tuần 7: 19.10–25.10.2026; Tuần 8: 26.10–01.11.2026.</v>
      </c>
      <c r="N7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8" s="17" t="str">
        <f t="shared" si="12"/>
        <v>Còn trống</v>
      </c>
    </row>
    <row r="779" spans="1:16" x14ac:dyDescent="0.3">
      <c r="A779">
        <v>778</v>
      </c>
      <c r="B779" t="s">
        <v>1628</v>
      </c>
      <c r="C779" t="s">
        <v>1811</v>
      </c>
      <c r="D779" t="s">
        <v>1812</v>
      </c>
      <c r="E779" t="s">
        <v>45</v>
      </c>
      <c r="F779" t="s">
        <v>1641</v>
      </c>
      <c r="G779" t="s">
        <v>1690</v>
      </c>
      <c r="H779" t="str">
        <f>'Huong dan giao do an'!$B$14</f>
        <v>5 SV (vai trò chính): 1 PM/Scrum Master kiêm Integration; 2 BA/PO; 3 UI-UX + Frontend; 4 Backend/API + DevOps; 5 Database + QA/Tester. Mỗi SV có nhiệm vụ phụ và minh chứng cá nhân.</v>
      </c>
      <c r="I779" t="s">
        <v>36</v>
      </c>
      <c r="J779" t="s">
        <v>1643</v>
      </c>
      <c r="K779" t="str">
        <f>IF(I779="Trung bình",'Huong dan giao do an'!$B$8,IF(I779="Khá",'Huong dan giao do an'!$B$9,'Huong dan giao do an'!$B$10))</f>
        <v>Tối thiểu 3 actor; 8-10 use case; 6-8 bảng dữ liệu; 2 quy trình lõi; đăng nhập/RBAC; 1 dashboard; 1 báo cáo; &gt;=25 test case; triển khai bản demo.</v>
      </c>
      <c r="L779" t="str">
        <f>'Huong dan giao do an'!$B$31</f>
        <v>Bắt buộc: Charter/PMP; SRS + scope/WBS; Gantt/baseline; effort-cost budget; RACI/timesheet; quality-test-defect; communication/minutes; risk register; procurement; change log; closure/lessons learned.</v>
      </c>
      <c r="M779" t="str">
        <f>'Huong dan giao do an'!$B$33</f>
        <v>Tuần 1: 07.09–13.09.2026; Tuần 2: 14.09–20.09.2026; Tuần 3: 21.09–27.09.2026; Tuần 4: 28.09–04.10.2026; Tuần 5: 05.10–11.10.2026; Tuần 6: 12.10–18.10.2026; Tuần 7: 19.10–25.10.2026; Tuần 8: 26.10–01.11.2026.</v>
      </c>
      <c r="N7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79" s="17" t="str">
        <f t="shared" si="12"/>
        <v>Còn trống</v>
      </c>
    </row>
    <row r="780" spans="1:16" x14ac:dyDescent="0.3">
      <c r="A780">
        <v>779</v>
      </c>
      <c r="B780" t="s">
        <v>1628</v>
      </c>
      <c r="C780" t="s">
        <v>1813</v>
      </c>
      <c r="D780" t="s">
        <v>1814</v>
      </c>
      <c r="E780" t="s">
        <v>19</v>
      </c>
      <c r="F780" t="s">
        <v>1646</v>
      </c>
      <c r="G780" t="s">
        <v>1693</v>
      </c>
      <c r="H780" t="str">
        <f>'Huong dan giao do an'!$B$14</f>
        <v>5 SV (vai trò chính): 1 PM/Scrum Master kiêm Integration; 2 BA/PO; 3 UI-UX + Frontend; 4 Backend/API + DevOps; 5 Database + QA/Tester. Mỗi SV có nhiệm vụ phụ và minh chứng cá nhân.</v>
      </c>
      <c r="I780" t="s">
        <v>22</v>
      </c>
      <c r="J780" t="s">
        <v>1633</v>
      </c>
      <c r="K780" t="str">
        <f>IF(I780="Trung bình",'Huong dan giao do an'!$B$8,IF(I780="Khá",'Huong dan giao do an'!$B$9,'Huong dan giao do an'!$B$10))</f>
        <v>Tối thiểu 4 actor; 10-14 use case; 8-12 bảng; 3 quy trình lõi; phân quyền chi tiết; 2 báo cáo; tích hợp 1 dịch vụ; &gt;=35 test case; CI/CD hoặc deploy cloud.</v>
      </c>
      <c r="L780" t="str">
        <f>'Huong dan giao do an'!$B$31</f>
        <v>Bắt buộc: Charter/PMP; SRS + scope/WBS; Gantt/baseline; effort-cost budget; RACI/timesheet; quality-test-defect; communication/minutes; risk register; procurement; change log; closure/lessons learned.</v>
      </c>
      <c r="M780" t="str">
        <f>'Huong dan giao do an'!$B$33</f>
        <v>Tuần 1: 07.09–13.09.2026; Tuần 2: 14.09–20.09.2026; Tuần 3: 21.09–27.09.2026; Tuần 4: 28.09–04.10.2026; Tuần 5: 05.10–11.10.2026; Tuần 6: 12.10–18.10.2026; Tuần 7: 19.10–25.10.2026; Tuần 8: 26.10–01.11.2026.</v>
      </c>
      <c r="N7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0" s="17" t="str">
        <f t="shared" si="12"/>
        <v>Còn trống</v>
      </c>
    </row>
    <row r="781" spans="1:16" x14ac:dyDescent="0.3">
      <c r="A781">
        <v>780</v>
      </c>
      <c r="B781" t="s">
        <v>1628</v>
      </c>
      <c r="C781" t="s">
        <v>1815</v>
      </c>
      <c r="D781" t="s">
        <v>1816</v>
      </c>
      <c r="E781" t="s">
        <v>26</v>
      </c>
      <c r="F781" t="s">
        <v>1650</v>
      </c>
      <c r="G781" t="s">
        <v>1696</v>
      </c>
      <c r="H781" t="str">
        <f>'Huong dan giao do an'!$B$14</f>
        <v>5 SV (vai trò chính): 1 PM/Scrum Master kiêm Integration; 2 BA/PO; 3 UI-UX + Frontend; 4 Backend/API + DevOps; 5 Database + QA/Tester. Mỗi SV có nhiệm vụ phụ và minh chứng cá nhân.</v>
      </c>
      <c r="I781" t="s">
        <v>29</v>
      </c>
      <c r="J781" t="s">
        <v>1638</v>
      </c>
      <c r="K781" t="str">
        <f>IF(I781="Trung bình",'Huong dan giao do an'!$B$8,IF(I781="Khá",'Huong dan giao do an'!$B$9,'Huong dan giao do an'!$B$10))</f>
        <v>Tối thiểu 5 actor; 14-18 use case; 10-15 bảng; 4 quy trình; tích hợp ngoài/realtime hoặc xử lý nâng cao; 3 báo cáo; &gt;=45 test case; logging, backup và deploy.</v>
      </c>
      <c r="L781" t="str">
        <f>'Huong dan giao do an'!$B$31</f>
        <v>Bắt buộc: Charter/PMP; SRS + scope/WBS; Gantt/baseline; effort-cost budget; RACI/timesheet; quality-test-defect; communication/minutes; risk register; procurement; change log; closure/lessons learned.</v>
      </c>
      <c r="M781" t="str">
        <f>'Huong dan giao do an'!$B$33</f>
        <v>Tuần 1: 07.09–13.09.2026; Tuần 2: 14.09–20.09.2026; Tuần 3: 21.09–27.09.2026; Tuần 4: 28.09–04.10.2026; Tuần 5: 05.10–11.10.2026; Tuần 6: 12.10–18.10.2026; Tuần 7: 19.10–25.10.2026; Tuần 8: 26.10–01.11.2026.</v>
      </c>
      <c r="N7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1" s="17" t="str">
        <f t="shared" si="12"/>
        <v>Còn trống</v>
      </c>
    </row>
    <row r="782" spans="1:16" x14ac:dyDescent="0.3">
      <c r="A782">
        <v>781</v>
      </c>
      <c r="B782" t="s">
        <v>1628</v>
      </c>
      <c r="C782" t="s">
        <v>1817</v>
      </c>
      <c r="D782" t="s">
        <v>1818</v>
      </c>
      <c r="E782" t="s">
        <v>33</v>
      </c>
      <c r="F782" t="s">
        <v>1631</v>
      </c>
      <c r="G782" t="s">
        <v>1632</v>
      </c>
      <c r="H782" t="str">
        <f>'Huong dan giao do an'!$B$14</f>
        <v>5 SV (vai trò chính): 1 PM/Scrum Master kiêm Integration; 2 BA/PO; 3 UI-UX + Frontend; 4 Backend/API + DevOps; 5 Database + QA/Tester. Mỗi SV có nhiệm vụ phụ và minh chứng cá nhân.</v>
      </c>
      <c r="I782" t="s">
        <v>22</v>
      </c>
      <c r="J782" t="s">
        <v>1633</v>
      </c>
      <c r="K782" t="str">
        <f>IF(I782="Trung bình",'Huong dan giao do an'!$B$8,IF(I782="Khá",'Huong dan giao do an'!$B$9,'Huong dan giao do an'!$B$10))</f>
        <v>Tối thiểu 4 actor; 10-14 use case; 8-12 bảng; 3 quy trình lõi; phân quyền chi tiết; 2 báo cáo; tích hợp 1 dịch vụ; &gt;=35 test case; CI/CD hoặc deploy cloud.</v>
      </c>
      <c r="L782" t="str">
        <f>'Huong dan giao do an'!$B$31</f>
        <v>Bắt buộc: Charter/PMP; SRS + scope/WBS; Gantt/baseline; effort-cost budget; RACI/timesheet; quality-test-defect; communication/minutes; risk register; procurement; change log; closure/lessons learned.</v>
      </c>
      <c r="M782" t="str">
        <f>'Huong dan giao do an'!$B$33</f>
        <v>Tuần 1: 07.09–13.09.2026; Tuần 2: 14.09–20.09.2026; Tuần 3: 21.09–27.09.2026; Tuần 4: 28.09–04.10.2026; Tuần 5: 05.10–11.10.2026; Tuần 6: 12.10–18.10.2026; Tuần 7: 19.10–25.10.2026; Tuần 8: 26.10–01.11.2026.</v>
      </c>
      <c r="N7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2" s="17" t="str">
        <f t="shared" si="12"/>
        <v>Còn trống</v>
      </c>
    </row>
    <row r="783" spans="1:16" x14ac:dyDescent="0.3">
      <c r="A783">
        <v>782</v>
      </c>
      <c r="B783" t="s">
        <v>1628</v>
      </c>
      <c r="C783" t="s">
        <v>1819</v>
      </c>
      <c r="D783" t="s">
        <v>1820</v>
      </c>
      <c r="E783" t="s">
        <v>40</v>
      </c>
      <c r="F783" t="s">
        <v>1636</v>
      </c>
      <c r="G783" t="s">
        <v>1637</v>
      </c>
      <c r="H783" t="str">
        <f>'Huong dan giao do an'!$B$14</f>
        <v>5 SV (vai trò chính): 1 PM/Scrum Master kiêm Integration; 2 BA/PO; 3 UI-UX + Frontend; 4 Backend/API + DevOps; 5 Database + QA/Tester. Mỗi SV có nhiệm vụ phụ và minh chứng cá nhân.</v>
      </c>
      <c r="I783" t="s">
        <v>29</v>
      </c>
      <c r="J783" t="s">
        <v>1638</v>
      </c>
      <c r="K783" t="str">
        <f>IF(I783="Trung bình",'Huong dan giao do an'!$B$8,IF(I783="Khá",'Huong dan giao do an'!$B$9,'Huong dan giao do an'!$B$10))</f>
        <v>Tối thiểu 5 actor; 14-18 use case; 10-15 bảng; 4 quy trình; tích hợp ngoài/realtime hoặc xử lý nâng cao; 3 báo cáo; &gt;=45 test case; logging, backup và deploy.</v>
      </c>
      <c r="L783" t="str">
        <f>'Huong dan giao do an'!$B$31</f>
        <v>Bắt buộc: Charter/PMP; SRS + scope/WBS; Gantt/baseline; effort-cost budget; RACI/timesheet; quality-test-defect; communication/minutes; risk register; procurement; change log; closure/lessons learned.</v>
      </c>
      <c r="M783" t="str">
        <f>'Huong dan giao do an'!$B$33</f>
        <v>Tuần 1: 07.09–13.09.2026; Tuần 2: 14.09–20.09.2026; Tuần 3: 21.09–27.09.2026; Tuần 4: 28.09–04.10.2026; Tuần 5: 05.10–11.10.2026; Tuần 6: 12.10–18.10.2026; Tuần 7: 19.10–25.10.2026; Tuần 8: 26.10–01.11.2026.</v>
      </c>
      <c r="N7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3" s="17" t="str">
        <f t="shared" si="12"/>
        <v>Còn trống</v>
      </c>
    </row>
    <row r="784" spans="1:16" x14ac:dyDescent="0.3">
      <c r="A784">
        <v>783</v>
      </c>
      <c r="B784" t="s">
        <v>1628</v>
      </c>
      <c r="C784" t="s">
        <v>1821</v>
      </c>
      <c r="D784" t="s">
        <v>1822</v>
      </c>
      <c r="E784" t="s">
        <v>45</v>
      </c>
      <c r="F784" t="s">
        <v>1641</v>
      </c>
      <c r="G784" t="s">
        <v>1642</v>
      </c>
      <c r="H784" t="str">
        <f>'Huong dan giao do an'!$B$14</f>
        <v>5 SV (vai trò chính): 1 PM/Scrum Master kiêm Integration; 2 BA/PO; 3 UI-UX + Frontend; 4 Backend/API + DevOps; 5 Database + QA/Tester. Mỗi SV có nhiệm vụ phụ và minh chứng cá nhân.</v>
      </c>
      <c r="I784" t="s">
        <v>36</v>
      </c>
      <c r="J784" t="s">
        <v>1643</v>
      </c>
      <c r="K784" t="str">
        <f>IF(I784="Trung bình",'Huong dan giao do an'!$B$8,IF(I784="Khá",'Huong dan giao do an'!$B$9,'Huong dan giao do an'!$B$10))</f>
        <v>Tối thiểu 3 actor; 8-10 use case; 6-8 bảng dữ liệu; 2 quy trình lõi; đăng nhập/RBAC; 1 dashboard; 1 báo cáo; &gt;=25 test case; triển khai bản demo.</v>
      </c>
      <c r="L784" t="str">
        <f>'Huong dan giao do an'!$B$31</f>
        <v>Bắt buộc: Charter/PMP; SRS + scope/WBS; Gantt/baseline; effort-cost budget; RACI/timesheet; quality-test-defect; communication/minutes; risk register; procurement; change log; closure/lessons learned.</v>
      </c>
      <c r="M784" t="str">
        <f>'Huong dan giao do an'!$B$33</f>
        <v>Tuần 1: 07.09–13.09.2026; Tuần 2: 14.09–20.09.2026; Tuần 3: 21.09–27.09.2026; Tuần 4: 28.09–04.10.2026; Tuần 5: 05.10–11.10.2026; Tuần 6: 12.10–18.10.2026; Tuần 7: 19.10–25.10.2026; Tuần 8: 26.10–01.11.2026.</v>
      </c>
      <c r="N7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4" s="17" t="str">
        <f t="shared" si="12"/>
        <v>Còn trống</v>
      </c>
    </row>
    <row r="785" spans="1:16" x14ac:dyDescent="0.3">
      <c r="A785">
        <v>784</v>
      </c>
      <c r="B785" t="s">
        <v>1628</v>
      </c>
      <c r="C785" t="s">
        <v>1823</v>
      </c>
      <c r="D785" t="s">
        <v>1824</v>
      </c>
      <c r="E785" t="s">
        <v>19</v>
      </c>
      <c r="F785" t="s">
        <v>1646</v>
      </c>
      <c r="G785" t="s">
        <v>1647</v>
      </c>
      <c r="H785" t="str">
        <f>'Huong dan giao do an'!$B$14</f>
        <v>5 SV (vai trò chính): 1 PM/Scrum Master kiêm Integration; 2 BA/PO; 3 UI-UX + Frontend; 4 Backend/API + DevOps; 5 Database + QA/Tester. Mỗi SV có nhiệm vụ phụ và minh chứng cá nhân.</v>
      </c>
      <c r="I785" t="s">
        <v>22</v>
      </c>
      <c r="J785" t="s">
        <v>1633</v>
      </c>
      <c r="K785" t="str">
        <f>IF(I785="Trung bình",'Huong dan giao do an'!$B$8,IF(I785="Khá",'Huong dan giao do an'!$B$9,'Huong dan giao do an'!$B$10))</f>
        <v>Tối thiểu 4 actor; 10-14 use case; 8-12 bảng; 3 quy trình lõi; phân quyền chi tiết; 2 báo cáo; tích hợp 1 dịch vụ; &gt;=35 test case; CI/CD hoặc deploy cloud.</v>
      </c>
      <c r="L785" t="str">
        <f>'Huong dan giao do an'!$B$31</f>
        <v>Bắt buộc: Charter/PMP; SRS + scope/WBS; Gantt/baseline; effort-cost budget; RACI/timesheet; quality-test-defect; communication/minutes; risk register; procurement; change log; closure/lessons learned.</v>
      </c>
      <c r="M785" t="str">
        <f>'Huong dan giao do an'!$B$33</f>
        <v>Tuần 1: 07.09–13.09.2026; Tuần 2: 14.09–20.09.2026; Tuần 3: 21.09–27.09.2026; Tuần 4: 28.09–04.10.2026; Tuần 5: 05.10–11.10.2026; Tuần 6: 12.10–18.10.2026; Tuần 7: 19.10–25.10.2026; Tuần 8: 26.10–01.11.2026.</v>
      </c>
      <c r="N7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5" s="17" t="str">
        <f t="shared" si="12"/>
        <v>Còn trống</v>
      </c>
    </row>
    <row r="786" spans="1:16" x14ac:dyDescent="0.3">
      <c r="A786">
        <v>785</v>
      </c>
      <c r="B786" t="s">
        <v>1628</v>
      </c>
      <c r="C786" t="s">
        <v>1825</v>
      </c>
      <c r="D786" t="s">
        <v>1826</v>
      </c>
      <c r="E786" t="s">
        <v>26</v>
      </c>
      <c r="F786" t="s">
        <v>1650</v>
      </c>
      <c r="G786" t="s">
        <v>1651</v>
      </c>
      <c r="H786" t="str">
        <f>'Huong dan giao do an'!$B$14</f>
        <v>5 SV (vai trò chính): 1 PM/Scrum Master kiêm Integration; 2 BA/PO; 3 UI-UX + Frontend; 4 Backend/API + DevOps; 5 Database + QA/Tester. Mỗi SV có nhiệm vụ phụ và minh chứng cá nhân.</v>
      </c>
      <c r="I786" t="s">
        <v>29</v>
      </c>
      <c r="J786" t="s">
        <v>1638</v>
      </c>
      <c r="K786" t="str">
        <f>IF(I786="Trung bình",'Huong dan giao do an'!$B$8,IF(I786="Khá",'Huong dan giao do an'!$B$9,'Huong dan giao do an'!$B$10))</f>
        <v>Tối thiểu 5 actor; 14-18 use case; 10-15 bảng; 4 quy trình; tích hợp ngoài/realtime hoặc xử lý nâng cao; 3 báo cáo; &gt;=45 test case; logging, backup và deploy.</v>
      </c>
      <c r="L786" t="str">
        <f>'Huong dan giao do an'!$B$31</f>
        <v>Bắt buộc: Charter/PMP; SRS + scope/WBS; Gantt/baseline; effort-cost budget; RACI/timesheet; quality-test-defect; communication/minutes; risk register; procurement; change log; closure/lessons learned.</v>
      </c>
      <c r="M786" t="str">
        <f>'Huong dan giao do an'!$B$33</f>
        <v>Tuần 1: 07.09–13.09.2026; Tuần 2: 14.09–20.09.2026; Tuần 3: 21.09–27.09.2026; Tuần 4: 28.09–04.10.2026; Tuần 5: 05.10–11.10.2026; Tuần 6: 12.10–18.10.2026; Tuần 7: 19.10–25.10.2026; Tuần 8: 26.10–01.11.2026.</v>
      </c>
      <c r="N7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6" s="17" t="str">
        <f t="shared" si="12"/>
        <v>Còn trống</v>
      </c>
    </row>
    <row r="787" spans="1:16" x14ac:dyDescent="0.3">
      <c r="A787">
        <v>786</v>
      </c>
      <c r="B787" t="s">
        <v>1628</v>
      </c>
      <c r="C787" t="s">
        <v>1827</v>
      </c>
      <c r="D787" t="s">
        <v>1828</v>
      </c>
      <c r="E787" t="s">
        <v>33</v>
      </c>
      <c r="F787" t="s">
        <v>1631</v>
      </c>
      <c r="G787" t="s">
        <v>1654</v>
      </c>
      <c r="H787" t="str">
        <f>'Huong dan giao do an'!$B$14</f>
        <v>5 SV (vai trò chính): 1 PM/Scrum Master kiêm Integration; 2 BA/PO; 3 UI-UX + Frontend; 4 Backend/API + DevOps; 5 Database + QA/Tester. Mỗi SV có nhiệm vụ phụ và minh chứng cá nhân.</v>
      </c>
      <c r="I787" t="s">
        <v>36</v>
      </c>
      <c r="J787" t="s">
        <v>1643</v>
      </c>
      <c r="K787" t="str">
        <f>IF(I787="Trung bình",'Huong dan giao do an'!$B$8,IF(I787="Khá",'Huong dan giao do an'!$B$9,'Huong dan giao do an'!$B$10))</f>
        <v>Tối thiểu 3 actor; 8-10 use case; 6-8 bảng dữ liệu; 2 quy trình lõi; đăng nhập/RBAC; 1 dashboard; 1 báo cáo; &gt;=25 test case; triển khai bản demo.</v>
      </c>
      <c r="L787" t="str">
        <f>'Huong dan giao do an'!$B$31</f>
        <v>Bắt buộc: Charter/PMP; SRS + scope/WBS; Gantt/baseline; effort-cost budget; RACI/timesheet; quality-test-defect; communication/minutes; risk register; procurement; change log; closure/lessons learned.</v>
      </c>
      <c r="M787" t="str">
        <f>'Huong dan giao do an'!$B$33</f>
        <v>Tuần 1: 07.09–13.09.2026; Tuần 2: 14.09–20.09.2026; Tuần 3: 21.09–27.09.2026; Tuần 4: 28.09–04.10.2026; Tuần 5: 05.10–11.10.2026; Tuần 6: 12.10–18.10.2026; Tuần 7: 19.10–25.10.2026; Tuần 8: 26.10–01.11.2026.</v>
      </c>
      <c r="N7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7" s="17" t="str">
        <f t="shared" si="12"/>
        <v>Còn trống</v>
      </c>
    </row>
    <row r="788" spans="1:16" x14ac:dyDescent="0.3">
      <c r="A788">
        <v>787</v>
      </c>
      <c r="B788" t="s">
        <v>1628</v>
      </c>
      <c r="C788" t="s">
        <v>1829</v>
      </c>
      <c r="D788" t="s">
        <v>1830</v>
      </c>
      <c r="E788" t="s">
        <v>40</v>
      </c>
      <c r="F788" t="s">
        <v>1636</v>
      </c>
      <c r="G788" t="s">
        <v>1657</v>
      </c>
      <c r="H788" t="str">
        <f>'Huong dan giao do an'!$B$14</f>
        <v>5 SV (vai trò chính): 1 PM/Scrum Master kiêm Integration; 2 BA/PO; 3 UI-UX + Frontend; 4 Backend/API + DevOps; 5 Database + QA/Tester. Mỗi SV có nhiệm vụ phụ và minh chứng cá nhân.</v>
      </c>
      <c r="I788" t="s">
        <v>22</v>
      </c>
      <c r="J788" t="s">
        <v>1633</v>
      </c>
      <c r="K788" t="str">
        <f>IF(I788="Trung bình",'Huong dan giao do an'!$B$8,IF(I788="Khá",'Huong dan giao do an'!$B$9,'Huong dan giao do an'!$B$10))</f>
        <v>Tối thiểu 4 actor; 10-14 use case; 8-12 bảng; 3 quy trình lõi; phân quyền chi tiết; 2 báo cáo; tích hợp 1 dịch vụ; &gt;=35 test case; CI/CD hoặc deploy cloud.</v>
      </c>
      <c r="L788" t="str">
        <f>'Huong dan giao do an'!$B$31</f>
        <v>Bắt buộc: Charter/PMP; SRS + scope/WBS; Gantt/baseline; effort-cost budget; RACI/timesheet; quality-test-defect; communication/minutes; risk register; procurement; change log; closure/lessons learned.</v>
      </c>
      <c r="M788" t="str">
        <f>'Huong dan giao do an'!$B$33</f>
        <v>Tuần 1: 07.09–13.09.2026; Tuần 2: 14.09–20.09.2026; Tuần 3: 21.09–27.09.2026; Tuần 4: 28.09–04.10.2026; Tuần 5: 05.10–11.10.2026; Tuần 6: 12.10–18.10.2026; Tuần 7: 19.10–25.10.2026; Tuần 8: 26.10–01.11.2026.</v>
      </c>
      <c r="N7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8" s="17" t="str">
        <f t="shared" si="12"/>
        <v>Còn trống</v>
      </c>
    </row>
    <row r="789" spans="1:16" x14ac:dyDescent="0.3">
      <c r="A789">
        <v>788</v>
      </c>
      <c r="B789" t="s">
        <v>1628</v>
      </c>
      <c r="C789" t="s">
        <v>1831</v>
      </c>
      <c r="D789" t="s">
        <v>1832</v>
      </c>
      <c r="E789" t="s">
        <v>45</v>
      </c>
      <c r="F789" t="s">
        <v>1641</v>
      </c>
      <c r="G789" t="s">
        <v>1660</v>
      </c>
      <c r="H789" t="str">
        <f>'Huong dan giao do an'!$B$14</f>
        <v>5 SV (vai trò chính): 1 PM/Scrum Master kiêm Integration; 2 BA/PO; 3 UI-UX + Frontend; 4 Backend/API + DevOps; 5 Database + QA/Tester. Mỗi SV có nhiệm vụ phụ và minh chứng cá nhân.</v>
      </c>
      <c r="I789" t="s">
        <v>29</v>
      </c>
      <c r="J789" t="s">
        <v>1638</v>
      </c>
      <c r="K789" t="str">
        <f>IF(I789="Trung bình",'Huong dan giao do an'!$B$8,IF(I789="Khá",'Huong dan giao do an'!$B$9,'Huong dan giao do an'!$B$10))</f>
        <v>Tối thiểu 5 actor; 14-18 use case; 10-15 bảng; 4 quy trình; tích hợp ngoài/realtime hoặc xử lý nâng cao; 3 báo cáo; &gt;=45 test case; logging, backup và deploy.</v>
      </c>
      <c r="L789" t="str">
        <f>'Huong dan giao do an'!$B$31</f>
        <v>Bắt buộc: Charter/PMP; SRS + scope/WBS; Gantt/baseline; effort-cost budget; RACI/timesheet; quality-test-defect; communication/minutes; risk register; procurement; change log; closure/lessons learned.</v>
      </c>
      <c r="M789" t="str">
        <f>'Huong dan giao do an'!$B$33</f>
        <v>Tuần 1: 07.09–13.09.2026; Tuần 2: 14.09–20.09.2026; Tuần 3: 21.09–27.09.2026; Tuần 4: 28.09–04.10.2026; Tuần 5: 05.10–11.10.2026; Tuần 6: 12.10–18.10.2026; Tuần 7: 19.10–25.10.2026; Tuần 8: 26.10–01.11.2026.</v>
      </c>
      <c r="N7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89" s="17" t="str">
        <f t="shared" si="12"/>
        <v>Còn trống</v>
      </c>
    </row>
    <row r="790" spans="1:16" x14ac:dyDescent="0.3">
      <c r="A790">
        <v>789</v>
      </c>
      <c r="B790" t="s">
        <v>1628</v>
      </c>
      <c r="C790" t="s">
        <v>1833</v>
      </c>
      <c r="D790" t="s">
        <v>1834</v>
      </c>
      <c r="E790" t="s">
        <v>19</v>
      </c>
      <c r="F790" t="s">
        <v>1646</v>
      </c>
      <c r="G790" t="s">
        <v>1663</v>
      </c>
      <c r="H790" t="str">
        <f>'Huong dan giao do an'!$B$14</f>
        <v>5 SV (vai trò chính): 1 PM/Scrum Master kiêm Integration; 2 BA/PO; 3 UI-UX + Frontend; 4 Backend/API + DevOps; 5 Database + QA/Tester. Mỗi SV có nhiệm vụ phụ và minh chứng cá nhân.</v>
      </c>
      <c r="I790" t="s">
        <v>36</v>
      </c>
      <c r="J790" t="s">
        <v>1643</v>
      </c>
      <c r="K790" t="str">
        <f>IF(I790="Trung bình",'Huong dan giao do an'!$B$8,IF(I790="Khá",'Huong dan giao do an'!$B$9,'Huong dan giao do an'!$B$10))</f>
        <v>Tối thiểu 3 actor; 8-10 use case; 6-8 bảng dữ liệu; 2 quy trình lõi; đăng nhập/RBAC; 1 dashboard; 1 báo cáo; &gt;=25 test case; triển khai bản demo.</v>
      </c>
      <c r="L790" t="str">
        <f>'Huong dan giao do an'!$B$31</f>
        <v>Bắt buộc: Charter/PMP; SRS + scope/WBS; Gantt/baseline; effort-cost budget; RACI/timesheet; quality-test-defect; communication/minutes; risk register; procurement; change log; closure/lessons learned.</v>
      </c>
      <c r="M790" t="str">
        <f>'Huong dan giao do an'!$B$33</f>
        <v>Tuần 1: 07.09–13.09.2026; Tuần 2: 14.09–20.09.2026; Tuần 3: 21.09–27.09.2026; Tuần 4: 28.09–04.10.2026; Tuần 5: 05.10–11.10.2026; Tuần 6: 12.10–18.10.2026; Tuần 7: 19.10–25.10.2026; Tuần 8: 26.10–01.11.2026.</v>
      </c>
      <c r="N7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0" s="17" t="str">
        <f t="shared" si="12"/>
        <v>Còn trống</v>
      </c>
    </row>
    <row r="791" spans="1:16" x14ac:dyDescent="0.3">
      <c r="A791">
        <v>790</v>
      </c>
      <c r="B791" t="s">
        <v>1628</v>
      </c>
      <c r="C791" t="s">
        <v>1835</v>
      </c>
      <c r="D791" t="s">
        <v>1836</v>
      </c>
      <c r="E791" t="s">
        <v>26</v>
      </c>
      <c r="F791" t="s">
        <v>1650</v>
      </c>
      <c r="G791" t="s">
        <v>1666</v>
      </c>
      <c r="H791" t="str">
        <f>'Huong dan giao do an'!$B$14</f>
        <v>5 SV (vai trò chính): 1 PM/Scrum Master kiêm Integration; 2 BA/PO; 3 UI-UX + Frontend; 4 Backend/API + DevOps; 5 Database + QA/Tester. Mỗi SV có nhiệm vụ phụ và minh chứng cá nhân.</v>
      </c>
      <c r="I791" t="s">
        <v>22</v>
      </c>
      <c r="J791" t="s">
        <v>1633</v>
      </c>
      <c r="K791" t="str">
        <f>IF(I791="Trung bình",'Huong dan giao do an'!$B$8,IF(I791="Khá",'Huong dan giao do an'!$B$9,'Huong dan giao do an'!$B$10))</f>
        <v>Tối thiểu 4 actor; 10-14 use case; 8-12 bảng; 3 quy trình lõi; phân quyền chi tiết; 2 báo cáo; tích hợp 1 dịch vụ; &gt;=35 test case; CI/CD hoặc deploy cloud.</v>
      </c>
      <c r="L791" t="str">
        <f>'Huong dan giao do an'!$B$31</f>
        <v>Bắt buộc: Charter/PMP; SRS + scope/WBS; Gantt/baseline; effort-cost budget; RACI/timesheet; quality-test-defect; communication/minutes; risk register; procurement; change log; closure/lessons learned.</v>
      </c>
      <c r="M791" t="str">
        <f>'Huong dan giao do an'!$B$33</f>
        <v>Tuần 1: 07.09–13.09.2026; Tuần 2: 14.09–20.09.2026; Tuần 3: 21.09–27.09.2026; Tuần 4: 28.09–04.10.2026; Tuần 5: 05.10–11.10.2026; Tuần 6: 12.10–18.10.2026; Tuần 7: 19.10–25.10.2026; Tuần 8: 26.10–01.11.2026.</v>
      </c>
      <c r="N7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1" s="17" t="str">
        <f t="shared" si="12"/>
        <v>Còn trống</v>
      </c>
    </row>
    <row r="792" spans="1:16" x14ac:dyDescent="0.3">
      <c r="A792">
        <v>791</v>
      </c>
      <c r="B792" t="s">
        <v>1628</v>
      </c>
      <c r="C792" t="s">
        <v>1837</v>
      </c>
      <c r="D792" t="s">
        <v>1838</v>
      </c>
      <c r="E792" t="s">
        <v>33</v>
      </c>
      <c r="F792" t="s">
        <v>1631</v>
      </c>
      <c r="G792" t="s">
        <v>1669</v>
      </c>
      <c r="H792" t="str">
        <f>'Huong dan giao do an'!$B$14</f>
        <v>5 SV (vai trò chính): 1 PM/Scrum Master kiêm Integration; 2 BA/PO; 3 UI-UX + Frontend; 4 Backend/API + DevOps; 5 Database + QA/Tester. Mỗi SV có nhiệm vụ phụ và minh chứng cá nhân.</v>
      </c>
      <c r="I792" t="s">
        <v>29</v>
      </c>
      <c r="J792" t="s">
        <v>1638</v>
      </c>
      <c r="K792" t="str">
        <f>IF(I792="Trung bình",'Huong dan giao do an'!$B$8,IF(I792="Khá",'Huong dan giao do an'!$B$9,'Huong dan giao do an'!$B$10))</f>
        <v>Tối thiểu 5 actor; 14-18 use case; 10-15 bảng; 4 quy trình; tích hợp ngoài/realtime hoặc xử lý nâng cao; 3 báo cáo; &gt;=45 test case; logging, backup và deploy.</v>
      </c>
      <c r="L792" t="str">
        <f>'Huong dan giao do an'!$B$31</f>
        <v>Bắt buộc: Charter/PMP; SRS + scope/WBS; Gantt/baseline; effort-cost budget; RACI/timesheet; quality-test-defect; communication/minutes; risk register; procurement; change log; closure/lessons learned.</v>
      </c>
      <c r="M792" t="str">
        <f>'Huong dan giao do an'!$B$33</f>
        <v>Tuần 1: 07.09–13.09.2026; Tuần 2: 14.09–20.09.2026; Tuần 3: 21.09–27.09.2026; Tuần 4: 28.09–04.10.2026; Tuần 5: 05.10–11.10.2026; Tuần 6: 12.10–18.10.2026; Tuần 7: 19.10–25.10.2026; Tuần 8: 26.10–01.11.2026.</v>
      </c>
      <c r="N7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2" s="17" t="str">
        <f t="shared" si="12"/>
        <v>Còn trống</v>
      </c>
    </row>
    <row r="793" spans="1:16" x14ac:dyDescent="0.3">
      <c r="A793">
        <v>792</v>
      </c>
      <c r="B793" t="s">
        <v>1628</v>
      </c>
      <c r="C793" t="s">
        <v>1839</v>
      </c>
      <c r="D793" t="s">
        <v>1840</v>
      </c>
      <c r="E793" t="s">
        <v>40</v>
      </c>
      <c r="F793" t="s">
        <v>1636</v>
      </c>
      <c r="G793" t="s">
        <v>1672</v>
      </c>
      <c r="H793" t="str">
        <f>'Huong dan giao do an'!$B$14</f>
        <v>5 SV (vai trò chính): 1 PM/Scrum Master kiêm Integration; 2 BA/PO; 3 UI-UX + Frontend; 4 Backend/API + DevOps; 5 Database + QA/Tester. Mỗi SV có nhiệm vụ phụ và minh chứng cá nhân.</v>
      </c>
      <c r="I793" t="s">
        <v>36</v>
      </c>
      <c r="J793" t="s">
        <v>1643</v>
      </c>
      <c r="K793" t="str">
        <f>IF(I793="Trung bình",'Huong dan giao do an'!$B$8,IF(I793="Khá",'Huong dan giao do an'!$B$9,'Huong dan giao do an'!$B$10))</f>
        <v>Tối thiểu 3 actor; 8-10 use case; 6-8 bảng dữ liệu; 2 quy trình lõi; đăng nhập/RBAC; 1 dashboard; 1 báo cáo; &gt;=25 test case; triển khai bản demo.</v>
      </c>
      <c r="L793" t="str">
        <f>'Huong dan giao do an'!$B$31</f>
        <v>Bắt buộc: Charter/PMP; SRS + scope/WBS; Gantt/baseline; effort-cost budget; RACI/timesheet; quality-test-defect; communication/minutes; risk register; procurement; change log; closure/lessons learned.</v>
      </c>
      <c r="M793" t="str">
        <f>'Huong dan giao do an'!$B$33</f>
        <v>Tuần 1: 07.09–13.09.2026; Tuần 2: 14.09–20.09.2026; Tuần 3: 21.09–27.09.2026; Tuần 4: 28.09–04.10.2026; Tuần 5: 05.10–11.10.2026; Tuần 6: 12.10–18.10.2026; Tuần 7: 19.10–25.10.2026; Tuần 8: 26.10–01.11.2026.</v>
      </c>
      <c r="N7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3" s="17" t="str">
        <f t="shared" si="12"/>
        <v>Còn trống</v>
      </c>
    </row>
    <row r="794" spans="1:16" x14ac:dyDescent="0.3">
      <c r="A794">
        <v>793</v>
      </c>
      <c r="B794" t="s">
        <v>1628</v>
      </c>
      <c r="C794" t="s">
        <v>1841</v>
      </c>
      <c r="D794" t="s">
        <v>1842</v>
      </c>
      <c r="E794" t="s">
        <v>45</v>
      </c>
      <c r="F794" t="s">
        <v>1641</v>
      </c>
      <c r="G794" t="s">
        <v>1675</v>
      </c>
      <c r="H794" t="str">
        <f>'Huong dan giao do an'!$B$14</f>
        <v>5 SV (vai trò chính): 1 PM/Scrum Master kiêm Integration; 2 BA/PO; 3 UI-UX + Frontend; 4 Backend/API + DevOps; 5 Database + QA/Tester. Mỗi SV có nhiệm vụ phụ và minh chứng cá nhân.</v>
      </c>
      <c r="I794" t="s">
        <v>22</v>
      </c>
      <c r="J794" t="s">
        <v>1633</v>
      </c>
      <c r="K794" t="str">
        <f>IF(I794="Trung bình",'Huong dan giao do an'!$B$8,IF(I794="Khá",'Huong dan giao do an'!$B$9,'Huong dan giao do an'!$B$10))</f>
        <v>Tối thiểu 4 actor; 10-14 use case; 8-12 bảng; 3 quy trình lõi; phân quyền chi tiết; 2 báo cáo; tích hợp 1 dịch vụ; &gt;=35 test case; CI/CD hoặc deploy cloud.</v>
      </c>
      <c r="L794" t="str">
        <f>'Huong dan giao do an'!$B$31</f>
        <v>Bắt buộc: Charter/PMP; SRS + scope/WBS; Gantt/baseline; effort-cost budget; RACI/timesheet; quality-test-defect; communication/minutes; risk register; procurement; change log; closure/lessons learned.</v>
      </c>
      <c r="M794" t="str">
        <f>'Huong dan giao do an'!$B$33</f>
        <v>Tuần 1: 07.09–13.09.2026; Tuần 2: 14.09–20.09.2026; Tuần 3: 21.09–27.09.2026; Tuần 4: 28.09–04.10.2026; Tuần 5: 05.10–11.10.2026; Tuần 6: 12.10–18.10.2026; Tuần 7: 19.10–25.10.2026; Tuần 8: 26.10–01.11.2026.</v>
      </c>
      <c r="N7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4" s="17" t="str">
        <f t="shared" si="12"/>
        <v>Còn trống</v>
      </c>
    </row>
    <row r="795" spans="1:16" x14ac:dyDescent="0.3">
      <c r="A795">
        <v>794</v>
      </c>
      <c r="B795" t="s">
        <v>1628</v>
      </c>
      <c r="C795" t="s">
        <v>1843</v>
      </c>
      <c r="D795" t="s">
        <v>1844</v>
      </c>
      <c r="E795" t="s">
        <v>19</v>
      </c>
      <c r="F795" t="s">
        <v>1646</v>
      </c>
      <c r="G795" t="s">
        <v>1678</v>
      </c>
      <c r="H795" t="str">
        <f>'Huong dan giao do an'!$B$14</f>
        <v>5 SV (vai trò chính): 1 PM/Scrum Master kiêm Integration; 2 BA/PO; 3 UI-UX + Frontend; 4 Backend/API + DevOps; 5 Database + QA/Tester. Mỗi SV có nhiệm vụ phụ và minh chứng cá nhân.</v>
      </c>
      <c r="I795" t="s">
        <v>29</v>
      </c>
      <c r="J795" t="s">
        <v>1638</v>
      </c>
      <c r="K795" t="str">
        <f>IF(I795="Trung bình",'Huong dan giao do an'!$B$8,IF(I795="Khá",'Huong dan giao do an'!$B$9,'Huong dan giao do an'!$B$10))</f>
        <v>Tối thiểu 5 actor; 14-18 use case; 10-15 bảng; 4 quy trình; tích hợp ngoài/realtime hoặc xử lý nâng cao; 3 báo cáo; &gt;=45 test case; logging, backup và deploy.</v>
      </c>
      <c r="L795" t="str">
        <f>'Huong dan giao do an'!$B$31</f>
        <v>Bắt buộc: Charter/PMP; SRS + scope/WBS; Gantt/baseline; effort-cost budget; RACI/timesheet; quality-test-defect; communication/minutes; risk register; procurement; change log; closure/lessons learned.</v>
      </c>
      <c r="M795" t="str">
        <f>'Huong dan giao do an'!$B$33</f>
        <v>Tuần 1: 07.09–13.09.2026; Tuần 2: 14.09–20.09.2026; Tuần 3: 21.09–27.09.2026; Tuần 4: 28.09–04.10.2026; Tuần 5: 05.10–11.10.2026; Tuần 6: 12.10–18.10.2026; Tuần 7: 19.10–25.10.2026; Tuần 8: 26.10–01.11.2026.</v>
      </c>
      <c r="N7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5" s="17" t="str">
        <f t="shared" si="12"/>
        <v>Còn trống</v>
      </c>
    </row>
    <row r="796" spans="1:16" x14ac:dyDescent="0.3">
      <c r="A796">
        <v>795</v>
      </c>
      <c r="B796" t="s">
        <v>1628</v>
      </c>
      <c r="C796" t="s">
        <v>1845</v>
      </c>
      <c r="D796" t="s">
        <v>1846</v>
      </c>
      <c r="E796" t="s">
        <v>26</v>
      </c>
      <c r="F796" t="s">
        <v>1650</v>
      </c>
      <c r="G796" t="s">
        <v>1681</v>
      </c>
      <c r="H796" t="str">
        <f>'Huong dan giao do an'!$B$14</f>
        <v>5 SV (vai trò chính): 1 PM/Scrum Master kiêm Integration; 2 BA/PO; 3 UI-UX + Frontend; 4 Backend/API + DevOps; 5 Database + QA/Tester. Mỗi SV có nhiệm vụ phụ và minh chứng cá nhân.</v>
      </c>
      <c r="I796" t="s">
        <v>36</v>
      </c>
      <c r="J796" t="s">
        <v>1643</v>
      </c>
      <c r="K796" t="str">
        <f>IF(I796="Trung bình",'Huong dan giao do an'!$B$8,IF(I796="Khá",'Huong dan giao do an'!$B$9,'Huong dan giao do an'!$B$10))</f>
        <v>Tối thiểu 3 actor; 8-10 use case; 6-8 bảng dữ liệu; 2 quy trình lõi; đăng nhập/RBAC; 1 dashboard; 1 báo cáo; &gt;=25 test case; triển khai bản demo.</v>
      </c>
      <c r="L796" t="str">
        <f>'Huong dan giao do an'!$B$31</f>
        <v>Bắt buộc: Charter/PMP; SRS + scope/WBS; Gantt/baseline; effort-cost budget; RACI/timesheet; quality-test-defect; communication/minutes; risk register; procurement; change log; closure/lessons learned.</v>
      </c>
      <c r="M796" t="str">
        <f>'Huong dan giao do an'!$B$33</f>
        <v>Tuần 1: 07.09–13.09.2026; Tuần 2: 14.09–20.09.2026; Tuần 3: 21.09–27.09.2026; Tuần 4: 28.09–04.10.2026; Tuần 5: 05.10–11.10.2026; Tuần 6: 12.10–18.10.2026; Tuần 7: 19.10–25.10.2026; Tuần 8: 26.10–01.11.2026.</v>
      </c>
      <c r="N7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6" s="17" t="str">
        <f t="shared" si="12"/>
        <v>Còn trống</v>
      </c>
    </row>
    <row r="797" spans="1:16" x14ac:dyDescent="0.3">
      <c r="A797">
        <v>796</v>
      </c>
      <c r="B797" t="s">
        <v>1628</v>
      </c>
      <c r="C797" t="s">
        <v>1847</v>
      </c>
      <c r="D797" t="s">
        <v>1848</v>
      </c>
      <c r="E797" t="s">
        <v>33</v>
      </c>
      <c r="F797" t="s">
        <v>1631</v>
      </c>
      <c r="G797" t="s">
        <v>1684</v>
      </c>
      <c r="H797" t="str">
        <f>'Huong dan giao do an'!$B$14</f>
        <v>5 SV (vai trò chính): 1 PM/Scrum Master kiêm Integration; 2 BA/PO; 3 UI-UX + Frontend; 4 Backend/API + DevOps; 5 Database + QA/Tester. Mỗi SV có nhiệm vụ phụ và minh chứng cá nhân.</v>
      </c>
      <c r="I797" t="s">
        <v>22</v>
      </c>
      <c r="J797" t="s">
        <v>1633</v>
      </c>
      <c r="K797" t="str">
        <f>IF(I797="Trung bình",'Huong dan giao do an'!$B$8,IF(I797="Khá",'Huong dan giao do an'!$B$9,'Huong dan giao do an'!$B$10))</f>
        <v>Tối thiểu 4 actor; 10-14 use case; 8-12 bảng; 3 quy trình lõi; phân quyền chi tiết; 2 báo cáo; tích hợp 1 dịch vụ; &gt;=35 test case; CI/CD hoặc deploy cloud.</v>
      </c>
      <c r="L797" t="str">
        <f>'Huong dan giao do an'!$B$31</f>
        <v>Bắt buộc: Charter/PMP; SRS + scope/WBS; Gantt/baseline; effort-cost budget; RACI/timesheet; quality-test-defect; communication/minutes; risk register; procurement; change log; closure/lessons learned.</v>
      </c>
      <c r="M797" t="str">
        <f>'Huong dan giao do an'!$B$33</f>
        <v>Tuần 1: 07.09–13.09.2026; Tuần 2: 14.09–20.09.2026; Tuần 3: 21.09–27.09.2026; Tuần 4: 28.09–04.10.2026; Tuần 5: 05.10–11.10.2026; Tuần 6: 12.10–18.10.2026; Tuần 7: 19.10–25.10.2026; Tuần 8: 26.10–01.11.2026.</v>
      </c>
      <c r="N7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7" s="17" t="str">
        <f t="shared" si="12"/>
        <v>Còn trống</v>
      </c>
    </row>
    <row r="798" spans="1:16" x14ac:dyDescent="0.3">
      <c r="A798">
        <v>797</v>
      </c>
      <c r="B798" t="s">
        <v>1628</v>
      </c>
      <c r="C798" t="s">
        <v>1849</v>
      </c>
      <c r="D798" t="s">
        <v>1850</v>
      </c>
      <c r="E798" t="s">
        <v>40</v>
      </c>
      <c r="F798" t="s">
        <v>1636</v>
      </c>
      <c r="G798" t="s">
        <v>1687</v>
      </c>
      <c r="H798" t="str">
        <f>'Huong dan giao do an'!$B$14</f>
        <v>5 SV (vai trò chính): 1 PM/Scrum Master kiêm Integration; 2 BA/PO; 3 UI-UX + Frontend; 4 Backend/API + DevOps; 5 Database + QA/Tester. Mỗi SV có nhiệm vụ phụ và minh chứng cá nhân.</v>
      </c>
      <c r="I798" t="s">
        <v>29</v>
      </c>
      <c r="J798" t="s">
        <v>1638</v>
      </c>
      <c r="K798" t="str">
        <f>IF(I798="Trung bình",'Huong dan giao do an'!$B$8,IF(I798="Khá",'Huong dan giao do an'!$B$9,'Huong dan giao do an'!$B$10))</f>
        <v>Tối thiểu 5 actor; 14-18 use case; 10-15 bảng; 4 quy trình; tích hợp ngoài/realtime hoặc xử lý nâng cao; 3 báo cáo; &gt;=45 test case; logging, backup và deploy.</v>
      </c>
      <c r="L798" t="str">
        <f>'Huong dan giao do an'!$B$31</f>
        <v>Bắt buộc: Charter/PMP; SRS + scope/WBS; Gantt/baseline; effort-cost budget; RACI/timesheet; quality-test-defect; communication/minutes; risk register; procurement; change log; closure/lessons learned.</v>
      </c>
      <c r="M798" t="str">
        <f>'Huong dan giao do an'!$B$33</f>
        <v>Tuần 1: 07.09–13.09.2026; Tuần 2: 14.09–20.09.2026; Tuần 3: 21.09–27.09.2026; Tuần 4: 28.09–04.10.2026; Tuần 5: 05.10–11.10.2026; Tuần 6: 12.10–18.10.2026; Tuần 7: 19.10–25.10.2026; Tuần 8: 26.10–01.11.2026.</v>
      </c>
      <c r="N7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8" s="17" t="str">
        <f t="shared" si="12"/>
        <v>Còn trống</v>
      </c>
    </row>
    <row r="799" spans="1:16" x14ac:dyDescent="0.3">
      <c r="A799">
        <v>798</v>
      </c>
      <c r="B799" t="s">
        <v>1628</v>
      </c>
      <c r="C799" t="s">
        <v>1851</v>
      </c>
      <c r="D799" t="s">
        <v>1852</v>
      </c>
      <c r="E799" t="s">
        <v>45</v>
      </c>
      <c r="F799" t="s">
        <v>1641</v>
      </c>
      <c r="G799" t="s">
        <v>1690</v>
      </c>
      <c r="H799" t="str">
        <f>'Huong dan giao do an'!$B$14</f>
        <v>5 SV (vai trò chính): 1 PM/Scrum Master kiêm Integration; 2 BA/PO; 3 UI-UX + Frontend; 4 Backend/API + DevOps; 5 Database + QA/Tester. Mỗi SV có nhiệm vụ phụ và minh chứng cá nhân.</v>
      </c>
      <c r="I799" t="s">
        <v>36</v>
      </c>
      <c r="J799" t="s">
        <v>1643</v>
      </c>
      <c r="K799" t="str">
        <f>IF(I799="Trung bình",'Huong dan giao do an'!$B$8,IF(I799="Khá",'Huong dan giao do an'!$B$9,'Huong dan giao do an'!$B$10))</f>
        <v>Tối thiểu 3 actor; 8-10 use case; 6-8 bảng dữ liệu; 2 quy trình lõi; đăng nhập/RBAC; 1 dashboard; 1 báo cáo; &gt;=25 test case; triển khai bản demo.</v>
      </c>
      <c r="L799" t="str">
        <f>'Huong dan giao do an'!$B$31</f>
        <v>Bắt buộc: Charter/PMP; SRS + scope/WBS; Gantt/baseline; effort-cost budget; RACI/timesheet; quality-test-defect; communication/minutes; risk register; procurement; change log; closure/lessons learned.</v>
      </c>
      <c r="M799" t="str">
        <f>'Huong dan giao do an'!$B$33</f>
        <v>Tuần 1: 07.09–13.09.2026; Tuần 2: 14.09–20.09.2026; Tuần 3: 21.09–27.09.2026; Tuần 4: 28.09–04.10.2026; Tuần 5: 05.10–11.10.2026; Tuần 6: 12.10–18.10.2026; Tuần 7: 19.10–25.10.2026; Tuần 8: 26.10–01.11.2026.</v>
      </c>
      <c r="N7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799" s="17" t="str">
        <f t="shared" si="12"/>
        <v>Còn trống</v>
      </c>
    </row>
    <row r="800" spans="1:16" x14ac:dyDescent="0.3">
      <c r="A800">
        <v>799</v>
      </c>
      <c r="B800" t="s">
        <v>1628</v>
      </c>
      <c r="C800" t="s">
        <v>1853</v>
      </c>
      <c r="D800" t="s">
        <v>1854</v>
      </c>
      <c r="E800" t="s">
        <v>19</v>
      </c>
      <c r="F800" t="s">
        <v>1646</v>
      </c>
      <c r="G800" t="s">
        <v>1693</v>
      </c>
      <c r="H800" t="str">
        <f>'Huong dan giao do an'!$B$14</f>
        <v>5 SV (vai trò chính): 1 PM/Scrum Master kiêm Integration; 2 BA/PO; 3 UI-UX + Frontend; 4 Backend/API + DevOps; 5 Database + QA/Tester. Mỗi SV có nhiệm vụ phụ và minh chứng cá nhân.</v>
      </c>
      <c r="I800" t="s">
        <v>22</v>
      </c>
      <c r="J800" t="s">
        <v>1633</v>
      </c>
      <c r="K800" t="str">
        <f>IF(I800="Trung bình",'Huong dan giao do an'!$B$8,IF(I800="Khá",'Huong dan giao do an'!$B$9,'Huong dan giao do an'!$B$10))</f>
        <v>Tối thiểu 4 actor; 10-14 use case; 8-12 bảng; 3 quy trình lõi; phân quyền chi tiết; 2 báo cáo; tích hợp 1 dịch vụ; &gt;=35 test case; CI/CD hoặc deploy cloud.</v>
      </c>
      <c r="L800" t="str">
        <f>'Huong dan giao do an'!$B$31</f>
        <v>Bắt buộc: Charter/PMP; SRS + scope/WBS; Gantt/baseline; effort-cost budget; RACI/timesheet; quality-test-defect; communication/minutes; risk register; procurement; change log; closure/lessons learned.</v>
      </c>
      <c r="M800" t="str">
        <f>'Huong dan giao do an'!$B$33</f>
        <v>Tuần 1: 07.09–13.09.2026; Tuần 2: 14.09–20.09.2026; Tuần 3: 21.09–27.09.2026; Tuần 4: 28.09–04.10.2026; Tuần 5: 05.10–11.10.2026; Tuần 6: 12.10–18.10.2026; Tuần 7: 19.10–25.10.2026; Tuần 8: 26.10–01.11.2026.</v>
      </c>
      <c r="N8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0" s="17" t="str">
        <f t="shared" si="12"/>
        <v>Còn trống</v>
      </c>
    </row>
    <row r="801" spans="1:16" x14ac:dyDescent="0.3">
      <c r="A801">
        <v>800</v>
      </c>
      <c r="B801" t="s">
        <v>1628</v>
      </c>
      <c r="C801" t="s">
        <v>1855</v>
      </c>
      <c r="D801" t="s">
        <v>1856</v>
      </c>
      <c r="E801" t="s">
        <v>26</v>
      </c>
      <c r="F801" t="s">
        <v>1650</v>
      </c>
      <c r="G801" t="s">
        <v>1696</v>
      </c>
      <c r="H801" t="str">
        <f>'Huong dan giao do an'!$B$14</f>
        <v>5 SV (vai trò chính): 1 PM/Scrum Master kiêm Integration; 2 BA/PO; 3 UI-UX + Frontend; 4 Backend/API + DevOps; 5 Database + QA/Tester. Mỗi SV có nhiệm vụ phụ và minh chứng cá nhân.</v>
      </c>
      <c r="I801" t="s">
        <v>29</v>
      </c>
      <c r="J801" t="s">
        <v>1638</v>
      </c>
      <c r="K801" t="str">
        <f>IF(I801="Trung bình",'Huong dan giao do an'!$B$8,IF(I801="Khá",'Huong dan giao do an'!$B$9,'Huong dan giao do an'!$B$10))</f>
        <v>Tối thiểu 5 actor; 14-18 use case; 10-15 bảng; 4 quy trình; tích hợp ngoài/realtime hoặc xử lý nâng cao; 3 báo cáo; &gt;=45 test case; logging, backup và deploy.</v>
      </c>
      <c r="L801" t="str">
        <f>'Huong dan giao do an'!$B$31</f>
        <v>Bắt buộc: Charter/PMP; SRS + scope/WBS; Gantt/baseline; effort-cost budget; RACI/timesheet; quality-test-defect; communication/minutes; risk register; procurement; change log; closure/lessons learned.</v>
      </c>
      <c r="M801" t="str">
        <f>'Huong dan giao do an'!$B$33</f>
        <v>Tuần 1: 07.09–13.09.2026; Tuần 2: 14.09–20.09.2026; Tuần 3: 21.09–27.09.2026; Tuần 4: 28.09–04.10.2026; Tuần 5: 05.10–11.10.2026; Tuần 6: 12.10–18.10.2026; Tuần 7: 19.10–25.10.2026; Tuần 8: 26.10–01.11.2026.</v>
      </c>
      <c r="N8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1" s="17" t="str">
        <f t="shared" si="12"/>
        <v>Còn trống</v>
      </c>
    </row>
    <row r="802" spans="1:16" x14ac:dyDescent="0.3">
      <c r="A802">
        <v>801</v>
      </c>
      <c r="B802" t="s">
        <v>1857</v>
      </c>
      <c r="C802" t="s">
        <v>1858</v>
      </c>
      <c r="D802" t="s">
        <v>1859</v>
      </c>
      <c r="E802" t="s">
        <v>40</v>
      </c>
      <c r="F802" t="s">
        <v>1860</v>
      </c>
      <c r="G802" t="s">
        <v>1861</v>
      </c>
      <c r="H802" t="str">
        <f>'Huong dan giao do an'!$B$14</f>
        <v>5 SV (vai trò chính): 1 PM/Scrum Master kiêm Integration; 2 BA/PO; 3 UI-UX + Frontend; 4 Backend/API + DevOps; 5 Database + QA/Tester. Mỗi SV có nhiệm vụ phụ và minh chứng cá nhân.</v>
      </c>
      <c r="I802" t="s">
        <v>22</v>
      </c>
      <c r="J802" t="s">
        <v>1862</v>
      </c>
      <c r="K802" t="str">
        <f>IF(I802="Trung bình",'Huong dan giao do an'!$B$8,IF(I802="Khá",'Huong dan giao do an'!$B$9,'Huong dan giao do an'!$B$10))</f>
        <v>Tối thiểu 4 actor; 10-14 use case; 8-12 bảng; 3 quy trình lõi; phân quyền chi tiết; 2 báo cáo; tích hợp 1 dịch vụ; &gt;=35 test case; CI/CD hoặc deploy cloud.</v>
      </c>
      <c r="L802" t="str">
        <f>'Huong dan giao do an'!$B$31</f>
        <v>Bắt buộc: Charter/PMP; SRS + scope/WBS; Gantt/baseline; effort-cost budget; RACI/timesheet; quality-test-defect; communication/minutes; risk register; procurement; change log; closure/lessons learned.</v>
      </c>
      <c r="M802" t="str">
        <f>'Huong dan giao do an'!$B$33</f>
        <v>Tuần 1: 07.09–13.09.2026; Tuần 2: 14.09–20.09.2026; Tuần 3: 21.09–27.09.2026; Tuần 4: 28.09–04.10.2026; Tuần 5: 05.10–11.10.2026; Tuần 6: 12.10–18.10.2026; Tuần 7: 19.10–25.10.2026; Tuần 8: 26.10–01.11.2026.</v>
      </c>
      <c r="N8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2" s="17" t="str">
        <f t="shared" si="12"/>
        <v>Còn trống</v>
      </c>
    </row>
    <row r="803" spans="1:16" x14ac:dyDescent="0.3">
      <c r="A803">
        <v>802</v>
      </c>
      <c r="B803" t="s">
        <v>1857</v>
      </c>
      <c r="C803" t="s">
        <v>1863</v>
      </c>
      <c r="D803" t="s">
        <v>1864</v>
      </c>
      <c r="E803" t="s">
        <v>45</v>
      </c>
      <c r="F803" t="s">
        <v>1865</v>
      </c>
      <c r="G803" t="s">
        <v>1866</v>
      </c>
      <c r="H803" t="str">
        <f>'Huong dan giao do an'!$B$14</f>
        <v>5 SV (vai trò chính): 1 PM/Scrum Master kiêm Integration; 2 BA/PO; 3 UI-UX + Frontend; 4 Backend/API + DevOps; 5 Database + QA/Tester. Mỗi SV có nhiệm vụ phụ và minh chứng cá nhân.</v>
      </c>
      <c r="I803" t="s">
        <v>29</v>
      </c>
      <c r="J803" t="s">
        <v>1867</v>
      </c>
      <c r="K803" t="str">
        <f>IF(I803="Trung bình",'Huong dan giao do an'!$B$8,IF(I803="Khá",'Huong dan giao do an'!$B$9,'Huong dan giao do an'!$B$10))</f>
        <v>Tối thiểu 5 actor; 14-18 use case; 10-15 bảng; 4 quy trình; tích hợp ngoài/realtime hoặc xử lý nâng cao; 3 báo cáo; &gt;=45 test case; logging, backup và deploy.</v>
      </c>
      <c r="L803" t="str">
        <f>'Huong dan giao do an'!$B$31</f>
        <v>Bắt buộc: Charter/PMP; SRS + scope/WBS; Gantt/baseline; effort-cost budget; RACI/timesheet; quality-test-defect; communication/minutes; risk register; procurement; change log; closure/lessons learned.</v>
      </c>
      <c r="M803" t="str">
        <f>'Huong dan giao do an'!$B$33</f>
        <v>Tuần 1: 07.09–13.09.2026; Tuần 2: 14.09–20.09.2026; Tuần 3: 21.09–27.09.2026; Tuần 4: 28.09–04.10.2026; Tuần 5: 05.10–11.10.2026; Tuần 6: 12.10–18.10.2026; Tuần 7: 19.10–25.10.2026; Tuần 8: 26.10–01.11.2026.</v>
      </c>
      <c r="N8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3" s="17" t="str">
        <f t="shared" si="12"/>
        <v>Còn trống</v>
      </c>
    </row>
    <row r="804" spans="1:16" x14ac:dyDescent="0.3">
      <c r="A804">
        <v>803</v>
      </c>
      <c r="B804" t="s">
        <v>1857</v>
      </c>
      <c r="C804" t="s">
        <v>1868</v>
      </c>
      <c r="D804" t="s">
        <v>1869</v>
      </c>
      <c r="E804" t="s">
        <v>19</v>
      </c>
      <c r="F804" t="s">
        <v>1870</v>
      </c>
      <c r="G804" t="s">
        <v>1871</v>
      </c>
      <c r="H804" t="str">
        <f>'Huong dan giao do an'!$B$14</f>
        <v>5 SV (vai trò chính): 1 PM/Scrum Master kiêm Integration; 2 BA/PO; 3 UI-UX + Frontend; 4 Backend/API + DevOps; 5 Database + QA/Tester. Mỗi SV có nhiệm vụ phụ và minh chứng cá nhân.</v>
      </c>
      <c r="I804" t="s">
        <v>36</v>
      </c>
      <c r="J804" t="s">
        <v>1872</v>
      </c>
      <c r="K804" t="str">
        <f>IF(I804="Trung bình",'Huong dan giao do an'!$B$8,IF(I804="Khá",'Huong dan giao do an'!$B$9,'Huong dan giao do an'!$B$10))</f>
        <v>Tối thiểu 3 actor; 8-10 use case; 6-8 bảng dữ liệu; 2 quy trình lõi; đăng nhập/RBAC; 1 dashboard; 1 báo cáo; &gt;=25 test case; triển khai bản demo.</v>
      </c>
      <c r="L804" t="str">
        <f>'Huong dan giao do an'!$B$31</f>
        <v>Bắt buộc: Charter/PMP; SRS + scope/WBS; Gantt/baseline; effort-cost budget; RACI/timesheet; quality-test-defect; communication/minutes; risk register; procurement; change log; closure/lessons learned.</v>
      </c>
      <c r="M804" t="str">
        <f>'Huong dan giao do an'!$B$33</f>
        <v>Tuần 1: 07.09–13.09.2026; Tuần 2: 14.09–20.09.2026; Tuần 3: 21.09–27.09.2026; Tuần 4: 28.09–04.10.2026; Tuần 5: 05.10–11.10.2026; Tuần 6: 12.10–18.10.2026; Tuần 7: 19.10–25.10.2026; Tuần 8: 26.10–01.11.2026.</v>
      </c>
      <c r="N8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4" s="17" t="str">
        <f t="shared" si="12"/>
        <v>Còn trống</v>
      </c>
    </row>
    <row r="805" spans="1:16" x14ac:dyDescent="0.3">
      <c r="A805">
        <v>804</v>
      </c>
      <c r="B805" t="s">
        <v>1857</v>
      </c>
      <c r="C805" t="s">
        <v>1873</v>
      </c>
      <c r="D805" t="s">
        <v>1874</v>
      </c>
      <c r="E805" t="s">
        <v>26</v>
      </c>
      <c r="F805" t="s">
        <v>1875</v>
      </c>
      <c r="G805" t="s">
        <v>1876</v>
      </c>
      <c r="H805" t="str">
        <f>'Huong dan giao do an'!$B$14</f>
        <v>5 SV (vai trò chính): 1 PM/Scrum Master kiêm Integration; 2 BA/PO; 3 UI-UX + Frontend; 4 Backend/API + DevOps; 5 Database + QA/Tester. Mỗi SV có nhiệm vụ phụ và minh chứng cá nhân.</v>
      </c>
      <c r="I805" t="s">
        <v>22</v>
      </c>
      <c r="J805" t="s">
        <v>1862</v>
      </c>
      <c r="K805" t="str">
        <f>IF(I805="Trung bình",'Huong dan giao do an'!$B$8,IF(I805="Khá",'Huong dan giao do an'!$B$9,'Huong dan giao do an'!$B$10))</f>
        <v>Tối thiểu 4 actor; 10-14 use case; 8-12 bảng; 3 quy trình lõi; phân quyền chi tiết; 2 báo cáo; tích hợp 1 dịch vụ; &gt;=35 test case; CI/CD hoặc deploy cloud.</v>
      </c>
      <c r="L805" t="str">
        <f>'Huong dan giao do an'!$B$31</f>
        <v>Bắt buộc: Charter/PMP; SRS + scope/WBS; Gantt/baseline; effort-cost budget; RACI/timesheet; quality-test-defect; communication/minutes; risk register; procurement; change log; closure/lessons learned.</v>
      </c>
      <c r="M805" t="str">
        <f>'Huong dan giao do an'!$B$33</f>
        <v>Tuần 1: 07.09–13.09.2026; Tuần 2: 14.09–20.09.2026; Tuần 3: 21.09–27.09.2026; Tuần 4: 28.09–04.10.2026; Tuần 5: 05.10–11.10.2026; Tuần 6: 12.10–18.10.2026; Tuần 7: 19.10–25.10.2026; Tuần 8: 26.10–01.11.2026.</v>
      </c>
      <c r="N8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5" s="17" t="str">
        <f t="shared" si="12"/>
        <v>Còn trống</v>
      </c>
    </row>
    <row r="806" spans="1:16" x14ac:dyDescent="0.3">
      <c r="A806">
        <v>805</v>
      </c>
      <c r="B806" t="s">
        <v>1857</v>
      </c>
      <c r="C806" t="s">
        <v>1877</v>
      </c>
      <c r="D806" t="s">
        <v>1878</v>
      </c>
      <c r="E806" t="s">
        <v>33</v>
      </c>
      <c r="F806" t="s">
        <v>1879</v>
      </c>
      <c r="G806" t="s">
        <v>1880</v>
      </c>
      <c r="H806" t="str">
        <f>'Huong dan giao do an'!$B$14</f>
        <v>5 SV (vai trò chính): 1 PM/Scrum Master kiêm Integration; 2 BA/PO; 3 UI-UX + Frontend; 4 Backend/API + DevOps; 5 Database + QA/Tester. Mỗi SV có nhiệm vụ phụ và minh chứng cá nhân.</v>
      </c>
      <c r="I806" t="s">
        <v>29</v>
      </c>
      <c r="J806" t="s">
        <v>1867</v>
      </c>
      <c r="K806" t="str">
        <f>IF(I806="Trung bình",'Huong dan giao do an'!$B$8,IF(I806="Khá",'Huong dan giao do an'!$B$9,'Huong dan giao do an'!$B$10))</f>
        <v>Tối thiểu 5 actor; 14-18 use case; 10-15 bảng; 4 quy trình; tích hợp ngoài/realtime hoặc xử lý nâng cao; 3 báo cáo; &gt;=45 test case; logging, backup và deploy.</v>
      </c>
      <c r="L806" t="str">
        <f>'Huong dan giao do an'!$B$31</f>
        <v>Bắt buộc: Charter/PMP; SRS + scope/WBS; Gantt/baseline; effort-cost budget; RACI/timesheet; quality-test-defect; communication/minutes; risk register; procurement; change log; closure/lessons learned.</v>
      </c>
      <c r="M806" t="str">
        <f>'Huong dan giao do an'!$B$33</f>
        <v>Tuần 1: 07.09–13.09.2026; Tuần 2: 14.09–20.09.2026; Tuần 3: 21.09–27.09.2026; Tuần 4: 28.09–04.10.2026; Tuần 5: 05.10–11.10.2026; Tuần 6: 12.10–18.10.2026; Tuần 7: 19.10–25.10.2026; Tuần 8: 26.10–01.11.2026.</v>
      </c>
      <c r="N8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6" s="17" t="str">
        <f t="shared" si="12"/>
        <v>Còn trống</v>
      </c>
    </row>
    <row r="807" spans="1:16" x14ac:dyDescent="0.3">
      <c r="A807">
        <v>806</v>
      </c>
      <c r="B807" t="s">
        <v>1857</v>
      </c>
      <c r="C807" t="s">
        <v>1881</v>
      </c>
      <c r="D807" t="s">
        <v>1882</v>
      </c>
      <c r="E807" t="s">
        <v>40</v>
      </c>
      <c r="F807" t="s">
        <v>1860</v>
      </c>
      <c r="G807" t="s">
        <v>1883</v>
      </c>
      <c r="H807" t="str">
        <f>'Huong dan giao do an'!$B$14</f>
        <v>5 SV (vai trò chính): 1 PM/Scrum Master kiêm Integration; 2 BA/PO; 3 UI-UX + Frontend; 4 Backend/API + DevOps; 5 Database + QA/Tester. Mỗi SV có nhiệm vụ phụ và minh chứng cá nhân.</v>
      </c>
      <c r="I807" t="s">
        <v>36</v>
      </c>
      <c r="J807" t="s">
        <v>1872</v>
      </c>
      <c r="K807" t="str">
        <f>IF(I807="Trung bình",'Huong dan giao do an'!$B$8,IF(I807="Khá",'Huong dan giao do an'!$B$9,'Huong dan giao do an'!$B$10))</f>
        <v>Tối thiểu 3 actor; 8-10 use case; 6-8 bảng dữ liệu; 2 quy trình lõi; đăng nhập/RBAC; 1 dashboard; 1 báo cáo; &gt;=25 test case; triển khai bản demo.</v>
      </c>
      <c r="L807" t="str">
        <f>'Huong dan giao do an'!$B$31</f>
        <v>Bắt buộc: Charter/PMP; SRS + scope/WBS; Gantt/baseline; effort-cost budget; RACI/timesheet; quality-test-defect; communication/minutes; risk register; procurement; change log; closure/lessons learned.</v>
      </c>
      <c r="M807" t="str">
        <f>'Huong dan giao do an'!$B$33</f>
        <v>Tuần 1: 07.09–13.09.2026; Tuần 2: 14.09–20.09.2026; Tuần 3: 21.09–27.09.2026; Tuần 4: 28.09–04.10.2026; Tuần 5: 05.10–11.10.2026; Tuần 6: 12.10–18.10.2026; Tuần 7: 19.10–25.10.2026; Tuần 8: 26.10–01.11.2026.</v>
      </c>
      <c r="N8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7" s="17" t="str">
        <f t="shared" si="12"/>
        <v>Còn trống</v>
      </c>
    </row>
    <row r="808" spans="1:16" x14ac:dyDescent="0.3">
      <c r="A808">
        <v>807</v>
      </c>
      <c r="B808" t="s">
        <v>1857</v>
      </c>
      <c r="C808" t="s">
        <v>1884</v>
      </c>
      <c r="D808" t="s">
        <v>1885</v>
      </c>
      <c r="E808" t="s">
        <v>45</v>
      </c>
      <c r="F808" t="s">
        <v>1865</v>
      </c>
      <c r="G808" t="s">
        <v>1886</v>
      </c>
      <c r="H808" t="str">
        <f>'Huong dan giao do an'!$B$14</f>
        <v>5 SV (vai trò chính): 1 PM/Scrum Master kiêm Integration; 2 BA/PO; 3 UI-UX + Frontend; 4 Backend/API + DevOps; 5 Database + QA/Tester. Mỗi SV có nhiệm vụ phụ và minh chứng cá nhân.</v>
      </c>
      <c r="I808" t="s">
        <v>22</v>
      </c>
      <c r="J808" t="s">
        <v>1862</v>
      </c>
      <c r="K808" t="str">
        <f>IF(I808="Trung bình",'Huong dan giao do an'!$B$8,IF(I808="Khá",'Huong dan giao do an'!$B$9,'Huong dan giao do an'!$B$10))</f>
        <v>Tối thiểu 4 actor; 10-14 use case; 8-12 bảng; 3 quy trình lõi; phân quyền chi tiết; 2 báo cáo; tích hợp 1 dịch vụ; &gt;=35 test case; CI/CD hoặc deploy cloud.</v>
      </c>
      <c r="L808" t="str">
        <f>'Huong dan giao do an'!$B$31</f>
        <v>Bắt buộc: Charter/PMP; SRS + scope/WBS; Gantt/baseline; effort-cost budget; RACI/timesheet; quality-test-defect; communication/minutes; risk register; procurement; change log; closure/lessons learned.</v>
      </c>
      <c r="M808" t="str">
        <f>'Huong dan giao do an'!$B$33</f>
        <v>Tuần 1: 07.09–13.09.2026; Tuần 2: 14.09–20.09.2026; Tuần 3: 21.09–27.09.2026; Tuần 4: 28.09–04.10.2026; Tuần 5: 05.10–11.10.2026; Tuần 6: 12.10–18.10.2026; Tuần 7: 19.10–25.10.2026; Tuần 8: 26.10–01.11.2026.</v>
      </c>
      <c r="N8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8" s="17" t="str">
        <f t="shared" si="12"/>
        <v>Còn trống</v>
      </c>
    </row>
    <row r="809" spans="1:16" x14ac:dyDescent="0.3">
      <c r="A809">
        <v>808</v>
      </c>
      <c r="B809" t="s">
        <v>1857</v>
      </c>
      <c r="C809" t="s">
        <v>1887</v>
      </c>
      <c r="D809" t="s">
        <v>1888</v>
      </c>
      <c r="E809" t="s">
        <v>19</v>
      </c>
      <c r="F809" t="s">
        <v>1870</v>
      </c>
      <c r="G809" t="s">
        <v>1889</v>
      </c>
      <c r="H809" t="str">
        <f>'Huong dan giao do an'!$B$14</f>
        <v>5 SV (vai trò chính): 1 PM/Scrum Master kiêm Integration; 2 BA/PO; 3 UI-UX + Frontend; 4 Backend/API + DevOps; 5 Database + QA/Tester. Mỗi SV có nhiệm vụ phụ và minh chứng cá nhân.</v>
      </c>
      <c r="I809" t="s">
        <v>29</v>
      </c>
      <c r="J809" t="s">
        <v>1867</v>
      </c>
      <c r="K809" t="str">
        <f>IF(I809="Trung bình",'Huong dan giao do an'!$B$8,IF(I809="Khá",'Huong dan giao do an'!$B$9,'Huong dan giao do an'!$B$10))</f>
        <v>Tối thiểu 5 actor; 14-18 use case; 10-15 bảng; 4 quy trình; tích hợp ngoài/realtime hoặc xử lý nâng cao; 3 báo cáo; &gt;=45 test case; logging, backup và deploy.</v>
      </c>
      <c r="L809" t="str">
        <f>'Huong dan giao do an'!$B$31</f>
        <v>Bắt buộc: Charter/PMP; SRS + scope/WBS; Gantt/baseline; effort-cost budget; RACI/timesheet; quality-test-defect; communication/minutes; risk register; procurement; change log; closure/lessons learned.</v>
      </c>
      <c r="M809" t="str">
        <f>'Huong dan giao do an'!$B$33</f>
        <v>Tuần 1: 07.09–13.09.2026; Tuần 2: 14.09–20.09.2026; Tuần 3: 21.09–27.09.2026; Tuần 4: 28.09–04.10.2026; Tuần 5: 05.10–11.10.2026; Tuần 6: 12.10–18.10.2026; Tuần 7: 19.10–25.10.2026; Tuần 8: 26.10–01.11.2026.</v>
      </c>
      <c r="N8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09" s="17" t="str">
        <f t="shared" si="12"/>
        <v>Còn trống</v>
      </c>
    </row>
    <row r="810" spans="1:16" x14ac:dyDescent="0.3">
      <c r="A810">
        <v>809</v>
      </c>
      <c r="B810" t="s">
        <v>1857</v>
      </c>
      <c r="C810" t="s">
        <v>1890</v>
      </c>
      <c r="D810" t="s">
        <v>1891</v>
      </c>
      <c r="E810" t="s">
        <v>26</v>
      </c>
      <c r="F810" t="s">
        <v>1875</v>
      </c>
      <c r="G810" t="s">
        <v>1892</v>
      </c>
      <c r="H810" t="str">
        <f>'Huong dan giao do an'!$B$14</f>
        <v>5 SV (vai trò chính): 1 PM/Scrum Master kiêm Integration; 2 BA/PO; 3 UI-UX + Frontend; 4 Backend/API + DevOps; 5 Database + QA/Tester. Mỗi SV có nhiệm vụ phụ và minh chứng cá nhân.</v>
      </c>
      <c r="I810" t="s">
        <v>36</v>
      </c>
      <c r="J810" t="s">
        <v>1872</v>
      </c>
      <c r="K810" t="str">
        <f>IF(I810="Trung bình",'Huong dan giao do an'!$B$8,IF(I810="Khá",'Huong dan giao do an'!$B$9,'Huong dan giao do an'!$B$10))</f>
        <v>Tối thiểu 3 actor; 8-10 use case; 6-8 bảng dữ liệu; 2 quy trình lõi; đăng nhập/RBAC; 1 dashboard; 1 báo cáo; &gt;=25 test case; triển khai bản demo.</v>
      </c>
      <c r="L810" t="str">
        <f>'Huong dan giao do an'!$B$31</f>
        <v>Bắt buộc: Charter/PMP; SRS + scope/WBS; Gantt/baseline; effort-cost budget; RACI/timesheet; quality-test-defect; communication/minutes; risk register; procurement; change log; closure/lessons learned.</v>
      </c>
      <c r="M810" t="str">
        <f>'Huong dan giao do an'!$B$33</f>
        <v>Tuần 1: 07.09–13.09.2026; Tuần 2: 14.09–20.09.2026; Tuần 3: 21.09–27.09.2026; Tuần 4: 28.09–04.10.2026; Tuần 5: 05.10–11.10.2026; Tuần 6: 12.10–18.10.2026; Tuần 7: 19.10–25.10.2026; Tuần 8: 26.10–01.11.2026.</v>
      </c>
      <c r="N8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0" s="17" t="str">
        <f t="shared" si="12"/>
        <v>Còn trống</v>
      </c>
    </row>
    <row r="811" spans="1:16" x14ac:dyDescent="0.3">
      <c r="A811">
        <v>810</v>
      </c>
      <c r="B811" t="s">
        <v>1857</v>
      </c>
      <c r="C811" t="s">
        <v>1893</v>
      </c>
      <c r="D811" t="s">
        <v>1894</v>
      </c>
      <c r="E811" t="s">
        <v>33</v>
      </c>
      <c r="F811" t="s">
        <v>1879</v>
      </c>
      <c r="G811" t="s">
        <v>1895</v>
      </c>
      <c r="H811" t="str">
        <f>'Huong dan giao do an'!$B$14</f>
        <v>5 SV (vai trò chính): 1 PM/Scrum Master kiêm Integration; 2 BA/PO; 3 UI-UX + Frontend; 4 Backend/API + DevOps; 5 Database + QA/Tester. Mỗi SV có nhiệm vụ phụ và minh chứng cá nhân.</v>
      </c>
      <c r="I811" t="s">
        <v>22</v>
      </c>
      <c r="J811" t="s">
        <v>1862</v>
      </c>
      <c r="K811" t="str">
        <f>IF(I811="Trung bình",'Huong dan giao do an'!$B$8,IF(I811="Khá",'Huong dan giao do an'!$B$9,'Huong dan giao do an'!$B$10))</f>
        <v>Tối thiểu 4 actor; 10-14 use case; 8-12 bảng; 3 quy trình lõi; phân quyền chi tiết; 2 báo cáo; tích hợp 1 dịch vụ; &gt;=35 test case; CI/CD hoặc deploy cloud.</v>
      </c>
      <c r="L811" t="str">
        <f>'Huong dan giao do an'!$B$31</f>
        <v>Bắt buộc: Charter/PMP; SRS + scope/WBS; Gantt/baseline; effort-cost budget; RACI/timesheet; quality-test-defect; communication/minutes; risk register; procurement; change log; closure/lessons learned.</v>
      </c>
      <c r="M811" t="str">
        <f>'Huong dan giao do an'!$B$33</f>
        <v>Tuần 1: 07.09–13.09.2026; Tuần 2: 14.09–20.09.2026; Tuần 3: 21.09–27.09.2026; Tuần 4: 28.09–04.10.2026; Tuần 5: 05.10–11.10.2026; Tuần 6: 12.10–18.10.2026; Tuần 7: 19.10–25.10.2026; Tuần 8: 26.10–01.11.2026.</v>
      </c>
      <c r="N8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1" s="17" t="str">
        <f t="shared" si="12"/>
        <v>Còn trống</v>
      </c>
    </row>
    <row r="812" spans="1:16" x14ac:dyDescent="0.3">
      <c r="A812">
        <v>811</v>
      </c>
      <c r="B812" t="s">
        <v>1857</v>
      </c>
      <c r="C812" t="s">
        <v>1896</v>
      </c>
      <c r="D812" t="s">
        <v>1897</v>
      </c>
      <c r="E812" t="s">
        <v>40</v>
      </c>
      <c r="F812" t="s">
        <v>1860</v>
      </c>
      <c r="G812" t="s">
        <v>1898</v>
      </c>
      <c r="H812" t="str">
        <f>'Huong dan giao do an'!$B$14</f>
        <v>5 SV (vai trò chính): 1 PM/Scrum Master kiêm Integration; 2 BA/PO; 3 UI-UX + Frontend; 4 Backend/API + DevOps; 5 Database + QA/Tester. Mỗi SV có nhiệm vụ phụ và minh chứng cá nhân.</v>
      </c>
      <c r="I812" t="s">
        <v>29</v>
      </c>
      <c r="J812" t="s">
        <v>1867</v>
      </c>
      <c r="K812" t="str">
        <f>IF(I812="Trung bình",'Huong dan giao do an'!$B$8,IF(I812="Khá",'Huong dan giao do an'!$B$9,'Huong dan giao do an'!$B$10))</f>
        <v>Tối thiểu 5 actor; 14-18 use case; 10-15 bảng; 4 quy trình; tích hợp ngoài/realtime hoặc xử lý nâng cao; 3 báo cáo; &gt;=45 test case; logging, backup và deploy.</v>
      </c>
      <c r="L812" t="str">
        <f>'Huong dan giao do an'!$B$31</f>
        <v>Bắt buộc: Charter/PMP; SRS + scope/WBS; Gantt/baseline; effort-cost budget; RACI/timesheet; quality-test-defect; communication/minutes; risk register; procurement; change log; closure/lessons learned.</v>
      </c>
      <c r="M812" t="str">
        <f>'Huong dan giao do an'!$B$33</f>
        <v>Tuần 1: 07.09–13.09.2026; Tuần 2: 14.09–20.09.2026; Tuần 3: 21.09–27.09.2026; Tuần 4: 28.09–04.10.2026; Tuần 5: 05.10–11.10.2026; Tuần 6: 12.10–18.10.2026; Tuần 7: 19.10–25.10.2026; Tuần 8: 26.10–01.11.2026.</v>
      </c>
      <c r="N8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2" s="17" t="str">
        <f t="shared" si="12"/>
        <v>Còn trống</v>
      </c>
    </row>
    <row r="813" spans="1:16" x14ac:dyDescent="0.3">
      <c r="A813">
        <v>812</v>
      </c>
      <c r="B813" t="s">
        <v>1857</v>
      </c>
      <c r="C813" t="s">
        <v>1899</v>
      </c>
      <c r="D813" t="s">
        <v>1900</v>
      </c>
      <c r="E813" t="s">
        <v>45</v>
      </c>
      <c r="F813" t="s">
        <v>1865</v>
      </c>
      <c r="G813" t="s">
        <v>1901</v>
      </c>
      <c r="H813" t="str">
        <f>'Huong dan giao do an'!$B$14</f>
        <v>5 SV (vai trò chính): 1 PM/Scrum Master kiêm Integration; 2 BA/PO; 3 UI-UX + Frontend; 4 Backend/API + DevOps; 5 Database + QA/Tester. Mỗi SV có nhiệm vụ phụ và minh chứng cá nhân.</v>
      </c>
      <c r="I813" t="s">
        <v>36</v>
      </c>
      <c r="J813" t="s">
        <v>1872</v>
      </c>
      <c r="K813" t="str">
        <f>IF(I813="Trung bình",'Huong dan giao do an'!$B$8,IF(I813="Khá",'Huong dan giao do an'!$B$9,'Huong dan giao do an'!$B$10))</f>
        <v>Tối thiểu 3 actor; 8-10 use case; 6-8 bảng dữ liệu; 2 quy trình lõi; đăng nhập/RBAC; 1 dashboard; 1 báo cáo; &gt;=25 test case; triển khai bản demo.</v>
      </c>
      <c r="L813" t="str">
        <f>'Huong dan giao do an'!$B$31</f>
        <v>Bắt buộc: Charter/PMP; SRS + scope/WBS; Gantt/baseline; effort-cost budget; RACI/timesheet; quality-test-defect; communication/minutes; risk register; procurement; change log; closure/lessons learned.</v>
      </c>
      <c r="M813" t="str">
        <f>'Huong dan giao do an'!$B$33</f>
        <v>Tuần 1: 07.09–13.09.2026; Tuần 2: 14.09–20.09.2026; Tuần 3: 21.09–27.09.2026; Tuần 4: 28.09–04.10.2026; Tuần 5: 05.10–11.10.2026; Tuần 6: 12.10–18.10.2026; Tuần 7: 19.10–25.10.2026; Tuần 8: 26.10–01.11.2026.</v>
      </c>
      <c r="N8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3" s="17" t="str">
        <f t="shared" si="12"/>
        <v>Còn trống</v>
      </c>
    </row>
    <row r="814" spans="1:16" x14ac:dyDescent="0.3">
      <c r="A814">
        <v>813</v>
      </c>
      <c r="B814" t="s">
        <v>1857</v>
      </c>
      <c r="C814" t="s">
        <v>1902</v>
      </c>
      <c r="D814" t="s">
        <v>1903</v>
      </c>
      <c r="E814" t="s">
        <v>19</v>
      </c>
      <c r="F814" t="s">
        <v>1870</v>
      </c>
      <c r="G814" t="s">
        <v>1904</v>
      </c>
      <c r="H814" t="str">
        <f>'Huong dan giao do an'!$B$14</f>
        <v>5 SV (vai trò chính): 1 PM/Scrum Master kiêm Integration; 2 BA/PO; 3 UI-UX + Frontend; 4 Backend/API + DevOps; 5 Database + QA/Tester. Mỗi SV có nhiệm vụ phụ và minh chứng cá nhân.</v>
      </c>
      <c r="I814" t="s">
        <v>22</v>
      </c>
      <c r="J814" t="s">
        <v>1862</v>
      </c>
      <c r="K814" t="str">
        <f>IF(I814="Trung bình",'Huong dan giao do an'!$B$8,IF(I814="Khá",'Huong dan giao do an'!$B$9,'Huong dan giao do an'!$B$10))</f>
        <v>Tối thiểu 4 actor; 10-14 use case; 8-12 bảng; 3 quy trình lõi; phân quyền chi tiết; 2 báo cáo; tích hợp 1 dịch vụ; &gt;=35 test case; CI/CD hoặc deploy cloud.</v>
      </c>
      <c r="L814" t="str">
        <f>'Huong dan giao do an'!$B$31</f>
        <v>Bắt buộc: Charter/PMP; SRS + scope/WBS; Gantt/baseline; effort-cost budget; RACI/timesheet; quality-test-defect; communication/minutes; risk register; procurement; change log; closure/lessons learned.</v>
      </c>
      <c r="M814" t="str">
        <f>'Huong dan giao do an'!$B$33</f>
        <v>Tuần 1: 07.09–13.09.2026; Tuần 2: 14.09–20.09.2026; Tuần 3: 21.09–27.09.2026; Tuần 4: 28.09–04.10.2026; Tuần 5: 05.10–11.10.2026; Tuần 6: 12.10–18.10.2026; Tuần 7: 19.10–25.10.2026; Tuần 8: 26.10–01.11.2026.</v>
      </c>
      <c r="N8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4" s="17" t="str">
        <f t="shared" si="12"/>
        <v>Còn trống</v>
      </c>
    </row>
    <row r="815" spans="1:16" x14ac:dyDescent="0.3">
      <c r="A815">
        <v>814</v>
      </c>
      <c r="B815" t="s">
        <v>1857</v>
      </c>
      <c r="C815" t="s">
        <v>1905</v>
      </c>
      <c r="D815" t="s">
        <v>1906</v>
      </c>
      <c r="E815" t="s">
        <v>26</v>
      </c>
      <c r="F815" t="s">
        <v>1875</v>
      </c>
      <c r="G815" t="s">
        <v>1907</v>
      </c>
      <c r="H815" t="str">
        <f>'Huong dan giao do an'!$B$14</f>
        <v>5 SV (vai trò chính): 1 PM/Scrum Master kiêm Integration; 2 BA/PO; 3 UI-UX + Frontend; 4 Backend/API + DevOps; 5 Database + QA/Tester. Mỗi SV có nhiệm vụ phụ và minh chứng cá nhân.</v>
      </c>
      <c r="I815" t="s">
        <v>29</v>
      </c>
      <c r="J815" t="s">
        <v>1867</v>
      </c>
      <c r="K815" t="str">
        <f>IF(I815="Trung bình",'Huong dan giao do an'!$B$8,IF(I815="Khá",'Huong dan giao do an'!$B$9,'Huong dan giao do an'!$B$10))</f>
        <v>Tối thiểu 5 actor; 14-18 use case; 10-15 bảng; 4 quy trình; tích hợp ngoài/realtime hoặc xử lý nâng cao; 3 báo cáo; &gt;=45 test case; logging, backup và deploy.</v>
      </c>
      <c r="L815" t="str">
        <f>'Huong dan giao do an'!$B$31</f>
        <v>Bắt buộc: Charter/PMP; SRS + scope/WBS; Gantt/baseline; effort-cost budget; RACI/timesheet; quality-test-defect; communication/minutes; risk register; procurement; change log; closure/lessons learned.</v>
      </c>
      <c r="M815" t="str">
        <f>'Huong dan giao do an'!$B$33</f>
        <v>Tuần 1: 07.09–13.09.2026; Tuần 2: 14.09–20.09.2026; Tuần 3: 21.09–27.09.2026; Tuần 4: 28.09–04.10.2026; Tuần 5: 05.10–11.10.2026; Tuần 6: 12.10–18.10.2026; Tuần 7: 19.10–25.10.2026; Tuần 8: 26.10–01.11.2026.</v>
      </c>
      <c r="N8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5" s="17" t="str">
        <f t="shared" si="12"/>
        <v>Còn trống</v>
      </c>
    </row>
    <row r="816" spans="1:16" x14ac:dyDescent="0.3">
      <c r="A816">
        <v>815</v>
      </c>
      <c r="B816" t="s">
        <v>1857</v>
      </c>
      <c r="C816" t="s">
        <v>1908</v>
      </c>
      <c r="D816" t="s">
        <v>1909</v>
      </c>
      <c r="E816" t="s">
        <v>33</v>
      </c>
      <c r="F816" t="s">
        <v>1879</v>
      </c>
      <c r="G816" t="s">
        <v>1910</v>
      </c>
      <c r="H816" t="str">
        <f>'Huong dan giao do an'!$B$14</f>
        <v>5 SV (vai trò chính): 1 PM/Scrum Master kiêm Integration; 2 BA/PO; 3 UI-UX + Frontend; 4 Backend/API + DevOps; 5 Database + QA/Tester. Mỗi SV có nhiệm vụ phụ và minh chứng cá nhân.</v>
      </c>
      <c r="I816" t="s">
        <v>36</v>
      </c>
      <c r="J816" t="s">
        <v>1872</v>
      </c>
      <c r="K816" t="str">
        <f>IF(I816="Trung bình",'Huong dan giao do an'!$B$8,IF(I816="Khá",'Huong dan giao do an'!$B$9,'Huong dan giao do an'!$B$10))</f>
        <v>Tối thiểu 3 actor; 8-10 use case; 6-8 bảng dữ liệu; 2 quy trình lõi; đăng nhập/RBAC; 1 dashboard; 1 báo cáo; &gt;=25 test case; triển khai bản demo.</v>
      </c>
      <c r="L816" t="str">
        <f>'Huong dan giao do an'!$B$31</f>
        <v>Bắt buộc: Charter/PMP; SRS + scope/WBS; Gantt/baseline; effort-cost budget; RACI/timesheet; quality-test-defect; communication/minutes; risk register; procurement; change log; closure/lessons learned.</v>
      </c>
      <c r="M816" t="str">
        <f>'Huong dan giao do an'!$B$33</f>
        <v>Tuần 1: 07.09–13.09.2026; Tuần 2: 14.09–20.09.2026; Tuần 3: 21.09–27.09.2026; Tuần 4: 28.09–04.10.2026; Tuần 5: 05.10–11.10.2026; Tuần 6: 12.10–18.10.2026; Tuần 7: 19.10–25.10.2026; Tuần 8: 26.10–01.11.2026.</v>
      </c>
      <c r="N8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6" s="17" t="str">
        <f t="shared" si="12"/>
        <v>Còn trống</v>
      </c>
    </row>
    <row r="817" spans="1:16" x14ac:dyDescent="0.3">
      <c r="A817">
        <v>816</v>
      </c>
      <c r="B817" t="s">
        <v>1857</v>
      </c>
      <c r="C817" t="s">
        <v>1911</v>
      </c>
      <c r="D817" t="s">
        <v>1912</v>
      </c>
      <c r="E817" t="s">
        <v>40</v>
      </c>
      <c r="F817" t="s">
        <v>1860</v>
      </c>
      <c r="G817" t="s">
        <v>1913</v>
      </c>
      <c r="H817" t="str">
        <f>'Huong dan giao do an'!$B$14</f>
        <v>5 SV (vai trò chính): 1 PM/Scrum Master kiêm Integration; 2 BA/PO; 3 UI-UX + Frontend; 4 Backend/API + DevOps; 5 Database + QA/Tester. Mỗi SV có nhiệm vụ phụ và minh chứng cá nhân.</v>
      </c>
      <c r="I817" t="s">
        <v>22</v>
      </c>
      <c r="J817" t="s">
        <v>1862</v>
      </c>
      <c r="K817" t="str">
        <f>IF(I817="Trung bình",'Huong dan giao do an'!$B$8,IF(I817="Khá",'Huong dan giao do an'!$B$9,'Huong dan giao do an'!$B$10))</f>
        <v>Tối thiểu 4 actor; 10-14 use case; 8-12 bảng; 3 quy trình lõi; phân quyền chi tiết; 2 báo cáo; tích hợp 1 dịch vụ; &gt;=35 test case; CI/CD hoặc deploy cloud.</v>
      </c>
      <c r="L817" t="str">
        <f>'Huong dan giao do an'!$B$31</f>
        <v>Bắt buộc: Charter/PMP; SRS + scope/WBS; Gantt/baseline; effort-cost budget; RACI/timesheet; quality-test-defect; communication/minutes; risk register; procurement; change log; closure/lessons learned.</v>
      </c>
      <c r="M817" t="str">
        <f>'Huong dan giao do an'!$B$33</f>
        <v>Tuần 1: 07.09–13.09.2026; Tuần 2: 14.09–20.09.2026; Tuần 3: 21.09–27.09.2026; Tuần 4: 28.09–04.10.2026; Tuần 5: 05.10–11.10.2026; Tuần 6: 12.10–18.10.2026; Tuần 7: 19.10–25.10.2026; Tuần 8: 26.10–01.11.2026.</v>
      </c>
      <c r="N8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7" s="17" t="str">
        <f t="shared" si="12"/>
        <v>Còn trống</v>
      </c>
    </row>
    <row r="818" spans="1:16" x14ac:dyDescent="0.3">
      <c r="A818">
        <v>817</v>
      </c>
      <c r="B818" t="s">
        <v>1857</v>
      </c>
      <c r="C818" t="s">
        <v>1914</v>
      </c>
      <c r="D818" t="s">
        <v>1915</v>
      </c>
      <c r="E818" t="s">
        <v>45</v>
      </c>
      <c r="F818" t="s">
        <v>1865</v>
      </c>
      <c r="G818" t="s">
        <v>1916</v>
      </c>
      <c r="H818" t="str">
        <f>'Huong dan giao do an'!$B$14</f>
        <v>5 SV (vai trò chính): 1 PM/Scrum Master kiêm Integration; 2 BA/PO; 3 UI-UX + Frontend; 4 Backend/API + DevOps; 5 Database + QA/Tester. Mỗi SV có nhiệm vụ phụ và minh chứng cá nhân.</v>
      </c>
      <c r="I818" t="s">
        <v>29</v>
      </c>
      <c r="J818" t="s">
        <v>1867</v>
      </c>
      <c r="K818" t="str">
        <f>IF(I818="Trung bình",'Huong dan giao do an'!$B$8,IF(I818="Khá",'Huong dan giao do an'!$B$9,'Huong dan giao do an'!$B$10))</f>
        <v>Tối thiểu 5 actor; 14-18 use case; 10-15 bảng; 4 quy trình; tích hợp ngoài/realtime hoặc xử lý nâng cao; 3 báo cáo; &gt;=45 test case; logging, backup và deploy.</v>
      </c>
      <c r="L818" t="str">
        <f>'Huong dan giao do an'!$B$31</f>
        <v>Bắt buộc: Charter/PMP; SRS + scope/WBS; Gantt/baseline; effort-cost budget; RACI/timesheet; quality-test-defect; communication/minutes; risk register; procurement; change log; closure/lessons learned.</v>
      </c>
      <c r="M818" t="str">
        <f>'Huong dan giao do an'!$B$33</f>
        <v>Tuần 1: 07.09–13.09.2026; Tuần 2: 14.09–20.09.2026; Tuần 3: 21.09–27.09.2026; Tuần 4: 28.09–04.10.2026; Tuần 5: 05.10–11.10.2026; Tuần 6: 12.10–18.10.2026; Tuần 7: 19.10–25.10.2026; Tuần 8: 26.10–01.11.2026.</v>
      </c>
      <c r="N8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8" s="17" t="str">
        <f t="shared" si="12"/>
        <v>Còn trống</v>
      </c>
    </row>
    <row r="819" spans="1:16" x14ac:dyDescent="0.3">
      <c r="A819">
        <v>818</v>
      </c>
      <c r="B819" t="s">
        <v>1857</v>
      </c>
      <c r="C819" t="s">
        <v>1917</v>
      </c>
      <c r="D819" t="s">
        <v>1918</v>
      </c>
      <c r="E819" t="s">
        <v>19</v>
      </c>
      <c r="F819" t="s">
        <v>1870</v>
      </c>
      <c r="G819" t="s">
        <v>1919</v>
      </c>
      <c r="H819" t="str">
        <f>'Huong dan giao do an'!$B$14</f>
        <v>5 SV (vai trò chính): 1 PM/Scrum Master kiêm Integration; 2 BA/PO; 3 UI-UX + Frontend; 4 Backend/API + DevOps; 5 Database + QA/Tester. Mỗi SV có nhiệm vụ phụ và minh chứng cá nhân.</v>
      </c>
      <c r="I819" t="s">
        <v>36</v>
      </c>
      <c r="J819" t="s">
        <v>1872</v>
      </c>
      <c r="K819" t="str">
        <f>IF(I819="Trung bình",'Huong dan giao do an'!$B$8,IF(I819="Khá",'Huong dan giao do an'!$B$9,'Huong dan giao do an'!$B$10))</f>
        <v>Tối thiểu 3 actor; 8-10 use case; 6-8 bảng dữ liệu; 2 quy trình lõi; đăng nhập/RBAC; 1 dashboard; 1 báo cáo; &gt;=25 test case; triển khai bản demo.</v>
      </c>
      <c r="L819" t="str">
        <f>'Huong dan giao do an'!$B$31</f>
        <v>Bắt buộc: Charter/PMP; SRS + scope/WBS; Gantt/baseline; effort-cost budget; RACI/timesheet; quality-test-defect; communication/minutes; risk register; procurement; change log; closure/lessons learned.</v>
      </c>
      <c r="M819" t="str">
        <f>'Huong dan giao do an'!$B$33</f>
        <v>Tuần 1: 07.09–13.09.2026; Tuần 2: 14.09–20.09.2026; Tuần 3: 21.09–27.09.2026; Tuần 4: 28.09–04.10.2026; Tuần 5: 05.10–11.10.2026; Tuần 6: 12.10–18.10.2026; Tuần 7: 19.10–25.10.2026; Tuần 8: 26.10–01.11.2026.</v>
      </c>
      <c r="N8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19" s="17" t="str">
        <f t="shared" si="12"/>
        <v>Còn trống</v>
      </c>
    </row>
    <row r="820" spans="1:16" x14ac:dyDescent="0.3">
      <c r="A820">
        <v>819</v>
      </c>
      <c r="B820" t="s">
        <v>1857</v>
      </c>
      <c r="C820" t="s">
        <v>1920</v>
      </c>
      <c r="D820" t="s">
        <v>1921</v>
      </c>
      <c r="E820" t="s">
        <v>26</v>
      </c>
      <c r="F820" t="s">
        <v>1875</v>
      </c>
      <c r="G820" t="s">
        <v>1922</v>
      </c>
      <c r="H820" t="str">
        <f>'Huong dan giao do an'!$B$14</f>
        <v>5 SV (vai trò chính): 1 PM/Scrum Master kiêm Integration; 2 BA/PO; 3 UI-UX + Frontend; 4 Backend/API + DevOps; 5 Database + QA/Tester. Mỗi SV có nhiệm vụ phụ và minh chứng cá nhân.</v>
      </c>
      <c r="I820" t="s">
        <v>22</v>
      </c>
      <c r="J820" t="s">
        <v>1862</v>
      </c>
      <c r="K820" t="str">
        <f>IF(I820="Trung bình",'Huong dan giao do an'!$B$8,IF(I820="Khá",'Huong dan giao do an'!$B$9,'Huong dan giao do an'!$B$10))</f>
        <v>Tối thiểu 4 actor; 10-14 use case; 8-12 bảng; 3 quy trình lõi; phân quyền chi tiết; 2 báo cáo; tích hợp 1 dịch vụ; &gt;=35 test case; CI/CD hoặc deploy cloud.</v>
      </c>
      <c r="L820" t="str">
        <f>'Huong dan giao do an'!$B$31</f>
        <v>Bắt buộc: Charter/PMP; SRS + scope/WBS; Gantt/baseline; effort-cost budget; RACI/timesheet; quality-test-defect; communication/minutes; risk register; procurement; change log; closure/lessons learned.</v>
      </c>
      <c r="M820" t="str">
        <f>'Huong dan giao do an'!$B$33</f>
        <v>Tuần 1: 07.09–13.09.2026; Tuần 2: 14.09–20.09.2026; Tuần 3: 21.09–27.09.2026; Tuần 4: 28.09–04.10.2026; Tuần 5: 05.10–11.10.2026; Tuần 6: 12.10–18.10.2026; Tuần 7: 19.10–25.10.2026; Tuần 8: 26.10–01.11.2026.</v>
      </c>
      <c r="N8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0" s="17" t="str">
        <f t="shared" si="12"/>
        <v>Còn trống</v>
      </c>
    </row>
    <row r="821" spans="1:16" x14ac:dyDescent="0.3">
      <c r="A821">
        <v>820</v>
      </c>
      <c r="B821" t="s">
        <v>1857</v>
      </c>
      <c r="C821" t="s">
        <v>1923</v>
      </c>
      <c r="D821" t="s">
        <v>1924</v>
      </c>
      <c r="E821" t="s">
        <v>33</v>
      </c>
      <c r="F821" t="s">
        <v>1879</v>
      </c>
      <c r="G821" t="s">
        <v>1925</v>
      </c>
      <c r="H821" t="str">
        <f>'Huong dan giao do an'!$B$14</f>
        <v>5 SV (vai trò chính): 1 PM/Scrum Master kiêm Integration; 2 BA/PO; 3 UI-UX + Frontend; 4 Backend/API + DevOps; 5 Database + QA/Tester. Mỗi SV có nhiệm vụ phụ và minh chứng cá nhân.</v>
      </c>
      <c r="I821" t="s">
        <v>29</v>
      </c>
      <c r="J821" t="s">
        <v>1867</v>
      </c>
      <c r="K821" t="str">
        <f>IF(I821="Trung bình",'Huong dan giao do an'!$B$8,IF(I821="Khá",'Huong dan giao do an'!$B$9,'Huong dan giao do an'!$B$10))</f>
        <v>Tối thiểu 5 actor; 14-18 use case; 10-15 bảng; 4 quy trình; tích hợp ngoài/realtime hoặc xử lý nâng cao; 3 báo cáo; &gt;=45 test case; logging, backup và deploy.</v>
      </c>
      <c r="L821" t="str">
        <f>'Huong dan giao do an'!$B$31</f>
        <v>Bắt buộc: Charter/PMP; SRS + scope/WBS; Gantt/baseline; effort-cost budget; RACI/timesheet; quality-test-defect; communication/minutes; risk register; procurement; change log; closure/lessons learned.</v>
      </c>
      <c r="M821" t="str">
        <f>'Huong dan giao do an'!$B$33</f>
        <v>Tuần 1: 07.09–13.09.2026; Tuần 2: 14.09–20.09.2026; Tuần 3: 21.09–27.09.2026; Tuần 4: 28.09–04.10.2026; Tuần 5: 05.10–11.10.2026; Tuần 6: 12.10–18.10.2026; Tuần 7: 19.10–25.10.2026; Tuần 8: 26.10–01.11.2026.</v>
      </c>
      <c r="N8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1" s="17" t="str">
        <f t="shared" si="12"/>
        <v>Còn trống</v>
      </c>
    </row>
    <row r="822" spans="1:16" x14ac:dyDescent="0.3">
      <c r="A822">
        <v>821</v>
      </c>
      <c r="B822" t="s">
        <v>1857</v>
      </c>
      <c r="C822" t="s">
        <v>1926</v>
      </c>
      <c r="D822" t="s">
        <v>1927</v>
      </c>
      <c r="E822" t="s">
        <v>40</v>
      </c>
      <c r="F822" t="s">
        <v>1860</v>
      </c>
      <c r="G822" t="s">
        <v>1861</v>
      </c>
      <c r="H822" t="str">
        <f>'Huong dan giao do an'!$B$14</f>
        <v>5 SV (vai trò chính): 1 PM/Scrum Master kiêm Integration; 2 BA/PO; 3 UI-UX + Frontend; 4 Backend/API + DevOps; 5 Database + QA/Tester. Mỗi SV có nhiệm vụ phụ và minh chứng cá nhân.</v>
      </c>
      <c r="I822" t="s">
        <v>22</v>
      </c>
      <c r="J822" t="s">
        <v>1862</v>
      </c>
      <c r="K822" t="str">
        <f>IF(I822="Trung bình",'Huong dan giao do an'!$B$8,IF(I822="Khá",'Huong dan giao do an'!$B$9,'Huong dan giao do an'!$B$10))</f>
        <v>Tối thiểu 4 actor; 10-14 use case; 8-12 bảng; 3 quy trình lõi; phân quyền chi tiết; 2 báo cáo; tích hợp 1 dịch vụ; &gt;=35 test case; CI/CD hoặc deploy cloud.</v>
      </c>
      <c r="L822" t="str">
        <f>'Huong dan giao do an'!$B$31</f>
        <v>Bắt buộc: Charter/PMP; SRS + scope/WBS; Gantt/baseline; effort-cost budget; RACI/timesheet; quality-test-defect; communication/minutes; risk register; procurement; change log; closure/lessons learned.</v>
      </c>
      <c r="M822" t="str">
        <f>'Huong dan giao do an'!$B$33</f>
        <v>Tuần 1: 07.09–13.09.2026; Tuần 2: 14.09–20.09.2026; Tuần 3: 21.09–27.09.2026; Tuần 4: 28.09–04.10.2026; Tuần 5: 05.10–11.10.2026; Tuần 6: 12.10–18.10.2026; Tuần 7: 19.10–25.10.2026; Tuần 8: 26.10–01.11.2026.</v>
      </c>
      <c r="N8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2" s="17" t="str">
        <f t="shared" si="12"/>
        <v>Còn trống</v>
      </c>
    </row>
    <row r="823" spans="1:16" x14ac:dyDescent="0.3">
      <c r="A823">
        <v>822</v>
      </c>
      <c r="B823" t="s">
        <v>1857</v>
      </c>
      <c r="C823" t="s">
        <v>1928</v>
      </c>
      <c r="D823" t="s">
        <v>1929</v>
      </c>
      <c r="E823" t="s">
        <v>45</v>
      </c>
      <c r="F823" t="s">
        <v>1865</v>
      </c>
      <c r="G823" t="s">
        <v>1866</v>
      </c>
      <c r="H823" t="str">
        <f>'Huong dan giao do an'!$B$14</f>
        <v>5 SV (vai trò chính): 1 PM/Scrum Master kiêm Integration; 2 BA/PO; 3 UI-UX + Frontend; 4 Backend/API + DevOps; 5 Database + QA/Tester. Mỗi SV có nhiệm vụ phụ và minh chứng cá nhân.</v>
      </c>
      <c r="I823" t="s">
        <v>29</v>
      </c>
      <c r="J823" t="s">
        <v>1867</v>
      </c>
      <c r="K823" t="str">
        <f>IF(I823="Trung bình",'Huong dan giao do an'!$B$8,IF(I823="Khá",'Huong dan giao do an'!$B$9,'Huong dan giao do an'!$B$10))</f>
        <v>Tối thiểu 5 actor; 14-18 use case; 10-15 bảng; 4 quy trình; tích hợp ngoài/realtime hoặc xử lý nâng cao; 3 báo cáo; &gt;=45 test case; logging, backup và deploy.</v>
      </c>
      <c r="L823" t="str">
        <f>'Huong dan giao do an'!$B$31</f>
        <v>Bắt buộc: Charter/PMP; SRS + scope/WBS; Gantt/baseline; effort-cost budget; RACI/timesheet; quality-test-defect; communication/minutes; risk register; procurement; change log; closure/lessons learned.</v>
      </c>
      <c r="M823" t="str">
        <f>'Huong dan giao do an'!$B$33</f>
        <v>Tuần 1: 07.09–13.09.2026; Tuần 2: 14.09–20.09.2026; Tuần 3: 21.09–27.09.2026; Tuần 4: 28.09–04.10.2026; Tuần 5: 05.10–11.10.2026; Tuần 6: 12.10–18.10.2026; Tuần 7: 19.10–25.10.2026; Tuần 8: 26.10–01.11.2026.</v>
      </c>
      <c r="N8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3" s="17" t="str">
        <f t="shared" si="12"/>
        <v>Còn trống</v>
      </c>
    </row>
    <row r="824" spans="1:16" x14ac:dyDescent="0.3">
      <c r="A824">
        <v>823</v>
      </c>
      <c r="B824" t="s">
        <v>1857</v>
      </c>
      <c r="C824" t="s">
        <v>1930</v>
      </c>
      <c r="D824" t="s">
        <v>1931</v>
      </c>
      <c r="E824" t="s">
        <v>19</v>
      </c>
      <c r="F824" t="s">
        <v>1870</v>
      </c>
      <c r="G824" t="s">
        <v>1871</v>
      </c>
      <c r="H824" t="str">
        <f>'Huong dan giao do an'!$B$14</f>
        <v>5 SV (vai trò chính): 1 PM/Scrum Master kiêm Integration; 2 BA/PO; 3 UI-UX + Frontend; 4 Backend/API + DevOps; 5 Database + QA/Tester. Mỗi SV có nhiệm vụ phụ và minh chứng cá nhân.</v>
      </c>
      <c r="I824" t="s">
        <v>36</v>
      </c>
      <c r="J824" t="s">
        <v>1872</v>
      </c>
      <c r="K824" t="str">
        <f>IF(I824="Trung bình",'Huong dan giao do an'!$B$8,IF(I824="Khá",'Huong dan giao do an'!$B$9,'Huong dan giao do an'!$B$10))</f>
        <v>Tối thiểu 3 actor; 8-10 use case; 6-8 bảng dữ liệu; 2 quy trình lõi; đăng nhập/RBAC; 1 dashboard; 1 báo cáo; &gt;=25 test case; triển khai bản demo.</v>
      </c>
      <c r="L824" t="str">
        <f>'Huong dan giao do an'!$B$31</f>
        <v>Bắt buộc: Charter/PMP; SRS + scope/WBS; Gantt/baseline; effort-cost budget; RACI/timesheet; quality-test-defect; communication/minutes; risk register; procurement; change log; closure/lessons learned.</v>
      </c>
      <c r="M824" t="str">
        <f>'Huong dan giao do an'!$B$33</f>
        <v>Tuần 1: 07.09–13.09.2026; Tuần 2: 14.09–20.09.2026; Tuần 3: 21.09–27.09.2026; Tuần 4: 28.09–04.10.2026; Tuần 5: 05.10–11.10.2026; Tuần 6: 12.10–18.10.2026; Tuần 7: 19.10–25.10.2026; Tuần 8: 26.10–01.11.2026.</v>
      </c>
      <c r="N8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4" s="17" t="str">
        <f t="shared" si="12"/>
        <v>Còn trống</v>
      </c>
    </row>
    <row r="825" spans="1:16" x14ac:dyDescent="0.3">
      <c r="A825">
        <v>824</v>
      </c>
      <c r="B825" t="s">
        <v>1857</v>
      </c>
      <c r="C825" t="s">
        <v>1932</v>
      </c>
      <c r="D825" t="s">
        <v>1933</v>
      </c>
      <c r="E825" t="s">
        <v>26</v>
      </c>
      <c r="F825" t="s">
        <v>1875</v>
      </c>
      <c r="G825" t="s">
        <v>1876</v>
      </c>
      <c r="H825" t="str">
        <f>'Huong dan giao do an'!$B$14</f>
        <v>5 SV (vai trò chính): 1 PM/Scrum Master kiêm Integration; 2 BA/PO; 3 UI-UX + Frontend; 4 Backend/API + DevOps; 5 Database + QA/Tester. Mỗi SV có nhiệm vụ phụ và minh chứng cá nhân.</v>
      </c>
      <c r="I825" t="s">
        <v>22</v>
      </c>
      <c r="J825" t="s">
        <v>1862</v>
      </c>
      <c r="K825" t="str">
        <f>IF(I825="Trung bình",'Huong dan giao do an'!$B$8,IF(I825="Khá",'Huong dan giao do an'!$B$9,'Huong dan giao do an'!$B$10))</f>
        <v>Tối thiểu 4 actor; 10-14 use case; 8-12 bảng; 3 quy trình lõi; phân quyền chi tiết; 2 báo cáo; tích hợp 1 dịch vụ; &gt;=35 test case; CI/CD hoặc deploy cloud.</v>
      </c>
      <c r="L825" t="str">
        <f>'Huong dan giao do an'!$B$31</f>
        <v>Bắt buộc: Charter/PMP; SRS + scope/WBS; Gantt/baseline; effort-cost budget; RACI/timesheet; quality-test-defect; communication/minutes; risk register; procurement; change log; closure/lessons learned.</v>
      </c>
      <c r="M825" t="str">
        <f>'Huong dan giao do an'!$B$33</f>
        <v>Tuần 1: 07.09–13.09.2026; Tuần 2: 14.09–20.09.2026; Tuần 3: 21.09–27.09.2026; Tuần 4: 28.09–04.10.2026; Tuần 5: 05.10–11.10.2026; Tuần 6: 12.10–18.10.2026; Tuần 7: 19.10–25.10.2026; Tuần 8: 26.10–01.11.2026.</v>
      </c>
      <c r="N8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5" s="17" t="str">
        <f t="shared" si="12"/>
        <v>Còn trống</v>
      </c>
    </row>
    <row r="826" spans="1:16" x14ac:dyDescent="0.3">
      <c r="A826">
        <v>825</v>
      </c>
      <c r="B826" t="s">
        <v>1857</v>
      </c>
      <c r="C826" t="s">
        <v>1934</v>
      </c>
      <c r="D826" t="s">
        <v>1935</v>
      </c>
      <c r="E826" t="s">
        <v>33</v>
      </c>
      <c r="F826" t="s">
        <v>1879</v>
      </c>
      <c r="G826" t="s">
        <v>1880</v>
      </c>
      <c r="H826" t="str">
        <f>'Huong dan giao do an'!$B$14</f>
        <v>5 SV (vai trò chính): 1 PM/Scrum Master kiêm Integration; 2 BA/PO; 3 UI-UX + Frontend; 4 Backend/API + DevOps; 5 Database + QA/Tester. Mỗi SV có nhiệm vụ phụ và minh chứng cá nhân.</v>
      </c>
      <c r="I826" t="s">
        <v>29</v>
      </c>
      <c r="J826" t="s">
        <v>1867</v>
      </c>
      <c r="K826" t="str">
        <f>IF(I826="Trung bình",'Huong dan giao do an'!$B$8,IF(I826="Khá",'Huong dan giao do an'!$B$9,'Huong dan giao do an'!$B$10))</f>
        <v>Tối thiểu 5 actor; 14-18 use case; 10-15 bảng; 4 quy trình; tích hợp ngoài/realtime hoặc xử lý nâng cao; 3 báo cáo; &gt;=45 test case; logging, backup và deploy.</v>
      </c>
      <c r="L826" t="str">
        <f>'Huong dan giao do an'!$B$31</f>
        <v>Bắt buộc: Charter/PMP; SRS + scope/WBS; Gantt/baseline; effort-cost budget; RACI/timesheet; quality-test-defect; communication/minutes; risk register; procurement; change log; closure/lessons learned.</v>
      </c>
      <c r="M826" t="str">
        <f>'Huong dan giao do an'!$B$33</f>
        <v>Tuần 1: 07.09–13.09.2026; Tuần 2: 14.09–20.09.2026; Tuần 3: 21.09–27.09.2026; Tuần 4: 28.09–04.10.2026; Tuần 5: 05.10–11.10.2026; Tuần 6: 12.10–18.10.2026; Tuần 7: 19.10–25.10.2026; Tuần 8: 26.10–01.11.2026.</v>
      </c>
      <c r="N8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6" s="17" t="str">
        <f t="shared" si="12"/>
        <v>Còn trống</v>
      </c>
    </row>
    <row r="827" spans="1:16" x14ac:dyDescent="0.3">
      <c r="A827">
        <v>826</v>
      </c>
      <c r="B827" t="s">
        <v>1857</v>
      </c>
      <c r="C827" t="s">
        <v>1936</v>
      </c>
      <c r="D827" t="s">
        <v>1937</v>
      </c>
      <c r="E827" t="s">
        <v>40</v>
      </c>
      <c r="F827" t="s">
        <v>1860</v>
      </c>
      <c r="G827" t="s">
        <v>1883</v>
      </c>
      <c r="H827" t="str">
        <f>'Huong dan giao do an'!$B$14</f>
        <v>5 SV (vai trò chính): 1 PM/Scrum Master kiêm Integration; 2 BA/PO; 3 UI-UX + Frontend; 4 Backend/API + DevOps; 5 Database + QA/Tester. Mỗi SV có nhiệm vụ phụ và minh chứng cá nhân.</v>
      </c>
      <c r="I827" t="s">
        <v>36</v>
      </c>
      <c r="J827" t="s">
        <v>1872</v>
      </c>
      <c r="K827" t="str">
        <f>IF(I827="Trung bình",'Huong dan giao do an'!$B$8,IF(I827="Khá",'Huong dan giao do an'!$B$9,'Huong dan giao do an'!$B$10))</f>
        <v>Tối thiểu 3 actor; 8-10 use case; 6-8 bảng dữ liệu; 2 quy trình lõi; đăng nhập/RBAC; 1 dashboard; 1 báo cáo; &gt;=25 test case; triển khai bản demo.</v>
      </c>
      <c r="L827" t="str">
        <f>'Huong dan giao do an'!$B$31</f>
        <v>Bắt buộc: Charter/PMP; SRS + scope/WBS; Gantt/baseline; effort-cost budget; RACI/timesheet; quality-test-defect; communication/minutes; risk register; procurement; change log; closure/lessons learned.</v>
      </c>
      <c r="M827" t="str">
        <f>'Huong dan giao do an'!$B$33</f>
        <v>Tuần 1: 07.09–13.09.2026; Tuần 2: 14.09–20.09.2026; Tuần 3: 21.09–27.09.2026; Tuần 4: 28.09–04.10.2026; Tuần 5: 05.10–11.10.2026; Tuần 6: 12.10–18.10.2026; Tuần 7: 19.10–25.10.2026; Tuần 8: 26.10–01.11.2026.</v>
      </c>
      <c r="N8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7" s="17" t="str">
        <f t="shared" si="12"/>
        <v>Còn trống</v>
      </c>
    </row>
    <row r="828" spans="1:16" x14ac:dyDescent="0.3">
      <c r="A828">
        <v>827</v>
      </c>
      <c r="B828" t="s">
        <v>1857</v>
      </c>
      <c r="C828" t="s">
        <v>1938</v>
      </c>
      <c r="D828" t="s">
        <v>1939</v>
      </c>
      <c r="E828" t="s">
        <v>45</v>
      </c>
      <c r="F828" t="s">
        <v>1865</v>
      </c>
      <c r="G828" t="s">
        <v>1886</v>
      </c>
      <c r="H828" t="str">
        <f>'Huong dan giao do an'!$B$14</f>
        <v>5 SV (vai trò chính): 1 PM/Scrum Master kiêm Integration; 2 BA/PO; 3 UI-UX + Frontend; 4 Backend/API + DevOps; 5 Database + QA/Tester. Mỗi SV có nhiệm vụ phụ và minh chứng cá nhân.</v>
      </c>
      <c r="I828" t="s">
        <v>22</v>
      </c>
      <c r="J828" t="s">
        <v>1862</v>
      </c>
      <c r="K828" t="str">
        <f>IF(I828="Trung bình",'Huong dan giao do an'!$B$8,IF(I828="Khá",'Huong dan giao do an'!$B$9,'Huong dan giao do an'!$B$10))</f>
        <v>Tối thiểu 4 actor; 10-14 use case; 8-12 bảng; 3 quy trình lõi; phân quyền chi tiết; 2 báo cáo; tích hợp 1 dịch vụ; &gt;=35 test case; CI/CD hoặc deploy cloud.</v>
      </c>
      <c r="L828" t="str">
        <f>'Huong dan giao do an'!$B$31</f>
        <v>Bắt buộc: Charter/PMP; SRS + scope/WBS; Gantt/baseline; effort-cost budget; RACI/timesheet; quality-test-defect; communication/minutes; risk register; procurement; change log; closure/lessons learned.</v>
      </c>
      <c r="M828" t="str">
        <f>'Huong dan giao do an'!$B$33</f>
        <v>Tuần 1: 07.09–13.09.2026; Tuần 2: 14.09–20.09.2026; Tuần 3: 21.09–27.09.2026; Tuần 4: 28.09–04.10.2026; Tuần 5: 05.10–11.10.2026; Tuần 6: 12.10–18.10.2026; Tuần 7: 19.10–25.10.2026; Tuần 8: 26.10–01.11.2026.</v>
      </c>
      <c r="N8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8" s="17" t="str">
        <f t="shared" si="12"/>
        <v>Còn trống</v>
      </c>
    </row>
    <row r="829" spans="1:16" x14ac:dyDescent="0.3">
      <c r="A829">
        <v>828</v>
      </c>
      <c r="B829" t="s">
        <v>1857</v>
      </c>
      <c r="C829" t="s">
        <v>1940</v>
      </c>
      <c r="D829" t="s">
        <v>1941</v>
      </c>
      <c r="E829" t="s">
        <v>19</v>
      </c>
      <c r="F829" t="s">
        <v>1870</v>
      </c>
      <c r="G829" t="s">
        <v>1889</v>
      </c>
      <c r="H829" t="str">
        <f>'Huong dan giao do an'!$B$14</f>
        <v>5 SV (vai trò chính): 1 PM/Scrum Master kiêm Integration; 2 BA/PO; 3 UI-UX + Frontend; 4 Backend/API + DevOps; 5 Database + QA/Tester. Mỗi SV có nhiệm vụ phụ và minh chứng cá nhân.</v>
      </c>
      <c r="I829" t="s">
        <v>29</v>
      </c>
      <c r="J829" t="s">
        <v>1867</v>
      </c>
      <c r="K829" t="str">
        <f>IF(I829="Trung bình",'Huong dan giao do an'!$B$8,IF(I829="Khá",'Huong dan giao do an'!$B$9,'Huong dan giao do an'!$B$10))</f>
        <v>Tối thiểu 5 actor; 14-18 use case; 10-15 bảng; 4 quy trình; tích hợp ngoài/realtime hoặc xử lý nâng cao; 3 báo cáo; &gt;=45 test case; logging, backup và deploy.</v>
      </c>
      <c r="L829" t="str">
        <f>'Huong dan giao do an'!$B$31</f>
        <v>Bắt buộc: Charter/PMP; SRS + scope/WBS; Gantt/baseline; effort-cost budget; RACI/timesheet; quality-test-defect; communication/minutes; risk register; procurement; change log; closure/lessons learned.</v>
      </c>
      <c r="M829" t="str">
        <f>'Huong dan giao do an'!$B$33</f>
        <v>Tuần 1: 07.09–13.09.2026; Tuần 2: 14.09–20.09.2026; Tuần 3: 21.09–27.09.2026; Tuần 4: 28.09–04.10.2026; Tuần 5: 05.10–11.10.2026; Tuần 6: 12.10–18.10.2026; Tuần 7: 19.10–25.10.2026; Tuần 8: 26.10–01.11.2026.</v>
      </c>
      <c r="N8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29" s="17" t="str">
        <f t="shared" si="12"/>
        <v>Còn trống</v>
      </c>
    </row>
    <row r="830" spans="1:16" x14ac:dyDescent="0.3">
      <c r="A830">
        <v>829</v>
      </c>
      <c r="B830" t="s">
        <v>1857</v>
      </c>
      <c r="C830" t="s">
        <v>1942</v>
      </c>
      <c r="D830" t="s">
        <v>1943</v>
      </c>
      <c r="E830" t="s">
        <v>26</v>
      </c>
      <c r="F830" t="s">
        <v>1875</v>
      </c>
      <c r="G830" t="s">
        <v>1892</v>
      </c>
      <c r="H830" t="str">
        <f>'Huong dan giao do an'!$B$14</f>
        <v>5 SV (vai trò chính): 1 PM/Scrum Master kiêm Integration; 2 BA/PO; 3 UI-UX + Frontend; 4 Backend/API + DevOps; 5 Database + QA/Tester. Mỗi SV có nhiệm vụ phụ và minh chứng cá nhân.</v>
      </c>
      <c r="I830" t="s">
        <v>36</v>
      </c>
      <c r="J830" t="s">
        <v>1872</v>
      </c>
      <c r="K830" t="str">
        <f>IF(I830="Trung bình",'Huong dan giao do an'!$B$8,IF(I830="Khá",'Huong dan giao do an'!$B$9,'Huong dan giao do an'!$B$10))</f>
        <v>Tối thiểu 3 actor; 8-10 use case; 6-8 bảng dữ liệu; 2 quy trình lõi; đăng nhập/RBAC; 1 dashboard; 1 báo cáo; &gt;=25 test case; triển khai bản demo.</v>
      </c>
      <c r="L830" t="str">
        <f>'Huong dan giao do an'!$B$31</f>
        <v>Bắt buộc: Charter/PMP; SRS + scope/WBS; Gantt/baseline; effort-cost budget; RACI/timesheet; quality-test-defect; communication/minutes; risk register; procurement; change log; closure/lessons learned.</v>
      </c>
      <c r="M830" t="str">
        <f>'Huong dan giao do an'!$B$33</f>
        <v>Tuần 1: 07.09–13.09.2026; Tuần 2: 14.09–20.09.2026; Tuần 3: 21.09–27.09.2026; Tuần 4: 28.09–04.10.2026; Tuần 5: 05.10–11.10.2026; Tuần 6: 12.10–18.10.2026; Tuần 7: 19.10–25.10.2026; Tuần 8: 26.10–01.11.2026.</v>
      </c>
      <c r="N8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0" s="17" t="str">
        <f t="shared" si="12"/>
        <v>Còn trống</v>
      </c>
    </row>
    <row r="831" spans="1:16" x14ac:dyDescent="0.3">
      <c r="A831">
        <v>830</v>
      </c>
      <c r="B831" t="s">
        <v>1857</v>
      </c>
      <c r="C831" t="s">
        <v>1944</v>
      </c>
      <c r="D831" t="s">
        <v>1945</v>
      </c>
      <c r="E831" t="s">
        <v>33</v>
      </c>
      <c r="F831" t="s">
        <v>1879</v>
      </c>
      <c r="G831" t="s">
        <v>1895</v>
      </c>
      <c r="H831" t="str">
        <f>'Huong dan giao do an'!$B$14</f>
        <v>5 SV (vai trò chính): 1 PM/Scrum Master kiêm Integration; 2 BA/PO; 3 UI-UX + Frontend; 4 Backend/API + DevOps; 5 Database + QA/Tester. Mỗi SV có nhiệm vụ phụ và minh chứng cá nhân.</v>
      </c>
      <c r="I831" t="s">
        <v>22</v>
      </c>
      <c r="J831" t="s">
        <v>1862</v>
      </c>
      <c r="K831" t="str">
        <f>IF(I831="Trung bình",'Huong dan giao do an'!$B$8,IF(I831="Khá",'Huong dan giao do an'!$B$9,'Huong dan giao do an'!$B$10))</f>
        <v>Tối thiểu 4 actor; 10-14 use case; 8-12 bảng; 3 quy trình lõi; phân quyền chi tiết; 2 báo cáo; tích hợp 1 dịch vụ; &gt;=35 test case; CI/CD hoặc deploy cloud.</v>
      </c>
      <c r="L831" t="str">
        <f>'Huong dan giao do an'!$B$31</f>
        <v>Bắt buộc: Charter/PMP; SRS + scope/WBS; Gantt/baseline; effort-cost budget; RACI/timesheet; quality-test-defect; communication/minutes; risk register; procurement; change log; closure/lessons learned.</v>
      </c>
      <c r="M831" t="str">
        <f>'Huong dan giao do an'!$B$33</f>
        <v>Tuần 1: 07.09–13.09.2026; Tuần 2: 14.09–20.09.2026; Tuần 3: 21.09–27.09.2026; Tuần 4: 28.09–04.10.2026; Tuần 5: 05.10–11.10.2026; Tuần 6: 12.10–18.10.2026; Tuần 7: 19.10–25.10.2026; Tuần 8: 26.10–01.11.2026.</v>
      </c>
      <c r="N8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1" s="17" t="str">
        <f t="shared" si="12"/>
        <v>Còn trống</v>
      </c>
    </row>
    <row r="832" spans="1:16" x14ac:dyDescent="0.3">
      <c r="A832">
        <v>831</v>
      </c>
      <c r="B832" t="s">
        <v>1857</v>
      </c>
      <c r="C832" t="s">
        <v>1946</v>
      </c>
      <c r="D832" t="s">
        <v>1947</v>
      </c>
      <c r="E832" t="s">
        <v>40</v>
      </c>
      <c r="F832" t="s">
        <v>1860</v>
      </c>
      <c r="G832" t="s">
        <v>1898</v>
      </c>
      <c r="H832" t="str">
        <f>'Huong dan giao do an'!$B$14</f>
        <v>5 SV (vai trò chính): 1 PM/Scrum Master kiêm Integration; 2 BA/PO; 3 UI-UX + Frontend; 4 Backend/API + DevOps; 5 Database + QA/Tester. Mỗi SV có nhiệm vụ phụ và minh chứng cá nhân.</v>
      </c>
      <c r="I832" t="s">
        <v>29</v>
      </c>
      <c r="J832" t="s">
        <v>1867</v>
      </c>
      <c r="K832" t="str">
        <f>IF(I832="Trung bình",'Huong dan giao do an'!$B$8,IF(I832="Khá",'Huong dan giao do an'!$B$9,'Huong dan giao do an'!$B$10))</f>
        <v>Tối thiểu 5 actor; 14-18 use case; 10-15 bảng; 4 quy trình; tích hợp ngoài/realtime hoặc xử lý nâng cao; 3 báo cáo; &gt;=45 test case; logging, backup và deploy.</v>
      </c>
      <c r="L832" t="str">
        <f>'Huong dan giao do an'!$B$31</f>
        <v>Bắt buộc: Charter/PMP; SRS + scope/WBS; Gantt/baseline; effort-cost budget; RACI/timesheet; quality-test-defect; communication/minutes; risk register; procurement; change log; closure/lessons learned.</v>
      </c>
      <c r="M832" t="str">
        <f>'Huong dan giao do an'!$B$33</f>
        <v>Tuần 1: 07.09–13.09.2026; Tuần 2: 14.09–20.09.2026; Tuần 3: 21.09–27.09.2026; Tuần 4: 28.09–04.10.2026; Tuần 5: 05.10–11.10.2026; Tuần 6: 12.10–18.10.2026; Tuần 7: 19.10–25.10.2026; Tuần 8: 26.10–01.11.2026.</v>
      </c>
      <c r="N8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2" s="17" t="str">
        <f t="shared" si="12"/>
        <v>Còn trống</v>
      </c>
    </row>
    <row r="833" spans="1:16" x14ac:dyDescent="0.3">
      <c r="A833">
        <v>832</v>
      </c>
      <c r="B833" t="s">
        <v>1857</v>
      </c>
      <c r="C833" t="s">
        <v>1948</v>
      </c>
      <c r="D833" t="s">
        <v>1949</v>
      </c>
      <c r="E833" t="s">
        <v>45</v>
      </c>
      <c r="F833" t="s">
        <v>1865</v>
      </c>
      <c r="G833" t="s">
        <v>1901</v>
      </c>
      <c r="H833" t="str">
        <f>'Huong dan giao do an'!$B$14</f>
        <v>5 SV (vai trò chính): 1 PM/Scrum Master kiêm Integration; 2 BA/PO; 3 UI-UX + Frontend; 4 Backend/API + DevOps; 5 Database + QA/Tester. Mỗi SV có nhiệm vụ phụ và minh chứng cá nhân.</v>
      </c>
      <c r="I833" t="s">
        <v>36</v>
      </c>
      <c r="J833" t="s">
        <v>1872</v>
      </c>
      <c r="K833" t="str">
        <f>IF(I833="Trung bình",'Huong dan giao do an'!$B$8,IF(I833="Khá",'Huong dan giao do an'!$B$9,'Huong dan giao do an'!$B$10))</f>
        <v>Tối thiểu 3 actor; 8-10 use case; 6-8 bảng dữ liệu; 2 quy trình lõi; đăng nhập/RBAC; 1 dashboard; 1 báo cáo; &gt;=25 test case; triển khai bản demo.</v>
      </c>
      <c r="L833" t="str">
        <f>'Huong dan giao do an'!$B$31</f>
        <v>Bắt buộc: Charter/PMP; SRS + scope/WBS; Gantt/baseline; effort-cost budget; RACI/timesheet; quality-test-defect; communication/minutes; risk register; procurement; change log; closure/lessons learned.</v>
      </c>
      <c r="M833" t="str">
        <f>'Huong dan giao do an'!$B$33</f>
        <v>Tuần 1: 07.09–13.09.2026; Tuần 2: 14.09–20.09.2026; Tuần 3: 21.09–27.09.2026; Tuần 4: 28.09–04.10.2026; Tuần 5: 05.10–11.10.2026; Tuần 6: 12.10–18.10.2026; Tuần 7: 19.10–25.10.2026; Tuần 8: 26.10–01.11.2026.</v>
      </c>
      <c r="N8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3" s="17" t="str">
        <f t="shared" si="12"/>
        <v>Còn trống</v>
      </c>
    </row>
    <row r="834" spans="1:16" x14ac:dyDescent="0.3">
      <c r="A834">
        <v>833</v>
      </c>
      <c r="B834" t="s">
        <v>1857</v>
      </c>
      <c r="C834" t="s">
        <v>1950</v>
      </c>
      <c r="D834" t="s">
        <v>1951</v>
      </c>
      <c r="E834" t="s">
        <v>19</v>
      </c>
      <c r="F834" t="s">
        <v>1870</v>
      </c>
      <c r="G834" t="s">
        <v>1904</v>
      </c>
      <c r="H834" t="str">
        <f>'Huong dan giao do an'!$B$14</f>
        <v>5 SV (vai trò chính): 1 PM/Scrum Master kiêm Integration; 2 BA/PO; 3 UI-UX + Frontend; 4 Backend/API + DevOps; 5 Database + QA/Tester. Mỗi SV có nhiệm vụ phụ và minh chứng cá nhân.</v>
      </c>
      <c r="I834" t="s">
        <v>22</v>
      </c>
      <c r="J834" t="s">
        <v>1862</v>
      </c>
      <c r="K834" t="str">
        <f>IF(I834="Trung bình",'Huong dan giao do an'!$B$8,IF(I834="Khá",'Huong dan giao do an'!$B$9,'Huong dan giao do an'!$B$10))</f>
        <v>Tối thiểu 4 actor; 10-14 use case; 8-12 bảng; 3 quy trình lõi; phân quyền chi tiết; 2 báo cáo; tích hợp 1 dịch vụ; &gt;=35 test case; CI/CD hoặc deploy cloud.</v>
      </c>
      <c r="L834" t="str">
        <f>'Huong dan giao do an'!$B$31</f>
        <v>Bắt buộc: Charter/PMP; SRS + scope/WBS; Gantt/baseline; effort-cost budget; RACI/timesheet; quality-test-defect; communication/minutes; risk register; procurement; change log; closure/lessons learned.</v>
      </c>
      <c r="M834" t="str">
        <f>'Huong dan giao do an'!$B$33</f>
        <v>Tuần 1: 07.09–13.09.2026; Tuần 2: 14.09–20.09.2026; Tuần 3: 21.09–27.09.2026; Tuần 4: 28.09–04.10.2026; Tuần 5: 05.10–11.10.2026; Tuần 6: 12.10–18.10.2026; Tuần 7: 19.10–25.10.2026; Tuần 8: 26.10–01.11.2026.</v>
      </c>
      <c r="N8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4" s="17" t="str">
        <f t="shared" si="12"/>
        <v>Còn trống</v>
      </c>
    </row>
    <row r="835" spans="1:16" x14ac:dyDescent="0.3">
      <c r="A835">
        <v>834</v>
      </c>
      <c r="B835" t="s">
        <v>1857</v>
      </c>
      <c r="C835" t="s">
        <v>1952</v>
      </c>
      <c r="D835" t="s">
        <v>1953</v>
      </c>
      <c r="E835" t="s">
        <v>26</v>
      </c>
      <c r="F835" t="s">
        <v>1875</v>
      </c>
      <c r="G835" t="s">
        <v>1907</v>
      </c>
      <c r="H835" t="str">
        <f>'Huong dan giao do an'!$B$14</f>
        <v>5 SV (vai trò chính): 1 PM/Scrum Master kiêm Integration; 2 BA/PO; 3 UI-UX + Frontend; 4 Backend/API + DevOps; 5 Database + QA/Tester. Mỗi SV có nhiệm vụ phụ và minh chứng cá nhân.</v>
      </c>
      <c r="I835" t="s">
        <v>29</v>
      </c>
      <c r="J835" t="s">
        <v>1867</v>
      </c>
      <c r="K835" t="str">
        <f>IF(I835="Trung bình",'Huong dan giao do an'!$B$8,IF(I835="Khá",'Huong dan giao do an'!$B$9,'Huong dan giao do an'!$B$10))</f>
        <v>Tối thiểu 5 actor; 14-18 use case; 10-15 bảng; 4 quy trình; tích hợp ngoài/realtime hoặc xử lý nâng cao; 3 báo cáo; &gt;=45 test case; logging, backup và deploy.</v>
      </c>
      <c r="L835" t="str">
        <f>'Huong dan giao do an'!$B$31</f>
        <v>Bắt buộc: Charter/PMP; SRS + scope/WBS; Gantt/baseline; effort-cost budget; RACI/timesheet; quality-test-defect; communication/minutes; risk register; procurement; change log; closure/lessons learned.</v>
      </c>
      <c r="M835" t="str">
        <f>'Huong dan giao do an'!$B$33</f>
        <v>Tuần 1: 07.09–13.09.2026; Tuần 2: 14.09–20.09.2026; Tuần 3: 21.09–27.09.2026; Tuần 4: 28.09–04.10.2026; Tuần 5: 05.10–11.10.2026; Tuần 6: 12.10–18.10.2026; Tuần 7: 19.10–25.10.2026; Tuần 8: 26.10–01.11.2026.</v>
      </c>
      <c r="N8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5" s="17" t="str">
        <f t="shared" ref="P835:P898" si="13">IF(O835="","Còn trống","Đã đăng ký")</f>
        <v>Còn trống</v>
      </c>
    </row>
    <row r="836" spans="1:16" x14ac:dyDescent="0.3">
      <c r="A836">
        <v>835</v>
      </c>
      <c r="B836" t="s">
        <v>1857</v>
      </c>
      <c r="C836" t="s">
        <v>1954</v>
      </c>
      <c r="D836" t="s">
        <v>1955</v>
      </c>
      <c r="E836" t="s">
        <v>33</v>
      </c>
      <c r="F836" t="s">
        <v>1879</v>
      </c>
      <c r="G836" t="s">
        <v>1910</v>
      </c>
      <c r="H836" t="str">
        <f>'Huong dan giao do an'!$B$14</f>
        <v>5 SV (vai trò chính): 1 PM/Scrum Master kiêm Integration; 2 BA/PO; 3 UI-UX + Frontend; 4 Backend/API + DevOps; 5 Database + QA/Tester. Mỗi SV có nhiệm vụ phụ và minh chứng cá nhân.</v>
      </c>
      <c r="I836" t="s">
        <v>36</v>
      </c>
      <c r="J836" t="s">
        <v>1872</v>
      </c>
      <c r="K836" t="str">
        <f>IF(I836="Trung bình",'Huong dan giao do an'!$B$8,IF(I836="Khá",'Huong dan giao do an'!$B$9,'Huong dan giao do an'!$B$10))</f>
        <v>Tối thiểu 3 actor; 8-10 use case; 6-8 bảng dữ liệu; 2 quy trình lõi; đăng nhập/RBAC; 1 dashboard; 1 báo cáo; &gt;=25 test case; triển khai bản demo.</v>
      </c>
      <c r="L836" t="str">
        <f>'Huong dan giao do an'!$B$31</f>
        <v>Bắt buộc: Charter/PMP; SRS + scope/WBS; Gantt/baseline; effort-cost budget; RACI/timesheet; quality-test-defect; communication/minutes; risk register; procurement; change log; closure/lessons learned.</v>
      </c>
      <c r="M836" t="str">
        <f>'Huong dan giao do an'!$B$33</f>
        <v>Tuần 1: 07.09–13.09.2026; Tuần 2: 14.09–20.09.2026; Tuần 3: 21.09–27.09.2026; Tuần 4: 28.09–04.10.2026; Tuần 5: 05.10–11.10.2026; Tuần 6: 12.10–18.10.2026; Tuần 7: 19.10–25.10.2026; Tuần 8: 26.10–01.11.2026.</v>
      </c>
      <c r="N8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6" s="17" t="str">
        <f t="shared" si="13"/>
        <v>Còn trống</v>
      </c>
    </row>
    <row r="837" spans="1:16" x14ac:dyDescent="0.3">
      <c r="A837">
        <v>836</v>
      </c>
      <c r="B837" t="s">
        <v>1857</v>
      </c>
      <c r="C837" t="s">
        <v>1956</v>
      </c>
      <c r="D837" t="s">
        <v>1957</v>
      </c>
      <c r="E837" t="s">
        <v>40</v>
      </c>
      <c r="F837" t="s">
        <v>1860</v>
      </c>
      <c r="G837" t="s">
        <v>1913</v>
      </c>
      <c r="H837" t="str">
        <f>'Huong dan giao do an'!$B$14</f>
        <v>5 SV (vai trò chính): 1 PM/Scrum Master kiêm Integration; 2 BA/PO; 3 UI-UX + Frontend; 4 Backend/API + DevOps; 5 Database + QA/Tester. Mỗi SV có nhiệm vụ phụ và minh chứng cá nhân.</v>
      </c>
      <c r="I837" t="s">
        <v>22</v>
      </c>
      <c r="J837" t="s">
        <v>1862</v>
      </c>
      <c r="K837" t="str">
        <f>IF(I837="Trung bình",'Huong dan giao do an'!$B$8,IF(I837="Khá",'Huong dan giao do an'!$B$9,'Huong dan giao do an'!$B$10))</f>
        <v>Tối thiểu 4 actor; 10-14 use case; 8-12 bảng; 3 quy trình lõi; phân quyền chi tiết; 2 báo cáo; tích hợp 1 dịch vụ; &gt;=35 test case; CI/CD hoặc deploy cloud.</v>
      </c>
      <c r="L837" t="str">
        <f>'Huong dan giao do an'!$B$31</f>
        <v>Bắt buộc: Charter/PMP; SRS + scope/WBS; Gantt/baseline; effort-cost budget; RACI/timesheet; quality-test-defect; communication/minutes; risk register; procurement; change log; closure/lessons learned.</v>
      </c>
      <c r="M837" t="str">
        <f>'Huong dan giao do an'!$B$33</f>
        <v>Tuần 1: 07.09–13.09.2026; Tuần 2: 14.09–20.09.2026; Tuần 3: 21.09–27.09.2026; Tuần 4: 28.09–04.10.2026; Tuần 5: 05.10–11.10.2026; Tuần 6: 12.10–18.10.2026; Tuần 7: 19.10–25.10.2026; Tuần 8: 26.10–01.11.2026.</v>
      </c>
      <c r="N8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7" s="17" t="str">
        <f t="shared" si="13"/>
        <v>Còn trống</v>
      </c>
    </row>
    <row r="838" spans="1:16" x14ac:dyDescent="0.3">
      <c r="A838">
        <v>837</v>
      </c>
      <c r="B838" t="s">
        <v>1857</v>
      </c>
      <c r="C838" t="s">
        <v>1958</v>
      </c>
      <c r="D838" t="s">
        <v>1959</v>
      </c>
      <c r="E838" t="s">
        <v>45</v>
      </c>
      <c r="F838" t="s">
        <v>1865</v>
      </c>
      <c r="G838" t="s">
        <v>1916</v>
      </c>
      <c r="H838" t="str">
        <f>'Huong dan giao do an'!$B$14</f>
        <v>5 SV (vai trò chính): 1 PM/Scrum Master kiêm Integration; 2 BA/PO; 3 UI-UX + Frontend; 4 Backend/API + DevOps; 5 Database + QA/Tester. Mỗi SV có nhiệm vụ phụ và minh chứng cá nhân.</v>
      </c>
      <c r="I838" t="s">
        <v>29</v>
      </c>
      <c r="J838" t="s">
        <v>1867</v>
      </c>
      <c r="K838" t="str">
        <f>IF(I838="Trung bình",'Huong dan giao do an'!$B$8,IF(I838="Khá",'Huong dan giao do an'!$B$9,'Huong dan giao do an'!$B$10))</f>
        <v>Tối thiểu 5 actor; 14-18 use case; 10-15 bảng; 4 quy trình; tích hợp ngoài/realtime hoặc xử lý nâng cao; 3 báo cáo; &gt;=45 test case; logging, backup và deploy.</v>
      </c>
      <c r="L838" t="str">
        <f>'Huong dan giao do an'!$B$31</f>
        <v>Bắt buộc: Charter/PMP; SRS + scope/WBS; Gantt/baseline; effort-cost budget; RACI/timesheet; quality-test-defect; communication/minutes; risk register; procurement; change log; closure/lessons learned.</v>
      </c>
      <c r="M838" t="str">
        <f>'Huong dan giao do an'!$B$33</f>
        <v>Tuần 1: 07.09–13.09.2026; Tuần 2: 14.09–20.09.2026; Tuần 3: 21.09–27.09.2026; Tuần 4: 28.09–04.10.2026; Tuần 5: 05.10–11.10.2026; Tuần 6: 12.10–18.10.2026; Tuần 7: 19.10–25.10.2026; Tuần 8: 26.10–01.11.2026.</v>
      </c>
      <c r="N8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8" s="17" t="str">
        <f t="shared" si="13"/>
        <v>Còn trống</v>
      </c>
    </row>
    <row r="839" spans="1:16" x14ac:dyDescent="0.3">
      <c r="A839">
        <v>838</v>
      </c>
      <c r="B839" t="s">
        <v>1857</v>
      </c>
      <c r="C839" t="s">
        <v>1960</v>
      </c>
      <c r="D839" t="s">
        <v>1961</v>
      </c>
      <c r="E839" t="s">
        <v>19</v>
      </c>
      <c r="F839" t="s">
        <v>1870</v>
      </c>
      <c r="G839" t="s">
        <v>1919</v>
      </c>
      <c r="H839" t="str">
        <f>'Huong dan giao do an'!$B$14</f>
        <v>5 SV (vai trò chính): 1 PM/Scrum Master kiêm Integration; 2 BA/PO; 3 UI-UX + Frontend; 4 Backend/API + DevOps; 5 Database + QA/Tester. Mỗi SV có nhiệm vụ phụ và minh chứng cá nhân.</v>
      </c>
      <c r="I839" t="s">
        <v>36</v>
      </c>
      <c r="J839" t="s">
        <v>1872</v>
      </c>
      <c r="K839" t="str">
        <f>IF(I839="Trung bình",'Huong dan giao do an'!$B$8,IF(I839="Khá",'Huong dan giao do an'!$B$9,'Huong dan giao do an'!$B$10))</f>
        <v>Tối thiểu 3 actor; 8-10 use case; 6-8 bảng dữ liệu; 2 quy trình lõi; đăng nhập/RBAC; 1 dashboard; 1 báo cáo; &gt;=25 test case; triển khai bản demo.</v>
      </c>
      <c r="L839" t="str">
        <f>'Huong dan giao do an'!$B$31</f>
        <v>Bắt buộc: Charter/PMP; SRS + scope/WBS; Gantt/baseline; effort-cost budget; RACI/timesheet; quality-test-defect; communication/minutes; risk register; procurement; change log; closure/lessons learned.</v>
      </c>
      <c r="M839" t="str">
        <f>'Huong dan giao do an'!$B$33</f>
        <v>Tuần 1: 07.09–13.09.2026; Tuần 2: 14.09–20.09.2026; Tuần 3: 21.09–27.09.2026; Tuần 4: 28.09–04.10.2026; Tuần 5: 05.10–11.10.2026; Tuần 6: 12.10–18.10.2026; Tuần 7: 19.10–25.10.2026; Tuần 8: 26.10–01.11.2026.</v>
      </c>
      <c r="N8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39" s="17" t="str">
        <f t="shared" si="13"/>
        <v>Còn trống</v>
      </c>
    </row>
    <row r="840" spans="1:16" x14ac:dyDescent="0.3">
      <c r="A840">
        <v>839</v>
      </c>
      <c r="B840" t="s">
        <v>1857</v>
      </c>
      <c r="C840" t="s">
        <v>1962</v>
      </c>
      <c r="D840" t="s">
        <v>1963</v>
      </c>
      <c r="E840" t="s">
        <v>26</v>
      </c>
      <c r="F840" t="s">
        <v>1875</v>
      </c>
      <c r="G840" t="s">
        <v>1922</v>
      </c>
      <c r="H840" t="str">
        <f>'Huong dan giao do an'!$B$14</f>
        <v>5 SV (vai trò chính): 1 PM/Scrum Master kiêm Integration; 2 BA/PO; 3 UI-UX + Frontend; 4 Backend/API + DevOps; 5 Database + QA/Tester. Mỗi SV có nhiệm vụ phụ và minh chứng cá nhân.</v>
      </c>
      <c r="I840" t="s">
        <v>22</v>
      </c>
      <c r="J840" t="s">
        <v>1862</v>
      </c>
      <c r="K840" t="str">
        <f>IF(I840="Trung bình",'Huong dan giao do an'!$B$8,IF(I840="Khá",'Huong dan giao do an'!$B$9,'Huong dan giao do an'!$B$10))</f>
        <v>Tối thiểu 4 actor; 10-14 use case; 8-12 bảng; 3 quy trình lõi; phân quyền chi tiết; 2 báo cáo; tích hợp 1 dịch vụ; &gt;=35 test case; CI/CD hoặc deploy cloud.</v>
      </c>
      <c r="L840" t="str">
        <f>'Huong dan giao do an'!$B$31</f>
        <v>Bắt buộc: Charter/PMP; SRS + scope/WBS; Gantt/baseline; effort-cost budget; RACI/timesheet; quality-test-defect; communication/minutes; risk register; procurement; change log; closure/lessons learned.</v>
      </c>
      <c r="M840" t="str">
        <f>'Huong dan giao do an'!$B$33</f>
        <v>Tuần 1: 07.09–13.09.2026; Tuần 2: 14.09–20.09.2026; Tuần 3: 21.09–27.09.2026; Tuần 4: 28.09–04.10.2026; Tuần 5: 05.10–11.10.2026; Tuần 6: 12.10–18.10.2026; Tuần 7: 19.10–25.10.2026; Tuần 8: 26.10–01.11.2026.</v>
      </c>
      <c r="N8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0" s="17" t="str">
        <f t="shared" si="13"/>
        <v>Còn trống</v>
      </c>
    </row>
    <row r="841" spans="1:16" x14ac:dyDescent="0.3">
      <c r="A841">
        <v>840</v>
      </c>
      <c r="B841" t="s">
        <v>1857</v>
      </c>
      <c r="C841" t="s">
        <v>1964</v>
      </c>
      <c r="D841" t="s">
        <v>1965</v>
      </c>
      <c r="E841" t="s">
        <v>33</v>
      </c>
      <c r="F841" t="s">
        <v>1879</v>
      </c>
      <c r="G841" t="s">
        <v>1925</v>
      </c>
      <c r="H841" t="str">
        <f>'Huong dan giao do an'!$B$14</f>
        <v>5 SV (vai trò chính): 1 PM/Scrum Master kiêm Integration; 2 BA/PO; 3 UI-UX + Frontend; 4 Backend/API + DevOps; 5 Database + QA/Tester. Mỗi SV có nhiệm vụ phụ và minh chứng cá nhân.</v>
      </c>
      <c r="I841" t="s">
        <v>29</v>
      </c>
      <c r="J841" t="s">
        <v>1867</v>
      </c>
      <c r="K841" t="str">
        <f>IF(I841="Trung bình",'Huong dan giao do an'!$B$8,IF(I841="Khá",'Huong dan giao do an'!$B$9,'Huong dan giao do an'!$B$10))</f>
        <v>Tối thiểu 5 actor; 14-18 use case; 10-15 bảng; 4 quy trình; tích hợp ngoài/realtime hoặc xử lý nâng cao; 3 báo cáo; &gt;=45 test case; logging, backup và deploy.</v>
      </c>
      <c r="L841" t="str">
        <f>'Huong dan giao do an'!$B$31</f>
        <v>Bắt buộc: Charter/PMP; SRS + scope/WBS; Gantt/baseline; effort-cost budget; RACI/timesheet; quality-test-defect; communication/minutes; risk register; procurement; change log; closure/lessons learned.</v>
      </c>
      <c r="M841" t="str">
        <f>'Huong dan giao do an'!$B$33</f>
        <v>Tuần 1: 07.09–13.09.2026; Tuần 2: 14.09–20.09.2026; Tuần 3: 21.09–27.09.2026; Tuần 4: 28.09–04.10.2026; Tuần 5: 05.10–11.10.2026; Tuần 6: 12.10–18.10.2026; Tuần 7: 19.10–25.10.2026; Tuần 8: 26.10–01.11.2026.</v>
      </c>
      <c r="N8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1" s="17" t="str">
        <f t="shared" si="13"/>
        <v>Còn trống</v>
      </c>
    </row>
    <row r="842" spans="1:16" x14ac:dyDescent="0.3">
      <c r="A842">
        <v>841</v>
      </c>
      <c r="B842" t="s">
        <v>1857</v>
      </c>
      <c r="C842" t="s">
        <v>1966</v>
      </c>
      <c r="D842" t="s">
        <v>1967</v>
      </c>
      <c r="E842" t="s">
        <v>40</v>
      </c>
      <c r="F842" t="s">
        <v>1860</v>
      </c>
      <c r="G842" t="s">
        <v>1861</v>
      </c>
      <c r="H842" t="str">
        <f>'Huong dan giao do an'!$B$14</f>
        <v>5 SV (vai trò chính): 1 PM/Scrum Master kiêm Integration; 2 BA/PO; 3 UI-UX + Frontend; 4 Backend/API + DevOps; 5 Database + QA/Tester. Mỗi SV có nhiệm vụ phụ và minh chứng cá nhân.</v>
      </c>
      <c r="I842" t="s">
        <v>22</v>
      </c>
      <c r="J842" t="s">
        <v>1862</v>
      </c>
      <c r="K842" t="str">
        <f>IF(I842="Trung bình",'Huong dan giao do an'!$B$8,IF(I842="Khá",'Huong dan giao do an'!$B$9,'Huong dan giao do an'!$B$10))</f>
        <v>Tối thiểu 4 actor; 10-14 use case; 8-12 bảng; 3 quy trình lõi; phân quyền chi tiết; 2 báo cáo; tích hợp 1 dịch vụ; &gt;=35 test case; CI/CD hoặc deploy cloud.</v>
      </c>
      <c r="L842" t="str">
        <f>'Huong dan giao do an'!$B$31</f>
        <v>Bắt buộc: Charter/PMP; SRS + scope/WBS; Gantt/baseline; effort-cost budget; RACI/timesheet; quality-test-defect; communication/minutes; risk register; procurement; change log; closure/lessons learned.</v>
      </c>
      <c r="M842" t="str">
        <f>'Huong dan giao do an'!$B$33</f>
        <v>Tuần 1: 07.09–13.09.2026; Tuần 2: 14.09–20.09.2026; Tuần 3: 21.09–27.09.2026; Tuần 4: 28.09–04.10.2026; Tuần 5: 05.10–11.10.2026; Tuần 6: 12.10–18.10.2026; Tuần 7: 19.10–25.10.2026; Tuần 8: 26.10–01.11.2026.</v>
      </c>
      <c r="N8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2" s="17" t="str">
        <f t="shared" si="13"/>
        <v>Còn trống</v>
      </c>
    </row>
    <row r="843" spans="1:16" x14ac:dyDescent="0.3">
      <c r="A843">
        <v>842</v>
      </c>
      <c r="B843" t="s">
        <v>1857</v>
      </c>
      <c r="C843" t="s">
        <v>1968</v>
      </c>
      <c r="D843" t="s">
        <v>1969</v>
      </c>
      <c r="E843" t="s">
        <v>45</v>
      </c>
      <c r="F843" t="s">
        <v>1865</v>
      </c>
      <c r="G843" t="s">
        <v>1866</v>
      </c>
      <c r="H843" t="str">
        <f>'Huong dan giao do an'!$B$14</f>
        <v>5 SV (vai trò chính): 1 PM/Scrum Master kiêm Integration; 2 BA/PO; 3 UI-UX + Frontend; 4 Backend/API + DevOps; 5 Database + QA/Tester. Mỗi SV có nhiệm vụ phụ và minh chứng cá nhân.</v>
      </c>
      <c r="I843" t="s">
        <v>29</v>
      </c>
      <c r="J843" t="s">
        <v>1867</v>
      </c>
      <c r="K843" t="str">
        <f>IF(I843="Trung bình",'Huong dan giao do an'!$B$8,IF(I843="Khá",'Huong dan giao do an'!$B$9,'Huong dan giao do an'!$B$10))</f>
        <v>Tối thiểu 5 actor; 14-18 use case; 10-15 bảng; 4 quy trình; tích hợp ngoài/realtime hoặc xử lý nâng cao; 3 báo cáo; &gt;=45 test case; logging, backup và deploy.</v>
      </c>
      <c r="L843" t="str">
        <f>'Huong dan giao do an'!$B$31</f>
        <v>Bắt buộc: Charter/PMP; SRS + scope/WBS; Gantt/baseline; effort-cost budget; RACI/timesheet; quality-test-defect; communication/minutes; risk register; procurement; change log; closure/lessons learned.</v>
      </c>
      <c r="M843" t="str">
        <f>'Huong dan giao do an'!$B$33</f>
        <v>Tuần 1: 07.09–13.09.2026; Tuần 2: 14.09–20.09.2026; Tuần 3: 21.09–27.09.2026; Tuần 4: 28.09–04.10.2026; Tuần 5: 05.10–11.10.2026; Tuần 6: 12.10–18.10.2026; Tuần 7: 19.10–25.10.2026; Tuần 8: 26.10–01.11.2026.</v>
      </c>
      <c r="N8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3" s="17" t="str">
        <f t="shared" si="13"/>
        <v>Còn trống</v>
      </c>
    </row>
    <row r="844" spans="1:16" x14ac:dyDescent="0.3">
      <c r="A844">
        <v>843</v>
      </c>
      <c r="B844" t="s">
        <v>1857</v>
      </c>
      <c r="C844" t="s">
        <v>1970</v>
      </c>
      <c r="D844" t="s">
        <v>1971</v>
      </c>
      <c r="E844" t="s">
        <v>19</v>
      </c>
      <c r="F844" t="s">
        <v>1870</v>
      </c>
      <c r="G844" t="s">
        <v>1871</v>
      </c>
      <c r="H844" t="str">
        <f>'Huong dan giao do an'!$B$14</f>
        <v>5 SV (vai trò chính): 1 PM/Scrum Master kiêm Integration; 2 BA/PO; 3 UI-UX + Frontend; 4 Backend/API + DevOps; 5 Database + QA/Tester. Mỗi SV có nhiệm vụ phụ và minh chứng cá nhân.</v>
      </c>
      <c r="I844" t="s">
        <v>36</v>
      </c>
      <c r="J844" t="s">
        <v>1872</v>
      </c>
      <c r="K844" t="str">
        <f>IF(I844="Trung bình",'Huong dan giao do an'!$B$8,IF(I844="Khá",'Huong dan giao do an'!$B$9,'Huong dan giao do an'!$B$10))</f>
        <v>Tối thiểu 3 actor; 8-10 use case; 6-8 bảng dữ liệu; 2 quy trình lõi; đăng nhập/RBAC; 1 dashboard; 1 báo cáo; &gt;=25 test case; triển khai bản demo.</v>
      </c>
      <c r="L844" t="str">
        <f>'Huong dan giao do an'!$B$31</f>
        <v>Bắt buộc: Charter/PMP; SRS + scope/WBS; Gantt/baseline; effort-cost budget; RACI/timesheet; quality-test-defect; communication/minutes; risk register; procurement; change log; closure/lessons learned.</v>
      </c>
      <c r="M844" t="str">
        <f>'Huong dan giao do an'!$B$33</f>
        <v>Tuần 1: 07.09–13.09.2026; Tuần 2: 14.09–20.09.2026; Tuần 3: 21.09–27.09.2026; Tuần 4: 28.09–04.10.2026; Tuần 5: 05.10–11.10.2026; Tuần 6: 12.10–18.10.2026; Tuần 7: 19.10–25.10.2026; Tuần 8: 26.10–01.11.2026.</v>
      </c>
      <c r="N8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4" s="17" t="str">
        <f t="shared" si="13"/>
        <v>Còn trống</v>
      </c>
    </row>
    <row r="845" spans="1:16" x14ac:dyDescent="0.3">
      <c r="A845">
        <v>844</v>
      </c>
      <c r="B845" t="s">
        <v>1857</v>
      </c>
      <c r="C845" t="s">
        <v>1972</v>
      </c>
      <c r="D845" t="s">
        <v>1973</v>
      </c>
      <c r="E845" t="s">
        <v>26</v>
      </c>
      <c r="F845" t="s">
        <v>1875</v>
      </c>
      <c r="G845" t="s">
        <v>1876</v>
      </c>
      <c r="H845" t="str">
        <f>'Huong dan giao do an'!$B$14</f>
        <v>5 SV (vai trò chính): 1 PM/Scrum Master kiêm Integration; 2 BA/PO; 3 UI-UX + Frontend; 4 Backend/API + DevOps; 5 Database + QA/Tester. Mỗi SV có nhiệm vụ phụ và minh chứng cá nhân.</v>
      </c>
      <c r="I845" t="s">
        <v>22</v>
      </c>
      <c r="J845" t="s">
        <v>1862</v>
      </c>
      <c r="K845" t="str">
        <f>IF(I845="Trung bình",'Huong dan giao do an'!$B$8,IF(I845="Khá",'Huong dan giao do an'!$B$9,'Huong dan giao do an'!$B$10))</f>
        <v>Tối thiểu 4 actor; 10-14 use case; 8-12 bảng; 3 quy trình lõi; phân quyền chi tiết; 2 báo cáo; tích hợp 1 dịch vụ; &gt;=35 test case; CI/CD hoặc deploy cloud.</v>
      </c>
      <c r="L845" t="str">
        <f>'Huong dan giao do an'!$B$31</f>
        <v>Bắt buộc: Charter/PMP; SRS + scope/WBS; Gantt/baseline; effort-cost budget; RACI/timesheet; quality-test-defect; communication/minutes; risk register; procurement; change log; closure/lessons learned.</v>
      </c>
      <c r="M845" t="str">
        <f>'Huong dan giao do an'!$B$33</f>
        <v>Tuần 1: 07.09–13.09.2026; Tuần 2: 14.09–20.09.2026; Tuần 3: 21.09–27.09.2026; Tuần 4: 28.09–04.10.2026; Tuần 5: 05.10–11.10.2026; Tuần 6: 12.10–18.10.2026; Tuần 7: 19.10–25.10.2026; Tuần 8: 26.10–01.11.2026.</v>
      </c>
      <c r="N8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5" s="17" t="str">
        <f t="shared" si="13"/>
        <v>Còn trống</v>
      </c>
    </row>
    <row r="846" spans="1:16" x14ac:dyDescent="0.3">
      <c r="A846">
        <v>845</v>
      </c>
      <c r="B846" t="s">
        <v>1857</v>
      </c>
      <c r="C846" t="s">
        <v>1974</v>
      </c>
      <c r="D846" t="s">
        <v>1975</v>
      </c>
      <c r="E846" t="s">
        <v>33</v>
      </c>
      <c r="F846" t="s">
        <v>1879</v>
      </c>
      <c r="G846" t="s">
        <v>1880</v>
      </c>
      <c r="H846" t="str">
        <f>'Huong dan giao do an'!$B$14</f>
        <v>5 SV (vai trò chính): 1 PM/Scrum Master kiêm Integration; 2 BA/PO; 3 UI-UX + Frontend; 4 Backend/API + DevOps; 5 Database + QA/Tester. Mỗi SV có nhiệm vụ phụ và minh chứng cá nhân.</v>
      </c>
      <c r="I846" t="s">
        <v>29</v>
      </c>
      <c r="J846" t="s">
        <v>1867</v>
      </c>
      <c r="K846" t="str">
        <f>IF(I846="Trung bình",'Huong dan giao do an'!$B$8,IF(I846="Khá",'Huong dan giao do an'!$B$9,'Huong dan giao do an'!$B$10))</f>
        <v>Tối thiểu 5 actor; 14-18 use case; 10-15 bảng; 4 quy trình; tích hợp ngoài/realtime hoặc xử lý nâng cao; 3 báo cáo; &gt;=45 test case; logging, backup và deploy.</v>
      </c>
      <c r="L846" t="str">
        <f>'Huong dan giao do an'!$B$31</f>
        <v>Bắt buộc: Charter/PMP; SRS + scope/WBS; Gantt/baseline; effort-cost budget; RACI/timesheet; quality-test-defect; communication/minutes; risk register; procurement; change log; closure/lessons learned.</v>
      </c>
      <c r="M846" t="str">
        <f>'Huong dan giao do an'!$B$33</f>
        <v>Tuần 1: 07.09–13.09.2026; Tuần 2: 14.09–20.09.2026; Tuần 3: 21.09–27.09.2026; Tuần 4: 28.09–04.10.2026; Tuần 5: 05.10–11.10.2026; Tuần 6: 12.10–18.10.2026; Tuần 7: 19.10–25.10.2026; Tuần 8: 26.10–01.11.2026.</v>
      </c>
      <c r="N8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6" s="17" t="str">
        <f t="shared" si="13"/>
        <v>Còn trống</v>
      </c>
    </row>
    <row r="847" spans="1:16" x14ac:dyDescent="0.3">
      <c r="A847">
        <v>846</v>
      </c>
      <c r="B847" t="s">
        <v>1857</v>
      </c>
      <c r="C847" t="s">
        <v>1976</v>
      </c>
      <c r="D847" t="s">
        <v>1977</v>
      </c>
      <c r="E847" t="s">
        <v>40</v>
      </c>
      <c r="F847" t="s">
        <v>1860</v>
      </c>
      <c r="G847" t="s">
        <v>1883</v>
      </c>
      <c r="H847" t="str">
        <f>'Huong dan giao do an'!$B$14</f>
        <v>5 SV (vai trò chính): 1 PM/Scrum Master kiêm Integration; 2 BA/PO; 3 UI-UX + Frontend; 4 Backend/API + DevOps; 5 Database + QA/Tester. Mỗi SV có nhiệm vụ phụ và minh chứng cá nhân.</v>
      </c>
      <c r="I847" t="s">
        <v>36</v>
      </c>
      <c r="J847" t="s">
        <v>1872</v>
      </c>
      <c r="K847" t="str">
        <f>IF(I847="Trung bình",'Huong dan giao do an'!$B$8,IF(I847="Khá",'Huong dan giao do an'!$B$9,'Huong dan giao do an'!$B$10))</f>
        <v>Tối thiểu 3 actor; 8-10 use case; 6-8 bảng dữ liệu; 2 quy trình lõi; đăng nhập/RBAC; 1 dashboard; 1 báo cáo; &gt;=25 test case; triển khai bản demo.</v>
      </c>
      <c r="L847" t="str">
        <f>'Huong dan giao do an'!$B$31</f>
        <v>Bắt buộc: Charter/PMP; SRS + scope/WBS; Gantt/baseline; effort-cost budget; RACI/timesheet; quality-test-defect; communication/minutes; risk register; procurement; change log; closure/lessons learned.</v>
      </c>
      <c r="M847" t="str">
        <f>'Huong dan giao do an'!$B$33</f>
        <v>Tuần 1: 07.09–13.09.2026; Tuần 2: 14.09–20.09.2026; Tuần 3: 21.09–27.09.2026; Tuần 4: 28.09–04.10.2026; Tuần 5: 05.10–11.10.2026; Tuần 6: 12.10–18.10.2026; Tuần 7: 19.10–25.10.2026; Tuần 8: 26.10–01.11.2026.</v>
      </c>
      <c r="N8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7" s="17" t="str">
        <f t="shared" si="13"/>
        <v>Còn trống</v>
      </c>
    </row>
    <row r="848" spans="1:16" x14ac:dyDescent="0.3">
      <c r="A848">
        <v>847</v>
      </c>
      <c r="B848" t="s">
        <v>1857</v>
      </c>
      <c r="C848" t="s">
        <v>1978</v>
      </c>
      <c r="D848" t="s">
        <v>1979</v>
      </c>
      <c r="E848" t="s">
        <v>45</v>
      </c>
      <c r="F848" t="s">
        <v>1865</v>
      </c>
      <c r="G848" t="s">
        <v>1886</v>
      </c>
      <c r="H848" t="str">
        <f>'Huong dan giao do an'!$B$14</f>
        <v>5 SV (vai trò chính): 1 PM/Scrum Master kiêm Integration; 2 BA/PO; 3 UI-UX + Frontend; 4 Backend/API + DevOps; 5 Database + QA/Tester. Mỗi SV có nhiệm vụ phụ và minh chứng cá nhân.</v>
      </c>
      <c r="I848" t="s">
        <v>22</v>
      </c>
      <c r="J848" t="s">
        <v>1862</v>
      </c>
      <c r="K848" t="str">
        <f>IF(I848="Trung bình",'Huong dan giao do an'!$B$8,IF(I848="Khá",'Huong dan giao do an'!$B$9,'Huong dan giao do an'!$B$10))</f>
        <v>Tối thiểu 4 actor; 10-14 use case; 8-12 bảng; 3 quy trình lõi; phân quyền chi tiết; 2 báo cáo; tích hợp 1 dịch vụ; &gt;=35 test case; CI/CD hoặc deploy cloud.</v>
      </c>
      <c r="L848" t="str">
        <f>'Huong dan giao do an'!$B$31</f>
        <v>Bắt buộc: Charter/PMP; SRS + scope/WBS; Gantt/baseline; effort-cost budget; RACI/timesheet; quality-test-defect; communication/minutes; risk register; procurement; change log; closure/lessons learned.</v>
      </c>
      <c r="M848" t="str">
        <f>'Huong dan giao do an'!$B$33</f>
        <v>Tuần 1: 07.09–13.09.2026; Tuần 2: 14.09–20.09.2026; Tuần 3: 21.09–27.09.2026; Tuần 4: 28.09–04.10.2026; Tuần 5: 05.10–11.10.2026; Tuần 6: 12.10–18.10.2026; Tuần 7: 19.10–25.10.2026; Tuần 8: 26.10–01.11.2026.</v>
      </c>
      <c r="N8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8" s="17" t="str">
        <f t="shared" si="13"/>
        <v>Còn trống</v>
      </c>
    </row>
    <row r="849" spans="1:16" x14ac:dyDescent="0.3">
      <c r="A849">
        <v>848</v>
      </c>
      <c r="B849" t="s">
        <v>1857</v>
      </c>
      <c r="C849" t="s">
        <v>1980</v>
      </c>
      <c r="D849" t="s">
        <v>1981</v>
      </c>
      <c r="E849" t="s">
        <v>19</v>
      </c>
      <c r="F849" t="s">
        <v>1870</v>
      </c>
      <c r="G849" t="s">
        <v>1889</v>
      </c>
      <c r="H849" t="str">
        <f>'Huong dan giao do an'!$B$14</f>
        <v>5 SV (vai trò chính): 1 PM/Scrum Master kiêm Integration; 2 BA/PO; 3 UI-UX + Frontend; 4 Backend/API + DevOps; 5 Database + QA/Tester. Mỗi SV có nhiệm vụ phụ và minh chứng cá nhân.</v>
      </c>
      <c r="I849" t="s">
        <v>29</v>
      </c>
      <c r="J849" t="s">
        <v>1867</v>
      </c>
      <c r="K849" t="str">
        <f>IF(I849="Trung bình",'Huong dan giao do an'!$B$8,IF(I849="Khá",'Huong dan giao do an'!$B$9,'Huong dan giao do an'!$B$10))</f>
        <v>Tối thiểu 5 actor; 14-18 use case; 10-15 bảng; 4 quy trình; tích hợp ngoài/realtime hoặc xử lý nâng cao; 3 báo cáo; &gt;=45 test case; logging, backup và deploy.</v>
      </c>
      <c r="L849" t="str">
        <f>'Huong dan giao do an'!$B$31</f>
        <v>Bắt buộc: Charter/PMP; SRS + scope/WBS; Gantt/baseline; effort-cost budget; RACI/timesheet; quality-test-defect; communication/minutes; risk register; procurement; change log; closure/lessons learned.</v>
      </c>
      <c r="M849" t="str">
        <f>'Huong dan giao do an'!$B$33</f>
        <v>Tuần 1: 07.09–13.09.2026; Tuần 2: 14.09–20.09.2026; Tuần 3: 21.09–27.09.2026; Tuần 4: 28.09–04.10.2026; Tuần 5: 05.10–11.10.2026; Tuần 6: 12.10–18.10.2026; Tuần 7: 19.10–25.10.2026; Tuần 8: 26.10–01.11.2026.</v>
      </c>
      <c r="N8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49" s="17" t="str">
        <f t="shared" si="13"/>
        <v>Còn trống</v>
      </c>
    </row>
    <row r="850" spans="1:16" x14ac:dyDescent="0.3">
      <c r="A850">
        <v>849</v>
      </c>
      <c r="B850" t="s">
        <v>1857</v>
      </c>
      <c r="C850" t="s">
        <v>1982</v>
      </c>
      <c r="D850" t="s">
        <v>1983</v>
      </c>
      <c r="E850" t="s">
        <v>26</v>
      </c>
      <c r="F850" t="s">
        <v>1875</v>
      </c>
      <c r="G850" t="s">
        <v>1892</v>
      </c>
      <c r="H850" t="str">
        <f>'Huong dan giao do an'!$B$14</f>
        <v>5 SV (vai trò chính): 1 PM/Scrum Master kiêm Integration; 2 BA/PO; 3 UI-UX + Frontend; 4 Backend/API + DevOps; 5 Database + QA/Tester. Mỗi SV có nhiệm vụ phụ và minh chứng cá nhân.</v>
      </c>
      <c r="I850" t="s">
        <v>36</v>
      </c>
      <c r="J850" t="s">
        <v>1872</v>
      </c>
      <c r="K850" t="str">
        <f>IF(I850="Trung bình",'Huong dan giao do an'!$B$8,IF(I850="Khá",'Huong dan giao do an'!$B$9,'Huong dan giao do an'!$B$10))</f>
        <v>Tối thiểu 3 actor; 8-10 use case; 6-8 bảng dữ liệu; 2 quy trình lõi; đăng nhập/RBAC; 1 dashboard; 1 báo cáo; &gt;=25 test case; triển khai bản demo.</v>
      </c>
      <c r="L850" t="str">
        <f>'Huong dan giao do an'!$B$31</f>
        <v>Bắt buộc: Charter/PMP; SRS + scope/WBS; Gantt/baseline; effort-cost budget; RACI/timesheet; quality-test-defect; communication/minutes; risk register; procurement; change log; closure/lessons learned.</v>
      </c>
      <c r="M850" t="str">
        <f>'Huong dan giao do an'!$B$33</f>
        <v>Tuần 1: 07.09–13.09.2026; Tuần 2: 14.09–20.09.2026; Tuần 3: 21.09–27.09.2026; Tuần 4: 28.09–04.10.2026; Tuần 5: 05.10–11.10.2026; Tuần 6: 12.10–18.10.2026; Tuần 7: 19.10–25.10.2026; Tuần 8: 26.10–01.11.2026.</v>
      </c>
      <c r="N8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0" s="17" t="str">
        <f t="shared" si="13"/>
        <v>Còn trống</v>
      </c>
    </row>
    <row r="851" spans="1:16" x14ac:dyDescent="0.3">
      <c r="A851">
        <v>850</v>
      </c>
      <c r="B851" t="s">
        <v>1857</v>
      </c>
      <c r="C851" t="s">
        <v>1984</v>
      </c>
      <c r="D851" t="s">
        <v>1985</v>
      </c>
      <c r="E851" t="s">
        <v>33</v>
      </c>
      <c r="F851" t="s">
        <v>1879</v>
      </c>
      <c r="G851" t="s">
        <v>1895</v>
      </c>
      <c r="H851" t="str">
        <f>'Huong dan giao do an'!$B$14</f>
        <v>5 SV (vai trò chính): 1 PM/Scrum Master kiêm Integration; 2 BA/PO; 3 UI-UX + Frontend; 4 Backend/API + DevOps; 5 Database + QA/Tester. Mỗi SV có nhiệm vụ phụ và minh chứng cá nhân.</v>
      </c>
      <c r="I851" t="s">
        <v>22</v>
      </c>
      <c r="J851" t="s">
        <v>1862</v>
      </c>
      <c r="K851" t="str">
        <f>IF(I851="Trung bình",'Huong dan giao do an'!$B$8,IF(I851="Khá",'Huong dan giao do an'!$B$9,'Huong dan giao do an'!$B$10))</f>
        <v>Tối thiểu 4 actor; 10-14 use case; 8-12 bảng; 3 quy trình lõi; phân quyền chi tiết; 2 báo cáo; tích hợp 1 dịch vụ; &gt;=35 test case; CI/CD hoặc deploy cloud.</v>
      </c>
      <c r="L851" t="str">
        <f>'Huong dan giao do an'!$B$31</f>
        <v>Bắt buộc: Charter/PMP; SRS + scope/WBS; Gantt/baseline; effort-cost budget; RACI/timesheet; quality-test-defect; communication/minutes; risk register; procurement; change log; closure/lessons learned.</v>
      </c>
      <c r="M851" t="str">
        <f>'Huong dan giao do an'!$B$33</f>
        <v>Tuần 1: 07.09–13.09.2026; Tuần 2: 14.09–20.09.2026; Tuần 3: 21.09–27.09.2026; Tuần 4: 28.09–04.10.2026; Tuần 5: 05.10–11.10.2026; Tuần 6: 12.10–18.10.2026; Tuần 7: 19.10–25.10.2026; Tuần 8: 26.10–01.11.2026.</v>
      </c>
      <c r="N8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1" s="17" t="str">
        <f t="shared" si="13"/>
        <v>Còn trống</v>
      </c>
    </row>
    <row r="852" spans="1:16" x14ac:dyDescent="0.3">
      <c r="A852">
        <v>851</v>
      </c>
      <c r="B852" t="s">
        <v>1857</v>
      </c>
      <c r="C852" t="s">
        <v>1986</v>
      </c>
      <c r="D852" t="s">
        <v>1987</v>
      </c>
      <c r="E852" t="s">
        <v>40</v>
      </c>
      <c r="F852" t="s">
        <v>1860</v>
      </c>
      <c r="G852" t="s">
        <v>1898</v>
      </c>
      <c r="H852" t="str">
        <f>'Huong dan giao do an'!$B$14</f>
        <v>5 SV (vai trò chính): 1 PM/Scrum Master kiêm Integration; 2 BA/PO; 3 UI-UX + Frontend; 4 Backend/API + DevOps; 5 Database + QA/Tester. Mỗi SV có nhiệm vụ phụ và minh chứng cá nhân.</v>
      </c>
      <c r="I852" t="s">
        <v>29</v>
      </c>
      <c r="J852" t="s">
        <v>1867</v>
      </c>
      <c r="K852" t="str">
        <f>IF(I852="Trung bình",'Huong dan giao do an'!$B$8,IF(I852="Khá",'Huong dan giao do an'!$B$9,'Huong dan giao do an'!$B$10))</f>
        <v>Tối thiểu 5 actor; 14-18 use case; 10-15 bảng; 4 quy trình; tích hợp ngoài/realtime hoặc xử lý nâng cao; 3 báo cáo; &gt;=45 test case; logging, backup và deploy.</v>
      </c>
      <c r="L852" t="str">
        <f>'Huong dan giao do an'!$B$31</f>
        <v>Bắt buộc: Charter/PMP; SRS + scope/WBS; Gantt/baseline; effort-cost budget; RACI/timesheet; quality-test-defect; communication/minutes; risk register; procurement; change log; closure/lessons learned.</v>
      </c>
      <c r="M852" t="str">
        <f>'Huong dan giao do an'!$B$33</f>
        <v>Tuần 1: 07.09–13.09.2026; Tuần 2: 14.09–20.09.2026; Tuần 3: 21.09–27.09.2026; Tuần 4: 28.09–04.10.2026; Tuần 5: 05.10–11.10.2026; Tuần 6: 12.10–18.10.2026; Tuần 7: 19.10–25.10.2026; Tuần 8: 26.10–01.11.2026.</v>
      </c>
      <c r="N8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2" s="17" t="str">
        <f t="shared" si="13"/>
        <v>Còn trống</v>
      </c>
    </row>
    <row r="853" spans="1:16" x14ac:dyDescent="0.3">
      <c r="A853">
        <v>852</v>
      </c>
      <c r="B853" t="s">
        <v>1857</v>
      </c>
      <c r="C853" t="s">
        <v>1988</v>
      </c>
      <c r="D853" t="s">
        <v>1989</v>
      </c>
      <c r="E853" t="s">
        <v>45</v>
      </c>
      <c r="F853" t="s">
        <v>1865</v>
      </c>
      <c r="G853" t="s">
        <v>1901</v>
      </c>
      <c r="H853" t="str">
        <f>'Huong dan giao do an'!$B$14</f>
        <v>5 SV (vai trò chính): 1 PM/Scrum Master kiêm Integration; 2 BA/PO; 3 UI-UX + Frontend; 4 Backend/API + DevOps; 5 Database + QA/Tester. Mỗi SV có nhiệm vụ phụ và minh chứng cá nhân.</v>
      </c>
      <c r="I853" t="s">
        <v>36</v>
      </c>
      <c r="J853" t="s">
        <v>1872</v>
      </c>
      <c r="K853" t="str">
        <f>IF(I853="Trung bình",'Huong dan giao do an'!$B$8,IF(I853="Khá",'Huong dan giao do an'!$B$9,'Huong dan giao do an'!$B$10))</f>
        <v>Tối thiểu 3 actor; 8-10 use case; 6-8 bảng dữ liệu; 2 quy trình lõi; đăng nhập/RBAC; 1 dashboard; 1 báo cáo; &gt;=25 test case; triển khai bản demo.</v>
      </c>
      <c r="L853" t="str">
        <f>'Huong dan giao do an'!$B$31</f>
        <v>Bắt buộc: Charter/PMP; SRS + scope/WBS; Gantt/baseline; effort-cost budget; RACI/timesheet; quality-test-defect; communication/minutes; risk register; procurement; change log; closure/lessons learned.</v>
      </c>
      <c r="M853" t="str">
        <f>'Huong dan giao do an'!$B$33</f>
        <v>Tuần 1: 07.09–13.09.2026; Tuần 2: 14.09–20.09.2026; Tuần 3: 21.09–27.09.2026; Tuần 4: 28.09–04.10.2026; Tuần 5: 05.10–11.10.2026; Tuần 6: 12.10–18.10.2026; Tuần 7: 19.10–25.10.2026; Tuần 8: 26.10–01.11.2026.</v>
      </c>
      <c r="N8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3" s="17" t="str">
        <f t="shared" si="13"/>
        <v>Còn trống</v>
      </c>
    </row>
    <row r="854" spans="1:16" x14ac:dyDescent="0.3">
      <c r="A854">
        <v>853</v>
      </c>
      <c r="B854" t="s">
        <v>1857</v>
      </c>
      <c r="C854" t="s">
        <v>1990</v>
      </c>
      <c r="D854" t="s">
        <v>1991</v>
      </c>
      <c r="E854" t="s">
        <v>19</v>
      </c>
      <c r="F854" t="s">
        <v>1870</v>
      </c>
      <c r="G854" t="s">
        <v>1904</v>
      </c>
      <c r="H854" t="str">
        <f>'Huong dan giao do an'!$B$14</f>
        <v>5 SV (vai trò chính): 1 PM/Scrum Master kiêm Integration; 2 BA/PO; 3 UI-UX + Frontend; 4 Backend/API + DevOps; 5 Database + QA/Tester. Mỗi SV có nhiệm vụ phụ và minh chứng cá nhân.</v>
      </c>
      <c r="I854" t="s">
        <v>22</v>
      </c>
      <c r="J854" t="s">
        <v>1862</v>
      </c>
      <c r="K854" t="str">
        <f>IF(I854="Trung bình",'Huong dan giao do an'!$B$8,IF(I854="Khá",'Huong dan giao do an'!$B$9,'Huong dan giao do an'!$B$10))</f>
        <v>Tối thiểu 4 actor; 10-14 use case; 8-12 bảng; 3 quy trình lõi; phân quyền chi tiết; 2 báo cáo; tích hợp 1 dịch vụ; &gt;=35 test case; CI/CD hoặc deploy cloud.</v>
      </c>
      <c r="L854" t="str">
        <f>'Huong dan giao do an'!$B$31</f>
        <v>Bắt buộc: Charter/PMP; SRS + scope/WBS; Gantt/baseline; effort-cost budget; RACI/timesheet; quality-test-defect; communication/minutes; risk register; procurement; change log; closure/lessons learned.</v>
      </c>
      <c r="M854" t="str">
        <f>'Huong dan giao do an'!$B$33</f>
        <v>Tuần 1: 07.09–13.09.2026; Tuần 2: 14.09–20.09.2026; Tuần 3: 21.09–27.09.2026; Tuần 4: 28.09–04.10.2026; Tuần 5: 05.10–11.10.2026; Tuần 6: 12.10–18.10.2026; Tuần 7: 19.10–25.10.2026; Tuần 8: 26.10–01.11.2026.</v>
      </c>
      <c r="N8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4" s="17" t="str">
        <f t="shared" si="13"/>
        <v>Còn trống</v>
      </c>
    </row>
    <row r="855" spans="1:16" x14ac:dyDescent="0.3">
      <c r="A855">
        <v>854</v>
      </c>
      <c r="B855" t="s">
        <v>1857</v>
      </c>
      <c r="C855" t="s">
        <v>1992</v>
      </c>
      <c r="D855" t="s">
        <v>1993</v>
      </c>
      <c r="E855" t="s">
        <v>26</v>
      </c>
      <c r="F855" t="s">
        <v>1875</v>
      </c>
      <c r="G855" t="s">
        <v>1907</v>
      </c>
      <c r="H855" t="str">
        <f>'Huong dan giao do an'!$B$14</f>
        <v>5 SV (vai trò chính): 1 PM/Scrum Master kiêm Integration; 2 BA/PO; 3 UI-UX + Frontend; 4 Backend/API + DevOps; 5 Database + QA/Tester. Mỗi SV có nhiệm vụ phụ và minh chứng cá nhân.</v>
      </c>
      <c r="I855" t="s">
        <v>29</v>
      </c>
      <c r="J855" t="s">
        <v>1867</v>
      </c>
      <c r="K855" t="str">
        <f>IF(I855="Trung bình",'Huong dan giao do an'!$B$8,IF(I855="Khá",'Huong dan giao do an'!$B$9,'Huong dan giao do an'!$B$10))</f>
        <v>Tối thiểu 5 actor; 14-18 use case; 10-15 bảng; 4 quy trình; tích hợp ngoài/realtime hoặc xử lý nâng cao; 3 báo cáo; &gt;=45 test case; logging, backup và deploy.</v>
      </c>
      <c r="L855" t="str">
        <f>'Huong dan giao do an'!$B$31</f>
        <v>Bắt buộc: Charter/PMP; SRS + scope/WBS; Gantt/baseline; effort-cost budget; RACI/timesheet; quality-test-defect; communication/minutes; risk register; procurement; change log; closure/lessons learned.</v>
      </c>
      <c r="M855" t="str">
        <f>'Huong dan giao do an'!$B$33</f>
        <v>Tuần 1: 07.09–13.09.2026; Tuần 2: 14.09–20.09.2026; Tuần 3: 21.09–27.09.2026; Tuần 4: 28.09–04.10.2026; Tuần 5: 05.10–11.10.2026; Tuần 6: 12.10–18.10.2026; Tuần 7: 19.10–25.10.2026; Tuần 8: 26.10–01.11.2026.</v>
      </c>
      <c r="N8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5" s="17" t="str">
        <f t="shared" si="13"/>
        <v>Còn trống</v>
      </c>
    </row>
    <row r="856" spans="1:16" x14ac:dyDescent="0.3">
      <c r="A856">
        <v>855</v>
      </c>
      <c r="B856" t="s">
        <v>1857</v>
      </c>
      <c r="C856" t="s">
        <v>1994</v>
      </c>
      <c r="D856" t="s">
        <v>1995</v>
      </c>
      <c r="E856" t="s">
        <v>33</v>
      </c>
      <c r="F856" t="s">
        <v>1879</v>
      </c>
      <c r="G856" t="s">
        <v>1910</v>
      </c>
      <c r="H856" t="str">
        <f>'Huong dan giao do an'!$B$14</f>
        <v>5 SV (vai trò chính): 1 PM/Scrum Master kiêm Integration; 2 BA/PO; 3 UI-UX + Frontend; 4 Backend/API + DevOps; 5 Database + QA/Tester. Mỗi SV có nhiệm vụ phụ và minh chứng cá nhân.</v>
      </c>
      <c r="I856" t="s">
        <v>36</v>
      </c>
      <c r="J856" t="s">
        <v>1872</v>
      </c>
      <c r="K856" t="str">
        <f>IF(I856="Trung bình",'Huong dan giao do an'!$B$8,IF(I856="Khá",'Huong dan giao do an'!$B$9,'Huong dan giao do an'!$B$10))</f>
        <v>Tối thiểu 3 actor; 8-10 use case; 6-8 bảng dữ liệu; 2 quy trình lõi; đăng nhập/RBAC; 1 dashboard; 1 báo cáo; &gt;=25 test case; triển khai bản demo.</v>
      </c>
      <c r="L856" t="str">
        <f>'Huong dan giao do an'!$B$31</f>
        <v>Bắt buộc: Charter/PMP; SRS + scope/WBS; Gantt/baseline; effort-cost budget; RACI/timesheet; quality-test-defect; communication/minutes; risk register; procurement; change log; closure/lessons learned.</v>
      </c>
      <c r="M856" t="str">
        <f>'Huong dan giao do an'!$B$33</f>
        <v>Tuần 1: 07.09–13.09.2026; Tuần 2: 14.09–20.09.2026; Tuần 3: 21.09–27.09.2026; Tuần 4: 28.09–04.10.2026; Tuần 5: 05.10–11.10.2026; Tuần 6: 12.10–18.10.2026; Tuần 7: 19.10–25.10.2026; Tuần 8: 26.10–01.11.2026.</v>
      </c>
      <c r="N8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6" s="17" t="str">
        <f t="shared" si="13"/>
        <v>Còn trống</v>
      </c>
    </row>
    <row r="857" spans="1:16" x14ac:dyDescent="0.3">
      <c r="A857">
        <v>856</v>
      </c>
      <c r="B857" t="s">
        <v>1857</v>
      </c>
      <c r="C857" t="s">
        <v>1996</v>
      </c>
      <c r="D857" t="s">
        <v>1997</v>
      </c>
      <c r="E857" t="s">
        <v>40</v>
      </c>
      <c r="F857" t="s">
        <v>1860</v>
      </c>
      <c r="G857" t="s">
        <v>1913</v>
      </c>
      <c r="H857" t="str">
        <f>'Huong dan giao do an'!$B$14</f>
        <v>5 SV (vai trò chính): 1 PM/Scrum Master kiêm Integration; 2 BA/PO; 3 UI-UX + Frontend; 4 Backend/API + DevOps; 5 Database + QA/Tester. Mỗi SV có nhiệm vụ phụ và minh chứng cá nhân.</v>
      </c>
      <c r="I857" t="s">
        <v>22</v>
      </c>
      <c r="J857" t="s">
        <v>1862</v>
      </c>
      <c r="K857" t="str">
        <f>IF(I857="Trung bình",'Huong dan giao do an'!$B$8,IF(I857="Khá",'Huong dan giao do an'!$B$9,'Huong dan giao do an'!$B$10))</f>
        <v>Tối thiểu 4 actor; 10-14 use case; 8-12 bảng; 3 quy trình lõi; phân quyền chi tiết; 2 báo cáo; tích hợp 1 dịch vụ; &gt;=35 test case; CI/CD hoặc deploy cloud.</v>
      </c>
      <c r="L857" t="str">
        <f>'Huong dan giao do an'!$B$31</f>
        <v>Bắt buộc: Charter/PMP; SRS + scope/WBS; Gantt/baseline; effort-cost budget; RACI/timesheet; quality-test-defect; communication/minutes; risk register; procurement; change log; closure/lessons learned.</v>
      </c>
      <c r="M857" t="str">
        <f>'Huong dan giao do an'!$B$33</f>
        <v>Tuần 1: 07.09–13.09.2026; Tuần 2: 14.09–20.09.2026; Tuần 3: 21.09–27.09.2026; Tuần 4: 28.09–04.10.2026; Tuần 5: 05.10–11.10.2026; Tuần 6: 12.10–18.10.2026; Tuần 7: 19.10–25.10.2026; Tuần 8: 26.10–01.11.2026.</v>
      </c>
      <c r="N8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7" s="17" t="str">
        <f t="shared" si="13"/>
        <v>Còn trống</v>
      </c>
    </row>
    <row r="858" spans="1:16" x14ac:dyDescent="0.3">
      <c r="A858">
        <v>857</v>
      </c>
      <c r="B858" t="s">
        <v>1857</v>
      </c>
      <c r="C858" t="s">
        <v>1998</v>
      </c>
      <c r="D858" t="s">
        <v>1999</v>
      </c>
      <c r="E858" t="s">
        <v>45</v>
      </c>
      <c r="F858" t="s">
        <v>1865</v>
      </c>
      <c r="G858" t="s">
        <v>1916</v>
      </c>
      <c r="H858" t="str">
        <f>'Huong dan giao do an'!$B$14</f>
        <v>5 SV (vai trò chính): 1 PM/Scrum Master kiêm Integration; 2 BA/PO; 3 UI-UX + Frontend; 4 Backend/API + DevOps; 5 Database + QA/Tester. Mỗi SV có nhiệm vụ phụ và minh chứng cá nhân.</v>
      </c>
      <c r="I858" t="s">
        <v>29</v>
      </c>
      <c r="J858" t="s">
        <v>1867</v>
      </c>
      <c r="K858" t="str">
        <f>IF(I858="Trung bình",'Huong dan giao do an'!$B$8,IF(I858="Khá",'Huong dan giao do an'!$B$9,'Huong dan giao do an'!$B$10))</f>
        <v>Tối thiểu 5 actor; 14-18 use case; 10-15 bảng; 4 quy trình; tích hợp ngoài/realtime hoặc xử lý nâng cao; 3 báo cáo; &gt;=45 test case; logging, backup và deploy.</v>
      </c>
      <c r="L858" t="str">
        <f>'Huong dan giao do an'!$B$31</f>
        <v>Bắt buộc: Charter/PMP; SRS + scope/WBS; Gantt/baseline; effort-cost budget; RACI/timesheet; quality-test-defect; communication/minutes; risk register; procurement; change log; closure/lessons learned.</v>
      </c>
      <c r="M858" t="str">
        <f>'Huong dan giao do an'!$B$33</f>
        <v>Tuần 1: 07.09–13.09.2026; Tuần 2: 14.09–20.09.2026; Tuần 3: 21.09–27.09.2026; Tuần 4: 28.09–04.10.2026; Tuần 5: 05.10–11.10.2026; Tuần 6: 12.10–18.10.2026; Tuần 7: 19.10–25.10.2026; Tuần 8: 26.10–01.11.2026.</v>
      </c>
      <c r="N8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8" s="17" t="str">
        <f t="shared" si="13"/>
        <v>Còn trống</v>
      </c>
    </row>
    <row r="859" spans="1:16" x14ac:dyDescent="0.3">
      <c r="A859">
        <v>858</v>
      </c>
      <c r="B859" t="s">
        <v>1857</v>
      </c>
      <c r="C859" t="s">
        <v>2000</v>
      </c>
      <c r="D859" t="s">
        <v>2001</v>
      </c>
      <c r="E859" t="s">
        <v>19</v>
      </c>
      <c r="F859" t="s">
        <v>1870</v>
      </c>
      <c r="G859" t="s">
        <v>1919</v>
      </c>
      <c r="H859" t="str">
        <f>'Huong dan giao do an'!$B$14</f>
        <v>5 SV (vai trò chính): 1 PM/Scrum Master kiêm Integration; 2 BA/PO; 3 UI-UX + Frontend; 4 Backend/API + DevOps; 5 Database + QA/Tester. Mỗi SV có nhiệm vụ phụ và minh chứng cá nhân.</v>
      </c>
      <c r="I859" t="s">
        <v>36</v>
      </c>
      <c r="J859" t="s">
        <v>1872</v>
      </c>
      <c r="K859" t="str">
        <f>IF(I859="Trung bình",'Huong dan giao do an'!$B$8,IF(I859="Khá",'Huong dan giao do an'!$B$9,'Huong dan giao do an'!$B$10))</f>
        <v>Tối thiểu 3 actor; 8-10 use case; 6-8 bảng dữ liệu; 2 quy trình lõi; đăng nhập/RBAC; 1 dashboard; 1 báo cáo; &gt;=25 test case; triển khai bản demo.</v>
      </c>
      <c r="L859" t="str">
        <f>'Huong dan giao do an'!$B$31</f>
        <v>Bắt buộc: Charter/PMP; SRS + scope/WBS; Gantt/baseline; effort-cost budget; RACI/timesheet; quality-test-defect; communication/minutes; risk register; procurement; change log; closure/lessons learned.</v>
      </c>
      <c r="M859" t="str">
        <f>'Huong dan giao do an'!$B$33</f>
        <v>Tuần 1: 07.09–13.09.2026; Tuần 2: 14.09–20.09.2026; Tuần 3: 21.09–27.09.2026; Tuần 4: 28.09–04.10.2026; Tuần 5: 05.10–11.10.2026; Tuần 6: 12.10–18.10.2026; Tuần 7: 19.10–25.10.2026; Tuần 8: 26.10–01.11.2026.</v>
      </c>
      <c r="N8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59" s="17" t="str">
        <f t="shared" si="13"/>
        <v>Còn trống</v>
      </c>
    </row>
    <row r="860" spans="1:16" x14ac:dyDescent="0.3">
      <c r="A860">
        <v>859</v>
      </c>
      <c r="B860" t="s">
        <v>1857</v>
      </c>
      <c r="C860" t="s">
        <v>2002</v>
      </c>
      <c r="D860" t="s">
        <v>2003</v>
      </c>
      <c r="E860" t="s">
        <v>26</v>
      </c>
      <c r="F860" t="s">
        <v>1875</v>
      </c>
      <c r="G860" t="s">
        <v>1922</v>
      </c>
      <c r="H860" t="str">
        <f>'Huong dan giao do an'!$B$14</f>
        <v>5 SV (vai trò chính): 1 PM/Scrum Master kiêm Integration; 2 BA/PO; 3 UI-UX + Frontend; 4 Backend/API + DevOps; 5 Database + QA/Tester. Mỗi SV có nhiệm vụ phụ và minh chứng cá nhân.</v>
      </c>
      <c r="I860" t="s">
        <v>22</v>
      </c>
      <c r="J860" t="s">
        <v>1862</v>
      </c>
      <c r="K860" t="str">
        <f>IF(I860="Trung bình",'Huong dan giao do an'!$B$8,IF(I860="Khá",'Huong dan giao do an'!$B$9,'Huong dan giao do an'!$B$10))</f>
        <v>Tối thiểu 4 actor; 10-14 use case; 8-12 bảng; 3 quy trình lõi; phân quyền chi tiết; 2 báo cáo; tích hợp 1 dịch vụ; &gt;=35 test case; CI/CD hoặc deploy cloud.</v>
      </c>
      <c r="L860" t="str">
        <f>'Huong dan giao do an'!$B$31</f>
        <v>Bắt buộc: Charter/PMP; SRS + scope/WBS; Gantt/baseline; effort-cost budget; RACI/timesheet; quality-test-defect; communication/minutes; risk register; procurement; change log; closure/lessons learned.</v>
      </c>
      <c r="M860" t="str">
        <f>'Huong dan giao do an'!$B$33</f>
        <v>Tuần 1: 07.09–13.09.2026; Tuần 2: 14.09–20.09.2026; Tuần 3: 21.09–27.09.2026; Tuần 4: 28.09–04.10.2026; Tuần 5: 05.10–11.10.2026; Tuần 6: 12.10–18.10.2026; Tuần 7: 19.10–25.10.2026; Tuần 8: 26.10–01.11.2026.</v>
      </c>
      <c r="N8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0" s="17" t="str">
        <f t="shared" si="13"/>
        <v>Còn trống</v>
      </c>
    </row>
    <row r="861" spans="1:16" x14ac:dyDescent="0.3">
      <c r="A861">
        <v>860</v>
      </c>
      <c r="B861" t="s">
        <v>1857</v>
      </c>
      <c r="C861" t="s">
        <v>2004</v>
      </c>
      <c r="D861" t="s">
        <v>2005</v>
      </c>
      <c r="E861" t="s">
        <v>33</v>
      </c>
      <c r="F861" t="s">
        <v>1879</v>
      </c>
      <c r="G861" t="s">
        <v>1925</v>
      </c>
      <c r="H861" t="str">
        <f>'Huong dan giao do an'!$B$14</f>
        <v>5 SV (vai trò chính): 1 PM/Scrum Master kiêm Integration; 2 BA/PO; 3 UI-UX + Frontend; 4 Backend/API + DevOps; 5 Database + QA/Tester. Mỗi SV có nhiệm vụ phụ và minh chứng cá nhân.</v>
      </c>
      <c r="I861" t="s">
        <v>29</v>
      </c>
      <c r="J861" t="s">
        <v>1867</v>
      </c>
      <c r="K861" t="str">
        <f>IF(I861="Trung bình",'Huong dan giao do an'!$B$8,IF(I861="Khá",'Huong dan giao do an'!$B$9,'Huong dan giao do an'!$B$10))</f>
        <v>Tối thiểu 5 actor; 14-18 use case; 10-15 bảng; 4 quy trình; tích hợp ngoài/realtime hoặc xử lý nâng cao; 3 báo cáo; &gt;=45 test case; logging, backup và deploy.</v>
      </c>
      <c r="L861" t="str">
        <f>'Huong dan giao do an'!$B$31</f>
        <v>Bắt buộc: Charter/PMP; SRS + scope/WBS; Gantt/baseline; effort-cost budget; RACI/timesheet; quality-test-defect; communication/minutes; risk register; procurement; change log; closure/lessons learned.</v>
      </c>
      <c r="M861" t="str">
        <f>'Huong dan giao do an'!$B$33</f>
        <v>Tuần 1: 07.09–13.09.2026; Tuần 2: 14.09–20.09.2026; Tuần 3: 21.09–27.09.2026; Tuần 4: 28.09–04.10.2026; Tuần 5: 05.10–11.10.2026; Tuần 6: 12.10–18.10.2026; Tuần 7: 19.10–25.10.2026; Tuần 8: 26.10–01.11.2026.</v>
      </c>
      <c r="N8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1" s="17" t="str">
        <f t="shared" si="13"/>
        <v>Còn trống</v>
      </c>
    </row>
    <row r="862" spans="1:16" x14ac:dyDescent="0.3">
      <c r="A862">
        <v>861</v>
      </c>
      <c r="B862" t="s">
        <v>1857</v>
      </c>
      <c r="C862" t="s">
        <v>2006</v>
      </c>
      <c r="D862" t="s">
        <v>2007</v>
      </c>
      <c r="E862" t="s">
        <v>40</v>
      </c>
      <c r="F862" t="s">
        <v>1860</v>
      </c>
      <c r="G862" t="s">
        <v>1861</v>
      </c>
      <c r="H862" t="str">
        <f>'Huong dan giao do an'!$B$14</f>
        <v>5 SV (vai trò chính): 1 PM/Scrum Master kiêm Integration; 2 BA/PO; 3 UI-UX + Frontend; 4 Backend/API + DevOps; 5 Database + QA/Tester. Mỗi SV có nhiệm vụ phụ và minh chứng cá nhân.</v>
      </c>
      <c r="I862" t="s">
        <v>22</v>
      </c>
      <c r="J862" t="s">
        <v>1862</v>
      </c>
      <c r="K862" t="str">
        <f>IF(I862="Trung bình",'Huong dan giao do an'!$B$8,IF(I862="Khá",'Huong dan giao do an'!$B$9,'Huong dan giao do an'!$B$10))</f>
        <v>Tối thiểu 4 actor; 10-14 use case; 8-12 bảng; 3 quy trình lõi; phân quyền chi tiết; 2 báo cáo; tích hợp 1 dịch vụ; &gt;=35 test case; CI/CD hoặc deploy cloud.</v>
      </c>
      <c r="L862" t="str">
        <f>'Huong dan giao do an'!$B$31</f>
        <v>Bắt buộc: Charter/PMP; SRS + scope/WBS; Gantt/baseline; effort-cost budget; RACI/timesheet; quality-test-defect; communication/minutes; risk register; procurement; change log; closure/lessons learned.</v>
      </c>
      <c r="M862" t="str">
        <f>'Huong dan giao do an'!$B$33</f>
        <v>Tuần 1: 07.09–13.09.2026; Tuần 2: 14.09–20.09.2026; Tuần 3: 21.09–27.09.2026; Tuần 4: 28.09–04.10.2026; Tuần 5: 05.10–11.10.2026; Tuần 6: 12.10–18.10.2026; Tuần 7: 19.10–25.10.2026; Tuần 8: 26.10–01.11.2026.</v>
      </c>
      <c r="N8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2" s="17" t="str">
        <f t="shared" si="13"/>
        <v>Còn trống</v>
      </c>
    </row>
    <row r="863" spans="1:16" x14ac:dyDescent="0.3">
      <c r="A863">
        <v>862</v>
      </c>
      <c r="B863" t="s">
        <v>1857</v>
      </c>
      <c r="C863" t="s">
        <v>2008</v>
      </c>
      <c r="D863" t="s">
        <v>2009</v>
      </c>
      <c r="E863" t="s">
        <v>45</v>
      </c>
      <c r="F863" t="s">
        <v>1865</v>
      </c>
      <c r="G863" t="s">
        <v>1866</v>
      </c>
      <c r="H863" t="str">
        <f>'Huong dan giao do an'!$B$14</f>
        <v>5 SV (vai trò chính): 1 PM/Scrum Master kiêm Integration; 2 BA/PO; 3 UI-UX + Frontend; 4 Backend/API + DevOps; 5 Database + QA/Tester. Mỗi SV có nhiệm vụ phụ và minh chứng cá nhân.</v>
      </c>
      <c r="I863" t="s">
        <v>29</v>
      </c>
      <c r="J863" t="s">
        <v>1867</v>
      </c>
      <c r="K863" t="str">
        <f>IF(I863="Trung bình",'Huong dan giao do an'!$B$8,IF(I863="Khá",'Huong dan giao do an'!$B$9,'Huong dan giao do an'!$B$10))</f>
        <v>Tối thiểu 5 actor; 14-18 use case; 10-15 bảng; 4 quy trình; tích hợp ngoài/realtime hoặc xử lý nâng cao; 3 báo cáo; &gt;=45 test case; logging, backup và deploy.</v>
      </c>
      <c r="L863" t="str">
        <f>'Huong dan giao do an'!$B$31</f>
        <v>Bắt buộc: Charter/PMP; SRS + scope/WBS; Gantt/baseline; effort-cost budget; RACI/timesheet; quality-test-defect; communication/minutes; risk register; procurement; change log; closure/lessons learned.</v>
      </c>
      <c r="M863" t="str">
        <f>'Huong dan giao do an'!$B$33</f>
        <v>Tuần 1: 07.09–13.09.2026; Tuần 2: 14.09–20.09.2026; Tuần 3: 21.09–27.09.2026; Tuần 4: 28.09–04.10.2026; Tuần 5: 05.10–11.10.2026; Tuần 6: 12.10–18.10.2026; Tuần 7: 19.10–25.10.2026; Tuần 8: 26.10–01.11.2026.</v>
      </c>
      <c r="N8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3" s="17" t="str">
        <f t="shared" si="13"/>
        <v>Còn trống</v>
      </c>
    </row>
    <row r="864" spans="1:16" x14ac:dyDescent="0.3">
      <c r="A864">
        <v>863</v>
      </c>
      <c r="B864" t="s">
        <v>1857</v>
      </c>
      <c r="C864" t="s">
        <v>2010</v>
      </c>
      <c r="D864" t="s">
        <v>2011</v>
      </c>
      <c r="E864" t="s">
        <v>19</v>
      </c>
      <c r="F864" t="s">
        <v>1870</v>
      </c>
      <c r="G864" t="s">
        <v>1871</v>
      </c>
      <c r="H864" t="str">
        <f>'Huong dan giao do an'!$B$14</f>
        <v>5 SV (vai trò chính): 1 PM/Scrum Master kiêm Integration; 2 BA/PO; 3 UI-UX + Frontend; 4 Backend/API + DevOps; 5 Database + QA/Tester. Mỗi SV có nhiệm vụ phụ và minh chứng cá nhân.</v>
      </c>
      <c r="I864" t="s">
        <v>36</v>
      </c>
      <c r="J864" t="s">
        <v>1872</v>
      </c>
      <c r="K864" t="str">
        <f>IF(I864="Trung bình",'Huong dan giao do an'!$B$8,IF(I864="Khá",'Huong dan giao do an'!$B$9,'Huong dan giao do an'!$B$10))</f>
        <v>Tối thiểu 3 actor; 8-10 use case; 6-8 bảng dữ liệu; 2 quy trình lõi; đăng nhập/RBAC; 1 dashboard; 1 báo cáo; &gt;=25 test case; triển khai bản demo.</v>
      </c>
      <c r="L864" t="str">
        <f>'Huong dan giao do an'!$B$31</f>
        <v>Bắt buộc: Charter/PMP; SRS + scope/WBS; Gantt/baseline; effort-cost budget; RACI/timesheet; quality-test-defect; communication/minutes; risk register; procurement; change log; closure/lessons learned.</v>
      </c>
      <c r="M864" t="str">
        <f>'Huong dan giao do an'!$B$33</f>
        <v>Tuần 1: 07.09–13.09.2026; Tuần 2: 14.09–20.09.2026; Tuần 3: 21.09–27.09.2026; Tuần 4: 28.09–04.10.2026; Tuần 5: 05.10–11.10.2026; Tuần 6: 12.10–18.10.2026; Tuần 7: 19.10–25.10.2026; Tuần 8: 26.10–01.11.2026.</v>
      </c>
      <c r="N8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4" s="17" t="str">
        <f t="shared" si="13"/>
        <v>Còn trống</v>
      </c>
    </row>
    <row r="865" spans="1:16" x14ac:dyDescent="0.3">
      <c r="A865">
        <v>864</v>
      </c>
      <c r="B865" t="s">
        <v>1857</v>
      </c>
      <c r="C865" t="s">
        <v>2012</v>
      </c>
      <c r="D865" t="s">
        <v>2013</v>
      </c>
      <c r="E865" t="s">
        <v>26</v>
      </c>
      <c r="F865" t="s">
        <v>1875</v>
      </c>
      <c r="G865" t="s">
        <v>1876</v>
      </c>
      <c r="H865" t="str">
        <f>'Huong dan giao do an'!$B$14</f>
        <v>5 SV (vai trò chính): 1 PM/Scrum Master kiêm Integration; 2 BA/PO; 3 UI-UX + Frontend; 4 Backend/API + DevOps; 5 Database + QA/Tester. Mỗi SV có nhiệm vụ phụ và minh chứng cá nhân.</v>
      </c>
      <c r="I865" t="s">
        <v>22</v>
      </c>
      <c r="J865" t="s">
        <v>1862</v>
      </c>
      <c r="K865" t="str">
        <f>IF(I865="Trung bình",'Huong dan giao do an'!$B$8,IF(I865="Khá",'Huong dan giao do an'!$B$9,'Huong dan giao do an'!$B$10))</f>
        <v>Tối thiểu 4 actor; 10-14 use case; 8-12 bảng; 3 quy trình lõi; phân quyền chi tiết; 2 báo cáo; tích hợp 1 dịch vụ; &gt;=35 test case; CI/CD hoặc deploy cloud.</v>
      </c>
      <c r="L865" t="str">
        <f>'Huong dan giao do an'!$B$31</f>
        <v>Bắt buộc: Charter/PMP; SRS + scope/WBS; Gantt/baseline; effort-cost budget; RACI/timesheet; quality-test-defect; communication/minutes; risk register; procurement; change log; closure/lessons learned.</v>
      </c>
      <c r="M865" t="str">
        <f>'Huong dan giao do an'!$B$33</f>
        <v>Tuần 1: 07.09–13.09.2026; Tuần 2: 14.09–20.09.2026; Tuần 3: 21.09–27.09.2026; Tuần 4: 28.09–04.10.2026; Tuần 5: 05.10–11.10.2026; Tuần 6: 12.10–18.10.2026; Tuần 7: 19.10–25.10.2026; Tuần 8: 26.10–01.11.2026.</v>
      </c>
      <c r="N8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5" s="17" t="str">
        <f t="shared" si="13"/>
        <v>Còn trống</v>
      </c>
    </row>
    <row r="866" spans="1:16" x14ac:dyDescent="0.3">
      <c r="A866">
        <v>865</v>
      </c>
      <c r="B866" t="s">
        <v>1857</v>
      </c>
      <c r="C866" t="s">
        <v>2014</v>
      </c>
      <c r="D866" t="s">
        <v>2015</v>
      </c>
      <c r="E866" t="s">
        <v>33</v>
      </c>
      <c r="F866" t="s">
        <v>1879</v>
      </c>
      <c r="G866" t="s">
        <v>1880</v>
      </c>
      <c r="H866" t="str">
        <f>'Huong dan giao do an'!$B$14</f>
        <v>5 SV (vai trò chính): 1 PM/Scrum Master kiêm Integration; 2 BA/PO; 3 UI-UX + Frontend; 4 Backend/API + DevOps; 5 Database + QA/Tester. Mỗi SV có nhiệm vụ phụ và minh chứng cá nhân.</v>
      </c>
      <c r="I866" t="s">
        <v>29</v>
      </c>
      <c r="J866" t="s">
        <v>1867</v>
      </c>
      <c r="K866" t="str">
        <f>IF(I866="Trung bình",'Huong dan giao do an'!$B$8,IF(I866="Khá",'Huong dan giao do an'!$B$9,'Huong dan giao do an'!$B$10))</f>
        <v>Tối thiểu 5 actor; 14-18 use case; 10-15 bảng; 4 quy trình; tích hợp ngoài/realtime hoặc xử lý nâng cao; 3 báo cáo; &gt;=45 test case; logging, backup và deploy.</v>
      </c>
      <c r="L866" t="str">
        <f>'Huong dan giao do an'!$B$31</f>
        <v>Bắt buộc: Charter/PMP; SRS + scope/WBS; Gantt/baseline; effort-cost budget; RACI/timesheet; quality-test-defect; communication/minutes; risk register; procurement; change log; closure/lessons learned.</v>
      </c>
      <c r="M866" t="str">
        <f>'Huong dan giao do an'!$B$33</f>
        <v>Tuần 1: 07.09–13.09.2026; Tuần 2: 14.09–20.09.2026; Tuần 3: 21.09–27.09.2026; Tuần 4: 28.09–04.10.2026; Tuần 5: 05.10–11.10.2026; Tuần 6: 12.10–18.10.2026; Tuần 7: 19.10–25.10.2026; Tuần 8: 26.10–01.11.2026.</v>
      </c>
      <c r="N8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6" s="17" t="str">
        <f t="shared" si="13"/>
        <v>Còn trống</v>
      </c>
    </row>
    <row r="867" spans="1:16" x14ac:dyDescent="0.3">
      <c r="A867">
        <v>866</v>
      </c>
      <c r="B867" t="s">
        <v>1857</v>
      </c>
      <c r="C867" t="s">
        <v>2016</v>
      </c>
      <c r="D867" t="s">
        <v>2017</v>
      </c>
      <c r="E867" t="s">
        <v>40</v>
      </c>
      <c r="F867" t="s">
        <v>1860</v>
      </c>
      <c r="G867" t="s">
        <v>1883</v>
      </c>
      <c r="H867" t="str">
        <f>'Huong dan giao do an'!$B$14</f>
        <v>5 SV (vai trò chính): 1 PM/Scrum Master kiêm Integration; 2 BA/PO; 3 UI-UX + Frontend; 4 Backend/API + DevOps; 5 Database + QA/Tester. Mỗi SV có nhiệm vụ phụ và minh chứng cá nhân.</v>
      </c>
      <c r="I867" t="s">
        <v>36</v>
      </c>
      <c r="J867" t="s">
        <v>1872</v>
      </c>
      <c r="K867" t="str">
        <f>IF(I867="Trung bình",'Huong dan giao do an'!$B$8,IF(I867="Khá",'Huong dan giao do an'!$B$9,'Huong dan giao do an'!$B$10))</f>
        <v>Tối thiểu 3 actor; 8-10 use case; 6-8 bảng dữ liệu; 2 quy trình lõi; đăng nhập/RBAC; 1 dashboard; 1 báo cáo; &gt;=25 test case; triển khai bản demo.</v>
      </c>
      <c r="L867" t="str">
        <f>'Huong dan giao do an'!$B$31</f>
        <v>Bắt buộc: Charter/PMP; SRS + scope/WBS; Gantt/baseline; effort-cost budget; RACI/timesheet; quality-test-defect; communication/minutes; risk register; procurement; change log; closure/lessons learned.</v>
      </c>
      <c r="M867" t="str">
        <f>'Huong dan giao do an'!$B$33</f>
        <v>Tuần 1: 07.09–13.09.2026; Tuần 2: 14.09–20.09.2026; Tuần 3: 21.09–27.09.2026; Tuần 4: 28.09–04.10.2026; Tuần 5: 05.10–11.10.2026; Tuần 6: 12.10–18.10.2026; Tuần 7: 19.10–25.10.2026; Tuần 8: 26.10–01.11.2026.</v>
      </c>
      <c r="N8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7" s="17" t="str">
        <f t="shared" si="13"/>
        <v>Còn trống</v>
      </c>
    </row>
    <row r="868" spans="1:16" x14ac:dyDescent="0.3">
      <c r="A868">
        <v>867</v>
      </c>
      <c r="B868" t="s">
        <v>1857</v>
      </c>
      <c r="C868" t="s">
        <v>2018</v>
      </c>
      <c r="D868" t="s">
        <v>2019</v>
      </c>
      <c r="E868" t="s">
        <v>45</v>
      </c>
      <c r="F868" t="s">
        <v>1865</v>
      </c>
      <c r="G868" t="s">
        <v>1886</v>
      </c>
      <c r="H868" t="str">
        <f>'Huong dan giao do an'!$B$14</f>
        <v>5 SV (vai trò chính): 1 PM/Scrum Master kiêm Integration; 2 BA/PO; 3 UI-UX + Frontend; 4 Backend/API + DevOps; 5 Database + QA/Tester. Mỗi SV có nhiệm vụ phụ và minh chứng cá nhân.</v>
      </c>
      <c r="I868" t="s">
        <v>22</v>
      </c>
      <c r="J868" t="s">
        <v>1862</v>
      </c>
      <c r="K868" t="str">
        <f>IF(I868="Trung bình",'Huong dan giao do an'!$B$8,IF(I868="Khá",'Huong dan giao do an'!$B$9,'Huong dan giao do an'!$B$10))</f>
        <v>Tối thiểu 4 actor; 10-14 use case; 8-12 bảng; 3 quy trình lõi; phân quyền chi tiết; 2 báo cáo; tích hợp 1 dịch vụ; &gt;=35 test case; CI/CD hoặc deploy cloud.</v>
      </c>
      <c r="L868" t="str">
        <f>'Huong dan giao do an'!$B$31</f>
        <v>Bắt buộc: Charter/PMP; SRS + scope/WBS; Gantt/baseline; effort-cost budget; RACI/timesheet; quality-test-defect; communication/minutes; risk register; procurement; change log; closure/lessons learned.</v>
      </c>
      <c r="M868" t="str">
        <f>'Huong dan giao do an'!$B$33</f>
        <v>Tuần 1: 07.09–13.09.2026; Tuần 2: 14.09–20.09.2026; Tuần 3: 21.09–27.09.2026; Tuần 4: 28.09–04.10.2026; Tuần 5: 05.10–11.10.2026; Tuần 6: 12.10–18.10.2026; Tuần 7: 19.10–25.10.2026; Tuần 8: 26.10–01.11.2026.</v>
      </c>
      <c r="N8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8" s="17" t="str">
        <f t="shared" si="13"/>
        <v>Còn trống</v>
      </c>
    </row>
    <row r="869" spans="1:16" x14ac:dyDescent="0.3">
      <c r="A869">
        <v>868</v>
      </c>
      <c r="B869" t="s">
        <v>1857</v>
      </c>
      <c r="C869" t="s">
        <v>2020</v>
      </c>
      <c r="D869" t="s">
        <v>2021</v>
      </c>
      <c r="E869" t="s">
        <v>19</v>
      </c>
      <c r="F869" t="s">
        <v>1870</v>
      </c>
      <c r="G869" t="s">
        <v>1889</v>
      </c>
      <c r="H869" t="str">
        <f>'Huong dan giao do an'!$B$14</f>
        <v>5 SV (vai trò chính): 1 PM/Scrum Master kiêm Integration; 2 BA/PO; 3 UI-UX + Frontend; 4 Backend/API + DevOps; 5 Database + QA/Tester. Mỗi SV có nhiệm vụ phụ và minh chứng cá nhân.</v>
      </c>
      <c r="I869" t="s">
        <v>29</v>
      </c>
      <c r="J869" t="s">
        <v>1867</v>
      </c>
      <c r="K869" t="str">
        <f>IF(I869="Trung bình",'Huong dan giao do an'!$B$8,IF(I869="Khá",'Huong dan giao do an'!$B$9,'Huong dan giao do an'!$B$10))</f>
        <v>Tối thiểu 5 actor; 14-18 use case; 10-15 bảng; 4 quy trình; tích hợp ngoài/realtime hoặc xử lý nâng cao; 3 báo cáo; &gt;=45 test case; logging, backup và deploy.</v>
      </c>
      <c r="L869" t="str">
        <f>'Huong dan giao do an'!$B$31</f>
        <v>Bắt buộc: Charter/PMP; SRS + scope/WBS; Gantt/baseline; effort-cost budget; RACI/timesheet; quality-test-defect; communication/minutes; risk register; procurement; change log; closure/lessons learned.</v>
      </c>
      <c r="M869" t="str">
        <f>'Huong dan giao do an'!$B$33</f>
        <v>Tuần 1: 07.09–13.09.2026; Tuần 2: 14.09–20.09.2026; Tuần 3: 21.09–27.09.2026; Tuần 4: 28.09–04.10.2026; Tuần 5: 05.10–11.10.2026; Tuần 6: 12.10–18.10.2026; Tuần 7: 19.10–25.10.2026; Tuần 8: 26.10–01.11.2026.</v>
      </c>
      <c r="N8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69" s="17" t="str">
        <f t="shared" si="13"/>
        <v>Còn trống</v>
      </c>
    </row>
    <row r="870" spans="1:16" x14ac:dyDescent="0.3">
      <c r="A870">
        <v>869</v>
      </c>
      <c r="B870" t="s">
        <v>1857</v>
      </c>
      <c r="C870" t="s">
        <v>2022</v>
      </c>
      <c r="D870" t="s">
        <v>2023</v>
      </c>
      <c r="E870" t="s">
        <v>26</v>
      </c>
      <c r="F870" t="s">
        <v>1875</v>
      </c>
      <c r="G870" t="s">
        <v>1892</v>
      </c>
      <c r="H870" t="str">
        <f>'Huong dan giao do an'!$B$14</f>
        <v>5 SV (vai trò chính): 1 PM/Scrum Master kiêm Integration; 2 BA/PO; 3 UI-UX + Frontend; 4 Backend/API + DevOps; 5 Database + QA/Tester. Mỗi SV có nhiệm vụ phụ và minh chứng cá nhân.</v>
      </c>
      <c r="I870" t="s">
        <v>36</v>
      </c>
      <c r="J870" t="s">
        <v>1872</v>
      </c>
      <c r="K870" t="str">
        <f>IF(I870="Trung bình",'Huong dan giao do an'!$B$8,IF(I870="Khá",'Huong dan giao do an'!$B$9,'Huong dan giao do an'!$B$10))</f>
        <v>Tối thiểu 3 actor; 8-10 use case; 6-8 bảng dữ liệu; 2 quy trình lõi; đăng nhập/RBAC; 1 dashboard; 1 báo cáo; &gt;=25 test case; triển khai bản demo.</v>
      </c>
      <c r="L870" t="str">
        <f>'Huong dan giao do an'!$B$31</f>
        <v>Bắt buộc: Charter/PMP; SRS + scope/WBS; Gantt/baseline; effort-cost budget; RACI/timesheet; quality-test-defect; communication/minutes; risk register; procurement; change log; closure/lessons learned.</v>
      </c>
      <c r="M870" t="str">
        <f>'Huong dan giao do an'!$B$33</f>
        <v>Tuần 1: 07.09–13.09.2026; Tuần 2: 14.09–20.09.2026; Tuần 3: 21.09–27.09.2026; Tuần 4: 28.09–04.10.2026; Tuần 5: 05.10–11.10.2026; Tuần 6: 12.10–18.10.2026; Tuần 7: 19.10–25.10.2026; Tuần 8: 26.10–01.11.2026.</v>
      </c>
      <c r="N8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0" s="17" t="str">
        <f t="shared" si="13"/>
        <v>Còn trống</v>
      </c>
    </row>
    <row r="871" spans="1:16" x14ac:dyDescent="0.3">
      <c r="A871">
        <v>870</v>
      </c>
      <c r="B871" t="s">
        <v>1857</v>
      </c>
      <c r="C871" t="s">
        <v>2024</v>
      </c>
      <c r="D871" t="s">
        <v>2025</v>
      </c>
      <c r="E871" t="s">
        <v>33</v>
      </c>
      <c r="F871" t="s">
        <v>1879</v>
      </c>
      <c r="G871" t="s">
        <v>1895</v>
      </c>
      <c r="H871" t="str">
        <f>'Huong dan giao do an'!$B$14</f>
        <v>5 SV (vai trò chính): 1 PM/Scrum Master kiêm Integration; 2 BA/PO; 3 UI-UX + Frontend; 4 Backend/API + DevOps; 5 Database + QA/Tester. Mỗi SV có nhiệm vụ phụ và minh chứng cá nhân.</v>
      </c>
      <c r="I871" t="s">
        <v>22</v>
      </c>
      <c r="J871" t="s">
        <v>1862</v>
      </c>
      <c r="K871" t="str">
        <f>IF(I871="Trung bình",'Huong dan giao do an'!$B$8,IF(I871="Khá",'Huong dan giao do an'!$B$9,'Huong dan giao do an'!$B$10))</f>
        <v>Tối thiểu 4 actor; 10-14 use case; 8-12 bảng; 3 quy trình lõi; phân quyền chi tiết; 2 báo cáo; tích hợp 1 dịch vụ; &gt;=35 test case; CI/CD hoặc deploy cloud.</v>
      </c>
      <c r="L871" t="str">
        <f>'Huong dan giao do an'!$B$31</f>
        <v>Bắt buộc: Charter/PMP; SRS + scope/WBS; Gantt/baseline; effort-cost budget; RACI/timesheet; quality-test-defect; communication/minutes; risk register; procurement; change log; closure/lessons learned.</v>
      </c>
      <c r="M871" t="str">
        <f>'Huong dan giao do an'!$B$33</f>
        <v>Tuần 1: 07.09–13.09.2026; Tuần 2: 14.09–20.09.2026; Tuần 3: 21.09–27.09.2026; Tuần 4: 28.09–04.10.2026; Tuần 5: 05.10–11.10.2026; Tuần 6: 12.10–18.10.2026; Tuần 7: 19.10–25.10.2026; Tuần 8: 26.10–01.11.2026.</v>
      </c>
      <c r="N8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1" s="17" t="str">
        <f t="shared" si="13"/>
        <v>Còn trống</v>
      </c>
    </row>
    <row r="872" spans="1:16" x14ac:dyDescent="0.3">
      <c r="A872">
        <v>871</v>
      </c>
      <c r="B872" t="s">
        <v>1857</v>
      </c>
      <c r="C872" t="s">
        <v>2026</v>
      </c>
      <c r="D872" t="s">
        <v>2027</v>
      </c>
      <c r="E872" t="s">
        <v>40</v>
      </c>
      <c r="F872" t="s">
        <v>1860</v>
      </c>
      <c r="G872" t="s">
        <v>1898</v>
      </c>
      <c r="H872" t="str">
        <f>'Huong dan giao do an'!$B$14</f>
        <v>5 SV (vai trò chính): 1 PM/Scrum Master kiêm Integration; 2 BA/PO; 3 UI-UX + Frontend; 4 Backend/API + DevOps; 5 Database + QA/Tester. Mỗi SV có nhiệm vụ phụ và minh chứng cá nhân.</v>
      </c>
      <c r="I872" t="s">
        <v>29</v>
      </c>
      <c r="J872" t="s">
        <v>1867</v>
      </c>
      <c r="K872" t="str">
        <f>IF(I872="Trung bình",'Huong dan giao do an'!$B$8,IF(I872="Khá",'Huong dan giao do an'!$B$9,'Huong dan giao do an'!$B$10))</f>
        <v>Tối thiểu 5 actor; 14-18 use case; 10-15 bảng; 4 quy trình; tích hợp ngoài/realtime hoặc xử lý nâng cao; 3 báo cáo; &gt;=45 test case; logging, backup và deploy.</v>
      </c>
      <c r="L872" t="str">
        <f>'Huong dan giao do an'!$B$31</f>
        <v>Bắt buộc: Charter/PMP; SRS + scope/WBS; Gantt/baseline; effort-cost budget; RACI/timesheet; quality-test-defect; communication/minutes; risk register; procurement; change log; closure/lessons learned.</v>
      </c>
      <c r="M872" t="str">
        <f>'Huong dan giao do an'!$B$33</f>
        <v>Tuần 1: 07.09–13.09.2026; Tuần 2: 14.09–20.09.2026; Tuần 3: 21.09–27.09.2026; Tuần 4: 28.09–04.10.2026; Tuần 5: 05.10–11.10.2026; Tuần 6: 12.10–18.10.2026; Tuần 7: 19.10–25.10.2026; Tuần 8: 26.10–01.11.2026.</v>
      </c>
      <c r="N8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2" s="17" t="str">
        <f t="shared" si="13"/>
        <v>Còn trống</v>
      </c>
    </row>
    <row r="873" spans="1:16" x14ac:dyDescent="0.3">
      <c r="A873">
        <v>872</v>
      </c>
      <c r="B873" t="s">
        <v>1857</v>
      </c>
      <c r="C873" t="s">
        <v>2028</v>
      </c>
      <c r="D873" t="s">
        <v>2029</v>
      </c>
      <c r="E873" t="s">
        <v>45</v>
      </c>
      <c r="F873" t="s">
        <v>1865</v>
      </c>
      <c r="G873" t="s">
        <v>1901</v>
      </c>
      <c r="H873" t="str">
        <f>'Huong dan giao do an'!$B$14</f>
        <v>5 SV (vai trò chính): 1 PM/Scrum Master kiêm Integration; 2 BA/PO; 3 UI-UX + Frontend; 4 Backend/API + DevOps; 5 Database + QA/Tester. Mỗi SV có nhiệm vụ phụ và minh chứng cá nhân.</v>
      </c>
      <c r="I873" t="s">
        <v>36</v>
      </c>
      <c r="J873" t="s">
        <v>1872</v>
      </c>
      <c r="K873" t="str">
        <f>IF(I873="Trung bình",'Huong dan giao do an'!$B$8,IF(I873="Khá",'Huong dan giao do an'!$B$9,'Huong dan giao do an'!$B$10))</f>
        <v>Tối thiểu 3 actor; 8-10 use case; 6-8 bảng dữ liệu; 2 quy trình lõi; đăng nhập/RBAC; 1 dashboard; 1 báo cáo; &gt;=25 test case; triển khai bản demo.</v>
      </c>
      <c r="L873" t="str">
        <f>'Huong dan giao do an'!$B$31</f>
        <v>Bắt buộc: Charter/PMP; SRS + scope/WBS; Gantt/baseline; effort-cost budget; RACI/timesheet; quality-test-defect; communication/minutes; risk register; procurement; change log; closure/lessons learned.</v>
      </c>
      <c r="M873" t="str">
        <f>'Huong dan giao do an'!$B$33</f>
        <v>Tuần 1: 07.09–13.09.2026; Tuần 2: 14.09–20.09.2026; Tuần 3: 21.09–27.09.2026; Tuần 4: 28.09–04.10.2026; Tuần 5: 05.10–11.10.2026; Tuần 6: 12.10–18.10.2026; Tuần 7: 19.10–25.10.2026; Tuần 8: 26.10–01.11.2026.</v>
      </c>
      <c r="N8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3" s="17" t="str">
        <f t="shared" si="13"/>
        <v>Còn trống</v>
      </c>
    </row>
    <row r="874" spans="1:16" x14ac:dyDescent="0.3">
      <c r="A874">
        <v>873</v>
      </c>
      <c r="B874" t="s">
        <v>1857</v>
      </c>
      <c r="C874" t="s">
        <v>2030</v>
      </c>
      <c r="D874" t="s">
        <v>2031</v>
      </c>
      <c r="E874" t="s">
        <v>19</v>
      </c>
      <c r="F874" t="s">
        <v>1870</v>
      </c>
      <c r="G874" t="s">
        <v>1904</v>
      </c>
      <c r="H874" t="str">
        <f>'Huong dan giao do an'!$B$14</f>
        <v>5 SV (vai trò chính): 1 PM/Scrum Master kiêm Integration; 2 BA/PO; 3 UI-UX + Frontend; 4 Backend/API + DevOps; 5 Database + QA/Tester. Mỗi SV có nhiệm vụ phụ và minh chứng cá nhân.</v>
      </c>
      <c r="I874" t="s">
        <v>22</v>
      </c>
      <c r="J874" t="s">
        <v>1862</v>
      </c>
      <c r="K874" t="str">
        <f>IF(I874="Trung bình",'Huong dan giao do an'!$B$8,IF(I874="Khá",'Huong dan giao do an'!$B$9,'Huong dan giao do an'!$B$10))</f>
        <v>Tối thiểu 4 actor; 10-14 use case; 8-12 bảng; 3 quy trình lõi; phân quyền chi tiết; 2 báo cáo; tích hợp 1 dịch vụ; &gt;=35 test case; CI/CD hoặc deploy cloud.</v>
      </c>
      <c r="L874" t="str">
        <f>'Huong dan giao do an'!$B$31</f>
        <v>Bắt buộc: Charter/PMP; SRS + scope/WBS; Gantt/baseline; effort-cost budget; RACI/timesheet; quality-test-defect; communication/minutes; risk register; procurement; change log; closure/lessons learned.</v>
      </c>
      <c r="M874" t="str">
        <f>'Huong dan giao do an'!$B$33</f>
        <v>Tuần 1: 07.09–13.09.2026; Tuần 2: 14.09–20.09.2026; Tuần 3: 21.09–27.09.2026; Tuần 4: 28.09–04.10.2026; Tuần 5: 05.10–11.10.2026; Tuần 6: 12.10–18.10.2026; Tuần 7: 19.10–25.10.2026; Tuần 8: 26.10–01.11.2026.</v>
      </c>
      <c r="N8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4" s="17" t="str">
        <f t="shared" si="13"/>
        <v>Còn trống</v>
      </c>
    </row>
    <row r="875" spans="1:16" x14ac:dyDescent="0.3">
      <c r="A875">
        <v>874</v>
      </c>
      <c r="B875" t="s">
        <v>1857</v>
      </c>
      <c r="C875" t="s">
        <v>2032</v>
      </c>
      <c r="D875" t="s">
        <v>2033</v>
      </c>
      <c r="E875" t="s">
        <v>26</v>
      </c>
      <c r="F875" t="s">
        <v>1875</v>
      </c>
      <c r="G875" t="s">
        <v>1907</v>
      </c>
      <c r="H875" t="str">
        <f>'Huong dan giao do an'!$B$14</f>
        <v>5 SV (vai trò chính): 1 PM/Scrum Master kiêm Integration; 2 BA/PO; 3 UI-UX + Frontend; 4 Backend/API + DevOps; 5 Database + QA/Tester. Mỗi SV có nhiệm vụ phụ và minh chứng cá nhân.</v>
      </c>
      <c r="I875" t="s">
        <v>29</v>
      </c>
      <c r="J875" t="s">
        <v>1867</v>
      </c>
      <c r="K875" t="str">
        <f>IF(I875="Trung bình",'Huong dan giao do an'!$B$8,IF(I875="Khá",'Huong dan giao do an'!$B$9,'Huong dan giao do an'!$B$10))</f>
        <v>Tối thiểu 5 actor; 14-18 use case; 10-15 bảng; 4 quy trình; tích hợp ngoài/realtime hoặc xử lý nâng cao; 3 báo cáo; &gt;=45 test case; logging, backup và deploy.</v>
      </c>
      <c r="L875" t="str">
        <f>'Huong dan giao do an'!$B$31</f>
        <v>Bắt buộc: Charter/PMP; SRS + scope/WBS; Gantt/baseline; effort-cost budget; RACI/timesheet; quality-test-defect; communication/minutes; risk register; procurement; change log; closure/lessons learned.</v>
      </c>
      <c r="M875" t="str">
        <f>'Huong dan giao do an'!$B$33</f>
        <v>Tuần 1: 07.09–13.09.2026; Tuần 2: 14.09–20.09.2026; Tuần 3: 21.09–27.09.2026; Tuần 4: 28.09–04.10.2026; Tuần 5: 05.10–11.10.2026; Tuần 6: 12.10–18.10.2026; Tuần 7: 19.10–25.10.2026; Tuần 8: 26.10–01.11.2026.</v>
      </c>
      <c r="N8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5" s="17" t="str">
        <f t="shared" si="13"/>
        <v>Còn trống</v>
      </c>
    </row>
    <row r="876" spans="1:16" x14ac:dyDescent="0.3">
      <c r="A876">
        <v>875</v>
      </c>
      <c r="B876" t="s">
        <v>1857</v>
      </c>
      <c r="C876" t="s">
        <v>2034</v>
      </c>
      <c r="D876" t="s">
        <v>2035</v>
      </c>
      <c r="E876" t="s">
        <v>33</v>
      </c>
      <c r="F876" t="s">
        <v>1879</v>
      </c>
      <c r="G876" t="s">
        <v>1910</v>
      </c>
      <c r="H876" t="str">
        <f>'Huong dan giao do an'!$B$14</f>
        <v>5 SV (vai trò chính): 1 PM/Scrum Master kiêm Integration; 2 BA/PO; 3 UI-UX + Frontend; 4 Backend/API + DevOps; 5 Database + QA/Tester. Mỗi SV có nhiệm vụ phụ và minh chứng cá nhân.</v>
      </c>
      <c r="I876" t="s">
        <v>36</v>
      </c>
      <c r="J876" t="s">
        <v>1872</v>
      </c>
      <c r="K876" t="str">
        <f>IF(I876="Trung bình",'Huong dan giao do an'!$B$8,IF(I876="Khá",'Huong dan giao do an'!$B$9,'Huong dan giao do an'!$B$10))</f>
        <v>Tối thiểu 3 actor; 8-10 use case; 6-8 bảng dữ liệu; 2 quy trình lõi; đăng nhập/RBAC; 1 dashboard; 1 báo cáo; &gt;=25 test case; triển khai bản demo.</v>
      </c>
      <c r="L876" t="str">
        <f>'Huong dan giao do an'!$B$31</f>
        <v>Bắt buộc: Charter/PMP; SRS + scope/WBS; Gantt/baseline; effort-cost budget; RACI/timesheet; quality-test-defect; communication/minutes; risk register; procurement; change log; closure/lessons learned.</v>
      </c>
      <c r="M876" t="str">
        <f>'Huong dan giao do an'!$B$33</f>
        <v>Tuần 1: 07.09–13.09.2026; Tuần 2: 14.09–20.09.2026; Tuần 3: 21.09–27.09.2026; Tuần 4: 28.09–04.10.2026; Tuần 5: 05.10–11.10.2026; Tuần 6: 12.10–18.10.2026; Tuần 7: 19.10–25.10.2026; Tuần 8: 26.10–01.11.2026.</v>
      </c>
      <c r="N8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6" s="17" t="str">
        <f t="shared" si="13"/>
        <v>Còn trống</v>
      </c>
    </row>
    <row r="877" spans="1:16" x14ac:dyDescent="0.3">
      <c r="A877">
        <v>876</v>
      </c>
      <c r="B877" t="s">
        <v>1857</v>
      </c>
      <c r="C877" t="s">
        <v>2036</v>
      </c>
      <c r="D877" t="s">
        <v>2037</v>
      </c>
      <c r="E877" t="s">
        <v>40</v>
      </c>
      <c r="F877" t="s">
        <v>1860</v>
      </c>
      <c r="G877" t="s">
        <v>1913</v>
      </c>
      <c r="H877" t="str">
        <f>'Huong dan giao do an'!$B$14</f>
        <v>5 SV (vai trò chính): 1 PM/Scrum Master kiêm Integration; 2 BA/PO; 3 UI-UX + Frontend; 4 Backend/API + DevOps; 5 Database + QA/Tester. Mỗi SV có nhiệm vụ phụ và minh chứng cá nhân.</v>
      </c>
      <c r="I877" t="s">
        <v>22</v>
      </c>
      <c r="J877" t="s">
        <v>1862</v>
      </c>
      <c r="K877" t="str">
        <f>IF(I877="Trung bình",'Huong dan giao do an'!$B$8,IF(I877="Khá",'Huong dan giao do an'!$B$9,'Huong dan giao do an'!$B$10))</f>
        <v>Tối thiểu 4 actor; 10-14 use case; 8-12 bảng; 3 quy trình lõi; phân quyền chi tiết; 2 báo cáo; tích hợp 1 dịch vụ; &gt;=35 test case; CI/CD hoặc deploy cloud.</v>
      </c>
      <c r="L877" t="str">
        <f>'Huong dan giao do an'!$B$31</f>
        <v>Bắt buộc: Charter/PMP; SRS + scope/WBS; Gantt/baseline; effort-cost budget; RACI/timesheet; quality-test-defect; communication/minutes; risk register; procurement; change log; closure/lessons learned.</v>
      </c>
      <c r="M877" t="str">
        <f>'Huong dan giao do an'!$B$33</f>
        <v>Tuần 1: 07.09–13.09.2026; Tuần 2: 14.09–20.09.2026; Tuần 3: 21.09–27.09.2026; Tuần 4: 28.09–04.10.2026; Tuần 5: 05.10–11.10.2026; Tuần 6: 12.10–18.10.2026; Tuần 7: 19.10–25.10.2026; Tuần 8: 26.10–01.11.2026.</v>
      </c>
      <c r="N8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7" s="17" t="str">
        <f t="shared" si="13"/>
        <v>Còn trống</v>
      </c>
    </row>
    <row r="878" spans="1:16" x14ac:dyDescent="0.3">
      <c r="A878">
        <v>877</v>
      </c>
      <c r="B878" t="s">
        <v>1857</v>
      </c>
      <c r="C878" t="s">
        <v>2038</v>
      </c>
      <c r="D878" t="s">
        <v>2039</v>
      </c>
      <c r="E878" t="s">
        <v>45</v>
      </c>
      <c r="F878" t="s">
        <v>1865</v>
      </c>
      <c r="G878" t="s">
        <v>1916</v>
      </c>
      <c r="H878" t="str">
        <f>'Huong dan giao do an'!$B$14</f>
        <v>5 SV (vai trò chính): 1 PM/Scrum Master kiêm Integration; 2 BA/PO; 3 UI-UX + Frontend; 4 Backend/API + DevOps; 5 Database + QA/Tester. Mỗi SV có nhiệm vụ phụ và minh chứng cá nhân.</v>
      </c>
      <c r="I878" t="s">
        <v>29</v>
      </c>
      <c r="J878" t="s">
        <v>1867</v>
      </c>
      <c r="K878" t="str">
        <f>IF(I878="Trung bình",'Huong dan giao do an'!$B$8,IF(I878="Khá",'Huong dan giao do an'!$B$9,'Huong dan giao do an'!$B$10))</f>
        <v>Tối thiểu 5 actor; 14-18 use case; 10-15 bảng; 4 quy trình; tích hợp ngoài/realtime hoặc xử lý nâng cao; 3 báo cáo; &gt;=45 test case; logging, backup và deploy.</v>
      </c>
      <c r="L878" t="str">
        <f>'Huong dan giao do an'!$B$31</f>
        <v>Bắt buộc: Charter/PMP; SRS + scope/WBS; Gantt/baseline; effort-cost budget; RACI/timesheet; quality-test-defect; communication/minutes; risk register; procurement; change log; closure/lessons learned.</v>
      </c>
      <c r="M878" t="str">
        <f>'Huong dan giao do an'!$B$33</f>
        <v>Tuần 1: 07.09–13.09.2026; Tuần 2: 14.09–20.09.2026; Tuần 3: 21.09–27.09.2026; Tuần 4: 28.09–04.10.2026; Tuần 5: 05.10–11.10.2026; Tuần 6: 12.10–18.10.2026; Tuần 7: 19.10–25.10.2026; Tuần 8: 26.10–01.11.2026.</v>
      </c>
      <c r="N8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8" s="17" t="str">
        <f t="shared" si="13"/>
        <v>Còn trống</v>
      </c>
    </row>
    <row r="879" spans="1:16" x14ac:dyDescent="0.3">
      <c r="A879">
        <v>878</v>
      </c>
      <c r="B879" t="s">
        <v>1857</v>
      </c>
      <c r="C879" t="s">
        <v>2040</v>
      </c>
      <c r="D879" t="s">
        <v>2041</v>
      </c>
      <c r="E879" t="s">
        <v>19</v>
      </c>
      <c r="F879" t="s">
        <v>1870</v>
      </c>
      <c r="G879" t="s">
        <v>1919</v>
      </c>
      <c r="H879" t="str">
        <f>'Huong dan giao do an'!$B$14</f>
        <v>5 SV (vai trò chính): 1 PM/Scrum Master kiêm Integration; 2 BA/PO; 3 UI-UX + Frontend; 4 Backend/API + DevOps; 5 Database + QA/Tester. Mỗi SV có nhiệm vụ phụ và minh chứng cá nhân.</v>
      </c>
      <c r="I879" t="s">
        <v>36</v>
      </c>
      <c r="J879" t="s">
        <v>1872</v>
      </c>
      <c r="K879" t="str">
        <f>IF(I879="Trung bình",'Huong dan giao do an'!$B$8,IF(I879="Khá",'Huong dan giao do an'!$B$9,'Huong dan giao do an'!$B$10))</f>
        <v>Tối thiểu 3 actor; 8-10 use case; 6-8 bảng dữ liệu; 2 quy trình lõi; đăng nhập/RBAC; 1 dashboard; 1 báo cáo; &gt;=25 test case; triển khai bản demo.</v>
      </c>
      <c r="L879" t="str">
        <f>'Huong dan giao do an'!$B$31</f>
        <v>Bắt buộc: Charter/PMP; SRS + scope/WBS; Gantt/baseline; effort-cost budget; RACI/timesheet; quality-test-defect; communication/minutes; risk register; procurement; change log; closure/lessons learned.</v>
      </c>
      <c r="M879" t="str">
        <f>'Huong dan giao do an'!$B$33</f>
        <v>Tuần 1: 07.09–13.09.2026; Tuần 2: 14.09–20.09.2026; Tuần 3: 21.09–27.09.2026; Tuần 4: 28.09–04.10.2026; Tuần 5: 05.10–11.10.2026; Tuần 6: 12.10–18.10.2026; Tuần 7: 19.10–25.10.2026; Tuần 8: 26.10–01.11.2026.</v>
      </c>
      <c r="N8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79" s="17" t="str">
        <f t="shared" si="13"/>
        <v>Còn trống</v>
      </c>
    </row>
    <row r="880" spans="1:16" x14ac:dyDescent="0.3">
      <c r="A880">
        <v>879</v>
      </c>
      <c r="B880" t="s">
        <v>1857</v>
      </c>
      <c r="C880" t="s">
        <v>2042</v>
      </c>
      <c r="D880" t="s">
        <v>2043</v>
      </c>
      <c r="E880" t="s">
        <v>26</v>
      </c>
      <c r="F880" t="s">
        <v>1875</v>
      </c>
      <c r="G880" t="s">
        <v>1922</v>
      </c>
      <c r="H880" t="str">
        <f>'Huong dan giao do an'!$B$14</f>
        <v>5 SV (vai trò chính): 1 PM/Scrum Master kiêm Integration; 2 BA/PO; 3 UI-UX + Frontend; 4 Backend/API + DevOps; 5 Database + QA/Tester. Mỗi SV có nhiệm vụ phụ và minh chứng cá nhân.</v>
      </c>
      <c r="I880" t="s">
        <v>22</v>
      </c>
      <c r="J880" t="s">
        <v>1862</v>
      </c>
      <c r="K880" t="str">
        <f>IF(I880="Trung bình",'Huong dan giao do an'!$B$8,IF(I880="Khá",'Huong dan giao do an'!$B$9,'Huong dan giao do an'!$B$10))</f>
        <v>Tối thiểu 4 actor; 10-14 use case; 8-12 bảng; 3 quy trình lõi; phân quyền chi tiết; 2 báo cáo; tích hợp 1 dịch vụ; &gt;=35 test case; CI/CD hoặc deploy cloud.</v>
      </c>
      <c r="L880" t="str">
        <f>'Huong dan giao do an'!$B$31</f>
        <v>Bắt buộc: Charter/PMP; SRS + scope/WBS; Gantt/baseline; effort-cost budget; RACI/timesheet; quality-test-defect; communication/minutes; risk register; procurement; change log; closure/lessons learned.</v>
      </c>
      <c r="M880" t="str">
        <f>'Huong dan giao do an'!$B$33</f>
        <v>Tuần 1: 07.09–13.09.2026; Tuần 2: 14.09–20.09.2026; Tuần 3: 21.09–27.09.2026; Tuần 4: 28.09–04.10.2026; Tuần 5: 05.10–11.10.2026; Tuần 6: 12.10–18.10.2026; Tuần 7: 19.10–25.10.2026; Tuần 8: 26.10–01.11.2026.</v>
      </c>
      <c r="N8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0" s="17" t="str">
        <f t="shared" si="13"/>
        <v>Còn trống</v>
      </c>
    </row>
    <row r="881" spans="1:16" x14ac:dyDescent="0.3">
      <c r="A881">
        <v>880</v>
      </c>
      <c r="B881" t="s">
        <v>1857</v>
      </c>
      <c r="C881" t="s">
        <v>2044</v>
      </c>
      <c r="D881" t="s">
        <v>2045</v>
      </c>
      <c r="E881" t="s">
        <v>33</v>
      </c>
      <c r="F881" t="s">
        <v>1879</v>
      </c>
      <c r="G881" t="s">
        <v>1925</v>
      </c>
      <c r="H881" t="str">
        <f>'Huong dan giao do an'!$B$14</f>
        <v>5 SV (vai trò chính): 1 PM/Scrum Master kiêm Integration; 2 BA/PO; 3 UI-UX + Frontend; 4 Backend/API + DevOps; 5 Database + QA/Tester. Mỗi SV có nhiệm vụ phụ và minh chứng cá nhân.</v>
      </c>
      <c r="I881" t="s">
        <v>29</v>
      </c>
      <c r="J881" t="s">
        <v>1867</v>
      </c>
      <c r="K881" t="str">
        <f>IF(I881="Trung bình",'Huong dan giao do an'!$B$8,IF(I881="Khá",'Huong dan giao do an'!$B$9,'Huong dan giao do an'!$B$10))</f>
        <v>Tối thiểu 5 actor; 14-18 use case; 10-15 bảng; 4 quy trình; tích hợp ngoài/realtime hoặc xử lý nâng cao; 3 báo cáo; &gt;=45 test case; logging, backup và deploy.</v>
      </c>
      <c r="L881" t="str">
        <f>'Huong dan giao do an'!$B$31</f>
        <v>Bắt buộc: Charter/PMP; SRS + scope/WBS; Gantt/baseline; effort-cost budget; RACI/timesheet; quality-test-defect; communication/minutes; risk register; procurement; change log; closure/lessons learned.</v>
      </c>
      <c r="M881" t="str">
        <f>'Huong dan giao do an'!$B$33</f>
        <v>Tuần 1: 07.09–13.09.2026; Tuần 2: 14.09–20.09.2026; Tuần 3: 21.09–27.09.2026; Tuần 4: 28.09–04.10.2026; Tuần 5: 05.10–11.10.2026; Tuần 6: 12.10–18.10.2026; Tuần 7: 19.10–25.10.2026; Tuần 8: 26.10–01.11.2026.</v>
      </c>
      <c r="N8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1" s="17" t="str">
        <f t="shared" si="13"/>
        <v>Còn trống</v>
      </c>
    </row>
    <row r="882" spans="1:16" x14ac:dyDescent="0.3">
      <c r="A882">
        <v>881</v>
      </c>
      <c r="B882" t="s">
        <v>1857</v>
      </c>
      <c r="C882" t="s">
        <v>2046</v>
      </c>
      <c r="D882" t="s">
        <v>2047</v>
      </c>
      <c r="E882" t="s">
        <v>40</v>
      </c>
      <c r="F882" t="s">
        <v>1860</v>
      </c>
      <c r="G882" t="s">
        <v>1861</v>
      </c>
      <c r="H882" t="str">
        <f>'Huong dan giao do an'!$B$14</f>
        <v>5 SV (vai trò chính): 1 PM/Scrum Master kiêm Integration; 2 BA/PO; 3 UI-UX + Frontend; 4 Backend/API + DevOps; 5 Database + QA/Tester. Mỗi SV có nhiệm vụ phụ và minh chứng cá nhân.</v>
      </c>
      <c r="I882" t="s">
        <v>22</v>
      </c>
      <c r="J882" t="s">
        <v>1862</v>
      </c>
      <c r="K882" t="str">
        <f>IF(I882="Trung bình",'Huong dan giao do an'!$B$8,IF(I882="Khá",'Huong dan giao do an'!$B$9,'Huong dan giao do an'!$B$10))</f>
        <v>Tối thiểu 4 actor; 10-14 use case; 8-12 bảng; 3 quy trình lõi; phân quyền chi tiết; 2 báo cáo; tích hợp 1 dịch vụ; &gt;=35 test case; CI/CD hoặc deploy cloud.</v>
      </c>
      <c r="L882" t="str">
        <f>'Huong dan giao do an'!$B$31</f>
        <v>Bắt buộc: Charter/PMP; SRS + scope/WBS; Gantt/baseline; effort-cost budget; RACI/timesheet; quality-test-defect; communication/minutes; risk register; procurement; change log; closure/lessons learned.</v>
      </c>
      <c r="M882" t="str">
        <f>'Huong dan giao do an'!$B$33</f>
        <v>Tuần 1: 07.09–13.09.2026; Tuần 2: 14.09–20.09.2026; Tuần 3: 21.09–27.09.2026; Tuần 4: 28.09–04.10.2026; Tuần 5: 05.10–11.10.2026; Tuần 6: 12.10–18.10.2026; Tuần 7: 19.10–25.10.2026; Tuần 8: 26.10–01.11.2026.</v>
      </c>
      <c r="N8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2" s="17" t="str">
        <f t="shared" si="13"/>
        <v>Còn trống</v>
      </c>
    </row>
    <row r="883" spans="1:16" x14ac:dyDescent="0.3">
      <c r="A883">
        <v>882</v>
      </c>
      <c r="B883" t="s">
        <v>1857</v>
      </c>
      <c r="C883" t="s">
        <v>2048</v>
      </c>
      <c r="D883" t="s">
        <v>2049</v>
      </c>
      <c r="E883" t="s">
        <v>45</v>
      </c>
      <c r="F883" t="s">
        <v>1865</v>
      </c>
      <c r="G883" t="s">
        <v>1866</v>
      </c>
      <c r="H883" t="str">
        <f>'Huong dan giao do an'!$B$14</f>
        <v>5 SV (vai trò chính): 1 PM/Scrum Master kiêm Integration; 2 BA/PO; 3 UI-UX + Frontend; 4 Backend/API + DevOps; 5 Database + QA/Tester. Mỗi SV có nhiệm vụ phụ và minh chứng cá nhân.</v>
      </c>
      <c r="I883" t="s">
        <v>29</v>
      </c>
      <c r="J883" t="s">
        <v>1867</v>
      </c>
      <c r="K883" t="str">
        <f>IF(I883="Trung bình",'Huong dan giao do an'!$B$8,IF(I883="Khá",'Huong dan giao do an'!$B$9,'Huong dan giao do an'!$B$10))</f>
        <v>Tối thiểu 5 actor; 14-18 use case; 10-15 bảng; 4 quy trình; tích hợp ngoài/realtime hoặc xử lý nâng cao; 3 báo cáo; &gt;=45 test case; logging, backup và deploy.</v>
      </c>
      <c r="L883" t="str">
        <f>'Huong dan giao do an'!$B$31</f>
        <v>Bắt buộc: Charter/PMP; SRS + scope/WBS; Gantt/baseline; effort-cost budget; RACI/timesheet; quality-test-defect; communication/minutes; risk register; procurement; change log; closure/lessons learned.</v>
      </c>
      <c r="M883" t="str">
        <f>'Huong dan giao do an'!$B$33</f>
        <v>Tuần 1: 07.09–13.09.2026; Tuần 2: 14.09–20.09.2026; Tuần 3: 21.09–27.09.2026; Tuần 4: 28.09–04.10.2026; Tuần 5: 05.10–11.10.2026; Tuần 6: 12.10–18.10.2026; Tuần 7: 19.10–25.10.2026; Tuần 8: 26.10–01.11.2026.</v>
      </c>
      <c r="N8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3" s="17" t="str">
        <f t="shared" si="13"/>
        <v>Còn trống</v>
      </c>
    </row>
    <row r="884" spans="1:16" x14ac:dyDescent="0.3">
      <c r="A884">
        <v>883</v>
      </c>
      <c r="B884" t="s">
        <v>1857</v>
      </c>
      <c r="C884" t="s">
        <v>2050</v>
      </c>
      <c r="D884" t="s">
        <v>2051</v>
      </c>
      <c r="E884" t="s">
        <v>19</v>
      </c>
      <c r="F884" t="s">
        <v>1870</v>
      </c>
      <c r="G884" t="s">
        <v>1871</v>
      </c>
      <c r="H884" t="str">
        <f>'Huong dan giao do an'!$B$14</f>
        <v>5 SV (vai trò chính): 1 PM/Scrum Master kiêm Integration; 2 BA/PO; 3 UI-UX + Frontend; 4 Backend/API + DevOps; 5 Database + QA/Tester. Mỗi SV có nhiệm vụ phụ và minh chứng cá nhân.</v>
      </c>
      <c r="I884" t="s">
        <v>36</v>
      </c>
      <c r="J884" t="s">
        <v>1872</v>
      </c>
      <c r="K884" t="str">
        <f>IF(I884="Trung bình",'Huong dan giao do an'!$B$8,IF(I884="Khá",'Huong dan giao do an'!$B$9,'Huong dan giao do an'!$B$10))</f>
        <v>Tối thiểu 3 actor; 8-10 use case; 6-8 bảng dữ liệu; 2 quy trình lõi; đăng nhập/RBAC; 1 dashboard; 1 báo cáo; &gt;=25 test case; triển khai bản demo.</v>
      </c>
      <c r="L884" t="str">
        <f>'Huong dan giao do an'!$B$31</f>
        <v>Bắt buộc: Charter/PMP; SRS + scope/WBS; Gantt/baseline; effort-cost budget; RACI/timesheet; quality-test-defect; communication/minutes; risk register; procurement; change log; closure/lessons learned.</v>
      </c>
      <c r="M884" t="str">
        <f>'Huong dan giao do an'!$B$33</f>
        <v>Tuần 1: 07.09–13.09.2026; Tuần 2: 14.09–20.09.2026; Tuần 3: 21.09–27.09.2026; Tuần 4: 28.09–04.10.2026; Tuần 5: 05.10–11.10.2026; Tuần 6: 12.10–18.10.2026; Tuần 7: 19.10–25.10.2026; Tuần 8: 26.10–01.11.2026.</v>
      </c>
      <c r="N8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4" s="17" t="str">
        <f t="shared" si="13"/>
        <v>Còn trống</v>
      </c>
    </row>
    <row r="885" spans="1:16" x14ac:dyDescent="0.3">
      <c r="A885">
        <v>884</v>
      </c>
      <c r="B885" t="s">
        <v>1857</v>
      </c>
      <c r="C885" t="s">
        <v>2052</v>
      </c>
      <c r="D885" t="s">
        <v>2053</v>
      </c>
      <c r="E885" t="s">
        <v>26</v>
      </c>
      <c r="F885" t="s">
        <v>1875</v>
      </c>
      <c r="G885" t="s">
        <v>1876</v>
      </c>
      <c r="H885" t="str">
        <f>'Huong dan giao do an'!$B$14</f>
        <v>5 SV (vai trò chính): 1 PM/Scrum Master kiêm Integration; 2 BA/PO; 3 UI-UX + Frontend; 4 Backend/API + DevOps; 5 Database + QA/Tester. Mỗi SV có nhiệm vụ phụ và minh chứng cá nhân.</v>
      </c>
      <c r="I885" t="s">
        <v>22</v>
      </c>
      <c r="J885" t="s">
        <v>1862</v>
      </c>
      <c r="K885" t="str">
        <f>IF(I885="Trung bình",'Huong dan giao do an'!$B$8,IF(I885="Khá",'Huong dan giao do an'!$B$9,'Huong dan giao do an'!$B$10))</f>
        <v>Tối thiểu 4 actor; 10-14 use case; 8-12 bảng; 3 quy trình lõi; phân quyền chi tiết; 2 báo cáo; tích hợp 1 dịch vụ; &gt;=35 test case; CI/CD hoặc deploy cloud.</v>
      </c>
      <c r="L885" t="str">
        <f>'Huong dan giao do an'!$B$31</f>
        <v>Bắt buộc: Charter/PMP; SRS + scope/WBS; Gantt/baseline; effort-cost budget; RACI/timesheet; quality-test-defect; communication/minutes; risk register; procurement; change log; closure/lessons learned.</v>
      </c>
      <c r="M885" t="str">
        <f>'Huong dan giao do an'!$B$33</f>
        <v>Tuần 1: 07.09–13.09.2026; Tuần 2: 14.09–20.09.2026; Tuần 3: 21.09–27.09.2026; Tuần 4: 28.09–04.10.2026; Tuần 5: 05.10–11.10.2026; Tuần 6: 12.10–18.10.2026; Tuần 7: 19.10–25.10.2026; Tuần 8: 26.10–01.11.2026.</v>
      </c>
      <c r="N8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5" s="17" t="str">
        <f t="shared" si="13"/>
        <v>Còn trống</v>
      </c>
    </row>
    <row r="886" spans="1:16" x14ac:dyDescent="0.3">
      <c r="A886">
        <v>885</v>
      </c>
      <c r="B886" t="s">
        <v>1857</v>
      </c>
      <c r="C886" t="s">
        <v>2054</v>
      </c>
      <c r="D886" t="s">
        <v>2055</v>
      </c>
      <c r="E886" t="s">
        <v>33</v>
      </c>
      <c r="F886" t="s">
        <v>1879</v>
      </c>
      <c r="G886" t="s">
        <v>1880</v>
      </c>
      <c r="H886" t="str">
        <f>'Huong dan giao do an'!$B$14</f>
        <v>5 SV (vai trò chính): 1 PM/Scrum Master kiêm Integration; 2 BA/PO; 3 UI-UX + Frontend; 4 Backend/API + DevOps; 5 Database + QA/Tester. Mỗi SV có nhiệm vụ phụ và minh chứng cá nhân.</v>
      </c>
      <c r="I886" t="s">
        <v>29</v>
      </c>
      <c r="J886" t="s">
        <v>1867</v>
      </c>
      <c r="K886" t="str">
        <f>IF(I886="Trung bình",'Huong dan giao do an'!$B$8,IF(I886="Khá",'Huong dan giao do an'!$B$9,'Huong dan giao do an'!$B$10))</f>
        <v>Tối thiểu 5 actor; 14-18 use case; 10-15 bảng; 4 quy trình; tích hợp ngoài/realtime hoặc xử lý nâng cao; 3 báo cáo; &gt;=45 test case; logging, backup và deploy.</v>
      </c>
      <c r="L886" t="str">
        <f>'Huong dan giao do an'!$B$31</f>
        <v>Bắt buộc: Charter/PMP; SRS + scope/WBS; Gantt/baseline; effort-cost budget; RACI/timesheet; quality-test-defect; communication/minutes; risk register; procurement; change log; closure/lessons learned.</v>
      </c>
      <c r="M886" t="str">
        <f>'Huong dan giao do an'!$B$33</f>
        <v>Tuần 1: 07.09–13.09.2026; Tuần 2: 14.09–20.09.2026; Tuần 3: 21.09–27.09.2026; Tuần 4: 28.09–04.10.2026; Tuần 5: 05.10–11.10.2026; Tuần 6: 12.10–18.10.2026; Tuần 7: 19.10–25.10.2026; Tuần 8: 26.10–01.11.2026.</v>
      </c>
      <c r="N8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6" s="17" t="str">
        <f t="shared" si="13"/>
        <v>Còn trống</v>
      </c>
    </row>
    <row r="887" spans="1:16" x14ac:dyDescent="0.3">
      <c r="A887">
        <v>886</v>
      </c>
      <c r="B887" t="s">
        <v>1857</v>
      </c>
      <c r="C887" t="s">
        <v>2056</v>
      </c>
      <c r="D887" t="s">
        <v>2057</v>
      </c>
      <c r="E887" t="s">
        <v>40</v>
      </c>
      <c r="F887" t="s">
        <v>1860</v>
      </c>
      <c r="G887" t="s">
        <v>1883</v>
      </c>
      <c r="H887" t="str">
        <f>'Huong dan giao do an'!$B$14</f>
        <v>5 SV (vai trò chính): 1 PM/Scrum Master kiêm Integration; 2 BA/PO; 3 UI-UX + Frontend; 4 Backend/API + DevOps; 5 Database + QA/Tester. Mỗi SV có nhiệm vụ phụ và minh chứng cá nhân.</v>
      </c>
      <c r="I887" t="s">
        <v>36</v>
      </c>
      <c r="J887" t="s">
        <v>1872</v>
      </c>
      <c r="K887" t="str">
        <f>IF(I887="Trung bình",'Huong dan giao do an'!$B$8,IF(I887="Khá",'Huong dan giao do an'!$B$9,'Huong dan giao do an'!$B$10))</f>
        <v>Tối thiểu 3 actor; 8-10 use case; 6-8 bảng dữ liệu; 2 quy trình lõi; đăng nhập/RBAC; 1 dashboard; 1 báo cáo; &gt;=25 test case; triển khai bản demo.</v>
      </c>
      <c r="L887" t="str">
        <f>'Huong dan giao do an'!$B$31</f>
        <v>Bắt buộc: Charter/PMP; SRS + scope/WBS; Gantt/baseline; effort-cost budget; RACI/timesheet; quality-test-defect; communication/minutes; risk register; procurement; change log; closure/lessons learned.</v>
      </c>
      <c r="M887" t="str">
        <f>'Huong dan giao do an'!$B$33</f>
        <v>Tuần 1: 07.09–13.09.2026; Tuần 2: 14.09–20.09.2026; Tuần 3: 21.09–27.09.2026; Tuần 4: 28.09–04.10.2026; Tuần 5: 05.10–11.10.2026; Tuần 6: 12.10–18.10.2026; Tuần 7: 19.10–25.10.2026; Tuần 8: 26.10–01.11.2026.</v>
      </c>
      <c r="N8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7" s="17" t="str">
        <f t="shared" si="13"/>
        <v>Còn trống</v>
      </c>
    </row>
    <row r="888" spans="1:16" x14ac:dyDescent="0.3">
      <c r="A888">
        <v>887</v>
      </c>
      <c r="B888" t="s">
        <v>1857</v>
      </c>
      <c r="C888" t="s">
        <v>2058</v>
      </c>
      <c r="D888" t="s">
        <v>2059</v>
      </c>
      <c r="E888" t="s">
        <v>45</v>
      </c>
      <c r="F888" t="s">
        <v>1865</v>
      </c>
      <c r="G888" t="s">
        <v>1886</v>
      </c>
      <c r="H888" t="str">
        <f>'Huong dan giao do an'!$B$14</f>
        <v>5 SV (vai trò chính): 1 PM/Scrum Master kiêm Integration; 2 BA/PO; 3 UI-UX + Frontend; 4 Backend/API + DevOps; 5 Database + QA/Tester. Mỗi SV có nhiệm vụ phụ và minh chứng cá nhân.</v>
      </c>
      <c r="I888" t="s">
        <v>22</v>
      </c>
      <c r="J888" t="s">
        <v>1862</v>
      </c>
      <c r="K888" t="str">
        <f>IF(I888="Trung bình",'Huong dan giao do an'!$B$8,IF(I888="Khá",'Huong dan giao do an'!$B$9,'Huong dan giao do an'!$B$10))</f>
        <v>Tối thiểu 4 actor; 10-14 use case; 8-12 bảng; 3 quy trình lõi; phân quyền chi tiết; 2 báo cáo; tích hợp 1 dịch vụ; &gt;=35 test case; CI/CD hoặc deploy cloud.</v>
      </c>
      <c r="L888" t="str">
        <f>'Huong dan giao do an'!$B$31</f>
        <v>Bắt buộc: Charter/PMP; SRS + scope/WBS; Gantt/baseline; effort-cost budget; RACI/timesheet; quality-test-defect; communication/minutes; risk register; procurement; change log; closure/lessons learned.</v>
      </c>
      <c r="M888" t="str">
        <f>'Huong dan giao do an'!$B$33</f>
        <v>Tuần 1: 07.09–13.09.2026; Tuần 2: 14.09–20.09.2026; Tuần 3: 21.09–27.09.2026; Tuần 4: 28.09–04.10.2026; Tuần 5: 05.10–11.10.2026; Tuần 6: 12.10–18.10.2026; Tuần 7: 19.10–25.10.2026; Tuần 8: 26.10–01.11.2026.</v>
      </c>
      <c r="N8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8" s="17" t="str">
        <f t="shared" si="13"/>
        <v>Còn trống</v>
      </c>
    </row>
    <row r="889" spans="1:16" x14ac:dyDescent="0.3">
      <c r="A889">
        <v>888</v>
      </c>
      <c r="B889" t="s">
        <v>1857</v>
      </c>
      <c r="C889" t="s">
        <v>2060</v>
      </c>
      <c r="D889" t="s">
        <v>2061</v>
      </c>
      <c r="E889" t="s">
        <v>19</v>
      </c>
      <c r="F889" t="s">
        <v>1870</v>
      </c>
      <c r="G889" t="s">
        <v>1889</v>
      </c>
      <c r="H889" t="str">
        <f>'Huong dan giao do an'!$B$14</f>
        <v>5 SV (vai trò chính): 1 PM/Scrum Master kiêm Integration; 2 BA/PO; 3 UI-UX + Frontend; 4 Backend/API + DevOps; 5 Database + QA/Tester. Mỗi SV có nhiệm vụ phụ và minh chứng cá nhân.</v>
      </c>
      <c r="I889" t="s">
        <v>29</v>
      </c>
      <c r="J889" t="s">
        <v>1867</v>
      </c>
      <c r="K889" t="str">
        <f>IF(I889="Trung bình",'Huong dan giao do an'!$B$8,IF(I889="Khá",'Huong dan giao do an'!$B$9,'Huong dan giao do an'!$B$10))</f>
        <v>Tối thiểu 5 actor; 14-18 use case; 10-15 bảng; 4 quy trình; tích hợp ngoài/realtime hoặc xử lý nâng cao; 3 báo cáo; &gt;=45 test case; logging, backup và deploy.</v>
      </c>
      <c r="L889" t="str">
        <f>'Huong dan giao do an'!$B$31</f>
        <v>Bắt buộc: Charter/PMP; SRS + scope/WBS; Gantt/baseline; effort-cost budget; RACI/timesheet; quality-test-defect; communication/minutes; risk register; procurement; change log; closure/lessons learned.</v>
      </c>
      <c r="M889" t="str">
        <f>'Huong dan giao do an'!$B$33</f>
        <v>Tuần 1: 07.09–13.09.2026; Tuần 2: 14.09–20.09.2026; Tuần 3: 21.09–27.09.2026; Tuần 4: 28.09–04.10.2026; Tuần 5: 05.10–11.10.2026; Tuần 6: 12.10–18.10.2026; Tuần 7: 19.10–25.10.2026; Tuần 8: 26.10–01.11.2026.</v>
      </c>
      <c r="N8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89" s="17" t="str">
        <f t="shared" si="13"/>
        <v>Còn trống</v>
      </c>
    </row>
    <row r="890" spans="1:16" x14ac:dyDescent="0.3">
      <c r="A890">
        <v>889</v>
      </c>
      <c r="B890" t="s">
        <v>1857</v>
      </c>
      <c r="C890" t="s">
        <v>2062</v>
      </c>
      <c r="D890" t="s">
        <v>2063</v>
      </c>
      <c r="E890" t="s">
        <v>26</v>
      </c>
      <c r="F890" t="s">
        <v>1875</v>
      </c>
      <c r="G890" t="s">
        <v>1892</v>
      </c>
      <c r="H890" t="str">
        <f>'Huong dan giao do an'!$B$14</f>
        <v>5 SV (vai trò chính): 1 PM/Scrum Master kiêm Integration; 2 BA/PO; 3 UI-UX + Frontend; 4 Backend/API + DevOps; 5 Database + QA/Tester. Mỗi SV có nhiệm vụ phụ và minh chứng cá nhân.</v>
      </c>
      <c r="I890" t="s">
        <v>36</v>
      </c>
      <c r="J890" t="s">
        <v>1872</v>
      </c>
      <c r="K890" t="str">
        <f>IF(I890="Trung bình",'Huong dan giao do an'!$B$8,IF(I890="Khá",'Huong dan giao do an'!$B$9,'Huong dan giao do an'!$B$10))</f>
        <v>Tối thiểu 3 actor; 8-10 use case; 6-8 bảng dữ liệu; 2 quy trình lõi; đăng nhập/RBAC; 1 dashboard; 1 báo cáo; &gt;=25 test case; triển khai bản demo.</v>
      </c>
      <c r="L890" t="str">
        <f>'Huong dan giao do an'!$B$31</f>
        <v>Bắt buộc: Charter/PMP; SRS + scope/WBS; Gantt/baseline; effort-cost budget; RACI/timesheet; quality-test-defect; communication/minutes; risk register; procurement; change log; closure/lessons learned.</v>
      </c>
      <c r="M890" t="str">
        <f>'Huong dan giao do an'!$B$33</f>
        <v>Tuần 1: 07.09–13.09.2026; Tuần 2: 14.09–20.09.2026; Tuần 3: 21.09–27.09.2026; Tuần 4: 28.09–04.10.2026; Tuần 5: 05.10–11.10.2026; Tuần 6: 12.10–18.10.2026; Tuần 7: 19.10–25.10.2026; Tuần 8: 26.10–01.11.2026.</v>
      </c>
      <c r="N8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0" s="17" t="str">
        <f t="shared" si="13"/>
        <v>Còn trống</v>
      </c>
    </row>
    <row r="891" spans="1:16" x14ac:dyDescent="0.3">
      <c r="A891">
        <v>890</v>
      </c>
      <c r="B891" t="s">
        <v>1857</v>
      </c>
      <c r="C891" t="s">
        <v>2064</v>
      </c>
      <c r="D891" t="s">
        <v>2065</v>
      </c>
      <c r="E891" t="s">
        <v>33</v>
      </c>
      <c r="F891" t="s">
        <v>1879</v>
      </c>
      <c r="G891" t="s">
        <v>1895</v>
      </c>
      <c r="H891" t="str">
        <f>'Huong dan giao do an'!$B$14</f>
        <v>5 SV (vai trò chính): 1 PM/Scrum Master kiêm Integration; 2 BA/PO; 3 UI-UX + Frontend; 4 Backend/API + DevOps; 5 Database + QA/Tester. Mỗi SV có nhiệm vụ phụ và minh chứng cá nhân.</v>
      </c>
      <c r="I891" t="s">
        <v>22</v>
      </c>
      <c r="J891" t="s">
        <v>1862</v>
      </c>
      <c r="K891" t="str">
        <f>IF(I891="Trung bình",'Huong dan giao do an'!$B$8,IF(I891="Khá",'Huong dan giao do an'!$B$9,'Huong dan giao do an'!$B$10))</f>
        <v>Tối thiểu 4 actor; 10-14 use case; 8-12 bảng; 3 quy trình lõi; phân quyền chi tiết; 2 báo cáo; tích hợp 1 dịch vụ; &gt;=35 test case; CI/CD hoặc deploy cloud.</v>
      </c>
      <c r="L891" t="str">
        <f>'Huong dan giao do an'!$B$31</f>
        <v>Bắt buộc: Charter/PMP; SRS + scope/WBS; Gantt/baseline; effort-cost budget; RACI/timesheet; quality-test-defect; communication/minutes; risk register; procurement; change log; closure/lessons learned.</v>
      </c>
      <c r="M891" t="str">
        <f>'Huong dan giao do an'!$B$33</f>
        <v>Tuần 1: 07.09–13.09.2026; Tuần 2: 14.09–20.09.2026; Tuần 3: 21.09–27.09.2026; Tuần 4: 28.09–04.10.2026; Tuần 5: 05.10–11.10.2026; Tuần 6: 12.10–18.10.2026; Tuần 7: 19.10–25.10.2026; Tuần 8: 26.10–01.11.2026.</v>
      </c>
      <c r="N8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1" s="17" t="str">
        <f t="shared" si="13"/>
        <v>Còn trống</v>
      </c>
    </row>
    <row r="892" spans="1:16" x14ac:dyDescent="0.3">
      <c r="A892">
        <v>891</v>
      </c>
      <c r="B892" t="s">
        <v>1857</v>
      </c>
      <c r="C892" t="s">
        <v>2066</v>
      </c>
      <c r="D892" t="s">
        <v>2067</v>
      </c>
      <c r="E892" t="s">
        <v>40</v>
      </c>
      <c r="F892" t="s">
        <v>1860</v>
      </c>
      <c r="G892" t="s">
        <v>1898</v>
      </c>
      <c r="H892" t="str">
        <f>'Huong dan giao do an'!$B$14</f>
        <v>5 SV (vai trò chính): 1 PM/Scrum Master kiêm Integration; 2 BA/PO; 3 UI-UX + Frontend; 4 Backend/API + DevOps; 5 Database + QA/Tester. Mỗi SV có nhiệm vụ phụ và minh chứng cá nhân.</v>
      </c>
      <c r="I892" t="s">
        <v>29</v>
      </c>
      <c r="J892" t="s">
        <v>1867</v>
      </c>
      <c r="K892" t="str">
        <f>IF(I892="Trung bình",'Huong dan giao do an'!$B$8,IF(I892="Khá",'Huong dan giao do an'!$B$9,'Huong dan giao do an'!$B$10))</f>
        <v>Tối thiểu 5 actor; 14-18 use case; 10-15 bảng; 4 quy trình; tích hợp ngoài/realtime hoặc xử lý nâng cao; 3 báo cáo; &gt;=45 test case; logging, backup và deploy.</v>
      </c>
      <c r="L892" t="str">
        <f>'Huong dan giao do an'!$B$31</f>
        <v>Bắt buộc: Charter/PMP; SRS + scope/WBS; Gantt/baseline; effort-cost budget; RACI/timesheet; quality-test-defect; communication/minutes; risk register; procurement; change log; closure/lessons learned.</v>
      </c>
      <c r="M892" t="str">
        <f>'Huong dan giao do an'!$B$33</f>
        <v>Tuần 1: 07.09–13.09.2026; Tuần 2: 14.09–20.09.2026; Tuần 3: 21.09–27.09.2026; Tuần 4: 28.09–04.10.2026; Tuần 5: 05.10–11.10.2026; Tuần 6: 12.10–18.10.2026; Tuần 7: 19.10–25.10.2026; Tuần 8: 26.10–01.11.2026.</v>
      </c>
      <c r="N8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2" s="17" t="str">
        <f t="shared" si="13"/>
        <v>Còn trống</v>
      </c>
    </row>
    <row r="893" spans="1:16" x14ac:dyDescent="0.3">
      <c r="A893">
        <v>892</v>
      </c>
      <c r="B893" t="s">
        <v>1857</v>
      </c>
      <c r="C893" t="s">
        <v>2068</v>
      </c>
      <c r="D893" t="s">
        <v>2069</v>
      </c>
      <c r="E893" t="s">
        <v>45</v>
      </c>
      <c r="F893" t="s">
        <v>1865</v>
      </c>
      <c r="G893" t="s">
        <v>1901</v>
      </c>
      <c r="H893" t="str">
        <f>'Huong dan giao do an'!$B$14</f>
        <v>5 SV (vai trò chính): 1 PM/Scrum Master kiêm Integration; 2 BA/PO; 3 UI-UX + Frontend; 4 Backend/API + DevOps; 5 Database + QA/Tester. Mỗi SV có nhiệm vụ phụ và minh chứng cá nhân.</v>
      </c>
      <c r="I893" t="s">
        <v>36</v>
      </c>
      <c r="J893" t="s">
        <v>1872</v>
      </c>
      <c r="K893" t="str">
        <f>IF(I893="Trung bình",'Huong dan giao do an'!$B$8,IF(I893="Khá",'Huong dan giao do an'!$B$9,'Huong dan giao do an'!$B$10))</f>
        <v>Tối thiểu 3 actor; 8-10 use case; 6-8 bảng dữ liệu; 2 quy trình lõi; đăng nhập/RBAC; 1 dashboard; 1 báo cáo; &gt;=25 test case; triển khai bản demo.</v>
      </c>
      <c r="L893" t="str">
        <f>'Huong dan giao do an'!$B$31</f>
        <v>Bắt buộc: Charter/PMP; SRS + scope/WBS; Gantt/baseline; effort-cost budget; RACI/timesheet; quality-test-defect; communication/minutes; risk register; procurement; change log; closure/lessons learned.</v>
      </c>
      <c r="M893" t="str">
        <f>'Huong dan giao do an'!$B$33</f>
        <v>Tuần 1: 07.09–13.09.2026; Tuần 2: 14.09–20.09.2026; Tuần 3: 21.09–27.09.2026; Tuần 4: 28.09–04.10.2026; Tuần 5: 05.10–11.10.2026; Tuần 6: 12.10–18.10.2026; Tuần 7: 19.10–25.10.2026; Tuần 8: 26.10–01.11.2026.</v>
      </c>
      <c r="N8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3" s="17" t="str">
        <f t="shared" si="13"/>
        <v>Còn trống</v>
      </c>
    </row>
    <row r="894" spans="1:16" x14ac:dyDescent="0.3">
      <c r="A894">
        <v>893</v>
      </c>
      <c r="B894" t="s">
        <v>1857</v>
      </c>
      <c r="C894" t="s">
        <v>2070</v>
      </c>
      <c r="D894" t="s">
        <v>2071</v>
      </c>
      <c r="E894" t="s">
        <v>19</v>
      </c>
      <c r="F894" t="s">
        <v>1870</v>
      </c>
      <c r="G894" t="s">
        <v>1904</v>
      </c>
      <c r="H894" t="str">
        <f>'Huong dan giao do an'!$B$14</f>
        <v>5 SV (vai trò chính): 1 PM/Scrum Master kiêm Integration; 2 BA/PO; 3 UI-UX + Frontend; 4 Backend/API + DevOps; 5 Database + QA/Tester. Mỗi SV có nhiệm vụ phụ và minh chứng cá nhân.</v>
      </c>
      <c r="I894" t="s">
        <v>22</v>
      </c>
      <c r="J894" t="s">
        <v>1862</v>
      </c>
      <c r="K894" t="str">
        <f>IF(I894="Trung bình",'Huong dan giao do an'!$B$8,IF(I894="Khá",'Huong dan giao do an'!$B$9,'Huong dan giao do an'!$B$10))</f>
        <v>Tối thiểu 4 actor; 10-14 use case; 8-12 bảng; 3 quy trình lõi; phân quyền chi tiết; 2 báo cáo; tích hợp 1 dịch vụ; &gt;=35 test case; CI/CD hoặc deploy cloud.</v>
      </c>
      <c r="L894" t="str">
        <f>'Huong dan giao do an'!$B$31</f>
        <v>Bắt buộc: Charter/PMP; SRS + scope/WBS; Gantt/baseline; effort-cost budget; RACI/timesheet; quality-test-defect; communication/minutes; risk register; procurement; change log; closure/lessons learned.</v>
      </c>
      <c r="M894" t="str">
        <f>'Huong dan giao do an'!$B$33</f>
        <v>Tuần 1: 07.09–13.09.2026; Tuần 2: 14.09–20.09.2026; Tuần 3: 21.09–27.09.2026; Tuần 4: 28.09–04.10.2026; Tuần 5: 05.10–11.10.2026; Tuần 6: 12.10–18.10.2026; Tuần 7: 19.10–25.10.2026; Tuần 8: 26.10–01.11.2026.</v>
      </c>
      <c r="N8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4" s="17" t="str">
        <f t="shared" si="13"/>
        <v>Còn trống</v>
      </c>
    </row>
    <row r="895" spans="1:16" x14ac:dyDescent="0.3">
      <c r="A895">
        <v>894</v>
      </c>
      <c r="B895" t="s">
        <v>1857</v>
      </c>
      <c r="C895" t="s">
        <v>2072</v>
      </c>
      <c r="D895" t="s">
        <v>2073</v>
      </c>
      <c r="E895" t="s">
        <v>26</v>
      </c>
      <c r="F895" t="s">
        <v>1875</v>
      </c>
      <c r="G895" t="s">
        <v>1907</v>
      </c>
      <c r="H895" t="str">
        <f>'Huong dan giao do an'!$B$14</f>
        <v>5 SV (vai trò chính): 1 PM/Scrum Master kiêm Integration; 2 BA/PO; 3 UI-UX + Frontend; 4 Backend/API + DevOps; 5 Database + QA/Tester. Mỗi SV có nhiệm vụ phụ và minh chứng cá nhân.</v>
      </c>
      <c r="I895" t="s">
        <v>29</v>
      </c>
      <c r="J895" t="s">
        <v>1867</v>
      </c>
      <c r="K895" t="str">
        <f>IF(I895="Trung bình",'Huong dan giao do an'!$B$8,IF(I895="Khá",'Huong dan giao do an'!$B$9,'Huong dan giao do an'!$B$10))</f>
        <v>Tối thiểu 5 actor; 14-18 use case; 10-15 bảng; 4 quy trình; tích hợp ngoài/realtime hoặc xử lý nâng cao; 3 báo cáo; &gt;=45 test case; logging, backup và deploy.</v>
      </c>
      <c r="L895" t="str">
        <f>'Huong dan giao do an'!$B$31</f>
        <v>Bắt buộc: Charter/PMP; SRS + scope/WBS; Gantt/baseline; effort-cost budget; RACI/timesheet; quality-test-defect; communication/minutes; risk register; procurement; change log; closure/lessons learned.</v>
      </c>
      <c r="M895" t="str">
        <f>'Huong dan giao do an'!$B$33</f>
        <v>Tuần 1: 07.09–13.09.2026; Tuần 2: 14.09–20.09.2026; Tuần 3: 21.09–27.09.2026; Tuần 4: 28.09–04.10.2026; Tuần 5: 05.10–11.10.2026; Tuần 6: 12.10–18.10.2026; Tuần 7: 19.10–25.10.2026; Tuần 8: 26.10–01.11.2026.</v>
      </c>
      <c r="N8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5" s="17" t="str">
        <f t="shared" si="13"/>
        <v>Còn trống</v>
      </c>
    </row>
    <row r="896" spans="1:16" x14ac:dyDescent="0.3">
      <c r="A896">
        <v>895</v>
      </c>
      <c r="B896" t="s">
        <v>1857</v>
      </c>
      <c r="C896" t="s">
        <v>2074</v>
      </c>
      <c r="D896" t="s">
        <v>2075</v>
      </c>
      <c r="E896" t="s">
        <v>33</v>
      </c>
      <c r="F896" t="s">
        <v>1879</v>
      </c>
      <c r="G896" t="s">
        <v>1910</v>
      </c>
      <c r="H896" t="str">
        <f>'Huong dan giao do an'!$B$14</f>
        <v>5 SV (vai trò chính): 1 PM/Scrum Master kiêm Integration; 2 BA/PO; 3 UI-UX + Frontend; 4 Backend/API + DevOps; 5 Database + QA/Tester. Mỗi SV có nhiệm vụ phụ và minh chứng cá nhân.</v>
      </c>
      <c r="I896" t="s">
        <v>36</v>
      </c>
      <c r="J896" t="s">
        <v>1872</v>
      </c>
      <c r="K896" t="str">
        <f>IF(I896="Trung bình",'Huong dan giao do an'!$B$8,IF(I896="Khá",'Huong dan giao do an'!$B$9,'Huong dan giao do an'!$B$10))</f>
        <v>Tối thiểu 3 actor; 8-10 use case; 6-8 bảng dữ liệu; 2 quy trình lõi; đăng nhập/RBAC; 1 dashboard; 1 báo cáo; &gt;=25 test case; triển khai bản demo.</v>
      </c>
      <c r="L896" t="str">
        <f>'Huong dan giao do an'!$B$31</f>
        <v>Bắt buộc: Charter/PMP; SRS + scope/WBS; Gantt/baseline; effort-cost budget; RACI/timesheet; quality-test-defect; communication/minutes; risk register; procurement; change log; closure/lessons learned.</v>
      </c>
      <c r="M896" t="str">
        <f>'Huong dan giao do an'!$B$33</f>
        <v>Tuần 1: 07.09–13.09.2026; Tuần 2: 14.09–20.09.2026; Tuần 3: 21.09–27.09.2026; Tuần 4: 28.09–04.10.2026; Tuần 5: 05.10–11.10.2026; Tuần 6: 12.10–18.10.2026; Tuần 7: 19.10–25.10.2026; Tuần 8: 26.10–01.11.2026.</v>
      </c>
      <c r="N8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6" s="17" t="str">
        <f t="shared" si="13"/>
        <v>Còn trống</v>
      </c>
    </row>
    <row r="897" spans="1:16" x14ac:dyDescent="0.3">
      <c r="A897">
        <v>896</v>
      </c>
      <c r="B897" t="s">
        <v>1857</v>
      </c>
      <c r="C897" t="s">
        <v>2076</v>
      </c>
      <c r="D897" t="s">
        <v>2077</v>
      </c>
      <c r="E897" t="s">
        <v>40</v>
      </c>
      <c r="F897" t="s">
        <v>1860</v>
      </c>
      <c r="G897" t="s">
        <v>1913</v>
      </c>
      <c r="H897" t="str">
        <f>'Huong dan giao do an'!$B$14</f>
        <v>5 SV (vai trò chính): 1 PM/Scrum Master kiêm Integration; 2 BA/PO; 3 UI-UX + Frontend; 4 Backend/API + DevOps; 5 Database + QA/Tester. Mỗi SV có nhiệm vụ phụ và minh chứng cá nhân.</v>
      </c>
      <c r="I897" t="s">
        <v>22</v>
      </c>
      <c r="J897" t="s">
        <v>1862</v>
      </c>
      <c r="K897" t="str">
        <f>IF(I897="Trung bình",'Huong dan giao do an'!$B$8,IF(I897="Khá",'Huong dan giao do an'!$B$9,'Huong dan giao do an'!$B$10))</f>
        <v>Tối thiểu 4 actor; 10-14 use case; 8-12 bảng; 3 quy trình lõi; phân quyền chi tiết; 2 báo cáo; tích hợp 1 dịch vụ; &gt;=35 test case; CI/CD hoặc deploy cloud.</v>
      </c>
      <c r="L897" t="str">
        <f>'Huong dan giao do an'!$B$31</f>
        <v>Bắt buộc: Charter/PMP; SRS + scope/WBS; Gantt/baseline; effort-cost budget; RACI/timesheet; quality-test-defect; communication/minutes; risk register; procurement; change log; closure/lessons learned.</v>
      </c>
      <c r="M897" t="str">
        <f>'Huong dan giao do an'!$B$33</f>
        <v>Tuần 1: 07.09–13.09.2026; Tuần 2: 14.09–20.09.2026; Tuần 3: 21.09–27.09.2026; Tuần 4: 28.09–04.10.2026; Tuần 5: 05.10–11.10.2026; Tuần 6: 12.10–18.10.2026; Tuần 7: 19.10–25.10.2026; Tuần 8: 26.10–01.11.2026.</v>
      </c>
      <c r="N8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7" s="17" t="str">
        <f t="shared" si="13"/>
        <v>Còn trống</v>
      </c>
    </row>
    <row r="898" spans="1:16" x14ac:dyDescent="0.3">
      <c r="A898">
        <v>897</v>
      </c>
      <c r="B898" t="s">
        <v>1857</v>
      </c>
      <c r="C898" t="s">
        <v>2078</v>
      </c>
      <c r="D898" t="s">
        <v>2079</v>
      </c>
      <c r="E898" t="s">
        <v>45</v>
      </c>
      <c r="F898" t="s">
        <v>1865</v>
      </c>
      <c r="G898" t="s">
        <v>1916</v>
      </c>
      <c r="H898" t="str">
        <f>'Huong dan giao do an'!$B$14</f>
        <v>5 SV (vai trò chính): 1 PM/Scrum Master kiêm Integration; 2 BA/PO; 3 UI-UX + Frontend; 4 Backend/API + DevOps; 5 Database + QA/Tester. Mỗi SV có nhiệm vụ phụ và minh chứng cá nhân.</v>
      </c>
      <c r="I898" t="s">
        <v>29</v>
      </c>
      <c r="J898" t="s">
        <v>1867</v>
      </c>
      <c r="K898" t="str">
        <f>IF(I898="Trung bình",'Huong dan giao do an'!$B$8,IF(I898="Khá",'Huong dan giao do an'!$B$9,'Huong dan giao do an'!$B$10))</f>
        <v>Tối thiểu 5 actor; 14-18 use case; 10-15 bảng; 4 quy trình; tích hợp ngoài/realtime hoặc xử lý nâng cao; 3 báo cáo; &gt;=45 test case; logging, backup và deploy.</v>
      </c>
      <c r="L898" t="str">
        <f>'Huong dan giao do an'!$B$31</f>
        <v>Bắt buộc: Charter/PMP; SRS + scope/WBS; Gantt/baseline; effort-cost budget; RACI/timesheet; quality-test-defect; communication/minutes; risk register; procurement; change log; closure/lessons learned.</v>
      </c>
      <c r="M898" t="str">
        <f>'Huong dan giao do an'!$B$33</f>
        <v>Tuần 1: 07.09–13.09.2026; Tuần 2: 14.09–20.09.2026; Tuần 3: 21.09–27.09.2026; Tuần 4: 28.09–04.10.2026; Tuần 5: 05.10–11.10.2026; Tuần 6: 12.10–18.10.2026; Tuần 7: 19.10–25.10.2026; Tuần 8: 26.10–01.11.2026.</v>
      </c>
      <c r="N8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8" s="17" t="str">
        <f t="shared" si="13"/>
        <v>Còn trống</v>
      </c>
    </row>
    <row r="899" spans="1:16" x14ac:dyDescent="0.3">
      <c r="A899">
        <v>898</v>
      </c>
      <c r="B899" t="s">
        <v>1857</v>
      </c>
      <c r="C899" t="s">
        <v>2080</v>
      </c>
      <c r="D899" t="s">
        <v>2081</v>
      </c>
      <c r="E899" t="s">
        <v>19</v>
      </c>
      <c r="F899" t="s">
        <v>1870</v>
      </c>
      <c r="G899" t="s">
        <v>1919</v>
      </c>
      <c r="H899" t="str">
        <f>'Huong dan giao do an'!$B$14</f>
        <v>5 SV (vai trò chính): 1 PM/Scrum Master kiêm Integration; 2 BA/PO; 3 UI-UX + Frontend; 4 Backend/API + DevOps; 5 Database + QA/Tester. Mỗi SV có nhiệm vụ phụ và minh chứng cá nhân.</v>
      </c>
      <c r="I899" t="s">
        <v>36</v>
      </c>
      <c r="J899" t="s">
        <v>1872</v>
      </c>
      <c r="K899" t="str">
        <f>IF(I899="Trung bình",'Huong dan giao do an'!$B$8,IF(I899="Khá",'Huong dan giao do an'!$B$9,'Huong dan giao do an'!$B$10))</f>
        <v>Tối thiểu 3 actor; 8-10 use case; 6-8 bảng dữ liệu; 2 quy trình lõi; đăng nhập/RBAC; 1 dashboard; 1 báo cáo; &gt;=25 test case; triển khai bản demo.</v>
      </c>
      <c r="L899" t="str">
        <f>'Huong dan giao do an'!$B$31</f>
        <v>Bắt buộc: Charter/PMP; SRS + scope/WBS; Gantt/baseline; effort-cost budget; RACI/timesheet; quality-test-defect; communication/minutes; risk register; procurement; change log; closure/lessons learned.</v>
      </c>
      <c r="M899" t="str">
        <f>'Huong dan giao do an'!$B$33</f>
        <v>Tuần 1: 07.09–13.09.2026; Tuần 2: 14.09–20.09.2026; Tuần 3: 21.09–27.09.2026; Tuần 4: 28.09–04.10.2026; Tuần 5: 05.10–11.10.2026; Tuần 6: 12.10–18.10.2026; Tuần 7: 19.10–25.10.2026; Tuần 8: 26.10–01.11.2026.</v>
      </c>
      <c r="N8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899" s="17" t="str">
        <f t="shared" ref="P899:P962" si="14">IF(O899="","Còn trống","Đã đăng ký")</f>
        <v>Còn trống</v>
      </c>
    </row>
    <row r="900" spans="1:16" x14ac:dyDescent="0.3">
      <c r="A900">
        <v>899</v>
      </c>
      <c r="B900" t="s">
        <v>1857</v>
      </c>
      <c r="C900" t="s">
        <v>2082</v>
      </c>
      <c r="D900" t="s">
        <v>2083</v>
      </c>
      <c r="E900" t="s">
        <v>26</v>
      </c>
      <c r="F900" t="s">
        <v>1875</v>
      </c>
      <c r="G900" t="s">
        <v>1922</v>
      </c>
      <c r="H900" t="str">
        <f>'Huong dan giao do an'!$B$14</f>
        <v>5 SV (vai trò chính): 1 PM/Scrum Master kiêm Integration; 2 BA/PO; 3 UI-UX + Frontend; 4 Backend/API + DevOps; 5 Database + QA/Tester. Mỗi SV có nhiệm vụ phụ và minh chứng cá nhân.</v>
      </c>
      <c r="I900" t="s">
        <v>22</v>
      </c>
      <c r="J900" t="s">
        <v>1862</v>
      </c>
      <c r="K900" t="str">
        <f>IF(I900="Trung bình",'Huong dan giao do an'!$B$8,IF(I900="Khá",'Huong dan giao do an'!$B$9,'Huong dan giao do an'!$B$10))</f>
        <v>Tối thiểu 4 actor; 10-14 use case; 8-12 bảng; 3 quy trình lõi; phân quyền chi tiết; 2 báo cáo; tích hợp 1 dịch vụ; &gt;=35 test case; CI/CD hoặc deploy cloud.</v>
      </c>
      <c r="L900" t="str">
        <f>'Huong dan giao do an'!$B$31</f>
        <v>Bắt buộc: Charter/PMP; SRS + scope/WBS; Gantt/baseline; effort-cost budget; RACI/timesheet; quality-test-defect; communication/minutes; risk register; procurement; change log; closure/lessons learned.</v>
      </c>
      <c r="M900" t="str">
        <f>'Huong dan giao do an'!$B$33</f>
        <v>Tuần 1: 07.09–13.09.2026; Tuần 2: 14.09–20.09.2026; Tuần 3: 21.09–27.09.2026; Tuần 4: 28.09–04.10.2026; Tuần 5: 05.10–11.10.2026; Tuần 6: 12.10–18.10.2026; Tuần 7: 19.10–25.10.2026; Tuần 8: 26.10–01.11.2026.</v>
      </c>
      <c r="N9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0" s="17" t="str">
        <f t="shared" si="14"/>
        <v>Còn trống</v>
      </c>
    </row>
    <row r="901" spans="1:16" x14ac:dyDescent="0.3">
      <c r="A901">
        <v>900</v>
      </c>
      <c r="B901" t="s">
        <v>1857</v>
      </c>
      <c r="C901" t="s">
        <v>2084</v>
      </c>
      <c r="D901" t="s">
        <v>2085</v>
      </c>
      <c r="E901" t="s">
        <v>33</v>
      </c>
      <c r="F901" t="s">
        <v>1879</v>
      </c>
      <c r="G901" t="s">
        <v>1925</v>
      </c>
      <c r="H901" t="str">
        <f>'Huong dan giao do an'!$B$14</f>
        <v>5 SV (vai trò chính): 1 PM/Scrum Master kiêm Integration; 2 BA/PO; 3 UI-UX + Frontend; 4 Backend/API + DevOps; 5 Database + QA/Tester. Mỗi SV có nhiệm vụ phụ và minh chứng cá nhân.</v>
      </c>
      <c r="I901" t="s">
        <v>29</v>
      </c>
      <c r="J901" t="s">
        <v>1867</v>
      </c>
      <c r="K901" t="str">
        <f>IF(I901="Trung bình",'Huong dan giao do an'!$B$8,IF(I901="Khá",'Huong dan giao do an'!$B$9,'Huong dan giao do an'!$B$10))</f>
        <v>Tối thiểu 5 actor; 14-18 use case; 10-15 bảng; 4 quy trình; tích hợp ngoài/realtime hoặc xử lý nâng cao; 3 báo cáo; &gt;=45 test case; logging, backup và deploy.</v>
      </c>
      <c r="L901" t="str">
        <f>'Huong dan giao do an'!$B$31</f>
        <v>Bắt buộc: Charter/PMP; SRS + scope/WBS; Gantt/baseline; effort-cost budget; RACI/timesheet; quality-test-defect; communication/minutes; risk register; procurement; change log; closure/lessons learned.</v>
      </c>
      <c r="M901" t="str">
        <f>'Huong dan giao do an'!$B$33</f>
        <v>Tuần 1: 07.09–13.09.2026; Tuần 2: 14.09–20.09.2026; Tuần 3: 21.09–27.09.2026; Tuần 4: 28.09–04.10.2026; Tuần 5: 05.10–11.10.2026; Tuần 6: 12.10–18.10.2026; Tuần 7: 19.10–25.10.2026; Tuần 8: 26.10–01.11.2026.</v>
      </c>
      <c r="N9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1" s="17" t="str">
        <f t="shared" si="14"/>
        <v>Còn trống</v>
      </c>
    </row>
    <row r="902" spans="1:16" x14ac:dyDescent="0.3">
      <c r="A902">
        <v>901</v>
      </c>
      <c r="B902" t="s">
        <v>2086</v>
      </c>
      <c r="C902" t="s">
        <v>2087</v>
      </c>
      <c r="D902" t="s">
        <v>2088</v>
      </c>
      <c r="E902" t="s">
        <v>45</v>
      </c>
      <c r="F902" t="s">
        <v>2089</v>
      </c>
      <c r="G902" t="s">
        <v>2090</v>
      </c>
      <c r="H902" t="str">
        <f>'Huong dan giao do an'!$B$14</f>
        <v>5 SV (vai trò chính): 1 PM/Scrum Master kiêm Integration; 2 BA/PO; 3 UI-UX + Frontend; 4 Backend/API + DevOps; 5 Database + QA/Tester. Mỗi SV có nhiệm vụ phụ và minh chứng cá nhân.</v>
      </c>
      <c r="I902" t="s">
        <v>22</v>
      </c>
      <c r="J902" t="s">
        <v>2091</v>
      </c>
      <c r="K902" t="str">
        <f>IF(I902="Trung bình",'Huong dan giao do an'!$B$8,IF(I902="Khá",'Huong dan giao do an'!$B$9,'Huong dan giao do an'!$B$10))</f>
        <v>Tối thiểu 4 actor; 10-14 use case; 8-12 bảng; 3 quy trình lõi; phân quyền chi tiết; 2 báo cáo; tích hợp 1 dịch vụ; &gt;=35 test case; CI/CD hoặc deploy cloud.</v>
      </c>
      <c r="L902" t="str">
        <f>'Huong dan giao do an'!$B$31</f>
        <v>Bắt buộc: Charter/PMP; SRS + scope/WBS; Gantt/baseline; effort-cost budget; RACI/timesheet; quality-test-defect; communication/minutes; risk register; procurement; change log; closure/lessons learned.</v>
      </c>
      <c r="M902" t="str">
        <f>'Huong dan giao do an'!$B$33</f>
        <v>Tuần 1: 07.09–13.09.2026; Tuần 2: 14.09–20.09.2026; Tuần 3: 21.09–27.09.2026; Tuần 4: 28.09–04.10.2026; Tuần 5: 05.10–11.10.2026; Tuần 6: 12.10–18.10.2026; Tuần 7: 19.10–25.10.2026; Tuần 8: 26.10–01.11.2026.</v>
      </c>
      <c r="N9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2" s="17" t="str">
        <f t="shared" si="14"/>
        <v>Còn trống</v>
      </c>
    </row>
    <row r="903" spans="1:16" x14ac:dyDescent="0.3">
      <c r="A903">
        <v>902</v>
      </c>
      <c r="B903" t="s">
        <v>2086</v>
      </c>
      <c r="C903" t="s">
        <v>2092</v>
      </c>
      <c r="D903" t="s">
        <v>2093</v>
      </c>
      <c r="E903" t="s">
        <v>19</v>
      </c>
      <c r="F903" t="s">
        <v>2094</v>
      </c>
      <c r="G903" t="s">
        <v>2095</v>
      </c>
      <c r="H903" t="str">
        <f>'Huong dan giao do an'!$B$14</f>
        <v>5 SV (vai trò chính): 1 PM/Scrum Master kiêm Integration; 2 BA/PO; 3 UI-UX + Frontend; 4 Backend/API + DevOps; 5 Database + QA/Tester. Mỗi SV có nhiệm vụ phụ và minh chứng cá nhân.</v>
      </c>
      <c r="I903" t="s">
        <v>29</v>
      </c>
      <c r="J903" t="s">
        <v>2096</v>
      </c>
      <c r="K903" t="str">
        <f>IF(I903="Trung bình",'Huong dan giao do an'!$B$8,IF(I903="Khá",'Huong dan giao do an'!$B$9,'Huong dan giao do an'!$B$10))</f>
        <v>Tối thiểu 5 actor; 14-18 use case; 10-15 bảng; 4 quy trình; tích hợp ngoài/realtime hoặc xử lý nâng cao; 3 báo cáo; &gt;=45 test case; logging, backup và deploy.</v>
      </c>
      <c r="L903" t="str">
        <f>'Huong dan giao do an'!$B$31</f>
        <v>Bắt buộc: Charter/PMP; SRS + scope/WBS; Gantt/baseline; effort-cost budget; RACI/timesheet; quality-test-defect; communication/minutes; risk register; procurement; change log; closure/lessons learned.</v>
      </c>
      <c r="M903" t="str">
        <f>'Huong dan giao do an'!$B$33</f>
        <v>Tuần 1: 07.09–13.09.2026; Tuần 2: 14.09–20.09.2026; Tuần 3: 21.09–27.09.2026; Tuần 4: 28.09–04.10.2026; Tuần 5: 05.10–11.10.2026; Tuần 6: 12.10–18.10.2026; Tuần 7: 19.10–25.10.2026; Tuần 8: 26.10–01.11.2026.</v>
      </c>
      <c r="N9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3" s="17" t="str">
        <f t="shared" si="14"/>
        <v>Còn trống</v>
      </c>
    </row>
    <row r="904" spans="1:16" x14ac:dyDescent="0.3">
      <c r="A904">
        <v>903</v>
      </c>
      <c r="B904" t="s">
        <v>2086</v>
      </c>
      <c r="C904" t="s">
        <v>2097</v>
      </c>
      <c r="D904" t="s">
        <v>2098</v>
      </c>
      <c r="E904" t="s">
        <v>26</v>
      </c>
      <c r="F904" t="s">
        <v>2099</v>
      </c>
      <c r="G904" t="s">
        <v>2100</v>
      </c>
      <c r="H904" t="str">
        <f>'Huong dan giao do an'!$B$14</f>
        <v>5 SV (vai trò chính): 1 PM/Scrum Master kiêm Integration; 2 BA/PO; 3 UI-UX + Frontend; 4 Backend/API + DevOps; 5 Database + QA/Tester. Mỗi SV có nhiệm vụ phụ và minh chứng cá nhân.</v>
      </c>
      <c r="I904" t="s">
        <v>36</v>
      </c>
      <c r="J904" t="s">
        <v>2101</v>
      </c>
      <c r="K904" t="str">
        <f>IF(I904="Trung bình",'Huong dan giao do an'!$B$8,IF(I904="Khá",'Huong dan giao do an'!$B$9,'Huong dan giao do an'!$B$10))</f>
        <v>Tối thiểu 3 actor; 8-10 use case; 6-8 bảng dữ liệu; 2 quy trình lõi; đăng nhập/RBAC; 1 dashboard; 1 báo cáo; &gt;=25 test case; triển khai bản demo.</v>
      </c>
      <c r="L904" t="str">
        <f>'Huong dan giao do an'!$B$31</f>
        <v>Bắt buộc: Charter/PMP; SRS + scope/WBS; Gantt/baseline; effort-cost budget; RACI/timesheet; quality-test-defect; communication/minutes; risk register; procurement; change log; closure/lessons learned.</v>
      </c>
      <c r="M904" t="str">
        <f>'Huong dan giao do an'!$B$33</f>
        <v>Tuần 1: 07.09–13.09.2026; Tuần 2: 14.09–20.09.2026; Tuần 3: 21.09–27.09.2026; Tuần 4: 28.09–04.10.2026; Tuần 5: 05.10–11.10.2026; Tuần 6: 12.10–18.10.2026; Tuần 7: 19.10–25.10.2026; Tuần 8: 26.10–01.11.2026.</v>
      </c>
      <c r="N9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4" s="17" t="str">
        <f t="shared" si="14"/>
        <v>Còn trống</v>
      </c>
    </row>
    <row r="905" spans="1:16" x14ac:dyDescent="0.3">
      <c r="A905">
        <v>904</v>
      </c>
      <c r="B905" t="s">
        <v>2086</v>
      </c>
      <c r="C905" t="s">
        <v>2102</v>
      </c>
      <c r="D905" t="s">
        <v>2103</v>
      </c>
      <c r="E905" t="s">
        <v>33</v>
      </c>
      <c r="F905" t="s">
        <v>2104</v>
      </c>
      <c r="G905" t="s">
        <v>2105</v>
      </c>
      <c r="H905" t="str">
        <f>'Huong dan giao do an'!$B$14</f>
        <v>5 SV (vai trò chính): 1 PM/Scrum Master kiêm Integration; 2 BA/PO; 3 UI-UX + Frontend; 4 Backend/API + DevOps; 5 Database + QA/Tester. Mỗi SV có nhiệm vụ phụ và minh chứng cá nhân.</v>
      </c>
      <c r="I905" t="s">
        <v>22</v>
      </c>
      <c r="J905" t="s">
        <v>2091</v>
      </c>
      <c r="K905" t="str">
        <f>IF(I905="Trung bình",'Huong dan giao do an'!$B$8,IF(I905="Khá",'Huong dan giao do an'!$B$9,'Huong dan giao do an'!$B$10))</f>
        <v>Tối thiểu 4 actor; 10-14 use case; 8-12 bảng; 3 quy trình lõi; phân quyền chi tiết; 2 báo cáo; tích hợp 1 dịch vụ; &gt;=35 test case; CI/CD hoặc deploy cloud.</v>
      </c>
      <c r="L905" t="str">
        <f>'Huong dan giao do an'!$B$31</f>
        <v>Bắt buộc: Charter/PMP; SRS + scope/WBS; Gantt/baseline; effort-cost budget; RACI/timesheet; quality-test-defect; communication/minutes; risk register; procurement; change log; closure/lessons learned.</v>
      </c>
      <c r="M905" t="str">
        <f>'Huong dan giao do an'!$B$33</f>
        <v>Tuần 1: 07.09–13.09.2026; Tuần 2: 14.09–20.09.2026; Tuần 3: 21.09–27.09.2026; Tuần 4: 28.09–04.10.2026; Tuần 5: 05.10–11.10.2026; Tuần 6: 12.10–18.10.2026; Tuần 7: 19.10–25.10.2026; Tuần 8: 26.10–01.11.2026.</v>
      </c>
      <c r="N9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5" s="17" t="str">
        <f t="shared" si="14"/>
        <v>Còn trống</v>
      </c>
    </row>
    <row r="906" spans="1:16" x14ac:dyDescent="0.3">
      <c r="A906">
        <v>905</v>
      </c>
      <c r="B906" t="s">
        <v>2086</v>
      </c>
      <c r="C906" t="s">
        <v>2106</v>
      </c>
      <c r="D906" t="s">
        <v>2107</v>
      </c>
      <c r="E906" t="s">
        <v>40</v>
      </c>
      <c r="F906" t="s">
        <v>2108</v>
      </c>
      <c r="G906" t="s">
        <v>2109</v>
      </c>
      <c r="H906" t="str">
        <f>'Huong dan giao do an'!$B$14</f>
        <v>5 SV (vai trò chính): 1 PM/Scrum Master kiêm Integration; 2 BA/PO; 3 UI-UX + Frontend; 4 Backend/API + DevOps; 5 Database + QA/Tester. Mỗi SV có nhiệm vụ phụ và minh chứng cá nhân.</v>
      </c>
      <c r="I906" t="s">
        <v>29</v>
      </c>
      <c r="J906" t="s">
        <v>2096</v>
      </c>
      <c r="K906" t="str">
        <f>IF(I906="Trung bình",'Huong dan giao do an'!$B$8,IF(I906="Khá",'Huong dan giao do an'!$B$9,'Huong dan giao do an'!$B$10))</f>
        <v>Tối thiểu 5 actor; 14-18 use case; 10-15 bảng; 4 quy trình; tích hợp ngoài/realtime hoặc xử lý nâng cao; 3 báo cáo; &gt;=45 test case; logging, backup và deploy.</v>
      </c>
      <c r="L906" t="str">
        <f>'Huong dan giao do an'!$B$31</f>
        <v>Bắt buộc: Charter/PMP; SRS + scope/WBS; Gantt/baseline; effort-cost budget; RACI/timesheet; quality-test-defect; communication/minutes; risk register; procurement; change log; closure/lessons learned.</v>
      </c>
      <c r="M906" t="str">
        <f>'Huong dan giao do an'!$B$33</f>
        <v>Tuần 1: 07.09–13.09.2026; Tuần 2: 14.09–20.09.2026; Tuần 3: 21.09–27.09.2026; Tuần 4: 28.09–04.10.2026; Tuần 5: 05.10–11.10.2026; Tuần 6: 12.10–18.10.2026; Tuần 7: 19.10–25.10.2026; Tuần 8: 26.10–01.11.2026.</v>
      </c>
      <c r="N9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6" s="17" t="str">
        <f t="shared" si="14"/>
        <v>Còn trống</v>
      </c>
    </row>
    <row r="907" spans="1:16" x14ac:dyDescent="0.3">
      <c r="A907">
        <v>906</v>
      </c>
      <c r="B907" t="s">
        <v>2086</v>
      </c>
      <c r="C907" t="s">
        <v>2110</v>
      </c>
      <c r="D907" t="s">
        <v>2111</v>
      </c>
      <c r="E907" t="s">
        <v>45</v>
      </c>
      <c r="F907" t="s">
        <v>2089</v>
      </c>
      <c r="G907" t="s">
        <v>2112</v>
      </c>
      <c r="H907" t="str">
        <f>'Huong dan giao do an'!$B$14</f>
        <v>5 SV (vai trò chính): 1 PM/Scrum Master kiêm Integration; 2 BA/PO; 3 UI-UX + Frontend; 4 Backend/API + DevOps; 5 Database + QA/Tester. Mỗi SV có nhiệm vụ phụ và minh chứng cá nhân.</v>
      </c>
      <c r="I907" t="s">
        <v>36</v>
      </c>
      <c r="J907" t="s">
        <v>2101</v>
      </c>
      <c r="K907" t="str">
        <f>IF(I907="Trung bình",'Huong dan giao do an'!$B$8,IF(I907="Khá",'Huong dan giao do an'!$B$9,'Huong dan giao do an'!$B$10))</f>
        <v>Tối thiểu 3 actor; 8-10 use case; 6-8 bảng dữ liệu; 2 quy trình lõi; đăng nhập/RBAC; 1 dashboard; 1 báo cáo; &gt;=25 test case; triển khai bản demo.</v>
      </c>
      <c r="L907" t="str">
        <f>'Huong dan giao do an'!$B$31</f>
        <v>Bắt buộc: Charter/PMP; SRS + scope/WBS; Gantt/baseline; effort-cost budget; RACI/timesheet; quality-test-defect; communication/minutes; risk register; procurement; change log; closure/lessons learned.</v>
      </c>
      <c r="M907" t="str">
        <f>'Huong dan giao do an'!$B$33</f>
        <v>Tuần 1: 07.09–13.09.2026; Tuần 2: 14.09–20.09.2026; Tuần 3: 21.09–27.09.2026; Tuần 4: 28.09–04.10.2026; Tuần 5: 05.10–11.10.2026; Tuần 6: 12.10–18.10.2026; Tuần 7: 19.10–25.10.2026; Tuần 8: 26.10–01.11.2026.</v>
      </c>
      <c r="N9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7" s="17" t="str">
        <f t="shared" si="14"/>
        <v>Còn trống</v>
      </c>
    </row>
    <row r="908" spans="1:16" x14ac:dyDescent="0.3">
      <c r="A908">
        <v>907</v>
      </c>
      <c r="B908" t="s">
        <v>2086</v>
      </c>
      <c r="C908" t="s">
        <v>2113</v>
      </c>
      <c r="D908" t="s">
        <v>2114</v>
      </c>
      <c r="E908" t="s">
        <v>19</v>
      </c>
      <c r="F908" t="s">
        <v>2094</v>
      </c>
      <c r="G908" t="s">
        <v>2115</v>
      </c>
      <c r="H908" t="str">
        <f>'Huong dan giao do an'!$B$14</f>
        <v>5 SV (vai trò chính): 1 PM/Scrum Master kiêm Integration; 2 BA/PO; 3 UI-UX + Frontend; 4 Backend/API + DevOps; 5 Database + QA/Tester. Mỗi SV có nhiệm vụ phụ và minh chứng cá nhân.</v>
      </c>
      <c r="I908" t="s">
        <v>22</v>
      </c>
      <c r="J908" t="s">
        <v>2091</v>
      </c>
      <c r="K908" t="str">
        <f>IF(I908="Trung bình",'Huong dan giao do an'!$B$8,IF(I908="Khá",'Huong dan giao do an'!$B$9,'Huong dan giao do an'!$B$10))</f>
        <v>Tối thiểu 4 actor; 10-14 use case; 8-12 bảng; 3 quy trình lõi; phân quyền chi tiết; 2 báo cáo; tích hợp 1 dịch vụ; &gt;=35 test case; CI/CD hoặc deploy cloud.</v>
      </c>
      <c r="L908" t="str">
        <f>'Huong dan giao do an'!$B$31</f>
        <v>Bắt buộc: Charter/PMP; SRS + scope/WBS; Gantt/baseline; effort-cost budget; RACI/timesheet; quality-test-defect; communication/minutes; risk register; procurement; change log; closure/lessons learned.</v>
      </c>
      <c r="M908" t="str">
        <f>'Huong dan giao do an'!$B$33</f>
        <v>Tuần 1: 07.09–13.09.2026; Tuần 2: 14.09–20.09.2026; Tuần 3: 21.09–27.09.2026; Tuần 4: 28.09–04.10.2026; Tuần 5: 05.10–11.10.2026; Tuần 6: 12.10–18.10.2026; Tuần 7: 19.10–25.10.2026; Tuần 8: 26.10–01.11.2026.</v>
      </c>
      <c r="N9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8" s="17" t="str">
        <f t="shared" si="14"/>
        <v>Còn trống</v>
      </c>
    </row>
    <row r="909" spans="1:16" x14ac:dyDescent="0.3">
      <c r="A909">
        <v>908</v>
      </c>
      <c r="B909" t="s">
        <v>2086</v>
      </c>
      <c r="C909" t="s">
        <v>2116</v>
      </c>
      <c r="D909" t="s">
        <v>2117</v>
      </c>
      <c r="E909" t="s">
        <v>26</v>
      </c>
      <c r="F909" t="s">
        <v>2099</v>
      </c>
      <c r="G909" t="s">
        <v>2118</v>
      </c>
      <c r="H909" t="str">
        <f>'Huong dan giao do an'!$B$14</f>
        <v>5 SV (vai trò chính): 1 PM/Scrum Master kiêm Integration; 2 BA/PO; 3 UI-UX + Frontend; 4 Backend/API + DevOps; 5 Database + QA/Tester. Mỗi SV có nhiệm vụ phụ và minh chứng cá nhân.</v>
      </c>
      <c r="I909" t="s">
        <v>29</v>
      </c>
      <c r="J909" t="s">
        <v>2096</v>
      </c>
      <c r="K909" t="str">
        <f>IF(I909="Trung bình",'Huong dan giao do an'!$B$8,IF(I909="Khá",'Huong dan giao do an'!$B$9,'Huong dan giao do an'!$B$10))</f>
        <v>Tối thiểu 5 actor; 14-18 use case; 10-15 bảng; 4 quy trình; tích hợp ngoài/realtime hoặc xử lý nâng cao; 3 báo cáo; &gt;=45 test case; logging, backup và deploy.</v>
      </c>
      <c r="L909" t="str">
        <f>'Huong dan giao do an'!$B$31</f>
        <v>Bắt buộc: Charter/PMP; SRS + scope/WBS; Gantt/baseline; effort-cost budget; RACI/timesheet; quality-test-defect; communication/minutes; risk register; procurement; change log; closure/lessons learned.</v>
      </c>
      <c r="M909" t="str">
        <f>'Huong dan giao do an'!$B$33</f>
        <v>Tuần 1: 07.09–13.09.2026; Tuần 2: 14.09–20.09.2026; Tuần 3: 21.09–27.09.2026; Tuần 4: 28.09–04.10.2026; Tuần 5: 05.10–11.10.2026; Tuần 6: 12.10–18.10.2026; Tuần 7: 19.10–25.10.2026; Tuần 8: 26.10–01.11.2026.</v>
      </c>
      <c r="N9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09" s="17" t="str">
        <f t="shared" si="14"/>
        <v>Còn trống</v>
      </c>
    </row>
    <row r="910" spans="1:16" x14ac:dyDescent="0.3">
      <c r="A910">
        <v>909</v>
      </c>
      <c r="B910" t="s">
        <v>2086</v>
      </c>
      <c r="C910" t="s">
        <v>2119</v>
      </c>
      <c r="D910" t="s">
        <v>2120</v>
      </c>
      <c r="E910" t="s">
        <v>33</v>
      </c>
      <c r="F910" t="s">
        <v>2104</v>
      </c>
      <c r="G910" t="s">
        <v>2121</v>
      </c>
      <c r="H910" t="str">
        <f>'Huong dan giao do an'!$B$14</f>
        <v>5 SV (vai trò chính): 1 PM/Scrum Master kiêm Integration; 2 BA/PO; 3 UI-UX + Frontend; 4 Backend/API + DevOps; 5 Database + QA/Tester. Mỗi SV có nhiệm vụ phụ và minh chứng cá nhân.</v>
      </c>
      <c r="I910" t="s">
        <v>36</v>
      </c>
      <c r="J910" t="s">
        <v>2101</v>
      </c>
      <c r="K910" t="str">
        <f>IF(I910="Trung bình",'Huong dan giao do an'!$B$8,IF(I910="Khá",'Huong dan giao do an'!$B$9,'Huong dan giao do an'!$B$10))</f>
        <v>Tối thiểu 3 actor; 8-10 use case; 6-8 bảng dữ liệu; 2 quy trình lõi; đăng nhập/RBAC; 1 dashboard; 1 báo cáo; &gt;=25 test case; triển khai bản demo.</v>
      </c>
      <c r="L910" t="str">
        <f>'Huong dan giao do an'!$B$31</f>
        <v>Bắt buộc: Charter/PMP; SRS + scope/WBS; Gantt/baseline; effort-cost budget; RACI/timesheet; quality-test-defect; communication/minutes; risk register; procurement; change log; closure/lessons learned.</v>
      </c>
      <c r="M910" t="str">
        <f>'Huong dan giao do an'!$B$33</f>
        <v>Tuần 1: 07.09–13.09.2026; Tuần 2: 14.09–20.09.2026; Tuần 3: 21.09–27.09.2026; Tuần 4: 28.09–04.10.2026; Tuần 5: 05.10–11.10.2026; Tuần 6: 12.10–18.10.2026; Tuần 7: 19.10–25.10.2026; Tuần 8: 26.10–01.11.2026.</v>
      </c>
      <c r="N9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0" s="17" t="str">
        <f t="shared" si="14"/>
        <v>Còn trống</v>
      </c>
    </row>
    <row r="911" spans="1:16" x14ac:dyDescent="0.3">
      <c r="A911">
        <v>910</v>
      </c>
      <c r="B911" t="s">
        <v>2086</v>
      </c>
      <c r="C911" t="s">
        <v>2122</v>
      </c>
      <c r="D911" t="s">
        <v>2123</v>
      </c>
      <c r="E911" t="s">
        <v>40</v>
      </c>
      <c r="F911" t="s">
        <v>2108</v>
      </c>
      <c r="G911" t="s">
        <v>2124</v>
      </c>
      <c r="H911" t="str">
        <f>'Huong dan giao do an'!$B$14</f>
        <v>5 SV (vai trò chính): 1 PM/Scrum Master kiêm Integration; 2 BA/PO; 3 UI-UX + Frontend; 4 Backend/API + DevOps; 5 Database + QA/Tester. Mỗi SV có nhiệm vụ phụ và minh chứng cá nhân.</v>
      </c>
      <c r="I911" t="s">
        <v>22</v>
      </c>
      <c r="J911" t="s">
        <v>2091</v>
      </c>
      <c r="K911" t="str">
        <f>IF(I911="Trung bình",'Huong dan giao do an'!$B$8,IF(I911="Khá",'Huong dan giao do an'!$B$9,'Huong dan giao do an'!$B$10))</f>
        <v>Tối thiểu 4 actor; 10-14 use case; 8-12 bảng; 3 quy trình lõi; phân quyền chi tiết; 2 báo cáo; tích hợp 1 dịch vụ; &gt;=35 test case; CI/CD hoặc deploy cloud.</v>
      </c>
      <c r="L911" t="str">
        <f>'Huong dan giao do an'!$B$31</f>
        <v>Bắt buộc: Charter/PMP; SRS + scope/WBS; Gantt/baseline; effort-cost budget; RACI/timesheet; quality-test-defect; communication/minutes; risk register; procurement; change log; closure/lessons learned.</v>
      </c>
      <c r="M911" t="str">
        <f>'Huong dan giao do an'!$B$33</f>
        <v>Tuần 1: 07.09–13.09.2026; Tuần 2: 14.09–20.09.2026; Tuần 3: 21.09–27.09.2026; Tuần 4: 28.09–04.10.2026; Tuần 5: 05.10–11.10.2026; Tuần 6: 12.10–18.10.2026; Tuần 7: 19.10–25.10.2026; Tuần 8: 26.10–01.11.2026.</v>
      </c>
      <c r="N9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1" s="17" t="str">
        <f t="shared" si="14"/>
        <v>Còn trống</v>
      </c>
    </row>
    <row r="912" spans="1:16" x14ac:dyDescent="0.3">
      <c r="A912">
        <v>911</v>
      </c>
      <c r="B912" t="s">
        <v>2086</v>
      </c>
      <c r="C912" t="s">
        <v>2125</v>
      </c>
      <c r="D912" t="s">
        <v>2126</v>
      </c>
      <c r="E912" t="s">
        <v>45</v>
      </c>
      <c r="F912" t="s">
        <v>2089</v>
      </c>
      <c r="G912" t="s">
        <v>2127</v>
      </c>
      <c r="H912" t="str">
        <f>'Huong dan giao do an'!$B$14</f>
        <v>5 SV (vai trò chính): 1 PM/Scrum Master kiêm Integration; 2 BA/PO; 3 UI-UX + Frontend; 4 Backend/API + DevOps; 5 Database + QA/Tester. Mỗi SV có nhiệm vụ phụ và minh chứng cá nhân.</v>
      </c>
      <c r="I912" t="s">
        <v>29</v>
      </c>
      <c r="J912" t="s">
        <v>2096</v>
      </c>
      <c r="K912" t="str">
        <f>IF(I912="Trung bình",'Huong dan giao do an'!$B$8,IF(I912="Khá",'Huong dan giao do an'!$B$9,'Huong dan giao do an'!$B$10))</f>
        <v>Tối thiểu 5 actor; 14-18 use case; 10-15 bảng; 4 quy trình; tích hợp ngoài/realtime hoặc xử lý nâng cao; 3 báo cáo; &gt;=45 test case; logging, backup và deploy.</v>
      </c>
      <c r="L912" t="str">
        <f>'Huong dan giao do an'!$B$31</f>
        <v>Bắt buộc: Charter/PMP; SRS + scope/WBS; Gantt/baseline; effort-cost budget; RACI/timesheet; quality-test-defect; communication/minutes; risk register; procurement; change log; closure/lessons learned.</v>
      </c>
      <c r="M912" t="str">
        <f>'Huong dan giao do an'!$B$33</f>
        <v>Tuần 1: 07.09–13.09.2026; Tuần 2: 14.09–20.09.2026; Tuần 3: 21.09–27.09.2026; Tuần 4: 28.09–04.10.2026; Tuần 5: 05.10–11.10.2026; Tuần 6: 12.10–18.10.2026; Tuần 7: 19.10–25.10.2026; Tuần 8: 26.10–01.11.2026.</v>
      </c>
      <c r="N9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2" s="17" t="str">
        <f t="shared" si="14"/>
        <v>Còn trống</v>
      </c>
    </row>
    <row r="913" spans="1:16" x14ac:dyDescent="0.3">
      <c r="A913">
        <v>912</v>
      </c>
      <c r="B913" t="s">
        <v>2086</v>
      </c>
      <c r="C913" t="s">
        <v>2128</v>
      </c>
      <c r="D913" t="s">
        <v>2129</v>
      </c>
      <c r="E913" t="s">
        <v>19</v>
      </c>
      <c r="F913" t="s">
        <v>2094</v>
      </c>
      <c r="G913" t="s">
        <v>2130</v>
      </c>
      <c r="H913" t="str">
        <f>'Huong dan giao do an'!$B$14</f>
        <v>5 SV (vai trò chính): 1 PM/Scrum Master kiêm Integration; 2 BA/PO; 3 UI-UX + Frontend; 4 Backend/API + DevOps; 5 Database + QA/Tester. Mỗi SV có nhiệm vụ phụ và minh chứng cá nhân.</v>
      </c>
      <c r="I913" t="s">
        <v>36</v>
      </c>
      <c r="J913" t="s">
        <v>2101</v>
      </c>
      <c r="K913" t="str">
        <f>IF(I913="Trung bình",'Huong dan giao do an'!$B$8,IF(I913="Khá",'Huong dan giao do an'!$B$9,'Huong dan giao do an'!$B$10))</f>
        <v>Tối thiểu 3 actor; 8-10 use case; 6-8 bảng dữ liệu; 2 quy trình lõi; đăng nhập/RBAC; 1 dashboard; 1 báo cáo; &gt;=25 test case; triển khai bản demo.</v>
      </c>
      <c r="L913" t="str">
        <f>'Huong dan giao do an'!$B$31</f>
        <v>Bắt buộc: Charter/PMP; SRS + scope/WBS; Gantt/baseline; effort-cost budget; RACI/timesheet; quality-test-defect; communication/minutes; risk register; procurement; change log; closure/lessons learned.</v>
      </c>
      <c r="M913" t="str">
        <f>'Huong dan giao do an'!$B$33</f>
        <v>Tuần 1: 07.09–13.09.2026; Tuần 2: 14.09–20.09.2026; Tuần 3: 21.09–27.09.2026; Tuần 4: 28.09–04.10.2026; Tuần 5: 05.10–11.10.2026; Tuần 6: 12.10–18.10.2026; Tuần 7: 19.10–25.10.2026; Tuần 8: 26.10–01.11.2026.</v>
      </c>
      <c r="N9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3" s="17" t="str">
        <f t="shared" si="14"/>
        <v>Còn trống</v>
      </c>
    </row>
    <row r="914" spans="1:16" x14ac:dyDescent="0.3">
      <c r="A914">
        <v>913</v>
      </c>
      <c r="B914" t="s">
        <v>2086</v>
      </c>
      <c r="C914" t="s">
        <v>2131</v>
      </c>
      <c r="D914" t="s">
        <v>2132</v>
      </c>
      <c r="E914" t="s">
        <v>26</v>
      </c>
      <c r="F914" t="s">
        <v>2099</v>
      </c>
      <c r="G914" t="s">
        <v>2133</v>
      </c>
      <c r="H914" t="str">
        <f>'Huong dan giao do an'!$B$14</f>
        <v>5 SV (vai trò chính): 1 PM/Scrum Master kiêm Integration; 2 BA/PO; 3 UI-UX + Frontend; 4 Backend/API + DevOps; 5 Database + QA/Tester. Mỗi SV có nhiệm vụ phụ và minh chứng cá nhân.</v>
      </c>
      <c r="I914" t="s">
        <v>22</v>
      </c>
      <c r="J914" t="s">
        <v>2091</v>
      </c>
      <c r="K914" t="str">
        <f>IF(I914="Trung bình",'Huong dan giao do an'!$B$8,IF(I914="Khá",'Huong dan giao do an'!$B$9,'Huong dan giao do an'!$B$10))</f>
        <v>Tối thiểu 4 actor; 10-14 use case; 8-12 bảng; 3 quy trình lõi; phân quyền chi tiết; 2 báo cáo; tích hợp 1 dịch vụ; &gt;=35 test case; CI/CD hoặc deploy cloud.</v>
      </c>
      <c r="L914" t="str">
        <f>'Huong dan giao do an'!$B$31</f>
        <v>Bắt buộc: Charter/PMP; SRS + scope/WBS; Gantt/baseline; effort-cost budget; RACI/timesheet; quality-test-defect; communication/minutes; risk register; procurement; change log; closure/lessons learned.</v>
      </c>
      <c r="M914" t="str">
        <f>'Huong dan giao do an'!$B$33</f>
        <v>Tuần 1: 07.09–13.09.2026; Tuần 2: 14.09–20.09.2026; Tuần 3: 21.09–27.09.2026; Tuần 4: 28.09–04.10.2026; Tuần 5: 05.10–11.10.2026; Tuần 6: 12.10–18.10.2026; Tuần 7: 19.10–25.10.2026; Tuần 8: 26.10–01.11.2026.</v>
      </c>
      <c r="N9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4" s="17" t="str">
        <f t="shared" si="14"/>
        <v>Còn trống</v>
      </c>
    </row>
    <row r="915" spans="1:16" x14ac:dyDescent="0.3">
      <c r="A915">
        <v>914</v>
      </c>
      <c r="B915" t="s">
        <v>2086</v>
      </c>
      <c r="C915" t="s">
        <v>2134</v>
      </c>
      <c r="D915" t="s">
        <v>2135</v>
      </c>
      <c r="E915" t="s">
        <v>33</v>
      </c>
      <c r="F915" t="s">
        <v>2104</v>
      </c>
      <c r="G915" t="s">
        <v>2136</v>
      </c>
      <c r="H915" t="str">
        <f>'Huong dan giao do an'!$B$14</f>
        <v>5 SV (vai trò chính): 1 PM/Scrum Master kiêm Integration; 2 BA/PO; 3 UI-UX + Frontend; 4 Backend/API + DevOps; 5 Database + QA/Tester. Mỗi SV có nhiệm vụ phụ và minh chứng cá nhân.</v>
      </c>
      <c r="I915" t="s">
        <v>29</v>
      </c>
      <c r="J915" t="s">
        <v>2096</v>
      </c>
      <c r="K915" t="str">
        <f>IF(I915="Trung bình",'Huong dan giao do an'!$B$8,IF(I915="Khá",'Huong dan giao do an'!$B$9,'Huong dan giao do an'!$B$10))</f>
        <v>Tối thiểu 5 actor; 14-18 use case; 10-15 bảng; 4 quy trình; tích hợp ngoài/realtime hoặc xử lý nâng cao; 3 báo cáo; &gt;=45 test case; logging, backup và deploy.</v>
      </c>
      <c r="L915" t="str">
        <f>'Huong dan giao do an'!$B$31</f>
        <v>Bắt buộc: Charter/PMP; SRS + scope/WBS; Gantt/baseline; effort-cost budget; RACI/timesheet; quality-test-defect; communication/minutes; risk register; procurement; change log; closure/lessons learned.</v>
      </c>
      <c r="M915" t="str">
        <f>'Huong dan giao do an'!$B$33</f>
        <v>Tuần 1: 07.09–13.09.2026; Tuần 2: 14.09–20.09.2026; Tuần 3: 21.09–27.09.2026; Tuần 4: 28.09–04.10.2026; Tuần 5: 05.10–11.10.2026; Tuần 6: 12.10–18.10.2026; Tuần 7: 19.10–25.10.2026; Tuần 8: 26.10–01.11.2026.</v>
      </c>
      <c r="N9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5" s="17" t="str">
        <f t="shared" si="14"/>
        <v>Còn trống</v>
      </c>
    </row>
    <row r="916" spans="1:16" x14ac:dyDescent="0.3">
      <c r="A916">
        <v>915</v>
      </c>
      <c r="B916" t="s">
        <v>2086</v>
      </c>
      <c r="C916" t="s">
        <v>2137</v>
      </c>
      <c r="D916" t="s">
        <v>2138</v>
      </c>
      <c r="E916" t="s">
        <v>40</v>
      </c>
      <c r="F916" t="s">
        <v>2108</v>
      </c>
      <c r="G916" t="s">
        <v>2139</v>
      </c>
      <c r="H916" t="str">
        <f>'Huong dan giao do an'!$B$14</f>
        <v>5 SV (vai trò chính): 1 PM/Scrum Master kiêm Integration; 2 BA/PO; 3 UI-UX + Frontend; 4 Backend/API + DevOps; 5 Database + QA/Tester. Mỗi SV có nhiệm vụ phụ và minh chứng cá nhân.</v>
      </c>
      <c r="I916" t="s">
        <v>36</v>
      </c>
      <c r="J916" t="s">
        <v>2101</v>
      </c>
      <c r="K916" t="str">
        <f>IF(I916="Trung bình",'Huong dan giao do an'!$B$8,IF(I916="Khá",'Huong dan giao do an'!$B$9,'Huong dan giao do an'!$B$10))</f>
        <v>Tối thiểu 3 actor; 8-10 use case; 6-8 bảng dữ liệu; 2 quy trình lõi; đăng nhập/RBAC; 1 dashboard; 1 báo cáo; &gt;=25 test case; triển khai bản demo.</v>
      </c>
      <c r="L916" t="str">
        <f>'Huong dan giao do an'!$B$31</f>
        <v>Bắt buộc: Charter/PMP; SRS + scope/WBS; Gantt/baseline; effort-cost budget; RACI/timesheet; quality-test-defect; communication/minutes; risk register; procurement; change log; closure/lessons learned.</v>
      </c>
      <c r="M916" t="str">
        <f>'Huong dan giao do an'!$B$33</f>
        <v>Tuần 1: 07.09–13.09.2026; Tuần 2: 14.09–20.09.2026; Tuần 3: 21.09–27.09.2026; Tuần 4: 28.09–04.10.2026; Tuần 5: 05.10–11.10.2026; Tuần 6: 12.10–18.10.2026; Tuần 7: 19.10–25.10.2026; Tuần 8: 26.10–01.11.2026.</v>
      </c>
      <c r="N9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6" s="17" t="str">
        <f t="shared" si="14"/>
        <v>Còn trống</v>
      </c>
    </row>
    <row r="917" spans="1:16" x14ac:dyDescent="0.3">
      <c r="A917">
        <v>916</v>
      </c>
      <c r="B917" t="s">
        <v>2086</v>
      </c>
      <c r="C917" t="s">
        <v>2140</v>
      </c>
      <c r="D917" t="s">
        <v>2141</v>
      </c>
      <c r="E917" t="s">
        <v>45</v>
      </c>
      <c r="F917" t="s">
        <v>2089</v>
      </c>
      <c r="G917" t="s">
        <v>2142</v>
      </c>
      <c r="H917" t="str">
        <f>'Huong dan giao do an'!$B$14</f>
        <v>5 SV (vai trò chính): 1 PM/Scrum Master kiêm Integration; 2 BA/PO; 3 UI-UX + Frontend; 4 Backend/API + DevOps; 5 Database + QA/Tester. Mỗi SV có nhiệm vụ phụ và minh chứng cá nhân.</v>
      </c>
      <c r="I917" t="s">
        <v>22</v>
      </c>
      <c r="J917" t="s">
        <v>2091</v>
      </c>
      <c r="K917" t="str">
        <f>IF(I917="Trung bình",'Huong dan giao do an'!$B$8,IF(I917="Khá",'Huong dan giao do an'!$B$9,'Huong dan giao do an'!$B$10))</f>
        <v>Tối thiểu 4 actor; 10-14 use case; 8-12 bảng; 3 quy trình lõi; phân quyền chi tiết; 2 báo cáo; tích hợp 1 dịch vụ; &gt;=35 test case; CI/CD hoặc deploy cloud.</v>
      </c>
      <c r="L917" t="str">
        <f>'Huong dan giao do an'!$B$31</f>
        <v>Bắt buộc: Charter/PMP; SRS + scope/WBS; Gantt/baseline; effort-cost budget; RACI/timesheet; quality-test-defect; communication/minutes; risk register; procurement; change log; closure/lessons learned.</v>
      </c>
      <c r="M917" t="str">
        <f>'Huong dan giao do an'!$B$33</f>
        <v>Tuần 1: 07.09–13.09.2026; Tuần 2: 14.09–20.09.2026; Tuần 3: 21.09–27.09.2026; Tuần 4: 28.09–04.10.2026; Tuần 5: 05.10–11.10.2026; Tuần 6: 12.10–18.10.2026; Tuần 7: 19.10–25.10.2026; Tuần 8: 26.10–01.11.2026.</v>
      </c>
      <c r="N9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7" s="17" t="str">
        <f t="shared" si="14"/>
        <v>Còn trống</v>
      </c>
    </row>
    <row r="918" spans="1:16" x14ac:dyDescent="0.3">
      <c r="A918">
        <v>917</v>
      </c>
      <c r="B918" t="s">
        <v>2086</v>
      </c>
      <c r="C918" t="s">
        <v>2143</v>
      </c>
      <c r="D918" t="s">
        <v>2144</v>
      </c>
      <c r="E918" t="s">
        <v>19</v>
      </c>
      <c r="F918" t="s">
        <v>2094</v>
      </c>
      <c r="G918" t="s">
        <v>2145</v>
      </c>
      <c r="H918" t="str">
        <f>'Huong dan giao do an'!$B$14</f>
        <v>5 SV (vai trò chính): 1 PM/Scrum Master kiêm Integration; 2 BA/PO; 3 UI-UX + Frontend; 4 Backend/API + DevOps; 5 Database + QA/Tester. Mỗi SV có nhiệm vụ phụ và minh chứng cá nhân.</v>
      </c>
      <c r="I918" t="s">
        <v>29</v>
      </c>
      <c r="J918" t="s">
        <v>2096</v>
      </c>
      <c r="K918" t="str">
        <f>IF(I918="Trung bình",'Huong dan giao do an'!$B$8,IF(I918="Khá",'Huong dan giao do an'!$B$9,'Huong dan giao do an'!$B$10))</f>
        <v>Tối thiểu 5 actor; 14-18 use case; 10-15 bảng; 4 quy trình; tích hợp ngoài/realtime hoặc xử lý nâng cao; 3 báo cáo; &gt;=45 test case; logging, backup và deploy.</v>
      </c>
      <c r="L918" t="str">
        <f>'Huong dan giao do an'!$B$31</f>
        <v>Bắt buộc: Charter/PMP; SRS + scope/WBS; Gantt/baseline; effort-cost budget; RACI/timesheet; quality-test-defect; communication/minutes; risk register; procurement; change log; closure/lessons learned.</v>
      </c>
      <c r="M918" t="str">
        <f>'Huong dan giao do an'!$B$33</f>
        <v>Tuần 1: 07.09–13.09.2026; Tuần 2: 14.09–20.09.2026; Tuần 3: 21.09–27.09.2026; Tuần 4: 28.09–04.10.2026; Tuần 5: 05.10–11.10.2026; Tuần 6: 12.10–18.10.2026; Tuần 7: 19.10–25.10.2026; Tuần 8: 26.10–01.11.2026.</v>
      </c>
      <c r="N9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8" s="17" t="str">
        <f t="shared" si="14"/>
        <v>Còn trống</v>
      </c>
    </row>
    <row r="919" spans="1:16" x14ac:dyDescent="0.3">
      <c r="A919">
        <v>918</v>
      </c>
      <c r="B919" t="s">
        <v>2086</v>
      </c>
      <c r="C919" t="s">
        <v>2146</v>
      </c>
      <c r="D919" t="s">
        <v>2147</v>
      </c>
      <c r="E919" t="s">
        <v>26</v>
      </c>
      <c r="F919" t="s">
        <v>2099</v>
      </c>
      <c r="G919" t="s">
        <v>2148</v>
      </c>
      <c r="H919" t="str">
        <f>'Huong dan giao do an'!$B$14</f>
        <v>5 SV (vai trò chính): 1 PM/Scrum Master kiêm Integration; 2 BA/PO; 3 UI-UX + Frontend; 4 Backend/API + DevOps; 5 Database + QA/Tester. Mỗi SV có nhiệm vụ phụ và minh chứng cá nhân.</v>
      </c>
      <c r="I919" t="s">
        <v>36</v>
      </c>
      <c r="J919" t="s">
        <v>2101</v>
      </c>
      <c r="K919" t="str">
        <f>IF(I919="Trung bình",'Huong dan giao do an'!$B$8,IF(I919="Khá",'Huong dan giao do an'!$B$9,'Huong dan giao do an'!$B$10))</f>
        <v>Tối thiểu 3 actor; 8-10 use case; 6-8 bảng dữ liệu; 2 quy trình lõi; đăng nhập/RBAC; 1 dashboard; 1 báo cáo; &gt;=25 test case; triển khai bản demo.</v>
      </c>
      <c r="L919" t="str">
        <f>'Huong dan giao do an'!$B$31</f>
        <v>Bắt buộc: Charter/PMP; SRS + scope/WBS; Gantt/baseline; effort-cost budget; RACI/timesheet; quality-test-defect; communication/minutes; risk register; procurement; change log; closure/lessons learned.</v>
      </c>
      <c r="M919" t="str">
        <f>'Huong dan giao do an'!$B$33</f>
        <v>Tuần 1: 07.09–13.09.2026; Tuần 2: 14.09–20.09.2026; Tuần 3: 21.09–27.09.2026; Tuần 4: 28.09–04.10.2026; Tuần 5: 05.10–11.10.2026; Tuần 6: 12.10–18.10.2026; Tuần 7: 19.10–25.10.2026; Tuần 8: 26.10–01.11.2026.</v>
      </c>
      <c r="N9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19" s="17" t="str">
        <f t="shared" si="14"/>
        <v>Còn trống</v>
      </c>
    </row>
    <row r="920" spans="1:16" x14ac:dyDescent="0.3">
      <c r="A920">
        <v>919</v>
      </c>
      <c r="B920" t="s">
        <v>2086</v>
      </c>
      <c r="C920" t="s">
        <v>2149</v>
      </c>
      <c r="D920" t="s">
        <v>2150</v>
      </c>
      <c r="E920" t="s">
        <v>33</v>
      </c>
      <c r="F920" t="s">
        <v>2104</v>
      </c>
      <c r="G920" t="s">
        <v>2151</v>
      </c>
      <c r="H920" t="str">
        <f>'Huong dan giao do an'!$B$14</f>
        <v>5 SV (vai trò chính): 1 PM/Scrum Master kiêm Integration; 2 BA/PO; 3 UI-UX + Frontend; 4 Backend/API + DevOps; 5 Database + QA/Tester. Mỗi SV có nhiệm vụ phụ và minh chứng cá nhân.</v>
      </c>
      <c r="I920" t="s">
        <v>22</v>
      </c>
      <c r="J920" t="s">
        <v>2091</v>
      </c>
      <c r="K920" t="str">
        <f>IF(I920="Trung bình",'Huong dan giao do an'!$B$8,IF(I920="Khá",'Huong dan giao do an'!$B$9,'Huong dan giao do an'!$B$10))</f>
        <v>Tối thiểu 4 actor; 10-14 use case; 8-12 bảng; 3 quy trình lõi; phân quyền chi tiết; 2 báo cáo; tích hợp 1 dịch vụ; &gt;=35 test case; CI/CD hoặc deploy cloud.</v>
      </c>
      <c r="L920" t="str">
        <f>'Huong dan giao do an'!$B$31</f>
        <v>Bắt buộc: Charter/PMP; SRS + scope/WBS; Gantt/baseline; effort-cost budget; RACI/timesheet; quality-test-defect; communication/minutes; risk register; procurement; change log; closure/lessons learned.</v>
      </c>
      <c r="M920" t="str">
        <f>'Huong dan giao do an'!$B$33</f>
        <v>Tuần 1: 07.09–13.09.2026; Tuần 2: 14.09–20.09.2026; Tuần 3: 21.09–27.09.2026; Tuần 4: 28.09–04.10.2026; Tuần 5: 05.10–11.10.2026; Tuần 6: 12.10–18.10.2026; Tuần 7: 19.10–25.10.2026; Tuần 8: 26.10–01.11.2026.</v>
      </c>
      <c r="N9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0" s="17" t="str">
        <f t="shared" si="14"/>
        <v>Còn trống</v>
      </c>
    </row>
    <row r="921" spans="1:16" x14ac:dyDescent="0.3">
      <c r="A921">
        <v>920</v>
      </c>
      <c r="B921" t="s">
        <v>2086</v>
      </c>
      <c r="C921" t="s">
        <v>2152</v>
      </c>
      <c r="D921" t="s">
        <v>2153</v>
      </c>
      <c r="E921" t="s">
        <v>40</v>
      </c>
      <c r="F921" t="s">
        <v>2108</v>
      </c>
      <c r="G921" t="s">
        <v>2154</v>
      </c>
      <c r="H921" t="str">
        <f>'Huong dan giao do an'!$B$14</f>
        <v>5 SV (vai trò chính): 1 PM/Scrum Master kiêm Integration; 2 BA/PO; 3 UI-UX + Frontend; 4 Backend/API + DevOps; 5 Database + QA/Tester. Mỗi SV có nhiệm vụ phụ và minh chứng cá nhân.</v>
      </c>
      <c r="I921" t="s">
        <v>29</v>
      </c>
      <c r="J921" t="s">
        <v>2096</v>
      </c>
      <c r="K921" t="str">
        <f>IF(I921="Trung bình",'Huong dan giao do an'!$B$8,IF(I921="Khá",'Huong dan giao do an'!$B$9,'Huong dan giao do an'!$B$10))</f>
        <v>Tối thiểu 5 actor; 14-18 use case; 10-15 bảng; 4 quy trình; tích hợp ngoài/realtime hoặc xử lý nâng cao; 3 báo cáo; &gt;=45 test case; logging, backup và deploy.</v>
      </c>
      <c r="L921" t="str">
        <f>'Huong dan giao do an'!$B$31</f>
        <v>Bắt buộc: Charter/PMP; SRS + scope/WBS; Gantt/baseline; effort-cost budget; RACI/timesheet; quality-test-defect; communication/minutes; risk register; procurement; change log; closure/lessons learned.</v>
      </c>
      <c r="M921" t="str">
        <f>'Huong dan giao do an'!$B$33</f>
        <v>Tuần 1: 07.09–13.09.2026; Tuần 2: 14.09–20.09.2026; Tuần 3: 21.09–27.09.2026; Tuần 4: 28.09–04.10.2026; Tuần 5: 05.10–11.10.2026; Tuần 6: 12.10–18.10.2026; Tuần 7: 19.10–25.10.2026; Tuần 8: 26.10–01.11.2026.</v>
      </c>
      <c r="N9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1" s="17" t="str">
        <f t="shared" si="14"/>
        <v>Còn trống</v>
      </c>
    </row>
    <row r="922" spans="1:16" x14ac:dyDescent="0.3">
      <c r="A922">
        <v>921</v>
      </c>
      <c r="B922" t="s">
        <v>2086</v>
      </c>
      <c r="C922" t="s">
        <v>2155</v>
      </c>
      <c r="D922" t="s">
        <v>2156</v>
      </c>
      <c r="E922" t="s">
        <v>45</v>
      </c>
      <c r="F922" t="s">
        <v>2089</v>
      </c>
      <c r="G922" t="s">
        <v>2090</v>
      </c>
      <c r="H922" t="str">
        <f>'Huong dan giao do an'!$B$14</f>
        <v>5 SV (vai trò chính): 1 PM/Scrum Master kiêm Integration; 2 BA/PO; 3 UI-UX + Frontend; 4 Backend/API + DevOps; 5 Database + QA/Tester. Mỗi SV có nhiệm vụ phụ và minh chứng cá nhân.</v>
      </c>
      <c r="I922" t="s">
        <v>22</v>
      </c>
      <c r="J922" t="s">
        <v>2091</v>
      </c>
      <c r="K922" t="str">
        <f>IF(I922="Trung bình",'Huong dan giao do an'!$B$8,IF(I922="Khá",'Huong dan giao do an'!$B$9,'Huong dan giao do an'!$B$10))</f>
        <v>Tối thiểu 4 actor; 10-14 use case; 8-12 bảng; 3 quy trình lõi; phân quyền chi tiết; 2 báo cáo; tích hợp 1 dịch vụ; &gt;=35 test case; CI/CD hoặc deploy cloud.</v>
      </c>
      <c r="L922" t="str">
        <f>'Huong dan giao do an'!$B$31</f>
        <v>Bắt buộc: Charter/PMP; SRS + scope/WBS; Gantt/baseline; effort-cost budget; RACI/timesheet; quality-test-defect; communication/minutes; risk register; procurement; change log; closure/lessons learned.</v>
      </c>
      <c r="M922" t="str">
        <f>'Huong dan giao do an'!$B$33</f>
        <v>Tuần 1: 07.09–13.09.2026; Tuần 2: 14.09–20.09.2026; Tuần 3: 21.09–27.09.2026; Tuần 4: 28.09–04.10.2026; Tuần 5: 05.10–11.10.2026; Tuần 6: 12.10–18.10.2026; Tuần 7: 19.10–25.10.2026; Tuần 8: 26.10–01.11.2026.</v>
      </c>
      <c r="N9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2" s="17" t="str">
        <f t="shared" si="14"/>
        <v>Còn trống</v>
      </c>
    </row>
    <row r="923" spans="1:16" x14ac:dyDescent="0.3">
      <c r="A923">
        <v>922</v>
      </c>
      <c r="B923" t="s">
        <v>2086</v>
      </c>
      <c r="C923" t="s">
        <v>2157</v>
      </c>
      <c r="D923" t="s">
        <v>2158</v>
      </c>
      <c r="E923" t="s">
        <v>19</v>
      </c>
      <c r="F923" t="s">
        <v>2094</v>
      </c>
      <c r="G923" t="s">
        <v>2095</v>
      </c>
      <c r="H923" t="str">
        <f>'Huong dan giao do an'!$B$14</f>
        <v>5 SV (vai trò chính): 1 PM/Scrum Master kiêm Integration; 2 BA/PO; 3 UI-UX + Frontend; 4 Backend/API + DevOps; 5 Database + QA/Tester. Mỗi SV có nhiệm vụ phụ và minh chứng cá nhân.</v>
      </c>
      <c r="I923" t="s">
        <v>29</v>
      </c>
      <c r="J923" t="s">
        <v>2096</v>
      </c>
      <c r="K923" t="str">
        <f>IF(I923="Trung bình",'Huong dan giao do an'!$B$8,IF(I923="Khá",'Huong dan giao do an'!$B$9,'Huong dan giao do an'!$B$10))</f>
        <v>Tối thiểu 5 actor; 14-18 use case; 10-15 bảng; 4 quy trình; tích hợp ngoài/realtime hoặc xử lý nâng cao; 3 báo cáo; &gt;=45 test case; logging, backup và deploy.</v>
      </c>
      <c r="L923" t="str">
        <f>'Huong dan giao do an'!$B$31</f>
        <v>Bắt buộc: Charter/PMP; SRS + scope/WBS; Gantt/baseline; effort-cost budget; RACI/timesheet; quality-test-defect; communication/minutes; risk register; procurement; change log; closure/lessons learned.</v>
      </c>
      <c r="M923" t="str">
        <f>'Huong dan giao do an'!$B$33</f>
        <v>Tuần 1: 07.09–13.09.2026; Tuần 2: 14.09–20.09.2026; Tuần 3: 21.09–27.09.2026; Tuần 4: 28.09–04.10.2026; Tuần 5: 05.10–11.10.2026; Tuần 6: 12.10–18.10.2026; Tuần 7: 19.10–25.10.2026; Tuần 8: 26.10–01.11.2026.</v>
      </c>
      <c r="N9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3" s="17" t="str">
        <f t="shared" si="14"/>
        <v>Còn trống</v>
      </c>
    </row>
    <row r="924" spans="1:16" x14ac:dyDescent="0.3">
      <c r="A924">
        <v>923</v>
      </c>
      <c r="B924" t="s">
        <v>2086</v>
      </c>
      <c r="C924" t="s">
        <v>2159</v>
      </c>
      <c r="D924" t="s">
        <v>2160</v>
      </c>
      <c r="E924" t="s">
        <v>26</v>
      </c>
      <c r="F924" t="s">
        <v>2099</v>
      </c>
      <c r="G924" t="s">
        <v>2100</v>
      </c>
      <c r="H924" t="str">
        <f>'Huong dan giao do an'!$B$14</f>
        <v>5 SV (vai trò chính): 1 PM/Scrum Master kiêm Integration; 2 BA/PO; 3 UI-UX + Frontend; 4 Backend/API + DevOps; 5 Database + QA/Tester. Mỗi SV có nhiệm vụ phụ và minh chứng cá nhân.</v>
      </c>
      <c r="I924" t="s">
        <v>36</v>
      </c>
      <c r="J924" t="s">
        <v>2101</v>
      </c>
      <c r="K924" t="str">
        <f>IF(I924="Trung bình",'Huong dan giao do an'!$B$8,IF(I924="Khá",'Huong dan giao do an'!$B$9,'Huong dan giao do an'!$B$10))</f>
        <v>Tối thiểu 3 actor; 8-10 use case; 6-8 bảng dữ liệu; 2 quy trình lõi; đăng nhập/RBAC; 1 dashboard; 1 báo cáo; &gt;=25 test case; triển khai bản demo.</v>
      </c>
      <c r="L924" t="str">
        <f>'Huong dan giao do an'!$B$31</f>
        <v>Bắt buộc: Charter/PMP; SRS + scope/WBS; Gantt/baseline; effort-cost budget; RACI/timesheet; quality-test-defect; communication/minutes; risk register; procurement; change log; closure/lessons learned.</v>
      </c>
      <c r="M924" t="str">
        <f>'Huong dan giao do an'!$B$33</f>
        <v>Tuần 1: 07.09–13.09.2026; Tuần 2: 14.09–20.09.2026; Tuần 3: 21.09–27.09.2026; Tuần 4: 28.09–04.10.2026; Tuần 5: 05.10–11.10.2026; Tuần 6: 12.10–18.10.2026; Tuần 7: 19.10–25.10.2026; Tuần 8: 26.10–01.11.2026.</v>
      </c>
      <c r="N9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4" s="17" t="str">
        <f t="shared" si="14"/>
        <v>Còn trống</v>
      </c>
    </row>
    <row r="925" spans="1:16" x14ac:dyDescent="0.3">
      <c r="A925">
        <v>924</v>
      </c>
      <c r="B925" t="s">
        <v>2086</v>
      </c>
      <c r="C925" t="s">
        <v>2161</v>
      </c>
      <c r="D925" t="s">
        <v>2162</v>
      </c>
      <c r="E925" t="s">
        <v>33</v>
      </c>
      <c r="F925" t="s">
        <v>2104</v>
      </c>
      <c r="G925" t="s">
        <v>2105</v>
      </c>
      <c r="H925" t="str">
        <f>'Huong dan giao do an'!$B$14</f>
        <v>5 SV (vai trò chính): 1 PM/Scrum Master kiêm Integration; 2 BA/PO; 3 UI-UX + Frontend; 4 Backend/API + DevOps; 5 Database + QA/Tester. Mỗi SV có nhiệm vụ phụ và minh chứng cá nhân.</v>
      </c>
      <c r="I925" t="s">
        <v>22</v>
      </c>
      <c r="J925" t="s">
        <v>2091</v>
      </c>
      <c r="K925" t="str">
        <f>IF(I925="Trung bình",'Huong dan giao do an'!$B$8,IF(I925="Khá",'Huong dan giao do an'!$B$9,'Huong dan giao do an'!$B$10))</f>
        <v>Tối thiểu 4 actor; 10-14 use case; 8-12 bảng; 3 quy trình lõi; phân quyền chi tiết; 2 báo cáo; tích hợp 1 dịch vụ; &gt;=35 test case; CI/CD hoặc deploy cloud.</v>
      </c>
      <c r="L925" t="str">
        <f>'Huong dan giao do an'!$B$31</f>
        <v>Bắt buộc: Charter/PMP; SRS + scope/WBS; Gantt/baseline; effort-cost budget; RACI/timesheet; quality-test-defect; communication/minutes; risk register; procurement; change log; closure/lessons learned.</v>
      </c>
      <c r="M925" t="str">
        <f>'Huong dan giao do an'!$B$33</f>
        <v>Tuần 1: 07.09–13.09.2026; Tuần 2: 14.09–20.09.2026; Tuần 3: 21.09–27.09.2026; Tuần 4: 28.09–04.10.2026; Tuần 5: 05.10–11.10.2026; Tuần 6: 12.10–18.10.2026; Tuần 7: 19.10–25.10.2026; Tuần 8: 26.10–01.11.2026.</v>
      </c>
      <c r="N9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5" s="17" t="str">
        <f t="shared" si="14"/>
        <v>Còn trống</v>
      </c>
    </row>
    <row r="926" spans="1:16" x14ac:dyDescent="0.3">
      <c r="A926">
        <v>925</v>
      </c>
      <c r="B926" t="s">
        <v>2086</v>
      </c>
      <c r="C926" t="s">
        <v>2163</v>
      </c>
      <c r="D926" t="s">
        <v>2164</v>
      </c>
      <c r="E926" t="s">
        <v>40</v>
      </c>
      <c r="F926" t="s">
        <v>2108</v>
      </c>
      <c r="G926" t="s">
        <v>2109</v>
      </c>
      <c r="H926" t="str">
        <f>'Huong dan giao do an'!$B$14</f>
        <v>5 SV (vai trò chính): 1 PM/Scrum Master kiêm Integration; 2 BA/PO; 3 UI-UX + Frontend; 4 Backend/API + DevOps; 5 Database + QA/Tester. Mỗi SV có nhiệm vụ phụ và minh chứng cá nhân.</v>
      </c>
      <c r="I926" t="s">
        <v>29</v>
      </c>
      <c r="J926" t="s">
        <v>2096</v>
      </c>
      <c r="K926" t="str">
        <f>IF(I926="Trung bình",'Huong dan giao do an'!$B$8,IF(I926="Khá",'Huong dan giao do an'!$B$9,'Huong dan giao do an'!$B$10))</f>
        <v>Tối thiểu 5 actor; 14-18 use case; 10-15 bảng; 4 quy trình; tích hợp ngoài/realtime hoặc xử lý nâng cao; 3 báo cáo; &gt;=45 test case; logging, backup và deploy.</v>
      </c>
      <c r="L926" t="str">
        <f>'Huong dan giao do an'!$B$31</f>
        <v>Bắt buộc: Charter/PMP; SRS + scope/WBS; Gantt/baseline; effort-cost budget; RACI/timesheet; quality-test-defect; communication/minutes; risk register; procurement; change log; closure/lessons learned.</v>
      </c>
      <c r="M926" t="str">
        <f>'Huong dan giao do an'!$B$33</f>
        <v>Tuần 1: 07.09–13.09.2026; Tuần 2: 14.09–20.09.2026; Tuần 3: 21.09–27.09.2026; Tuần 4: 28.09–04.10.2026; Tuần 5: 05.10–11.10.2026; Tuần 6: 12.10–18.10.2026; Tuần 7: 19.10–25.10.2026; Tuần 8: 26.10–01.11.2026.</v>
      </c>
      <c r="N9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6" s="17" t="str">
        <f t="shared" si="14"/>
        <v>Còn trống</v>
      </c>
    </row>
    <row r="927" spans="1:16" x14ac:dyDescent="0.3">
      <c r="A927">
        <v>926</v>
      </c>
      <c r="B927" t="s">
        <v>2086</v>
      </c>
      <c r="C927" t="s">
        <v>2165</v>
      </c>
      <c r="D927" t="s">
        <v>2166</v>
      </c>
      <c r="E927" t="s">
        <v>45</v>
      </c>
      <c r="F927" t="s">
        <v>2089</v>
      </c>
      <c r="G927" t="s">
        <v>2112</v>
      </c>
      <c r="H927" t="str">
        <f>'Huong dan giao do an'!$B$14</f>
        <v>5 SV (vai trò chính): 1 PM/Scrum Master kiêm Integration; 2 BA/PO; 3 UI-UX + Frontend; 4 Backend/API + DevOps; 5 Database + QA/Tester. Mỗi SV có nhiệm vụ phụ và minh chứng cá nhân.</v>
      </c>
      <c r="I927" t="s">
        <v>36</v>
      </c>
      <c r="J927" t="s">
        <v>2101</v>
      </c>
      <c r="K927" t="str">
        <f>IF(I927="Trung bình",'Huong dan giao do an'!$B$8,IF(I927="Khá",'Huong dan giao do an'!$B$9,'Huong dan giao do an'!$B$10))</f>
        <v>Tối thiểu 3 actor; 8-10 use case; 6-8 bảng dữ liệu; 2 quy trình lõi; đăng nhập/RBAC; 1 dashboard; 1 báo cáo; &gt;=25 test case; triển khai bản demo.</v>
      </c>
      <c r="L927" t="str">
        <f>'Huong dan giao do an'!$B$31</f>
        <v>Bắt buộc: Charter/PMP; SRS + scope/WBS; Gantt/baseline; effort-cost budget; RACI/timesheet; quality-test-defect; communication/minutes; risk register; procurement; change log; closure/lessons learned.</v>
      </c>
      <c r="M927" t="str">
        <f>'Huong dan giao do an'!$B$33</f>
        <v>Tuần 1: 07.09–13.09.2026; Tuần 2: 14.09–20.09.2026; Tuần 3: 21.09–27.09.2026; Tuần 4: 28.09–04.10.2026; Tuần 5: 05.10–11.10.2026; Tuần 6: 12.10–18.10.2026; Tuần 7: 19.10–25.10.2026; Tuần 8: 26.10–01.11.2026.</v>
      </c>
      <c r="N9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7" s="17" t="str">
        <f t="shared" si="14"/>
        <v>Còn trống</v>
      </c>
    </row>
    <row r="928" spans="1:16" x14ac:dyDescent="0.3">
      <c r="A928">
        <v>927</v>
      </c>
      <c r="B928" t="s">
        <v>2086</v>
      </c>
      <c r="C928" t="s">
        <v>2167</v>
      </c>
      <c r="D928" t="s">
        <v>2168</v>
      </c>
      <c r="E928" t="s">
        <v>19</v>
      </c>
      <c r="F928" t="s">
        <v>2094</v>
      </c>
      <c r="G928" t="s">
        <v>2115</v>
      </c>
      <c r="H928" t="str">
        <f>'Huong dan giao do an'!$B$14</f>
        <v>5 SV (vai trò chính): 1 PM/Scrum Master kiêm Integration; 2 BA/PO; 3 UI-UX + Frontend; 4 Backend/API + DevOps; 5 Database + QA/Tester. Mỗi SV có nhiệm vụ phụ và minh chứng cá nhân.</v>
      </c>
      <c r="I928" t="s">
        <v>22</v>
      </c>
      <c r="J928" t="s">
        <v>2091</v>
      </c>
      <c r="K928" t="str">
        <f>IF(I928="Trung bình",'Huong dan giao do an'!$B$8,IF(I928="Khá",'Huong dan giao do an'!$B$9,'Huong dan giao do an'!$B$10))</f>
        <v>Tối thiểu 4 actor; 10-14 use case; 8-12 bảng; 3 quy trình lõi; phân quyền chi tiết; 2 báo cáo; tích hợp 1 dịch vụ; &gt;=35 test case; CI/CD hoặc deploy cloud.</v>
      </c>
      <c r="L928" t="str">
        <f>'Huong dan giao do an'!$B$31</f>
        <v>Bắt buộc: Charter/PMP; SRS + scope/WBS; Gantt/baseline; effort-cost budget; RACI/timesheet; quality-test-defect; communication/minutes; risk register; procurement; change log; closure/lessons learned.</v>
      </c>
      <c r="M928" t="str">
        <f>'Huong dan giao do an'!$B$33</f>
        <v>Tuần 1: 07.09–13.09.2026; Tuần 2: 14.09–20.09.2026; Tuần 3: 21.09–27.09.2026; Tuần 4: 28.09–04.10.2026; Tuần 5: 05.10–11.10.2026; Tuần 6: 12.10–18.10.2026; Tuần 7: 19.10–25.10.2026; Tuần 8: 26.10–01.11.2026.</v>
      </c>
      <c r="N9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8" s="17" t="str">
        <f t="shared" si="14"/>
        <v>Còn trống</v>
      </c>
    </row>
    <row r="929" spans="1:16" x14ac:dyDescent="0.3">
      <c r="A929">
        <v>928</v>
      </c>
      <c r="B929" t="s">
        <v>2086</v>
      </c>
      <c r="C929" t="s">
        <v>2169</v>
      </c>
      <c r="D929" t="s">
        <v>2170</v>
      </c>
      <c r="E929" t="s">
        <v>26</v>
      </c>
      <c r="F929" t="s">
        <v>2099</v>
      </c>
      <c r="G929" t="s">
        <v>2118</v>
      </c>
      <c r="H929" t="str">
        <f>'Huong dan giao do an'!$B$14</f>
        <v>5 SV (vai trò chính): 1 PM/Scrum Master kiêm Integration; 2 BA/PO; 3 UI-UX + Frontend; 4 Backend/API + DevOps; 5 Database + QA/Tester. Mỗi SV có nhiệm vụ phụ và minh chứng cá nhân.</v>
      </c>
      <c r="I929" t="s">
        <v>29</v>
      </c>
      <c r="J929" t="s">
        <v>2096</v>
      </c>
      <c r="K929" t="str">
        <f>IF(I929="Trung bình",'Huong dan giao do an'!$B$8,IF(I929="Khá",'Huong dan giao do an'!$B$9,'Huong dan giao do an'!$B$10))</f>
        <v>Tối thiểu 5 actor; 14-18 use case; 10-15 bảng; 4 quy trình; tích hợp ngoài/realtime hoặc xử lý nâng cao; 3 báo cáo; &gt;=45 test case; logging, backup và deploy.</v>
      </c>
      <c r="L929" t="str">
        <f>'Huong dan giao do an'!$B$31</f>
        <v>Bắt buộc: Charter/PMP; SRS + scope/WBS; Gantt/baseline; effort-cost budget; RACI/timesheet; quality-test-defect; communication/minutes; risk register; procurement; change log; closure/lessons learned.</v>
      </c>
      <c r="M929" t="str">
        <f>'Huong dan giao do an'!$B$33</f>
        <v>Tuần 1: 07.09–13.09.2026; Tuần 2: 14.09–20.09.2026; Tuần 3: 21.09–27.09.2026; Tuần 4: 28.09–04.10.2026; Tuần 5: 05.10–11.10.2026; Tuần 6: 12.10–18.10.2026; Tuần 7: 19.10–25.10.2026; Tuần 8: 26.10–01.11.2026.</v>
      </c>
      <c r="N9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29" s="17" t="str">
        <f t="shared" si="14"/>
        <v>Còn trống</v>
      </c>
    </row>
    <row r="930" spans="1:16" x14ac:dyDescent="0.3">
      <c r="A930">
        <v>929</v>
      </c>
      <c r="B930" t="s">
        <v>2086</v>
      </c>
      <c r="C930" t="s">
        <v>2171</v>
      </c>
      <c r="D930" t="s">
        <v>2172</v>
      </c>
      <c r="E930" t="s">
        <v>33</v>
      </c>
      <c r="F930" t="s">
        <v>2104</v>
      </c>
      <c r="G930" t="s">
        <v>2121</v>
      </c>
      <c r="H930" t="str">
        <f>'Huong dan giao do an'!$B$14</f>
        <v>5 SV (vai trò chính): 1 PM/Scrum Master kiêm Integration; 2 BA/PO; 3 UI-UX + Frontend; 4 Backend/API + DevOps; 5 Database + QA/Tester. Mỗi SV có nhiệm vụ phụ và minh chứng cá nhân.</v>
      </c>
      <c r="I930" t="s">
        <v>36</v>
      </c>
      <c r="J930" t="s">
        <v>2101</v>
      </c>
      <c r="K930" t="str">
        <f>IF(I930="Trung bình",'Huong dan giao do an'!$B$8,IF(I930="Khá",'Huong dan giao do an'!$B$9,'Huong dan giao do an'!$B$10))</f>
        <v>Tối thiểu 3 actor; 8-10 use case; 6-8 bảng dữ liệu; 2 quy trình lõi; đăng nhập/RBAC; 1 dashboard; 1 báo cáo; &gt;=25 test case; triển khai bản demo.</v>
      </c>
      <c r="L930" t="str">
        <f>'Huong dan giao do an'!$B$31</f>
        <v>Bắt buộc: Charter/PMP; SRS + scope/WBS; Gantt/baseline; effort-cost budget; RACI/timesheet; quality-test-defect; communication/minutes; risk register; procurement; change log; closure/lessons learned.</v>
      </c>
      <c r="M930" t="str">
        <f>'Huong dan giao do an'!$B$33</f>
        <v>Tuần 1: 07.09–13.09.2026; Tuần 2: 14.09–20.09.2026; Tuần 3: 21.09–27.09.2026; Tuần 4: 28.09–04.10.2026; Tuần 5: 05.10–11.10.2026; Tuần 6: 12.10–18.10.2026; Tuần 7: 19.10–25.10.2026; Tuần 8: 26.10–01.11.2026.</v>
      </c>
      <c r="N9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0" s="17" t="str">
        <f t="shared" si="14"/>
        <v>Còn trống</v>
      </c>
    </row>
    <row r="931" spans="1:16" x14ac:dyDescent="0.3">
      <c r="A931">
        <v>930</v>
      </c>
      <c r="B931" t="s">
        <v>2086</v>
      </c>
      <c r="C931" t="s">
        <v>2173</v>
      </c>
      <c r="D931" t="s">
        <v>2174</v>
      </c>
      <c r="E931" t="s">
        <v>40</v>
      </c>
      <c r="F931" t="s">
        <v>2108</v>
      </c>
      <c r="G931" t="s">
        <v>2124</v>
      </c>
      <c r="H931" t="str">
        <f>'Huong dan giao do an'!$B$14</f>
        <v>5 SV (vai trò chính): 1 PM/Scrum Master kiêm Integration; 2 BA/PO; 3 UI-UX + Frontend; 4 Backend/API + DevOps; 5 Database + QA/Tester. Mỗi SV có nhiệm vụ phụ và minh chứng cá nhân.</v>
      </c>
      <c r="I931" t="s">
        <v>22</v>
      </c>
      <c r="J931" t="s">
        <v>2091</v>
      </c>
      <c r="K931" t="str">
        <f>IF(I931="Trung bình",'Huong dan giao do an'!$B$8,IF(I931="Khá",'Huong dan giao do an'!$B$9,'Huong dan giao do an'!$B$10))</f>
        <v>Tối thiểu 4 actor; 10-14 use case; 8-12 bảng; 3 quy trình lõi; phân quyền chi tiết; 2 báo cáo; tích hợp 1 dịch vụ; &gt;=35 test case; CI/CD hoặc deploy cloud.</v>
      </c>
      <c r="L931" t="str">
        <f>'Huong dan giao do an'!$B$31</f>
        <v>Bắt buộc: Charter/PMP; SRS + scope/WBS; Gantt/baseline; effort-cost budget; RACI/timesheet; quality-test-defect; communication/minutes; risk register; procurement; change log; closure/lessons learned.</v>
      </c>
      <c r="M931" t="str">
        <f>'Huong dan giao do an'!$B$33</f>
        <v>Tuần 1: 07.09–13.09.2026; Tuần 2: 14.09–20.09.2026; Tuần 3: 21.09–27.09.2026; Tuần 4: 28.09–04.10.2026; Tuần 5: 05.10–11.10.2026; Tuần 6: 12.10–18.10.2026; Tuần 7: 19.10–25.10.2026; Tuần 8: 26.10–01.11.2026.</v>
      </c>
      <c r="N9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1" s="17" t="str">
        <f t="shared" si="14"/>
        <v>Còn trống</v>
      </c>
    </row>
    <row r="932" spans="1:16" x14ac:dyDescent="0.3">
      <c r="A932">
        <v>931</v>
      </c>
      <c r="B932" t="s">
        <v>2086</v>
      </c>
      <c r="C932" t="s">
        <v>2175</v>
      </c>
      <c r="D932" t="s">
        <v>2176</v>
      </c>
      <c r="E932" t="s">
        <v>45</v>
      </c>
      <c r="F932" t="s">
        <v>2089</v>
      </c>
      <c r="G932" t="s">
        <v>2127</v>
      </c>
      <c r="H932" t="str">
        <f>'Huong dan giao do an'!$B$14</f>
        <v>5 SV (vai trò chính): 1 PM/Scrum Master kiêm Integration; 2 BA/PO; 3 UI-UX + Frontend; 4 Backend/API + DevOps; 5 Database + QA/Tester. Mỗi SV có nhiệm vụ phụ và minh chứng cá nhân.</v>
      </c>
      <c r="I932" t="s">
        <v>29</v>
      </c>
      <c r="J932" t="s">
        <v>2096</v>
      </c>
      <c r="K932" t="str">
        <f>IF(I932="Trung bình",'Huong dan giao do an'!$B$8,IF(I932="Khá",'Huong dan giao do an'!$B$9,'Huong dan giao do an'!$B$10))</f>
        <v>Tối thiểu 5 actor; 14-18 use case; 10-15 bảng; 4 quy trình; tích hợp ngoài/realtime hoặc xử lý nâng cao; 3 báo cáo; &gt;=45 test case; logging, backup và deploy.</v>
      </c>
      <c r="L932" t="str">
        <f>'Huong dan giao do an'!$B$31</f>
        <v>Bắt buộc: Charter/PMP; SRS + scope/WBS; Gantt/baseline; effort-cost budget; RACI/timesheet; quality-test-defect; communication/minutes; risk register; procurement; change log; closure/lessons learned.</v>
      </c>
      <c r="M932" t="str">
        <f>'Huong dan giao do an'!$B$33</f>
        <v>Tuần 1: 07.09–13.09.2026; Tuần 2: 14.09–20.09.2026; Tuần 3: 21.09–27.09.2026; Tuần 4: 28.09–04.10.2026; Tuần 5: 05.10–11.10.2026; Tuần 6: 12.10–18.10.2026; Tuần 7: 19.10–25.10.2026; Tuần 8: 26.10–01.11.2026.</v>
      </c>
      <c r="N9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2" s="17" t="str">
        <f t="shared" si="14"/>
        <v>Còn trống</v>
      </c>
    </row>
    <row r="933" spans="1:16" x14ac:dyDescent="0.3">
      <c r="A933">
        <v>932</v>
      </c>
      <c r="B933" t="s">
        <v>2086</v>
      </c>
      <c r="C933" t="s">
        <v>2177</v>
      </c>
      <c r="D933" t="s">
        <v>2178</v>
      </c>
      <c r="E933" t="s">
        <v>19</v>
      </c>
      <c r="F933" t="s">
        <v>2094</v>
      </c>
      <c r="G933" t="s">
        <v>2130</v>
      </c>
      <c r="H933" t="str">
        <f>'Huong dan giao do an'!$B$14</f>
        <v>5 SV (vai trò chính): 1 PM/Scrum Master kiêm Integration; 2 BA/PO; 3 UI-UX + Frontend; 4 Backend/API + DevOps; 5 Database + QA/Tester. Mỗi SV có nhiệm vụ phụ và minh chứng cá nhân.</v>
      </c>
      <c r="I933" t="s">
        <v>36</v>
      </c>
      <c r="J933" t="s">
        <v>2101</v>
      </c>
      <c r="K933" t="str">
        <f>IF(I933="Trung bình",'Huong dan giao do an'!$B$8,IF(I933="Khá",'Huong dan giao do an'!$B$9,'Huong dan giao do an'!$B$10))</f>
        <v>Tối thiểu 3 actor; 8-10 use case; 6-8 bảng dữ liệu; 2 quy trình lõi; đăng nhập/RBAC; 1 dashboard; 1 báo cáo; &gt;=25 test case; triển khai bản demo.</v>
      </c>
      <c r="L933" t="str">
        <f>'Huong dan giao do an'!$B$31</f>
        <v>Bắt buộc: Charter/PMP; SRS + scope/WBS; Gantt/baseline; effort-cost budget; RACI/timesheet; quality-test-defect; communication/minutes; risk register; procurement; change log; closure/lessons learned.</v>
      </c>
      <c r="M933" t="str">
        <f>'Huong dan giao do an'!$B$33</f>
        <v>Tuần 1: 07.09–13.09.2026; Tuần 2: 14.09–20.09.2026; Tuần 3: 21.09–27.09.2026; Tuần 4: 28.09–04.10.2026; Tuần 5: 05.10–11.10.2026; Tuần 6: 12.10–18.10.2026; Tuần 7: 19.10–25.10.2026; Tuần 8: 26.10–01.11.2026.</v>
      </c>
      <c r="N9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3" s="17" t="str">
        <f t="shared" si="14"/>
        <v>Còn trống</v>
      </c>
    </row>
    <row r="934" spans="1:16" x14ac:dyDescent="0.3">
      <c r="A934">
        <v>933</v>
      </c>
      <c r="B934" t="s">
        <v>2086</v>
      </c>
      <c r="C934" t="s">
        <v>2179</v>
      </c>
      <c r="D934" t="s">
        <v>2180</v>
      </c>
      <c r="E934" t="s">
        <v>26</v>
      </c>
      <c r="F934" t="s">
        <v>2099</v>
      </c>
      <c r="G934" t="s">
        <v>2133</v>
      </c>
      <c r="H934" t="str">
        <f>'Huong dan giao do an'!$B$14</f>
        <v>5 SV (vai trò chính): 1 PM/Scrum Master kiêm Integration; 2 BA/PO; 3 UI-UX + Frontend; 4 Backend/API + DevOps; 5 Database + QA/Tester. Mỗi SV có nhiệm vụ phụ và minh chứng cá nhân.</v>
      </c>
      <c r="I934" t="s">
        <v>22</v>
      </c>
      <c r="J934" t="s">
        <v>2091</v>
      </c>
      <c r="K934" t="str">
        <f>IF(I934="Trung bình",'Huong dan giao do an'!$B$8,IF(I934="Khá",'Huong dan giao do an'!$B$9,'Huong dan giao do an'!$B$10))</f>
        <v>Tối thiểu 4 actor; 10-14 use case; 8-12 bảng; 3 quy trình lõi; phân quyền chi tiết; 2 báo cáo; tích hợp 1 dịch vụ; &gt;=35 test case; CI/CD hoặc deploy cloud.</v>
      </c>
      <c r="L934" t="str">
        <f>'Huong dan giao do an'!$B$31</f>
        <v>Bắt buộc: Charter/PMP; SRS + scope/WBS; Gantt/baseline; effort-cost budget; RACI/timesheet; quality-test-defect; communication/minutes; risk register; procurement; change log; closure/lessons learned.</v>
      </c>
      <c r="M934" t="str">
        <f>'Huong dan giao do an'!$B$33</f>
        <v>Tuần 1: 07.09–13.09.2026; Tuần 2: 14.09–20.09.2026; Tuần 3: 21.09–27.09.2026; Tuần 4: 28.09–04.10.2026; Tuần 5: 05.10–11.10.2026; Tuần 6: 12.10–18.10.2026; Tuần 7: 19.10–25.10.2026; Tuần 8: 26.10–01.11.2026.</v>
      </c>
      <c r="N9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4" s="17" t="str">
        <f t="shared" si="14"/>
        <v>Còn trống</v>
      </c>
    </row>
    <row r="935" spans="1:16" x14ac:dyDescent="0.3">
      <c r="A935">
        <v>934</v>
      </c>
      <c r="B935" t="s">
        <v>2086</v>
      </c>
      <c r="C935" t="s">
        <v>2181</v>
      </c>
      <c r="D935" t="s">
        <v>2182</v>
      </c>
      <c r="E935" t="s">
        <v>33</v>
      </c>
      <c r="F935" t="s">
        <v>2104</v>
      </c>
      <c r="G935" t="s">
        <v>2136</v>
      </c>
      <c r="H935" t="str">
        <f>'Huong dan giao do an'!$B$14</f>
        <v>5 SV (vai trò chính): 1 PM/Scrum Master kiêm Integration; 2 BA/PO; 3 UI-UX + Frontend; 4 Backend/API + DevOps; 5 Database + QA/Tester. Mỗi SV có nhiệm vụ phụ và minh chứng cá nhân.</v>
      </c>
      <c r="I935" t="s">
        <v>29</v>
      </c>
      <c r="J935" t="s">
        <v>2096</v>
      </c>
      <c r="K935" t="str">
        <f>IF(I935="Trung bình",'Huong dan giao do an'!$B$8,IF(I935="Khá",'Huong dan giao do an'!$B$9,'Huong dan giao do an'!$B$10))</f>
        <v>Tối thiểu 5 actor; 14-18 use case; 10-15 bảng; 4 quy trình; tích hợp ngoài/realtime hoặc xử lý nâng cao; 3 báo cáo; &gt;=45 test case; logging, backup và deploy.</v>
      </c>
      <c r="L935" t="str">
        <f>'Huong dan giao do an'!$B$31</f>
        <v>Bắt buộc: Charter/PMP; SRS + scope/WBS; Gantt/baseline; effort-cost budget; RACI/timesheet; quality-test-defect; communication/minutes; risk register; procurement; change log; closure/lessons learned.</v>
      </c>
      <c r="M935" t="str">
        <f>'Huong dan giao do an'!$B$33</f>
        <v>Tuần 1: 07.09–13.09.2026; Tuần 2: 14.09–20.09.2026; Tuần 3: 21.09–27.09.2026; Tuần 4: 28.09–04.10.2026; Tuần 5: 05.10–11.10.2026; Tuần 6: 12.10–18.10.2026; Tuần 7: 19.10–25.10.2026; Tuần 8: 26.10–01.11.2026.</v>
      </c>
      <c r="N9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5" s="17" t="str">
        <f t="shared" si="14"/>
        <v>Còn trống</v>
      </c>
    </row>
    <row r="936" spans="1:16" x14ac:dyDescent="0.3">
      <c r="A936">
        <v>935</v>
      </c>
      <c r="B936" t="s">
        <v>2086</v>
      </c>
      <c r="C936" t="s">
        <v>2183</v>
      </c>
      <c r="D936" t="s">
        <v>2184</v>
      </c>
      <c r="E936" t="s">
        <v>40</v>
      </c>
      <c r="F936" t="s">
        <v>2108</v>
      </c>
      <c r="G936" t="s">
        <v>2139</v>
      </c>
      <c r="H936" t="str">
        <f>'Huong dan giao do an'!$B$14</f>
        <v>5 SV (vai trò chính): 1 PM/Scrum Master kiêm Integration; 2 BA/PO; 3 UI-UX + Frontend; 4 Backend/API + DevOps; 5 Database + QA/Tester. Mỗi SV có nhiệm vụ phụ và minh chứng cá nhân.</v>
      </c>
      <c r="I936" t="s">
        <v>36</v>
      </c>
      <c r="J936" t="s">
        <v>2101</v>
      </c>
      <c r="K936" t="str">
        <f>IF(I936="Trung bình",'Huong dan giao do an'!$B$8,IF(I936="Khá",'Huong dan giao do an'!$B$9,'Huong dan giao do an'!$B$10))</f>
        <v>Tối thiểu 3 actor; 8-10 use case; 6-8 bảng dữ liệu; 2 quy trình lõi; đăng nhập/RBAC; 1 dashboard; 1 báo cáo; &gt;=25 test case; triển khai bản demo.</v>
      </c>
      <c r="L936" t="str">
        <f>'Huong dan giao do an'!$B$31</f>
        <v>Bắt buộc: Charter/PMP; SRS + scope/WBS; Gantt/baseline; effort-cost budget; RACI/timesheet; quality-test-defect; communication/minutes; risk register; procurement; change log; closure/lessons learned.</v>
      </c>
      <c r="M936" t="str">
        <f>'Huong dan giao do an'!$B$33</f>
        <v>Tuần 1: 07.09–13.09.2026; Tuần 2: 14.09–20.09.2026; Tuần 3: 21.09–27.09.2026; Tuần 4: 28.09–04.10.2026; Tuần 5: 05.10–11.10.2026; Tuần 6: 12.10–18.10.2026; Tuần 7: 19.10–25.10.2026; Tuần 8: 26.10–01.11.2026.</v>
      </c>
      <c r="N9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6" s="17" t="str">
        <f t="shared" si="14"/>
        <v>Còn trống</v>
      </c>
    </row>
    <row r="937" spans="1:16" x14ac:dyDescent="0.3">
      <c r="A937">
        <v>936</v>
      </c>
      <c r="B937" t="s">
        <v>2086</v>
      </c>
      <c r="C937" t="s">
        <v>2185</v>
      </c>
      <c r="D937" t="s">
        <v>2186</v>
      </c>
      <c r="E937" t="s">
        <v>45</v>
      </c>
      <c r="F937" t="s">
        <v>2089</v>
      </c>
      <c r="G937" t="s">
        <v>2142</v>
      </c>
      <c r="H937" t="str">
        <f>'Huong dan giao do an'!$B$14</f>
        <v>5 SV (vai trò chính): 1 PM/Scrum Master kiêm Integration; 2 BA/PO; 3 UI-UX + Frontend; 4 Backend/API + DevOps; 5 Database + QA/Tester. Mỗi SV có nhiệm vụ phụ và minh chứng cá nhân.</v>
      </c>
      <c r="I937" t="s">
        <v>22</v>
      </c>
      <c r="J937" t="s">
        <v>2091</v>
      </c>
      <c r="K937" t="str">
        <f>IF(I937="Trung bình",'Huong dan giao do an'!$B$8,IF(I937="Khá",'Huong dan giao do an'!$B$9,'Huong dan giao do an'!$B$10))</f>
        <v>Tối thiểu 4 actor; 10-14 use case; 8-12 bảng; 3 quy trình lõi; phân quyền chi tiết; 2 báo cáo; tích hợp 1 dịch vụ; &gt;=35 test case; CI/CD hoặc deploy cloud.</v>
      </c>
      <c r="L937" t="str">
        <f>'Huong dan giao do an'!$B$31</f>
        <v>Bắt buộc: Charter/PMP; SRS + scope/WBS; Gantt/baseline; effort-cost budget; RACI/timesheet; quality-test-defect; communication/minutes; risk register; procurement; change log; closure/lessons learned.</v>
      </c>
      <c r="M937" t="str">
        <f>'Huong dan giao do an'!$B$33</f>
        <v>Tuần 1: 07.09–13.09.2026; Tuần 2: 14.09–20.09.2026; Tuần 3: 21.09–27.09.2026; Tuần 4: 28.09–04.10.2026; Tuần 5: 05.10–11.10.2026; Tuần 6: 12.10–18.10.2026; Tuần 7: 19.10–25.10.2026; Tuần 8: 26.10–01.11.2026.</v>
      </c>
      <c r="N9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7" s="17" t="str">
        <f t="shared" si="14"/>
        <v>Còn trống</v>
      </c>
    </row>
    <row r="938" spans="1:16" x14ac:dyDescent="0.3">
      <c r="A938">
        <v>937</v>
      </c>
      <c r="B938" t="s">
        <v>2086</v>
      </c>
      <c r="C938" t="s">
        <v>2187</v>
      </c>
      <c r="D938" t="s">
        <v>2188</v>
      </c>
      <c r="E938" t="s">
        <v>19</v>
      </c>
      <c r="F938" t="s">
        <v>2094</v>
      </c>
      <c r="G938" t="s">
        <v>2145</v>
      </c>
      <c r="H938" t="str">
        <f>'Huong dan giao do an'!$B$14</f>
        <v>5 SV (vai trò chính): 1 PM/Scrum Master kiêm Integration; 2 BA/PO; 3 UI-UX + Frontend; 4 Backend/API + DevOps; 5 Database + QA/Tester. Mỗi SV có nhiệm vụ phụ và minh chứng cá nhân.</v>
      </c>
      <c r="I938" t="s">
        <v>29</v>
      </c>
      <c r="J938" t="s">
        <v>2096</v>
      </c>
      <c r="K938" t="str">
        <f>IF(I938="Trung bình",'Huong dan giao do an'!$B$8,IF(I938="Khá",'Huong dan giao do an'!$B$9,'Huong dan giao do an'!$B$10))</f>
        <v>Tối thiểu 5 actor; 14-18 use case; 10-15 bảng; 4 quy trình; tích hợp ngoài/realtime hoặc xử lý nâng cao; 3 báo cáo; &gt;=45 test case; logging, backup và deploy.</v>
      </c>
      <c r="L938" t="str">
        <f>'Huong dan giao do an'!$B$31</f>
        <v>Bắt buộc: Charter/PMP; SRS + scope/WBS; Gantt/baseline; effort-cost budget; RACI/timesheet; quality-test-defect; communication/minutes; risk register; procurement; change log; closure/lessons learned.</v>
      </c>
      <c r="M938" t="str">
        <f>'Huong dan giao do an'!$B$33</f>
        <v>Tuần 1: 07.09–13.09.2026; Tuần 2: 14.09–20.09.2026; Tuần 3: 21.09–27.09.2026; Tuần 4: 28.09–04.10.2026; Tuần 5: 05.10–11.10.2026; Tuần 6: 12.10–18.10.2026; Tuần 7: 19.10–25.10.2026; Tuần 8: 26.10–01.11.2026.</v>
      </c>
      <c r="N9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8" s="17" t="str">
        <f t="shared" si="14"/>
        <v>Còn trống</v>
      </c>
    </row>
    <row r="939" spans="1:16" x14ac:dyDescent="0.3">
      <c r="A939">
        <v>938</v>
      </c>
      <c r="B939" t="s">
        <v>2086</v>
      </c>
      <c r="C939" t="s">
        <v>2189</v>
      </c>
      <c r="D939" t="s">
        <v>2190</v>
      </c>
      <c r="E939" t="s">
        <v>26</v>
      </c>
      <c r="F939" t="s">
        <v>2099</v>
      </c>
      <c r="G939" t="s">
        <v>2148</v>
      </c>
      <c r="H939" t="str">
        <f>'Huong dan giao do an'!$B$14</f>
        <v>5 SV (vai trò chính): 1 PM/Scrum Master kiêm Integration; 2 BA/PO; 3 UI-UX + Frontend; 4 Backend/API + DevOps; 5 Database + QA/Tester. Mỗi SV có nhiệm vụ phụ và minh chứng cá nhân.</v>
      </c>
      <c r="I939" t="s">
        <v>36</v>
      </c>
      <c r="J939" t="s">
        <v>2101</v>
      </c>
      <c r="K939" t="str">
        <f>IF(I939="Trung bình",'Huong dan giao do an'!$B$8,IF(I939="Khá",'Huong dan giao do an'!$B$9,'Huong dan giao do an'!$B$10))</f>
        <v>Tối thiểu 3 actor; 8-10 use case; 6-8 bảng dữ liệu; 2 quy trình lõi; đăng nhập/RBAC; 1 dashboard; 1 báo cáo; &gt;=25 test case; triển khai bản demo.</v>
      </c>
      <c r="L939" t="str">
        <f>'Huong dan giao do an'!$B$31</f>
        <v>Bắt buộc: Charter/PMP; SRS + scope/WBS; Gantt/baseline; effort-cost budget; RACI/timesheet; quality-test-defect; communication/minutes; risk register; procurement; change log; closure/lessons learned.</v>
      </c>
      <c r="M939" t="str">
        <f>'Huong dan giao do an'!$B$33</f>
        <v>Tuần 1: 07.09–13.09.2026; Tuần 2: 14.09–20.09.2026; Tuần 3: 21.09–27.09.2026; Tuần 4: 28.09–04.10.2026; Tuần 5: 05.10–11.10.2026; Tuần 6: 12.10–18.10.2026; Tuần 7: 19.10–25.10.2026; Tuần 8: 26.10–01.11.2026.</v>
      </c>
      <c r="N9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39" s="17" t="str">
        <f t="shared" si="14"/>
        <v>Còn trống</v>
      </c>
    </row>
    <row r="940" spans="1:16" x14ac:dyDescent="0.3">
      <c r="A940">
        <v>939</v>
      </c>
      <c r="B940" t="s">
        <v>2086</v>
      </c>
      <c r="C940" t="s">
        <v>2191</v>
      </c>
      <c r="D940" t="s">
        <v>2192</v>
      </c>
      <c r="E940" t="s">
        <v>33</v>
      </c>
      <c r="F940" t="s">
        <v>2104</v>
      </c>
      <c r="G940" t="s">
        <v>2151</v>
      </c>
      <c r="H940" t="str">
        <f>'Huong dan giao do an'!$B$14</f>
        <v>5 SV (vai trò chính): 1 PM/Scrum Master kiêm Integration; 2 BA/PO; 3 UI-UX + Frontend; 4 Backend/API + DevOps; 5 Database + QA/Tester. Mỗi SV có nhiệm vụ phụ và minh chứng cá nhân.</v>
      </c>
      <c r="I940" t="s">
        <v>22</v>
      </c>
      <c r="J940" t="s">
        <v>2091</v>
      </c>
      <c r="K940" t="str">
        <f>IF(I940="Trung bình",'Huong dan giao do an'!$B$8,IF(I940="Khá",'Huong dan giao do an'!$B$9,'Huong dan giao do an'!$B$10))</f>
        <v>Tối thiểu 4 actor; 10-14 use case; 8-12 bảng; 3 quy trình lõi; phân quyền chi tiết; 2 báo cáo; tích hợp 1 dịch vụ; &gt;=35 test case; CI/CD hoặc deploy cloud.</v>
      </c>
      <c r="L940" t="str">
        <f>'Huong dan giao do an'!$B$31</f>
        <v>Bắt buộc: Charter/PMP; SRS + scope/WBS; Gantt/baseline; effort-cost budget; RACI/timesheet; quality-test-defect; communication/minutes; risk register; procurement; change log; closure/lessons learned.</v>
      </c>
      <c r="M940" t="str">
        <f>'Huong dan giao do an'!$B$33</f>
        <v>Tuần 1: 07.09–13.09.2026; Tuần 2: 14.09–20.09.2026; Tuần 3: 21.09–27.09.2026; Tuần 4: 28.09–04.10.2026; Tuần 5: 05.10–11.10.2026; Tuần 6: 12.10–18.10.2026; Tuần 7: 19.10–25.10.2026; Tuần 8: 26.10–01.11.2026.</v>
      </c>
      <c r="N9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0" s="17" t="str">
        <f t="shared" si="14"/>
        <v>Còn trống</v>
      </c>
    </row>
    <row r="941" spans="1:16" x14ac:dyDescent="0.3">
      <c r="A941">
        <v>940</v>
      </c>
      <c r="B941" t="s">
        <v>2086</v>
      </c>
      <c r="C941" t="s">
        <v>2193</v>
      </c>
      <c r="D941" t="s">
        <v>2194</v>
      </c>
      <c r="E941" t="s">
        <v>40</v>
      </c>
      <c r="F941" t="s">
        <v>2108</v>
      </c>
      <c r="G941" t="s">
        <v>2154</v>
      </c>
      <c r="H941" t="str">
        <f>'Huong dan giao do an'!$B$14</f>
        <v>5 SV (vai trò chính): 1 PM/Scrum Master kiêm Integration; 2 BA/PO; 3 UI-UX + Frontend; 4 Backend/API + DevOps; 5 Database + QA/Tester. Mỗi SV có nhiệm vụ phụ và minh chứng cá nhân.</v>
      </c>
      <c r="I941" t="s">
        <v>29</v>
      </c>
      <c r="J941" t="s">
        <v>2096</v>
      </c>
      <c r="K941" t="str">
        <f>IF(I941="Trung bình",'Huong dan giao do an'!$B$8,IF(I941="Khá",'Huong dan giao do an'!$B$9,'Huong dan giao do an'!$B$10))</f>
        <v>Tối thiểu 5 actor; 14-18 use case; 10-15 bảng; 4 quy trình; tích hợp ngoài/realtime hoặc xử lý nâng cao; 3 báo cáo; &gt;=45 test case; logging, backup và deploy.</v>
      </c>
      <c r="L941" t="str">
        <f>'Huong dan giao do an'!$B$31</f>
        <v>Bắt buộc: Charter/PMP; SRS + scope/WBS; Gantt/baseline; effort-cost budget; RACI/timesheet; quality-test-defect; communication/minutes; risk register; procurement; change log; closure/lessons learned.</v>
      </c>
      <c r="M941" t="str">
        <f>'Huong dan giao do an'!$B$33</f>
        <v>Tuần 1: 07.09–13.09.2026; Tuần 2: 14.09–20.09.2026; Tuần 3: 21.09–27.09.2026; Tuần 4: 28.09–04.10.2026; Tuần 5: 05.10–11.10.2026; Tuần 6: 12.10–18.10.2026; Tuần 7: 19.10–25.10.2026; Tuần 8: 26.10–01.11.2026.</v>
      </c>
      <c r="N9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1" s="17" t="str">
        <f t="shared" si="14"/>
        <v>Còn trống</v>
      </c>
    </row>
    <row r="942" spans="1:16" x14ac:dyDescent="0.3">
      <c r="A942">
        <v>941</v>
      </c>
      <c r="B942" t="s">
        <v>2086</v>
      </c>
      <c r="C942" t="s">
        <v>2195</v>
      </c>
      <c r="D942" t="s">
        <v>2196</v>
      </c>
      <c r="E942" t="s">
        <v>45</v>
      </c>
      <c r="F942" t="s">
        <v>2089</v>
      </c>
      <c r="G942" t="s">
        <v>2090</v>
      </c>
      <c r="H942" t="str">
        <f>'Huong dan giao do an'!$B$14</f>
        <v>5 SV (vai trò chính): 1 PM/Scrum Master kiêm Integration; 2 BA/PO; 3 UI-UX + Frontend; 4 Backend/API + DevOps; 5 Database + QA/Tester. Mỗi SV có nhiệm vụ phụ và minh chứng cá nhân.</v>
      </c>
      <c r="I942" t="s">
        <v>22</v>
      </c>
      <c r="J942" t="s">
        <v>2091</v>
      </c>
      <c r="K942" t="str">
        <f>IF(I942="Trung bình",'Huong dan giao do an'!$B$8,IF(I942="Khá",'Huong dan giao do an'!$B$9,'Huong dan giao do an'!$B$10))</f>
        <v>Tối thiểu 4 actor; 10-14 use case; 8-12 bảng; 3 quy trình lõi; phân quyền chi tiết; 2 báo cáo; tích hợp 1 dịch vụ; &gt;=35 test case; CI/CD hoặc deploy cloud.</v>
      </c>
      <c r="L942" t="str">
        <f>'Huong dan giao do an'!$B$31</f>
        <v>Bắt buộc: Charter/PMP; SRS + scope/WBS; Gantt/baseline; effort-cost budget; RACI/timesheet; quality-test-defect; communication/minutes; risk register; procurement; change log; closure/lessons learned.</v>
      </c>
      <c r="M942" t="str">
        <f>'Huong dan giao do an'!$B$33</f>
        <v>Tuần 1: 07.09–13.09.2026; Tuần 2: 14.09–20.09.2026; Tuần 3: 21.09–27.09.2026; Tuần 4: 28.09–04.10.2026; Tuần 5: 05.10–11.10.2026; Tuần 6: 12.10–18.10.2026; Tuần 7: 19.10–25.10.2026; Tuần 8: 26.10–01.11.2026.</v>
      </c>
      <c r="N9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2" s="17" t="str">
        <f t="shared" si="14"/>
        <v>Còn trống</v>
      </c>
    </row>
    <row r="943" spans="1:16" x14ac:dyDescent="0.3">
      <c r="A943">
        <v>942</v>
      </c>
      <c r="B943" t="s">
        <v>2086</v>
      </c>
      <c r="C943" t="s">
        <v>2197</v>
      </c>
      <c r="D943" t="s">
        <v>2198</v>
      </c>
      <c r="E943" t="s">
        <v>19</v>
      </c>
      <c r="F943" t="s">
        <v>2094</v>
      </c>
      <c r="G943" t="s">
        <v>2095</v>
      </c>
      <c r="H943" t="str">
        <f>'Huong dan giao do an'!$B$14</f>
        <v>5 SV (vai trò chính): 1 PM/Scrum Master kiêm Integration; 2 BA/PO; 3 UI-UX + Frontend; 4 Backend/API + DevOps; 5 Database + QA/Tester. Mỗi SV có nhiệm vụ phụ và minh chứng cá nhân.</v>
      </c>
      <c r="I943" t="s">
        <v>29</v>
      </c>
      <c r="J943" t="s">
        <v>2096</v>
      </c>
      <c r="K943" t="str">
        <f>IF(I943="Trung bình",'Huong dan giao do an'!$B$8,IF(I943="Khá",'Huong dan giao do an'!$B$9,'Huong dan giao do an'!$B$10))</f>
        <v>Tối thiểu 5 actor; 14-18 use case; 10-15 bảng; 4 quy trình; tích hợp ngoài/realtime hoặc xử lý nâng cao; 3 báo cáo; &gt;=45 test case; logging, backup và deploy.</v>
      </c>
      <c r="L943" t="str">
        <f>'Huong dan giao do an'!$B$31</f>
        <v>Bắt buộc: Charter/PMP; SRS + scope/WBS; Gantt/baseline; effort-cost budget; RACI/timesheet; quality-test-defect; communication/minutes; risk register; procurement; change log; closure/lessons learned.</v>
      </c>
      <c r="M943" t="str">
        <f>'Huong dan giao do an'!$B$33</f>
        <v>Tuần 1: 07.09–13.09.2026; Tuần 2: 14.09–20.09.2026; Tuần 3: 21.09–27.09.2026; Tuần 4: 28.09–04.10.2026; Tuần 5: 05.10–11.10.2026; Tuần 6: 12.10–18.10.2026; Tuần 7: 19.10–25.10.2026; Tuần 8: 26.10–01.11.2026.</v>
      </c>
      <c r="N9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3" s="17" t="str">
        <f t="shared" si="14"/>
        <v>Còn trống</v>
      </c>
    </row>
    <row r="944" spans="1:16" x14ac:dyDescent="0.3">
      <c r="A944">
        <v>943</v>
      </c>
      <c r="B944" t="s">
        <v>2086</v>
      </c>
      <c r="C944" t="s">
        <v>2199</v>
      </c>
      <c r="D944" t="s">
        <v>2200</v>
      </c>
      <c r="E944" t="s">
        <v>26</v>
      </c>
      <c r="F944" t="s">
        <v>2099</v>
      </c>
      <c r="G944" t="s">
        <v>2100</v>
      </c>
      <c r="H944" t="str">
        <f>'Huong dan giao do an'!$B$14</f>
        <v>5 SV (vai trò chính): 1 PM/Scrum Master kiêm Integration; 2 BA/PO; 3 UI-UX + Frontend; 4 Backend/API + DevOps; 5 Database + QA/Tester. Mỗi SV có nhiệm vụ phụ và minh chứng cá nhân.</v>
      </c>
      <c r="I944" t="s">
        <v>36</v>
      </c>
      <c r="J944" t="s">
        <v>2101</v>
      </c>
      <c r="K944" t="str">
        <f>IF(I944="Trung bình",'Huong dan giao do an'!$B$8,IF(I944="Khá",'Huong dan giao do an'!$B$9,'Huong dan giao do an'!$B$10))</f>
        <v>Tối thiểu 3 actor; 8-10 use case; 6-8 bảng dữ liệu; 2 quy trình lõi; đăng nhập/RBAC; 1 dashboard; 1 báo cáo; &gt;=25 test case; triển khai bản demo.</v>
      </c>
      <c r="L944" t="str">
        <f>'Huong dan giao do an'!$B$31</f>
        <v>Bắt buộc: Charter/PMP; SRS + scope/WBS; Gantt/baseline; effort-cost budget; RACI/timesheet; quality-test-defect; communication/minutes; risk register; procurement; change log; closure/lessons learned.</v>
      </c>
      <c r="M944" t="str">
        <f>'Huong dan giao do an'!$B$33</f>
        <v>Tuần 1: 07.09–13.09.2026; Tuần 2: 14.09–20.09.2026; Tuần 3: 21.09–27.09.2026; Tuần 4: 28.09–04.10.2026; Tuần 5: 05.10–11.10.2026; Tuần 6: 12.10–18.10.2026; Tuần 7: 19.10–25.10.2026; Tuần 8: 26.10–01.11.2026.</v>
      </c>
      <c r="N9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4" s="17" t="str">
        <f t="shared" si="14"/>
        <v>Còn trống</v>
      </c>
    </row>
    <row r="945" spans="1:16" x14ac:dyDescent="0.3">
      <c r="A945">
        <v>944</v>
      </c>
      <c r="B945" t="s">
        <v>2086</v>
      </c>
      <c r="C945" t="s">
        <v>2201</v>
      </c>
      <c r="D945" t="s">
        <v>2202</v>
      </c>
      <c r="E945" t="s">
        <v>33</v>
      </c>
      <c r="F945" t="s">
        <v>2104</v>
      </c>
      <c r="G945" t="s">
        <v>2105</v>
      </c>
      <c r="H945" t="str">
        <f>'Huong dan giao do an'!$B$14</f>
        <v>5 SV (vai trò chính): 1 PM/Scrum Master kiêm Integration; 2 BA/PO; 3 UI-UX + Frontend; 4 Backend/API + DevOps; 5 Database + QA/Tester. Mỗi SV có nhiệm vụ phụ và minh chứng cá nhân.</v>
      </c>
      <c r="I945" t="s">
        <v>22</v>
      </c>
      <c r="J945" t="s">
        <v>2091</v>
      </c>
      <c r="K945" t="str">
        <f>IF(I945="Trung bình",'Huong dan giao do an'!$B$8,IF(I945="Khá",'Huong dan giao do an'!$B$9,'Huong dan giao do an'!$B$10))</f>
        <v>Tối thiểu 4 actor; 10-14 use case; 8-12 bảng; 3 quy trình lõi; phân quyền chi tiết; 2 báo cáo; tích hợp 1 dịch vụ; &gt;=35 test case; CI/CD hoặc deploy cloud.</v>
      </c>
      <c r="L945" t="str">
        <f>'Huong dan giao do an'!$B$31</f>
        <v>Bắt buộc: Charter/PMP; SRS + scope/WBS; Gantt/baseline; effort-cost budget; RACI/timesheet; quality-test-defect; communication/minutes; risk register; procurement; change log; closure/lessons learned.</v>
      </c>
      <c r="M945" t="str">
        <f>'Huong dan giao do an'!$B$33</f>
        <v>Tuần 1: 07.09–13.09.2026; Tuần 2: 14.09–20.09.2026; Tuần 3: 21.09–27.09.2026; Tuần 4: 28.09–04.10.2026; Tuần 5: 05.10–11.10.2026; Tuần 6: 12.10–18.10.2026; Tuần 7: 19.10–25.10.2026; Tuần 8: 26.10–01.11.2026.</v>
      </c>
      <c r="N9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5" s="17" t="str">
        <f t="shared" si="14"/>
        <v>Còn trống</v>
      </c>
    </row>
    <row r="946" spans="1:16" x14ac:dyDescent="0.3">
      <c r="A946">
        <v>945</v>
      </c>
      <c r="B946" t="s">
        <v>2086</v>
      </c>
      <c r="C946" t="s">
        <v>2203</v>
      </c>
      <c r="D946" t="s">
        <v>2204</v>
      </c>
      <c r="E946" t="s">
        <v>40</v>
      </c>
      <c r="F946" t="s">
        <v>2108</v>
      </c>
      <c r="G946" t="s">
        <v>2109</v>
      </c>
      <c r="H946" t="str">
        <f>'Huong dan giao do an'!$B$14</f>
        <v>5 SV (vai trò chính): 1 PM/Scrum Master kiêm Integration; 2 BA/PO; 3 UI-UX + Frontend; 4 Backend/API + DevOps; 5 Database + QA/Tester. Mỗi SV có nhiệm vụ phụ và minh chứng cá nhân.</v>
      </c>
      <c r="I946" t="s">
        <v>29</v>
      </c>
      <c r="J946" t="s">
        <v>2096</v>
      </c>
      <c r="K946" t="str">
        <f>IF(I946="Trung bình",'Huong dan giao do an'!$B$8,IF(I946="Khá",'Huong dan giao do an'!$B$9,'Huong dan giao do an'!$B$10))</f>
        <v>Tối thiểu 5 actor; 14-18 use case; 10-15 bảng; 4 quy trình; tích hợp ngoài/realtime hoặc xử lý nâng cao; 3 báo cáo; &gt;=45 test case; logging, backup và deploy.</v>
      </c>
      <c r="L946" t="str">
        <f>'Huong dan giao do an'!$B$31</f>
        <v>Bắt buộc: Charter/PMP; SRS + scope/WBS; Gantt/baseline; effort-cost budget; RACI/timesheet; quality-test-defect; communication/minutes; risk register; procurement; change log; closure/lessons learned.</v>
      </c>
      <c r="M946" t="str">
        <f>'Huong dan giao do an'!$B$33</f>
        <v>Tuần 1: 07.09–13.09.2026; Tuần 2: 14.09–20.09.2026; Tuần 3: 21.09–27.09.2026; Tuần 4: 28.09–04.10.2026; Tuần 5: 05.10–11.10.2026; Tuần 6: 12.10–18.10.2026; Tuần 7: 19.10–25.10.2026; Tuần 8: 26.10–01.11.2026.</v>
      </c>
      <c r="N9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6" s="17" t="str">
        <f t="shared" si="14"/>
        <v>Còn trống</v>
      </c>
    </row>
    <row r="947" spans="1:16" x14ac:dyDescent="0.3">
      <c r="A947">
        <v>946</v>
      </c>
      <c r="B947" t="s">
        <v>2086</v>
      </c>
      <c r="C947" t="s">
        <v>2205</v>
      </c>
      <c r="D947" t="s">
        <v>2206</v>
      </c>
      <c r="E947" t="s">
        <v>45</v>
      </c>
      <c r="F947" t="s">
        <v>2089</v>
      </c>
      <c r="G947" t="s">
        <v>2112</v>
      </c>
      <c r="H947" t="str">
        <f>'Huong dan giao do an'!$B$14</f>
        <v>5 SV (vai trò chính): 1 PM/Scrum Master kiêm Integration; 2 BA/PO; 3 UI-UX + Frontend; 4 Backend/API + DevOps; 5 Database + QA/Tester. Mỗi SV có nhiệm vụ phụ và minh chứng cá nhân.</v>
      </c>
      <c r="I947" t="s">
        <v>36</v>
      </c>
      <c r="J947" t="s">
        <v>2101</v>
      </c>
      <c r="K947" t="str">
        <f>IF(I947="Trung bình",'Huong dan giao do an'!$B$8,IF(I947="Khá",'Huong dan giao do an'!$B$9,'Huong dan giao do an'!$B$10))</f>
        <v>Tối thiểu 3 actor; 8-10 use case; 6-8 bảng dữ liệu; 2 quy trình lõi; đăng nhập/RBAC; 1 dashboard; 1 báo cáo; &gt;=25 test case; triển khai bản demo.</v>
      </c>
      <c r="L947" t="str">
        <f>'Huong dan giao do an'!$B$31</f>
        <v>Bắt buộc: Charter/PMP; SRS + scope/WBS; Gantt/baseline; effort-cost budget; RACI/timesheet; quality-test-defect; communication/minutes; risk register; procurement; change log; closure/lessons learned.</v>
      </c>
      <c r="M947" t="str">
        <f>'Huong dan giao do an'!$B$33</f>
        <v>Tuần 1: 07.09–13.09.2026; Tuần 2: 14.09–20.09.2026; Tuần 3: 21.09–27.09.2026; Tuần 4: 28.09–04.10.2026; Tuần 5: 05.10–11.10.2026; Tuần 6: 12.10–18.10.2026; Tuần 7: 19.10–25.10.2026; Tuần 8: 26.10–01.11.2026.</v>
      </c>
      <c r="N9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7" s="17" t="str">
        <f t="shared" si="14"/>
        <v>Còn trống</v>
      </c>
    </row>
    <row r="948" spans="1:16" x14ac:dyDescent="0.3">
      <c r="A948">
        <v>947</v>
      </c>
      <c r="B948" t="s">
        <v>2086</v>
      </c>
      <c r="C948" t="s">
        <v>2207</v>
      </c>
      <c r="D948" t="s">
        <v>2208</v>
      </c>
      <c r="E948" t="s">
        <v>19</v>
      </c>
      <c r="F948" t="s">
        <v>2094</v>
      </c>
      <c r="G948" t="s">
        <v>2115</v>
      </c>
      <c r="H948" t="str">
        <f>'Huong dan giao do an'!$B$14</f>
        <v>5 SV (vai trò chính): 1 PM/Scrum Master kiêm Integration; 2 BA/PO; 3 UI-UX + Frontend; 4 Backend/API + DevOps; 5 Database + QA/Tester. Mỗi SV có nhiệm vụ phụ và minh chứng cá nhân.</v>
      </c>
      <c r="I948" t="s">
        <v>22</v>
      </c>
      <c r="J948" t="s">
        <v>2091</v>
      </c>
      <c r="K948" t="str">
        <f>IF(I948="Trung bình",'Huong dan giao do an'!$B$8,IF(I948="Khá",'Huong dan giao do an'!$B$9,'Huong dan giao do an'!$B$10))</f>
        <v>Tối thiểu 4 actor; 10-14 use case; 8-12 bảng; 3 quy trình lõi; phân quyền chi tiết; 2 báo cáo; tích hợp 1 dịch vụ; &gt;=35 test case; CI/CD hoặc deploy cloud.</v>
      </c>
      <c r="L948" t="str">
        <f>'Huong dan giao do an'!$B$31</f>
        <v>Bắt buộc: Charter/PMP; SRS + scope/WBS; Gantt/baseline; effort-cost budget; RACI/timesheet; quality-test-defect; communication/minutes; risk register; procurement; change log; closure/lessons learned.</v>
      </c>
      <c r="M948" t="str">
        <f>'Huong dan giao do an'!$B$33</f>
        <v>Tuần 1: 07.09–13.09.2026; Tuần 2: 14.09–20.09.2026; Tuần 3: 21.09–27.09.2026; Tuần 4: 28.09–04.10.2026; Tuần 5: 05.10–11.10.2026; Tuần 6: 12.10–18.10.2026; Tuần 7: 19.10–25.10.2026; Tuần 8: 26.10–01.11.2026.</v>
      </c>
      <c r="N9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8" s="17" t="str">
        <f t="shared" si="14"/>
        <v>Còn trống</v>
      </c>
    </row>
    <row r="949" spans="1:16" x14ac:dyDescent="0.3">
      <c r="A949">
        <v>948</v>
      </c>
      <c r="B949" t="s">
        <v>2086</v>
      </c>
      <c r="C949" t="s">
        <v>2209</v>
      </c>
      <c r="D949" t="s">
        <v>2210</v>
      </c>
      <c r="E949" t="s">
        <v>26</v>
      </c>
      <c r="F949" t="s">
        <v>2099</v>
      </c>
      <c r="G949" t="s">
        <v>2118</v>
      </c>
      <c r="H949" t="str">
        <f>'Huong dan giao do an'!$B$14</f>
        <v>5 SV (vai trò chính): 1 PM/Scrum Master kiêm Integration; 2 BA/PO; 3 UI-UX + Frontend; 4 Backend/API + DevOps; 5 Database + QA/Tester. Mỗi SV có nhiệm vụ phụ và minh chứng cá nhân.</v>
      </c>
      <c r="I949" t="s">
        <v>29</v>
      </c>
      <c r="J949" t="s">
        <v>2096</v>
      </c>
      <c r="K949" t="str">
        <f>IF(I949="Trung bình",'Huong dan giao do an'!$B$8,IF(I949="Khá",'Huong dan giao do an'!$B$9,'Huong dan giao do an'!$B$10))</f>
        <v>Tối thiểu 5 actor; 14-18 use case; 10-15 bảng; 4 quy trình; tích hợp ngoài/realtime hoặc xử lý nâng cao; 3 báo cáo; &gt;=45 test case; logging, backup và deploy.</v>
      </c>
      <c r="L949" t="str">
        <f>'Huong dan giao do an'!$B$31</f>
        <v>Bắt buộc: Charter/PMP; SRS + scope/WBS; Gantt/baseline; effort-cost budget; RACI/timesheet; quality-test-defect; communication/minutes; risk register; procurement; change log; closure/lessons learned.</v>
      </c>
      <c r="M949" t="str">
        <f>'Huong dan giao do an'!$B$33</f>
        <v>Tuần 1: 07.09–13.09.2026; Tuần 2: 14.09–20.09.2026; Tuần 3: 21.09–27.09.2026; Tuần 4: 28.09–04.10.2026; Tuần 5: 05.10–11.10.2026; Tuần 6: 12.10–18.10.2026; Tuần 7: 19.10–25.10.2026; Tuần 8: 26.10–01.11.2026.</v>
      </c>
      <c r="N9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49" s="17" t="str">
        <f t="shared" si="14"/>
        <v>Còn trống</v>
      </c>
    </row>
    <row r="950" spans="1:16" x14ac:dyDescent="0.3">
      <c r="A950">
        <v>949</v>
      </c>
      <c r="B950" t="s">
        <v>2086</v>
      </c>
      <c r="C950" t="s">
        <v>2211</v>
      </c>
      <c r="D950" t="s">
        <v>2212</v>
      </c>
      <c r="E950" t="s">
        <v>33</v>
      </c>
      <c r="F950" t="s">
        <v>2104</v>
      </c>
      <c r="G950" t="s">
        <v>2121</v>
      </c>
      <c r="H950" t="str">
        <f>'Huong dan giao do an'!$B$14</f>
        <v>5 SV (vai trò chính): 1 PM/Scrum Master kiêm Integration; 2 BA/PO; 3 UI-UX + Frontend; 4 Backend/API + DevOps; 5 Database + QA/Tester. Mỗi SV có nhiệm vụ phụ và minh chứng cá nhân.</v>
      </c>
      <c r="I950" t="s">
        <v>36</v>
      </c>
      <c r="J950" t="s">
        <v>2101</v>
      </c>
      <c r="K950" t="str">
        <f>IF(I950="Trung bình",'Huong dan giao do an'!$B$8,IF(I950="Khá",'Huong dan giao do an'!$B$9,'Huong dan giao do an'!$B$10))</f>
        <v>Tối thiểu 3 actor; 8-10 use case; 6-8 bảng dữ liệu; 2 quy trình lõi; đăng nhập/RBAC; 1 dashboard; 1 báo cáo; &gt;=25 test case; triển khai bản demo.</v>
      </c>
      <c r="L950" t="str">
        <f>'Huong dan giao do an'!$B$31</f>
        <v>Bắt buộc: Charter/PMP; SRS + scope/WBS; Gantt/baseline; effort-cost budget; RACI/timesheet; quality-test-defect; communication/minutes; risk register; procurement; change log; closure/lessons learned.</v>
      </c>
      <c r="M950" t="str">
        <f>'Huong dan giao do an'!$B$33</f>
        <v>Tuần 1: 07.09–13.09.2026; Tuần 2: 14.09–20.09.2026; Tuần 3: 21.09–27.09.2026; Tuần 4: 28.09–04.10.2026; Tuần 5: 05.10–11.10.2026; Tuần 6: 12.10–18.10.2026; Tuần 7: 19.10–25.10.2026; Tuần 8: 26.10–01.11.2026.</v>
      </c>
      <c r="N9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0" s="17" t="str">
        <f t="shared" si="14"/>
        <v>Còn trống</v>
      </c>
    </row>
    <row r="951" spans="1:16" x14ac:dyDescent="0.3">
      <c r="A951">
        <v>950</v>
      </c>
      <c r="B951" t="s">
        <v>2086</v>
      </c>
      <c r="C951" t="s">
        <v>2213</v>
      </c>
      <c r="D951" t="s">
        <v>2214</v>
      </c>
      <c r="E951" t="s">
        <v>40</v>
      </c>
      <c r="F951" t="s">
        <v>2108</v>
      </c>
      <c r="G951" t="s">
        <v>2124</v>
      </c>
      <c r="H951" t="str">
        <f>'Huong dan giao do an'!$B$14</f>
        <v>5 SV (vai trò chính): 1 PM/Scrum Master kiêm Integration; 2 BA/PO; 3 UI-UX + Frontend; 4 Backend/API + DevOps; 5 Database + QA/Tester. Mỗi SV có nhiệm vụ phụ và minh chứng cá nhân.</v>
      </c>
      <c r="I951" t="s">
        <v>22</v>
      </c>
      <c r="J951" t="s">
        <v>2091</v>
      </c>
      <c r="K951" t="str">
        <f>IF(I951="Trung bình",'Huong dan giao do an'!$B$8,IF(I951="Khá",'Huong dan giao do an'!$B$9,'Huong dan giao do an'!$B$10))</f>
        <v>Tối thiểu 4 actor; 10-14 use case; 8-12 bảng; 3 quy trình lõi; phân quyền chi tiết; 2 báo cáo; tích hợp 1 dịch vụ; &gt;=35 test case; CI/CD hoặc deploy cloud.</v>
      </c>
      <c r="L951" t="str">
        <f>'Huong dan giao do an'!$B$31</f>
        <v>Bắt buộc: Charter/PMP; SRS + scope/WBS; Gantt/baseline; effort-cost budget; RACI/timesheet; quality-test-defect; communication/minutes; risk register; procurement; change log; closure/lessons learned.</v>
      </c>
      <c r="M951" t="str">
        <f>'Huong dan giao do an'!$B$33</f>
        <v>Tuần 1: 07.09–13.09.2026; Tuần 2: 14.09–20.09.2026; Tuần 3: 21.09–27.09.2026; Tuần 4: 28.09–04.10.2026; Tuần 5: 05.10–11.10.2026; Tuần 6: 12.10–18.10.2026; Tuần 7: 19.10–25.10.2026; Tuần 8: 26.10–01.11.2026.</v>
      </c>
      <c r="N9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1" s="17" t="str">
        <f t="shared" si="14"/>
        <v>Còn trống</v>
      </c>
    </row>
    <row r="952" spans="1:16" x14ac:dyDescent="0.3">
      <c r="A952">
        <v>951</v>
      </c>
      <c r="B952" t="s">
        <v>2086</v>
      </c>
      <c r="C952" t="s">
        <v>2215</v>
      </c>
      <c r="D952" t="s">
        <v>2216</v>
      </c>
      <c r="E952" t="s">
        <v>45</v>
      </c>
      <c r="F952" t="s">
        <v>2089</v>
      </c>
      <c r="G952" t="s">
        <v>2127</v>
      </c>
      <c r="H952" t="str">
        <f>'Huong dan giao do an'!$B$14</f>
        <v>5 SV (vai trò chính): 1 PM/Scrum Master kiêm Integration; 2 BA/PO; 3 UI-UX + Frontend; 4 Backend/API + DevOps; 5 Database + QA/Tester. Mỗi SV có nhiệm vụ phụ và minh chứng cá nhân.</v>
      </c>
      <c r="I952" t="s">
        <v>29</v>
      </c>
      <c r="J952" t="s">
        <v>2096</v>
      </c>
      <c r="K952" t="str">
        <f>IF(I952="Trung bình",'Huong dan giao do an'!$B$8,IF(I952="Khá",'Huong dan giao do an'!$B$9,'Huong dan giao do an'!$B$10))</f>
        <v>Tối thiểu 5 actor; 14-18 use case; 10-15 bảng; 4 quy trình; tích hợp ngoài/realtime hoặc xử lý nâng cao; 3 báo cáo; &gt;=45 test case; logging, backup và deploy.</v>
      </c>
      <c r="L952" t="str">
        <f>'Huong dan giao do an'!$B$31</f>
        <v>Bắt buộc: Charter/PMP; SRS + scope/WBS; Gantt/baseline; effort-cost budget; RACI/timesheet; quality-test-defect; communication/minutes; risk register; procurement; change log; closure/lessons learned.</v>
      </c>
      <c r="M952" t="str">
        <f>'Huong dan giao do an'!$B$33</f>
        <v>Tuần 1: 07.09–13.09.2026; Tuần 2: 14.09–20.09.2026; Tuần 3: 21.09–27.09.2026; Tuần 4: 28.09–04.10.2026; Tuần 5: 05.10–11.10.2026; Tuần 6: 12.10–18.10.2026; Tuần 7: 19.10–25.10.2026; Tuần 8: 26.10–01.11.2026.</v>
      </c>
      <c r="N9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2" s="17" t="str">
        <f t="shared" si="14"/>
        <v>Còn trống</v>
      </c>
    </row>
    <row r="953" spans="1:16" x14ac:dyDescent="0.3">
      <c r="A953">
        <v>952</v>
      </c>
      <c r="B953" t="s">
        <v>2086</v>
      </c>
      <c r="C953" t="s">
        <v>2217</v>
      </c>
      <c r="D953" t="s">
        <v>2218</v>
      </c>
      <c r="E953" t="s">
        <v>19</v>
      </c>
      <c r="F953" t="s">
        <v>2094</v>
      </c>
      <c r="G953" t="s">
        <v>2130</v>
      </c>
      <c r="H953" t="str">
        <f>'Huong dan giao do an'!$B$14</f>
        <v>5 SV (vai trò chính): 1 PM/Scrum Master kiêm Integration; 2 BA/PO; 3 UI-UX + Frontend; 4 Backend/API + DevOps; 5 Database + QA/Tester. Mỗi SV có nhiệm vụ phụ và minh chứng cá nhân.</v>
      </c>
      <c r="I953" t="s">
        <v>36</v>
      </c>
      <c r="J953" t="s">
        <v>2101</v>
      </c>
      <c r="K953" t="str">
        <f>IF(I953="Trung bình",'Huong dan giao do an'!$B$8,IF(I953="Khá",'Huong dan giao do an'!$B$9,'Huong dan giao do an'!$B$10))</f>
        <v>Tối thiểu 3 actor; 8-10 use case; 6-8 bảng dữ liệu; 2 quy trình lõi; đăng nhập/RBAC; 1 dashboard; 1 báo cáo; &gt;=25 test case; triển khai bản demo.</v>
      </c>
      <c r="L953" t="str">
        <f>'Huong dan giao do an'!$B$31</f>
        <v>Bắt buộc: Charter/PMP; SRS + scope/WBS; Gantt/baseline; effort-cost budget; RACI/timesheet; quality-test-defect; communication/minutes; risk register; procurement; change log; closure/lessons learned.</v>
      </c>
      <c r="M953" t="str">
        <f>'Huong dan giao do an'!$B$33</f>
        <v>Tuần 1: 07.09–13.09.2026; Tuần 2: 14.09–20.09.2026; Tuần 3: 21.09–27.09.2026; Tuần 4: 28.09–04.10.2026; Tuần 5: 05.10–11.10.2026; Tuần 6: 12.10–18.10.2026; Tuần 7: 19.10–25.10.2026; Tuần 8: 26.10–01.11.2026.</v>
      </c>
      <c r="N9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3" s="17" t="str">
        <f t="shared" si="14"/>
        <v>Còn trống</v>
      </c>
    </row>
    <row r="954" spans="1:16" x14ac:dyDescent="0.3">
      <c r="A954">
        <v>953</v>
      </c>
      <c r="B954" t="s">
        <v>2086</v>
      </c>
      <c r="C954" t="s">
        <v>2219</v>
      </c>
      <c r="D954" t="s">
        <v>2220</v>
      </c>
      <c r="E954" t="s">
        <v>26</v>
      </c>
      <c r="F954" t="s">
        <v>2099</v>
      </c>
      <c r="G954" t="s">
        <v>2133</v>
      </c>
      <c r="H954" t="str">
        <f>'Huong dan giao do an'!$B$14</f>
        <v>5 SV (vai trò chính): 1 PM/Scrum Master kiêm Integration; 2 BA/PO; 3 UI-UX + Frontend; 4 Backend/API + DevOps; 5 Database + QA/Tester. Mỗi SV có nhiệm vụ phụ và minh chứng cá nhân.</v>
      </c>
      <c r="I954" t="s">
        <v>22</v>
      </c>
      <c r="J954" t="s">
        <v>2091</v>
      </c>
      <c r="K954" t="str">
        <f>IF(I954="Trung bình",'Huong dan giao do an'!$B$8,IF(I954="Khá",'Huong dan giao do an'!$B$9,'Huong dan giao do an'!$B$10))</f>
        <v>Tối thiểu 4 actor; 10-14 use case; 8-12 bảng; 3 quy trình lõi; phân quyền chi tiết; 2 báo cáo; tích hợp 1 dịch vụ; &gt;=35 test case; CI/CD hoặc deploy cloud.</v>
      </c>
      <c r="L954" t="str">
        <f>'Huong dan giao do an'!$B$31</f>
        <v>Bắt buộc: Charter/PMP; SRS + scope/WBS; Gantt/baseline; effort-cost budget; RACI/timesheet; quality-test-defect; communication/minutes; risk register; procurement; change log; closure/lessons learned.</v>
      </c>
      <c r="M954" t="str">
        <f>'Huong dan giao do an'!$B$33</f>
        <v>Tuần 1: 07.09–13.09.2026; Tuần 2: 14.09–20.09.2026; Tuần 3: 21.09–27.09.2026; Tuần 4: 28.09–04.10.2026; Tuần 5: 05.10–11.10.2026; Tuần 6: 12.10–18.10.2026; Tuần 7: 19.10–25.10.2026; Tuần 8: 26.10–01.11.2026.</v>
      </c>
      <c r="N9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4" s="17" t="str">
        <f t="shared" si="14"/>
        <v>Còn trống</v>
      </c>
    </row>
    <row r="955" spans="1:16" x14ac:dyDescent="0.3">
      <c r="A955">
        <v>954</v>
      </c>
      <c r="B955" t="s">
        <v>2086</v>
      </c>
      <c r="C955" t="s">
        <v>2221</v>
      </c>
      <c r="D955" t="s">
        <v>2222</v>
      </c>
      <c r="E955" t="s">
        <v>33</v>
      </c>
      <c r="F955" t="s">
        <v>2104</v>
      </c>
      <c r="G955" t="s">
        <v>2136</v>
      </c>
      <c r="H955" t="str">
        <f>'Huong dan giao do an'!$B$14</f>
        <v>5 SV (vai trò chính): 1 PM/Scrum Master kiêm Integration; 2 BA/PO; 3 UI-UX + Frontend; 4 Backend/API + DevOps; 5 Database + QA/Tester. Mỗi SV có nhiệm vụ phụ và minh chứng cá nhân.</v>
      </c>
      <c r="I955" t="s">
        <v>29</v>
      </c>
      <c r="J955" t="s">
        <v>2096</v>
      </c>
      <c r="K955" t="str">
        <f>IF(I955="Trung bình",'Huong dan giao do an'!$B$8,IF(I955="Khá",'Huong dan giao do an'!$B$9,'Huong dan giao do an'!$B$10))</f>
        <v>Tối thiểu 5 actor; 14-18 use case; 10-15 bảng; 4 quy trình; tích hợp ngoài/realtime hoặc xử lý nâng cao; 3 báo cáo; &gt;=45 test case; logging, backup và deploy.</v>
      </c>
      <c r="L955" t="str">
        <f>'Huong dan giao do an'!$B$31</f>
        <v>Bắt buộc: Charter/PMP; SRS + scope/WBS; Gantt/baseline; effort-cost budget; RACI/timesheet; quality-test-defect; communication/minutes; risk register; procurement; change log; closure/lessons learned.</v>
      </c>
      <c r="M955" t="str">
        <f>'Huong dan giao do an'!$B$33</f>
        <v>Tuần 1: 07.09–13.09.2026; Tuần 2: 14.09–20.09.2026; Tuần 3: 21.09–27.09.2026; Tuần 4: 28.09–04.10.2026; Tuần 5: 05.10–11.10.2026; Tuần 6: 12.10–18.10.2026; Tuần 7: 19.10–25.10.2026; Tuần 8: 26.10–01.11.2026.</v>
      </c>
      <c r="N9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5" s="17" t="str">
        <f t="shared" si="14"/>
        <v>Còn trống</v>
      </c>
    </row>
    <row r="956" spans="1:16" x14ac:dyDescent="0.3">
      <c r="A956">
        <v>955</v>
      </c>
      <c r="B956" t="s">
        <v>2086</v>
      </c>
      <c r="C956" t="s">
        <v>2223</v>
      </c>
      <c r="D956" t="s">
        <v>2224</v>
      </c>
      <c r="E956" t="s">
        <v>40</v>
      </c>
      <c r="F956" t="s">
        <v>2108</v>
      </c>
      <c r="G956" t="s">
        <v>2139</v>
      </c>
      <c r="H956" t="str">
        <f>'Huong dan giao do an'!$B$14</f>
        <v>5 SV (vai trò chính): 1 PM/Scrum Master kiêm Integration; 2 BA/PO; 3 UI-UX + Frontend; 4 Backend/API + DevOps; 5 Database + QA/Tester. Mỗi SV có nhiệm vụ phụ và minh chứng cá nhân.</v>
      </c>
      <c r="I956" t="s">
        <v>36</v>
      </c>
      <c r="J956" t="s">
        <v>2101</v>
      </c>
      <c r="K956" t="str">
        <f>IF(I956="Trung bình",'Huong dan giao do an'!$B$8,IF(I956="Khá",'Huong dan giao do an'!$B$9,'Huong dan giao do an'!$B$10))</f>
        <v>Tối thiểu 3 actor; 8-10 use case; 6-8 bảng dữ liệu; 2 quy trình lõi; đăng nhập/RBAC; 1 dashboard; 1 báo cáo; &gt;=25 test case; triển khai bản demo.</v>
      </c>
      <c r="L956" t="str">
        <f>'Huong dan giao do an'!$B$31</f>
        <v>Bắt buộc: Charter/PMP; SRS + scope/WBS; Gantt/baseline; effort-cost budget; RACI/timesheet; quality-test-defect; communication/minutes; risk register; procurement; change log; closure/lessons learned.</v>
      </c>
      <c r="M956" t="str">
        <f>'Huong dan giao do an'!$B$33</f>
        <v>Tuần 1: 07.09–13.09.2026; Tuần 2: 14.09–20.09.2026; Tuần 3: 21.09–27.09.2026; Tuần 4: 28.09–04.10.2026; Tuần 5: 05.10–11.10.2026; Tuần 6: 12.10–18.10.2026; Tuần 7: 19.10–25.10.2026; Tuần 8: 26.10–01.11.2026.</v>
      </c>
      <c r="N9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6" s="17" t="str">
        <f t="shared" si="14"/>
        <v>Còn trống</v>
      </c>
    </row>
    <row r="957" spans="1:16" x14ac:dyDescent="0.3">
      <c r="A957">
        <v>956</v>
      </c>
      <c r="B957" t="s">
        <v>2086</v>
      </c>
      <c r="C957" t="s">
        <v>2225</v>
      </c>
      <c r="D957" t="s">
        <v>2226</v>
      </c>
      <c r="E957" t="s">
        <v>45</v>
      </c>
      <c r="F957" t="s">
        <v>2089</v>
      </c>
      <c r="G957" t="s">
        <v>2142</v>
      </c>
      <c r="H957" t="str">
        <f>'Huong dan giao do an'!$B$14</f>
        <v>5 SV (vai trò chính): 1 PM/Scrum Master kiêm Integration; 2 BA/PO; 3 UI-UX + Frontend; 4 Backend/API + DevOps; 5 Database + QA/Tester. Mỗi SV có nhiệm vụ phụ và minh chứng cá nhân.</v>
      </c>
      <c r="I957" t="s">
        <v>22</v>
      </c>
      <c r="J957" t="s">
        <v>2091</v>
      </c>
      <c r="K957" t="str">
        <f>IF(I957="Trung bình",'Huong dan giao do an'!$B$8,IF(I957="Khá",'Huong dan giao do an'!$B$9,'Huong dan giao do an'!$B$10))</f>
        <v>Tối thiểu 4 actor; 10-14 use case; 8-12 bảng; 3 quy trình lõi; phân quyền chi tiết; 2 báo cáo; tích hợp 1 dịch vụ; &gt;=35 test case; CI/CD hoặc deploy cloud.</v>
      </c>
      <c r="L957" t="str">
        <f>'Huong dan giao do an'!$B$31</f>
        <v>Bắt buộc: Charter/PMP; SRS + scope/WBS; Gantt/baseline; effort-cost budget; RACI/timesheet; quality-test-defect; communication/minutes; risk register; procurement; change log; closure/lessons learned.</v>
      </c>
      <c r="M957" t="str">
        <f>'Huong dan giao do an'!$B$33</f>
        <v>Tuần 1: 07.09–13.09.2026; Tuần 2: 14.09–20.09.2026; Tuần 3: 21.09–27.09.2026; Tuần 4: 28.09–04.10.2026; Tuần 5: 05.10–11.10.2026; Tuần 6: 12.10–18.10.2026; Tuần 7: 19.10–25.10.2026; Tuần 8: 26.10–01.11.2026.</v>
      </c>
      <c r="N9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7" s="17" t="str">
        <f t="shared" si="14"/>
        <v>Còn trống</v>
      </c>
    </row>
    <row r="958" spans="1:16" x14ac:dyDescent="0.3">
      <c r="A958">
        <v>957</v>
      </c>
      <c r="B958" t="s">
        <v>2086</v>
      </c>
      <c r="C958" t="s">
        <v>2227</v>
      </c>
      <c r="D958" t="s">
        <v>2228</v>
      </c>
      <c r="E958" t="s">
        <v>19</v>
      </c>
      <c r="F958" t="s">
        <v>2094</v>
      </c>
      <c r="G958" t="s">
        <v>2145</v>
      </c>
      <c r="H958" t="str">
        <f>'Huong dan giao do an'!$B$14</f>
        <v>5 SV (vai trò chính): 1 PM/Scrum Master kiêm Integration; 2 BA/PO; 3 UI-UX + Frontend; 4 Backend/API + DevOps; 5 Database + QA/Tester. Mỗi SV có nhiệm vụ phụ và minh chứng cá nhân.</v>
      </c>
      <c r="I958" t="s">
        <v>29</v>
      </c>
      <c r="J958" t="s">
        <v>2096</v>
      </c>
      <c r="K958" t="str">
        <f>IF(I958="Trung bình",'Huong dan giao do an'!$B$8,IF(I958="Khá",'Huong dan giao do an'!$B$9,'Huong dan giao do an'!$B$10))</f>
        <v>Tối thiểu 5 actor; 14-18 use case; 10-15 bảng; 4 quy trình; tích hợp ngoài/realtime hoặc xử lý nâng cao; 3 báo cáo; &gt;=45 test case; logging, backup và deploy.</v>
      </c>
      <c r="L958" t="str">
        <f>'Huong dan giao do an'!$B$31</f>
        <v>Bắt buộc: Charter/PMP; SRS + scope/WBS; Gantt/baseline; effort-cost budget; RACI/timesheet; quality-test-defect; communication/minutes; risk register; procurement; change log; closure/lessons learned.</v>
      </c>
      <c r="M958" t="str">
        <f>'Huong dan giao do an'!$B$33</f>
        <v>Tuần 1: 07.09–13.09.2026; Tuần 2: 14.09–20.09.2026; Tuần 3: 21.09–27.09.2026; Tuần 4: 28.09–04.10.2026; Tuần 5: 05.10–11.10.2026; Tuần 6: 12.10–18.10.2026; Tuần 7: 19.10–25.10.2026; Tuần 8: 26.10–01.11.2026.</v>
      </c>
      <c r="N9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8" s="17" t="str">
        <f t="shared" si="14"/>
        <v>Còn trống</v>
      </c>
    </row>
    <row r="959" spans="1:16" x14ac:dyDescent="0.3">
      <c r="A959">
        <v>958</v>
      </c>
      <c r="B959" t="s">
        <v>2086</v>
      </c>
      <c r="C959" t="s">
        <v>2229</v>
      </c>
      <c r="D959" t="s">
        <v>2230</v>
      </c>
      <c r="E959" t="s">
        <v>26</v>
      </c>
      <c r="F959" t="s">
        <v>2099</v>
      </c>
      <c r="G959" t="s">
        <v>2148</v>
      </c>
      <c r="H959" t="str">
        <f>'Huong dan giao do an'!$B$14</f>
        <v>5 SV (vai trò chính): 1 PM/Scrum Master kiêm Integration; 2 BA/PO; 3 UI-UX + Frontend; 4 Backend/API + DevOps; 5 Database + QA/Tester. Mỗi SV có nhiệm vụ phụ và minh chứng cá nhân.</v>
      </c>
      <c r="I959" t="s">
        <v>36</v>
      </c>
      <c r="J959" t="s">
        <v>2101</v>
      </c>
      <c r="K959" t="str">
        <f>IF(I959="Trung bình",'Huong dan giao do an'!$B$8,IF(I959="Khá",'Huong dan giao do an'!$B$9,'Huong dan giao do an'!$B$10))</f>
        <v>Tối thiểu 3 actor; 8-10 use case; 6-8 bảng dữ liệu; 2 quy trình lõi; đăng nhập/RBAC; 1 dashboard; 1 báo cáo; &gt;=25 test case; triển khai bản demo.</v>
      </c>
      <c r="L959" t="str">
        <f>'Huong dan giao do an'!$B$31</f>
        <v>Bắt buộc: Charter/PMP; SRS + scope/WBS; Gantt/baseline; effort-cost budget; RACI/timesheet; quality-test-defect; communication/minutes; risk register; procurement; change log; closure/lessons learned.</v>
      </c>
      <c r="M959" t="str">
        <f>'Huong dan giao do an'!$B$33</f>
        <v>Tuần 1: 07.09–13.09.2026; Tuần 2: 14.09–20.09.2026; Tuần 3: 21.09–27.09.2026; Tuần 4: 28.09–04.10.2026; Tuần 5: 05.10–11.10.2026; Tuần 6: 12.10–18.10.2026; Tuần 7: 19.10–25.10.2026; Tuần 8: 26.10–01.11.2026.</v>
      </c>
      <c r="N9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59" s="17" t="str">
        <f t="shared" si="14"/>
        <v>Còn trống</v>
      </c>
    </row>
    <row r="960" spans="1:16" x14ac:dyDescent="0.3">
      <c r="A960">
        <v>959</v>
      </c>
      <c r="B960" t="s">
        <v>2086</v>
      </c>
      <c r="C960" t="s">
        <v>2231</v>
      </c>
      <c r="D960" t="s">
        <v>2232</v>
      </c>
      <c r="E960" t="s">
        <v>33</v>
      </c>
      <c r="F960" t="s">
        <v>2104</v>
      </c>
      <c r="G960" t="s">
        <v>2151</v>
      </c>
      <c r="H960" t="str">
        <f>'Huong dan giao do an'!$B$14</f>
        <v>5 SV (vai trò chính): 1 PM/Scrum Master kiêm Integration; 2 BA/PO; 3 UI-UX + Frontend; 4 Backend/API + DevOps; 5 Database + QA/Tester. Mỗi SV có nhiệm vụ phụ và minh chứng cá nhân.</v>
      </c>
      <c r="I960" t="s">
        <v>22</v>
      </c>
      <c r="J960" t="s">
        <v>2091</v>
      </c>
      <c r="K960" t="str">
        <f>IF(I960="Trung bình",'Huong dan giao do an'!$B$8,IF(I960="Khá",'Huong dan giao do an'!$B$9,'Huong dan giao do an'!$B$10))</f>
        <v>Tối thiểu 4 actor; 10-14 use case; 8-12 bảng; 3 quy trình lõi; phân quyền chi tiết; 2 báo cáo; tích hợp 1 dịch vụ; &gt;=35 test case; CI/CD hoặc deploy cloud.</v>
      </c>
      <c r="L960" t="str">
        <f>'Huong dan giao do an'!$B$31</f>
        <v>Bắt buộc: Charter/PMP; SRS + scope/WBS; Gantt/baseline; effort-cost budget; RACI/timesheet; quality-test-defect; communication/minutes; risk register; procurement; change log; closure/lessons learned.</v>
      </c>
      <c r="M960" t="str">
        <f>'Huong dan giao do an'!$B$33</f>
        <v>Tuần 1: 07.09–13.09.2026; Tuần 2: 14.09–20.09.2026; Tuần 3: 21.09–27.09.2026; Tuần 4: 28.09–04.10.2026; Tuần 5: 05.10–11.10.2026; Tuần 6: 12.10–18.10.2026; Tuần 7: 19.10–25.10.2026; Tuần 8: 26.10–01.11.2026.</v>
      </c>
      <c r="N9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0" s="17" t="str">
        <f t="shared" si="14"/>
        <v>Còn trống</v>
      </c>
    </row>
    <row r="961" spans="1:16" x14ac:dyDescent="0.3">
      <c r="A961">
        <v>960</v>
      </c>
      <c r="B961" t="s">
        <v>2086</v>
      </c>
      <c r="C961" t="s">
        <v>2233</v>
      </c>
      <c r="D961" t="s">
        <v>2234</v>
      </c>
      <c r="E961" t="s">
        <v>40</v>
      </c>
      <c r="F961" t="s">
        <v>2108</v>
      </c>
      <c r="G961" t="s">
        <v>2154</v>
      </c>
      <c r="H961" t="str">
        <f>'Huong dan giao do an'!$B$14</f>
        <v>5 SV (vai trò chính): 1 PM/Scrum Master kiêm Integration; 2 BA/PO; 3 UI-UX + Frontend; 4 Backend/API + DevOps; 5 Database + QA/Tester. Mỗi SV có nhiệm vụ phụ và minh chứng cá nhân.</v>
      </c>
      <c r="I961" t="s">
        <v>29</v>
      </c>
      <c r="J961" t="s">
        <v>2096</v>
      </c>
      <c r="K961" t="str">
        <f>IF(I961="Trung bình",'Huong dan giao do an'!$B$8,IF(I961="Khá",'Huong dan giao do an'!$B$9,'Huong dan giao do an'!$B$10))</f>
        <v>Tối thiểu 5 actor; 14-18 use case; 10-15 bảng; 4 quy trình; tích hợp ngoài/realtime hoặc xử lý nâng cao; 3 báo cáo; &gt;=45 test case; logging, backup và deploy.</v>
      </c>
      <c r="L961" t="str">
        <f>'Huong dan giao do an'!$B$31</f>
        <v>Bắt buộc: Charter/PMP; SRS + scope/WBS; Gantt/baseline; effort-cost budget; RACI/timesheet; quality-test-defect; communication/minutes; risk register; procurement; change log; closure/lessons learned.</v>
      </c>
      <c r="M961" t="str">
        <f>'Huong dan giao do an'!$B$33</f>
        <v>Tuần 1: 07.09–13.09.2026; Tuần 2: 14.09–20.09.2026; Tuần 3: 21.09–27.09.2026; Tuần 4: 28.09–04.10.2026; Tuần 5: 05.10–11.10.2026; Tuần 6: 12.10–18.10.2026; Tuần 7: 19.10–25.10.2026; Tuần 8: 26.10–01.11.2026.</v>
      </c>
      <c r="N9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1" s="17" t="str">
        <f t="shared" si="14"/>
        <v>Còn trống</v>
      </c>
    </row>
    <row r="962" spans="1:16" x14ac:dyDescent="0.3">
      <c r="A962">
        <v>961</v>
      </c>
      <c r="B962" t="s">
        <v>2086</v>
      </c>
      <c r="C962" t="s">
        <v>2235</v>
      </c>
      <c r="D962" t="s">
        <v>2236</v>
      </c>
      <c r="E962" t="s">
        <v>45</v>
      </c>
      <c r="F962" t="s">
        <v>2089</v>
      </c>
      <c r="G962" t="s">
        <v>2090</v>
      </c>
      <c r="H962" t="str">
        <f>'Huong dan giao do an'!$B$14</f>
        <v>5 SV (vai trò chính): 1 PM/Scrum Master kiêm Integration; 2 BA/PO; 3 UI-UX + Frontend; 4 Backend/API + DevOps; 5 Database + QA/Tester. Mỗi SV có nhiệm vụ phụ và minh chứng cá nhân.</v>
      </c>
      <c r="I962" t="s">
        <v>22</v>
      </c>
      <c r="J962" t="s">
        <v>2091</v>
      </c>
      <c r="K962" t="str">
        <f>IF(I962="Trung bình",'Huong dan giao do an'!$B$8,IF(I962="Khá",'Huong dan giao do an'!$B$9,'Huong dan giao do an'!$B$10))</f>
        <v>Tối thiểu 4 actor; 10-14 use case; 8-12 bảng; 3 quy trình lõi; phân quyền chi tiết; 2 báo cáo; tích hợp 1 dịch vụ; &gt;=35 test case; CI/CD hoặc deploy cloud.</v>
      </c>
      <c r="L962" t="str">
        <f>'Huong dan giao do an'!$B$31</f>
        <v>Bắt buộc: Charter/PMP; SRS + scope/WBS; Gantt/baseline; effort-cost budget; RACI/timesheet; quality-test-defect; communication/minutes; risk register; procurement; change log; closure/lessons learned.</v>
      </c>
      <c r="M962" t="str">
        <f>'Huong dan giao do an'!$B$33</f>
        <v>Tuần 1: 07.09–13.09.2026; Tuần 2: 14.09–20.09.2026; Tuần 3: 21.09–27.09.2026; Tuần 4: 28.09–04.10.2026; Tuần 5: 05.10–11.10.2026; Tuần 6: 12.10–18.10.2026; Tuần 7: 19.10–25.10.2026; Tuần 8: 26.10–01.11.2026.</v>
      </c>
      <c r="N9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2" s="17" t="str">
        <f t="shared" si="14"/>
        <v>Còn trống</v>
      </c>
    </row>
    <row r="963" spans="1:16" x14ac:dyDescent="0.3">
      <c r="A963">
        <v>962</v>
      </c>
      <c r="B963" t="s">
        <v>2086</v>
      </c>
      <c r="C963" t="s">
        <v>2237</v>
      </c>
      <c r="D963" t="s">
        <v>2238</v>
      </c>
      <c r="E963" t="s">
        <v>19</v>
      </c>
      <c r="F963" t="s">
        <v>2094</v>
      </c>
      <c r="G963" t="s">
        <v>2095</v>
      </c>
      <c r="H963" t="str">
        <f>'Huong dan giao do an'!$B$14</f>
        <v>5 SV (vai trò chính): 1 PM/Scrum Master kiêm Integration; 2 BA/PO; 3 UI-UX + Frontend; 4 Backend/API + DevOps; 5 Database + QA/Tester. Mỗi SV có nhiệm vụ phụ và minh chứng cá nhân.</v>
      </c>
      <c r="I963" t="s">
        <v>29</v>
      </c>
      <c r="J963" t="s">
        <v>2096</v>
      </c>
      <c r="K963" t="str">
        <f>IF(I963="Trung bình",'Huong dan giao do an'!$B$8,IF(I963="Khá",'Huong dan giao do an'!$B$9,'Huong dan giao do an'!$B$10))</f>
        <v>Tối thiểu 5 actor; 14-18 use case; 10-15 bảng; 4 quy trình; tích hợp ngoài/realtime hoặc xử lý nâng cao; 3 báo cáo; &gt;=45 test case; logging, backup và deploy.</v>
      </c>
      <c r="L963" t="str">
        <f>'Huong dan giao do an'!$B$31</f>
        <v>Bắt buộc: Charter/PMP; SRS + scope/WBS; Gantt/baseline; effort-cost budget; RACI/timesheet; quality-test-defect; communication/minutes; risk register; procurement; change log; closure/lessons learned.</v>
      </c>
      <c r="M963" t="str">
        <f>'Huong dan giao do an'!$B$33</f>
        <v>Tuần 1: 07.09–13.09.2026; Tuần 2: 14.09–20.09.2026; Tuần 3: 21.09–27.09.2026; Tuần 4: 28.09–04.10.2026; Tuần 5: 05.10–11.10.2026; Tuần 6: 12.10–18.10.2026; Tuần 7: 19.10–25.10.2026; Tuần 8: 26.10–01.11.2026.</v>
      </c>
      <c r="N9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3" s="17" t="str">
        <f t="shared" ref="P963:P1026" si="15">IF(O963="","Còn trống","Đã đăng ký")</f>
        <v>Còn trống</v>
      </c>
    </row>
    <row r="964" spans="1:16" x14ac:dyDescent="0.3">
      <c r="A964">
        <v>963</v>
      </c>
      <c r="B964" t="s">
        <v>2086</v>
      </c>
      <c r="C964" t="s">
        <v>2239</v>
      </c>
      <c r="D964" t="s">
        <v>2240</v>
      </c>
      <c r="E964" t="s">
        <v>26</v>
      </c>
      <c r="F964" t="s">
        <v>2099</v>
      </c>
      <c r="G964" t="s">
        <v>2100</v>
      </c>
      <c r="H964" t="str">
        <f>'Huong dan giao do an'!$B$14</f>
        <v>5 SV (vai trò chính): 1 PM/Scrum Master kiêm Integration; 2 BA/PO; 3 UI-UX + Frontend; 4 Backend/API + DevOps; 5 Database + QA/Tester. Mỗi SV có nhiệm vụ phụ và minh chứng cá nhân.</v>
      </c>
      <c r="I964" t="s">
        <v>36</v>
      </c>
      <c r="J964" t="s">
        <v>2101</v>
      </c>
      <c r="K964" t="str">
        <f>IF(I964="Trung bình",'Huong dan giao do an'!$B$8,IF(I964="Khá",'Huong dan giao do an'!$B$9,'Huong dan giao do an'!$B$10))</f>
        <v>Tối thiểu 3 actor; 8-10 use case; 6-8 bảng dữ liệu; 2 quy trình lõi; đăng nhập/RBAC; 1 dashboard; 1 báo cáo; &gt;=25 test case; triển khai bản demo.</v>
      </c>
      <c r="L964" t="str">
        <f>'Huong dan giao do an'!$B$31</f>
        <v>Bắt buộc: Charter/PMP; SRS + scope/WBS; Gantt/baseline; effort-cost budget; RACI/timesheet; quality-test-defect; communication/minutes; risk register; procurement; change log; closure/lessons learned.</v>
      </c>
      <c r="M964" t="str">
        <f>'Huong dan giao do an'!$B$33</f>
        <v>Tuần 1: 07.09–13.09.2026; Tuần 2: 14.09–20.09.2026; Tuần 3: 21.09–27.09.2026; Tuần 4: 28.09–04.10.2026; Tuần 5: 05.10–11.10.2026; Tuần 6: 12.10–18.10.2026; Tuần 7: 19.10–25.10.2026; Tuần 8: 26.10–01.11.2026.</v>
      </c>
      <c r="N9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4" s="17" t="str">
        <f t="shared" si="15"/>
        <v>Còn trống</v>
      </c>
    </row>
    <row r="965" spans="1:16" x14ac:dyDescent="0.3">
      <c r="A965">
        <v>964</v>
      </c>
      <c r="B965" t="s">
        <v>2086</v>
      </c>
      <c r="C965" t="s">
        <v>2241</v>
      </c>
      <c r="D965" t="s">
        <v>2242</v>
      </c>
      <c r="E965" t="s">
        <v>33</v>
      </c>
      <c r="F965" t="s">
        <v>2104</v>
      </c>
      <c r="G965" t="s">
        <v>2105</v>
      </c>
      <c r="H965" t="str">
        <f>'Huong dan giao do an'!$B$14</f>
        <v>5 SV (vai trò chính): 1 PM/Scrum Master kiêm Integration; 2 BA/PO; 3 UI-UX + Frontend; 4 Backend/API + DevOps; 5 Database + QA/Tester. Mỗi SV có nhiệm vụ phụ và minh chứng cá nhân.</v>
      </c>
      <c r="I965" t="s">
        <v>22</v>
      </c>
      <c r="J965" t="s">
        <v>2091</v>
      </c>
      <c r="K965" t="str">
        <f>IF(I965="Trung bình",'Huong dan giao do an'!$B$8,IF(I965="Khá",'Huong dan giao do an'!$B$9,'Huong dan giao do an'!$B$10))</f>
        <v>Tối thiểu 4 actor; 10-14 use case; 8-12 bảng; 3 quy trình lõi; phân quyền chi tiết; 2 báo cáo; tích hợp 1 dịch vụ; &gt;=35 test case; CI/CD hoặc deploy cloud.</v>
      </c>
      <c r="L965" t="str">
        <f>'Huong dan giao do an'!$B$31</f>
        <v>Bắt buộc: Charter/PMP; SRS + scope/WBS; Gantt/baseline; effort-cost budget; RACI/timesheet; quality-test-defect; communication/minutes; risk register; procurement; change log; closure/lessons learned.</v>
      </c>
      <c r="M965" t="str">
        <f>'Huong dan giao do an'!$B$33</f>
        <v>Tuần 1: 07.09–13.09.2026; Tuần 2: 14.09–20.09.2026; Tuần 3: 21.09–27.09.2026; Tuần 4: 28.09–04.10.2026; Tuần 5: 05.10–11.10.2026; Tuần 6: 12.10–18.10.2026; Tuần 7: 19.10–25.10.2026; Tuần 8: 26.10–01.11.2026.</v>
      </c>
      <c r="N9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5" s="17" t="str">
        <f t="shared" si="15"/>
        <v>Còn trống</v>
      </c>
    </row>
    <row r="966" spans="1:16" x14ac:dyDescent="0.3">
      <c r="A966">
        <v>965</v>
      </c>
      <c r="B966" t="s">
        <v>2086</v>
      </c>
      <c r="C966" t="s">
        <v>2243</v>
      </c>
      <c r="D966" t="s">
        <v>2244</v>
      </c>
      <c r="E966" t="s">
        <v>40</v>
      </c>
      <c r="F966" t="s">
        <v>2108</v>
      </c>
      <c r="G966" t="s">
        <v>2109</v>
      </c>
      <c r="H966" t="str">
        <f>'Huong dan giao do an'!$B$14</f>
        <v>5 SV (vai trò chính): 1 PM/Scrum Master kiêm Integration; 2 BA/PO; 3 UI-UX + Frontend; 4 Backend/API + DevOps; 5 Database + QA/Tester. Mỗi SV có nhiệm vụ phụ và minh chứng cá nhân.</v>
      </c>
      <c r="I966" t="s">
        <v>29</v>
      </c>
      <c r="J966" t="s">
        <v>2096</v>
      </c>
      <c r="K966" t="str">
        <f>IF(I966="Trung bình",'Huong dan giao do an'!$B$8,IF(I966="Khá",'Huong dan giao do an'!$B$9,'Huong dan giao do an'!$B$10))</f>
        <v>Tối thiểu 5 actor; 14-18 use case; 10-15 bảng; 4 quy trình; tích hợp ngoài/realtime hoặc xử lý nâng cao; 3 báo cáo; &gt;=45 test case; logging, backup và deploy.</v>
      </c>
      <c r="L966" t="str">
        <f>'Huong dan giao do an'!$B$31</f>
        <v>Bắt buộc: Charter/PMP; SRS + scope/WBS; Gantt/baseline; effort-cost budget; RACI/timesheet; quality-test-defect; communication/minutes; risk register; procurement; change log; closure/lessons learned.</v>
      </c>
      <c r="M966" t="str">
        <f>'Huong dan giao do an'!$B$33</f>
        <v>Tuần 1: 07.09–13.09.2026; Tuần 2: 14.09–20.09.2026; Tuần 3: 21.09–27.09.2026; Tuần 4: 28.09–04.10.2026; Tuần 5: 05.10–11.10.2026; Tuần 6: 12.10–18.10.2026; Tuần 7: 19.10–25.10.2026; Tuần 8: 26.10–01.11.2026.</v>
      </c>
      <c r="N9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6" s="17" t="str">
        <f t="shared" si="15"/>
        <v>Còn trống</v>
      </c>
    </row>
    <row r="967" spans="1:16" x14ac:dyDescent="0.3">
      <c r="A967">
        <v>966</v>
      </c>
      <c r="B967" t="s">
        <v>2086</v>
      </c>
      <c r="C967" t="s">
        <v>2245</v>
      </c>
      <c r="D967" t="s">
        <v>2246</v>
      </c>
      <c r="E967" t="s">
        <v>45</v>
      </c>
      <c r="F967" t="s">
        <v>2089</v>
      </c>
      <c r="G967" t="s">
        <v>2112</v>
      </c>
      <c r="H967" t="str">
        <f>'Huong dan giao do an'!$B$14</f>
        <v>5 SV (vai trò chính): 1 PM/Scrum Master kiêm Integration; 2 BA/PO; 3 UI-UX + Frontend; 4 Backend/API + DevOps; 5 Database + QA/Tester. Mỗi SV có nhiệm vụ phụ và minh chứng cá nhân.</v>
      </c>
      <c r="I967" t="s">
        <v>36</v>
      </c>
      <c r="J967" t="s">
        <v>2101</v>
      </c>
      <c r="K967" t="str">
        <f>IF(I967="Trung bình",'Huong dan giao do an'!$B$8,IF(I967="Khá",'Huong dan giao do an'!$B$9,'Huong dan giao do an'!$B$10))</f>
        <v>Tối thiểu 3 actor; 8-10 use case; 6-8 bảng dữ liệu; 2 quy trình lõi; đăng nhập/RBAC; 1 dashboard; 1 báo cáo; &gt;=25 test case; triển khai bản demo.</v>
      </c>
      <c r="L967" t="str">
        <f>'Huong dan giao do an'!$B$31</f>
        <v>Bắt buộc: Charter/PMP; SRS + scope/WBS; Gantt/baseline; effort-cost budget; RACI/timesheet; quality-test-defect; communication/minutes; risk register; procurement; change log; closure/lessons learned.</v>
      </c>
      <c r="M967" t="str">
        <f>'Huong dan giao do an'!$B$33</f>
        <v>Tuần 1: 07.09–13.09.2026; Tuần 2: 14.09–20.09.2026; Tuần 3: 21.09–27.09.2026; Tuần 4: 28.09–04.10.2026; Tuần 5: 05.10–11.10.2026; Tuần 6: 12.10–18.10.2026; Tuần 7: 19.10–25.10.2026; Tuần 8: 26.10–01.11.2026.</v>
      </c>
      <c r="N9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7" s="17" t="str">
        <f t="shared" si="15"/>
        <v>Còn trống</v>
      </c>
    </row>
    <row r="968" spans="1:16" x14ac:dyDescent="0.3">
      <c r="A968">
        <v>967</v>
      </c>
      <c r="B968" t="s">
        <v>2086</v>
      </c>
      <c r="C968" t="s">
        <v>2247</v>
      </c>
      <c r="D968" t="s">
        <v>2248</v>
      </c>
      <c r="E968" t="s">
        <v>19</v>
      </c>
      <c r="F968" t="s">
        <v>2094</v>
      </c>
      <c r="G968" t="s">
        <v>2115</v>
      </c>
      <c r="H968" t="str">
        <f>'Huong dan giao do an'!$B$14</f>
        <v>5 SV (vai trò chính): 1 PM/Scrum Master kiêm Integration; 2 BA/PO; 3 UI-UX + Frontend; 4 Backend/API + DevOps; 5 Database + QA/Tester. Mỗi SV có nhiệm vụ phụ và minh chứng cá nhân.</v>
      </c>
      <c r="I968" t="s">
        <v>22</v>
      </c>
      <c r="J968" t="s">
        <v>2091</v>
      </c>
      <c r="K968" t="str">
        <f>IF(I968="Trung bình",'Huong dan giao do an'!$B$8,IF(I968="Khá",'Huong dan giao do an'!$B$9,'Huong dan giao do an'!$B$10))</f>
        <v>Tối thiểu 4 actor; 10-14 use case; 8-12 bảng; 3 quy trình lõi; phân quyền chi tiết; 2 báo cáo; tích hợp 1 dịch vụ; &gt;=35 test case; CI/CD hoặc deploy cloud.</v>
      </c>
      <c r="L968" t="str">
        <f>'Huong dan giao do an'!$B$31</f>
        <v>Bắt buộc: Charter/PMP; SRS + scope/WBS; Gantt/baseline; effort-cost budget; RACI/timesheet; quality-test-defect; communication/minutes; risk register; procurement; change log; closure/lessons learned.</v>
      </c>
      <c r="M968" t="str">
        <f>'Huong dan giao do an'!$B$33</f>
        <v>Tuần 1: 07.09–13.09.2026; Tuần 2: 14.09–20.09.2026; Tuần 3: 21.09–27.09.2026; Tuần 4: 28.09–04.10.2026; Tuần 5: 05.10–11.10.2026; Tuần 6: 12.10–18.10.2026; Tuần 7: 19.10–25.10.2026; Tuần 8: 26.10–01.11.2026.</v>
      </c>
      <c r="N9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8" s="17" t="str">
        <f t="shared" si="15"/>
        <v>Còn trống</v>
      </c>
    </row>
    <row r="969" spans="1:16" x14ac:dyDescent="0.3">
      <c r="A969">
        <v>968</v>
      </c>
      <c r="B969" t="s">
        <v>2086</v>
      </c>
      <c r="C969" t="s">
        <v>2249</v>
      </c>
      <c r="D969" t="s">
        <v>2250</v>
      </c>
      <c r="E969" t="s">
        <v>26</v>
      </c>
      <c r="F969" t="s">
        <v>2099</v>
      </c>
      <c r="G969" t="s">
        <v>2118</v>
      </c>
      <c r="H969" t="str">
        <f>'Huong dan giao do an'!$B$14</f>
        <v>5 SV (vai trò chính): 1 PM/Scrum Master kiêm Integration; 2 BA/PO; 3 UI-UX + Frontend; 4 Backend/API + DevOps; 5 Database + QA/Tester. Mỗi SV có nhiệm vụ phụ và minh chứng cá nhân.</v>
      </c>
      <c r="I969" t="s">
        <v>29</v>
      </c>
      <c r="J969" t="s">
        <v>2096</v>
      </c>
      <c r="K969" t="str">
        <f>IF(I969="Trung bình",'Huong dan giao do an'!$B$8,IF(I969="Khá",'Huong dan giao do an'!$B$9,'Huong dan giao do an'!$B$10))</f>
        <v>Tối thiểu 5 actor; 14-18 use case; 10-15 bảng; 4 quy trình; tích hợp ngoài/realtime hoặc xử lý nâng cao; 3 báo cáo; &gt;=45 test case; logging, backup và deploy.</v>
      </c>
      <c r="L969" t="str">
        <f>'Huong dan giao do an'!$B$31</f>
        <v>Bắt buộc: Charter/PMP; SRS + scope/WBS; Gantt/baseline; effort-cost budget; RACI/timesheet; quality-test-defect; communication/minutes; risk register; procurement; change log; closure/lessons learned.</v>
      </c>
      <c r="M969" t="str">
        <f>'Huong dan giao do an'!$B$33</f>
        <v>Tuần 1: 07.09–13.09.2026; Tuần 2: 14.09–20.09.2026; Tuần 3: 21.09–27.09.2026; Tuần 4: 28.09–04.10.2026; Tuần 5: 05.10–11.10.2026; Tuần 6: 12.10–18.10.2026; Tuần 7: 19.10–25.10.2026; Tuần 8: 26.10–01.11.2026.</v>
      </c>
      <c r="N9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69" s="17" t="str">
        <f t="shared" si="15"/>
        <v>Còn trống</v>
      </c>
    </row>
    <row r="970" spans="1:16" x14ac:dyDescent="0.3">
      <c r="A970">
        <v>969</v>
      </c>
      <c r="B970" t="s">
        <v>2086</v>
      </c>
      <c r="C970" t="s">
        <v>2251</v>
      </c>
      <c r="D970" t="s">
        <v>2252</v>
      </c>
      <c r="E970" t="s">
        <v>33</v>
      </c>
      <c r="F970" t="s">
        <v>2104</v>
      </c>
      <c r="G970" t="s">
        <v>2121</v>
      </c>
      <c r="H970" t="str">
        <f>'Huong dan giao do an'!$B$14</f>
        <v>5 SV (vai trò chính): 1 PM/Scrum Master kiêm Integration; 2 BA/PO; 3 UI-UX + Frontend; 4 Backend/API + DevOps; 5 Database + QA/Tester. Mỗi SV có nhiệm vụ phụ và minh chứng cá nhân.</v>
      </c>
      <c r="I970" t="s">
        <v>36</v>
      </c>
      <c r="J970" t="s">
        <v>2101</v>
      </c>
      <c r="K970" t="str">
        <f>IF(I970="Trung bình",'Huong dan giao do an'!$B$8,IF(I970="Khá",'Huong dan giao do an'!$B$9,'Huong dan giao do an'!$B$10))</f>
        <v>Tối thiểu 3 actor; 8-10 use case; 6-8 bảng dữ liệu; 2 quy trình lõi; đăng nhập/RBAC; 1 dashboard; 1 báo cáo; &gt;=25 test case; triển khai bản demo.</v>
      </c>
      <c r="L970" t="str">
        <f>'Huong dan giao do an'!$B$31</f>
        <v>Bắt buộc: Charter/PMP; SRS + scope/WBS; Gantt/baseline; effort-cost budget; RACI/timesheet; quality-test-defect; communication/minutes; risk register; procurement; change log; closure/lessons learned.</v>
      </c>
      <c r="M970" t="str">
        <f>'Huong dan giao do an'!$B$33</f>
        <v>Tuần 1: 07.09–13.09.2026; Tuần 2: 14.09–20.09.2026; Tuần 3: 21.09–27.09.2026; Tuần 4: 28.09–04.10.2026; Tuần 5: 05.10–11.10.2026; Tuần 6: 12.10–18.10.2026; Tuần 7: 19.10–25.10.2026; Tuần 8: 26.10–01.11.2026.</v>
      </c>
      <c r="N9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0" s="17" t="str">
        <f t="shared" si="15"/>
        <v>Còn trống</v>
      </c>
    </row>
    <row r="971" spans="1:16" x14ac:dyDescent="0.3">
      <c r="A971">
        <v>970</v>
      </c>
      <c r="B971" t="s">
        <v>2086</v>
      </c>
      <c r="C971" t="s">
        <v>2253</v>
      </c>
      <c r="D971" t="s">
        <v>2254</v>
      </c>
      <c r="E971" t="s">
        <v>40</v>
      </c>
      <c r="F971" t="s">
        <v>2108</v>
      </c>
      <c r="G971" t="s">
        <v>2124</v>
      </c>
      <c r="H971" t="str">
        <f>'Huong dan giao do an'!$B$14</f>
        <v>5 SV (vai trò chính): 1 PM/Scrum Master kiêm Integration; 2 BA/PO; 3 UI-UX + Frontend; 4 Backend/API + DevOps; 5 Database + QA/Tester. Mỗi SV có nhiệm vụ phụ và minh chứng cá nhân.</v>
      </c>
      <c r="I971" t="s">
        <v>22</v>
      </c>
      <c r="J971" t="s">
        <v>2091</v>
      </c>
      <c r="K971" t="str">
        <f>IF(I971="Trung bình",'Huong dan giao do an'!$B$8,IF(I971="Khá",'Huong dan giao do an'!$B$9,'Huong dan giao do an'!$B$10))</f>
        <v>Tối thiểu 4 actor; 10-14 use case; 8-12 bảng; 3 quy trình lõi; phân quyền chi tiết; 2 báo cáo; tích hợp 1 dịch vụ; &gt;=35 test case; CI/CD hoặc deploy cloud.</v>
      </c>
      <c r="L971" t="str">
        <f>'Huong dan giao do an'!$B$31</f>
        <v>Bắt buộc: Charter/PMP; SRS + scope/WBS; Gantt/baseline; effort-cost budget; RACI/timesheet; quality-test-defect; communication/minutes; risk register; procurement; change log; closure/lessons learned.</v>
      </c>
      <c r="M971" t="str">
        <f>'Huong dan giao do an'!$B$33</f>
        <v>Tuần 1: 07.09–13.09.2026; Tuần 2: 14.09–20.09.2026; Tuần 3: 21.09–27.09.2026; Tuần 4: 28.09–04.10.2026; Tuần 5: 05.10–11.10.2026; Tuần 6: 12.10–18.10.2026; Tuần 7: 19.10–25.10.2026; Tuần 8: 26.10–01.11.2026.</v>
      </c>
      <c r="N9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1" s="17" t="str">
        <f t="shared" si="15"/>
        <v>Còn trống</v>
      </c>
    </row>
    <row r="972" spans="1:16" x14ac:dyDescent="0.3">
      <c r="A972">
        <v>971</v>
      </c>
      <c r="B972" t="s">
        <v>2086</v>
      </c>
      <c r="C972" t="s">
        <v>2255</v>
      </c>
      <c r="D972" t="s">
        <v>2256</v>
      </c>
      <c r="E972" t="s">
        <v>45</v>
      </c>
      <c r="F972" t="s">
        <v>2089</v>
      </c>
      <c r="G972" t="s">
        <v>2127</v>
      </c>
      <c r="H972" t="str">
        <f>'Huong dan giao do an'!$B$14</f>
        <v>5 SV (vai trò chính): 1 PM/Scrum Master kiêm Integration; 2 BA/PO; 3 UI-UX + Frontend; 4 Backend/API + DevOps; 5 Database + QA/Tester. Mỗi SV có nhiệm vụ phụ và minh chứng cá nhân.</v>
      </c>
      <c r="I972" t="s">
        <v>29</v>
      </c>
      <c r="J972" t="s">
        <v>2096</v>
      </c>
      <c r="K972" t="str">
        <f>IF(I972="Trung bình",'Huong dan giao do an'!$B$8,IF(I972="Khá",'Huong dan giao do an'!$B$9,'Huong dan giao do an'!$B$10))</f>
        <v>Tối thiểu 5 actor; 14-18 use case; 10-15 bảng; 4 quy trình; tích hợp ngoài/realtime hoặc xử lý nâng cao; 3 báo cáo; &gt;=45 test case; logging, backup và deploy.</v>
      </c>
      <c r="L972" t="str">
        <f>'Huong dan giao do an'!$B$31</f>
        <v>Bắt buộc: Charter/PMP; SRS + scope/WBS; Gantt/baseline; effort-cost budget; RACI/timesheet; quality-test-defect; communication/minutes; risk register; procurement; change log; closure/lessons learned.</v>
      </c>
      <c r="M972" t="str">
        <f>'Huong dan giao do an'!$B$33</f>
        <v>Tuần 1: 07.09–13.09.2026; Tuần 2: 14.09–20.09.2026; Tuần 3: 21.09–27.09.2026; Tuần 4: 28.09–04.10.2026; Tuần 5: 05.10–11.10.2026; Tuần 6: 12.10–18.10.2026; Tuần 7: 19.10–25.10.2026; Tuần 8: 26.10–01.11.2026.</v>
      </c>
      <c r="N9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2" s="17" t="str">
        <f t="shared" si="15"/>
        <v>Còn trống</v>
      </c>
    </row>
    <row r="973" spans="1:16" x14ac:dyDescent="0.3">
      <c r="A973">
        <v>972</v>
      </c>
      <c r="B973" t="s">
        <v>2086</v>
      </c>
      <c r="C973" t="s">
        <v>2257</v>
      </c>
      <c r="D973" t="s">
        <v>2258</v>
      </c>
      <c r="E973" t="s">
        <v>19</v>
      </c>
      <c r="F973" t="s">
        <v>2094</v>
      </c>
      <c r="G973" t="s">
        <v>2130</v>
      </c>
      <c r="H973" t="str">
        <f>'Huong dan giao do an'!$B$14</f>
        <v>5 SV (vai trò chính): 1 PM/Scrum Master kiêm Integration; 2 BA/PO; 3 UI-UX + Frontend; 4 Backend/API + DevOps; 5 Database + QA/Tester. Mỗi SV có nhiệm vụ phụ và minh chứng cá nhân.</v>
      </c>
      <c r="I973" t="s">
        <v>36</v>
      </c>
      <c r="J973" t="s">
        <v>2101</v>
      </c>
      <c r="K973" t="str">
        <f>IF(I973="Trung bình",'Huong dan giao do an'!$B$8,IF(I973="Khá",'Huong dan giao do an'!$B$9,'Huong dan giao do an'!$B$10))</f>
        <v>Tối thiểu 3 actor; 8-10 use case; 6-8 bảng dữ liệu; 2 quy trình lõi; đăng nhập/RBAC; 1 dashboard; 1 báo cáo; &gt;=25 test case; triển khai bản demo.</v>
      </c>
      <c r="L973" t="str">
        <f>'Huong dan giao do an'!$B$31</f>
        <v>Bắt buộc: Charter/PMP; SRS + scope/WBS; Gantt/baseline; effort-cost budget; RACI/timesheet; quality-test-defect; communication/minutes; risk register; procurement; change log; closure/lessons learned.</v>
      </c>
      <c r="M973" t="str">
        <f>'Huong dan giao do an'!$B$33</f>
        <v>Tuần 1: 07.09–13.09.2026; Tuần 2: 14.09–20.09.2026; Tuần 3: 21.09–27.09.2026; Tuần 4: 28.09–04.10.2026; Tuần 5: 05.10–11.10.2026; Tuần 6: 12.10–18.10.2026; Tuần 7: 19.10–25.10.2026; Tuần 8: 26.10–01.11.2026.</v>
      </c>
      <c r="N9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3" s="17" t="str">
        <f t="shared" si="15"/>
        <v>Còn trống</v>
      </c>
    </row>
    <row r="974" spans="1:16" x14ac:dyDescent="0.3">
      <c r="A974">
        <v>973</v>
      </c>
      <c r="B974" t="s">
        <v>2086</v>
      </c>
      <c r="C974" t="s">
        <v>2259</v>
      </c>
      <c r="D974" t="s">
        <v>2260</v>
      </c>
      <c r="E974" t="s">
        <v>26</v>
      </c>
      <c r="F974" t="s">
        <v>2099</v>
      </c>
      <c r="G974" t="s">
        <v>2133</v>
      </c>
      <c r="H974" t="str">
        <f>'Huong dan giao do an'!$B$14</f>
        <v>5 SV (vai trò chính): 1 PM/Scrum Master kiêm Integration; 2 BA/PO; 3 UI-UX + Frontend; 4 Backend/API + DevOps; 5 Database + QA/Tester. Mỗi SV có nhiệm vụ phụ và minh chứng cá nhân.</v>
      </c>
      <c r="I974" t="s">
        <v>22</v>
      </c>
      <c r="J974" t="s">
        <v>2091</v>
      </c>
      <c r="K974" t="str">
        <f>IF(I974="Trung bình",'Huong dan giao do an'!$B$8,IF(I974="Khá",'Huong dan giao do an'!$B$9,'Huong dan giao do an'!$B$10))</f>
        <v>Tối thiểu 4 actor; 10-14 use case; 8-12 bảng; 3 quy trình lõi; phân quyền chi tiết; 2 báo cáo; tích hợp 1 dịch vụ; &gt;=35 test case; CI/CD hoặc deploy cloud.</v>
      </c>
      <c r="L974" t="str">
        <f>'Huong dan giao do an'!$B$31</f>
        <v>Bắt buộc: Charter/PMP; SRS + scope/WBS; Gantt/baseline; effort-cost budget; RACI/timesheet; quality-test-defect; communication/minutes; risk register; procurement; change log; closure/lessons learned.</v>
      </c>
      <c r="M974" t="str">
        <f>'Huong dan giao do an'!$B$33</f>
        <v>Tuần 1: 07.09–13.09.2026; Tuần 2: 14.09–20.09.2026; Tuần 3: 21.09–27.09.2026; Tuần 4: 28.09–04.10.2026; Tuần 5: 05.10–11.10.2026; Tuần 6: 12.10–18.10.2026; Tuần 7: 19.10–25.10.2026; Tuần 8: 26.10–01.11.2026.</v>
      </c>
      <c r="N9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4" s="17" t="str">
        <f t="shared" si="15"/>
        <v>Còn trống</v>
      </c>
    </row>
    <row r="975" spans="1:16" x14ac:dyDescent="0.3">
      <c r="A975">
        <v>974</v>
      </c>
      <c r="B975" t="s">
        <v>2086</v>
      </c>
      <c r="C975" t="s">
        <v>2261</v>
      </c>
      <c r="D975" t="s">
        <v>2262</v>
      </c>
      <c r="E975" t="s">
        <v>33</v>
      </c>
      <c r="F975" t="s">
        <v>2104</v>
      </c>
      <c r="G975" t="s">
        <v>2136</v>
      </c>
      <c r="H975" t="str">
        <f>'Huong dan giao do an'!$B$14</f>
        <v>5 SV (vai trò chính): 1 PM/Scrum Master kiêm Integration; 2 BA/PO; 3 UI-UX + Frontend; 4 Backend/API + DevOps; 5 Database + QA/Tester. Mỗi SV có nhiệm vụ phụ và minh chứng cá nhân.</v>
      </c>
      <c r="I975" t="s">
        <v>29</v>
      </c>
      <c r="J975" t="s">
        <v>2096</v>
      </c>
      <c r="K975" t="str">
        <f>IF(I975="Trung bình",'Huong dan giao do an'!$B$8,IF(I975="Khá",'Huong dan giao do an'!$B$9,'Huong dan giao do an'!$B$10))</f>
        <v>Tối thiểu 5 actor; 14-18 use case; 10-15 bảng; 4 quy trình; tích hợp ngoài/realtime hoặc xử lý nâng cao; 3 báo cáo; &gt;=45 test case; logging, backup và deploy.</v>
      </c>
      <c r="L975" t="str">
        <f>'Huong dan giao do an'!$B$31</f>
        <v>Bắt buộc: Charter/PMP; SRS + scope/WBS; Gantt/baseline; effort-cost budget; RACI/timesheet; quality-test-defect; communication/minutes; risk register; procurement; change log; closure/lessons learned.</v>
      </c>
      <c r="M975" t="str">
        <f>'Huong dan giao do an'!$B$33</f>
        <v>Tuần 1: 07.09–13.09.2026; Tuần 2: 14.09–20.09.2026; Tuần 3: 21.09–27.09.2026; Tuần 4: 28.09–04.10.2026; Tuần 5: 05.10–11.10.2026; Tuần 6: 12.10–18.10.2026; Tuần 7: 19.10–25.10.2026; Tuần 8: 26.10–01.11.2026.</v>
      </c>
      <c r="N9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5" s="17" t="str">
        <f t="shared" si="15"/>
        <v>Còn trống</v>
      </c>
    </row>
    <row r="976" spans="1:16" x14ac:dyDescent="0.3">
      <c r="A976">
        <v>975</v>
      </c>
      <c r="B976" t="s">
        <v>2086</v>
      </c>
      <c r="C976" t="s">
        <v>2263</v>
      </c>
      <c r="D976" t="s">
        <v>2264</v>
      </c>
      <c r="E976" t="s">
        <v>40</v>
      </c>
      <c r="F976" t="s">
        <v>2108</v>
      </c>
      <c r="G976" t="s">
        <v>2139</v>
      </c>
      <c r="H976" t="str">
        <f>'Huong dan giao do an'!$B$14</f>
        <v>5 SV (vai trò chính): 1 PM/Scrum Master kiêm Integration; 2 BA/PO; 3 UI-UX + Frontend; 4 Backend/API + DevOps; 5 Database + QA/Tester. Mỗi SV có nhiệm vụ phụ và minh chứng cá nhân.</v>
      </c>
      <c r="I976" t="s">
        <v>36</v>
      </c>
      <c r="J976" t="s">
        <v>2101</v>
      </c>
      <c r="K976" t="str">
        <f>IF(I976="Trung bình",'Huong dan giao do an'!$B$8,IF(I976="Khá",'Huong dan giao do an'!$B$9,'Huong dan giao do an'!$B$10))</f>
        <v>Tối thiểu 3 actor; 8-10 use case; 6-8 bảng dữ liệu; 2 quy trình lõi; đăng nhập/RBAC; 1 dashboard; 1 báo cáo; &gt;=25 test case; triển khai bản demo.</v>
      </c>
      <c r="L976" t="str">
        <f>'Huong dan giao do an'!$B$31</f>
        <v>Bắt buộc: Charter/PMP; SRS + scope/WBS; Gantt/baseline; effort-cost budget; RACI/timesheet; quality-test-defect; communication/minutes; risk register; procurement; change log; closure/lessons learned.</v>
      </c>
      <c r="M976" t="str">
        <f>'Huong dan giao do an'!$B$33</f>
        <v>Tuần 1: 07.09–13.09.2026; Tuần 2: 14.09–20.09.2026; Tuần 3: 21.09–27.09.2026; Tuần 4: 28.09–04.10.2026; Tuần 5: 05.10–11.10.2026; Tuần 6: 12.10–18.10.2026; Tuần 7: 19.10–25.10.2026; Tuần 8: 26.10–01.11.2026.</v>
      </c>
      <c r="N9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6" s="17" t="str">
        <f t="shared" si="15"/>
        <v>Còn trống</v>
      </c>
    </row>
    <row r="977" spans="1:16" x14ac:dyDescent="0.3">
      <c r="A977">
        <v>976</v>
      </c>
      <c r="B977" t="s">
        <v>2086</v>
      </c>
      <c r="C977" t="s">
        <v>2265</v>
      </c>
      <c r="D977" t="s">
        <v>2266</v>
      </c>
      <c r="E977" t="s">
        <v>45</v>
      </c>
      <c r="F977" t="s">
        <v>2089</v>
      </c>
      <c r="G977" t="s">
        <v>2142</v>
      </c>
      <c r="H977" t="str">
        <f>'Huong dan giao do an'!$B$14</f>
        <v>5 SV (vai trò chính): 1 PM/Scrum Master kiêm Integration; 2 BA/PO; 3 UI-UX + Frontend; 4 Backend/API + DevOps; 5 Database + QA/Tester. Mỗi SV có nhiệm vụ phụ và minh chứng cá nhân.</v>
      </c>
      <c r="I977" t="s">
        <v>22</v>
      </c>
      <c r="J977" t="s">
        <v>2091</v>
      </c>
      <c r="K977" t="str">
        <f>IF(I977="Trung bình",'Huong dan giao do an'!$B$8,IF(I977="Khá",'Huong dan giao do an'!$B$9,'Huong dan giao do an'!$B$10))</f>
        <v>Tối thiểu 4 actor; 10-14 use case; 8-12 bảng; 3 quy trình lõi; phân quyền chi tiết; 2 báo cáo; tích hợp 1 dịch vụ; &gt;=35 test case; CI/CD hoặc deploy cloud.</v>
      </c>
      <c r="L977" t="str">
        <f>'Huong dan giao do an'!$B$31</f>
        <v>Bắt buộc: Charter/PMP; SRS + scope/WBS; Gantt/baseline; effort-cost budget; RACI/timesheet; quality-test-defect; communication/minutes; risk register; procurement; change log; closure/lessons learned.</v>
      </c>
      <c r="M977" t="str">
        <f>'Huong dan giao do an'!$B$33</f>
        <v>Tuần 1: 07.09–13.09.2026; Tuần 2: 14.09–20.09.2026; Tuần 3: 21.09–27.09.2026; Tuần 4: 28.09–04.10.2026; Tuần 5: 05.10–11.10.2026; Tuần 6: 12.10–18.10.2026; Tuần 7: 19.10–25.10.2026; Tuần 8: 26.10–01.11.2026.</v>
      </c>
      <c r="N9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7" s="17" t="str">
        <f t="shared" si="15"/>
        <v>Còn trống</v>
      </c>
    </row>
    <row r="978" spans="1:16" x14ac:dyDescent="0.3">
      <c r="A978">
        <v>977</v>
      </c>
      <c r="B978" t="s">
        <v>2086</v>
      </c>
      <c r="C978" t="s">
        <v>2267</v>
      </c>
      <c r="D978" t="s">
        <v>2268</v>
      </c>
      <c r="E978" t="s">
        <v>19</v>
      </c>
      <c r="F978" t="s">
        <v>2094</v>
      </c>
      <c r="G978" t="s">
        <v>2145</v>
      </c>
      <c r="H978" t="str">
        <f>'Huong dan giao do an'!$B$14</f>
        <v>5 SV (vai trò chính): 1 PM/Scrum Master kiêm Integration; 2 BA/PO; 3 UI-UX + Frontend; 4 Backend/API + DevOps; 5 Database + QA/Tester. Mỗi SV có nhiệm vụ phụ và minh chứng cá nhân.</v>
      </c>
      <c r="I978" t="s">
        <v>29</v>
      </c>
      <c r="J978" t="s">
        <v>2096</v>
      </c>
      <c r="K978" t="str">
        <f>IF(I978="Trung bình",'Huong dan giao do an'!$B$8,IF(I978="Khá",'Huong dan giao do an'!$B$9,'Huong dan giao do an'!$B$10))</f>
        <v>Tối thiểu 5 actor; 14-18 use case; 10-15 bảng; 4 quy trình; tích hợp ngoài/realtime hoặc xử lý nâng cao; 3 báo cáo; &gt;=45 test case; logging, backup và deploy.</v>
      </c>
      <c r="L978" t="str">
        <f>'Huong dan giao do an'!$B$31</f>
        <v>Bắt buộc: Charter/PMP; SRS + scope/WBS; Gantt/baseline; effort-cost budget; RACI/timesheet; quality-test-defect; communication/minutes; risk register; procurement; change log; closure/lessons learned.</v>
      </c>
      <c r="M978" t="str">
        <f>'Huong dan giao do an'!$B$33</f>
        <v>Tuần 1: 07.09–13.09.2026; Tuần 2: 14.09–20.09.2026; Tuần 3: 21.09–27.09.2026; Tuần 4: 28.09–04.10.2026; Tuần 5: 05.10–11.10.2026; Tuần 6: 12.10–18.10.2026; Tuần 7: 19.10–25.10.2026; Tuần 8: 26.10–01.11.2026.</v>
      </c>
      <c r="N9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8" s="17" t="str">
        <f t="shared" si="15"/>
        <v>Còn trống</v>
      </c>
    </row>
    <row r="979" spans="1:16" x14ac:dyDescent="0.3">
      <c r="A979">
        <v>978</v>
      </c>
      <c r="B979" t="s">
        <v>2086</v>
      </c>
      <c r="C979" t="s">
        <v>2269</v>
      </c>
      <c r="D979" t="s">
        <v>2270</v>
      </c>
      <c r="E979" t="s">
        <v>26</v>
      </c>
      <c r="F979" t="s">
        <v>2099</v>
      </c>
      <c r="G979" t="s">
        <v>2148</v>
      </c>
      <c r="H979" t="str">
        <f>'Huong dan giao do an'!$B$14</f>
        <v>5 SV (vai trò chính): 1 PM/Scrum Master kiêm Integration; 2 BA/PO; 3 UI-UX + Frontend; 4 Backend/API + DevOps; 5 Database + QA/Tester. Mỗi SV có nhiệm vụ phụ và minh chứng cá nhân.</v>
      </c>
      <c r="I979" t="s">
        <v>36</v>
      </c>
      <c r="J979" t="s">
        <v>2101</v>
      </c>
      <c r="K979" t="str">
        <f>IF(I979="Trung bình",'Huong dan giao do an'!$B$8,IF(I979="Khá",'Huong dan giao do an'!$B$9,'Huong dan giao do an'!$B$10))</f>
        <v>Tối thiểu 3 actor; 8-10 use case; 6-8 bảng dữ liệu; 2 quy trình lõi; đăng nhập/RBAC; 1 dashboard; 1 báo cáo; &gt;=25 test case; triển khai bản demo.</v>
      </c>
      <c r="L979" t="str">
        <f>'Huong dan giao do an'!$B$31</f>
        <v>Bắt buộc: Charter/PMP; SRS + scope/WBS; Gantt/baseline; effort-cost budget; RACI/timesheet; quality-test-defect; communication/minutes; risk register; procurement; change log; closure/lessons learned.</v>
      </c>
      <c r="M979" t="str">
        <f>'Huong dan giao do an'!$B$33</f>
        <v>Tuần 1: 07.09–13.09.2026; Tuần 2: 14.09–20.09.2026; Tuần 3: 21.09–27.09.2026; Tuần 4: 28.09–04.10.2026; Tuần 5: 05.10–11.10.2026; Tuần 6: 12.10–18.10.2026; Tuần 7: 19.10–25.10.2026; Tuần 8: 26.10–01.11.2026.</v>
      </c>
      <c r="N9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79" s="17" t="str">
        <f t="shared" si="15"/>
        <v>Còn trống</v>
      </c>
    </row>
    <row r="980" spans="1:16" x14ac:dyDescent="0.3">
      <c r="A980">
        <v>979</v>
      </c>
      <c r="B980" t="s">
        <v>2086</v>
      </c>
      <c r="C980" t="s">
        <v>2271</v>
      </c>
      <c r="D980" t="s">
        <v>2272</v>
      </c>
      <c r="E980" t="s">
        <v>33</v>
      </c>
      <c r="F980" t="s">
        <v>2104</v>
      </c>
      <c r="G980" t="s">
        <v>2151</v>
      </c>
      <c r="H980" t="str">
        <f>'Huong dan giao do an'!$B$14</f>
        <v>5 SV (vai trò chính): 1 PM/Scrum Master kiêm Integration; 2 BA/PO; 3 UI-UX + Frontend; 4 Backend/API + DevOps; 5 Database + QA/Tester. Mỗi SV có nhiệm vụ phụ và minh chứng cá nhân.</v>
      </c>
      <c r="I980" t="s">
        <v>22</v>
      </c>
      <c r="J980" t="s">
        <v>2091</v>
      </c>
      <c r="K980" t="str">
        <f>IF(I980="Trung bình",'Huong dan giao do an'!$B$8,IF(I980="Khá",'Huong dan giao do an'!$B$9,'Huong dan giao do an'!$B$10))</f>
        <v>Tối thiểu 4 actor; 10-14 use case; 8-12 bảng; 3 quy trình lõi; phân quyền chi tiết; 2 báo cáo; tích hợp 1 dịch vụ; &gt;=35 test case; CI/CD hoặc deploy cloud.</v>
      </c>
      <c r="L980" t="str">
        <f>'Huong dan giao do an'!$B$31</f>
        <v>Bắt buộc: Charter/PMP; SRS + scope/WBS; Gantt/baseline; effort-cost budget; RACI/timesheet; quality-test-defect; communication/minutes; risk register; procurement; change log; closure/lessons learned.</v>
      </c>
      <c r="M980" t="str">
        <f>'Huong dan giao do an'!$B$33</f>
        <v>Tuần 1: 07.09–13.09.2026; Tuần 2: 14.09–20.09.2026; Tuần 3: 21.09–27.09.2026; Tuần 4: 28.09–04.10.2026; Tuần 5: 05.10–11.10.2026; Tuần 6: 12.10–18.10.2026; Tuần 7: 19.10–25.10.2026; Tuần 8: 26.10–01.11.2026.</v>
      </c>
      <c r="N9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0" s="17" t="str">
        <f t="shared" si="15"/>
        <v>Còn trống</v>
      </c>
    </row>
    <row r="981" spans="1:16" x14ac:dyDescent="0.3">
      <c r="A981">
        <v>980</v>
      </c>
      <c r="B981" t="s">
        <v>2086</v>
      </c>
      <c r="C981" t="s">
        <v>2273</v>
      </c>
      <c r="D981" t="s">
        <v>2274</v>
      </c>
      <c r="E981" t="s">
        <v>40</v>
      </c>
      <c r="F981" t="s">
        <v>2108</v>
      </c>
      <c r="G981" t="s">
        <v>2154</v>
      </c>
      <c r="H981" t="str">
        <f>'Huong dan giao do an'!$B$14</f>
        <v>5 SV (vai trò chính): 1 PM/Scrum Master kiêm Integration; 2 BA/PO; 3 UI-UX + Frontend; 4 Backend/API + DevOps; 5 Database + QA/Tester. Mỗi SV có nhiệm vụ phụ và minh chứng cá nhân.</v>
      </c>
      <c r="I981" t="s">
        <v>29</v>
      </c>
      <c r="J981" t="s">
        <v>2096</v>
      </c>
      <c r="K981" t="str">
        <f>IF(I981="Trung bình",'Huong dan giao do an'!$B$8,IF(I981="Khá",'Huong dan giao do an'!$B$9,'Huong dan giao do an'!$B$10))</f>
        <v>Tối thiểu 5 actor; 14-18 use case; 10-15 bảng; 4 quy trình; tích hợp ngoài/realtime hoặc xử lý nâng cao; 3 báo cáo; &gt;=45 test case; logging, backup và deploy.</v>
      </c>
      <c r="L981" t="str">
        <f>'Huong dan giao do an'!$B$31</f>
        <v>Bắt buộc: Charter/PMP; SRS + scope/WBS; Gantt/baseline; effort-cost budget; RACI/timesheet; quality-test-defect; communication/minutes; risk register; procurement; change log; closure/lessons learned.</v>
      </c>
      <c r="M981" t="str">
        <f>'Huong dan giao do an'!$B$33</f>
        <v>Tuần 1: 07.09–13.09.2026; Tuần 2: 14.09–20.09.2026; Tuần 3: 21.09–27.09.2026; Tuần 4: 28.09–04.10.2026; Tuần 5: 05.10–11.10.2026; Tuần 6: 12.10–18.10.2026; Tuần 7: 19.10–25.10.2026; Tuần 8: 26.10–01.11.2026.</v>
      </c>
      <c r="N9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1" s="17" t="str">
        <f t="shared" si="15"/>
        <v>Còn trống</v>
      </c>
    </row>
    <row r="982" spans="1:16" x14ac:dyDescent="0.3">
      <c r="A982">
        <v>981</v>
      </c>
      <c r="B982" t="s">
        <v>2086</v>
      </c>
      <c r="C982" t="s">
        <v>2275</v>
      </c>
      <c r="D982" t="s">
        <v>2276</v>
      </c>
      <c r="E982" t="s">
        <v>45</v>
      </c>
      <c r="F982" t="s">
        <v>2089</v>
      </c>
      <c r="G982" t="s">
        <v>2090</v>
      </c>
      <c r="H982" t="str">
        <f>'Huong dan giao do an'!$B$14</f>
        <v>5 SV (vai trò chính): 1 PM/Scrum Master kiêm Integration; 2 BA/PO; 3 UI-UX + Frontend; 4 Backend/API + DevOps; 5 Database + QA/Tester. Mỗi SV có nhiệm vụ phụ và minh chứng cá nhân.</v>
      </c>
      <c r="I982" t="s">
        <v>22</v>
      </c>
      <c r="J982" t="s">
        <v>2091</v>
      </c>
      <c r="K982" t="str">
        <f>IF(I982="Trung bình",'Huong dan giao do an'!$B$8,IF(I982="Khá",'Huong dan giao do an'!$B$9,'Huong dan giao do an'!$B$10))</f>
        <v>Tối thiểu 4 actor; 10-14 use case; 8-12 bảng; 3 quy trình lõi; phân quyền chi tiết; 2 báo cáo; tích hợp 1 dịch vụ; &gt;=35 test case; CI/CD hoặc deploy cloud.</v>
      </c>
      <c r="L982" t="str">
        <f>'Huong dan giao do an'!$B$31</f>
        <v>Bắt buộc: Charter/PMP; SRS + scope/WBS; Gantt/baseline; effort-cost budget; RACI/timesheet; quality-test-defect; communication/minutes; risk register; procurement; change log; closure/lessons learned.</v>
      </c>
      <c r="M982" t="str">
        <f>'Huong dan giao do an'!$B$33</f>
        <v>Tuần 1: 07.09–13.09.2026; Tuần 2: 14.09–20.09.2026; Tuần 3: 21.09–27.09.2026; Tuần 4: 28.09–04.10.2026; Tuần 5: 05.10–11.10.2026; Tuần 6: 12.10–18.10.2026; Tuần 7: 19.10–25.10.2026; Tuần 8: 26.10–01.11.2026.</v>
      </c>
      <c r="N9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2" s="17" t="str">
        <f t="shared" si="15"/>
        <v>Còn trống</v>
      </c>
    </row>
    <row r="983" spans="1:16" x14ac:dyDescent="0.3">
      <c r="A983">
        <v>982</v>
      </c>
      <c r="B983" t="s">
        <v>2086</v>
      </c>
      <c r="C983" t="s">
        <v>2277</v>
      </c>
      <c r="D983" t="s">
        <v>2278</v>
      </c>
      <c r="E983" t="s">
        <v>19</v>
      </c>
      <c r="F983" t="s">
        <v>2094</v>
      </c>
      <c r="G983" t="s">
        <v>2095</v>
      </c>
      <c r="H983" t="str">
        <f>'Huong dan giao do an'!$B$14</f>
        <v>5 SV (vai trò chính): 1 PM/Scrum Master kiêm Integration; 2 BA/PO; 3 UI-UX + Frontend; 4 Backend/API + DevOps; 5 Database + QA/Tester. Mỗi SV có nhiệm vụ phụ và minh chứng cá nhân.</v>
      </c>
      <c r="I983" t="s">
        <v>29</v>
      </c>
      <c r="J983" t="s">
        <v>2096</v>
      </c>
      <c r="K983" t="str">
        <f>IF(I983="Trung bình",'Huong dan giao do an'!$B$8,IF(I983="Khá",'Huong dan giao do an'!$B$9,'Huong dan giao do an'!$B$10))</f>
        <v>Tối thiểu 5 actor; 14-18 use case; 10-15 bảng; 4 quy trình; tích hợp ngoài/realtime hoặc xử lý nâng cao; 3 báo cáo; &gt;=45 test case; logging, backup và deploy.</v>
      </c>
      <c r="L983" t="str">
        <f>'Huong dan giao do an'!$B$31</f>
        <v>Bắt buộc: Charter/PMP; SRS + scope/WBS; Gantt/baseline; effort-cost budget; RACI/timesheet; quality-test-defect; communication/minutes; risk register; procurement; change log; closure/lessons learned.</v>
      </c>
      <c r="M983" t="str">
        <f>'Huong dan giao do an'!$B$33</f>
        <v>Tuần 1: 07.09–13.09.2026; Tuần 2: 14.09–20.09.2026; Tuần 3: 21.09–27.09.2026; Tuần 4: 28.09–04.10.2026; Tuần 5: 05.10–11.10.2026; Tuần 6: 12.10–18.10.2026; Tuần 7: 19.10–25.10.2026; Tuần 8: 26.10–01.11.2026.</v>
      </c>
      <c r="N9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3" s="17" t="str">
        <f t="shared" si="15"/>
        <v>Còn trống</v>
      </c>
    </row>
    <row r="984" spans="1:16" x14ac:dyDescent="0.3">
      <c r="A984">
        <v>983</v>
      </c>
      <c r="B984" t="s">
        <v>2086</v>
      </c>
      <c r="C984" t="s">
        <v>2279</v>
      </c>
      <c r="D984" t="s">
        <v>2280</v>
      </c>
      <c r="E984" t="s">
        <v>26</v>
      </c>
      <c r="F984" t="s">
        <v>2099</v>
      </c>
      <c r="G984" t="s">
        <v>2100</v>
      </c>
      <c r="H984" t="str">
        <f>'Huong dan giao do an'!$B$14</f>
        <v>5 SV (vai trò chính): 1 PM/Scrum Master kiêm Integration; 2 BA/PO; 3 UI-UX + Frontend; 4 Backend/API + DevOps; 5 Database + QA/Tester. Mỗi SV có nhiệm vụ phụ và minh chứng cá nhân.</v>
      </c>
      <c r="I984" t="s">
        <v>36</v>
      </c>
      <c r="J984" t="s">
        <v>2101</v>
      </c>
      <c r="K984" t="str">
        <f>IF(I984="Trung bình",'Huong dan giao do an'!$B$8,IF(I984="Khá",'Huong dan giao do an'!$B$9,'Huong dan giao do an'!$B$10))</f>
        <v>Tối thiểu 3 actor; 8-10 use case; 6-8 bảng dữ liệu; 2 quy trình lõi; đăng nhập/RBAC; 1 dashboard; 1 báo cáo; &gt;=25 test case; triển khai bản demo.</v>
      </c>
      <c r="L984" t="str">
        <f>'Huong dan giao do an'!$B$31</f>
        <v>Bắt buộc: Charter/PMP; SRS + scope/WBS; Gantt/baseline; effort-cost budget; RACI/timesheet; quality-test-defect; communication/minutes; risk register; procurement; change log; closure/lessons learned.</v>
      </c>
      <c r="M984" t="str">
        <f>'Huong dan giao do an'!$B$33</f>
        <v>Tuần 1: 07.09–13.09.2026; Tuần 2: 14.09–20.09.2026; Tuần 3: 21.09–27.09.2026; Tuần 4: 28.09–04.10.2026; Tuần 5: 05.10–11.10.2026; Tuần 6: 12.10–18.10.2026; Tuần 7: 19.10–25.10.2026; Tuần 8: 26.10–01.11.2026.</v>
      </c>
      <c r="N9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4" s="17" t="str">
        <f t="shared" si="15"/>
        <v>Còn trống</v>
      </c>
    </row>
    <row r="985" spans="1:16" x14ac:dyDescent="0.3">
      <c r="A985">
        <v>984</v>
      </c>
      <c r="B985" t="s">
        <v>2086</v>
      </c>
      <c r="C985" t="s">
        <v>2281</v>
      </c>
      <c r="D985" t="s">
        <v>2282</v>
      </c>
      <c r="E985" t="s">
        <v>33</v>
      </c>
      <c r="F985" t="s">
        <v>2104</v>
      </c>
      <c r="G985" t="s">
        <v>2105</v>
      </c>
      <c r="H985" t="str">
        <f>'Huong dan giao do an'!$B$14</f>
        <v>5 SV (vai trò chính): 1 PM/Scrum Master kiêm Integration; 2 BA/PO; 3 UI-UX + Frontend; 4 Backend/API + DevOps; 5 Database + QA/Tester. Mỗi SV có nhiệm vụ phụ và minh chứng cá nhân.</v>
      </c>
      <c r="I985" t="s">
        <v>22</v>
      </c>
      <c r="J985" t="s">
        <v>2091</v>
      </c>
      <c r="K985" t="str">
        <f>IF(I985="Trung bình",'Huong dan giao do an'!$B$8,IF(I985="Khá",'Huong dan giao do an'!$B$9,'Huong dan giao do an'!$B$10))</f>
        <v>Tối thiểu 4 actor; 10-14 use case; 8-12 bảng; 3 quy trình lõi; phân quyền chi tiết; 2 báo cáo; tích hợp 1 dịch vụ; &gt;=35 test case; CI/CD hoặc deploy cloud.</v>
      </c>
      <c r="L985" t="str">
        <f>'Huong dan giao do an'!$B$31</f>
        <v>Bắt buộc: Charter/PMP; SRS + scope/WBS; Gantt/baseline; effort-cost budget; RACI/timesheet; quality-test-defect; communication/minutes; risk register; procurement; change log; closure/lessons learned.</v>
      </c>
      <c r="M985" t="str">
        <f>'Huong dan giao do an'!$B$33</f>
        <v>Tuần 1: 07.09–13.09.2026; Tuần 2: 14.09–20.09.2026; Tuần 3: 21.09–27.09.2026; Tuần 4: 28.09–04.10.2026; Tuần 5: 05.10–11.10.2026; Tuần 6: 12.10–18.10.2026; Tuần 7: 19.10–25.10.2026; Tuần 8: 26.10–01.11.2026.</v>
      </c>
      <c r="N9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5" s="17" t="str">
        <f t="shared" si="15"/>
        <v>Còn trống</v>
      </c>
    </row>
    <row r="986" spans="1:16" x14ac:dyDescent="0.3">
      <c r="A986">
        <v>985</v>
      </c>
      <c r="B986" t="s">
        <v>2086</v>
      </c>
      <c r="C986" t="s">
        <v>2283</v>
      </c>
      <c r="D986" t="s">
        <v>2284</v>
      </c>
      <c r="E986" t="s">
        <v>40</v>
      </c>
      <c r="F986" t="s">
        <v>2108</v>
      </c>
      <c r="G986" t="s">
        <v>2109</v>
      </c>
      <c r="H986" t="str">
        <f>'Huong dan giao do an'!$B$14</f>
        <v>5 SV (vai trò chính): 1 PM/Scrum Master kiêm Integration; 2 BA/PO; 3 UI-UX + Frontend; 4 Backend/API + DevOps; 5 Database + QA/Tester. Mỗi SV có nhiệm vụ phụ và minh chứng cá nhân.</v>
      </c>
      <c r="I986" t="s">
        <v>29</v>
      </c>
      <c r="J986" t="s">
        <v>2096</v>
      </c>
      <c r="K986" t="str">
        <f>IF(I986="Trung bình",'Huong dan giao do an'!$B$8,IF(I986="Khá",'Huong dan giao do an'!$B$9,'Huong dan giao do an'!$B$10))</f>
        <v>Tối thiểu 5 actor; 14-18 use case; 10-15 bảng; 4 quy trình; tích hợp ngoài/realtime hoặc xử lý nâng cao; 3 báo cáo; &gt;=45 test case; logging, backup và deploy.</v>
      </c>
      <c r="L986" t="str">
        <f>'Huong dan giao do an'!$B$31</f>
        <v>Bắt buộc: Charter/PMP; SRS + scope/WBS; Gantt/baseline; effort-cost budget; RACI/timesheet; quality-test-defect; communication/minutes; risk register; procurement; change log; closure/lessons learned.</v>
      </c>
      <c r="M986" t="str">
        <f>'Huong dan giao do an'!$B$33</f>
        <v>Tuần 1: 07.09–13.09.2026; Tuần 2: 14.09–20.09.2026; Tuần 3: 21.09–27.09.2026; Tuần 4: 28.09–04.10.2026; Tuần 5: 05.10–11.10.2026; Tuần 6: 12.10–18.10.2026; Tuần 7: 19.10–25.10.2026; Tuần 8: 26.10–01.11.2026.</v>
      </c>
      <c r="N9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6" s="17" t="str">
        <f t="shared" si="15"/>
        <v>Còn trống</v>
      </c>
    </row>
    <row r="987" spans="1:16" x14ac:dyDescent="0.3">
      <c r="A987">
        <v>986</v>
      </c>
      <c r="B987" t="s">
        <v>2086</v>
      </c>
      <c r="C987" t="s">
        <v>2285</v>
      </c>
      <c r="D987" t="s">
        <v>2286</v>
      </c>
      <c r="E987" t="s">
        <v>45</v>
      </c>
      <c r="F987" t="s">
        <v>2089</v>
      </c>
      <c r="G987" t="s">
        <v>2112</v>
      </c>
      <c r="H987" t="str">
        <f>'Huong dan giao do an'!$B$14</f>
        <v>5 SV (vai trò chính): 1 PM/Scrum Master kiêm Integration; 2 BA/PO; 3 UI-UX + Frontend; 4 Backend/API + DevOps; 5 Database + QA/Tester. Mỗi SV có nhiệm vụ phụ và minh chứng cá nhân.</v>
      </c>
      <c r="I987" t="s">
        <v>36</v>
      </c>
      <c r="J987" t="s">
        <v>2101</v>
      </c>
      <c r="K987" t="str">
        <f>IF(I987="Trung bình",'Huong dan giao do an'!$B$8,IF(I987="Khá",'Huong dan giao do an'!$B$9,'Huong dan giao do an'!$B$10))</f>
        <v>Tối thiểu 3 actor; 8-10 use case; 6-8 bảng dữ liệu; 2 quy trình lõi; đăng nhập/RBAC; 1 dashboard; 1 báo cáo; &gt;=25 test case; triển khai bản demo.</v>
      </c>
      <c r="L987" t="str">
        <f>'Huong dan giao do an'!$B$31</f>
        <v>Bắt buộc: Charter/PMP; SRS + scope/WBS; Gantt/baseline; effort-cost budget; RACI/timesheet; quality-test-defect; communication/minutes; risk register; procurement; change log; closure/lessons learned.</v>
      </c>
      <c r="M987" t="str">
        <f>'Huong dan giao do an'!$B$33</f>
        <v>Tuần 1: 07.09–13.09.2026; Tuần 2: 14.09–20.09.2026; Tuần 3: 21.09–27.09.2026; Tuần 4: 28.09–04.10.2026; Tuần 5: 05.10–11.10.2026; Tuần 6: 12.10–18.10.2026; Tuần 7: 19.10–25.10.2026; Tuần 8: 26.10–01.11.2026.</v>
      </c>
      <c r="N9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7" s="17" t="str">
        <f t="shared" si="15"/>
        <v>Còn trống</v>
      </c>
    </row>
    <row r="988" spans="1:16" x14ac:dyDescent="0.3">
      <c r="A988">
        <v>987</v>
      </c>
      <c r="B988" t="s">
        <v>2086</v>
      </c>
      <c r="C988" t="s">
        <v>2287</v>
      </c>
      <c r="D988" t="s">
        <v>2288</v>
      </c>
      <c r="E988" t="s">
        <v>19</v>
      </c>
      <c r="F988" t="s">
        <v>2094</v>
      </c>
      <c r="G988" t="s">
        <v>2115</v>
      </c>
      <c r="H988" t="str">
        <f>'Huong dan giao do an'!$B$14</f>
        <v>5 SV (vai trò chính): 1 PM/Scrum Master kiêm Integration; 2 BA/PO; 3 UI-UX + Frontend; 4 Backend/API + DevOps; 5 Database + QA/Tester. Mỗi SV có nhiệm vụ phụ và minh chứng cá nhân.</v>
      </c>
      <c r="I988" t="s">
        <v>22</v>
      </c>
      <c r="J988" t="s">
        <v>2091</v>
      </c>
      <c r="K988" t="str">
        <f>IF(I988="Trung bình",'Huong dan giao do an'!$B$8,IF(I988="Khá",'Huong dan giao do an'!$B$9,'Huong dan giao do an'!$B$10))</f>
        <v>Tối thiểu 4 actor; 10-14 use case; 8-12 bảng; 3 quy trình lõi; phân quyền chi tiết; 2 báo cáo; tích hợp 1 dịch vụ; &gt;=35 test case; CI/CD hoặc deploy cloud.</v>
      </c>
      <c r="L988" t="str">
        <f>'Huong dan giao do an'!$B$31</f>
        <v>Bắt buộc: Charter/PMP; SRS + scope/WBS; Gantt/baseline; effort-cost budget; RACI/timesheet; quality-test-defect; communication/minutes; risk register; procurement; change log; closure/lessons learned.</v>
      </c>
      <c r="M988" t="str">
        <f>'Huong dan giao do an'!$B$33</f>
        <v>Tuần 1: 07.09–13.09.2026; Tuần 2: 14.09–20.09.2026; Tuần 3: 21.09–27.09.2026; Tuần 4: 28.09–04.10.2026; Tuần 5: 05.10–11.10.2026; Tuần 6: 12.10–18.10.2026; Tuần 7: 19.10–25.10.2026; Tuần 8: 26.10–01.11.2026.</v>
      </c>
      <c r="N9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8" s="17" t="str">
        <f t="shared" si="15"/>
        <v>Còn trống</v>
      </c>
    </row>
    <row r="989" spans="1:16" x14ac:dyDescent="0.3">
      <c r="A989">
        <v>988</v>
      </c>
      <c r="B989" t="s">
        <v>2086</v>
      </c>
      <c r="C989" t="s">
        <v>2289</v>
      </c>
      <c r="D989" t="s">
        <v>2290</v>
      </c>
      <c r="E989" t="s">
        <v>26</v>
      </c>
      <c r="F989" t="s">
        <v>2099</v>
      </c>
      <c r="G989" t="s">
        <v>2118</v>
      </c>
      <c r="H989" t="str">
        <f>'Huong dan giao do an'!$B$14</f>
        <v>5 SV (vai trò chính): 1 PM/Scrum Master kiêm Integration; 2 BA/PO; 3 UI-UX + Frontend; 4 Backend/API + DevOps; 5 Database + QA/Tester. Mỗi SV có nhiệm vụ phụ và minh chứng cá nhân.</v>
      </c>
      <c r="I989" t="s">
        <v>29</v>
      </c>
      <c r="J989" t="s">
        <v>2096</v>
      </c>
      <c r="K989" t="str">
        <f>IF(I989="Trung bình",'Huong dan giao do an'!$B$8,IF(I989="Khá",'Huong dan giao do an'!$B$9,'Huong dan giao do an'!$B$10))</f>
        <v>Tối thiểu 5 actor; 14-18 use case; 10-15 bảng; 4 quy trình; tích hợp ngoài/realtime hoặc xử lý nâng cao; 3 báo cáo; &gt;=45 test case; logging, backup và deploy.</v>
      </c>
      <c r="L989" t="str">
        <f>'Huong dan giao do an'!$B$31</f>
        <v>Bắt buộc: Charter/PMP; SRS + scope/WBS; Gantt/baseline; effort-cost budget; RACI/timesheet; quality-test-defect; communication/minutes; risk register; procurement; change log; closure/lessons learned.</v>
      </c>
      <c r="M989" t="str">
        <f>'Huong dan giao do an'!$B$33</f>
        <v>Tuần 1: 07.09–13.09.2026; Tuần 2: 14.09–20.09.2026; Tuần 3: 21.09–27.09.2026; Tuần 4: 28.09–04.10.2026; Tuần 5: 05.10–11.10.2026; Tuần 6: 12.10–18.10.2026; Tuần 7: 19.10–25.10.2026; Tuần 8: 26.10–01.11.2026.</v>
      </c>
      <c r="N9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89" s="17" t="str">
        <f t="shared" si="15"/>
        <v>Còn trống</v>
      </c>
    </row>
    <row r="990" spans="1:16" x14ac:dyDescent="0.3">
      <c r="A990">
        <v>989</v>
      </c>
      <c r="B990" t="s">
        <v>2086</v>
      </c>
      <c r="C990" t="s">
        <v>2291</v>
      </c>
      <c r="D990" t="s">
        <v>2292</v>
      </c>
      <c r="E990" t="s">
        <v>33</v>
      </c>
      <c r="F990" t="s">
        <v>2104</v>
      </c>
      <c r="G990" t="s">
        <v>2121</v>
      </c>
      <c r="H990" t="str">
        <f>'Huong dan giao do an'!$B$14</f>
        <v>5 SV (vai trò chính): 1 PM/Scrum Master kiêm Integration; 2 BA/PO; 3 UI-UX + Frontend; 4 Backend/API + DevOps; 5 Database + QA/Tester. Mỗi SV có nhiệm vụ phụ và minh chứng cá nhân.</v>
      </c>
      <c r="I990" t="s">
        <v>36</v>
      </c>
      <c r="J990" t="s">
        <v>2101</v>
      </c>
      <c r="K990" t="str">
        <f>IF(I990="Trung bình",'Huong dan giao do an'!$B$8,IF(I990="Khá",'Huong dan giao do an'!$B$9,'Huong dan giao do an'!$B$10))</f>
        <v>Tối thiểu 3 actor; 8-10 use case; 6-8 bảng dữ liệu; 2 quy trình lõi; đăng nhập/RBAC; 1 dashboard; 1 báo cáo; &gt;=25 test case; triển khai bản demo.</v>
      </c>
      <c r="L990" t="str">
        <f>'Huong dan giao do an'!$B$31</f>
        <v>Bắt buộc: Charter/PMP; SRS + scope/WBS; Gantt/baseline; effort-cost budget; RACI/timesheet; quality-test-defect; communication/minutes; risk register; procurement; change log; closure/lessons learned.</v>
      </c>
      <c r="M990" t="str">
        <f>'Huong dan giao do an'!$B$33</f>
        <v>Tuần 1: 07.09–13.09.2026; Tuần 2: 14.09–20.09.2026; Tuần 3: 21.09–27.09.2026; Tuần 4: 28.09–04.10.2026; Tuần 5: 05.10–11.10.2026; Tuần 6: 12.10–18.10.2026; Tuần 7: 19.10–25.10.2026; Tuần 8: 26.10–01.11.2026.</v>
      </c>
      <c r="N9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0" s="17" t="str">
        <f t="shared" si="15"/>
        <v>Còn trống</v>
      </c>
    </row>
    <row r="991" spans="1:16" x14ac:dyDescent="0.3">
      <c r="A991">
        <v>990</v>
      </c>
      <c r="B991" t="s">
        <v>2086</v>
      </c>
      <c r="C991" t="s">
        <v>2293</v>
      </c>
      <c r="D991" t="s">
        <v>2294</v>
      </c>
      <c r="E991" t="s">
        <v>40</v>
      </c>
      <c r="F991" t="s">
        <v>2108</v>
      </c>
      <c r="G991" t="s">
        <v>2124</v>
      </c>
      <c r="H991" t="str">
        <f>'Huong dan giao do an'!$B$14</f>
        <v>5 SV (vai trò chính): 1 PM/Scrum Master kiêm Integration; 2 BA/PO; 3 UI-UX + Frontend; 4 Backend/API + DevOps; 5 Database + QA/Tester. Mỗi SV có nhiệm vụ phụ và minh chứng cá nhân.</v>
      </c>
      <c r="I991" t="s">
        <v>22</v>
      </c>
      <c r="J991" t="s">
        <v>2091</v>
      </c>
      <c r="K991" t="str">
        <f>IF(I991="Trung bình",'Huong dan giao do an'!$B$8,IF(I991="Khá",'Huong dan giao do an'!$B$9,'Huong dan giao do an'!$B$10))</f>
        <v>Tối thiểu 4 actor; 10-14 use case; 8-12 bảng; 3 quy trình lõi; phân quyền chi tiết; 2 báo cáo; tích hợp 1 dịch vụ; &gt;=35 test case; CI/CD hoặc deploy cloud.</v>
      </c>
      <c r="L991" t="str">
        <f>'Huong dan giao do an'!$B$31</f>
        <v>Bắt buộc: Charter/PMP; SRS + scope/WBS; Gantt/baseline; effort-cost budget; RACI/timesheet; quality-test-defect; communication/minutes; risk register; procurement; change log; closure/lessons learned.</v>
      </c>
      <c r="M991" t="str">
        <f>'Huong dan giao do an'!$B$33</f>
        <v>Tuần 1: 07.09–13.09.2026; Tuần 2: 14.09–20.09.2026; Tuần 3: 21.09–27.09.2026; Tuần 4: 28.09–04.10.2026; Tuần 5: 05.10–11.10.2026; Tuần 6: 12.10–18.10.2026; Tuần 7: 19.10–25.10.2026; Tuần 8: 26.10–01.11.2026.</v>
      </c>
      <c r="N9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1" s="17" t="str">
        <f t="shared" si="15"/>
        <v>Còn trống</v>
      </c>
    </row>
    <row r="992" spans="1:16" x14ac:dyDescent="0.3">
      <c r="A992">
        <v>991</v>
      </c>
      <c r="B992" t="s">
        <v>2086</v>
      </c>
      <c r="C992" t="s">
        <v>2295</v>
      </c>
      <c r="D992" t="s">
        <v>2296</v>
      </c>
      <c r="E992" t="s">
        <v>45</v>
      </c>
      <c r="F992" t="s">
        <v>2089</v>
      </c>
      <c r="G992" t="s">
        <v>2127</v>
      </c>
      <c r="H992" t="str">
        <f>'Huong dan giao do an'!$B$14</f>
        <v>5 SV (vai trò chính): 1 PM/Scrum Master kiêm Integration; 2 BA/PO; 3 UI-UX + Frontend; 4 Backend/API + DevOps; 5 Database + QA/Tester. Mỗi SV có nhiệm vụ phụ và minh chứng cá nhân.</v>
      </c>
      <c r="I992" t="s">
        <v>29</v>
      </c>
      <c r="J992" t="s">
        <v>2096</v>
      </c>
      <c r="K992" t="str">
        <f>IF(I992="Trung bình",'Huong dan giao do an'!$B$8,IF(I992="Khá",'Huong dan giao do an'!$B$9,'Huong dan giao do an'!$B$10))</f>
        <v>Tối thiểu 5 actor; 14-18 use case; 10-15 bảng; 4 quy trình; tích hợp ngoài/realtime hoặc xử lý nâng cao; 3 báo cáo; &gt;=45 test case; logging, backup và deploy.</v>
      </c>
      <c r="L992" t="str">
        <f>'Huong dan giao do an'!$B$31</f>
        <v>Bắt buộc: Charter/PMP; SRS + scope/WBS; Gantt/baseline; effort-cost budget; RACI/timesheet; quality-test-defect; communication/minutes; risk register; procurement; change log; closure/lessons learned.</v>
      </c>
      <c r="M992" t="str">
        <f>'Huong dan giao do an'!$B$33</f>
        <v>Tuần 1: 07.09–13.09.2026; Tuần 2: 14.09–20.09.2026; Tuần 3: 21.09–27.09.2026; Tuần 4: 28.09–04.10.2026; Tuần 5: 05.10–11.10.2026; Tuần 6: 12.10–18.10.2026; Tuần 7: 19.10–25.10.2026; Tuần 8: 26.10–01.11.2026.</v>
      </c>
      <c r="N9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2" s="17" t="str">
        <f t="shared" si="15"/>
        <v>Còn trống</v>
      </c>
    </row>
    <row r="993" spans="1:16" x14ac:dyDescent="0.3">
      <c r="A993">
        <v>992</v>
      </c>
      <c r="B993" t="s">
        <v>2086</v>
      </c>
      <c r="C993" t="s">
        <v>2297</v>
      </c>
      <c r="D993" t="s">
        <v>2298</v>
      </c>
      <c r="E993" t="s">
        <v>19</v>
      </c>
      <c r="F993" t="s">
        <v>2094</v>
      </c>
      <c r="G993" t="s">
        <v>2130</v>
      </c>
      <c r="H993" t="str">
        <f>'Huong dan giao do an'!$B$14</f>
        <v>5 SV (vai trò chính): 1 PM/Scrum Master kiêm Integration; 2 BA/PO; 3 UI-UX + Frontend; 4 Backend/API + DevOps; 5 Database + QA/Tester. Mỗi SV có nhiệm vụ phụ và minh chứng cá nhân.</v>
      </c>
      <c r="I993" t="s">
        <v>36</v>
      </c>
      <c r="J993" t="s">
        <v>2101</v>
      </c>
      <c r="K993" t="str">
        <f>IF(I993="Trung bình",'Huong dan giao do an'!$B$8,IF(I993="Khá",'Huong dan giao do an'!$B$9,'Huong dan giao do an'!$B$10))</f>
        <v>Tối thiểu 3 actor; 8-10 use case; 6-8 bảng dữ liệu; 2 quy trình lõi; đăng nhập/RBAC; 1 dashboard; 1 báo cáo; &gt;=25 test case; triển khai bản demo.</v>
      </c>
      <c r="L993" t="str">
        <f>'Huong dan giao do an'!$B$31</f>
        <v>Bắt buộc: Charter/PMP; SRS + scope/WBS; Gantt/baseline; effort-cost budget; RACI/timesheet; quality-test-defect; communication/minutes; risk register; procurement; change log; closure/lessons learned.</v>
      </c>
      <c r="M993" t="str">
        <f>'Huong dan giao do an'!$B$33</f>
        <v>Tuần 1: 07.09–13.09.2026; Tuần 2: 14.09–20.09.2026; Tuần 3: 21.09–27.09.2026; Tuần 4: 28.09–04.10.2026; Tuần 5: 05.10–11.10.2026; Tuần 6: 12.10–18.10.2026; Tuần 7: 19.10–25.10.2026; Tuần 8: 26.10–01.11.2026.</v>
      </c>
      <c r="N9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3" s="17" t="str">
        <f t="shared" si="15"/>
        <v>Còn trống</v>
      </c>
    </row>
    <row r="994" spans="1:16" x14ac:dyDescent="0.3">
      <c r="A994">
        <v>993</v>
      </c>
      <c r="B994" t="s">
        <v>2086</v>
      </c>
      <c r="C994" t="s">
        <v>2299</v>
      </c>
      <c r="D994" t="s">
        <v>2300</v>
      </c>
      <c r="E994" t="s">
        <v>26</v>
      </c>
      <c r="F994" t="s">
        <v>2099</v>
      </c>
      <c r="G994" t="s">
        <v>2133</v>
      </c>
      <c r="H994" t="str">
        <f>'Huong dan giao do an'!$B$14</f>
        <v>5 SV (vai trò chính): 1 PM/Scrum Master kiêm Integration; 2 BA/PO; 3 UI-UX + Frontend; 4 Backend/API + DevOps; 5 Database + QA/Tester. Mỗi SV có nhiệm vụ phụ và minh chứng cá nhân.</v>
      </c>
      <c r="I994" t="s">
        <v>22</v>
      </c>
      <c r="J994" t="s">
        <v>2091</v>
      </c>
      <c r="K994" t="str">
        <f>IF(I994="Trung bình",'Huong dan giao do an'!$B$8,IF(I994="Khá",'Huong dan giao do an'!$B$9,'Huong dan giao do an'!$B$10))</f>
        <v>Tối thiểu 4 actor; 10-14 use case; 8-12 bảng; 3 quy trình lõi; phân quyền chi tiết; 2 báo cáo; tích hợp 1 dịch vụ; &gt;=35 test case; CI/CD hoặc deploy cloud.</v>
      </c>
      <c r="L994" t="str">
        <f>'Huong dan giao do an'!$B$31</f>
        <v>Bắt buộc: Charter/PMP; SRS + scope/WBS; Gantt/baseline; effort-cost budget; RACI/timesheet; quality-test-defect; communication/minutes; risk register; procurement; change log; closure/lessons learned.</v>
      </c>
      <c r="M994" t="str">
        <f>'Huong dan giao do an'!$B$33</f>
        <v>Tuần 1: 07.09–13.09.2026; Tuần 2: 14.09–20.09.2026; Tuần 3: 21.09–27.09.2026; Tuần 4: 28.09–04.10.2026; Tuần 5: 05.10–11.10.2026; Tuần 6: 12.10–18.10.2026; Tuần 7: 19.10–25.10.2026; Tuần 8: 26.10–01.11.2026.</v>
      </c>
      <c r="N9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4" s="17" t="str">
        <f t="shared" si="15"/>
        <v>Còn trống</v>
      </c>
    </row>
    <row r="995" spans="1:16" x14ac:dyDescent="0.3">
      <c r="A995">
        <v>994</v>
      </c>
      <c r="B995" t="s">
        <v>2086</v>
      </c>
      <c r="C995" t="s">
        <v>2301</v>
      </c>
      <c r="D995" t="s">
        <v>2302</v>
      </c>
      <c r="E995" t="s">
        <v>33</v>
      </c>
      <c r="F995" t="s">
        <v>2104</v>
      </c>
      <c r="G995" t="s">
        <v>2136</v>
      </c>
      <c r="H995" t="str">
        <f>'Huong dan giao do an'!$B$14</f>
        <v>5 SV (vai trò chính): 1 PM/Scrum Master kiêm Integration; 2 BA/PO; 3 UI-UX + Frontend; 4 Backend/API + DevOps; 5 Database + QA/Tester. Mỗi SV có nhiệm vụ phụ và minh chứng cá nhân.</v>
      </c>
      <c r="I995" t="s">
        <v>29</v>
      </c>
      <c r="J995" t="s">
        <v>2096</v>
      </c>
      <c r="K995" t="str">
        <f>IF(I995="Trung bình",'Huong dan giao do an'!$B$8,IF(I995="Khá",'Huong dan giao do an'!$B$9,'Huong dan giao do an'!$B$10))</f>
        <v>Tối thiểu 5 actor; 14-18 use case; 10-15 bảng; 4 quy trình; tích hợp ngoài/realtime hoặc xử lý nâng cao; 3 báo cáo; &gt;=45 test case; logging, backup và deploy.</v>
      </c>
      <c r="L995" t="str">
        <f>'Huong dan giao do an'!$B$31</f>
        <v>Bắt buộc: Charter/PMP; SRS + scope/WBS; Gantt/baseline; effort-cost budget; RACI/timesheet; quality-test-defect; communication/minutes; risk register; procurement; change log; closure/lessons learned.</v>
      </c>
      <c r="M995" t="str">
        <f>'Huong dan giao do an'!$B$33</f>
        <v>Tuần 1: 07.09–13.09.2026; Tuần 2: 14.09–20.09.2026; Tuần 3: 21.09–27.09.2026; Tuần 4: 28.09–04.10.2026; Tuần 5: 05.10–11.10.2026; Tuần 6: 12.10–18.10.2026; Tuần 7: 19.10–25.10.2026; Tuần 8: 26.10–01.11.2026.</v>
      </c>
      <c r="N9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5" s="17" t="str">
        <f t="shared" si="15"/>
        <v>Còn trống</v>
      </c>
    </row>
    <row r="996" spans="1:16" x14ac:dyDescent="0.3">
      <c r="A996">
        <v>995</v>
      </c>
      <c r="B996" t="s">
        <v>2086</v>
      </c>
      <c r="C996" t="s">
        <v>2303</v>
      </c>
      <c r="D996" t="s">
        <v>2304</v>
      </c>
      <c r="E996" t="s">
        <v>40</v>
      </c>
      <c r="F996" t="s">
        <v>2108</v>
      </c>
      <c r="G996" t="s">
        <v>2139</v>
      </c>
      <c r="H996" t="str">
        <f>'Huong dan giao do an'!$B$14</f>
        <v>5 SV (vai trò chính): 1 PM/Scrum Master kiêm Integration; 2 BA/PO; 3 UI-UX + Frontend; 4 Backend/API + DevOps; 5 Database + QA/Tester. Mỗi SV có nhiệm vụ phụ và minh chứng cá nhân.</v>
      </c>
      <c r="I996" t="s">
        <v>36</v>
      </c>
      <c r="J996" t="s">
        <v>2101</v>
      </c>
      <c r="K996" t="str">
        <f>IF(I996="Trung bình",'Huong dan giao do an'!$B$8,IF(I996="Khá",'Huong dan giao do an'!$B$9,'Huong dan giao do an'!$B$10))</f>
        <v>Tối thiểu 3 actor; 8-10 use case; 6-8 bảng dữ liệu; 2 quy trình lõi; đăng nhập/RBAC; 1 dashboard; 1 báo cáo; &gt;=25 test case; triển khai bản demo.</v>
      </c>
      <c r="L996" t="str">
        <f>'Huong dan giao do an'!$B$31</f>
        <v>Bắt buộc: Charter/PMP; SRS + scope/WBS; Gantt/baseline; effort-cost budget; RACI/timesheet; quality-test-defect; communication/minutes; risk register; procurement; change log; closure/lessons learned.</v>
      </c>
      <c r="M996" t="str">
        <f>'Huong dan giao do an'!$B$33</f>
        <v>Tuần 1: 07.09–13.09.2026; Tuần 2: 14.09–20.09.2026; Tuần 3: 21.09–27.09.2026; Tuần 4: 28.09–04.10.2026; Tuần 5: 05.10–11.10.2026; Tuần 6: 12.10–18.10.2026; Tuần 7: 19.10–25.10.2026; Tuần 8: 26.10–01.11.2026.</v>
      </c>
      <c r="N9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6" s="17" t="str">
        <f t="shared" si="15"/>
        <v>Còn trống</v>
      </c>
    </row>
    <row r="997" spans="1:16" x14ac:dyDescent="0.3">
      <c r="A997">
        <v>996</v>
      </c>
      <c r="B997" t="s">
        <v>2086</v>
      </c>
      <c r="C997" t="s">
        <v>2305</v>
      </c>
      <c r="D997" t="s">
        <v>2306</v>
      </c>
      <c r="E997" t="s">
        <v>45</v>
      </c>
      <c r="F997" t="s">
        <v>2089</v>
      </c>
      <c r="G997" t="s">
        <v>2142</v>
      </c>
      <c r="H997" t="str">
        <f>'Huong dan giao do an'!$B$14</f>
        <v>5 SV (vai trò chính): 1 PM/Scrum Master kiêm Integration; 2 BA/PO; 3 UI-UX + Frontend; 4 Backend/API + DevOps; 5 Database + QA/Tester. Mỗi SV có nhiệm vụ phụ và minh chứng cá nhân.</v>
      </c>
      <c r="I997" t="s">
        <v>22</v>
      </c>
      <c r="J997" t="s">
        <v>2091</v>
      </c>
      <c r="K997" t="str">
        <f>IF(I997="Trung bình",'Huong dan giao do an'!$B$8,IF(I997="Khá",'Huong dan giao do an'!$B$9,'Huong dan giao do an'!$B$10))</f>
        <v>Tối thiểu 4 actor; 10-14 use case; 8-12 bảng; 3 quy trình lõi; phân quyền chi tiết; 2 báo cáo; tích hợp 1 dịch vụ; &gt;=35 test case; CI/CD hoặc deploy cloud.</v>
      </c>
      <c r="L997" t="str">
        <f>'Huong dan giao do an'!$B$31</f>
        <v>Bắt buộc: Charter/PMP; SRS + scope/WBS; Gantt/baseline; effort-cost budget; RACI/timesheet; quality-test-defect; communication/minutes; risk register; procurement; change log; closure/lessons learned.</v>
      </c>
      <c r="M997" t="str">
        <f>'Huong dan giao do an'!$B$33</f>
        <v>Tuần 1: 07.09–13.09.2026; Tuần 2: 14.09–20.09.2026; Tuần 3: 21.09–27.09.2026; Tuần 4: 28.09–04.10.2026; Tuần 5: 05.10–11.10.2026; Tuần 6: 12.10–18.10.2026; Tuần 7: 19.10–25.10.2026; Tuần 8: 26.10–01.11.2026.</v>
      </c>
      <c r="N9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7" s="17" t="str">
        <f t="shared" si="15"/>
        <v>Còn trống</v>
      </c>
    </row>
    <row r="998" spans="1:16" x14ac:dyDescent="0.3">
      <c r="A998">
        <v>997</v>
      </c>
      <c r="B998" t="s">
        <v>2086</v>
      </c>
      <c r="C998" t="s">
        <v>2307</v>
      </c>
      <c r="D998" t="s">
        <v>2308</v>
      </c>
      <c r="E998" t="s">
        <v>19</v>
      </c>
      <c r="F998" t="s">
        <v>2094</v>
      </c>
      <c r="G998" t="s">
        <v>2145</v>
      </c>
      <c r="H998" t="str">
        <f>'Huong dan giao do an'!$B$14</f>
        <v>5 SV (vai trò chính): 1 PM/Scrum Master kiêm Integration; 2 BA/PO; 3 UI-UX + Frontend; 4 Backend/API + DevOps; 5 Database + QA/Tester. Mỗi SV có nhiệm vụ phụ và minh chứng cá nhân.</v>
      </c>
      <c r="I998" t="s">
        <v>29</v>
      </c>
      <c r="J998" t="s">
        <v>2096</v>
      </c>
      <c r="K998" t="str">
        <f>IF(I998="Trung bình",'Huong dan giao do an'!$B$8,IF(I998="Khá",'Huong dan giao do an'!$B$9,'Huong dan giao do an'!$B$10))</f>
        <v>Tối thiểu 5 actor; 14-18 use case; 10-15 bảng; 4 quy trình; tích hợp ngoài/realtime hoặc xử lý nâng cao; 3 báo cáo; &gt;=45 test case; logging, backup và deploy.</v>
      </c>
      <c r="L998" t="str">
        <f>'Huong dan giao do an'!$B$31</f>
        <v>Bắt buộc: Charter/PMP; SRS + scope/WBS; Gantt/baseline; effort-cost budget; RACI/timesheet; quality-test-defect; communication/minutes; risk register; procurement; change log; closure/lessons learned.</v>
      </c>
      <c r="M998" t="str">
        <f>'Huong dan giao do an'!$B$33</f>
        <v>Tuần 1: 07.09–13.09.2026; Tuần 2: 14.09–20.09.2026; Tuần 3: 21.09–27.09.2026; Tuần 4: 28.09–04.10.2026; Tuần 5: 05.10–11.10.2026; Tuần 6: 12.10–18.10.2026; Tuần 7: 19.10–25.10.2026; Tuần 8: 26.10–01.11.2026.</v>
      </c>
      <c r="N9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8" s="17" t="str">
        <f t="shared" si="15"/>
        <v>Còn trống</v>
      </c>
    </row>
    <row r="999" spans="1:16" x14ac:dyDescent="0.3">
      <c r="A999">
        <v>998</v>
      </c>
      <c r="B999" t="s">
        <v>2086</v>
      </c>
      <c r="C999" t="s">
        <v>2309</v>
      </c>
      <c r="D999" t="s">
        <v>2310</v>
      </c>
      <c r="E999" t="s">
        <v>26</v>
      </c>
      <c r="F999" t="s">
        <v>2099</v>
      </c>
      <c r="G999" t="s">
        <v>2148</v>
      </c>
      <c r="H999" t="str">
        <f>'Huong dan giao do an'!$B$14</f>
        <v>5 SV (vai trò chính): 1 PM/Scrum Master kiêm Integration; 2 BA/PO; 3 UI-UX + Frontend; 4 Backend/API + DevOps; 5 Database + QA/Tester. Mỗi SV có nhiệm vụ phụ và minh chứng cá nhân.</v>
      </c>
      <c r="I999" t="s">
        <v>36</v>
      </c>
      <c r="J999" t="s">
        <v>2101</v>
      </c>
      <c r="K999" t="str">
        <f>IF(I999="Trung bình",'Huong dan giao do an'!$B$8,IF(I999="Khá",'Huong dan giao do an'!$B$9,'Huong dan giao do an'!$B$10))</f>
        <v>Tối thiểu 3 actor; 8-10 use case; 6-8 bảng dữ liệu; 2 quy trình lõi; đăng nhập/RBAC; 1 dashboard; 1 báo cáo; &gt;=25 test case; triển khai bản demo.</v>
      </c>
      <c r="L999" t="str">
        <f>'Huong dan giao do an'!$B$31</f>
        <v>Bắt buộc: Charter/PMP; SRS + scope/WBS; Gantt/baseline; effort-cost budget; RACI/timesheet; quality-test-defect; communication/minutes; risk register; procurement; change log; closure/lessons learned.</v>
      </c>
      <c r="M999" t="str">
        <f>'Huong dan giao do an'!$B$33</f>
        <v>Tuần 1: 07.09–13.09.2026; Tuần 2: 14.09–20.09.2026; Tuần 3: 21.09–27.09.2026; Tuần 4: 28.09–04.10.2026; Tuần 5: 05.10–11.10.2026; Tuần 6: 12.10–18.10.2026; Tuần 7: 19.10–25.10.2026; Tuần 8: 26.10–01.11.2026.</v>
      </c>
      <c r="N9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999" s="17" t="str">
        <f t="shared" si="15"/>
        <v>Còn trống</v>
      </c>
    </row>
    <row r="1000" spans="1:16" x14ac:dyDescent="0.3">
      <c r="A1000">
        <v>999</v>
      </c>
      <c r="B1000" t="s">
        <v>2086</v>
      </c>
      <c r="C1000" t="s">
        <v>2311</v>
      </c>
      <c r="D1000" t="s">
        <v>2312</v>
      </c>
      <c r="E1000" t="s">
        <v>33</v>
      </c>
      <c r="F1000" t="s">
        <v>2104</v>
      </c>
      <c r="G1000" t="s">
        <v>2151</v>
      </c>
      <c r="H1000" t="str">
        <f>'Huong dan giao do an'!$B$14</f>
        <v>5 SV (vai trò chính): 1 PM/Scrum Master kiêm Integration; 2 BA/PO; 3 UI-UX + Frontend; 4 Backend/API + DevOps; 5 Database + QA/Tester. Mỗi SV có nhiệm vụ phụ và minh chứng cá nhân.</v>
      </c>
      <c r="I1000" t="s">
        <v>22</v>
      </c>
      <c r="J1000" t="s">
        <v>2091</v>
      </c>
      <c r="K1000" t="str">
        <f>IF(I1000="Trung bình",'Huong dan giao do an'!$B$8,IF(I1000="Khá",'Huong dan giao do an'!$B$9,'Huong dan giao do an'!$B$10))</f>
        <v>Tối thiểu 4 actor; 10-14 use case; 8-12 bảng; 3 quy trình lõi; phân quyền chi tiết; 2 báo cáo; tích hợp 1 dịch vụ; &gt;=35 test case; CI/CD hoặc deploy cloud.</v>
      </c>
      <c r="L1000" t="str">
        <f>'Huong dan giao do an'!$B$31</f>
        <v>Bắt buộc: Charter/PMP; SRS + scope/WBS; Gantt/baseline; effort-cost budget; RACI/timesheet; quality-test-defect; communication/minutes; risk register; procurement; change log; closure/lessons learned.</v>
      </c>
      <c r="M1000" t="str">
        <f>'Huong dan giao do an'!$B$33</f>
        <v>Tuần 1: 07.09–13.09.2026; Tuần 2: 14.09–20.09.2026; Tuần 3: 21.09–27.09.2026; Tuần 4: 28.09–04.10.2026; Tuần 5: 05.10–11.10.2026; Tuần 6: 12.10–18.10.2026; Tuần 7: 19.10–25.10.2026; Tuần 8: 26.10–01.11.2026.</v>
      </c>
      <c r="N10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0" s="17" t="str">
        <f t="shared" si="15"/>
        <v>Còn trống</v>
      </c>
    </row>
    <row r="1001" spans="1:16" x14ac:dyDescent="0.3">
      <c r="A1001">
        <v>1000</v>
      </c>
      <c r="B1001" t="s">
        <v>2086</v>
      </c>
      <c r="C1001" t="s">
        <v>2313</v>
      </c>
      <c r="D1001" t="s">
        <v>2314</v>
      </c>
      <c r="E1001" t="s">
        <v>40</v>
      </c>
      <c r="F1001" t="s">
        <v>2108</v>
      </c>
      <c r="G1001" t="s">
        <v>2154</v>
      </c>
      <c r="H1001" t="str">
        <f>'Huong dan giao do an'!$B$14</f>
        <v>5 SV (vai trò chính): 1 PM/Scrum Master kiêm Integration; 2 BA/PO; 3 UI-UX + Frontend; 4 Backend/API + DevOps; 5 Database + QA/Tester. Mỗi SV có nhiệm vụ phụ và minh chứng cá nhân.</v>
      </c>
      <c r="I1001" t="s">
        <v>29</v>
      </c>
      <c r="J1001" t="s">
        <v>2096</v>
      </c>
      <c r="K1001" t="str">
        <f>IF(I1001="Trung bình",'Huong dan giao do an'!$B$8,IF(I1001="Khá",'Huong dan giao do an'!$B$9,'Huong dan giao do an'!$B$10))</f>
        <v>Tối thiểu 5 actor; 14-18 use case; 10-15 bảng; 4 quy trình; tích hợp ngoài/realtime hoặc xử lý nâng cao; 3 báo cáo; &gt;=45 test case; logging, backup và deploy.</v>
      </c>
      <c r="L1001" t="str">
        <f>'Huong dan giao do an'!$B$31</f>
        <v>Bắt buộc: Charter/PMP; SRS + scope/WBS; Gantt/baseline; effort-cost budget; RACI/timesheet; quality-test-defect; communication/minutes; risk register; procurement; change log; closure/lessons learned.</v>
      </c>
      <c r="M1001" t="str">
        <f>'Huong dan giao do an'!$B$33</f>
        <v>Tuần 1: 07.09–13.09.2026; Tuần 2: 14.09–20.09.2026; Tuần 3: 21.09–27.09.2026; Tuần 4: 28.09–04.10.2026; Tuần 5: 05.10–11.10.2026; Tuần 6: 12.10–18.10.2026; Tuần 7: 19.10–25.10.2026; Tuần 8: 26.10–01.11.2026.</v>
      </c>
      <c r="N10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1" s="17" t="str">
        <f t="shared" si="15"/>
        <v>Còn trống</v>
      </c>
    </row>
    <row r="1002" spans="1:16" x14ac:dyDescent="0.3">
      <c r="A1002">
        <v>1001</v>
      </c>
      <c r="B1002" t="s">
        <v>2315</v>
      </c>
      <c r="C1002" t="s">
        <v>2316</v>
      </c>
      <c r="D1002" t="s">
        <v>2317</v>
      </c>
      <c r="E1002" t="s">
        <v>19</v>
      </c>
      <c r="F1002" t="s">
        <v>2318</v>
      </c>
      <c r="G1002" t="s">
        <v>2319</v>
      </c>
      <c r="H1002" t="str">
        <f>'Huong dan giao do an'!$B$14</f>
        <v>5 SV (vai trò chính): 1 PM/Scrum Master kiêm Integration; 2 BA/PO; 3 UI-UX + Frontend; 4 Backend/API + DevOps; 5 Database + QA/Tester. Mỗi SV có nhiệm vụ phụ và minh chứng cá nhân.</v>
      </c>
      <c r="I1002" t="s">
        <v>22</v>
      </c>
      <c r="J1002" t="s">
        <v>2320</v>
      </c>
      <c r="K1002" t="str">
        <f>IF(I1002="Trung bình",'Huong dan giao do an'!$B$8,IF(I1002="Khá",'Huong dan giao do an'!$B$9,'Huong dan giao do an'!$B$10))</f>
        <v>Tối thiểu 4 actor; 10-14 use case; 8-12 bảng; 3 quy trình lõi; phân quyền chi tiết; 2 báo cáo; tích hợp 1 dịch vụ; &gt;=35 test case; CI/CD hoặc deploy cloud.</v>
      </c>
      <c r="L1002" t="str">
        <f>'Huong dan giao do an'!$B$31</f>
        <v>Bắt buộc: Charter/PMP; SRS + scope/WBS; Gantt/baseline; effort-cost budget; RACI/timesheet; quality-test-defect; communication/minutes; risk register; procurement; change log; closure/lessons learned.</v>
      </c>
      <c r="M1002" t="str">
        <f>'Huong dan giao do an'!$B$33</f>
        <v>Tuần 1: 07.09–13.09.2026; Tuần 2: 14.09–20.09.2026; Tuần 3: 21.09–27.09.2026; Tuần 4: 28.09–04.10.2026; Tuần 5: 05.10–11.10.2026; Tuần 6: 12.10–18.10.2026; Tuần 7: 19.10–25.10.2026; Tuần 8: 26.10–01.11.2026.</v>
      </c>
      <c r="N10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2" s="17" t="str">
        <f t="shared" si="15"/>
        <v>Còn trống</v>
      </c>
    </row>
    <row r="1003" spans="1:16" x14ac:dyDescent="0.3">
      <c r="A1003">
        <v>1002</v>
      </c>
      <c r="B1003" t="s">
        <v>2315</v>
      </c>
      <c r="C1003" t="s">
        <v>2321</v>
      </c>
      <c r="D1003" t="s">
        <v>2322</v>
      </c>
      <c r="E1003" t="s">
        <v>26</v>
      </c>
      <c r="F1003" t="s">
        <v>2323</v>
      </c>
      <c r="G1003" t="s">
        <v>2324</v>
      </c>
      <c r="H1003" t="str">
        <f>'Huong dan giao do an'!$B$14</f>
        <v>5 SV (vai trò chính): 1 PM/Scrum Master kiêm Integration; 2 BA/PO; 3 UI-UX + Frontend; 4 Backend/API + DevOps; 5 Database + QA/Tester. Mỗi SV có nhiệm vụ phụ và minh chứng cá nhân.</v>
      </c>
      <c r="I1003" t="s">
        <v>29</v>
      </c>
      <c r="J1003" t="s">
        <v>2325</v>
      </c>
      <c r="K1003" t="str">
        <f>IF(I1003="Trung bình",'Huong dan giao do an'!$B$8,IF(I1003="Khá",'Huong dan giao do an'!$B$9,'Huong dan giao do an'!$B$10))</f>
        <v>Tối thiểu 5 actor; 14-18 use case; 10-15 bảng; 4 quy trình; tích hợp ngoài/realtime hoặc xử lý nâng cao; 3 báo cáo; &gt;=45 test case; logging, backup và deploy.</v>
      </c>
      <c r="L1003" t="str">
        <f>'Huong dan giao do an'!$B$31</f>
        <v>Bắt buộc: Charter/PMP; SRS + scope/WBS; Gantt/baseline; effort-cost budget; RACI/timesheet; quality-test-defect; communication/minutes; risk register; procurement; change log; closure/lessons learned.</v>
      </c>
      <c r="M1003" t="str">
        <f>'Huong dan giao do an'!$B$33</f>
        <v>Tuần 1: 07.09–13.09.2026; Tuần 2: 14.09–20.09.2026; Tuần 3: 21.09–27.09.2026; Tuần 4: 28.09–04.10.2026; Tuần 5: 05.10–11.10.2026; Tuần 6: 12.10–18.10.2026; Tuần 7: 19.10–25.10.2026; Tuần 8: 26.10–01.11.2026.</v>
      </c>
      <c r="N10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3" s="17" t="str">
        <f t="shared" si="15"/>
        <v>Còn trống</v>
      </c>
    </row>
    <row r="1004" spans="1:16" x14ac:dyDescent="0.3">
      <c r="A1004">
        <v>1003</v>
      </c>
      <c r="B1004" t="s">
        <v>2315</v>
      </c>
      <c r="C1004" t="s">
        <v>2326</v>
      </c>
      <c r="D1004" t="s">
        <v>2327</v>
      </c>
      <c r="E1004" t="s">
        <v>33</v>
      </c>
      <c r="F1004" t="s">
        <v>2328</v>
      </c>
      <c r="G1004" t="s">
        <v>2329</v>
      </c>
      <c r="H1004" t="str">
        <f>'Huong dan giao do an'!$B$14</f>
        <v>5 SV (vai trò chính): 1 PM/Scrum Master kiêm Integration; 2 BA/PO; 3 UI-UX + Frontend; 4 Backend/API + DevOps; 5 Database + QA/Tester. Mỗi SV có nhiệm vụ phụ và minh chứng cá nhân.</v>
      </c>
      <c r="I1004" t="s">
        <v>36</v>
      </c>
      <c r="J1004" t="s">
        <v>2330</v>
      </c>
      <c r="K1004" t="str">
        <f>IF(I1004="Trung bình",'Huong dan giao do an'!$B$8,IF(I1004="Khá",'Huong dan giao do an'!$B$9,'Huong dan giao do an'!$B$10))</f>
        <v>Tối thiểu 3 actor; 8-10 use case; 6-8 bảng dữ liệu; 2 quy trình lõi; đăng nhập/RBAC; 1 dashboard; 1 báo cáo; &gt;=25 test case; triển khai bản demo.</v>
      </c>
      <c r="L1004" t="str">
        <f>'Huong dan giao do an'!$B$31</f>
        <v>Bắt buộc: Charter/PMP; SRS + scope/WBS; Gantt/baseline; effort-cost budget; RACI/timesheet; quality-test-defect; communication/minutes; risk register; procurement; change log; closure/lessons learned.</v>
      </c>
      <c r="M1004" t="str">
        <f>'Huong dan giao do an'!$B$33</f>
        <v>Tuần 1: 07.09–13.09.2026; Tuần 2: 14.09–20.09.2026; Tuần 3: 21.09–27.09.2026; Tuần 4: 28.09–04.10.2026; Tuần 5: 05.10–11.10.2026; Tuần 6: 12.10–18.10.2026; Tuần 7: 19.10–25.10.2026; Tuần 8: 26.10–01.11.2026.</v>
      </c>
      <c r="N10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4" s="17" t="str">
        <f t="shared" si="15"/>
        <v>Còn trống</v>
      </c>
    </row>
    <row r="1005" spans="1:16" x14ac:dyDescent="0.3">
      <c r="A1005">
        <v>1004</v>
      </c>
      <c r="B1005" t="s">
        <v>2315</v>
      </c>
      <c r="C1005" t="s">
        <v>2331</v>
      </c>
      <c r="D1005" t="s">
        <v>2332</v>
      </c>
      <c r="E1005" t="s">
        <v>40</v>
      </c>
      <c r="F1005" t="s">
        <v>2333</v>
      </c>
      <c r="G1005" t="s">
        <v>2334</v>
      </c>
      <c r="H1005" t="str">
        <f>'Huong dan giao do an'!$B$14</f>
        <v>5 SV (vai trò chính): 1 PM/Scrum Master kiêm Integration; 2 BA/PO; 3 UI-UX + Frontend; 4 Backend/API + DevOps; 5 Database + QA/Tester. Mỗi SV có nhiệm vụ phụ và minh chứng cá nhân.</v>
      </c>
      <c r="I1005" t="s">
        <v>22</v>
      </c>
      <c r="J1005" t="s">
        <v>2320</v>
      </c>
      <c r="K1005" t="str">
        <f>IF(I1005="Trung bình",'Huong dan giao do an'!$B$8,IF(I1005="Khá",'Huong dan giao do an'!$B$9,'Huong dan giao do an'!$B$10))</f>
        <v>Tối thiểu 4 actor; 10-14 use case; 8-12 bảng; 3 quy trình lõi; phân quyền chi tiết; 2 báo cáo; tích hợp 1 dịch vụ; &gt;=35 test case; CI/CD hoặc deploy cloud.</v>
      </c>
      <c r="L1005" t="str">
        <f>'Huong dan giao do an'!$B$31</f>
        <v>Bắt buộc: Charter/PMP; SRS + scope/WBS; Gantt/baseline; effort-cost budget; RACI/timesheet; quality-test-defect; communication/minutes; risk register; procurement; change log; closure/lessons learned.</v>
      </c>
      <c r="M1005" t="str">
        <f>'Huong dan giao do an'!$B$33</f>
        <v>Tuần 1: 07.09–13.09.2026; Tuần 2: 14.09–20.09.2026; Tuần 3: 21.09–27.09.2026; Tuần 4: 28.09–04.10.2026; Tuần 5: 05.10–11.10.2026; Tuần 6: 12.10–18.10.2026; Tuần 7: 19.10–25.10.2026; Tuần 8: 26.10–01.11.2026.</v>
      </c>
      <c r="N10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5" s="17" t="str">
        <f t="shared" si="15"/>
        <v>Còn trống</v>
      </c>
    </row>
    <row r="1006" spans="1:16" x14ac:dyDescent="0.3">
      <c r="A1006">
        <v>1005</v>
      </c>
      <c r="B1006" t="s">
        <v>2315</v>
      </c>
      <c r="C1006" t="s">
        <v>2335</v>
      </c>
      <c r="D1006" t="s">
        <v>2336</v>
      </c>
      <c r="E1006" t="s">
        <v>45</v>
      </c>
      <c r="F1006" t="s">
        <v>2337</v>
      </c>
      <c r="G1006" t="s">
        <v>2338</v>
      </c>
      <c r="H1006" t="str">
        <f>'Huong dan giao do an'!$B$14</f>
        <v>5 SV (vai trò chính): 1 PM/Scrum Master kiêm Integration; 2 BA/PO; 3 UI-UX + Frontend; 4 Backend/API + DevOps; 5 Database + QA/Tester. Mỗi SV có nhiệm vụ phụ và minh chứng cá nhân.</v>
      </c>
      <c r="I1006" t="s">
        <v>29</v>
      </c>
      <c r="J1006" t="s">
        <v>2325</v>
      </c>
      <c r="K1006" t="str">
        <f>IF(I1006="Trung bình",'Huong dan giao do an'!$B$8,IF(I1006="Khá",'Huong dan giao do an'!$B$9,'Huong dan giao do an'!$B$10))</f>
        <v>Tối thiểu 5 actor; 14-18 use case; 10-15 bảng; 4 quy trình; tích hợp ngoài/realtime hoặc xử lý nâng cao; 3 báo cáo; &gt;=45 test case; logging, backup và deploy.</v>
      </c>
      <c r="L1006" t="str">
        <f>'Huong dan giao do an'!$B$31</f>
        <v>Bắt buộc: Charter/PMP; SRS + scope/WBS; Gantt/baseline; effort-cost budget; RACI/timesheet; quality-test-defect; communication/minutes; risk register; procurement; change log; closure/lessons learned.</v>
      </c>
      <c r="M1006" t="str">
        <f>'Huong dan giao do an'!$B$33</f>
        <v>Tuần 1: 07.09–13.09.2026; Tuần 2: 14.09–20.09.2026; Tuần 3: 21.09–27.09.2026; Tuần 4: 28.09–04.10.2026; Tuần 5: 05.10–11.10.2026; Tuần 6: 12.10–18.10.2026; Tuần 7: 19.10–25.10.2026; Tuần 8: 26.10–01.11.2026.</v>
      </c>
      <c r="N10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6" s="17" t="str">
        <f t="shared" si="15"/>
        <v>Còn trống</v>
      </c>
    </row>
    <row r="1007" spans="1:16" x14ac:dyDescent="0.3">
      <c r="A1007">
        <v>1006</v>
      </c>
      <c r="B1007" t="s">
        <v>2315</v>
      </c>
      <c r="C1007" t="s">
        <v>2339</v>
      </c>
      <c r="D1007" t="s">
        <v>2340</v>
      </c>
      <c r="E1007" t="s">
        <v>19</v>
      </c>
      <c r="F1007" t="s">
        <v>2318</v>
      </c>
      <c r="G1007" t="s">
        <v>2341</v>
      </c>
      <c r="H1007" t="str">
        <f>'Huong dan giao do an'!$B$14</f>
        <v>5 SV (vai trò chính): 1 PM/Scrum Master kiêm Integration; 2 BA/PO; 3 UI-UX + Frontend; 4 Backend/API + DevOps; 5 Database + QA/Tester. Mỗi SV có nhiệm vụ phụ và minh chứng cá nhân.</v>
      </c>
      <c r="I1007" t="s">
        <v>36</v>
      </c>
      <c r="J1007" t="s">
        <v>2330</v>
      </c>
      <c r="K1007" t="str">
        <f>IF(I1007="Trung bình",'Huong dan giao do an'!$B$8,IF(I1007="Khá",'Huong dan giao do an'!$B$9,'Huong dan giao do an'!$B$10))</f>
        <v>Tối thiểu 3 actor; 8-10 use case; 6-8 bảng dữ liệu; 2 quy trình lõi; đăng nhập/RBAC; 1 dashboard; 1 báo cáo; &gt;=25 test case; triển khai bản demo.</v>
      </c>
      <c r="L1007" t="str">
        <f>'Huong dan giao do an'!$B$31</f>
        <v>Bắt buộc: Charter/PMP; SRS + scope/WBS; Gantt/baseline; effort-cost budget; RACI/timesheet; quality-test-defect; communication/minutes; risk register; procurement; change log; closure/lessons learned.</v>
      </c>
      <c r="M1007" t="str">
        <f>'Huong dan giao do an'!$B$33</f>
        <v>Tuần 1: 07.09–13.09.2026; Tuần 2: 14.09–20.09.2026; Tuần 3: 21.09–27.09.2026; Tuần 4: 28.09–04.10.2026; Tuần 5: 05.10–11.10.2026; Tuần 6: 12.10–18.10.2026; Tuần 7: 19.10–25.10.2026; Tuần 8: 26.10–01.11.2026.</v>
      </c>
      <c r="N10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7" s="17" t="str">
        <f t="shared" si="15"/>
        <v>Còn trống</v>
      </c>
    </row>
    <row r="1008" spans="1:16" x14ac:dyDescent="0.3">
      <c r="A1008">
        <v>1007</v>
      </c>
      <c r="B1008" t="s">
        <v>2315</v>
      </c>
      <c r="C1008" t="s">
        <v>2342</v>
      </c>
      <c r="D1008" t="s">
        <v>2343</v>
      </c>
      <c r="E1008" t="s">
        <v>26</v>
      </c>
      <c r="F1008" t="s">
        <v>2323</v>
      </c>
      <c r="G1008" t="s">
        <v>2344</v>
      </c>
      <c r="H1008" t="str">
        <f>'Huong dan giao do an'!$B$14</f>
        <v>5 SV (vai trò chính): 1 PM/Scrum Master kiêm Integration; 2 BA/PO; 3 UI-UX + Frontend; 4 Backend/API + DevOps; 5 Database + QA/Tester. Mỗi SV có nhiệm vụ phụ và minh chứng cá nhân.</v>
      </c>
      <c r="I1008" t="s">
        <v>22</v>
      </c>
      <c r="J1008" t="s">
        <v>2320</v>
      </c>
      <c r="K1008" t="str">
        <f>IF(I1008="Trung bình",'Huong dan giao do an'!$B$8,IF(I1008="Khá",'Huong dan giao do an'!$B$9,'Huong dan giao do an'!$B$10))</f>
        <v>Tối thiểu 4 actor; 10-14 use case; 8-12 bảng; 3 quy trình lõi; phân quyền chi tiết; 2 báo cáo; tích hợp 1 dịch vụ; &gt;=35 test case; CI/CD hoặc deploy cloud.</v>
      </c>
      <c r="L1008" t="str">
        <f>'Huong dan giao do an'!$B$31</f>
        <v>Bắt buộc: Charter/PMP; SRS + scope/WBS; Gantt/baseline; effort-cost budget; RACI/timesheet; quality-test-defect; communication/minutes; risk register; procurement; change log; closure/lessons learned.</v>
      </c>
      <c r="M1008" t="str">
        <f>'Huong dan giao do an'!$B$33</f>
        <v>Tuần 1: 07.09–13.09.2026; Tuần 2: 14.09–20.09.2026; Tuần 3: 21.09–27.09.2026; Tuần 4: 28.09–04.10.2026; Tuần 5: 05.10–11.10.2026; Tuần 6: 12.10–18.10.2026; Tuần 7: 19.10–25.10.2026; Tuần 8: 26.10–01.11.2026.</v>
      </c>
      <c r="N10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8" s="17" t="str">
        <f t="shared" si="15"/>
        <v>Còn trống</v>
      </c>
    </row>
    <row r="1009" spans="1:16" x14ac:dyDescent="0.3">
      <c r="A1009">
        <v>1008</v>
      </c>
      <c r="B1009" t="s">
        <v>2315</v>
      </c>
      <c r="C1009" t="s">
        <v>2345</v>
      </c>
      <c r="D1009" t="s">
        <v>2346</v>
      </c>
      <c r="E1009" t="s">
        <v>33</v>
      </c>
      <c r="F1009" t="s">
        <v>2328</v>
      </c>
      <c r="G1009" t="s">
        <v>2347</v>
      </c>
      <c r="H1009" t="str">
        <f>'Huong dan giao do an'!$B$14</f>
        <v>5 SV (vai trò chính): 1 PM/Scrum Master kiêm Integration; 2 BA/PO; 3 UI-UX + Frontend; 4 Backend/API + DevOps; 5 Database + QA/Tester. Mỗi SV có nhiệm vụ phụ và minh chứng cá nhân.</v>
      </c>
      <c r="I1009" t="s">
        <v>29</v>
      </c>
      <c r="J1009" t="s">
        <v>2325</v>
      </c>
      <c r="K1009" t="str">
        <f>IF(I1009="Trung bình",'Huong dan giao do an'!$B$8,IF(I1009="Khá",'Huong dan giao do an'!$B$9,'Huong dan giao do an'!$B$10))</f>
        <v>Tối thiểu 5 actor; 14-18 use case; 10-15 bảng; 4 quy trình; tích hợp ngoài/realtime hoặc xử lý nâng cao; 3 báo cáo; &gt;=45 test case; logging, backup và deploy.</v>
      </c>
      <c r="L1009" t="str">
        <f>'Huong dan giao do an'!$B$31</f>
        <v>Bắt buộc: Charter/PMP; SRS + scope/WBS; Gantt/baseline; effort-cost budget; RACI/timesheet; quality-test-defect; communication/minutes; risk register; procurement; change log; closure/lessons learned.</v>
      </c>
      <c r="M1009" t="str">
        <f>'Huong dan giao do an'!$B$33</f>
        <v>Tuần 1: 07.09–13.09.2026; Tuần 2: 14.09–20.09.2026; Tuần 3: 21.09–27.09.2026; Tuần 4: 28.09–04.10.2026; Tuần 5: 05.10–11.10.2026; Tuần 6: 12.10–18.10.2026; Tuần 7: 19.10–25.10.2026; Tuần 8: 26.10–01.11.2026.</v>
      </c>
      <c r="N10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09" s="17" t="str">
        <f t="shared" si="15"/>
        <v>Còn trống</v>
      </c>
    </row>
    <row r="1010" spans="1:16" x14ac:dyDescent="0.3">
      <c r="A1010">
        <v>1009</v>
      </c>
      <c r="B1010" t="s">
        <v>2315</v>
      </c>
      <c r="C1010" t="s">
        <v>2348</v>
      </c>
      <c r="D1010" t="s">
        <v>2349</v>
      </c>
      <c r="E1010" t="s">
        <v>40</v>
      </c>
      <c r="F1010" t="s">
        <v>2333</v>
      </c>
      <c r="G1010" t="s">
        <v>2350</v>
      </c>
      <c r="H1010" t="str">
        <f>'Huong dan giao do an'!$B$14</f>
        <v>5 SV (vai trò chính): 1 PM/Scrum Master kiêm Integration; 2 BA/PO; 3 UI-UX + Frontend; 4 Backend/API + DevOps; 5 Database + QA/Tester. Mỗi SV có nhiệm vụ phụ và minh chứng cá nhân.</v>
      </c>
      <c r="I1010" t="s">
        <v>36</v>
      </c>
      <c r="J1010" t="s">
        <v>2330</v>
      </c>
      <c r="K1010" t="str">
        <f>IF(I1010="Trung bình",'Huong dan giao do an'!$B$8,IF(I1010="Khá",'Huong dan giao do an'!$B$9,'Huong dan giao do an'!$B$10))</f>
        <v>Tối thiểu 3 actor; 8-10 use case; 6-8 bảng dữ liệu; 2 quy trình lõi; đăng nhập/RBAC; 1 dashboard; 1 báo cáo; &gt;=25 test case; triển khai bản demo.</v>
      </c>
      <c r="L1010" t="str">
        <f>'Huong dan giao do an'!$B$31</f>
        <v>Bắt buộc: Charter/PMP; SRS + scope/WBS; Gantt/baseline; effort-cost budget; RACI/timesheet; quality-test-defect; communication/minutes; risk register; procurement; change log; closure/lessons learned.</v>
      </c>
      <c r="M1010" t="str">
        <f>'Huong dan giao do an'!$B$33</f>
        <v>Tuần 1: 07.09–13.09.2026; Tuần 2: 14.09–20.09.2026; Tuần 3: 21.09–27.09.2026; Tuần 4: 28.09–04.10.2026; Tuần 5: 05.10–11.10.2026; Tuần 6: 12.10–18.10.2026; Tuần 7: 19.10–25.10.2026; Tuần 8: 26.10–01.11.2026.</v>
      </c>
      <c r="N10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0" s="17" t="str">
        <f t="shared" si="15"/>
        <v>Còn trống</v>
      </c>
    </row>
    <row r="1011" spans="1:16" x14ac:dyDescent="0.3">
      <c r="A1011">
        <v>1010</v>
      </c>
      <c r="B1011" t="s">
        <v>2315</v>
      </c>
      <c r="C1011" t="s">
        <v>2351</v>
      </c>
      <c r="D1011" t="s">
        <v>2352</v>
      </c>
      <c r="E1011" t="s">
        <v>45</v>
      </c>
      <c r="F1011" t="s">
        <v>2337</v>
      </c>
      <c r="G1011" t="s">
        <v>2353</v>
      </c>
      <c r="H1011" t="str">
        <f>'Huong dan giao do an'!$B$14</f>
        <v>5 SV (vai trò chính): 1 PM/Scrum Master kiêm Integration; 2 BA/PO; 3 UI-UX + Frontend; 4 Backend/API + DevOps; 5 Database + QA/Tester. Mỗi SV có nhiệm vụ phụ và minh chứng cá nhân.</v>
      </c>
      <c r="I1011" t="s">
        <v>22</v>
      </c>
      <c r="J1011" t="s">
        <v>2320</v>
      </c>
      <c r="K1011" t="str">
        <f>IF(I1011="Trung bình",'Huong dan giao do an'!$B$8,IF(I1011="Khá",'Huong dan giao do an'!$B$9,'Huong dan giao do an'!$B$10))</f>
        <v>Tối thiểu 4 actor; 10-14 use case; 8-12 bảng; 3 quy trình lõi; phân quyền chi tiết; 2 báo cáo; tích hợp 1 dịch vụ; &gt;=35 test case; CI/CD hoặc deploy cloud.</v>
      </c>
      <c r="L1011" t="str">
        <f>'Huong dan giao do an'!$B$31</f>
        <v>Bắt buộc: Charter/PMP; SRS + scope/WBS; Gantt/baseline; effort-cost budget; RACI/timesheet; quality-test-defect; communication/minutes; risk register; procurement; change log; closure/lessons learned.</v>
      </c>
      <c r="M1011" t="str">
        <f>'Huong dan giao do an'!$B$33</f>
        <v>Tuần 1: 07.09–13.09.2026; Tuần 2: 14.09–20.09.2026; Tuần 3: 21.09–27.09.2026; Tuần 4: 28.09–04.10.2026; Tuần 5: 05.10–11.10.2026; Tuần 6: 12.10–18.10.2026; Tuần 7: 19.10–25.10.2026; Tuần 8: 26.10–01.11.2026.</v>
      </c>
      <c r="N10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1" s="17" t="str">
        <f t="shared" si="15"/>
        <v>Còn trống</v>
      </c>
    </row>
    <row r="1012" spans="1:16" x14ac:dyDescent="0.3">
      <c r="A1012">
        <v>1011</v>
      </c>
      <c r="B1012" t="s">
        <v>2315</v>
      </c>
      <c r="C1012" t="s">
        <v>2354</v>
      </c>
      <c r="D1012" t="s">
        <v>2355</v>
      </c>
      <c r="E1012" t="s">
        <v>19</v>
      </c>
      <c r="F1012" t="s">
        <v>2318</v>
      </c>
      <c r="G1012" t="s">
        <v>2356</v>
      </c>
      <c r="H1012" t="str">
        <f>'Huong dan giao do an'!$B$14</f>
        <v>5 SV (vai trò chính): 1 PM/Scrum Master kiêm Integration; 2 BA/PO; 3 UI-UX + Frontend; 4 Backend/API + DevOps; 5 Database + QA/Tester. Mỗi SV có nhiệm vụ phụ và minh chứng cá nhân.</v>
      </c>
      <c r="I1012" t="s">
        <v>29</v>
      </c>
      <c r="J1012" t="s">
        <v>2325</v>
      </c>
      <c r="K1012" t="str">
        <f>IF(I1012="Trung bình",'Huong dan giao do an'!$B$8,IF(I1012="Khá",'Huong dan giao do an'!$B$9,'Huong dan giao do an'!$B$10))</f>
        <v>Tối thiểu 5 actor; 14-18 use case; 10-15 bảng; 4 quy trình; tích hợp ngoài/realtime hoặc xử lý nâng cao; 3 báo cáo; &gt;=45 test case; logging, backup và deploy.</v>
      </c>
      <c r="L1012" t="str">
        <f>'Huong dan giao do an'!$B$31</f>
        <v>Bắt buộc: Charter/PMP; SRS + scope/WBS; Gantt/baseline; effort-cost budget; RACI/timesheet; quality-test-defect; communication/minutes; risk register; procurement; change log; closure/lessons learned.</v>
      </c>
      <c r="M1012" t="str">
        <f>'Huong dan giao do an'!$B$33</f>
        <v>Tuần 1: 07.09–13.09.2026; Tuần 2: 14.09–20.09.2026; Tuần 3: 21.09–27.09.2026; Tuần 4: 28.09–04.10.2026; Tuần 5: 05.10–11.10.2026; Tuần 6: 12.10–18.10.2026; Tuần 7: 19.10–25.10.2026; Tuần 8: 26.10–01.11.2026.</v>
      </c>
      <c r="N10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2" s="17" t="str">
        <f t="shared" si="15"/>
        <v>Còn trống</v>
      </c>
    </row>
    <row r="1013" spans="1:16" x14ac:dyDescent="0.3">
      <c r="A1013">
        <v>1012</v>
      </c>
      <c r="B1013" t="s">
        <v>2315</v>
      </c>
      <c r="C1013" t="s">
        <v>2357</v>
      </c>
      <c r="D1013" t="s">
        <v>2358</v>
      </c>
      <c r="E1013" t="s">
        <v>26</v>
      </c>
      <c r="F1013" t="s">
        <v>2323</v>
      </c>
      <c r="G1013" t="s">
        <v>2359</v>
      </c>
      <c r="H1013" t="str">
        <f>'Huong dan giao do an'!$B$14</f>
        <v>5 SV (vai trò chính): 1 PM/Scrum Master kiêm Integration; 2 BA/PO; 3 UI-UX + Frontend; 4 Backend/API + DevOps; 5 Database + QA/Tester. Mỗi SV có nhiệm vụ phụ và minh chứng cá nhân.</v>
      </c>
      <c r="I1013" t="s">
        <v>36</v>
      </c>
      <c r="J1013" t="s">
        <v>2330</v>
      </c>
      <c r="K1013" t="str">
        <f>IF(I1013="Trung bình",'Huong dan giao do an'!$B$8,IF(I1013="Khá",'Huong dan giao do an'!$B$9,'Huong dan giao do an'!$B$10))</f>
        <v>Tối thiểu 3 actor; 8-10 use case; 6-8 bảng dữ liệu; 2 quy trình lõi; đăng nhập/RBAC; 1 dashboard; 1 báo cáo; &gt;=25 test case; triển khai bản demo.</v>
      </c>
      <c r="L1013" t="str">
        <f>'Huong dan giao do an'!$B$31</f>
        <v>Bắt buộc: Charter/PMP; SRS + scope/WBS; Gantt/baseline; effort-cost budget; RACI/timesheet; quality-test-defect; communication/minutes; risk register; procurement; change log; closure/lessons learned.</v>
      </c>
      <c r="M1013" t="str">
        <f>'Huong dan giao do an'!$B$33</f>
        <v>Tuần 1: 07.09–13.09.2026; Tuần 2: 14.09–20.09.2026; Tuần 3: 21.09–27.09.2026; Tuần 4: 28.09–04.10.2026; Tuần 5: 05.10–11.10.2026; Tuần 6: 12.10–18.10.2026; Tuần 7: 19.10–25.10.2026; Tuần 8: 26.10–01.11.2026.</v>
      </c>
      <c r="N10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3" s="17" t="str">
        <f t="shared" si="15"/>
        <v>Còn trống</v>
      </c>
    </row>
    <row r="1014" spans="1:16" x14ac:dyDescent="0.3">
      <c r="A1014">
        <v>1013</v>
      </c>
      <c r="B1014" t="s">
        <v>2315</v>
      </c>
      <c r="C1014" t="s">
        <v>2360</v>
      </c>
      <c r="D1014" t="s">
        <v>2361</v>
      </c>
      <c r="E1014" t="s">
        <v>33</v>
      </c>
      <c r="F1014" t="s">
        <v>2328</v>
      </c>
      <c r="G1014" t="s">
        <v>2362</v>
      </c>
      <c r="H1014" t="str">
        <f>'Huong dan giao do an'!$B$14</f>
        <v>5 SV (vai trò chính): 1 PM/Scrum Master kiêm Integration; 2 BA/PO; 3 UI-UX + Frontend; 4 Backend/API + DevOps; 5 Database + QA/Tester. Mỗi SV có nhiệm vụ phụ và minh chứng cá nhân.</v>
      </c>
      <c r="I1014" t="s">
        <v>22</v>
      </c>
      <c r="J1014" t="s">
        <v>2320</v>
      </c>
      <c r="K1014" t="str">
        <f>IF(I1014="Trung bình",'Huong dan giao do an'!$B$8,IF(I1014="Khá",'Huong dan giao do an'!$B$9,'Huong dan giao do an'!$B$10))</f>
        <v>Tối thiểu 4 actor; 10-14 use case; 8-12 bảng; 3 quy trình lõi; phân quyền chi tiết; 2 báo cáo; tích hợp 1 dịch vụ; &gt;=35 test case; CI/CD hoặc deploy cloud.</v>
      </c>
      <c r="L1014" t="str">
        <f>'Huong dan giao do an'!$B$31</f>
        <v>Bắt buộc: Charter/PMP; SRS + scope/WBS; Gantt/baseline; effort-cost budget; RACI/timesheet; quality-test-defect; communication/minutes; risk register; procurement; change log; closure/lessons learned.</v>
      </c>
      <c r="M1014" t="str">
        <f>'Huong dan giao do an'!$B$33</f>
        <v>Tuần 1: 07.09–13.09.2026; Tuần 2: 14.09–20.09.2026; Tuần 3: 21.09–27.09.2026; Tuần 4: 28.09–04.10.2026; Tuần 5: 05.10–11.10.2026; Tuần 6: 12.10–18.10.2026; Tuần 7: 19.10–25.10.2026; Tuần 8: 26.10–01.11.2026.</v>
      </c>
      <c r="N10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4" s="17" t="str">
        <f t="shared" si="15"/>
        <v>Còn trống</v>
      </c>
    </row>
    <row r="1015" spans="1:16" x14ac:dyDescent="0.3">
      <c r="A1015">
        <v>1014</v>
      </c>
      <c r="B1015" t="s">
        <v>2315</v>
      </c>
      <c r="C1015" t="s">
        <v>2363</v>
      </c>
      <c r="D1015" t="s">
        <v>2364</v>
      </c>
      <c r="E1015" t="s">
        <v>40</v>
      </c>
      <c r="F1015" t="s">
        <v>2333</v>
      </c>
      <c r="G1015" t="s">
        <v>2365</v>
      </c>
      <c r="H1015" t="str">
        <f>'Huong dan giao do an'!$B$14</f>
        <v>5 SV (vai trò chính): 1 PM/Scrum Master kiêm Integration; 2 BA/PO; 3 UI-UX + Frontend; 4 Backend/API + DevOps; 5 Database + QA/Tester. Mỗi SV có nhiệm vụ phụ và minh chứng cá nhân.</v>
      </c>
      <c r="I1015" t="s">
        <v>29</v>
      </c>
      <c r="J1015" t="s">
        <v>2325</v>
      </c>
      <c r="K1015" t="str">
        <f>IF(I1015="Trung bình",'Huong dan giao do an'!$B$8,IF(I1015="Khá",'Huong dan giao do an'!$B$9,'Huong dan giao do an'!$B$10))</f>
        <v>Tối thiểu 5 actor; 14-18 use case; 10-15 bảng; 4 quy trình; tích hợp ngoài/realtime hoặc xử lý nâng cao; 3 báo cáo; &gt;=45 test case; logging, backup và deploy.</v>
      </c>
      <c r="L1015" t="str">
        <f>'Huong dan giao do an'!$B$31</f>
        <v>Bắt buộc: Charter/PMP; SRS + scope/WBS; Gantt/baseline; effort-cost budget; RACI/timesheet; quality-test-defect; communication/minutes; risk register; procurement; change log; closure/lessons learned.</v>
      </c>
      <c r="M1015" t="str">
        <f>'Huong dan giao do an'!$B$33</f>
        <v>Tuần 1: 07.09–13.09.2026; Tuần 2: 14.09–20.09.2026; Tuần 3: 21.09–27.09.2026; Tuần 4: 28.09–04.10.2026; Tuần 5: 05.10–11.10.2026; Tuần 6: 12.10–18.10.2026; Tuần 7: 19.10–25.10.2026; Tuần 8: 26.10–01.11.2026.</v>
      </c>
      <c r="N10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5" s="17" t="str">
        <f t="shared" si="15"/>
        <v>Còn trống</v>
      </c>
    </row>
    <row r="1016" spans="1:16" x14ac:dyDescent="0.3">
      <c r="A1016">
        <v>1015</v>
      </c>
      <c r="B1016" t="s">
        <v>2315</v>
      </c>
      <c r="C1016" t="s">
        <v>2366</v>
      </c>
      <c r="D1016" t="s">
        <v>2367</v>
      </c>
      <c r="E1016" t="s">
        <v>45</v>
      </c>
      <c r="F1016" t="s">
        <v>2337</v>
      </c>
      <c r="G1016" t="s">
        <v>2368</v>
      </c>
      <c r="H1016" t="str">
        <f>'Huong dan giao do an'!$B$14</f>
        <v>5 SV (vai trò chính): 1 PM/Scrum Master kiêm Integration; 2 BA/PO; 3 UI-UX + Frontend; 4 Backend/API + DevOps; 5 Database + QA/Tester. Mỗi SV có nhiệm vụ phụ và minh chứng cá nhân.</v>
      </c>
      <c r="I1016" t="s">
        <v>36</v>
      </c>
      <c r="J1016" t="s">
        <v>2330</v>
      </c>
      <c r="K1016" t="str">
        <f>IF(I1016="Trung bình",'Huong dan giao do an'!$B$8,IF(I1016="Khá",'Huong dan giao do an'!$B$9,'Huong dan giao do an'!$B$10))</f>
        <v>Tối thiểu 3 actor; 8-10 use case; 6-8 bảng dữ liệu; 2 quy trình lõi; đăng nhập/RBAC; 1 dashboard; 1 báo cáo; &gt;=25 test case; triển khai bản demo.</v>
      </c>
      <c r="L1016" t="str">
        <f>'Huong dan giao do an'!$B$31</f>
        <v>Bắt buộc: Charter/PMP; SRS + scope/WBS; Gantt/baseline; effort-cost budget; RACI/timesheet; quality-test-defect; communication/minutes; risk register; procurement; change log; closure/lessons learned.</v>
      </c>
      <c r="M1016" t="str">
        <f>'Huong dan giao do an'!$B$33</f>
        <v>Tuần 1: 07.09–13.09.2026; Tuần 2: 14.09–20.09.2026; Tuần 3: 21.09–27.09.2026; Tuần 4: 28.09–04.10.2026; Tuần 5: 05.10–11.10.2026; Tuần 6: 12.10–18.10.2026; Tuần 7: 19.10–25.10.2026; Tuần 8: 26.10–01.11.2026.</v>
      </c>
      <c r="N10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6" s="17" t="str">
        <f t="shared" si="15"/>
        <v>Còn trống</v>
      </c>
    </row>
    <row r="1017" spans="1:16" x14ac:dyDescent="0.3">
      <c r="A1017">
        <v>1016</v>
      </c>
      <c r="B1017" t="s">
        <v>2315</v>
      </c>
      <c r="C1017" t="s">
        <v>2369</v>
      </c>
      <c r="D1017" t="s">
        <v>2370</v>
      </c>
      <c r="E1017" t="s">
        <v>19</v>
      </c>
      <c r="F1017" t="s">
        <v>2318</v>
      </c>
      <c r="G1017" t="s">
        <v>2371</v>
      </c>
      <c r="H1017" t="str">
        <f>'Huong dan giao do an'!$B$14</f>
        <v>5 SV (vai trò chính): 1 PM/Scrum Master kiêm Integration; 2 BA/PO; 3 UI-UX + Frontend; 4 Backend/API + DevOps; 5 Database + QA/Tester. Mỗi SV có nhiệm vụ phụ và minh chứng cá nhân.</v>
      </c>
      <c r="I1017" t="s">
        <v>22</v>
      </c>
      <c r="J1017" t="s">
        <v>2320</v>
      </c>
      <c r="K1017" t="str">
        <f>IF(I1017="Trung bình",'Huong dan giao do an'!$B$8,IF(I1017="Khá",'Huong dan giao do an'!$B$9,'Huong dan giao do an'!$B$10))</f>
        <v>Tối thiểu 4 actor; 10-14 use case; 8-12 bảng; 3 quy trình lõi; phân quyền chi tiết; 2 báo cáo; tích hợp 1 dịch vụ; &gt;=35 test case; CI/CD hoặc deploy cloud.</v>
      </c>
      <c r="L1017" t="str">
        <f>'Huong dan giao do an'!$B$31</f>
        <v>Bắt buộc: Charter/PMP; SRS + scope/WBS; Gantt/baseline; effort-cost budget; RACI/timesheet; quality-test-defect; communication/minutes; risk register; procurement; change log; closure/lessons learned.</v>
      </c>
      <c r="M1017" t="str">
        <f>'Huong dan giao do an'!$B$33</f>
        <v>Tuần 1: 07.09–13.09.2026; Tuần 2: 14.09–20.09.2026; Tuần 3: 21.09–27.09.2026; Tuần 4: 28.09–04.10.2026; Tuần 5: 05.10–11.10.2026; Tuần 6: 12.10–18.10.2026; Tuần 7: 19.10–25.10.2026; Tuần 8: 26.10–01.11.2026.</v>
      </c>
      <c r="N10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7" s="17" t="str">
        <f t="shared" si="15"/>
        <v>Còn trống</v>
      </c>
    </row>
    <row r="1018" spans="1:16" x14ac:dyDescent="0.3">
      <c r="A1018">
        <v>1017</v>
      </c>
      <c r="B1018" t="s">
        <v>2315</v>
      </c>
      <c r="C1018" t="s">
        <v>2372</v>
      </c>
      <c r="D1018" t="s">
        <v>2373</v>
      </c>
      <c r="E1018" t="s">
        <v>26</v>
      </c>
      <c r="F1018" t="s">
        <v>2323</v>
      </c>
      <c r="G1018" t="s">
        <v>2374</v>
      </c>
      <c r="H1018" t="str">
        <f>'Huong dan giao do an'!$B$14</f>
        <v>5 SV (vai trò chính): 1 PM/Scrum Master kiêm Integration; 2 BA/PO; 3 UI-UX + Frontend; 4 Backend/API + DevOps; 5 Database + QA/Tester. Mỗi SV có nhiệm vụ phụ và minh chứng cá nhân.</v>
      </c>
      <c r="I1018" t="s">
        <v>29</v>
      </c>
      <c r="J1018" t="s">
        <v>2325</v>
      </c>
      <c r="K1018" t="str">
        <f>IF(I1018="Trung bình",'Huong dan giao do an'!$B$8,IF(I1018="Khá",'Huong dan giao do an'!$B$9,'Huong dan giao do an'!$B$10))</f>
        <v>Tối thiểu 5 actor; 14-18 use case; 10-15 bảng; 4 quy trình; tích hợp ngoài/realtime hoặc xử lý nâng cao; 3 báo cáo; &gt;=45 test case; logging, backup và deploy.</v>
      </c>
      <c r="L1018" t="str">
        <f>'Huong dan giao do an'!$B$31</f>
        <v>Bắt buộc: Charter/PMP; SRS + scope/WBS; Gantt/baseline; effort-cost budget; RACI/timesheet; quality-test-defect; communication/minutes; risk register; procurement; change log; closure/lessons learned.</v>
      </c>
      <c r="M1018" t="str">
        <f>'Huong dan giao do an'!$B$33</f>
        <v>Tuần 1: 07.09–13.09.2026; Tuần 2: 14.09–20.09.2026; Tuần 3: 21.09–27.09.2026; Tuần 4: 28.09–04.10.2026; Tuần 5: 05.10–11.10.2026; Tuần 6: 12.10–18.10.2026; Tuần 7: 19.10–25.10.2026; Tuần 8: 26.10–01.11.2026.</v>
      </c>
      <c r="N10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8" s="17" t="str">
        <f t="shared" si="15"/>
        <v>Còn trống</v>
      </c>
    </row>
    <row r="1019" spans="1:16" x14ac:dyDescent="0.3">
      <c r="A1019">
        <v>1018</v>
      </c>
      <c r="B1019" t="s">
        <v>2315</v>
      </c>
      <c r="C1019" t="s">
        <v>2375</v>
      </c>
      <c r="D1019" t="s">
        <v>2376</v>
      </c>
      <c r="E1019" t="s">
        <v>33</v>
      </c>
      <c r="F1019" t="s">
        <v>2328</v>
      </c>
      <c r="G1019" t="s">
        <v>2377</v>
      </c>
      <c r="H1019" t="str">
        <f>'Huong dan giao do an'!$B$14</f>
        <v>5 SV (vai trò chính): 1 PM/Scrum Master kiêm Integration; 2 BA/PO; 3 UI-UX + Frontend; 4 Backend/API + DevOps; 5 Database + QA/Tester. Mỗi SV có nhiệm vụ phụ và minh chứng cá nhân.</v>
      </c>
      <c r="I1019" t="s">
        <v>36</v>
      </c>
      <c r="J1019" t="s">
        <v>2330</v>
      </c>
      <c r="K1019" t="str">
        <f>IF(I1019="Trung bình",'Huong dan giao do an'!$B$8,IF(I1019="Khá",'Huong dan giao do an'!$B$9,'Huong dan giao do an'!$B$10))</f>
        <v>Tối thiểu 3 actor; 8-10 use case; 6-8 bảng dữ liệu; 2 quy trình lõi; đăng nhập/RBAC; 1 dashboard; 1 báo cáo; &gt;=25 test case; triển khai bản demo.</v>
      </c>
      <c r="L1019" t="str">
        <f>'Huong dan giao do an'!$B$31</f>
        <v>Bắt buộc: Charter/PMP; SRS + scope/WBS; Gantt/baseline; effort-cost budget; RACI/timesheet; quality-test-defect; communication/minutes; risk register; procurement; change log; closure/lessons learned.</v>
      </c>
      <c r="M1019" t="str">
        <f>'Huong dan giao do an'!$B$33</f>
        <v>Tuần 1: 07.09–13.09.2026; Tuần 2: 14.09–20.09.2026; Tuần 3: 21.09–27.09.2026; Tuần 4: 28.09–04.10.2026; Tuần 5: 05.10–11.10.2026; Tuần 6: 12.10–18.10.2026; Tuần 7: 19.10–25.10.2026; Tuần 8: 26.10–01.11.2026.</v>
      </c>
      <c r="N10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19" s="17" t="str">
        <f t="shared" si="15"/>
        <v>Còn trống</v>
      </c>
    </row>
    <row r="1020" spans="1:16" x14ac:dyDescent="0.3">
      <c r="A1020">
        <v>1019</v>
      </c>
      <c r="B1020" t="s">
        <v>2315</v>
      </c>
      <c r="C1020" t="s">
        <v>2378</v>
      </c>
      <c r="D1020" t="s">
        <v>2379</v>
      </c>
      <c r="E1020" t="s">
        <v>40</v>
      </c>
      <c r="F1020" t="s">
        <v>2333</v>
      </c>
      <c r="G1020" t="s">
        <v>2380</v>
      </c>
      <c r="H1020" t="str">
        <f>'Huong dan giao do an'!$B$14</f>
        <v>5 SV (vai trò chính): 1 PM/Scrum Master kiêm Integration; 2 BA/PO; 3 UI-UX + Frontend; 4 Backend/API + DevOps; 5 Database + QA/Tester. Mỗi SV có nhiệm vụ phụ và minh chứng cá nhân.</v>
      </c>
      <c r="I1020" t="s">
        <v>22</v>
      </c>
      <c r="J1020" t="s">
        <v>2320</v>
      </c>
      <c r="K1020" t="str">
        <f>IF(I1020="Trung bình",'Huong dan giao do an'!$B$8,IF(I1020="Khá",'Huong dan giao do an'!$B$9,'Huong dan giao do an'!$B$10))</f>
        <v>Tối thiểu 4 actor; 10-14 use case; 8-12 bảng; 3 quy trình lõi; phân quyền chi tiết; 2 báo cáo; tích hợp 1 dịch vụ; &gt;=35 test case; CI/CD hoặc deploy cloud.</v>
      </c>
      <c r="L1020" t="str">
        <f>'Huong dan giao do an'!$B$31</f>
        <v>Bắt buộc: Charter/PMP; SRS + scope/WBS; Gantt/baseline; effort-cost budget; RACI/timesheet; quality-test-defect; communication/minutes; risk register; procurement; change log; closure/lessons learned.</v>
      </c>
      <c r="M1020" t="str">
        <f>'Huong dan giao do an'!$B$33</f>
        <v>Tuần 1: 07.09–13.09.2026; Tuần 2: 14.09–20.09.2026; Tuần 3: 21.09–27.09.2026; Tuần 4: 28.09–04.10.2026; Tuần 5: 05.10–11.10.2026; Tuần 6: 12.10–18.10.2026; Tuần 7: 19.10–25.10.2026; Tuần 8: 26.10–01.11.2026.</v>
      </c>
      <c r="N10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0" s="17" t="str">
        <f t="shared" si="15"/>
        <v>Còn trống</v>
      </c>
    </row>
    <row r="1021" spans="1:16" x14ac:dyDescent="0.3">
      <c r="A1021">
        <v>1020</v>
      </c>
      <c r="B1021" t="s">
        <v>2315</v>
      </c>
      <c r="C1021" t="s">
        <v>2381</v>
      </c>
      <c r="D1021" t="s">
        <v>2382</v>
      </c>
      <c r="E1021" t="s">
        <v>45</v>
      </c>
      <c r="F1021" t="s">
        <v>2337</v>
      </c>
      <c r="G1021" t="s">
        <v>2383</v>
      </c>
      <c r="H1021" t="str">
        <f>'Huong dan giao do an'!$B$14</f>
        <v>5 SV (vai trò chính): 1 PM/Scrum Master kiêm Integration; 2 BA/PO; 3 UI-UX + Frontend; 4 Backend/API + DevOps; 5 Database + QA/Tester. Mỗi SV có nhiệm vụ phụ và minh chứng cá nhân.</v>
      </c>
      <c r="I1021" t="s">
        <v>29</v>
      </c>
      <c r="J1021" t="s">
        <v>2325</v>
      </c>
      <c r="K1021" t="str">
        <f>IF(I1021="Trung bình",'Huong dan giao do an'!$B$8,IF(I1021="Khá",'Huong dan giao do an'!$B$9,'Huong dan giao do an'!$B$10))</f>
        <v>Tối thiểu 5 actor; 14-18 use case; 10-15 bảng; 4 quy trình; tích hợp ngoài/realtime hoặc xử lý nâng cao; 3 báo cáo; &gt;=45 test case; logging, backup và deploy.</v>
      </c>
      <c r="L1021" t="str">
        <f>'Huong dan giao do an'!$B$31</f>
        <v>Bắt buộc: Charter/PMP; SRS + scope/WBS; Gantt/baseline; effort-cost budget; RACI/timesheet; quality-test-defect; communication/minutes; risk register; procurement; change log; closure/lessons learned.</v>
      </c>
      <c r="M1021" t="str">
        <f>'Huong dan giao do an'!$B$33</f>
        <v>Tuần 1: 07.09–13.09.2026; Tuần 2: 14.09–20.09.2026; Tuần 3: 21.09–27.09.2026; Tuần 4: 28.09–04.10.2026; Tuần 5: 05.10–11.10.2026; Tuần 6: 12.10–18.10.2026; Tuần 7: 19.10–25.10.2026; Tuần 8: 26.10–01.11.2026.</v>
      </c>
      <c r="N10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1" s="17" t="str">
        <f t="shared" si="15"/>
        <v>Còn trống</v>
      </c>
    </row>
    <row r="1022" spans="1:16" x14ac:dyDescent="0.3">
      <c r="A1022">
        <v>1021</v>
      </c>
      <c r="B1022" t="s">
        <v>2315</v>
      </c>
      <c r="C1022" t="s">
        <v>2384</v>
      </c>
      <c r="D1022" t="s">
        <v>2385</v>
      </c>
      <c r="E1022" t="s">
        <v>19</v>
      </c>
      <c r="F1022" t="s">
        <v>2318</v>
      </c>
      <c r="G1022" t="s">
        <v>2319</v>
      </c>
      <c r="H1022" t="str">
        <f>'Huong dan giao do an'!$B$14</f>
        <v>5 SV (vai trò chính): 1 PM/Scrum Master kiêm Integration; 2 BA/PO; 3 UI-UX + Frontend; 4 Backend/API + DevOps; 5 Database + QA/Tester. Mỗi SV có nhiệm vụ phụ và minh chứng cá nhân.</v>
      </c>
      <c r="I1022" t="s">
        <v>22</v>
      </c>
      <c r="J1022" t="s">
        <v>2320</v>
      </c>
      <c r="K1022" t="str">
        <f>IF(I1022="Trung bình",'Huong dan giao do an'!$B$8,IF(I1022="Khá",'Huong dan giao do an'!$B$9,'Huong dan giao do an'!$B$10))</f>
        <v>Tối thiểu 4 actor; 10-14 use case; 8-12 bảng; 3 quy trình lõi; phân quyền chi tiết; 2 báo cáo; tích hợp 1 dịch vụ; &gt;=35 test case; CI/CD hoặc deploy cloud.</v>
      </c>
      <c r="L1022" t="str">
        <f>'Huong dan giao do an'!$B$31</f>
        <v>Bắt buộc: Charter/PMP; SRS + scope/WBS; Gantt/baseline; effort-cost budget; RACI/timesheet; quality-test-defect; communication/minutes; risk register; procurement; change log; closure/lessons learned.</v>
      </c>
      <c r="M1022" t="str">
        <f>'Huong dan giao do an'!$B$33</f>
        <v>Tuần 1: 07.09–13.09.2026; Tuần 2: 14.09–20.09.2026; Tuần 3: 21.09–27.09.2026; Tuần 4: 28.09–04.10.2026; Tuần 5: 05.10–11.10.2026; Tuần 6: 12.10–18.10.2026; Tuần 7: 19.10–25.10.2026; Tuần 8: 26.10–01.11.2026.</v>
      </c>
      <c r="N10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2" s="17" t="str">
        <f t="shared" si="15"/>
        <v>Còn trống</v>
      </c>
    </row>
    <row r="1023" spans="1:16" x14ac:dyDescent="0.3">
      <c r="A1023">
        <v>1022</v>
      </c>
      <c r="B1023" t="s">
        <v>2315</v>
      </c>
      <c r="C1023" t="s">
        <v>2386</v>
      </c>
      <c r="D1023" t="s">
        <v>2387</v>
      </c>
      <c r="E1023" t="s">
        <v>26</v>
      </c>
      <c r="F1023" t="s">
        <v>2323</v>
      </c>
      <c r="G1023" t="s">
        <v>2324</v>
      </c>
      <c r="H1023" t="str">
        <f>'Huong dan giao do an'!$B$14</f>
        <v>5 SV (vai trò chính): 1 PM/Scrum Master kiêm Integration; 2 BA/PO; 3 UI-UX + Frontend; 4 Backend/API + DevOps; 5 Database + QA/Tester. Mỗi SV có nhiệm vụ phụ và minh chứng cá nhân.</v>
      </c>
      <c r="I1023" t="s">
        <v>29</v>
      </c>
      <c r="J1023" t="s">
        <v>2325</v>
      </c>
      <c r="K1023" t="str">
        <f>IF(I1023="Trung bình",'Huong dan giao do an'!$B$8,IF(I1023="Khá",'Huong dan giao do an'!$B$9,'Huong dan giao do an'!$B$10))</f>
        <v>Tối thiểu 5 actor; 14-18 use case; 10-15 bảng; 4 quy trình; tích hợp ngoài/realtime hoặc xử lý nâng cao; 3 báo cáo; &gt;=45 test case; logging, backup và deploy.</v>
      </c>
      <c r="L1023" t="str">
        <f>'Huong dan giao do an'!$B$31</f>
        <v>Bắt buộc: Charter/PMP; SRS + scope/WBS; Gantt/baseline; effort-cost budget; RACI/timesheet; quality-test-defect; communication/minutes; risk register; procurement; change log; closure/lessons learned.</v>
      </c>
      <c r="M1023" t="str">
        <f>'Huong dan giao do an'!$B$33</f>
        <v>Tuần 1: 07.09–13.09.2026; Tuần 2: 14.09–20.09.2026; Tuần 3: 21.09–27.09.2026; Tuần 4: 28.09–04.10.2026; Tuần 5: 05.10–11.10.2026; Tuần 6: 12.10–18.10.2026; Tuần 7: 19.10–25.10.2026; Tuần 8: 26.10–01.11.2026.</v>
      </c>
      <c r="N10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3" s="17" t="str">
        <f t="shared" si="15"/>
        <v>Còn trống</v>
      </c>
    </row>
    <row r="1024" spans="1:16" x14ac:dyDescent="0.3">
      <c r="A1024">
        <v>1023</v>
      </c>
      <c r="B1024" t="s">
        <v>2315</v>
      </c>
      <c r="C1024" t="s">
        <v>2388</v>
      </c>
      <c r="D1024" t="s">
        <v>2389</v>
      </c>
      <c r="E1024" t="s">
        <v>33</v>
      </c>
      <c r="F1024" t="s">
        <v>2328</v>
      </c>
      <c r="G1024" t="s">
        <v>2329</v>
      </c>
      <c r="H1024" t="str">
        <f>'Huong dan giao do an'!$B$14</f>
        <v>5 SV (vai trò chính): 1 PM/Scrum Master kiêm Integration; 2 BA/PO; 3 UI-UX + Frontend; 4 Backend/API + DevOps; 5 Database + QA/Tester. Mỗi SV có nhiệm vụ phụ và minh chứng cá nhân.</v>
      </c>
      <c r="I1024" t="s">
        <v>36</v>
      </c>
      <c r="J1024" t="s">
        <v>2330</v>
      </c>
      <c r="K1024" t="str">
        <f>IF(I1024="Trung bình",'Huong dan giao do an'!$B$8,IF(I1024="Khá",'Huong dan giao do an'!$B$9,'Huong dan giao do an'!$B$10))</f>
        <v>Tối thiểu 3 actor; 8-10 use case; 6-8 bảng dữ liệu; 2 quy trình lõi; đăng nhập/RBAC; 1 dashboard; 1 báo cáo; &gt;=25 test case; triển khai bản demo.</v>
      </c>
      <c r="L1024" t="str">
        <f>'Huong dan giao do an'!$B$31</f>
        <v>Bắt buộc: Charter/PMP; SRS + scope/WBS; Gantt/baseline; effort-cost budget; RACI/timesheet; quality-test-defect; communication/minutes; risk register; procurement; change log; closure/lessons learned.</v>
      </c>
      <c r="M1024" t="str">
        <f>'Huong dan giao do an'!$B$33</f>
        <v>Tuần 1: 07.09–13.09.2026; Tuần 2: 14.09–20.09.2026; Tuần 3: 21.09–27.09.2026; Tuần 4: 28.09–04.10.2026; Tuần 5: 05.10–11.10.2026; Tuần 6: 12.10–18.10.2026; Tuần 7: 19.10–25.10.2026; Tuần 8: 26.10–01.11.2026.</v>
      </c>
      <c r="N10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4" s="17" t="str">
        <f t="shared" si="15"/>
        <v>Còn trống</v>
      </c>
    </row>
    <row r="1025" spans="1:16" x14ac:dyDescent="0.3">
      <c r="A1025">
        <v>1024</v>
      </c>
      <c r="B1025" t="s">
        <v>2315</v>
      </c>
      <c r="C1025" t="s">
        <v>2390</v>
      </c>
      <c r="D1025" t="s">
        <v>2391</v>
      </c>
      <c r="E1025" t="s">
        <v>40</v>
      </c>
      <c r="F1025" t="s">
        <v>2333</v>
      </c>
      <c r="G1025" t="s">
        <v>2334</v>
      </c>
      <c r="H1025" t="str">
        <f>'Huong dan giao do an'!$B$14</f>
        <v>5 SV (vai trò chính): 1 PM/Scrum Master kiêm Integration; 2 BA/PO; 3 UI-UX + Frontend; 4 Backend/API + DevOps; 5 Database + QA/Tester. Mỗi SV có nhiệm vụ phụ và minh chứng cá nhân.</v>
      </c>
      <c r="I1025" t="s">
        <v>22</v>
      </c>
      <c r="J1025" t="s">
        <v>2320</v>
      </c>
      <c r="K1025" t="str">
        <f>IF(I1025="Trung bình",'Huong dan giao do an'!$B$8,IF(I1025="Khá",'Huong dan giao do an'!$B$9,'Huong dan giao do an'!$B$10))</f>
        <v>Tối thiểu 4 actor; 10-14 use case; 8-12 bảng; 3 quy trình lõi; phân quyền chi tiết; 2 báo cáo; tích hợp 1 dịch vụ; &gt;=35 test case; CI/CD hoặc deploy cloud.</v>
      </c>
      <c r="L1025" t="str">
        <f>'Huong dan giao do an'!$B$31</f>
        <v>Bắt buộc: Charter/PMP; SRS + scope/WBS; Gantt/baseline; effort-cost budget; RACI/timesheet; quality-test-defect; communication/minutes; risk register; procurement; change log; closure/lessons learned.</v>
      </c>
      <c r="M1025" t="str">
        <f>'Huong dan giao do an'!$B$33</f>
        <v>Tuần 1: 07.09–13.09.2026; Tuần 2: 14.09–20.09.2026; Tuần 3: 21.09–27.09.2026; Tuần 4: 28.09–04.10.2026; Tuần 5: 05.10–11.10.2026; Tuần 6: 12.10–18.10.2026; Tuần 7: 19.10–25.10.2026; Tuần 8: 26.10–01.11.2026.</v>
      </c>
      <c r="N10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5" s="17" t="str">
        <f t="shared" si="15"/>
        <v>Còn trống</v>
      </c>
    </row>
    <row r="1026" spans="1:16" x14ac:dyDescent="0.3">
      <c r="A1026">
        <v>1025</v>
      </c>
      <c r="B1026" t="s">
        <v>2315</v>
      </c>
      <c r="C1026" t="s">
        <v>2392</v>
      </c>
      <c r="D1026" t="s">
        <v>2393</v>
      </c>
      <c r="E1026" t="s">
        <v>45</v>
      </c>
      <c r="F1026" t="s">
        <v>2337</v>
      </c>
      <c r="G1026" t="s">
        <v>2338</v>
      </c>
      <c r="H1026" t="str">
        <f>'Huong dan giao do an'!$B$14</f>
        <v>5 SV (vai trò chính): 1 PM/Scrum Master kiêm Integration; 2 BA/PO; 3 UI-UX + Frontend; 4 Backend/API + DevOps; 5 Database + QA/Tester. Mỗi SV có nhiệm vụ phụ và minh chứng cá nhân.</v>
      </c>
      <c r="I1026" t="s">
        <v>29</v>
      </c>
      <c r="J1026" t="s">
        <v>2325</v>
      </c>
      <c r="K1026" t="str">
        <f>IF(I1026="Trung bình",'Huong dan giao do an'!$B$8,IF(I1026="Khá",'Huong dan giao do an'!$B$9,'Huong dan giao do an'!$B$10))</f>
        <v>Tối thiểu 5 actor; 14-18 use case; 10-15 bảng; 4 quy trình; tích hợp ngoài/realtime hoặc xử lý nâng cao; 3 báo cáo; &gt;=45 test case; logging, backup và deploy.</v>
      </c>
      <c r="L1026" t="str">
        <f>'Huong dan giao do an'!$B$31</f>
        <v>Bắt buộc: Charter/PMP; SRS + scope/WBS; Gantt/baseline; effort-cost budget; RACI/timesheet; quality-test-defect; communication/minutes; risk register; procurement; change log; closure/lessons learned.</v>
      </c>
      <c r="M1026" t="str">
        <f>'Huong dan giao do an'!$B$33</f>
        <v>Tuần 1: 07.09–13.09.2026; Tuần 2: 14.09–20.09.2026; Tuần 3: 21.09–27.09.2026; Tuần 4: 28.09–04.10.2026; Tuần 5: 05.10–11.10.2026; Tuần 6: 12.10–18.10.2026; Tuần 7: 19.10–25.10.2026; Tuần 8: 26.10–01.11.2026.</v>
      </c>
      <c r="N10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6" s="17" t="str">
        <f t="shared" si="15"/>
        <v>Còn trống</v>
      </c>
    </row>
    <row r="1027" spans="1:16" x14ac:dyDescent="0.3">
      <c r="A1027">
        <v>1026</v>
      </c>
      <c r="B1027" t="s">
        <v>2315</v>
      </c>
      <c r="C1027" t="s">
        <v>2394</v>
      </c>
      <c r="D1027" t="s">
        <v>2395</v>
      </c>
      <c r="E1027" t="s">
        <v>19</v>
      </c>
      <c r="F1027" t="s">
        <v>2318</v>
      </c>
      <c r="G1027" t="s">
        <v>2341</v>
      </c>
      <c r="H1027" t="str">
        <f>'Huong dan giao do an'!$B$14</f>
        <v>5 SV (vai trò chính): 1 PM/Scrum Master kiêm Integration; 2 BA/PO; 3 UI-UX + Frontend; 4 Backend/API + DevOps; 5 Database + QA/Tester. Mỗi SV có nhiệm vụ phụ và minh chứng cá nhân.</v>
      </c>
      <c r="I1027" t="s">
        <v>36</v>
      </c>
      <c r="J1027" t="s">
        <v>2330</v>
      </c>
      <c r="K1027" t="str">
        <f>IF(I1027="Trung bình",'Huong dan giao do an'!$B$8,IF(I1027="Khá",'Huong dan giao do an'!$B$9,'Huong dan giao do an'!$B$10))</f>
        <v>Tối thiểu 3 actor; 8-10 use case; 6-8 bảng dữ liệu; 2 quy trình lõi; đăng nhập/RBAC; 1 dashboard; 1 báo cáo; &gt;=25 test case; triển khai bản demo.</v>
      </c>
      <c r="L1027" t="str">
        <f>'Huong dan giao do an'!$B$31</f>
        <v>Bắt buộc: Charter/PMP; SRS + scope/WBS; Gantt/baseline; effort-cost budget; RACI/timesheet; quality-test-defect; communication/minutes; risk register; procurement; change log; closure/lessons learned.</v>
      </c>
      <c r="M1027" t="str">
        <f>'Huong dan giao do an'!$B$33</f>
        <v>Tuần 1: 07.09–13.09.2026; Tuần 2: 14.09–20.09.2026; Tuần 3: 21.09–27.09.2026; Tuần 4: 28.09–04.10.2026; Tuần 5: 05.10–11.10.2026; Tuần 6: 12.10–18.10.2026; Tuần 7: 19.10–25.10.2026; Tuần 8: 26.10–01.11.2026.</v>
      </c>
      <c r="N10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7" s="17" t="str">
        <f t="shared" ref="P1027:P1090" si="16">IF(O1027="","Còn trống","Đã đăng ký")</f>
        <v>Còn trống</v>
      </c>
    </row>
    <row r="1028" spans="1:16" x14ac:dyDescent="0.3">
      <c r="A1028">
        <v>1027</v>
      </c>
      <c r="B1028" t="s">
        <v>2315</v>
      </c>
      <c r="C1028" t="s">
        <v>2396</v>
      </c>
      <c r="D1028" t="s">
        <v>2397</v>
      </c>
      <c r="E1028" t="s">
        <v>26</v>
      </c>
      <c r="F1028" t="s">
        <v>2323</v>
      </c>
      <c r="G1028" t="s">
        <v>2344</v>
      </c>
      <c r="H1028" t="str">
        <f>'Huong dan giao do an'!$B$14</f>
        <v>5 SV (vai trò chính): 1 PM/Scrum Master kiêm Integration; 2 BA/PO; 3 UI-UX + Frontend; 4 Backend/API + DevOps; 5 Database + QA/Tester. Mỗi SV có nhiệm vụ phụ và minh chứng cá nhân.</v>
      </c>
      <c r="I1028" t="s">
        <v>22</v>
      </c>
      <c r="J1028" t="s">
        <v>2320</v>
      </c>
      <c r="K1028" t="str">
        <f>IF(I1028="Trung bình",'Huong dan giao do an'!$B$8,IF(I1028="Khá",'Huong dan giao do an'!$B$9,'Huong dan giao do an'!$B$10))</f>
        <v>Tối thiểu 4 actor; 10-14 use case; 8-12 bảng; 3 quy trình lõi; phân quyền chi tiết; 2 báo cáo; tích hợp 1 dịch vụ; &gt;=35 test case; CI/CD hoặc deploy cloud.</v>
      </c>
      <c r="L1028" t="str">
        <f>'Huong dan giao do an'!$B$31</f>
        <v>Bắt buộc: Charter/PMP; SRS + scope/WBS; Gantt/baseline; effort-cost budget; RACI/timesheet; quality-test-defect; communication/minutes; risk register; procurement; change log; closure/lessons learned.</v>
      </c>
      <c r="M1028" t="str">
        <f>'Huong dan giao do an'!$B$33</f>
        <v>Tuần 1: 07.09–13.09.2026; Tuần 2: 14.09–20.09.2026; Tuần 3: 21.09–27.09.2026; Tuần 4: 28.09–04.10.2026; Tuần 5: 05.10–11.10.2026; Tuần 6: 12.10–18.10.2026; Tuần 7: 19.10–25.10.2026; Tuần 8: 26.10–01.11.2026.</v>
      </c>
      <c r="N10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8" s="17" t="str">
        <f t="shared" si="16"/>
        <v>Còn trống</v>
      </c>
    </row>
    <row r="1029" spans="1:16" x14ac:dyDescent="0.3">
      <c r="A1029">
        <v>1028</v>
      </c>
      <c r="B1029" t="s">
        <v>2315</v>
      </c>
      <c r="C1029" t="s">
        <v>2398</v>
      </c>
      <c r="D1029" t="s">
        <v>2399</v>
      </c>
      <c r="E1029" t="s">
        <v>33</v>
      </c>
      <c r="F1029" t="s">
        <v>2328</v>
      </c>
      <c r="G1029" t="s">
        <v>2347</v>
      </c>
      <c r="H1029" t="str">
        <f>'Huong dan giao do an'!$B$14</f>
        <v>5 SV (vai trò chính): 1 PM/Scrum Master kiêm Integration; 2 BA/PO; 3 UI-UX + Frontend; 4 Backend/API + DevOps; 5 Database + QA/Tester. Mỗi SV có nhiệm vụ phụ và minh chứng cá nhân.</v>
      </c>
      <c r="I1029" t="s">
        <v>29</v>
      </c>
      <c r="J1029" t="s">
        <v>2325</v>
      </c>
      <c r="K1029" t="str">
        <f>IF(I1029="Trung bình",'Huong dan giao do an'!$B$8,IF(I1029="Khá",'Huong dan giao do an'!$B$9,'Huong dan giao do an'!$B$10))</f>
        <v>Tối thiểu 5 actor; 14-18 use case; 10-15 bảng; 4 quy trình; tích hợp ngoài/realtime hoặc xử lý nâng cao; 3 báo cáo; &gt;=45 test case; logging, backup và deploy.</v>
      </c>
      <c r="L1029" t="str">
        <f>'Huong dan giao do an'!$B$31</f>
        <v>Bắt buộc: Charter/PMP; SRS + scope/WBS; Gantt/baseline; effort-cost budget; RACI/timesheet; quality-test-defect; communication/minutes; risk register; procurement; change log; closure/lessons learned.</v>
      </c>
      <c r="M1029" t="str">
        <f>'Huong dan giao do an'!$B$33</f>
        <v>Tuần 1: 07.09–13.09.2026; Tuần 2: 14.09–20.09.2026; Tuần 3: 21.09–27.09.2026; Tuần 4: 28.09–04.10.2026; Tuần 5: 05.10–11.10.2026; Tuần 6: 12.10–18.10.2026; Tuần 7: 19.10–25.10.2026; Tuần 8: 26.10–01.11.2026.</v>
      </c>
      <c r="N10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29" s="17" t="str">
        <f t="shared" si="16"/>
        <v>Còn trống</v>
      </c>
    </row>
    <row r="1030" spans="1:16" x14ac:dyDescent="0.3">
      <c r="A1030">
        <v>1029</v>
      </c>
      <c r="B1030" t="s">
        <v>2315</v>
      </c>
      <c r="C1030" t="s">
        <v>2400</v>
      </c>
      <c r="D1030" t="s">
        <v>2401</v>
      </c>
      <c r="E1030" t="s">
        <v>40</v>
      </c>
      <c r="F1030" t="s">
        <v>2333</v>
      </c>
      <c r="G1030" t="s">
        <v>2350</v>
      </c>
      <c r="H1030" t="str">
        <f>'Huong dan giao do an'!$B$14</f>
        <v>5 SV (vai trò chính): 1 PM/Scrum Master kiêm Integration; 2 BA/PO; 3 UI-UX + Frontend; 4 Backend/API + DevOps; 5 Database + QA/Tester. Mỗi SV có nhiệm vụ phụ và minh chứng cá nhân.</v>
      </c>
      <c r="I1030" t="s">
        <v>36</v>
      </c>
      <c r="J1030" t="s">
        <v>2330</v>
      </c>
      <c r="K1030" t="str">
        <f>IF(I1030="Trung bình",'Huong dan giao do an'!$B$8,IF(I1030="Khá",'Huong dan giao do an'!$B$9,'Huong dan giao do an'!$B$10))</f>
        <v>Tối thiểu 3 actor; 8-10 use case; 6-8 bảng dữ liệu; 2 quy trình lõi; đăng nhập/RBAC; 1 dashboard; 1 báo cáo; &gt;=25 test case; triển khai bản demo.</v>
      </c>
      <c r="L1030" t="str">
        <f>'Huong dan giao do an'!$B$31</f>
        <v>Bắt buộc: Charter/PMP; SRS + scope/WBS; Gantt/baseline; effort-cost budget; RACI/timesheet; quality-test-defect; communication/minutes; risk register; procurement; change log; closure/lessons learned.</v>
      </c>
      <c r="M1030" t="str">
        <f>'Huong dan giao do an'!$B$33</f>
        <v>Tuần 1: 07.09–13.09.2026; Tuần 2: 14.09–20.09.2026; Tuần 3: 21.09–27.09.2026; Tuần 4: 28.09–04.10.2026; Tuần 5: 05.10–11.10.2026; Tuần 6: 12.10–18.10.2026; Tuần 7: 19.10–25.10.2026; Tuần 8: 26.10–01.11.2026.</v>
      </c>
      <c r="N10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0" s="17" t="str">
        <f t="shared" si="16"/>
        <v>Còn trống</v>
      </c>
    </row>
    <row r="1031" spans="1:16" x14ac:dyDescent="0.3">
      <c r="A1031">
        <v>1030</v>
      </c>
      <c r="B1031" t="s">
        <v>2315</v>
      </c>
      <c r="C1031" t="s">
        <v>2402</v>
      </c>
      <c r="D1031" t="s">
        <v>2403</v>
      </c>
      <c r="E1031" t="s">
        <v>45</v>
      </c>
      <c r="F1031" t="s">
        <v>2337</v>
      </c>
      <c r="G1031" t="s">
        <v>2353</v>
      </c>
      <c r="H1031" t="str">
        <f>'Huong dan giao do an'!$B$14</f>
        <v>5 SV (vai trò chính): 1 PM/Scrum Master kiêm Integration; 2 BA/PO; 3 UI-UX + Frontend; 4 Backend/API + DevOps; 5 Database + QA/Tester. Mỗi SV có nhiệm vụ phụ và minh chứng cá nhân.</v>
      </c>
      <c r="I1031" t="s">
        <v>22</v>
      </c>
      <c r="J1031" t="s">
        <v>2320</v>
      </c>
      <c r="K1031" t="str">
        <f>IF(I1031="Trung bình",'Huong dan giao do an'!$B$8,IF(I1031="Khá",'Huong dan giao do an'!$B$9,'Huong dan giao do an'!$B$10))</f>
        <v>Tối thiểu 4 actor; 10-14 use case; 8-12 bảng; 3 quy trình lõi; phân quyền chi tiết; 2 báo cáo; tích hợp 1 dịch vụ; &gt;=35 test case; CI/CD hoặc deploy cloud.</v>
      </c>
      <c r="L1031" t="str">
        <f>'Huong dan giao do an'!$B$31</f>
        <v>Bắt buộc: Charter/PMP; SRS + scope/WBS; Gantt/baseline; effort-cost budget; RACI/timesheet; quality-test-defect; communication/minutes; risk register; procurement; change log; closure/lessons learned.</v>
      </c>
      <c r="M1031" t="str">
        <f>'Huong dan giao do an'!$B$33</f>
        <v>Tuần 1: 07.09–13.09.2026; Tuần 2: 14.09–20.09.2026; Tuần 3: 21.09–27.09.2026; Tuần 4: 28.09–04.10.2026; Tuần 5: 05.10–11.10.2026; Tuần 6: 12.10–18.10.2026; Tuần 7: 19.10–25.10.2026; Tuần 8: 26.10–01.11.2026.</v>
      </c>
      <c r="N10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1" s="17" t="str">
        <f t="shared" si="16"/>
        <v>Còn trống</v>
      </c>
    </row>
    <row r="1032" spans="1:16" x14ac:dyDescent="0.3">
      <c r="A1032">
        <v>1031</v>
      </c>
      <c r="B1032" t="s">
        <v>2315</v>
      </c>
      <c r="C1032" t="s">
        <v>2404</v>
      </c>
      <c r="D1032" t="s">
        <v>2405</v>
      </c>
      <c r="E1032" t="s">
        <v>19</v>
      </c>
      <c r="F1032" t="s">
        <v>2318</v>
      </c>
      <c r="G1032" t="s">
        <v>2356</v>
      </c>
      <c r="H1032" t="str">
        <f>'Huong dan giao do an'!$B$14</f>
        <v>5 SV (vai trò chính): 1 PM/Scrum Master kiêm Integration; 2 BA/PO; 3 UI-UX + Frontend; 4 Backend/API + DevOps; 5 Database + QA/Tester. Mỗi SV có nhiệm vụ phụ và minh chứng cá nhân.</v>
      </c>
      <c r="I1032" t="s">
        <v>29</v>
      </c>
      <c r="J1032" t="s">
        <v>2325</v>
      </c>
      <c r="K1032" t="str">
        <f>IF(I1032="Trung bình",'Huong dan giao do an'!$B$8,IF(I1032="Khá",'Huong dan giao do an'!$B$9,'Huong dan giao do an'!$B$10))</f>
        <v>Tối thiểu 5 actor; 14-18 use case; 10-15 bảng; 4 quy trình; tích hợp ngoài/realtime hoặc xử lý nâng cao; 3 báo cáo; &gt;=45 test case; logging, backup và deploy.</v>
      </c>
      <c r="L1032" t="str">
        <f>'Huong dan giao do an'!$B$31</f>
        <v>Bắt buộc: Charter/PMP; SRS + scope/WBS; Gantt/baseline; effort-cost budget; RACI/timesheet; quality-test-defect; communication/minutes; risk register; procurement; change log; closure/lessons learned.</v>
      </c>
      <c r="M1032" t="str">
        <f>'Huong dan giao do an'!$B$33</f>
        <v>Tuần 1: 07.09–13.09.2026; Tuần 2: 14.09–20.09.2026; Tuần 3: 21.09–27.09.2026; Tuần 4: 28.09–04.10.2026; Tuần 5: 05.10–11.10.2026; Tuần 6: 12.10–18.10.2026; Tuần 7: 19.10–25.10.2026; Tuần 8: 26.10–01.11.2026.</v>
      </c>
      <c r="N10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2" s="17" t="str">
        <f t="shared" si="16"/>
        <v>Còn trống</v>
      </c>
    </row>
    <row r="1033" spans="1:16" x14ac:dyDescent="0.3">
      <c r="A1033">
        <v>1032</v>
      </c>
      <c r="B1033" t="s">
        <v>2315</v>
      </c>
      <c r="C1033" t="s">
        <v>2406</v>
      </c>
      <c r="D1033" t="s">
        <v>2407</v>
      </c>
      <c r="E1033" t="s">
        <v>26</v>
      </c>
      <c r="F1033" t="s">
        <v>2323</v>
      </c>
      <c r="G1033" t="s">
        <v>2359</v>
      </c>
      <c r="H1033" t="str">
        <f>'Huong dan giao do an'!$B$14</f>
        <v>5 SV (vai trò chính): 1 PM/Scrum Master kiêm Integration; 2 BA/PO; 3 UI-UX + Frontend; 4 Backend/API + DevOps; 5 Database + QA/Tester. Mỗi SV có nhiệm vụ phụ và minh chứng cá nhân.</v>
      </c>
      <c r="I1033" t="s">
        <v>36</v>
      </c>
      <c r="J1033" t="s">
        <v>2330</v>
      </c>
      <c r="K1033" t="str">
        <f>IF(I1033="Trung bình",'Huong dan giao do an'!$B$8,IF(I1033="Khá",'Huong dan giao do an'!$B$9,'Huong dan giao do an'!$B$10))</f>
        <v>Tối thiểu 3 actor; 8-10 use case; 6-8 bảng dữ liệu; 2 quy trình lõi; đăng nhập/RBAC; 1 dashboard; 1 báo cáo; &gt;=25 test case; triển khai bản demo.</v>
      </c>
      <c r="L1033" t="str">
        <f>'Huong dan giao do an'!$B$31</f>
        <v>Bắt buộc: Charter/PMP; SRS + scope/WBS; Gantt/baseline; effort-cost budget; RACI/timesheet; quality-test-defect; communication/minutes; risk register; procurement; change log; closure/lessons learned.</v>
      </c>
      <c r="M1033" t="str">
        <f>'Huong dan giao do an'!$B$33</f>
        <v>Tuần 1: 07.09–13.09.2026; Tuần 2: 14.09–20.09.2026; Tuần 3: 21.09–27.09.2026; Tuần 4: 28.09–04.10.2026; Tuần 5: 05.10–11.10.2026; Tuần 6: 12.10–18.10.2026; Tuần 7: 19.10–25.10.2026; Tuần 8: 26.10–01.11.2026.</v>
      </c>
      <c r="N10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3" s="17" t="str">
        <f t="shared" si="16"/>
        <v>Còn trống</v>
      </c>
    </row>
    <row r="1034" spans="1:16" x14ac:dyDescent="0.3">
      <c r="A1034">
        <v>1033</v>
      </c>
      <c r="B1034" t="s">
        <v>2315</v>
      </c>
      <c r="C1034" t="s">
        <v>2408</v>
      </c>
      <c r="D1034" t="s">
        <v>2409</v>
      </c>
      <c r="E1034" t="s">
        <v>33</v>
      </c>
      <c r="F1034" t="s">
        <v>2328</v>
      </c>
      <c r="G1034" t="s">
        <v>2362</v>
      </c>
      <c r="H1034" t="str">
        <f>'Huong dan giao do an'!$B$14</f>
        <v>5 SV (vai trò chính): 1 PM/Scrum Master kiêm Integration; 2 BA/PO; 3 UI-UX + Frontend; 4 Backend/API + DevOps; 5 Database + QA/Tester. Mỗi SV có nhiệm vụ phụ và minh chứng cá nhân.</v>
      </c>
      <c r="I1034" t="s">
        <v>22</v>
      </c>
      <c r="J1034" t="s">
        <v>2320</v>
      </c>
      <c r="K1034" t="str">
        <f>IF(I1034="Trung bình",'Huong dan giao do an'!$B$8,IF(I1034="Khá",'Huong dan giao do an'!$B$9,'Huong dan giao do an'!$B$10))</f>
        <v>Tối thiểu 4 actor; 10-14 use case; 8-12 bảng; 3 quy trình lõi; phân quyền chi tiết; 2 báo cáo; tích hợp 1 dịch vụ; &gt;=35 test case; CI/CD hoặc deploy cloud.</v>
      </c>
      <c r="L1034" t="str">
        <f>'Huong dan giao do an'!$B$31</f>
        <v>Bắt buộc: Charter/PMP; SRS + scope/WBS; Gantt/baseline; effort-cost budget; RACI/timesheet; quality-test-defect; communication/minutes; risk register; procurement; change log; closure/lessons learned.</v>
      </c>
      <c r="M1034" t="str">
        <f>'Huong dan giao do an'!$B$33</f>
        <v>Tuần 1: 07.09–13.09.2026; Tuần 2: 14.09–20.09.2026; Tuần 3: 21.09–27.09.2026; Tuần 4: 28.09–04.10.2026; Tuần 5: 05.10–11.10.2026; Tuần 6: 12.10–18.10.2026; Tuần 7: 19.10–25.10.2026; Tuần 8: 26.10–01.11.2026.</v>
      </c>
      <c r="N10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4" s="17" t="str">
        <f t="shared" si="16"/>
        <v>Còn trống</v>
      </c>
    </row>
    <row r="1035" spans="1:16" x14ac:dyDescent="0.3">
      <c r="A1035">
        <v>1034</v>
      </c>
      <c r="B1035" t="s">
        <v>2315</v>
      </c>
      <c r="C1035" t="s">
        <v>2410</v>
      </c>
      <c r="D1035" t="s">
        <v>2411</v>
      </c>
      <c r="E1035" t="s">
        <v>40</v>
      </c>
      <c r="F1035" t="s">
        <v>2333</v>
      </c>
      <c r="G1035" t="s">
        <v>2365</v>
      </c>
      <c r="H1035" t="str">
        <f>'Huong dan giao do an'!$B$14</f>
        <v>5 SV (vai trò chính): 1 PM/Scrum Master kiêm Integration; 2 BA/PO; 3 UI-UX + Frontend; 4 Backend/API + DevOps; 5 Database + QA/Tester. Mỗi SV có nhiệm vụ phụ và minh chứng cá nhân.</v>
      </c>
      <c r="I1035" t="s">
        <v>29</v>
      </c>
      <c r="J1035" t="s">
        <v>2325</v>
      </c>
      <c r="K1035" t="str">
        <f>IF(I1035="Trung bình",'Huong dan giao do an'!$B$8,IF(I1035="Khá",'Huong dan giao do an'!$B$9,'Huong dan giao do an'!$B$10))</f>
        <v>Tối thiểu 5 actor; 14-18 use case; 10-15 bảng; 4 quy trình; tích hợp ngoài/realtime hoặc xử lý nâng cao; 3 báo cáo; &gt;=45 test case; logging, backup và deploy.</v>
      </c>
      <c r="L1035" t="str">
        <f>'Huong dan giao do an'!$B$31</f>
        <v>Bắt buộc: Charter/PMP; SRS + scope/WBS; Gantt/baseline; effort-cost budget; RACI/timesheet; quality-test-defect; communication/minutes; risk register; procurement; change log; closure/lessons learned.</v>
      </c>
      <c r="M1035" t="str">
        <f>'Huong dan giao do an'!$B$33</f>
        <v>Tuần 1: 07.09–13.09.2026; Tuần 2: 14.09–20.09.2026; Tuần 3: 21.09–27.09.2026; Tuần 4: 28.09–04.10.2026; Tuần 5: 05.10–11.10.2026; Tuần 6: 12.10–18.10.2026; Tuần 7: 19.10–25.10.2026; Tuần 8: 26.10–01.11.2026.</v>
      </c>
      <c r="N10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5" s="17" t="str">
        <f t="shared" si="16"/>
        <v>Còn trống</v>
      </c>
    </row>
    <row r="1036" spans="1:16" x14ac:dyDescent="0.3">
      <c r="A1036">
        <v>1035</v>
      </c>
      <c r="B1036" t="s">
        <v>2315</v>
      </c>
      <c r="C1036" t="s">
        <v>2412</v>
      </c>
      <c r="D1036" t="s">
        <v>2413</v>
      </c>
      <c r="E1036" t="s">
        <v>45</v>
      </c>
      <c r="F1036" t="s">
        <v>2337</v>
      </c>
      <c r="G1036" t="s">
        <v>2368</v>
      </c>
      <c r="H1036" t="str">
        <f>'Huong dan giao do an'!$B$14</f>
        <v>5 SV (vai trò chính): 1 PM/Scrum Master kiêm Integration; 2 BA/PO; 3 UI-UX + Frontend; 4 Backend/API + DevOps; 5 Database + QA/Tester. Mỗi SV có nhiệm vụ phụ và minh chứng cá nhân.</v>
      </c>
      <c r="I1036" t="s">
        <v>36</v>
      </c>
      <c r="J1036" t="s">
        <v>2330</v>
      </c>
      <c r="K1036" t="str">
        <f>IF(I1036="Trung bình",'Huong dan giao do an'!$B$8,IF(I1036="Khá",'Huong dan giao do an'!$B$9,'Huong dan giao do an'!$B$10))</f>
        <v>Tối thiểu 3 actor; 8-10 use case; 6-8 bảng dữ liệu; 2 quy trình lõi; đăng nhập/RBAC; 1 dashboard; 1 báo cáo; &gt;=25 test case; triển khai bản demo.</v>
      </c>
      <c r="L1036" t="str">
        <f>'Huong dan giao do an'!$B$31</f>
        <v>Bắt buộc: Charter/PMP; SRS + scope/WBS; Gantt/baseline; effort-cost budget; RACI/timesheet; quality-test-defect; communication/minutes; risk register; procurement; change log; closure/lessons learned.</v>
      </c>
      <c r="M1036" t="str">
        <f>'Huong dan giao do an'!$B$33</f>
        <v>Tuần 1: 07.09–13.09.2026; Tuần 2: 14.09–20.09.2026; Tuần 3: 21.09–27.09.2026; Tuần 4: 28.09–04.10.2026; Tuần 5: 05.10–11.10.2026; Tuần 6: 12.10–18.10.2026; Tuần 7: 19.10–25.10.2026; Tuần 8: 26.10–01.11.2026.</v>
      </c>
      <c r="N10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6" s="17" t="str">
        <f t="shared" si="16"/>
        <v>Còn trống</v>
      </c>
    </row>
    <row r="1037" spans="1:16" x14ac:dyDescent="0.3">
      <c r="A1037">
        <v>1036</v>
      </c>
      <c r="B1037" t="s">
        <v>2315</v>
      </c>
      <c r="C1037" t="s">
        <v>2414</v>
      </c>
      <c r="D1037" t="s">
        <v>2415</v>
      </c>
      <c r="E1037" t="s">
        <v>19</v>
      </c>
      <c r="F1037" t="s">
        <v>2318</v>
      </c>
      <c r="G1037" t="s">
        <v>2371</v>
      </c>
      <c r="H1037" t="str">
        <f>'Huong dan giao do an'!$B$14</f>
        <v>5 SV (vai trò chính): 1 PM/Scrum Master kiêm Integration; 2 BA/PO; 3 UI-UX + Frontend; 4 Backend/API + DevOps; 5 Database + QA/Tester. Mỗi SV có nhiệm vụ phụ và minh chứng cá nhân.</v>
      </c>
      <c r="I1037" t="s">
        <v>22</v>
      </c>
      <c r="J1037" t="s">
        <v>2320</v>
      </c>
      <c r="K1037" t="str">
        <f>IF(I1037="Trung bình",'Huong dan giao do an'!$B$8,IF(I1037="Khá",'Huong dan giao do an'!$B$9,'Huong dan giao do an'!$B$10))</f>
        <v>Tối thiểu 4 actor; 10-14 use case; 8-12 bảng; 3 quy trình lõi; phân quyền chi tiết; 2 báo cáo; tích hợp 1 dịch vụ; &gt;=35 test case; CI/CD hoặc deploy cloud.</v>
      </c>
      <c r="L1037" t="str">
        <f>'Huong dan giao do an'!$B$31</f>
        <v>Bắt buộc: Charter/PMP; SRS + scope/WBS; Gantt/baseline; effort-cost budget; RACI/timesheet; quality-test-defect; communication/minutes; risk register; procurement; change log; closure/lessons learned.</v>
      </c>
      <c r="M1037" t="str">
        <f>'Huong dan giao do an'!$B$33</f>
        <v>Tuần 1: 07.09–13.09.2026; Tuần 2: 14.09–20.09.2026; Tuần 3: 21.09–27.09.2026; Tuần 4: 28.09–04.10.2026; Tuần 5: 05.10–11.10.2026; Tuần 6: 12.10–18.10.2026; Tuần 7: 19.10–25.10.2026; Tuần 8: 26.10–01.11.2026.</v>
      </c>
      <c r="N10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7" s="17" t="str">
        <f t="shared" si="16"/>
        <v>Còn trống</v>
      </c>
    </row>
    <row r="1038" spans="1:16" x14ac:dyDescent="0.3">
      <c r="A1038">
        <v>1037</v>
      </c>
      <c r="B1038" t="s">
        <v>2315</v>
      </c>
      <c r="C1038" t="s">
        <v>2416</v>
      </c>
      <c r="D1038" t="s">
        <v>2417</v>
      </c>
      <c r="E1038" t="s">
        <v>26</v>
      </c>
      <c r="F1038" t="s">
        <v>2323</v>
      </c>
      <c r="G1038" t="s">
        <v>2374</v>
      </c>
      <c r="H1038" t="str">
        <f>'Huong dan giao do an'!$B$14</f>
        <v>5 SV (vai trò chính): 1 PM/Scrum Master kiêm Integration; 2 BA/PO; 3 UI-UX + Frontend; 4 Backend/API + DevOps; 5 Database + QA/Tester. Mỗi SV có nhiệm vụ phụ và minh chứng cá nhân.</v>
      </c>
      <c r="I1038" t="s">
        <v>29</v>
      </c>
      <c r="J1038" t="s">
        <v>2325</v>
      </c>
      <c r="K1038" t="str">
        <f>IF(I1038="Trung bình",'Huong dan giao do an'!$B$8,IF(I1038="Khá",'Huong dan giao do an'!$B$9,'Huong dan giao do an'!$B$10))</f>
        <v>Tối thiểu 5 actor; 14-18 use case; 10-15 bảng; 4 quy trình; tích hợp ngoài/realtime hoặc xử lý nâng cao; 3 báo cáo; &gt;=45 test case; logging, backup và deploy.</v>
      </c>
      <c r="L1038" t="str">
        <f>'Huong dan giao do an'!$B$31</f>
        <v>Bắt buộc: Charter/PMP; SRS + scope/WBS; Gantt/baseline; effort-cost budget; RACI/timesheet; quality-test-defect; communication/minutes; risk register; procurement; change log; closure/lessons learned.</v>
      </c>
      <c r="M1038" t="str">
        <f>'Huong dan giao do an'!$B$33</f>
        <v>Tuần 1: 07.09–13.09.2026; Tuần 2: 14.09–20.09.2026; Tuần 3: 21.09–27.09.2026; Tuần 4: 28.09–04.10.2026; Tuần 5: 05.10–11.10.2026; Tuần 6: 12.10–18.10.2026; Tuần 7: 19.10–25.10.2026; Tuần 8: 26.10–01.11.2026.</v>
      </c>
      <c r="N10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8" s="17" t="str">
        <f t="shared" si="16"/>
        <v>Còn trống</v>
      </c>
    </row>
    <row r="1039" spans="1:16" x14ac:dyDescent="0.3">
      <c r="A1039">
        <v>1038</v>
      </c>
      <c r="B1039" t="s">
        <v>2315</v>
      </c>
      <c r="C1039" t="s">
        <v>2418</v>
      </c>
      <c r="D1039" t="s">
        <v>2419</v>
      </c>
      <c r="E1039" t="s">
        <v>33</v>
      </c>
      <c r="F1039" t="s">
        <v>2328</v>
      </c>
      <c r="G1039" t="s">
        <v>2377</v>
      </c>
      <c r="H1039" t="str">
        <f>'Huong dan giao do an'!$B$14</f>
        <v>5 SV (vai trò chính): 1 PM/Scrum Master kiêm Integration; 2 BA/PO; 3 UI-UX + Frontend; 4 Backend/API + DevOps; 5 Database + QA/Tester. Mỗi SV có nhiệm vụ phụ và minh chứng cá nhân.</v>
      </c>
      <c r="I1039" t="s">
        <v>36</v>
      </c>
      <c r="J1039" t="s">
        <v>2330</v>
      </c>
      <c r="K1039" t="str">
        <f>IF(I1039="Trung bình",'Huong dan giao do an'!$B$8,IF(I1039="Khá",'Huong dan giao do an'!$B$9,'Huong dan giao do an'!$B$10))</f>
        <v>Tối thiểu 3 actor; 8-10 use case; 6-8 bảng dữ liệu; 2 quy trình lõi; đăng nhập/RBAC; 1 dashboard; 1 báo cáo; &gt;=25 test case; triển khai bản demo.</v>
      </c>
      <c r="L1039" t="str">
        <f>'Huong dan giao do an'!$B$31</f>
        <v>Bắt buộc: Charter/PMP; SRS + scope/WBS; Gantt/baseline; effort-cost budget; RACI/timesheet; quality-test-defect; communication/minutes; risk register; procurement; change log; closure/lessons learned.</v>
      </c>
      <c r="M1039" t="str">
        <f>'Huong dan giao do an'!$B$33</f>
        <v>Tuần 1: 07.09–13.09.2026; Tuần 2: 14.09–20.09.2026; Tuần 3: 21.09–27.09.2026; Tuần 4: 28.09–04.10.2026; Tuần 5: 05.10–11.10.2026; Tuần 6: 12.10–18.10.2026; Tuần 7: 19.10–25.10.2026; Tuần 8: 26.10–01.11.2026.</v>
      </c>
      <c r="N10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39" s="17" t="str">
        <f t="shared" si="16"/>
        <v>Còn trống</v>
      </c>
    </row>
    <row r="1040" spans="1:16" x14ac:dyDescent="0.3">
      <c r="A1040">
        <v>1039</v>
      </c>
      <c r="B1040" t="s">
        <v>2315</v>
      </c>
      <c r="C1040" t="s">
        <v>2420</v>
      </c>
      <c r="D1040" t="s">
        <v>2421</v>
      </c>
      <c r="E1040" t="s">
        <v>40</v>
      </c>
      <c r="F1040" t="s">
        <v>2333</v>
      </c>
      <c r="G1040" t="s">
        <v>2380</v>
      </c>
      <c r="H1040" t="str">
        <f>'Huong dan giao do an'!$B$14</f>
        <v>5 SV (vai trò chính): 1 PM/Scrum Master kiêm Integration; 2 BA/PO; 3 UI-UX + Frontend; 4 Backend/API + DevOps; 5 Database + QA/Tester. Mỗi SV có nhiệm vụ phụ và minh chứng cá nhân.</v>
      </c>
      <c r="I1040" t="s">
        <v>22</v>
      </c>
      <c r="J1040" t="s">
        <v>2320</v>
      </c>
      <c r="K1040" t="str">
        <f>IF(I1040="Trung bình",'Huong dan giao do an'!$B$8,IF(I1040="Khá",'Huong dan giao do an'!$B$9,'Huong dan giao do an'!$B$10))</f>
        <v>Tối thiểu 4 actor; 10-14 use case; 8-12 bảng; 3 quy trình lõi; phân quyền chi tiết; 2 báo cáo; tích hợp 1 dịch vụ; &gt;=35 test case; CI/CD hoặc deploy cloud.</v>
      </c>
      <c r="L1040" t="str">
        <f>'Huong dan giao do an'!$B$31</f>
        <v>Bắt buộc: Charter/PMP; SRS + scope/WBS; Gantt/baseline; effort-cost budget; RACI/timesheet; quality-test-defect; communication/minutes; risk register; procurement; change log; closure/lessons learned.</v>
      </c>
      <c r="M1040" t="str">
        <f>'Huong dan giao do an'!$B$33</f>
        <v>Tuần 1: 07.09–13.09.2026; Tuần 2: 14.09–20.09.2026; Tuần 3: 21.09–27.09.2026; Tuần 4: 28.09–04.10.2026; Tuần 5: 05.10–11.10.2026; Tuần 6: 12.10–18.10.2026; Tuần 7: 19.10–25.10.2026; Tuần 8: 26.10–01.11.2026.</v>
      </c>
      <c r="N10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0" s="17" t="str">
        <f t="shared" si="16"/>
        <v>Còn trống</v>
      </c>
    </row>
    <row r="1041" spans="1:16" x14ac:dyDescent="0.3">
      <c r="A1041">
        <v>1040</v>
      </c>
      <c r="B1041" t="s">
        <v>2315</v>
      </c>
      <c r="C1041" t="s">
        <v>2422</v>
      </c>
      <c r="D1041" t="s">
        <v>2423</v>
      </c>
      <c r="E1041" t="s">
        <v>45</v>
      </c>
      <c r="F1041" t="s">
        <v>2337</v>
      </c>
      <c r="G1041" t="s">
        <v>2383</v>
      </c>
      <c r="H1041" t="str">
        <f>'Huong dan giao do an'!$B$14</f>
        <v>5 SV (vai trò chính): 1 PM/Scrum Master kiêm Integration; 2 BA/PO; 3 UI-UX + Frontend; 4 Backend/API + DevOps; 5 Database + QA/Tester. Mỗi SV có nhiệm vụ phụ và minh chứng cá nhân.</v>
      </c>
      <c r="I1041" t="s">
        <v>29</v>
      </c>
      <c r="J1041" t="s">
        <v>2325</v>
      </c>
      <c r="K1041" t="str">
        <f>IF(I1041="Trung bình",'Huong dan giao do an'!$B$8,IF(I1041="Khá",'Huong dan giao do an'!$B$9,'Huong dan giao do an'!$B$10))</f>
        <v>Tối thiểu 5 actor; 14-18 use case; 10-15 bảng; 4 quy trình; tích hợp ngoài/realtime hoặc xử lý nâng cao; 3 báo cáo; &gt;=45 test case; logging, backup và deploy.</v>
      </c>
      <c r="L1041" t="str">
        <f>'Huong dan giao do an'!$B$31</f>
        <v>Bắt buộc: Charter/PMP; SRS + scope/WBS; Gantt/baseline; effort-cost budget; RACI/timesheet; quality-test-defect; communication/minutes; risk register; procurement; change log; closure/lessons learned.</v>
      </c>
      <c r="M1041" t="str">
        <f>'Huong dan giao do an'!$B$33</f>
        <v>Tuần 1: 07.09–13.09.2026; Tuần 2: 14.09–20.09.2026; Tuần 3: 21.09–27.09.2026; Tuần 4: 28.09–04.10.2026; Tuần 5: 05.10–11.10.2026; Tuần 6: 12.10–18.10.2026; Tuần 7: 19.10–25.10.2026; Tuần 8: 26.10–01.11.2026.</v>
      </c>
      <c r="N10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1" s="17" t="str">
        <f t="shared" si="16"/>
        <v>Còn trống</v>
      </c>
    </row>
    <row r="1042" spans="1:16" x14ac:dyDescent="0.3">
      <c r="A1042">
        <v>1041</v>
      </c>
      <c r="B1042" t="s">
        <v>2315</v>
      </c>
      <c r="C1042" t="s">
        <v>2424</v>
      </c>
      <c r="D1042" t="s">
        <v>2425</v>
      </c>
      <c r="E1042" t="s">
        <v>19</v>
      </c>
      <c r="F1042" t="s">
        <v>2318</v>
      </c>
      <c r="G1042" t="s">
        <v>2319</v>
      </c>
      <c r="H1042" t="str">
        <f>'Huong dan giao do an'!$B$14</f>
        <v>5 SV (vai trò chính): 1 PM/Scrum Master kiêm Integration; 2 BA/PO; 3 UI-UX + Frontend; 4 Backend/API + DevOps; 5 Database + QA/Tester. Mỗi SV có nhiệm vụ phụ và minh chứng cá nhân.</v>
      </c>
      <c r="I1042" t="s">
        <v>22</v>
      </c>
      <c r="J1042" t="s">
        <v>2320</v>
      </c>
      <c r="K1042" t="str">
        <f>IF(I1042="Trung bình",'Huong dan giao do an'!$B$8,IF(I1042="Khá",'Huong dan giao do an'!$B$9,'Huong dan giao do an'!$B$10))</f>
        <v>Tối thiểu 4 actor; 10-14 use case; 8-12 bảng; 3 quy trình lõi; phân quyền chi tiết; 2 báo cáo; tích hợp 1 dịch vụ; &gt;=35 test case; CI/CD hoặc deploy cloud.</v>
      </c>
      <c r="L1042" t="str">
        <f>'Huong dan giao do an'!$B$31</f>
        <v>Bắt buộc: Charter/PMP; SRS + scope/WBS; Gantt/baseline; effort-cost budget; RACI/timesheet; quality-test-defect; communication/minutes; risk register; procurement; change log; closure/lessons learned.</v>
      </c>
      <c r="M1042" t="str">
        <f>'Huong dan giao do an'!$B$33</f>
        <v>Tuần 1: 07.09–13.09.2026; Tuần 2: 14.09–20.09.2026; Tuần 3: 21.09–27.09.2026; Tuần 4: 28.09–04.10.2026; Tuần 5: 05.10–11.10.2026; Tuần 6: 12.10–18.10.2026; Tuần 7: 19.10–25.10.2026; Tuần 8: 26.10–01.11.2026.</v>
      </c>
      <c r="N10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2" s="17" t="str">
        <f t="shared" si="16"/>
        <v>Còn trống</v>
      </c>
    </row>
    <row r="1043" spans="1:16" x14ac:dyDescent="0.3">
      <c r="A1043">
        <v>1042</v>
      </c>
      <c r="B1043" t="s">
        <v>2315</v>
      </c>
      <c r="C1043" t="s">
        <v>2426</v>
      </c>
      <c r="D1043" t="s">
        <v>2427</v>
      </c>
      <c r="E1043" t="s">
        <v>26</v>
      </c>
      <c r="F1043" t="s">
        <v>2323</v>
      </c>
      <c r="G1043" t="s">
        <v>2324</v>
      </c>
      <c r="H1043" t="str">
        <f>'Huong dan giao do an'!$B$14</f>
        <v>5 SV (vai trò chính): 1 PM/Scrum Master kiêm Integration; 2 BA/PO; 3 UI-UX + Frontend; 4 Backend/API + DevOps; 5 Database + QA/Tester. Mỗi SV có nhiệm vụ phụ và minh chứng cá nhân.</v>
      </c>
      <c r="I1043" t="s">
        <v>29</v>
      </c>
      <c r="J1043" t="s">
        <v>2325</v>
      </c>
      <c r="K1043" t="str">
        <f>IF(I1043="Trung bình",'Huong dan giao do an'!$B$8,IF(I1043="Khá",'Huong dan giao do an'!$B$9,'Huong dan giao do an'!$B$10))</f>
        <v>Tối thiểu 5 actor; 14-18 use case; 10-15 bảng; 4 quy trình; tích hợp ngoài/realtime hoặc xử lý nâng cao; 3 báo cáo; &gt;=45 test case; logging, backup và deploy.</v>
      </c>
      <c r="L1043" t="str">
        <f>'Huong dan giao do an'!$B$31</f>
        <v>Bắt buộc: Charter/PMP; SRS + scope/WBS; Gantt/baseline; effort-cost budget; RACI/timesheet; quality-test-defect; communication/minutes; risk register; procurement; change log; closure/lessons learned.</v>
      </c>
      <c r="M1043" t="str">
        <f>'Huong dan giao do an'!$B$33</f>
        <v>Tuần 1: 07.09–13.09.2026; Tuần 2: 14.09–20.09.2026; Tuần 3: 21.09–27.09.2026; Tuần 4: 28.09–04.10.2026; Tuần 5: 05.10–11.10.2026; Tuần 6: 12.10–18.10.2026; Tuần 7: 19.10–25.10.2026; Tuần 8: 26.10–01.11.2026.</v>
      </c>
      <c r="N10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3" s="17" t="str">
        <f t="shared" si="16"/>
        <v>Còn trống</v>
      </c>
    </row>
    <row r="1044" spans="1:16" x14ac:dyDescent="0.3">
      <c r="A1044">
        <v>1043</v>
      </c>
      <c r="B1044" t="s">
        <v>2315</v>
      </c>
      <c r="C1044" t="s">
        <v>2428</v>
      </c>
      <c r="D1044" t="s">
        <v>2429</v>
      </c>
      <c r="E1044" t="s">
        <v>33</v>
      </c>
      <c r="F1044" t="s">
        <v>2328</v>
      </c>
      <c r="G1044" t="s">
        <v>2329</v>
      </c>
      <c r="H1044" t="str">
        <f>'Huong dan giao do an'!$B$14</f>
        <v>5 SV (vai trò chính): 1 PM/Scrum Master kiêm Integration; 2 BA/PO; 3 UI-UX + Frontend; 4 Backend/API + DevOps; 5 Database + QA/Tester. Mỗi SV có nhiệm vụ phụ và minh chứng cá nhân.</v>
      </c>
      <c r="I1044" t="s">
        <v>36</v>
      </c>
      <c r="J1044" t="s">
        <v>2330</v>
      </c>
      <c r="K1044" t="str">
        <f>IF(I1044="Trung bình",'Huong dan giao do an'!$B$8,IF(I1044="Khá",'Huong dan giao do an'!$B$9,'Huong dan giao do an'!$B$10))</f>
        <v>Tối thiểu 3 actor; 8-10 use case; 6-8 bảng dữ liệu; 2 quy trình lõi; đăng nhập/RBAC; 1 dashboard; 1 báo cáo; &gt;=25 test case; triển khai bản demo.</v>
      </c>
      <c r="L1044" t="str">
        <f>'Huong dan giao do an'!$B$31</f>
        <v>Bắt buộc: Charter/PMP; SRS + scope/WBS; Gantt/baseline; effort-cost budget; RACI/timesheet; quality-test-defect; communication/minutes; risk register; procurement; change log; closure/lessons learned.</v>
      </c>
      <c r="M1044" t="str">
        <f>'Huong dan giao do an'!$B$33</f>
        <v>Tuần 1: 07.09–13.09.2026; Tuần 2: 14.09–20.09.2026; Tuần 3: 21.09–27.09.2026; Tuần 4: 28.09–04.10.2026; Tuần 5: 05.10–11.10.2026; Tuần 6: 12.10–18.10.2026; Tuần 7: 19.10–25.10.2026; Tuần 8: 26.10–01.11.2026.</v>
      </c>
      <c r="N10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4" s="17" t="str">
        <f t="shared" si="16"/>
        <v>Còn trống</v>
      </c>
    </row>
    <row r="1045" spans="1:16" x14ac:dyDescent="0.3">
      <c r="A1045">
        <v>1044</v>
      </c>
      <c r="B1045" t="s">
        <v>2315</v>
      </c>
      <c r="C1045" t="s">
        <v>2430</v>
      </c>
      <c r="D1045" t="s">
        <v>2431</v>
      </c>
      <c r="E1045" t="s">
        <v>40</v>
      </c>
      <c r="F1045" t="s">
        <v>2333</v>
      </c>
      <c r="G1045" t="s">
        <v>2334</v>
      </c>
      <c r="H1045" t="str">
        <f>'Huong dan giao do an'!$B$14</f>
        <v>5 SV (vai trò chính): 1 PM/Scrum Master kiêm Integration; 2 BA/PO; 3 UI-UX + Frontend; 4 Backend/API + DevOps; 5 Database + QA/Tester. Mỗi SV có nhiệm vụ phụ và minh chứng cá nhân.</v>
      </c>
      <c r="I1045" t="s">
        <v>22</v>
      </c>
      <c r="J1045" t="s">
        <v>2320</v>
      </c>
      <c r="K1045" t="str">
        <f>IF(I1045="Trung bình",'Huong dan giao do an'!$B$8,IF(I1045="Khá",'Huong dan giao do an'!$B$9,'Huong dan giao do an'!$B$10))</f>
        <v>Tối thiểu 4 actor; 10-14 use case; 8-12 bảng; 3 quy trình lõi; phân quyền chi tiết; 2 báo cáo; tích hợp 1 dịch vụ; &gt;=35 test case; CI/CD hoặc deploy cloud.</v>
      </c>
      <c r="L1045" t="str">
        <f>'Huong dan giao do an'!$B$31</f>
        <v>Bắt buộc: Charter/PMP; SRS + scope/WBS; Gantt/baseline; effort-cost budget; RACI/timesheet; quality-test-defect; communication/minutes; risk register; procurement; change log; closure/lessons learned.</v>
      </c>
      <c r="M1045" t="str">
        <f>'Huong dan giao do an'!$B$33</f>
        <v>Tuần 1: 07.09–13.09.2026; Tuần 2: 14.09–20.09.2026; Tuần 3: 21.09–27.09.2026; Tuần 4: 28.09–04.10.2026; Tuần 5: 05.10–11.10.2026; Tuần 6: 12.10–18.10.2026; Tuần 7: 19.10–25.10.2026; Tuần 8: 26.10–01.11.2026.</v>
      </c>
      <c r="N10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5" s="17" t="str">
        <f t="shared" si="16"/>
        <v>Còn trống</v>
      </c>
    </row>
    <row r="1046" spans="1:16" x14ac:dyDescent="0.3">
      <c r="A1046">
        <v>1045</v>
      </c>
      <c r="B1046" t="s">
        <v>2315</v>
      </c>
      <c r="C1046" t="s">
        <v>2432</v>
      </c>
      <c r="D1046" t="s">
        <v>2433</v>
      </c>
      <c r="E1046" t="s">
        <v>45</v>
      </c>
      <c r="F1046" t="s">
        <v>2337</v>
      </c>
      <c r="G1046" t="s">
        <v>2338</v>
      </c>
      <c r="H1046" t="str">
        <f>'Huong dan giao do an'!$B$14</f>
        <v>5 SV (vai trò chính): 1 PM/Scrum Master kiêm Integration; 2 BA/PO; 3 UI-UX + Frontend; 4 Backend/API + DevOps; 5 Database + QA/Tester. Mỗi SV có nhiệm vụ phụ và minh chứng cá nhân.</v>
      </c>
      <c r="I1046" t="s">
        <v>29</v>
      </c>
      <c r="J1046" t="s">
        <v>2325</v>
      </c>
      <c r="K1046" t="str">
        <f>IF(I1046="Trung bình",'Huong dan giao do an'!$B$8,IF(I1046="Khá",'Huong dan giao do an'!$B$9,'Huong dan giao do an'!$B$10))</f>
        <v>Tối thiểu 5 actor; 14-18 use case; 10-15 bảng; 4 quy trình; tích hợp ngoài/realtime hoặc xử lý nâng cao; 3 báo cáo; &gt;=45 test case; logging, backup và deploy.</v>
      </c>
      <c r="L1046" t="str">
        <f>'Huong dan giao do an'!$B$31</f>
        <v>Bắt buộc: Charter/PMP; SRS + scope/WBS; Gantt/baseline; effort-cost budget; RACI/timesheet; quality-test-defect; communication/minutes; risk register; procurement; change log; closure/lessons learned.</v>
      </c>
      <c r="M1046" t="str">
        <f>'Huong dan giao do an'!$B$33</f>
        <v>Tuần 1: 07.09–13.09.2026; Tuần 2: 14.09–20.09.2026; Tuần 3: 21.09–27.09.2026; Tuần 4: 28.09–04.10.2026; Tuần 5: 05.10–11.10.2026; Tuần 6: 12.10–18.10.2026; Tuần 7: 19.10–25.10.2026; Tuần 8: 26.10–01.11.2026.</v>
      </c>
      <c r="N10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6" s="17" t="str">
        <f t="shared" si="16"/>
        <v>Còn trống</v>
      </c>
    </row>
    <row r="1047" spans="1:16" x14ac:dyDescent="0.3">
      <c r="A1047">
        <v>1046</v>
      </c>
      <c r="B1047" t="s">
        <v>2315</v>
      </c>
      <c r="C1047" t="s">
        <v>2434</v>
      </c>
      <c r="D1047" t="s">
        <v>2435</v>
      </c>
      <c r="E1047" t="s">
        <v>19</v>
      </c>
      <c r="F1047" t="s">
        <v>2318</v>
      </c>
      <c r="G1047" t="s">
        <v>2341</v>
      </c>
      <c r="H1047" t="str">
        <f>'Huong dan giao do an'!$B$14</f>
        <v>5 SV (vai trò chính): 1 PM/Scrum Master kiêm Integration; 2 BA/PO; 3 UI-UX + Frontend; 4 Backend/API + DevOps; 5 Database + QA/Tester. Mỗi SV có nhiệm vụ phụ và minh chứng cá nhân.</v>
      </c>
      <c r="I1047" t="s">
        <v>36</v>
      </c>
      <c r="J1047" t="s">
        <v>2330</v>
      </c>
      <c r="K1047" t="str">
        <f>IF(I1047="Trung bình",'Huong dan giao do an'!$B$8,IF(I1047="Khá",'Huong dan giao do an'!$B$9,'Huong dan giao do an'!$B$10))</f>
        <v>Tối thiểu 3 actor; 8-10 use case; 6-8 bảng dữ liệu; 2 quy trình lõi; đăng nhập/RBAC; 1 dashboard; 1 báo cáo; &gt;=25 test case; triển khai bản demo.</v>
      </c>
      <c r="L1047" t="str">
        <f>'Huong dan giao do an'!$B$31</f>
        <v>Bắt buộc: Charter/PMP; SRS + scope/WBS; Gantt/baseline; effort-cost budget; RACI/timesheet; quality-test-defect; communication/minutes; risk register; procurement; change log; closure/lessons learned.</v>
      </c>
      <c r="M1047" t="str">
        <f>'Huong dan giao do an'!$B$33</f>
        <v>Tuần 1: 07.09–13.09.2026; Tuần 2: 14.09–20.09.2026; Tuần 3: 21.09–27.09.2026; Tuần 4: 28.09–04.10.2026; Tuần 5: 05.10–11.10.2026; Tuần 6: 12.10–18.10.2026; Tuần 7: 19.10–25.10.2026; Tuần 8: 26.10–01.11.2026.</v>
      </c>
      <c r="N10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7" s="17" t="str">
        <f t="shared" si="16"/>
        <v>Còn trống</v>
      </c>
    </row>
    <row r="1048" spans="1:16" x14ac:dyDescent="0.3">
      <c r="A1048">
        <v>1047</v>
      </c>
      <c r="B1048" t="s">
        <v>2315</v>
      </c>
      <c r="C1048" t="s">
        <v>2436</v>
      </c>
      <c r="D1048" t="s">
        <v>2437</v>
      </c>
      <c r="E1048" t="s">
        <v>26</v>
      </c>
      <c r="F1048" t="s">
        <v>2323</v>
      </c>
      <c r="G1048" t="s">
        <v>2344</v>
      </c>
      <c r="H1048" t="str">
        <f>'Huong dan giao do an'!$B$14</f>
        <v>5 SV (vai trò chính): 1 PM/Scrum Master kiêm Integration; 2 BA/PO; 3 UI-UX + Frontend; 4 Backend/API + DevOps; 5 Database + QA/Tester. Mỗi SV có nhiệm vụ phụ và minh chứng cá nhân.</v>
      </c>
      <c r="I1048" t="s">
        <v>22</v>
      </c>
      <c r="J1048" t="s">
        <v>2320</v>
      </c>
      <c r="K1048" t="str">
        <f>IF(I1048="Trung bình",'Huong dan giao do an'!$B$8,IF(I1048="Khá",'Huong dan giao do an'!$B$9,'Huong dan giao do an'!$B$10))</f>
        <v>Tối thiểu 4 actor; 10-14 use case; 8-12 bảng; 3 quy trình lõi; phân quyền chi tiết; 2 báo cáo; tích hợp 1 dịch vụ; &gt;=35 test case; CI/CD hoặc deploy cloud.</v>
      </c>
      <c r="L1048" t="str">
        <f>'Huong dan giao do an'!$B$31</f>
        <v>Bắt buộc: Charter/PMP; SRS + scope/WBS; Gantt/baseline; effort-cost budget; RACI/timesheet; quality-test-defect; communication/minutes; risk register; procurement; change log; closure/lessons learned.</v>
      </c>
      <c r="M1048" t="str">
        <f>'Huong dan giao do an'!$B$33</f>
        <v>Tuần 1: 07.09–13.09.2026; Tuần 2: 14.09–20.09.2026; Tuần 3: 21.09–27.09.2026; Tuần 4: 28.09–04.10.2026; Tuần 5: 05.10–11.10.2026; Tuần 6: 12.10–18.10.2026; Tuần 7: 19.10–25.10.2026; Tuần 8: 26.10–01.11.2026.</v>
      </c>
      <c r="N10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8" s="17" t="str">
        <f t="shared" si="16"/>
        <v>Còn trống</v>
      </c>
    </row>
    <row r="1049" spans="1:16" x14ac:dyDescent="0.3">
      <c r="A1049">
        <v>1048</v>
      </c>
      <c r="B1049" t="s">
        <v>2315</v>
      </c>
      <c r="C1049" t="s">
        <v>2438</v>
      </c>
      <c r="D1049" t="s">
        <v>2439</v>
      </c>
      <c r="E1049" t="s">
        <v>33</v>
      </c>
      <c r="F1049" t="s">
        <v>2328</v>
      </c>
      <c r="G1049" t="s">
        <v>2347</v>
      </c>
      <c r="H1049" t="str">
        <f>'Huong dan giao do an'!$B$14</f>
        <v>5 SV (vai trò chính): 1 PM/Scrum Master kiêm Integration; 2 BA/PO; 3 UI-UX + Frontend; 4 Backend/API + DevOps; 5 Database + QA/Tester. Mỗi SV có nhiệm vụ phụ và minh chứng cá nhân.</v>
      </c>
      <c r="I1049" t="s">
        <v>29</v>
      </c>
      <c r="J1049" t="s">
        <v>2325</v>
      </c>
      <c r="K1049" t="str">
        <f>IF(I1049="Trung bình",'Huong dan giao do an'!$B$8,IF(I1049="Khá",'Huong dan giao do an'!$B$9,'Huong dan giao do an'!$B$10))</f>
        <v>Tối thiểu 5 actor; 14-18 use case; 10-15 bảng; 4 quy trình; tích hợp ngoài/realtime hoặc xử lý nâng cao; 3 báo cáo; &gt;=45 test case; logging, backup và deploy.</v>
      </c>
      <c r="L1049" t="str">
        <f>'Huong dan giao do an'!$B$31</f>
        <v>Bắt buộc: Charter/PMP; SRS + scope/WBS; Gantt/baseline; effort-cost budget; RACI/timesheet; quality-test-defect; communication/minutes; risk register; procurement; change log; closure/lessons learned.</v>
      </c>
      <c r="M1049" t="str">
        <f>'Huong dan giao do an'!$B$33</f>
        <v>Tuần 1: 07.09–13.09.2026; Tuần 2: 14.09–20.09.2026; Tuần 3: 21.09–27.09.2026; Tuần 4: 28.09–04.10.2026; Tuần 5: 05.10–11.10.2026; Tuần 6: 12.10–18.10.2026; Tuần 7: 19.10–25.10.2026; Tuần 8: 26.10–01.11.2026.</v>
      </c>
      <c r="N10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49" s="17" t="str">
        <f t="shared" si="16"/>
        <v>Còn trống</v>
      </c>
    </row>
    <row r="1050" spans="1:16" x14ac:dyDescent="0.3">
      <c r="A1050">
        <v>1049</v>
      </c>
      <c r="B1050" t="s">
        <v>2315</v>
      </c>
      <c r="C1050" t="s">
        <v>2440</v>
      </c>
      <c r="D1050" t="s">
        <v>2441</v>
      </c>
      <c r="E1050" t="s">
        <v>40</v>
      </c>
      <c r="F1050" t="s">
        <v>2333</v>
      </c>
      <c r="G1050" t="s">
        <v>2350</v>
      </c>
      <c r="H1050" t="str">
        <f>'Huong dan giao do an'!$B$14</f>
        <v>5 SV (vai trò chính): 1 PM/Scrum Master kiêm Integration; 2 BA/PO; 3 UI-UX + Frontend; 4 Backend/API + DevOps; 5 Database + QA/Tester. Mỗi SV có nhiệm vụ phụ và minh chứng cá nhân.</v>
      </c>
      <c r="I1050" t="s">
        <v>36</v>
      </c>
      <c r="J1050" t="s">
        <v>2330</v>
      </c>
      <c r="K1050" t="str">
        <f>IF(I1050="Trung bình",'Huong dan giao do an'!$B$8,IF(I1050="Khá",'Huong dan giao do an'!$B$9,'Huong dan giao do an'!$B$10))</f>
        <v>Tối thiểu 3 actor; 8-10 use case; 6-8 bảng dữ liệu; 2 quy trình lõi; đăng nhập/RBAC; 1 dashboard; 1 báo cáo; &gt;=25 test case; triển khai bản demo.</v>
      </c>
      <c r="L1050" t="str">
        <f>'Huong dan giao do an'!$B$31</f>
        <v>Bắt buộc: Charter/PMP; SRS + scope/WBS; Gantt/baseline; effort-cost budget; RACI/timesheet; quality-test-defect; communication/minutes; risk register; procurement; change log; closure/lessons learned.</v>
      </c>
      <c r="M1050" t="str">
        <f>'Huong dan giao do an'!$B$33</f>
        <v>Tuần 1: 07.09–13.09.2026; Tuần 2: 14.09–20.09.2026; Tuần 3: 21.09–27.09.2026; Tuần 4: 28.09–04.10.2026; Tuần 5: 05.10–11.10.2026; Tuần 6: 12.10–18.10.2026; Tuần 7: 19.10–25.10.2026; Tuần 8: 26.10–01.11.2026.</v>
      </c>
      <c r="N10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0" s="17" t="str">
        <f t="shared" si="16"/>
        <v>Còn trống</v>
      </c>
    </row>
    <row r="1051" spans="1:16" x14ac:dyDescent="0.3">
      <c r="A1051">
        <v>1050</v>
      </c>
      <c r="B1051" t="s">
        <v>2315</v>
      </c>
      <c r="C1051" t="s">
        <v>2442</v>
      </c>
      <c r="D1051" t="s">
        <v>2443</v>
      </c>
      <c r="E1051" t="s">
        <v>45</v>
      </c>
      <c r="F1051" t="s">
        <v>2337</v>
      </c>
      <c r="G1051" t="s">
        <v>2353</v>
      </c>
      <c r="H1051" t="str">
        <f>'Huong dan giao do an'!$B$14</f>
        <v>5 SV (vai trò chính): 1 PM/Scrum Master kiêm Integration; 2 BA/PO; 3 UI-UX + Frontend; 4 Backend/API + DevOps; 5 Database + QA/Tester. Mỗi SV có nhiệm vụ phụ và minh chứng cá nhân.</v>
      </c>
      <c r="I1051" t="s">
        <v>22</v>
      </c>
      <c r="J1051" t="s">
        <v>2320</v>
      </c>
      <c r="K1051" t="str">
        <f>IF(I1051="Trung bình",'Huong dan giao do an'!$B$8,IF(I1051="Khá",'Huong dan giao do an'!$B$9,'Huong dan giao do an'!$B$10))</f>
        <v>Tối thiểu 4 actor; 10-14 use case; 8-12 bảng; 3 quy trình lõi; phân quyền chi tiết; 2 báo cáo; tích hợp 1 dịch vụ; &gt;=35 test case; CI/CD hoặc deploy cloud.</v>
      </c>
      <c r="L1051" t="str">
        <f>'Huong dan giao do an'!$B$31</f>
        <v>Bắt buộc: Charter/PMP; SRS + scope/WBS; Gantt/baseline; effort-cost budget; RACI/timesheet; quality-test-defect; communication/minutes; risk register; procurement; change log; closure/lessons learned.</v>
      </c>
      <c r="M1051" t="str">
        <f>'Huong dan giao do an'!$B$33</f>
        <v>Tuần 1: 07.09–13.09.2026; Tuần 2: 14.09–20.09.2026; Tuần 3: 21.09–27.09.2026; Tuần 4: 28.09–04.10.2026; Tuần 5: 05.10–11.10.2026; Tuần 6: 12.10–18.10.2026; Tuần 7: 19.10–25.10.2026; Tuần 8: 26.10–01.11.2026.</v>
      </c>
      <c r="N10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1" s="17" t="str">
        <f t="shared" si="16"/>
        <v>Còn trống</v>
      </c>
    </row>
    <row r="1052" spans="1:16" x14ac:dyDescent="0.3">
      <c r="A1052">
        <v>1051</v>
      </c>
      <c r="B1052" t="s">
        <v>2315</v>
      </c>
      <c r="C1052" t="s">
        <v>2444</v>
      </c>
      <c r="D1052" t="s">
        <v>2445</v>
      </c>
      <c r="E1052" t="s">
        <v>19</v>
      </c>
      <c r="F1052" t="s">
        <v>2318</v>
      </c>
      <c r="G1052" t="s">
        <v>2356</v>
      </c>
      <c r="H1052" t="str">
        <f>'Huong dan giao do an'!$B$14</f>
        <v>5 SV (vai trò chính): 1 PM/Scrum Master kiêm Integration; 2 BA/PO; 3 UI-UX + Frontend; 4 Backend/API + DevOps; 5 Database + QA/Tester. Mỗi SV có nhiệm vụ phụ và minh chứng cá nhân.</v>
      </c>
      <c r="I1052" t="s">
        <v>29</v>
      </c>
      <c r="J1052" t="s">
        <v>2325</v>
      </c>
      <c r="K1052" t="str">
        <f>IF(I1052="Trung bình",'Huong dan giao do an'!$B$8,IF(I1052="Khá",'Huong dan giao do an'!$B$9,'Huong dan giao do an'!$B$10))</f>
        <v>Tối thiểu 5 actor; 14-18 use case; 10-15 bảng; 4 quy trình; tích hợp ngoài/realtime hoặc xử lý nâng cao; 3 báo cáo; &gt;=45 test case; logging, backup và deploy.</v>
      </c>
      <c r="L1052" t="str">
        <f>'Huong dan giao do an'!$B$31</f>
        <v>Bắt buộc: Charter/PMP; SRS + scope/WBS; Gantt/baseline; effort-cost budget; RACI/timesheet; quality-test-defect; communication/minutes; risk register; procurement; change log; closure/lessons learned.</v>
      </c>
      <c r="M1052" t="str">
        <f>'Huong dan giao do an'!$B$33</f>
        <v>Tuần 1: 07.09–13.09.2026; Tuần 2: 14.09–20.09.2026; Tuần 3: 21.09–27.09.2026; Tuần 4: 28.09–04.10.2026; Tuần 5: 05.10–11.10.2026; Tuần 6: 12.10–18.10.2026; Tuần 7: 19.10–25.10.2026; Tuần 8: 26.10–01.11.2026.</v>
      </c>
      <c r="N10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2" s="17" t="str">
        <f t="shared" si="16"/>
        <v>Còn trống</v>
      </c>
    </row>
    <row r="1053" spans="1:16" x14ac:dyDescent="0.3">
      <c r="A1053">
        <v>1052</v>
      </c>
      <c r="B1053" t="s">
        <v>2315</v>
      </c>
      <c r="C1053" t="s">
        <v>2446</v>
      </c>
      <c r="D1053" t="s">
        <v>2447</v>
      </c>
      <c r="E1053" t="s">
        <v>26</v>
      </c>
      <c r="F1053" t="s">
        <v>2323</v>
      </c>
      <c r="G1053" t="s">
        <v>2359</v>
      </c>
      <c r="H1053" t="str">
        <f>'Huong dan giao do an'!$B$14</f>
        <v>5 SV (vai trò chính): 1 PM/Scrum Master kiêm Integration; 2 BA/PO; 3 UI-UX + Frontend; 4 Backend/API + DevOps; 5 Database + QA/Tester. Mỗi SV có nhiệm vụ phụ và minh chứng cá nhân.</v>
      </c>
      <c r="I1053" t="s">
        <v>36</v>
      </c>
      <c r="J1053" t="s">
        <v>2330</v>
      </c>
      <c r="K1053" t="str">
        <f>IF(I1053="Trung bình",'Huong dan giao do an'!$B$8,IF(I1053="Khá",'Huong dan giao do an'!$B$9,'Huong dan giao do an'!$B$10))</f>
        <v>Tối thiểu 3 actor; 8-10 use case; 6-8 bảng dữ liệu; 2 quy trình lõi; đăng nhập/RBAC; 1 dashboard; 1 báo cáo; &gt;=25 test case; triển khai bản demo.</v>
      </c>
      <c r="L1053" t="str">
        <f>'Huong dan giao do an'!$B$31</f>
        <v>Bắt buộc: Charter/PMP; SRS + scope/WBS; Gantt/baseline; effort-cost budget; RACI/timesheet; quality-test-defect; communication/minutes; risk register; procurement; change log; closure/lessons learned.</v>
      </c>
      <c r="M1053" t="str">
        <f>'Huong dan giao do an'!$B$33</f>
        <v>Tuần 1: 07.09–13.09.2026; Tuần 2: 14.09–20.09.2026; Tuần 3: 21.09–27.09.2026; Tuần 4: 28.09–04.10.2026; Tuần 5: 05.10–11.10.2026; Tuần 6: 12.10–18.10.2026; Tuần 7: 19.10–25.10.2026; Tuần 8: 26.10–01.11.2026.</v>
      </c>
      <c r="N10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3" s="17" t="str">
        <f t="shared" si="16"/>
        <v>Còn trống</v>
      </c>
    </row>
    <row r="1054" spans="1:16" x14ac:dyDescent="0.3">
      <c r="A1054">
        <v>1053</v>
      </c>
      <c r="B1054" t="s">
        <v>2315</v>
      </c>
      <c r="C1054" t="s">
        <v>2448</v>
      </c>
      <c r="D1054" t="s">
        <v>2449</v>
      </c>
      <c r="E1054" t="s">
        <v>33</v>
      </c>
      <c r="F1054" t="s">
        <v>2328</v>
      </c>
      <c r="G1054" t="s">
        <v>2362</v>
      </c>
      <c r="H1054" t="str">
        <f>'Huong dan giao do an'!$B$14</f>
        <v>5 SV (vai trò chính): 1 PM/Scrum Master kiêm Integration; 2 BA/PO; 3 UI-UX + Frontend; 4 Backend/API + DevOps; 5 Database + QA/Tester. Mỗi SV có nhiệm vụ phụ và minh chứng cá nhân.</v>
      </c>
      <c r="I1054" t="s">
        <v>22</v>
      </c>
      <c r="J1054" t="s">
        <v>2320</v>
      </c>
      <c r="K1054" t="str">
        <f>IF(I1054="Trung bình",'Huong dan giao do an'!$B$8,IF(I1054="Khá",'Huong dan giao do an'!$B$9,'Huong dan giao do an'!$B$10))</f>
        <v>Tối thiểu 4 actor; 10-14 use case; 8-12 bảng; 3 quy trình lõi; phân quyền chi tiết; 2 báo cáo; tích hợp 1 dịch vụ; &gt;=35 test case; CI/CD hoặc deploy cloud.</v>
      </c>
      <c r="L1054" t="str">
        <f>'Huong dan giao do an'!$B$31</f>
        <v>Bắt buộc: Charter/PMP; SRS + scope/WBS; Gantt/baseline; effort-cost budget; RACI/timesheet; quality-test-defect; communication/minutes; risk register; procurement; change log; closure/lessons learned.</v>
      </c>
      <c r="M1054" t="str">
        <f>'Huong dan giao do an'!$B$33</f>
        <v>Tuần 1: 07.09–13.09.2026; Tuần 2: 14.09–20.09.2026; Tuần 3: 21.09–27.09.2026; Tuần 4: 28.09–04.10.2026; Tuần 5: 05.10–11.10.2026; Tuần 6: 12.10–18.10.2026; Tuần 7: 19.10–25.10.2026; Tuần 8: 26.10–01.11.2026.</v>
      </c>
      <c r="N10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4" s="17" t="str">
        <f t="shared" si="16"/>
        <v>Còn trống</v>
      </c>
    </row>
    <row r="1055" spans="1:16" x14ac:dyDescent="0.3">
      <c r="A1055">
        <v>1054</v>
      </c>
      <c r="B1055" t="s">
        <v>2315</v>
      </c>
      <c r="C1055" t="s">
        <v>2450</v>
      </c>
      <c r="D1055" t="s">
        <v>2451</v>
      </c>
      <c r="E1055" t="s">
        <v>40</v>
      </c>
      <c r="F1055" t="s">
        <v>2333</v>
      </c>
      <c r="G1055" t="s">
        <v>2365</v>
      </c>
      <c r="H1055" t="str">
        <f>'Huong dan giao do an'!$B$14</f>
        <v>5 SV (vai trò chính): 1 PM/Scrum Master kiêm Integration; 2 BA/PO; 3 UI-UX + Frontend; 4 Backend/API + DevOps; 5 Database + QA/Tester. Mỗi SV có nhiệm vụ phụ và minh chứng cá nhân.</v>
      </c>
      <c r="I1055" t="s">
        <v>29</v>
      </c>
      <c r="J1055" t="s">
        <v>2325</v>
      </c>
      <c r="K1055" t="str">
        <f>IF(I1055="Trung bình",'Huong dan giao do an'!$B$8,IF(I1055="Khá",'Huong dan giao do an'!$B$9,'Huong dan giao do an'!$B$10))</f>
        <v>Tối thiểu 5 actor; 14-18 use case; 10-15 bảng; 4 quy trình; tích hợp ngoài/realtime hoặc xử lý nâng cao; 3 báo cáo; &gt;=45 test case; logging, backup và deploy.</v>
      </c>
      <c r="L1055" t="str">
        <f>'Huong dan giao do an'!$B$31</f>
        <v>Bắt buộc: Charter/PMP; SRS + scope/WBS; Gantt/baseline; effort-cost budget; RACI/timesheet; quality-test-defect; communication/minutes; risk register; procurement; change log; closure/lessons learned.</v>
      </c>
      <c r="M1055" t="str">
        <f>'Huong dan giao do an'!$B$33</f>
        <v>Tuần 1: 07.09–13.09.2026; Tuần 2: 14.09–20.09.2026; Tuần 3: 21.09–27.09.2026; Tuần 4: 28.09–04.10.2026; Tuần 5: 05.10–11.10.2026; Tuần 6: 12.10–18.10.2026; Tuần 7: 19.10–25.10.2026; Tuần 8: 26.10–01.11.2026.</v>
      </c>
      <c r="N10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5" s="17" t="str">
        <f t="shared" si="16"/>
        <v>Còn trống</v>
      </c>
    </row>
    <row r="1056" spans="1:16" x14ac:dyDescent="0.3">
      <c r="A1056">
        <v>1055</v>
      </c>
      <c r="B1056" t="s">
        <v>2315</v>
      </c>
      <c r="C1056" t="s">
        <v>2452</v>
      </c>
      <c r="D1056" t="s">
        <v>2453</v>
      </c>
      <c r="E1056" t="s">
        <v>45</v>
      </c>
      <c r="F1056" t="s">
        <v>2337</v>
      </c>
      <c r="G1056" t="s">
        <v>2368</v>
      </c>
      <c r="H1056" t="str">
        <f>'Huong dan giao do an'!$B$14</f>
        <v>5 SV (vai trò chính): 1 PM/Scrum Master kiêm Integration; 2 BA/PO; 3 UI-UX + Frontend; 4 Backend/API + DevOps; 5 Database + QA/Tester. Mỗi SV có nhiệm vụ phụ và minh chứng cá nhân.</v>
      </c>
      <c r="I1056" t="s">
        <v>36</v>
      </c>
      <c r="J1056" t="s">
        <v>2330</v>
      </c>
      <c r="K1056" t="str">
        <f>IF(I1056="Trung bình",'Huong dan giao do an'!$B$8,IF(I1056="Khá",'Huong dan giao do an'!$B$9,'Huong dan giao do an'!$B$10))</f>
        <v>Tối thiểu 3 actor; 8-10 use case; 6-8 bảng dữ liệu; 2 quy trình lõi; đăng nhập/RBAC; 1 dashboard; 1 báo cáo; &gt;=25 test case; triển khai bản demo.</v>
      </c>
      <c r="L1056" t="str">
        <f>'Huong dan giao do an'!$B$31</f>
        <v>Bắt buộc: Charter/PMP; SRS + scope/WBS; Gantt/baseline; effort-cost budget; RACI/timesheet; quality-test-defect; communication/minutes; risk register; procurement; change log; closure/lessons learned.</v>
      </c>
      <c r="M1056" t="str">
        <f>'Huong dan giao do an'!$B$33</f>
        <v>Tuần 1: 07.09–13.09.2026; Tuần 2: 14.09–20.09.2026; Tuần 3: 21.09–27.09.2026; Tuần 4: 28.09–04.10.2026; Tuần 5: 05.10–11.10.2026; Tuần 6: 12.10–18.10.2026; Tuần 7: 19.10–25.10.2026; Tuần 8: 26.10–01.11.2026.</v>
      </c>
      <c r="N10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6" s="17" t="str">
        <f t="shared" si="16"/>
        <v>Còn trống</v>
      </c>
    </row>
    <row r="1057" spans="1:16" x14ac:dyDescent="0.3">
      <c r="A1057">
        <v>1056</v>
      </c>
      <c r="B1057" t="s">
        <v>2315</v>
      </c>
      <c r="C1057" t="s">
        <v>2454</v>
      </c>
      <c r="D1057" t="s">
        <v>2455</v>
      </c>
      <c r="E1057" t="s">
        <v>19</v>
      </c>
      <c r="F1057" t="s">
        <v>2318</v>
      </c>
      <c r="G1057" t="s">
        <v>2371</v>
      </c>
      <c r="H1057" t="str">
        <f>'Huong dan giao do an'!$B$14</f>
        <v>5 SV (vai trò chính): 1 PM/Scrum Master kiêm Integration; 2 BA/PO; 3 UI-UX + Frontend; 4 Backend/API + DevOps; 5 Database + QA/Tester. Mỗi SV có nhiệm vụ phụ và minh chứng cá nhân.</v>
      </c>
      <c r="I1057" t="s">
        <v>22</v>
      </c>
      <c r="J1057" t="s">
        <v>2320</v>
      </c>
      <c r="K1057" t="str">
        <f>IF(I1057="Trung bình",'Huong dan giao do an'!$B$8,IF(I1057="Khá",'Huong dan giao do an'!$B$9,'Huong dan giao do an'!$B$10))</f>
        <v>Tối thiểu 4 actor; 10-14 use case; 8-12 bảng; 3 quy trình lõi; phân quyền chi tiết; 2 báo cáo; tích hợp 1 dịch vụ; &gt;=35 test case; CI/CD hoặc deploy cloud.</v>
      </c>
      <c r="L1057" t="str">
        <f>'Huong dan giao do an'!$B$31</f>
        <v>Bắt buộc: Charter/PMP; SRS + scope/WBS; Gantt/baseline; effort-cost budget; RACI/timesheet; quality-test-defect; communication/minutes; risk register; procurement; change log; closure/lessons learned.</v>
      </c>
      <c r="M1057" t="str">
        <f>'Huong dan giao do an'!$B$33</f>
        <v>Tuần 1: 07.09–13.09.2026; Tuần 2: 14.09–20.09.2026; Tuần 3: 21.09–27.09.2026; Tuần 4: 28.09–04.10.2026; Tuần 5: 05.10–11.10.2026; Tuần 6: 12.10–18.10.2026; Tuần 7: 19.10–25.10.2026; Tuần 8: 26.10–01.11.2026.</v>
      </c>
      <c r="N10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7" s="17" t="str">
        <f t="shared" si="16"/>
        <v>Còn trống</v>
      </c>
    </row>
    <row r="1058" spans="1:16" x14ac:dyDescent="0.3">
      <c r="A1058">
        <v>1057</v>
      </c>
      <c r="B1058" t="s">
        <v>2315</v>
      </c>
      <c r="C1058" t="s">
        <v>2456</v>
      </c>
      <c r="D1058" t="s">
        <v>2457</v>
      </c>
      <c r="E1058" t="s">
        <v>26</v>
      </c>
      <c r="F1058" t="s">
        <v>2323</v>
      </c>
      <c r="G1058" t="s">
        <v>2374</v>
      </c>
      <c r="H1058" t="str">
        <f>'Huong dan giao do an'!$B$14</f>
        <v>5 SV (vai trò chính): 1 PM/Scrum Master kiêm Integration; 2 BA/PO; 3 UI-UX + Frontend; 4 Backend/API + DevOps; 5 Database + QA/Tester. Mỗi SV có nhiệm vụ phụ và minh chứng cá nhân.</v>
      </c>
      <c r="I1058" t="s">
        <v>29</v>
      </c>
      <c r="J1058" t="s">
        <v>2325</v>
      </c>
      <c r="K1058" t="str">
        <f>IF(I1058="Trung bình",'Huong dan giao do an'!$B$8,IF(I1058="Khá",'Huong dan giao do an'!$B$9,'Huong dan giao do an'!$B$10))</f>
        <v>Tối thiểu 5 actor; 14-18 use case; 10-15 bảng; 4 quy trình; tích hợp ngoài/realtime hoặc xử lý nâng cao; 3 báo cáo; &gt;=45 test case; logging, backup và deploy.</v>
      </c>
      <c r="L1058" t="str">
        <f>'Huong dan giao do an'!$B$31</f>
        <v>Bắt buộc: Charter/PMP; SRS + scope/WBS; Gantt/baseline; effort-cost budget; RACI/timesheet; quality-test-defect; communication/minutes; risk register; procurement; change log; closure/lessons learned.</v>
      </c>
      <c r="M1058" t="str">
        <f>'Huong dan giao do an'!$B$33</f>
        <v>Tuần 1: 07.09–13.09.2026; Tuần 2: 14.09–20.09.2026; Tuần 3: 21.09–27.09.2026; Tuần 4: 28.09–04.10.2026; Tuần 5: 05.10–11.10.2026; Tuần 6: 12.10–18.10.2026; Tuần 7: 19.10–25.10.2026; Tuần 8: 26.10–01.11.2026.</v>
      </c>
      <c r="N10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8" s="17" t="str">
        <f t="shared" si="16"/>
        <v>Còn trống</v>
      </c>
    </row>
    <row r="1059" spans="1:16" x14ac:dyDescent="0.3">
      <c r="A1059">
        <v>1058</v>
      </c>
      <c r="B1059" t="s">
        <v>2315</v>
      </c>
      <c r="C1059" t="s">
        <v>2458</v>
      </c>
      <c r="D1059" t="s">
        <v>2459</v>
      </c>
      <c r="E1059" t="s">
        <v>33</v>
      </c>
      <c r="F1059" t="s">
        <v>2328</v>
      </c>
      <c r="G1059" t="s">
        <v>2377</v>
      </c>
      <c r="H1059" t="str">
        <f>'Huong dan giao do an'!$B$14</f>
        <v>5 SV (vai trò chính): 1 PM/Scrum Master kiêm Integration; 2 BA/PO; 3 UI-UX + Frontend; 4 Backend/API + DevOps; 5 Database + QA/Tester. Mỗi SV có nhiệm vụ phụ và minh chứng cá nhân.</v>
      </c>
      <c r="I1059" t="s">
        <v>36</v>
      </c>
      <c r="J1059" t="s">
        <v>2330</v>
      </c>
      <c r="K1059" t="str">
        <f>IF(I1059="Trung bình",'Huong dan giao do an'!$B$8,IF(I1059="Khá",'Huong dan giao do an'!$B$9,'Huong dan giao do an'!$B$10))</f>
        <v>Tối thiểu 3 actor; 8-10 use case; 6-8 bảng dữ liệu; 2 quy trình lõi; đăng nhập/RBAC; 1 dashboard; 1 báo cáo; &gt;=25 test case; triển khai bản demo.</v>
      </c>
      <c r="L1059" t="str">
        <f>'Huong dan giao do an'!$B$31</f>
        <v>Bắt buộc: Charter/PMP; SRS + scope/WBS; Gantt/baseline; effort-cost budget; RACI/timesheet; quality-test-defect; communication/minutes; risk register; procurement; change log; closure/lessons learned.</v>
      </c>
      <c r="M1059" t="str">
        <f>'Huong dan giao do an'!$B$33</f>
        <v>Tuần 1: 07.09–13.09.2026; Tuần 2: 14.09–20.09.2026; Tuần 3: 21.09–27.09.2026; Tuần 4: 28.09–04.10.2026; Tuần 5: 05.10–11.10.2026; Tuần 6: 12.10–18.10.2026; Tuần 7: 19.10–25.10.2026; Tuần 8: 26.10–01.11.2026.</v>
      </c>
      <c r="N10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59" s="17" t="str">
        <f t="shared" si="16"/>
        <v>Còn trống</v>
      </c>
    </row>
    <row r="1060" spans="1:16" x14ac:dyDescent="0.3">
      <c r="A1060">
        <v>1059</v>
      </c>
      <c r="B1060" t="s">
        <v>2315</v>
      </c>
      <c r="C1060" t="s">
        <v>2460</v>
      </c>
      <c r="D1060" t="s">
        <v>2461</v>
      </c>
      <c r="E1060" t="s">
        <v>40</v>
      </c>
      <c r="F1060" t="s">
        <v>2333</v>
      </c>
      <c r="G1060" t="s">
        <v>2380</v>
      </c>
      <c r="H1060" t="str">
        <f>'Huong dan giao do an'!$B$14</f>
        <v>5 SV (vai trò chính): 1 PM/Scrum Master kiêm Integration; 2 BA/PO; 3 UI-UX + Frontend; 4 Backend/API + DevOps; 5 Database + QA/Tester. Mỗi SV có nhiệm vụ phụ và minh chứng cá nhân.</v>
      </c>
      <c r="I1060" t="s">
        <v>22</v>
      </c>
      <c r="J1060" t="s">
        <v>2320</v>
      </c>
      <c r="K1060" t="str">
        <f>IF(I1060="Trung bình",'Huong dan giao do an'!$B$8,IF(I1060="Khá",'Huong dan giao do an'!$B$9,'Huong dan giao do an'!$B$10))</f>
        <v>Tối thiểu 4 actor; 10-14 use case; 8-12 bảng; 3 quy trình lõi; phân quyền chi tiết; 2 báo cáo; tích hợp 1 dịch vụ; &gt;=35 test case; CI/CD hoặc deploy cloud.</v>
      </c>
      <c r="L1060" t="str">
        <f>'Huong dan giao do an'!$B$31</f>
        <v>Bắt buộc: Charter/PMP; SRS + scope/WBS; Gantt/baseline; effort-cost budget; RACI/timesheet; quality-test-defect; communication/minutes; risk register; procurement; change log; closure/lessons learned.</v>
      </c>
      <c r="M1060" t="str">
        <f>'Huong dan giao do an'!$B$33</f>
        <v>Tuần 1: 07.09–13.09.2026; Tuần 2: 14.09–20.09.2026; Tuần 3: 21.09–27.09.2026; Tuần 4: 28.09–04.10.2026; Tuần 5: 05.10–11.10.2026; Tuần 6: 12.10–18.10.2026; Tuần 7: 19.10–25.10.2026; Tuần 8: 26.10–01.11.2026.</v>
      </c>
      <c r="N10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0" s="17" t="str">
        <f t="shared" si="16"/>
        <v>Còn trống</v>
      </c>
    </row>
    <row r="1061" spans="1:16" x14ac:dyDescent="0.3">
      <c r="A1061">
        <v>1060</v>
      </c>
      <c r="B1061" t="s">
        <v>2315</v>
      </c>
      <c r="C1061" t="s">
        <v>2462</v>
      </c>
      <c r="D1061" t="s">
        <v>2463</v>
      </c>
      <c r="E1061" t="s">
        <v>45</v>
      </c>
      <c r="F1061" t="s">
        <v>2337</v>
      </c>
      <c r="G1061" t="s">
        <v>2383</v>
      </c>
      <c r="H1061" t="str">
        <f>'Huong dan giao do an'!$B$14</f>
        <v>5 SV (vai trò chính): 1 PM/Scrum Master kiêm Integration; 2 BA/PO; 3 UI-UX + Frontend; 4 Backend/API + DevOps; 5 Database + QA/Tester. Mỗi SV có nhiệm vụ phụ và minh chứng cá nhân.</v>
      </c>
      <c r="I1061" t="s">
        <v>29</v>
      </c>
      <c r="J1061" t="s">
        <v>2325</v>
      </c>
      <c r="K1061" t="str">
        <f>IF(I1061="Trung bình",'Huong dan giao do an'!$B$8,IF(I1061="Khá",'Huong dan giao do an'!$B$9,'Huong dan giao do an'!$B$10))</f>
        <v>Tối thiểu 5 actor; 14-18 use case; 10-15 bảng; 4 quy trình; tích hợp ngoài/realtime hoặc xử lý nâng cao; 3 báo cáo; &gt;=45 test case; logging, backup và deploy.</v>
      </c>
      <c r="L1061" t="str">
        <f>'Huong dan giao do an'!$B$31</f>
        <v>Bắt buộc: Charter/PMP; SRS + scope/WBS; Gantt/baseline; effort-cost budget; RACI/timesheet; quality-test-defect; communication/minutes; risk register; procurement; change log; closure/lessons learned.</v>
      </c>
      <c r="M1061" t="str">
        <f>'Huong dan giao do an'!$B$33</f>
        <v>Tuần 1: 07.09–13.09.2026; Tuần 2: 14.09–20.09.2026; Tuần 3: 21.09–27.09.2026; Tuần 4: 28.09–04.10.2026; Tuần 5: 05.10–11.10.2026; Tuần 6: 12.10–18.10.2026; Tuần 7: 19.10–25.10.2026; Tuần 8: 26.10–01.11.2026.</v>
      </c>
      <c r="N10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1" s="17" t="str">
        <f t="shared" si="16"/>
        <v>Còn trống</v>
      </c>
    </row>
    <row r="1062" spans="1:16" x14ac:dyDescent="0.3">
      <c r="A1062">
        <v>1061</v>
      </c>
      <c r="B1062" t="s">
        <v>2315</v>
      </c>
      <c r="C1062" t="s">
        <v>2464</v>
      </c>
      <c r="D1062" t="s">
        <v>2465</v>
      </c>
      <c r="E1062" t="s">
        <v>19</v>
      </c>
      <c r="F1062" t="s">
        <v>2318</v>
      </c>
      <c r="G1062" t="s">
        <v>2319</v>
      </c>
      <c r="H1062" t="str">
        <f>'Huong dan giao do an'!$B$14</f>
        <v>5 SV (vai trò chính): 1 PM/Scrum Master kiêm Integration; 2 BA/PO; 3 UI-UX + Frontend; 4 Backend/API + DevOps; 5 Database + QA/Tester. Mỗi SV có nhiệm vụ phụ và minh chứng cá nhân.</v>
      </c>
      <c r="I1062" t="s">
        <v>22</v>
      </c>
      <c r="J1062" t="s">
        <v>2320</v>
      </c>
      <c r="K1062" t="str">
        <f>IF(I1062="Trung bình",'Huong dan giao do an'!$B$8,IF(I1062="Khá",'Huong dan giao do an'!$B$9,'Huong dan giao do an'!$B$10))</f>
        <v>Tối thiểu 4 actor; 10-14 use case; 8-12 bảng; 3 quy trình lõi; phân quyền chi tiết; 2 báo cáo; tích hợp 1 dịch vụ; &gt;=35 test case; CI/CD hoặc deploy cloud.</v>
      </c>
      <c r="L1062" t="str">
        <f>'Huong dan giao do an'!$B$31</f>
        <v>Bắt buộc: Charter/PMP; SRS + scope/WBS; Gantt/baseline; effort-cost budget; RACI/timesheet; quality-test-defect; communication/minutes; risk register; procurement; change log; closure/lessons learned.</v>
      </c>
      <c r="M1062" t="str">
        <f>'Huong dan giao do an'!$B$33</f>
        <v>Tuần 1: 07.09–13.09.2026; Tuần 2: 14.09–20.09.2026; Tuần 3: 21.09–27.09.2026; Tuần 4: 28.09–04.10.2026; Tuần 5: 05.10–11.10.2026; Tuần 6: 12.10–18.10.2026; Tuần 7: 19.10–25.10.2026; Tuần 8: 26.10–01.11.2026.</v>
      </c>
      <c r="N10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2" s="17" t="str">
        <f t="shared" si="16"/>
        <v>Còn trống</v>
      </c>
    </row>
    <row r="1063" spans="1:16" x14ac:dyDescent="0.3">
      <c r="A1063">
        <v>1062</v>
      </c>
      <c r="B1063" t="s">
        <v>2315</v>
      </c>
      <c r="C1063" t="s">
        <v>2466</v>
      </c>
      <c r="D1063" t="s">
        <v>2467</v>
      </c>
      <c r="E1063" t="s">
        <v>26</v>
      </c>
      <c r="F1063" t="s">
        <v>2323</v>
      </c>
      <c r="G1063" t="s">
        <v>2324</v>
      </c>
      <c r="H1063" t="str">
        <f>'Huong dan giao do an'!$B$14</f>
        <v>5 SV (vai trò chính): 1 PM/Scrum Master kiêm Integration; 2 BA/PO; 3 UI-UX + Frontend; 4 Backend/API + DevOps; 5 Database + QA/Tester. Mỗi SV có nhiệm vụ phụ và minh chứng cá nhân.</v>
      </c>
      <c r="I1063" t="s">
        <v>29</v>
      </c>
      <c r="J1063" t="s">
        <v>2325</v>
      </c>
      <c r="K1063" t="str">
        <f>IF(I1063="Trung bình",'Huong dan giao do an'!$B$8,IF(I1063="Khá",'Huong dan giao do an'!$B$9,'Huong dan giao do an'!$B$10))</f>
        <v>Tối thiểu 5 actor; 14-18 use case; 10-15 bảng; 4 quy trình; tích hợp ngoài/realtime hoặc xử lý nâng cao; 3 báo cáo; &gt;=45 test case; logging, backup và deploy.</v>
      </c>
      <c r="L1063" t="str">
        <f>'Huong dan giao do an'!$B$31</f>
        <v>Bắt buộc: Charter/PMP; SRS + scope/WBS; Gantt/baseline; effort-cost budget; RACI/timesheet; quality-test-defect; communication/minutes; risk register; procurement; change log; closure/lessons learned.</v>
      </c>
      <c r="M1063" t="str">
        <f>'Huong dan giao do an'!$B$33</f>
        <v>Tuần 1: 07.09–13.09.2026; Tuần 2: 14.09–20.09.2026; Tuần 3: 21.09–27.09.2026; Tuần 4: 28.09–04.10.2026; Tuần 5: 05.10–11.10.2026; Tuần 6: 12.10–18.10.2026; Tuần 7: 19.10–25.10.2026; Tuần 8: 26.10–01.11.2026.</v>
      </c>
      <c r="N10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3" s="17" t="str">
        <f t="shared" si="16"/>
        <v>Còn trống</v>
      </c>
    </row>
    <row r="1064" spans="1:16" x14ac:dyDescent="0.3">
      <c r="A1064">
        <v>1063</v>
      </c>
      <c r="B1064" t="s">
        <v>2315</v>
      </c>
      <c r="C1064" t="s">
        <v>2468</v>
      </c>
      <c r="D1064" t="s">
        <v>2469</v>
      </c>
      <c r="E1064" t="s">
        <v>33</v>
      </c>
      <c r="F1064" t="s">
        <v>2328</v>
      </c>
      <c r="G1064" t="s">
        <v>2329</v>
      </c>
      <c r="H1064" t="str">
        <f>'Huong dan giao do an'!$B$14</f>
        <v>5 SV (vai trò chính): 1 PM/Scrum Master kiêm Integration; 2 BA/PO; 3 UI-UX + Frontend; 4 Backend/API + DevOps; 5 Database + QA/Tester. Mỗi SV có nhiệm vụ phụ và minh chứng cá nhân.</v>
      </c>
      <c r="I1064" t="s">
        <v>36</v>
      </c>
      <c r="J1064" t="s">
        <v>2330</v>
      </c>
      <c r="K1064" t="str">
        <f>IF(I1064="Trung bình",'Huong dan giao do an'!$B$8,IF(I1064="Khá",'Huong dan giao do an'!$B$9,'Huong dan giao do an'!$B$10))</f>
        <v>Tối thiểu 3 actor; 8-10 use case; 6-8 bảng dữ liệu; 2 quy trình lõi; đăng nhập/RBAC; 1 dashboard; 1 báo cáo; &gt;=25 test case; triển khai bản demo.</v>
      </c>
      <c r="L1064" t="str">
        <f>'Huong dan giao do an'!$B$31</f>
        <v>Bắt buộc: Charter/PMP; SRS + scope/WBS; Gantt/baseline; effort-cost budget; RACI/timesheet; quality-test-defect; communication/minutes; risk register; procurement; change log; closure/lessons learned.</v>
      </c>
      <c r="M1064" t="str">
        <f>'Huong dan giao do an'!$B$33</f>
        <v>Tuần 1: 07.09–13.09.2026; Tuần 2: 14.09–20.09.2026; Tuần 3: 21.09–27.09.2026; Tuần 4: 28.09–04.10.2026; Tuần 5: 05.10–11.10.2026; Tuần 6: 12.10–18.10.2026; Tuần 7: 19.10–25.10.2026; Tuần 8: 26.10–01.11.2026.</v>
      </c>
      <c r="N10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4" s="17" t="str">
        <f t="shared" si="16"/>
        <v>Còn trống</v>
      </c>
    </row>
    <row r="1065" spans="1:16" x14ac:dyDescent="0.3">
      <c r="A1065">
        <v>1064</v>
      </c>
      <c r="B1065" t="s">
        <v>2315</v>
      </c>
      <c r="C1065" t="s">
        <v>2470</v>
      </c>
      <c r="D1065" t="s">
        <v>2471</v>
      </c>
      <c r="E1065" t="s">
        <v>40</v>
      </c>
      <c r="F1065" t="s">
        <v>2333</v>
      </c>
      <c r="G1065" t="s">
        <v>2334</v>
      </c>
      <c r="H1065" t="str">
        <f>'Huong dan giao do an'!$B$14</f>
        <v>5 SV (vai trò chính): 1 PM/Scrum Master kiêm Integration; 2 BA/PO; 3 UI-UX + Frontend; 4 Backend/API + DevOps; 5 Database + QA/Tester. Mỗi SV có nhiệm vụ phụ và minh chứng cá nhân.</v>
      </c>
      <c r="I1065" t="s">
        <v>22</v>
      </c>
      <c r="J1065" t="s">
        <v>2320</v>
      </c>
      <c r="K1065" t="str">
        <f>IF(I1065="Trung bình",'Huong dan giao do an'!$B$8,IF(I1065="Khá",'Huong dan giao do an'!$B$9,'Huong dan giao do an'!$B$10))</f>
        <v>Tối thiểu 4 actor; 10-14 use case; 8-12 bảng; 3 quy trình lõi; phân quyền chi tiết; 2 báo cáo; tích hợp 1 dịch vụ; &gt;=35 test case; CI/CD hoặc deploy cloud.</v>
      </c>
      <c r="L1065" t="str">
        <f>'Huong dan giao do an'!$B$31</f>
        <v>Bắt buộc: Charter/PMP; SRS + scope/WBS; Gantt/baseline; effort-cost budget; RACI/timesheet; quality-test-defect; communication/minutes; risk register; procurement; change log; closure/lessons learned.</v>
      </c>
      <c r="M1065" t="str">
        <f>'Huong dan giao do an'!$B$33</f>
        <v>Tuần 1: 07.09–13.09.2026; Tuần 2: 14.09–20.09.2026; Tuần 3: 21.09–27.09.2026; Tuần 4: 28.09–04.10.2026; Tuần 5: 05.10–11.10.2026; Tuần 6: 12.10–18.10.2026; Tuần 7: 19.10–25.10.2026; Tuần 8: 26.10–01.11.2026.</v>
      </c>
      <c r="N10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5" s="17" t="str">
        <f t="shared" si="16"/>
        <v>Còn trống</v>
      </c>
    </row>
    <row r="1066" spans="1:16" x14ac:dyDescent="0.3">
      <c r="A1066">
        <v>1065</v>
      </c>
      <c r="B1066" t="s">
        <v>2315</v>
      </c>
      <c r="C1066" t="s">
        <v>2472</v>
      </c>
      <c r="D1066" t="s">
        <v>2473</v>
      </c>
      <c r="E1066" t="s">
        <v>45</v>
      </c>
      <c r="F1066" t="s">
        <v>2337</v>
      </c>
      <c r="G1066" t="s">
        <v>2338</v>
      </c>
      <c r="H1066" t="str">
        <f>'Huong dan giao do an'!$B$14</f>
        <v>5 SV (vai trò chính): 1 PM/Scrum Master kiêm Integration; 2 BA/PO; 3 UI-UX + Frontend; 4 Backend/API + DevOps; 5 Database + QA/Tester. Mỗi SV có nhiệm vụ phụ và minh chứng cá nhân.</v>
      </c>
      <c r="I1066" t="s">
        <v>29</v>
      </c>
      <c r="J1066" t="s">
        <v>2325</v>
      </c>
      <c r="K1066" t="str">
        <f>IF(I1066="Trung bình",'Huong dan giao do an'!$B$8,IF(I1066="Khá",'Huong dan giao do an'!$B$9,'Huong dan giao do an'!$B$10))</f>
        <v>Tối thiểu 5 actor; 14-18 use case; 10-15 bảng; 4 quy trình; tích hợp ngoài/realtime hoặc xử lý nâng cao; 3 báo cáo; &gt;=45 test case; logging, backup và deploy.</v>
      </c>
      <c r="L1066" t="str">
        <f>'Huong dan giao do an'!$B$31</f>
        <v>Bắt buộc: Charter/PMP; SRS + scope/WBS; Gantt/baseline; effort-cost budget; RACI/timesheet; quality-test-defect; communication/minutes; risk register; procurement; change log; closure/lessons learned.</v>
      </c>
      <c r="M1066" t="str">
        <f>'Huong dan giao do an'!$B$33</f>
        <v>Tuần 1: 07.09–13.09.2026; Tuần 2: 14.09–20.09.2026; Tuần 3: 21.09–27.09.2026; Tuần 4: 28.09–04.10.2026; Tuần 5: 05.10–11.10.2026; Tuần 6: 12.10–18.10.2026; Tuần 7: 19.10–25.10.2026; Tuần 8: 26.10–01.11.2026.</v>
      </c>
      <c r="N10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6" s="17" t="str">
        <f t="shared" si="16"/>
        <v>Còn trống</v>
      </c>
    </row>
    <row r="1067" spans="1:16" x14ac:dyDescent="0.3">
      <c r="A1067">
        <v>1066</v>
      </c>
      <c r="B1067" t="s">
        <v>2315</v>
      </c>
      <c r="C1067" t="s">
        <v>2474</v>
      </c>
      <c r="D1067" t="s">
        <v>2475</v>
      </c>
      <c r="E1067" t="s">
        <v>19</v>
      </c>
      <c r="F1067" t="s">
        <v>2318</v>
      </c>
      <c r="G1067" t="s">
        <v>2341</v>
      </c>
      <c r="H1067" t="str">
        <f>'Huong dan giao do an'!$B$14</f>
        <v>5 SV (vai trò chính): 1 PM/Scrum Master kiêm Integration; 2 BA/PO; 3 UI-UX + Frontend; 4 Backend/API + DevOps; 5 Database + QA/Tester. Mỗi SV có nhiệm vụ phụ và minh chứng cá nhân.</v>
      </c>
      <c r="I1067" t="s">
        <v>36</v>
      </c>
      <c r="J1067" t="s">
        <v>2330</v>
      </c>
      <c r="K1067" t="str">
        <f>IF(I1067="Trung bình",'Huong dan giao do an'!$B$8,IF(I1067="Khá",'Huong dan giao do an'!$B$9,'Huong dan giao do an'!$B$10))</f>
        <v>Tối thiểu 3 actor; 8-10 use case; 6-8 bảng dữ liệu; 2 quy trình lõi; đăng nhập/RBAC; 1 dashboard; 1 báo cáo; &gt;=25 test case; triển khai bản demo.</v>
      </c>
      <c r="L1067" t="str">
        <f>'Huong dan giao do an'!$B$31</f>
        <v>Bắt buộc: Charter/PMP; SRS + scope/WBS; Gantt/baseline; effort-cost budget; RACI/timesheet; quality-test-defect; communication/minutes; risk register; procurement; change log; closure/lessons learned.</v>
      </c>
      <c r="M1067" t="str">
        <f>'Huong dan giao do an'!$B$33</f>
        <v>Tuần 1: 07.09–13.09.2026; Tuần 2: 14.09–20.09.2026; Tuần 3: 21.09–27.09.2026; Tuần 4: 28.09–04.10.2026; Tuần 5: 05.10–11.10.2026; Tuần 6: 12.10–18.10.2026; Tuần 7: 19.10–25.10.2026; Tuần 8: 26.10–01.11.2026.</v>
      </c>
      <c r="N10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7" s="17" t="str">
        <f t="shared" si="16"/>
        <v>Còn trống</v>
      </c>
    </row>
    <row r="1068" spans="1:16" x14ac:dyDescent="0.3">
      <c r="A1068">
        <v>1067</v>
      </c>
      <c r="B1068" t="s">
        <v>2315</v>
      </c>
      <c r="C1068" t="s">
        <v>2476</v>
      </c>
      <c r="D1068" t="s">
        <v>2477</v>
      </c>
      <c r="E1068" t="s">
        <v>26</v>
      </c>
      <c r="F1068" t="s">
        <v>2323</v>
      </c>
      <c r="G1068" t="s">
        <v>2344</v>
      </c>
      <c r="H1068" t="str">
        <f>'Huong dan giao do an'!$B$14</f>
        <v>5 SV (vai trò chính): 1 PM/Scrum Master kiêm Integration; 2 BA/PO; 3 UI-UX + Frontend; 4 Backend/API + DevOps; 5 Database + QA/Tester. Mỗi SV có nhiệm vụ phụ và minh chứng cá nhân.</v>
      </c>
      <c r="I1068" t="s">
        <v>22</v>
      </c>
      <c r="J1068" t="s">
        <v>2320</v>
      </c>
      <c r="K1068" t="str">
        <f>IF(I1068="Trung bình",'Huong dan giao do an'!$B$8,IF(I1068="Khá",'Huong dan giao do an'!$B$9,'Huong dan giao do an'!$B$10))</f>
        <v>Tối thiểu 4 actor; 10-14 use case; 8-12 bảng; 3 quy trình lõi; phân quyền chi tiết; 2 báo cáo; tích hợp 1 dịch vụ; &gt;=35 test case; CI/CD hoặc deploy cloud.</v>
      </c>
      <c r="L1068" t="str">
        <f>'Huong dan giao do an'!$B$31</f>
        <v>Bắt buộc: Charter/PMP; SRS + scope/WBS; Gantt/baseline; effort-cost budget; RACI/timesheet; quality-test-defect; communication/minutes; risk register; procurement; change log; closure/lessons learned.</v>
      </c>
      <c r="M1068" t="str">
        <f>'Huong dan giao do an'!$B$33</f>
        <v>Tuần 1: 07.09–13.09.2026; Tuần 2: 14.09–20.09.2026; Tuần 3: 21.09–27.09.2026; Tuần 4: 28.09–04.10.2026; Tuần 5: 05.10–11.10.2026; Tuần 6: 12.10–18.10.2026; Tuần 7: 19.10–25.10.2026; Tuần 8: 26.10–01.11.2026.</v>
      </c>
      <c r="N10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8" s="17" t="str">
        <f t="shared" si="16"/>
        <v>Còn trống</v>
      </c>
    </row>
    <row r="1069" spans="1:16" x14ac:dyDescent="0.3">
      <c r="A1069">
        <v>1068</v>
      </c>
      <c r="B1069" t="s">
        <v>2315</v>
      </c>
      <c r="C1069" t="s">
        <v>2478</v>
      </c>
      <c r="D1069" t="s">
        <v>2479</v>
      </c>
      <c r="E1069" t="s">
        <v>33</v>
      </c>
      <c r="F1069" t="s">
        <v>2328</v>
      </c>
      <c r="G1069" t="s">
        <v>2347</v>
      </c>
      <c r="H1069" t="str">
        <f>'Huong dan giao do an'!$B$14</f>
        <v>5 SV (vai trò chính): 1 PM/Scrum Master kiêm Integration; 2 BA/PO; 3 UI-UX + Frontend; 4 Backend/API + DevOps; 5 Database + QA/Tester. Mỗi SV có nhiệm vụ phụ và minh chứng cá nhân.</v>
      </c>
      <c r="I1069" t="s">
        <v>29</v>
      </c>
      <c r="J1069" t="s">
        <v>2325</v>
      </c>
      <c r="K1069" t="str">
        <f>IF(I1069="Trung bình",'Huong dan giao do an'!$B$8,IF(I1069="Khá",'Huong dan giao do an'!$B$9,'Huong dan giao do an'!$B$10))</f>
        <v>Tối thiểu 5 actor; 14-18 use case; 10-15 bảng; 4 quy trình; tích hợp ngoài/realtime hoặc xử lý nâng cao; 3 báo cáo; &gt;=45 test case; logging, backup và deploy.</v>
      </c>
      <c r="L1069" t="str">
        <f>'Huong dan giao do an'!$B$31</f>
        <v>Bắt buộc: Charter/PMP; SRS + scope/WBS; Gantt/baseline; effort-cost budget; RACI/timesheet; quality-test-defect; communication/minutes; risk register; procurement; change log; closure/lessons learned.</v>
      </c>
      <c r="M1069" t="str">
        <f>'Huong dan giao do an'!$B$33</f>
        <v>Tuần 1: 07.09–13.09.2026; Tuần 2: 14.09–20.09.2026; Tuần 3: 21.09–27.09.2026; Tuần 4: 28.09–04.10.2026; Tuần 5: 05.10–11.10.2026; Tuần 6: 12.10–18.10.2026; Tuần 7: 19.10–25.10.2026; Tuần 8: 26.10–01.11.2026.</v>
      </c>
      <c r="N10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69" s="17" t="str">
        <f t="shared" si="16"/>
        <v>Còn trống</v>
      </c>
    </row>
    <row r="1070" spans="1:16" x14ac:dyDescent="0.3">
      <c r="A1070">
        <v>1069</v>
      </c>
      <c r="B1070" t="s">
        <v>2315</v>
      </c>
      <c r="C1070" t="s">
        <v>2480</v>
      </c>
      <c r="D1070" t="s">
        <v>2481</v>
      </c>
      <c r="E1070" t="s">
        <v>40</v>
      </c>
      <c r="F1070" t="s">
        <v>2333</v>
      </c>
      <c r="G1070" t="s">
        <v>2350</v>
      </c>
      <c r="H1070" t="str">
        <f>'Huong dan giao do an'!$B$14</f>
        <v>5 SV (vai trò chính): 1 PM/Scrum Master kiêm Integration; 2 BA/PO; 3 UI-UX + Frontend; 4 Backend/API + DevOps; 5 Database + QA/Tester. Mỗi SV có nhiệm vụ phụ và minh chứng cá nhân.</v>
      </c>
      <c r="I1070" t="s">
        <v>36</v>
      </c>
      <c r="J1070" t="s">
        <v>2330</v>
      </c>
      <c r="K1070" t="str">
        <f>IF(I1070="Trung bình",'Huong dan giao do an'!$B$8,IF(I1070="Khá",'Huong dan giao do an'!$B$9,'Huong dan giao do an'!$B$10))</f>
        <v>Tối thiểu 3 actor; 8-10 use case; 6-8 bảng dữ liệu; 2 quy trình lõi; đăng nhập/RBAC; 1 dashboard; 1 báo cáo; &gt;=25 test case; triển khai bản demo.</v>
      </c>
      <c r="L1070" t="str">
        <f>'Huong dan giao do an'!$B$31</f>
        <v>Bắt buộc: Charter/PMP; SRS + scope/WBS; Gantt/baseline; effort-cost budget; RACI/timesheet; quality-test-defect; communication/minutes; risk register; procurement; change log; closure/lessons learned.</v>
      </c>
      <c r="M1070" t="str">
        <f>'Huong dan giao do an'!$B$33</f>
        <v>Tuần 1: 07.09–13.09.2026; Tuần 2: 14.09–20.09.2026; Tuần 3: 21.09–27.09.2026; Tuần 4: 28.09–04.10.2026; Tuần 5: 05.10–11.10.2026; Tuần 6: 12.10–18.10.2026; Tuần 7: 19.10–25.10.2026; Tuần 8: 26.10–01.11.2026.</v>
      </c>
      <c r="N10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0" s="17" t="str">
        <f t="shared" si="16"/>
        <v>Còn trống</v>
      </c>
    </row>
    <row r="1071" spans="1:16" x14ac:dyDescent="0.3">
      <c r="A1071">
        <v>1070</v>
      </c>
      <c r="B1071" t="s">
        <v>2315</v>
      </c>
      <c r="C1071" t="s">
        <v>2482</v>
      </c>
      <c r="D1071" t="s">
        <v>2483</v>
      </c>
      <c r="E1071" t="s">
        <v>45</v>
      </c>
      <c r="F1071" t="s">
        <v>2337</v>
      </c>
      <c r="G1071" t="s">
        <v>2353</v>
      </c>
      <c r="H1071" t="str">
        <f>'Huong dan giao do an'!$B$14</f>
        <v>5 SV (vai trò chính): 1 PM/Scrum Master kiêm Integration; 2 BA/PO; 3 UI-UX + Frontend; 4 Backend/API + DevOps; 5 Database + QA/Tester. Mỗi SV có nhiệm vụ phụ và minh chứng cá nhân.</v>
      </c>
      <c r="I1071" t="s">
        <v>22</v>
      </c>
      <c r="J1071" t="s">
        <v>2320</v>
      </c>
      <c r="K1071" t="str">
        <f>IF(I1071="Trung bình",'Huong dan giao do an'!$B$8,IF(I1071="Khá",'Huong dan giao do an'!$B$9,'Huong dan giao do an'!$B$10))</f>
        <v>Tối thiểu 4 actor; 10-14 use case; 8-12 bảng; 3 quy trình lõi; phân quyền chi tiết; 2 báo cáo; tích hợp 1 dịch vụ; &gt;=35 test case; CI/CD hoặc deploy cloud.</v>
      </c>
      <c r="L1071" t="str">
        <f>'Huong dan giao do an'!$B$31</f>
        <v>Bắt buộc: Charter/PMP; SRS + scope/WBS; Gantt/baseline; effort-cost budget; RACI/timesheet; quality-test-defect; communication/minutes; risk register; procurement; change log; closure/lessons learned.</v>
      </c>
      <c r="M1071" t="str">
        <f>'Huong dan giao do an'!$B$33</f>
        <v>Tuần 1: 07.09–13.09.2026; Tuần 2: 14.09–20.09.2026; Tuần 3: 21.09–27.09.2026; Tuần 4: 28.09–04.10.2026; Tuần 5: 05.10–11.10.2026; Tuần 6: 12.10–18.10.2026; Tuần 7: 19.10–25.10.2026; Tuần 8: 26.10–01.11.2026.</v>
      </c>
      <c r="N10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1" s="17" t="str">
        <f t="shared" si="16"/>
        <v>Còn trống</v>
      </c>
    </row>
    <row r="1072" spans="1:16" x14ac:dyDescent="0.3">
      <c r="A1072">
        <v>1071</v>
      </c>
      <c r="B1072" t="s">
        <v>2315</v>
      </c>
      <c r="C1072" t="s">
        <v>2484</v>
      </c>
      <c r="D1072" t="s">
        <v>2485</v>
      </c>
      <c r="E1072" t="s">
        <v>19</v>
      </c>
      <c r="F1072" t="s">
        <v>2318</v>
      </c>
      <c r="G1072" t="s">
        <v>2356</v>
      </c>
      <c r="H1072" t="str">
        <f>'Huong dan giao do an'!$B$14</f>
        <v>5 SV (vai trò chính): 1 PM/Scrum Master kiêm Integration; 2 BA/PO; 3 UI-UX + Frontend; 4 Backend/API + DevOps; 5 Database + QA/Tester. Mỗi SV có nhiệm vụ phụ và minh chứng cá nhân.</v>
      </c>
      <c r="I1072" t="s">
        <v>29</v>
      </c>
      <c r="J1072" t="s">
        <v>2325</v>
      </c>
      <c r="K1072" t="str">
        <f>IF(I1072="Trung bình",'Huong dan giao do an'!$B$8,IF(I1072="Khá",'Huong dan giao do an'!$B$9,'Huong dan giao do an'!$B$10))</f>
        <v>Tối thiểu 5 actor; 14-18 use case; 10-15 bảng; 4 quy trình; tích hợp ngoài/realtime hoặc xử lý nâng cao; 3 báo cáo; &gt;=45 test case; logging, backup và deploy.</v>
      </c>
      <c r="L1072" t="str">
        <f>'Huong dan giao do an'!$B$31</f>
        <v>Bắt buộc: Charter/PMP; SRS + scope/WBS; Gantt/baseline; effort-cost budget; RACI/timesheet; quality-test-defect; communication/minutes; risk register; procurement; change log; closure/lessons learned.</v>
      </c>
      <c r="M1072" t="str">
        <f>'Huong dan giao do an'!$B$33</f>
        <v>Tuần 1: 07.09–13.09.2026; Tuần 2: 14.09–20.09.2026; Tuần 3: 21.09–27.09.2026; Tuần 4: 28.09–04.10.2026; Tuần 5: 05.10–11.10.2026; Tuần 6: 12.10–18.10.2026; Tuần 7: 19.10–25.10.2026; Tuần 8: 26.10–01.11.2026.</v>
      </c>
      <c r="N10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2" s="17" t="str">
        <f t="shared" si="16"/>
        <v>Còn trống</v>
      </c>
    </row>
    <row r="1073" spans="1:16" x14ac:dyDescent="0.3">
      <c r="A1073">
        <v>1072</v>
      </c>
      <c r="B1073" t="s">
        <v>2315</v>
      </c>
      <c r="C1073" t="s">
        <v>2486</v>
      </c>
      <c r="D1073" t="s">
        <v>2487</v>
      </c>
      <c r="E1073" t="s">
        <v>26</v>
      </c>
      <c r="F1073" t="s">
        <v>2323</v>
      </c>
      <c r="G1073" t="s">
        <v>2359</v>
      </c>
      <c r="H1073" t="str">
        <f>'Huong dan giao do an'!$B$14</f>
        <v>5 SV (vai trò chính): 1 PM/Scrum Master kiêm Integration; 2 BA/PO; 3 UI-UX + Frontend; 4 Backend/API + DevOps; 5 Database + QA/Tester. Mỗi SV có nhiệm vụ phụ và minh chứng cá nhân.</v>
      </c>
      <c r="I1073" t="s">
        <v>36</v>
      </c>
      <c r="J1073" t="s">
        <v>2330</v>
      </c>
      <c r="K1073" t="str">
        <f>IF(I1073="Trung bình",'Huong dan giao do an'!$B$8,IF(I1073="Khá",'Huong dan giao do an'!$B$9,'Huong dan giao do an'!$B$10))</f>
        <v>Tối thiểu 3 actor; 8-10 use case; 6-8 bảng dữ liệu; 2 quy trình lõi; đăng nhập/RBAC; 1 dashboard; 1 báo cáo; &gt;=25 test case; triển khai bản demo.</v>
      </c>
      <c r="L1073" t="str">
        <f>'Huong dan giao do an'!$B$31</f>
        <v>Bắt buộc: Charter/PMP; SRS + scope/WBS; Gantt/baseline; effort-cost budget; RACI/timesheet; quality-test-defect; communication/minutes; risk register; procurement; change log; closure/lessons learned.</v>
      </c>
      <c r="M1073" t="str">
        <f>'Huong dan giao do an'!$B$33</f>
        <v>Tuần 1: 07.09–13.09.2026; Tuần 2: 14.09–20.09.2026; Tuần 3: 21.09–27.09.2026; Tuần 4: 28.09–04.10.2026; Tuần 5: 05.10–11.10.2026; Tuần 6: 12.10–18.10.2026; Tuần 7: 19.10–25.10.2026; Tuần 8: 26.10–01.11.2026.</v>
      </c>
      <c r="N10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3" s="17" t="str">
        <f t="shared" si="16"/>
        <v>Còn trống</v>
      </c>
    </row>
    <row r="1074" spans="1:16" x14ac:dyDescent="0.3">
      <c r="A1074">
        <v>1073</v>
      </c>
      <c r="B1074" t="s">
        <v>2315</v>
      </c>
      <c r="C1074" t="s">
        <v>2488</v>
      </c>
      <c r="D1074" t="s">
        <v>2489</v>
      </c>
      <c r="E1074" t="s">
        <v>33</v>
      </c>
      <c r="F1074" t="s">
        <v>2328</v>
      </c>
      <c r="G1074" t="s">
        <v>2362</v>
      </c>
      <c r="H1074" t="str">
        <f>'Huong dan giao do an'!$B$14</f>
        <v>5 SV (vai trò chính): 1 PM/Scrum Master kiêm Integration; 2 BA/PO; 3 UI-UX + Frontend; 4 Backend/API + DevOps; 5 Database + QA/Tester. Mỗi SV có nhiệm vụ phụ và minh chứng cá nhân.</v>
      </c>
      <c r="I1074" t="s">
        <v>22</v>
      </c>
      <c r="J1074" t="s">
        <v>2320</v>
      </c>
      <c r="K1074" t="str">
        <f>IF(I1074="Trung bình",'Huong dan giao do an'!$B$8,IF(I1074="Khá",'Huong dan giao do an'!$B$9,'Huong dan giao do an'!$B$10))</f>
        <v>Tối thiểu 4 actor; 10-14 use case; 8-12 bảng; 3 quy trình lõi; phân quyền chi tiết; 2 báo cáo; tích hợp 1 dịch vụ; &gt;=35 test case; CI/CD hoặc deploy cloud.</v>
      </c>
      <c r="L1074" t="str">
        <f>'Huong dan giao do an'!$B$31</f>
        <v>Bắt buộc: Charter/PMP; SRS + scope/WBS; Gantt/baseline; effort-cost budget; RACI/timesheet; quality-test-defect; communication/minutes; risk register; procurement; change log; closure/lessons learned.</v>
      </c>
      <c r="M1074" t="str">
        <f>'Huong dan giao do an'!$B$33</f>
        <v>Tuần 1: 07.09–13.09.2026; Tuần 2: 14.09–20.09.2026; Tuần 3: 21.09–27.09.2026; Tuần 4: 28.09–04.10.2026; Tuần 5: 05.10–11.10.2026; Tuần 6: 12.10–18.10.2026; Tuần 7: 19.10–25.10.2026; Tuần 8: 26.10–01.11.2026.</v>
      </c>
      <c r="N10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4" s="17" t="str">
        <f t="shared" si="16"/>
        <v>Còn trống</v>
      </c>
    </row>
    <row r="1075" spans="1:16" x14ac:dyDescent="0.3">
      <c r="A1075">
        <v>1074</v>
      </c>
      <c r="B1075" t="s">
        <v>2315</v>
      </c>
      <c r="C1075" t="s">
        <v>2490</v>
      </c>
      <c r="D1075" t="s">
        <v>2491</v>
      </c>
      <c r="E1075" t="s">
        <v>40</v>
      </c>
      <c r="F1075" t="s">
        <v>2333</v>
      </c>
      <c r="G1075" t="s">
        <v>2365</v>
      </c>
      <c r="H1075" t="str">
        <f>'Huong dan giao do an'!$B$14</f>
        <v>5 SV (vai trò chính): 1 PM/Scrum Master kiêm Integration; 2 BA/PO; 3 UI-UX + Frontend; 4 Backend/API + DevOps; 5 Database + QA/Tester. Mỗi SV có nhiệm vụ phụ và minh chứng cá nhân.</v>
      </c>
      <c r="I1075" t="s">
        <v>29</v>
      </c>
      <c r="J1075" t="s">
        <v>2325</v>
      </c>
      <c r="K1075" t="str">
        <f>IF(I1075="Trung bình",'Huong dan giao do an'!$B$8,IF(I1075="Khá",'Huong dan giao do an'!$B$9,'Huong dan giao do an'!$B$10))</f>
        <v>Tối thiểu 5 actor; 14-18 use case; 10-15 bảng; 4 quy trình; tích hợp ngoài/realtime hoặc xử lý nâng cao; 3 báo cáo; &gt;=45 test case; logging, backup và deploy.</v>
      </c>
      <c r="L1075" t="str">
        <f>'Huong dan giao do an'!$B$31</f>
        <v>Bắt buộc: Charter/PMP; SRS + scope/WBS; Gantt/baseline; effort-cost budget; RACI/timesheet; quality-test-defect; communication/minutes; risk register; procurement; change log; closure/lessons learned.</v>
      </c>
      <c r="M1075" t="str">
        <f>'Huong dan giao do an'!$B$33</f>
        <v>Tuần 1: 07.09–13.09.2026; Tuần 2: 14.09–20.09.2026; Tuần 3: 21.09–27.09.2026; Tuần 4: 28.09–04.10.2026; Tuần 5: 05.10–11.10.2026; Tuần 6: 12.10–18.10.2026; Tuần 7: 19.10–25.10.2026; Tuần 8: 26.10–01.11.2026.</v>
      </c>
      <c r="N10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5" s="17" t="str">
        <f t="shared" si="16"/>
        <v>Còn trống</v>
      </c>
    </row>
    <row r="1076" spans="1:16" x14ac:dyDescent="0.3">
      <c r="A1076">
        <v>1075</v>
      </c>
      <c r="B1076" t="s">
        <v>2315</v>
      </c>
      <c r="C1076" t="s">
        <v>2492</v>
      </c>
      <c r="D1076" t="s">
        <v>2493</v>
      </c>
      <c r="E1076" t="s">
        <v>45</v>
      </c>
      <c r="F1076" t="s">
        <v>2337</v>
      </c>
      <c r="G1076" t="s">
        <v>2368</v>
      </c>
      <c r="H1076" t="str">
        <f>'Huong dan giao do an'!$B$14</f>
        <v>5 SV (vai trò chính): 1 PM/Scrum Master kiêm Integration; 2 BA/PO; 3 UI-UX + Frontend; 4 Backend/API + DevOps; 5 Database + QA/Tester. Mỗi SV có nhiệm vụ phụ và minh chứng cá nhân.</v>
      </c>
      <c r="I1076" t="s">
        <v>36</v>
      </c>
      <c r="J1076" t="s">
        <v>2330</v>
      </c>
      <c r="K1076" t="str">
        <f>IF(I1076="Trung bình",'Huong dan giao do an'!$B$8,IF(I1076="Khá",'Huong dan giao do an'!$B$9,'Huong dan giao do an'!$B$10))</f>
        <v>Tối thiểu 3 actor; 8-10 use case; 6-8 bảng dữ liệu; 2 quy trình lõi; đăng nhập/RBAC; 1 dashboard; 1 báo cáo; &gt;=25 test case; triển khai bản demo.</v>
      </c>
      <c r="L1076" t="str">
        <f>'Huong dan giao do an'!$B$31</f>
        <v>Bắt buộc: Charter/PMP; SRS + scope/WBS; Gantt/baseline; effort-cost budget; RACI/timesheet; quality-test-defect; communication/minutes; risk register; procurement; change log; closure/lessons learned.</v>
      </c>
      <c r="M1076" t="str">
        <f>'Huong dan giao do an'!$B$33</f>
        <v>Tuần 1: 07.09–13.09.2026; Tuần 2: 14.09–20.09.2026; Tuần 3: 21.09–27.09.2026; Tuần 4: 28.09–04.10.2026; Tuần 5: 05.10–11.10.2026; Tuần 6: 12.10–18.10.2026; Tuần 7: 19.10–25.10.2026; Tuần 8: 26.10–01.11.2026.</v>
      </c>
      <c r="N10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6" s="17" t="str">
        <f t="shared" si="16"/>
        <v>Còn trống</v>
      </c>
    </row>
    <row r="1077" spans="1:16" x14ac:dyDescent="0.3">
      <c r="A1077">
        <v>1076</v>
      </c>
      <c r="B1077" t="s">
        <v>2315</v>
      </c>
      <c r="C1077" t="s">
        <v>2494</v>
      </c>
      <c r="D1077" t="s">
        <v>2495</v>
      </c>
      <c r="E1077" t="s">
        <v>19</v>
      </c>
      <c r="F1077" t="s">
        <v>2318</v>
      </c>
      <c r="G1077" t="s">
        <v>2371</v>
      </c>
      <c r="H1077" t="str">
        <f>'Huong dan giao do an'!$B$14</f>
        <v>5 SV (vai trò chính): 1 PM/Scrum Master kiêm Integration; 2 BA/PO; 3 UI-UX + Frontend; 4 Backend/API + DevOps; 5 Database + QA/Tester. Mỗi SV có nhiệm vụ phụ và minh chứng cá nhân.</v>
      </c>
      <c r="I1077" t="s">
        <v>22</v>
      </c>
      <c r="J1077" t="s">
        <v>2320</v>
      </c>
      <c r="K1077" t="str">
        <f>IF(I1077="Trung bình",'Huong dan giao do an'!$B$8,IF(I1077="Khá",'Huong dan giao do an'!$B$9,'Huong dan giao do an'!$B$10))</f>
        <v>Tối thiểu 4 actor; 10-14 use case; 8-12 bảng; 3 quy trình lõi; phân quyền chi tiết; 2 báo cáo; tích hợp 1 dịch vụ; &gt;=35 test case; CI/CD hoặc deploy cloud.</v>
      </c>
      <c r="L1077" t="str">
        <f>'Huong dan giao do an'!$B$31</f>
        <v>Bắt buộc: Charter/PMP; SRS + scope/WBS; Gantt/baseline; effort-cost budget; RACI/timesheet; quality-test-defect; communication/minutes; risk register; procurement; change log; closure/lessons learned.</v>
      </c>
      <c r="M1077" t="str">
        <f>'Huong dan giao do an'!$B$33</f>
        <v>Tuần 1: 07.09–13.09.2026; Tuần 2: 14.09–20.09.2026; Tuần 3: 21.09–27.09.2026; Tuần 4: 28.09–04.10.2026; Tuần 5: 05.10–11.10.2026; Tuần 6: 12.10–18.10.2026; Tuần 7: 19.10–25.10.2026; Tuần 8: 26.10–01.11.2026.</v>
      </c>
      <c r="N10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7" s="17" t="str">
        <f t="shared" si="16"/>
        <v>Còn trống</v>
      </c>
    </row>
    <row r="1078" spans="1:16" x14ac:dyDescent="0.3">
      <c r="A1078">
        <v>1077</v>
      </c>
      <c r="B1078" t="s">
        <v>2315</v>
      </c>
      <c r="C1078" t="s">
        <v>2496</v>
      </c>
      <c r="D1078" t="s">
        <v>2497</v>
      </c>
      <c r="E1078" t="s">
        <v>26</v>
      </c>
      <c r="F1078" t="s">
        <v>2323</v>
      </c>
      <c r="G1078" t="s">
        <v>2374</v>
      </c>
      <c r="H1078" t="str">
        <f>'Huong dan giao do an'!$B$14</f>
        <v>5 SV (vai trò chính): 1 PM/Scrum Master kiêm Integration; 2 BA/PO; 3 UI-UX + Frontend; 4 Backend/API + DevOps; 5 Database + QA/Tester. Mỗi SV có nhiệm vụ phụ và minh chứng cá nhân.</v>
      </c>
      <c r="I1078" t="s">
        <v>29</v>
      </c>
      <c r="J1078" t="s">
        <v>2325</v>
      </c>
      <c r="K1078" t="str">
        <f>IF(I1078="Trung bình",'Huong dan giao do an'!$B$8,IF(I1078="Khá",'Huong dan giao do an'!$B$9,'Huong dan giao do an'!$B$10))</f>
        <v>Tối thiểu 5 actor; 14-18 use case; 10-15 bảng; 4 quy trình; tích hợp ngoài/realtime hoặc xử lý nâng cao; 3 báo cáo; &gt;=45 test case; logging, backup và deploy.</v>
      </c>
      <c r="L1078" t="str">
        <f>'Huong dan giao do an'!$B$31</f>
        <v>Bắt buộc: Charter/PMP; SRS + scope/WBS; Gantt/baseline; effort-cost budget; RACI/timesheet; quality-test-defect; communication/minutes; risk register; procurement; change log; closure/lessons learned.</v>
      </c>
      <c r="M1078" t="str">
        <f>'Huong dan giao do an'!$B$33</f>
        <v>Tuần 1: 07.09–13.09.2026; Tuần 2: 14.09–20.09.2026; Tuần 3: 21.09–27.09.2026; Tuần 4: 28.09–04.10.2026; Tuần 5: 05.10–11.10.2026; Tuần 6: 12.10–18.10.2026; Tuần 7: 19.10–25.10.2026; Tuần 8: 26.10–01.11.2026.</v>
      </c>
      <c r="N10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8" s="17" t="str">
        <f t="shared" si="16"/>
        <v>Còn trống</v>
      </c>
    </row>
    <row r="1079" spans="1:16" x14ac:dyDescent="0.3">
      <c r="A1079">
        <v>1078</v>
      </c>
      <c r="B1079" t="s">
        <v>2315</v>
      </c>
      <c r="C1079" t="s">
        <v>2498</v>
      </c>
      <c r="D1079" t="s">
        <v>2499</v>
      </c>
      <c r="E1079" t="s">
        <v>33</v>
      </c>
      <c r="F1079" t="s">
        <v>2328</v>
      </c>
      <c r="G1079" t="s">
        <v>2377</v>
      </c>
      <c r="H1079" t="str">
        <f>'Huong dan giao do an'!$B$14</f>
        <v>5 SV (vai trò chính): 1 PM/Scrum Master kiêm Integration; 2 BA/PO; 3 UI-UX + Frontend; 4 Backend/API + DevOps; 5 Database + QA/Tester. Mỗi SV có nhiệm vụ phụ và minh chứng cá nhân.</v>
      </c>
      <c r="I1079" t="s">
        <v>36</v>
      </c>
      <c r="J1079" t="s">
        <v>2330</v>
      </c>
      <c r="K1079" t="str">
        <f>IF(I1079="Trung bình",'Huong dan giao do an'!$B$8,IF(I1079="Khá",'Huong dan giao do an'!$B$9,'Huong dan giao do an'!$B$10))</f>
        <v>Tối thiểu 3 actor; 8-10 use case; 6-8 bảng dữ liệu; 2 quy trình lõi; đăng nhập/RBAC; 1 dashboard; 1 báo cáo; &gt;=25 test case; triển khai bản demo.</v>
      </c>
      <c r="L1079" t="str">
        <f>'Huong dan giao do an'!$B$31</f>
        <v>Bắt buộc: Charter/PMP; SRS + scope/WBS; Gantt/baseline; effort-cost budget; RACI/timesheet; quality-test-defect; communication/minutes; risk register; procurement; change log; closure/lessons learned.</v>
      </c>
      <c r="M1079" t="str">
        <f>'Huong dan giao do an'!$B$33</f>
        <v>Tuần 1: 07.09–13.09.2026; Tuần 2: 14.09–20.09.2026; Tuần 3: 21.09–27.09.2026; Tuần 4: 28.09–04.10.2026; Tuần 5: 05.10–11.10.2026; Tuần 6: 12.10–18.10.2026; Tuần 7: 19.10–25.10.2026; Tuần 8: 26.10–01.11.2026.</v>
      </c>
      <c r="N10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79" s="17" t="str">
        <f t="shared" si="16"/>
        <v>Còn trống</v>
      </c>
    </row>
    <row r="1080" spans="1:16" x14ac:dyDescent="0.3">
      <c r="A1080">
        <v>1079</v>
      </c>
      <c r="B1080" t="s">
        <v>2315</v>
      </c>
      <c r="C1080" t="s">
        <v>2500</v>
      </c>
      <c r="D1080" t="s">
        <v>2501</v>
      </c>
      <c r="E1080" t="s">
        <v>40</v>
      </c>
      <c r="F1080" t="s">
        <v>2333</v>
      </c>
      <c r="G1080" t="s">
        <v>2380</v>
      </c>
      <c r="H1080" t="str">
        <f>'Huong dan giao do an'!$B$14</f>
        <v>5 SV (vai trò chính): 1 PM/Scrum Master kiêm Integration; 2 BA/PO; 3 UI-UX + Frontend; 4 Backend/API + DevOps; 5 Database + QA/Tester. Mỗi SV có nhiệm vụ phụ và minh chứng cá nhân.</v>
      </c>
      <c r="I1080" t="s">
        <v>22</v>
      </c>
      <c r="J1080" t="s">
        <v>2320</v>
      </c>
      <c r="K1080" t="str">
        <f>IF(I1080="Trung bình",'Huong dan giao do an'!$B$8,IF(I1080="Khá",'Huong dan giao do an'!$B$9,'Huong dan giao do an'!$B$10))</f>
        <v>Tối thiểu 4 actor; 10-14 use case; 8-12 bảng; 3 quy trình lõi; phân quyền chi tiết; 2 báo cáo; tích hợp 1 dịch vụ; &gt;=35 test case; CI/CD hoặc deploy cloud.</v>
      </c>
      <c r="L1080" t="str">
        <f>'Huong dan giao do an'!$B$31</f>
        <v>Bắt buộc: Charter/PMP; SRS + scope/WBS; Gantt/baseline; effort-cost budget; RACI/timesheet; quality-test-defect; communication/minutes; risk register; procurement; change log; closure/lessons learned.</v>
      </c>
      <c r="M1080" t="str">
        <f>'Huong dan giao do an'!$B$33</f>
        <v>Tuần 1: 07.09–13.09.2026; Tuần 2: 14.09–20.09.2026; Tuần 3: 21.09–27.09.2026; Tuần 4: 28.09–04.10.2026; Tuần 5: 05.10–11.10.2026; Tuần 6: 12.10–18.10.2026; Tuần 7: 19.10–25.10.2026; Tuần 8: 26.10–01.11.2026.</v>
      </c>
      <c r="N10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0" s="17" t="str">
        <f t="shared" si="16"/>
        <v>Còn trống</v>
      </c>
    </row>
    <row r="1081" spans="1:16" x14ac:dyDescent="0.3">
      <c r="A1081">
        <v>1080</v>
      </c>
      <c r="B1081" t="s">
        <v>2315</v>
      </c>
      <c r="C1081" t="s">
        <v>2502</v>
      </c>
      <c r="D1081" t="s">
        <v>2503</v>
      </c>
      <c r="E1081" t="s">
        <v>45</v>
      </c>
      <c r="F1081" t="s">
        <v>2337</v>
      </c>
      <c r="G1081" t="s">
        <v>2383</v>
      </c>
      <c r="H1081" t="str">
        <f>'Huong dan giao do an'!$B$14</f>
        <v>5 SV (vai trò chính): 1 PM/Scrum Master kiêm Integration; 2 BA/PO; 3 UI-UX + Frontend; 4 Backend/API + DevOps; 5 Database + QA/Tester. Mỗi SV có nhiệm vụ phụ và minh chứng cá nhân.</v>
      </c>
      <c r="I1081" t="s">
        <v>29</v>
      </c>
      <c r="J1081" t="s">
        <v>2325</v>
      </c>
      <c r="K1081" t="str">
        <f>IF(I1081="Trung bình",'Huong dan giao do an'!$B$8,IF(I1081="Khá",'Huong dan giao do an'!$B$9,'Huong dan giao do an'!$B$10))</f>
        <v>Tối thiểu 5 actor; 14-18 use case; 10-15 bảng; 4 quy trình; tích hợp ngoài/realtime hoặc xử lý nâng cao; 3 báo cáo; &gt;=45 test case; logging, backup và deploy.</v>
      </c>
      <c r="L1081" t="str">
        <f>'Huong dan giao do an'!$B$31</f>
        <v>Bắt buộc: Charter/PMP; SRS + scope/WBS; Gantt/baseline; effort-cost budget; RACI/timesheet; quality-test-defect; communication/minutes; risk register; procurement; change log; closure/lessons learned.</v>
      </c>
      <c r="M1081" t="str">
        <f>'Huong dan giao do an'!$B$33</f>
        <v>Tuần 1: 07.09–13.09.2026; Tuần 2: 14.09–20.09.2026; Tuần 3: 21.09–27.09.2026; Tuần 4: 28.09–04.10.2026; Tuần 5: 05.10–11.10.2026; Tuần 6: 12.10–18.10.2026; Tuần 7: 19.10–25.10.2026; Tuần 8: 26.10–01.11.2026.</v>
      </c>
      <c r="N10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1" s="17" t="str">
        <f t="shared" si="16"/>
        <v>Còn trống</v>
      </c>
    </row>
    <row r="1082" spans="1:16" x14ac:dyDescent="0.3">
      <c r="A1082">
        <v>1081</v>
      </c>
      <c r="B1082" t="s">
        <v>2315</v>
      </c>
      <c r="C1082" t="s">
        <v>2504</v>
      </c>
      <c r="D1082" t="s">
        <v>2505</v>
      </c>
      <c r="E1082" t="s">
        <v>19</v>
      </c>
      <c r="F1082" t="s">
        <v>2318</v>
      </c>
      <c r="G1082" t="s">
        <v>2319</v>
      </c>
      <c r="H1082" t="str">
        <f>'Huong dan giao do an'!$B$14</f>
        <v>5 SV (vai trò chính): 1 PM/Scrum Master kiêm Integration; 2 BA/PO; 3 UI-UX + Frontend; 4 Backend/API + DevOps; 5 Database + QA/Tester. Mỗi SV có nhiệm vụ phụ và minh chứng cá nhân.</v>
      </c>
      <c r="I1082" t="s">
        <v>22</v>
      </c>
      <c r="J1082" t="s">
        <v>2320</v>
      </c>
      <c r="K1082" t="str">
        <f>IF(I1082="Trung bình",'Huong dan giao do an'!$B$8,IF(I1082="Khá",'Huong dan giao do an'!$B$9,'Huong dan giao do an'!$B$10))</f>
        <v>Tối thiểu 4 actor; 10-14 use case; 8-12 bảng; 3 quy trình lõi; phân quyền chi tiết; 2 báo cáo; tích hợp 1 dịch vụ; &gt;=35 test case; CI/CD hoặc deploy cloud.</v>
      </c>
      <c r="L1082" t="str">
        <f>'Huong dan giao do an'!$B$31</f>
        <v>Bắt buộc: Charter/PMP; SRS + scope/WBS; Gantt/baseline; effort-cost budget; RACI/timesheet; quality-test-defect; communication/minutes; risk register; procurement; change log; closure/lessons learned.</v>
      </c>
      <c r="M1082" t="str">
        <f>'Huong dan giao do an'!$B$33</f>
        <v>Tuần 1: 07.09–13.09.2026; Tuần 2: 14.09–20.09.2026; Tuần 3: 21.09–27.09.2026; Tuần 4: 28.09–04.10.2026; Tuần 5: 05.10–11.10.2026; Tuần 6: 12.10–18.10.2026; Tuần 7: 19.10–25.10.2026; Tuần 8: 26.10–01.11.2026.</v>
      </c>
      <c r="N10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2" s="17" t="str">
        <f t="shared" si="16"/>
        <v>Còn trống</v>
      </c>
    </row>
    <row r="1083" spans="1:16" x14ac:dyDescent="0.3">
      <c r="A1083">
        <v>1082</v>
      </c>
      <c r="B1083" t="s">
        <v>2315</v>
      </c>
      <c r="C1083" t="s">
        <v>2506</v>
      </c>
      <c r="D1083" t="s">
        <v>2507</v>
      </c>
      <c r="E1083" t="s">
        <v>26</v>
      </c>
      <c r="F1083" t="s">
        <v>2323</v>
      </c>
      <c r="G1083" t="s">
        <v>2324</v>
      </c>
      <c r="H1083" t="str">
        <f>'Huong dan giao do an'!$B$14</f>
        <v>5 SV (vai trò chính): 1 PM/Scrum Master kiêm Integration; 2 BA/PO; 3 UI-UX + Frontend; 4 Backend/API + DevOps; 5 Database + QA/Tester. Mỗi SV có nhiệm vụ phụ và minh chứng cá nhân.</v>
      </c>
      <c r="I1083" t="s">
        <v>29</v>
      </c>
      <c r="J1083" t="s">
        <v>2325</v>
      </c>
      <c r="K1083" t="str">
        <f>IF(I1083="Trung bình",'Huong dan giao do an'!$B$8,IF(I1083="Khá",'Huong dan giao do an'!$B$9,'Huong dan giao do an'!$B$10))</f>
        <v>Tối thiểu 5 actor; 14-18 use case; 10-15 bảng; 4 quy trình; tích hợp ngoài/realtime hoặc xử lý nâng cao; 3 báo cáo; &gt;=45 test case; logging, backup và deploy.</v>
      </c>
      <c r="L1083" t="str">
        <f>'Huong dan giao do an'!$B$31</f>
        <v>Bắt buộc: Charter/PMP; SRS + scope/WBS; Gantt/baseline; effort-cost budget; RACI/timesheet; quality-test-defect; communication/minutes; risk register; procurement; change log; closure/lessons learned.</v>
      </c>
      <c r="M1083" t="str">
        <f>'Huong dan giao do an'!$B$33</f>
        <v>Tuần 1: 07.09–13.09.2026; Tuần 2: 14.09–20.09.2026; Tuần 3: 21.09–27.09.2026; Tuần 4: 28.09–04.10.2026; Tuần 5: 05.10–11.10.2026; Tuần 6: 12.10–18.10.2026; Tuần 7: 19.10–25.10.2026; Tuần 8: 26.10–01.11.2026.</v>
      </c>
      <c r="N10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3" s="17" t="str">
        <f t="shared" si="16"/>
        <v>Còn trống</v>
      </c>
    </row>
    <row r="1084" spans="1:16" x14ac:dyDescent="0.3">
      <c r="A1084">
        <v>1083</v>
      </c>
      <c r="B1084" t="s">
        <v>2315</v>
      </c>
      <c r="C1084" t="s">
        <v>2508</v>
      </c>
      <c r="D1084" t="s">
        <v>2509</v>
      </c>
      <c r="E1084" t="s">
        <v>33</v>
      </c>
      <c r="F1084" t="s">
        <v>2328</v>
      </c>
      <c r="G1084" t="s">
        <v>2329</v>
      </c>
      <c r="H1084" t="str">
        <f>'Huong dan giao do an'!$B$14</f>
        <v>5 SV (vai trò chính): 1 PM/Scrum Master kiêm Integration; 2 BA/PO; 3 UI-UX + Frontend; 4 Backend/API + DevOps; 5 Database + QA/Tester. Mỗi SV có nhiệm vụ phụ và minh chứng cá nhân.</v>
      </c>
      <c r="I1084" t="s">
        <v>36</v>
      </c>
      <c r="J1084" t="s">
        <v>2330</v>
      </c>
      <c r="K1084" t="str">
        <f>IF(I1084="Trung bình",'Huong dan giao do an'!$B$8,IF(I1084="Khá",'Huong dan giao do an'!$B$9,'Huong dan giao do an'!$B$10))</f>
        <v>Tối thiểu 3 actor; 8-10 use case; 6-8 bảng dữ liệu; 2 quy trình lõi; đăng nhập/RBAC; 1 dashboard; 1 báo cáo; &gt;=25 test case; triển khai bản demo.</v>
      </c>
      <c r="L1084" t="str">
        <f>'Huong dan giao do an'!$B$31</f>
        <v>Bắt buộc: Charter/PMP; SRS + scope/WBS; Gantt/baseline; effort-cost budget; RACI/timesheet; quality-test-defect; communication/minutes; risk register; procurement; change log; closure/lessons learned.</v>
      </c>
      <c r="M1084" t="str">
        <f>'Huong dan giao do an'!$B$33</f>
        <v>Tuần 1: 07.09–13.09.2026; Tuần 2: 14.09–20.09.2026; Tuần 3: 21.09–27.09.2026; Tuần 4: 28.09–04.10.2026; Tuần 5: 05.10–11.10.2026; Tuần 6: 12.10–18.10.2026; Tuần 7: 19.10–25.10.2026; Tuần 8: 26.10–01.11.2026.</v>
      </c>
      <c r="N10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4" s="17" t="str">
        <f t="shared" si="16"/>
        <v>Còn trống</v>
      </c>
    </row>
    <row r="1085" spans="1:16" x14ac:dyDescent="0.3">
      <c r="A1085">
        <v>1084</v>
      </c>
      <c r="B1085" t="s">
        <v>2315</v>
      </c>
      <c r="C1085" t="s">
        <v>2510</v>
      </c>
      <c r="D1085" t="s">
        <v>2511</v>
      </c>
      <c r="E1085" t="s">
        <v>40</v>
      </c>
      <c r="F1085" t="s">
        <v>2333</v>
      </c>
      <c r="G1085" t="s">
        <v>2334</v>
      </c>
      <c r="H1085" t="str">
        <f>'Huong dan giao do an'!$B$14</f>
        <v>5 SV (vai trò chính): 1 PM/Scrum Master kiêm Integration; 2 BA/PO; 3 UI-UX + Frontend; 4 Backend/API + DevOps; 5 Database + QA/Tester. Mỗi SV có nhiệm vụ phụ và minh chứng cá nhân.</v>
      </c>
      <c r="I1085" t="s">
        <v>22</v>
      </c>
      <c r="J1085" t="s">
        <v>2320</v>
      </c>
      <c r="K1085" t="str">
        <f>IF(I1085="Trung bình",'Huong dan giao do an'!$B$8,IF(I1085="Khá",'Huong dan giao do an'!$B$9,'Huong dan giao do an'!$B$10))</f>
        <v>Tối thiểu 4 actor; 10-14 use case; 8-12 bảng; 3 quy trình lõi; phân quyền chi tiết; 2 báo cáo; tích hợp 1 dịch vụ; &gt;=35 test case; CI/CD hoặc deploy cloud.</v>
      </c>
      <c r="L1085" t="str">
        <f>'Huong dan giao do an'!$B$31</f>
        <v>Bắt buộc: Charter/PMP; SRS + scope/WBS; Gantt/baseline; effort-cost budget; RACI/timesheet; quality-test-defect; communication/minutes; risk register; procurement; change log; closure/lessons learned.</v>
      </c>
      <c r="M1085" t="str">
        <f>'Huong dan giao do an'!$B$33</f>
        <v>Tuần 1: 07.09–13.09.2026; Tuần 2: 14.09–20.09.2026; Tuần 3: 21.09–27.09.2026; Tuần 4: 28.09–04.10.2026; Tuần 5: 05.10–11.10.2026; Tuần 6: 12.10–18.10.2026; Tuần 7: 19.10–25.10.2026; Tuần 8: 26.10–01.11.2026.</v>
      </c>
      <c r="N10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5" s="17" t="str">
        <f t="shared" si="16"/>
        <v>Còn trống</v>
      </c>
    </row>
    <row r="1086" spans="1:16" x14ac:dyDescent="0.3">
      <c r="A1086">
        <v>1085</v>
      </c>
      <c r="B1086" t="s">
        <v>2315</v>
      </c>
      <c r="C1086" t="s">
        <v>2512</v>
      </c>
      <c r="D1086" t="s">
        <v>2513</v>
      </c>
      <c r="E1086" t="s">
        <v>45</v>
      </c>
      <c r="F1086" t="s">
        <v>2337</v>
      </c>
      <c r="G1086" t="s">
        <v>2338</v>
      </c>
      <c r="H1086" t="str">
        <f>'Huong dan giao do an'!$B$14</f>
        <v>5 SV (vai trò chính): 1 PM/Scrum Master kiêm Integration; 2 BA/PO; 3 UI-UX + Frontend; 4 Backend/API + DevOps; 5 Database + QA/Tester. Mỗi SV có nhiệm vụ phụ và minh chứng cá nhân.</v>
      </c>
      <c r="I1086" t="s">
        <v>29</v>
      </c>
      <c r="J1086" t="s">
        <v>2325</v>
      </c>
      <c r="K1086" t="str">
        <f>IF(I1086="Trung bình",'Huong dan giao do an'!$B$8,IF(I1086="Khá",'Huong dan giao do an'!$B$9,'Huong dan giao do an'!$B$10))</f>
        <v>Tối thiểu 5 actor; 14-18 use case; 10-15 bảng; 4 quy trình; tích hợp ngoài/realtime hoặc xử lý nâng cao; 3 báo cáo; &gt;=45 test case; logging, backup và deploy.</v>
      </c>
      <c r="L1086" t="str">
        <f>'Huong dan giao do an'!$B$31</f>
        <v>Bắt buộc: Charter/PMP; SRS + scope/WBS; Gantt/baseline; effort-cost budget; RACI/timesheet; quality-test-defect; communication/minutes; risk register; procurement; change log; closure/lessons learned.</v>
      </c>
      <c r="M1086" t="str">
        <f>'Huong dan giao do an'!$B$33</f>
        <v>Tuần 1: 07.09–13.09.2026; Tuần 2: 14.09–20.09.2026; Tuần 3: 21.09–27.09.2026; Tuần 4: 28.09–04.10.2026; Tuần 5: 05.10–11.10.2026; Tuần 6: 12.10–18.10.2026; Tuần 7: 19.10–25.10.2026; Tuần 8: 26.10–01.11.2026.</v>
      </c>
      <c r="N10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6" s="17" t="str">
        <f t="shared" si="16"/>
        <v>Còn trống</v>
      </c>
    </row>
    <row r="1087" spans="1:16" x14ac:dyDescent="0.3">
      <c r="A1087">
        <v>1086</v>
      </c>
      <c r="B1087" t="s">
        <v>2315</v>
      </c>
      <c r="C1087" t="s">
        <v>2514</v>
      </c>
      <c r="D1087" t="s">
        <v>2515</v>
      </c>
      <c r="E1087" t="s">
        <v>19</v>
      </c>
      <c r="F1087" t="s">
        <v>2318</v>
      </c>
      <c r="G1087" t="s">
        <v>2341</v>
      </c>
      <c r="H1087" t="str">
        <f>'Huong dan giao do an'!$B$14</f>
        <v>5 SV (vai trò chính): 1 PM/Scrum Master kiêm Integration; 2 BA/PO; 3 UI-UX + Frontend; 4 Backend/API + DevOps; 5 Database + QA/Tester. Mỗi SV có nhiệm vụ phụ và minh chứng cá nhân.</v>
      </c>
      <c r="I1087" t="s">
        <v>36</v>
      </c>
      <c r="J1087" t="s">
        <v>2330</v>
      </c>
      <c r="K1087" t="str">
        <f>IF(I1087="Trung bình",'Huong dan giao do an'!$B$8,IF(I1087="Khá",'Huong dan giao do an'!$B$9,'Huong dan giao do an'!$B$10))</f>
        <v>Tối thiểu 3 actor; 8-10 use case; 6-8 bảng dữ liệu; 2 quy trình lõi; đăng nhập/RBAC; 1 dashboard; 1 báo cáo; &gt;=25 test case; triển khai bản demo.</v>
      </c>
      <c r="L1087" t="str">
        <f>'Huong dan giao do an'!$B$31</f>
        <v>Bắt buộc: Charter/PMP; SRS + scope/WBS; Gantt/baseline; effort-cost budget; RACI/timesheet; quality-test-defect; communication/minutes; risk register; procurement; change log; closure/lessons learned.</v>
      </c>
      <c r="M1087" t="str">
        <f>'Huong dan giao do an'!$B$33</f>
        <v>Tuần 1: 07.09–13.09.2026; Tuần 2: 14.09–20.09.2026; Tuần 3: 21.09–27.09.2026; Tuần 4: 28.09–04.10.2026; Tuần 5: 05.10–11.10.2026; Tuần 6: 12.10–18.10.2026; Tuần 7: 19.10–25.10.2026; Tuần 8: 26.10–01.11.2026.</v>
      </c>
      <c r="N10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7" s="17" t="str">
        <f t="shared" si="16"/>
        <v>Còn trống</v>
      </c>
    </row>
    <row r="1088" spans="1:16" x14ac:dyDescent="0.3">
      <c r="A1088">
        <v>1087</v>
      </c>
      <c r="B1088" t="s">
        <v>2315</v>
      </c>
      <c r="C1088" t="s">
        <v>2516</v>
      </c>
      <c r="D1088" t="s">
        <v>2517</v>
      </c>
      <c r="E1088" t="s">
        <v>26</v>
      </c>
      <c r="F1088" t="s">
        <v>2323</v>
      </c>
      <c r="G1088" t="s">
        <v>2344</v>
      </c>
      <c r="H1088" t="str">
        <f>'Huong dan giao do an'!$B$14</f>
        <v>5 SV (vai trò chính): 1 PM/Scrum Master kiêm Integration; 2 BA/PO; 3 UI-UX + Frontend; 4 Backend/API + DevOps; 5 Database + QA/Tester. Mỗi SV có nhiệm vụ phụ và minh chứng cá nhân.</v>
      </c>
      <c r="I1088" t="s">
        <v>22</v>
      </c>
      <c r="J1088" t="s">
        <v>2320</v>
      </c>
      <c r="K1088" t="str">
        <f>IF(I1088="Trung bình",'Huong dan giao do an'!$B$8,IF(I1088="Khá",'Huong dan giao do an'!$B$9,'Huong dan giao do an'!$B$10))</f>
        <v>Tối thiểu 4 actor; 10-14 use case; 8-12 bảng; 3 quy trình lõi; phân quyền chi tiết; 2 báo cáo; tích hợp 1 dịch vụ; &gt;=35 test case; CI/CD hoặc deploy cloud.</v>
      </c>
      <c r="L1088" t="str">
        <f>'Huong dan giao do an'!$B$31</f>
        <v>Bắt buộc: Charter/PMP; SRS + scope/WBS; Gantt/baseline; effort-cost budget; RACI/timesheet; quality-test-defect; communication/minutes; risk register; procurement; change log; closure/lessons learned.</v>
      </c>
      <c r="M1088" t="str">
        <f>'Huong dan giao do an'!$B$33</f>
        <v>Tuần 1: 07.09–13.09.2026; Tuần 2: 14.09–20.09.2026; Tuần 3: 21.09–27.09.2026; Tuần 4: 28.09–04.10.2026; Tuần 5: 05.10–11.10.2026; Tuần 6: 12.10–18.10.2026; Tuần 7: 19.10–25.10.2026; Tuần 8: 26.10–01.11.2026.</v>
      </c>
      <c r="N10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8" s="17" t="str">
        <f t="shared" si="16"/>
        <v>Còn trống</v>
      </c>
    </row>
    <row r="1089" spans="1:16" x14ac:dyDescent="0.3">
      <c r="A1089">
        <v>1088</v>
      </c>
      <c r="B1089" t="s">
        <v>2315</v>
      </c>
      <c r="C1089" t="s">
        <v>2518</v>
      </c>
      <c r="D1089" t="s">
        <v>2519</v>
      </c>
      <c r="E1089" t="s">
        <v>33</v>
      </c>
      <c r="F1089" t="s">
        <v>2328</v>
      </c>
      <c r="G1089" t="s">
        <v>2347</v>
      </c>
      <c r="H1089" t="str">
        <f>'Huong dan giao do an'!$B$14</f>
        <v>5 SV (vai trò chính): 1 PM/Scrum Master kiêm Integration; 2 BA/PO; 3 UI-UX + Frontend; 4 Backend/API + DevOps; 5 Database + QA/Tester. Mỗi SV có nhiệm vụ phụ và minh chứng cá nhân.</v>
      </c>
      <c r="I1089" t="s">
        <v>29</v>
      </c>
      <c r="J1089" t="s">
        <v>2325</v>
      </c>
      <c r="K1089" t="str">
        <f>IF(I1089="Trung bình",'Huong dan giao do an'!$B$8,IF(I1089="Khá",'Huong dan giao do an'!$B$9,'Huong dan giao do an'!$B$10))</f>
        <v>Tối thiểu 5 actor; 14-18 use case; 10-15 bảng; 4 quy trình; tích hợp ngoài/realtime hoặc xử lý nâng cao; 3 báo cáo; &gt;=45 test case; logging, backup và deploy.</v>
      </c>
      <c r="L1089" t="str">
        <f>'Huong dan giao do an'!$B$31</f>
        <v>Bắt buộc: Charter/PMP; SRS + scope/WBS; Gantt/baseline; effort-cost budget; RACI/timesheet; quality-test-defect; communication/minutes; risk register; procurement; change log; closure/lessons learned.</v>
      </c>
      <c r="M1089" t="str">
        <f>'Huong dan giao do an'!$B$33</f>
        <v>Tuần 1: 07.09–13.09.2026; Tuần 2: 14.09–20.09.2026; Tuần 3: 21.09–27.09.2026; Tuần 4: 28.09–04.10.2026; Tuần 5: 05.10–11.10.2026; Tuần 6: 12.10–18.10.2026; Tuần 7: 19.10–25.10.2026; Tuần 8: 26.10–01.11.2026.</v>
      </c>
      <c r="N10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89" s="17" t="str">
        <f t="shared" si="16"/>
        <v>Còn trống</v>
      </c>
    </row>
    <row r="1090" spans="1:16" x14ac:dyDescent="0.3">
      <c r="A1090">
        <v>1089</v>
      </c>
      <c r="B1090" t="s">
        <v>2315</v>
      </c>
      <c r="C1090" t="s">
        <v>2520</v>
      </c>
      <c r="D1090" t="s">
        <v>2521</v>
      </c>
      <c r="E1090" t="s">
        <v>40</v>
      </c>
      <c r="F1090" t="s">
        <v>2333</v>
      </c>
      <c r="G1090" t="s">
        <v>2350</v>
      </c>
      <c r="H1090" t="str">
        <f>'Huong dan giao do an'!$B$14</f>
        <v>5 SV (vai trò chính): 1 PM/Scrum Master kiêm Integration; 2 BA/PO; 3 UI-UX + Frontend; 4 Backend/API + DevOps; 5 Database + QA/Tester. Mỗi SV có nhiệm vụ phụ và minh chứng cá nhân.</v>
      </c>
      <c r="I1090" t="s">
        <v>36</v>
      </c>
      <c r="J1090" t="s">
        <v>2330</v>
      </c>
      <c r="K1090" t="str">
        <f>IF(I1090="Trung bình",'Huong dan giao do an'!$B$8,IF(I1090="Khá",'Huong dan giao do an'!$B$9,'Huong dan giao do an'!$B$10))</f>
        <v>Tối thiểu 3 actor; 8-10 use case; 6-8 bảng dữ liệu; 2 quy trình lõi; đăng nhập/RBAC; 1 dashboard; 1 báo cáo; &gt;=25 test case; triển khai bản demo.</v>
      </c>
      <c r="L1090" t="str">
        <f>'Huong dan giao do an'!$B$31</f>
        <v>Bắt buộc: Charter/PMP; SRS + scope/WBS; Gantt/baseline; effort-cost budget; RACI/timesheet; quality-test-defect; communication/minutes; risk register; procurement; change log; closure/lessons learned.</v>
      </c>
      <c r="M1090" t="str">
        <f>'Huong dan giao do an'!$B$33</f>
        <v>Tuần 1: 07.09–13.09.2026; Tuần 2: 14.09–20.09.2026; Tuần 3: 21.09–27.09.2026; Tuần 4: 28.09–04.10.2026; Tuần 5: 05.10–11.10.2026; Tuần 6: 12.10–18.10.2026; Tuần 7: 19.10–25.10.2026; Tuần 8: 26.10–01.11.2026.</v>
      </c>
      <c r="N10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0" s="17" t="str">
        <f t="shared" si="16"/>
        <v>Còn trống</v>
      </c>
    </row>
    <row r="1091" spans="1:16" x14ac:dyDescent="0.3">
      <c r="A1091">
        <v>1090</v>
      </c>
      <c r="B1091" t="s">
        <v>2315</v>
      </c>
      <c r="C1091" t="s">
        <v>2522</v>
      </c>
      <c r="D1091" t="s">
        <v>2523</v>
      </c>
      <c r="E1091" t="s">
        <v>45</v>
      </c>
      <c r="F1091" t="s">
        <v>2337</v>
      </c>
      <c r="G1091" t="s">
        <v>2353</v>
      </c>
      <c r="H1091" t="str">
        <f>'Huong dan giao do an'!$B$14</f>
        <v>5 SV (vai trò chính): 1 PM/Scrum Master kiêm Integration; 2 BA/PO; 3 UI-UX + Frontend; 4 Backend/API + DevOps; 5 Database + QA/Tester. Mỗi SV có nhiệm vụ phụ và minh chứng cá nhân.</v>
      </c>
      <c r="I1091" t="s">
        <v>22</v>
      </c>
      <c r="J1091" t="s">
        <v>2320</v>
      </c>
      <c r="K1091" t="str">
        <f>IF(I1091="Trung bình",'Huong dan giao do an'!$B$8,IF(I1091="Khá",'Huong dan giao do an'!$B$9,'Huong dan giao do an'!$B$10))</f>
        <v>Tối thiểu 4 actor; 10-14 use case; 8-12 bảng; 3 quy trình lõi; phân quyền chi tiết; 2 báo cáo; tích hợp 1 dịch vụ; &gt;=35 test case; CI/CD hoặc deploy cloud.</v>
      </c>
      <c r="L1091" t="str">
        <f>'Huong dan giao do an'!$B$31</f>
        <v>Bắt buộc: Charter/PMP; SRS + scope/WBS; Gantt/baseline; effort-cost budget; RACI/timesheet; quality-test-defect; communication/minutes; risk register; procurement; change log; closure/lessons learned.</v>
      </c>
      <c r="M1091" t="str">
        <f>'Huong dan giao do an'!$B$33</f>
        <v>Tuần 1: 07.09–13.09.2026; Tuần 2: 14.09–20.09.2026; Tuần 3: 21.09–27.09.2026; Tuần 4: 28.09–04.10.2026; Tuần 5: 05.10–11.10.2026; Tuần 6: 12.10–18.10.2026; Tuần 7: 19.10–25.10.2026; Tuần 8: 26.10–01.11.2026.</v>
      </c>
      <c r="N10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1" s="17" t="str">
        <f t="shared" ref="P1091:P1154" si="17">IF(O1091="","Còn trống","Đã đăng ký")</f>
        <v>Còn trống</v>
      </c>
    </row>
    <row r="1092" spans="1:16" x14ac:dyDescent="0.3">
      <c r="A1092">
        <v>1091</v>
      </c>
      <c r="B1092" t="s">
        <v>2315</v>
      </c>
      <c r="C1092" t="s">
        <v>2524</v>
      </c>
      <c r="D1092" t="s">
        <v>2525</v>
      </c>
      <c r="E1092" t="s">
        <v>19</v>
      </c>
      <c r="F1092" t="s">
        <v>2318</v>
      </c>
      <c r="G1092" t="s">
        <v>2356</v>
      </c>
      <c r="H1092" t="str">
        <f>'Huong dan giao do an'!$B$14</f>
        <v>5 SV (vai trò chính): 1 PM/Scrum Master kiêm Integration; 2 BA/PO; 3 UI-UX + Frontend; 4 Backend/API + DevOps; 5 Database + QA/Tester. Mỗi SV có nhiệm vụ phụ và minh chứng cá nhân.</v>
      </c>
      <c r="I1092" t="s">
        <v>29</v>
      </c>
      <c r="J1092" t="s">
        <v>2325</v>
      </c>
      <c r="K1092" t="str">
        <f>IF(I1092="Trung bình",'Huong dan giao do an'!$B$8,IF(I1092="Khá",'Huong dan giao do an'!$B$9,'Huong dan giao do an'!$B$10))</f>
        <v>Tối thiểu 5 actor; 14-18 use case; 10-15 bảng; 4 quy trình; tích hợp ngoài/realtime hoặc xử lý nâng cao; 3 báo cáo; &gt;=45 test case; logging, backup và deploy.</v>
      </c>
      <c r="L1092" t="str">
        <f>'Huong dan giao do an'!$B$31</f>
        <v>Bắt buộc: Charter/PMP; SRS + scope/WBS; Gantt/baseline; effort-cost budget; RACI/timesheet; quality-test-defect; communication/minutes; risk register; procurement; change log; closure/lessons learned.</v>
      </c>
      <c r="M1092" t="str">
        <f>'Huong dan giao do an'!$B$33</f>
        <v>Tuần 1: 07.09–13.09.2026; Tuần 2: 14.09–20.09.2026; Tuần 3: 21.09–27.09.2026; Tuần 4: 28.09–04.10.2026; Tuần 5: 05.10–11.10.2026; Tuần 6: 12.10–18.10.2026; Tuần 7: 19.10–25.10.2026; Tuần 8: 26.10–01.11.2026.</v>
      </c>
      <c r="N10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2" s="17" t="str">
        <f t="shared" si="17"/>
        <v>Còn trống</v>
      </c>
    </row>
    <row r="1093" spans="1:16" x14ac:dyDescent="0.3">
      <c r="A1093">
        <v>1092</v>
      </c>
      <c r="B1093" t="s">
        <v>2315</v>
      </c>
      <c r="C1093" t="s">
        <v>2526</v>
      </c>
      <c r="D1093" t="s">
        <v>2527</v>
      </c>
      <c r="E1093" t="s">
        <v>26</v>
      </c>
      <c r="F1093" t="s">
        <v>2323</v>
      </c>
      <c r="G1093" t="s">
        <v>2359</v>
      </c>
      <c r="H1093" t="str">
        <f>'Huong dan giao do an'!$B$14</f>
        <v>5 SV (vai trò chính): 1 PM/Scrum Master kiêm Integration; 2 BA/PO; 3 UI-UX + Frontend; 4 Backend/API + DevOps; 5 Database + QA/Tester. Mỗi SV có nhiệm vụ phụ và minh chứng cá nhân.</v>
      </c>
      <c r="I1093" t="s">
        <v>36</v>
      </c>
      <c r="J1093" t="s">
        <v>2330</v>
      </c>
      <c r="K1093" t="str">
        <f>IF(I1093="Trung bình",'Huong dan giao do an'!$B$8,IF(I1093="Khá",'Huong dan giao do an'!$B$9,'Huong dan giao do an'!$B$10))</f>
        <v>Tối thiểu 3 actor; 8-10 use case; 6-8 bảng dữ liệu; 2 quy trình lõi; đăng nhập/RBAC; 1 dashboard; 1 báo cáo; &gt;=25 test case; triển khai bản demo.</v>
      </c>
      <c r="L1093" t="str">
        <f>'Huong dan giao do an'!$B$31</f>
        <v>Bắt buộc: Charter/PMP; SRS + scope/WBS; Gantt/baseline; effort-cost budget; RACI/timesheet; quality-test-defect; communication/minutes; risk register; procurement; change log; closure/lessons learned.</v>
      </c>
      <c r="M1093" t="str">
        <f>'Huong dan giao do an'!$B$33</f>
        <v>Tuần 1: 07.09–13.09.2026; Tuần 2: 14.09–20.09.2026; Tuần 3: 21.09–27.09.2026; Tuần 4: 28.09–04.10.2026; Tuần 5: 05.10–11.10.2026; Tuần 6: 12.10–18.10.2026; Tuần 7: 19.10–25.10.2026; Tuần 8: 26.10–01.11.2026.</v>
      </c>
      <c r="N10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3" s="17" t="str">
        <f t="shared" si="17"/>
        <v>Còn trống</v>
      </c>
    </row>
    <row r="1094" spans="1:16" x14ac:dyDescent="0.3">
      <c r="A1094">
        <v>1093</v>
      </c>
      <c r="B1094" t="s">
        <v>2315</v>
      </c>
      <c r="C1094" t="s">
        <v>2528</v>
      </c>
      <c r="D1094" t="s">
        <v>2529</v>
      </c>
      <c r="E1094" t="s">
        <v>33</v>
      </c>
      <c r="F1094" t="s">
        <v>2328</v>
      </c>
      <c r="G1094" t="s">
        <v>2362</v>
      </c>
      <c r="H1094" t="str">
        <f>'Huong dan giao do an'!$B$14</f>
        <v>5 SV (vai trò chính): 1 PM/Scrum Master kiêm Integration; 2 BA/PO; 3 UI-UX + Frontend; 4 Backend/API + DevOps; 5 Database + QA/Tester. Mỗi SV có nhiệm vụ phụ và minh chứng cá nhân.</v>
      </c>
      <c r="I1094" t="s">
        <v>22</v>
      </c>
      <c r="J1094" t="s">
        <v>2320</v>
      </c>
      <c r="K1094" t="str">
        <f>IF(I1094="Trung bình",'Huong dan giao do an'!$B$8,IF(I1094="Khá",'Huong dan giao do an'!$B$9,'Huong dan giao do an'!$B$10))</f>
        <v>Tối thiểu 4 actor; 10-14 use case; 8-12 bảng; 3 quy trình lõi; phân quyền chi tiết; 2 báo cáo; tích hợp 1 dịch vụ; &gt;=35 test case; CI/CD hoặc deploy cloud.</v>
      </c>
      <c r="L1094" t="str">
        <f>'Huong dan giao do an'!$B$31</f>
        <v>Bắt buộc: Charter/PMP; SRS + scope/WBS; Gantt/baseline; effort-cost budget; RACI/timesheet; quality-test-defect; communication/minutes; risk register; procurement; change log; closure/lessons learned.</v>
      </c>
      <c r="M1094" t="str">
        <f>'Huong dan giao do an'!$B$33</f>
        <v>Tuần 1: 07.09–13.09.2026; Tuần 2: 14.09–20.09.2026; Tuần 3: 21.09–27.09.2026; Tuần 4: 28.09–04.10.2026; Tuần 5: 05.10–11.10.2026; Tuần 6: 12.10–18.10.2026; Tuần 7: 19.10–25.10.2026; Tuần 8: 26.10–01.11.2026.</v>
      </c>
      <c r="N10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4" s="17" t="str">
        <f t="shared" si="17"/>
        <v>Còn trống</v>
      </c>
    </row>
    <row r="1095" spans="1:16" x14ac:dyDescent="0.3">
      <c r="A1095">
        <v>1094</v>
      </c>
      <c r="B1095" t="s">
        <v>2315</v>
      </c>
      <c r="C1095" t="s">
        <v>2530</v>
      </c>
      <c r="D1095" t="s">
        <v>2531</v>
      </c>
      <c r="E1095" t="s">
        <v>40</v>
      </c>
      <c r="F1095" t="s">
        <v>2333</v>
      </c>
      <c r="G1095" t="s">
        <v>2365</v>
      </c>
      <c r="H1095" t="str">
        <f>'Huong dan giao do an'!$B$14</f>
        <v>5 SV (vai trò chính): 1 PM/Scrum Master kiêm Integration; 2 BA/PO; 3 UI-UX + Frontend; 4 Backend/API + DevOps; 5 Database + QA/Tester. Mỗi SV có nhiệm vụ phụ và minh chứng cá nhân.</v>
      </c>
      <c r="I1095" t="s">
        <v>29</v>
      </c>
      <c r="J1095" t="s">
        <v>2325</v>
      </c>
      <c r="K1095" t="str">
        <f>IF(I1095="Trung bình",'Huong dan giao do an'!$B$8,IF(I1095="Khá",'Huong dan giao do an'!$B$9,'Huong dan giao do an'!$B$10))</f>
        <v>Tối thiểu 5 actor; 14-18 use case; 10-15 bảng; 4 quy trình; tích hợp ngoài/realtime hoặc xử lý nâng cao; 3 báo cáo; &gt;=45 test case; logging, backup và deploy.</v>
      </c>
      <c r="L1095" t="str">
        <f>'Huong dan giao do an'!$B$31</f>
        <v>Bắt buộc: Charter/PMP; SRS + scope/WBS; Gantt/baseline; effort-cost budget; RACI/timesheet; quality-test-defect; communication/minutes; risk register; procurement; change log; closure/lessons learned.</v>
      </c>
      <c r="M1095" t="str">
        <f>'Huong dan giao do an'!$B$33</f>
        <v>Tuần 1: 07.09–13.09.2026; Tuần 2: 14.09–20.09.2026; Tuần 3: 21.09–27.09.2026; Tuần 4: 28.09–04.10.2026; Tuần 5: 05.10–11.10.2026; Tuần 6: 12.10–18.10.2026; Tuần 7: 19.10–25.10.2026; Tuần 8: 26.10–01.11.2026.</v>
      </c>
      <c r="N10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5" s="17" t="str">
        <f t="shared" si="17"/>
        <v>Còn trống</v>
      </c>
    </row>
    <row r="1096" spans="1:16" x14ac:dyDescent="0.3">
      <c r="A1096">
        <v>1095</v>
      </c>
      <c r="B1096" t="s">
        <v>2315</v>
      </c>
      <c r="C1096" t="s">
        <v>2532</v>
      </c>
      <c r="D1096" t="s">
        <v>2533</v>
      </c>
      <c r="E1096" t="s">
        <v>45</v>
      </c>
      <c r="F1096" t="s">
        <v>2337</v>
      </c>
      <c r="G1096" t="s">
        <v>2368</v>
      </c>
      <c r="H1096" t="str">
        <f>'Huong dan giao do an'!$B$14</f>
        <v>5 SV (vai trò chính): 1 PM/Scrum Master kiêm Integration; 2 BA/PO; 3 UI-UX + Frontend; 4 Backend/API + DevOps; 5 Database + QA/Tester. Mỗi SV có nhiệm vụ phụ và minh chứng cá nhân.</v>
      </c>
      <c r="I1096" t="s">
        <v>36</v>
      </c>
      <c r="J1096" t="s">
        <v>2330</v>
      </c>
      <c r="K1096" t="str">
        <f>IF(I1096="Trung bình",'Huong dan giao do an'!$B$8,IF(I1096="Khá",'Huong dan giao do an'!$B$9,'Huong dan giao do an'!$B$10))</f>
        <v>Tối thiểu 3 actor; 8-10 use case; 6-8 bảng dữ liệu; 2 quy trình lõi; đăng nhập/RBAC; 1 dashboard; 1 báo cáo; &gt;=25 test case; triển khai bản demo.</v>
      </c>
      <c r="L1096" t="str">
        <f>'Huong dan giao do an'!$B$31</f>
        <v>Bắt buộc: Charter/PMP; SRS + scope/WBS; Gantt/baseline; effort-cost budget; RACI/timesheet; quality-test-defect; communication/minutes; risk register; procurement; change log; closure/lessons learned.</v>
      </c>
      <c r="M1096" t="str">
        <f>'Huong dan giao do an'!$B$33</f>
        <v>Tuần 1: 07.09–13.09.2026; Tuần 2: 14.09–20.09.2026; Tuần 3: 21.09–27.09.2026; Tuần 4: 28.09–04.10.2026; Tuần 5: 05.10–11.10.2026; Tuần 6: 12.10–18.10.2026; Tuần 7: 19.10–25.10.2026; Tuần 8: 26.10–01.11.2026.</v>
      </c>
      <c r="N10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6" s="17" t="str">
        <f t="shared" si="17"/>
        <v>Còn trống</v>
      </c>
    </row>
    <row r="1097" spans="1:16" x14ac:dyDescent="0.3">
      <c r="A1097">
        <v>1096</v>
      </c>
      <c r="B1097" t="s">
        <v>2315</v>
      </c>
      <c r="C1097" t="s">
        <v>2534</v>
      </c>
      <c r="D1097" t="s">
        <v>2535</v>
      </c>
      <c r="E1097" t="s">
        <v>19</v>
      </c>
      <c r="F1097" t="s">
        <v>2318</v>
      </c>
      <c r="G1097" t="s">
        <v>2371</v>
      </c>
      <c r="H1097" t="str">
        <f>'Huong dan giao do an'!$B$14</f>
        <v>5 SV (vai trò chính): 1 PM/Scrum Master kiêm Integration; 2 BA/PO; 3 UI-UX + Frontend; 4 Backend/API + DevOps; 5 Database + QA/Tester. Mỗi SV có nhiệm vụ phụ và minh chứng cá nhân.</v>
      </c>
      <c r="I1097" t="s">
        <v>22</v>
      </c>
      <c r="J1097" t="s">
        <v>2320</v>
      </c>
      <c r="K1097" t="str">
        <f>IF(I1097="Trung bình",'Huong dan giao do an'!$B$8,IF(I1097="Khá",'Huong dan giao do an'!$B$9,'Huong dan giao do an'!$B$10))</f>
        <v>Tối thiểu 4 actor; 10-14 use case; 8-12 bảng; 3 quy trình lõi; phân quyền chi tiết; 2 báo cáo; tích hợp 1 dịch vụ; &gt;=35 test case; CI/CD hoặc deploy cloud.</v>
      </c>
      <c r="L1097" t="str">
        <f>'Huong dan giao do an'!$B$31</f>
        <v>Bắt buộc: Charter/PMP; SRS + scope/WBS; Gantt/baseline; effort-cost budget; RACI/timesheet; quality-test-defect; communication/minutes; risk register; procurement; change log; closure/lessons learned.</v>
      </c>
      <c r="M1097" t="str">
        <f>'Huong dan giao do an'!$B$33</f>
        <v>Tuần 1: 07.09–13.09.2026; Tuần 2: 14.09–20.09.2026; Tuần 3: 21.09–27.09.2026; Tuần 4: 28.09–04.10.2026; Tuần 5: 05.10–11.10.2026; Tuần 6: 12.10–18.10.2026; Tuần 7: 19.10–25.10.2026; Tuần 8: 26.10–01.11.2026.</v>
      </c>
      <c r="N10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7" s="17" t="str">
        <f t="shared" si="17"/>
        <v>Còn trống</v>
      </c>
    </row>
    <row r="1098" spans="1:16" x14ac:dyDescent="0.3">
      <c r="A1098">
        <v>1097</v>
      </c>
      <c r="B1098" t="s">
        <v>2315</v>
      </c>
      <c r="C1098" t="s">
        <v>2536</v>
      </c>
      <c r="D1098" t="s">
        <v>2537</v>
      </c>
      <c r="E1098" t="s">
        <v>26</v>
      </c>
      <c r="F1098" t="s">
        <v>2323</v>
      </c>
      <c r="G1098" t="s">
        <v>2374</v>
      </c>
      <c r="H1098" t="str">
        <f>'Huong dan giao do an'!$B$14</f>
        <v>5 SV (vai trò chính): 1 PM/Scrum Master kiêm Integration; 2 BA/PO; 3 UI-UX + Frontend; 4 Backend/API + DevOps; 5 Database + QA/Tester. Mỗi SV có nhiệm vụ phụ và minh chứng cá nhân.</v>
      </c>
      <c r="I1098" t="s">
        <v>29</v>
      </c>
      <c r="J1098" t="s">
        <v>2325</v>
      </c>
      <c r="K1098" t="str">
        <f>IF(I1098="Trung bình",'Huong dan giao do an'!$B$8,IF(I1098="Khá",'Huong dan giao do an'!$B$9,'Huong dan giao do an'!$B$10))</f>
        <v>Tối thiểu 5 actor; 14-18 use case; 10-15 bảng; 4 quy trình; tích hợp ngoài/realtime hoặc xử lý nâng cao; 3 báo cáo; &gt;=45 test case; logging, backup và deploy.</v>
      </c>
      <c r="L1098" t="str">
        <f>'Huong dan giao do an'!$B$31</f>
        <v>Bắt buộc: Charter/PMP; SRS + scope/WBS; Gantt/baseline; effort-cost budget; RACI/timesheet; quality-test-defect; communication/minutes; risk register; procurement; change log; closure/lessons learned.</v>
      </c>
      <c r="M1098" t="str">
        <f>'Huong dan giao do an'!$B$33</f>
        <v>Tuần 1: 07.09–13.09.2026; Tuần 2: 14.09–20.09.2026; Tuần 3: 21.09–27.09.2026; Tuần 4: 28.09–04.10.2026; Tuần 5: 05.10–11.10.2026; Tuần 6: 12.10–18.10.2026; Tuần 7: 19.10–25.10.2026; Tuần 8: 26.10–01.11.2026.</v>
      </c>
      <c r="N10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8" s="17" t="str">
        <f t="shared" si="17"/>
        <v>Còn trống</v>
      </c>
    </row>
    <row r="1099" spans="1:16" x14ac:dyDescent="0.3">
      <c r="A1099">
        <v>1098</v>
      </c>
      <c r="B1099" t="s">
        <v>2315</v>
      </c>
      <c r="C1099" t="s">
        <v>2538</v>
      </c>
      <c r="D1099" t="s">
        <v>2539</v>
      </c>
      <c r="E1099" t="s">
        <v>33</v>
      </c>
      <c r="F1099" t="s">
        <v>2328</v>
      </c>
      <c r="G1099" t="s">
        <v>2377</v>
      </c>
      <c r="H1099" t="str">
        <f>'Huong dan giao do an'!$B$14</f>
        <v>5 SV (vai trò chính): 1 PM/Scrum Master kiêm Integration; 2 BA/PO; 3 UI-UX + Frontend; 4 Backend/API + DevOps; 5 Database + QA/Tester. Mỗi SV có nhiệm vụ phụ và minh chứng cá nhân.</v>
      </c>
      <c r="I1099" t="s">
        <v>36</v>
      </c>
      <c r="J1099" t="s">
        <v>2330</v>
      </c>
      <c r="K1099" t="str">
        <f>IF(I1099="Trung bình",'Huong dan giao do an'!$B$8,IF(I1099="Khá",'Huong dan giao do an'!$B$9,'Huong dan giao do an'!$B$10))</f>
        <v>Tối thiểu 3 actor; 8-10 use case; 6-8 bảng dữ liệu; 2 quy trình lõi; đăng nhập/RBAC; 1 dashboard; 1 báo cáo; &gt;=25 test case; triển khai bản demo.</v>
      </c>
      <c r="L1099" t="str">
        <f>'Huong dan giao do an'!$B$31</f>
        <v>Bắt buộc: Charter/PMP; SRS + scope/WBS; Gantt/baseline; effort-cost budget; RACI/timesheet; quality-test-defect; communication/minutes; risk register; procurement; change log; closure/lessons learned.</v>
      </c>
      <c r="M1099" t="str">
        <f>'Huong dan giao do an'!$B$33</f>
        <v>Tuần 1: 07.09–13.09.2026; Tuần 2: 14.09–20.09.2026; Tuần 3: 21.09–27.09.2026; Tuần 4: 28.09–04.10.2026; Tuần 5: 05.10–11.10.2026; Tuần 6: 12.10–18.10.2026; Tuần 7: 19.10–25.10.2026; Tuần 8: 26.10–01.11.2026.</v>
      </c>
      <c r="N10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099" s="17" t="str">
        <f t="shared" si="17"/>
        <v>Còn trống</v>
      </c>
    </row>
    <row r="1100" spans="1:16" x14ac:dyDescent="0.3">
      <c r="A1100">
        <v>1099</v>
      </c>
      <c r="B1100" t="s">
        <v>2315</v>
      </c>
      <c r="C1100" t="s">
        <v>2540</v>
      </c>
      <c r="D1100" t="s">
        <v>2541</v>
      </c>
      <c r="E1100" t="s">
        <v>40</v>
      </c>
      <c r="F1100" t="s">
        <v>2333</v>
      </c>
      <c r="G1100" t="s">
        <v>2380</v>
      </c>
      <c r="H1100" t="str">
        <f>'Huong dan giao do an'!$B$14</f>
        <v>5 SV (vai trò chính): 1 PM/Scrum Master kiêm Integration; 2 BA/PO; 3 UI-UX + Frontend; 4 Backend/API + DevOps; 5 Database + QA/Tester. Mỗi SV có nhiệm vụ phụ và minh chứng cá nhân.</v>
      </c>
      <c r="I1100" t="s">
        <v>22</v>
      </c>
      <c r="J1100" t="s">
        <v>2320</v>
      </c>
      <c r="K1100" t="str">
        <f>IF(I1100="Trung bình",'Huong dan giao do an'!$B$8,IF(I1100="Khá",'Huong dan giao do an'!$B$9,'Huong dan giao do an'!$B$10))</f>
        <v>Tối thiểu 4 actor; 10-14 use case; 8-12 bảng; 3 quy trình lõi; phân quyền chi tiết; 2 báo cáo; tích hợp 1 dịch vụ; &gt;=35 test case; CI/CD hoặc deploy cloud.</v>
      </c>
      <c r="L1100" t="str">
        <f>'Huong dan giao do an'!$B$31</f>
        <v>Bắt buộc: Charter/PMP; SRS + scope/WBS; Gantt/baseline; effort-cost budget; RACI/timesheet; quality-test-defect; communication/minutes; risk register; procurement; change log; closure/lessons learned.</v>
      </c>
      <c r="M1100" t="str">
        <f>'Huong dan giao do an'!$B$33</f>
        <v>Tuần 1: 07.09–13.09.2026; Tuần 2: 14.09–20.09.2026; Tuần 3: 21.09–27.09.2026; Tuần 4: 28.09–04.10.2026; Tuần 5: 05.10–11.10.2026; Tuần 6: 12.10–18.10.2026; Tuần 7: 19.10–25.10.2026; Tuần 8: 26.10–01.11.2026.</v>
      </c>
      <c r="N11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0" s="17" t="str">
        <f t="shared" si="17"/>
        <v>Còn trống</v>
      </c>
    </row>
    <row r="1101" spans="1:16" x14ac:dyDescent="0.3">
      <c r="A1101">
        <v>1100</v>
      </c>
      <c r="B1101" t="s">
        <v>2315</v>
      </c>
      <c r="C1101" t="s">
        <v>2542</v>
      </c>
      <c r="D1101" t="s">
        <v>2543</v>
      </c>
      <c r="E1101" t="s">
        <v>45</v>
      </c>
      <c r="F1101" t="s">
        <v>2337</v>
      </c>
      <c r="G1101" t="s">
        <v>2383</v>
      </c>
      <c r="H1101" t="str">
        <f>'Huong dan giao do an'!$B$14</f>
        <v>5 SV (vai trò chính): 1 PM/Scrum Master kiêm Integration; 2 BA/PO; 3 UI-UX + Frontend; 4 Backend/API + DevOps; 5 Database + QA/Tester. Mỗi SV có nhiệm vụ phụ và minh chứng cá nhân.</v>
      </c>
      <c r="I1101" t="s">
        <v>29</v>
      </c>
      <c r="J1101" t="s">
        <v>2325</v>
      </c>
      <c r="K1101" t="str">
        <f>IF(I1101="Trung bình",'Huong dan giao do an'!$B$8,IF(I1101="Khá",'Huong dan giao do an'!$B$9,'Huong dan giao do an'!$B$10))</f>
        <v>Tối thiểu 5 actor; 14-18 use case; 10-15 bảng; 4 quy trình; tích hợp ngoài/realtime hoặc xử lý nâng cao; 3 báo cáo; &gt;=45 test case; logging, backup và deploy.</v>
      </c>
      <c r="L1101" t="str">
        <f>'Huong dan giao do an'!$B$31</f>
        <v>Bắt buộc: Charter/PMP; SRS + scope/WBS; Gantt/baseline; effort-cost budget; RACI/timesheet; quality-test-defect; communication/minutes; risk register; procurement; change log; closure/lessons learned.</v>
      </c>
      <c r="M1101" t="str">
        <f>'Huong dan giao do an'!$B$33</f>
        <v>Tuần 1: 07.09–13.09.2026; Tuần 2: 14.09–20.09.2026; Tuần 3: 21.09–27.09.2026; Tuần 4: 28.09–04.10.2026; Tuần 5: 05.10–11.10.2026; Tuần 6: 12.10–18.10.2026; Tuần 7: 19.10–25.10.2026; Tuần 8: 26.10–01.11.2026.</v>
      </c>
      <c r="N11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1" s="17" t="str">
        <f t="shared" si="17"/>
        <v>Còn trống</v>
      </c>
    </row>
    <row r="1102" spans="1:16" x14ac:dyDescent="0.3">
      <c r="A1102">
        <v>1101</v>
      </c>
      <c r="B1102" t="s">
        <v>2544</v>
      </c>
      <c r="C1102" t="s">
        <v>2545</v>
      </c>
      <c r="D1102" t="s">
        <v>2546</v>
      </c>
      <c r="E1102" t="s">
        <v>26</v>
      </c>
      <c r="F1102" t="s">
        <v>2547</v>
      </c>
      <c r="G1102" t="s">
        <v>2548</v>
      </c>
      <c r="H1102" t="str">
        <f>'Huong dan giao do an'!$B$14</f>
        <v>5 SV (vai trò chính): 1 PM/Scrum Master kiêm Integration; 2 BA/PO; 3 UI-UX + Frontend; 4 Backend/API + DevOps; 5 Database + QA/Tester. Mỗi SV có nhiệm vụ phụ và minh chứng cá nhân.</v>
      </c>
      <c r="I1102" t="s">
        <v>22</v>
      </c>
      <c r="J1102" t="s">
        <v>2549</v>
      </c>
      <c r="K1102" t="str">
        <f>IF(I1102="Trung bình",'Huong dan giao do an'!$B$8,IF(I1102="Khá",'Huong dan giao do an'!$B$9,'Huong dan giao do an'!$B$10))</f>
        <v>Tối thiểu 4 actor; 10-14 use case; 8-12 bảng; 3 quy trình lõi; phân quyền chi tiết; 2 báo cáo; tích hợp 1 dịch vụ; &gt;=35 test case; CI/CD hoặc deploy cloud.</v>
      </c>
      <c r="L1102" t="str">
        <f>'Huong dan giao do an'!$B$31</f>
        <v>Bắt buộc: Charter/PMP; SRS + scope/WBS; Gantt/baseline; effort-cost budget; RACI/timesheet; quality-test-defect; communication/minutes; risk register; procurement; change log; closure/lessons learned.</v>
      </c>
      <c r="M1102" t="str">
        <f>'Huong dan giao do an'!$B$33</f>
        <v>Tuần 1: 07.09–13.09.2026; Tuần 2: 14.09–20.09.2026; Tuần 3: 21.09–27.09.2026; Tuần 4: 28.09–04.10.2026; Tuần 5: 05.10–11.10.2026; Tuần 6: 12.10–18.10.2026; Tuần 7: 19.10–25.10.2026; Tuần 8: 26.10–01.11.2026.</v>
      </c>
      <c r="N11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2" s="17" t="str">
        <f t="shared" si="17"/>
        <v>Còn trống</v>
      </c>
    </row>
    <row r="1103" spans="1:16" x14ac:dyDescent="0.3">
      <c r="A1103">
        <v>1102</v>
      </c>
      <c r="B1103" t="s">
        <v>2544</v>
      </c>
      <c r="C1103" t="s">
        <v>2550</v>
      </c>
      <c r="D1103" t="s">
        <v>2551</v>
      </c>
      <c r="E1103" t="s">
        <v>33</v>
      </c>
      <c r="F1103" t="s">
        <v>2552</v>
      </c>
      <c r="G1103" t="s">
        <v>2553</v>
      </c>
      <c r="H1103" t="str">
        <f>'Huong dan giao do an'!$B$14</f>
        <v>5 SV (vai trò chính): 1 PM/Scrum Master kiêm Integration; 2 BA/PO; 3 UI-UX + Frontend; 4 Backend/API + DevOps; 5 Database + QA/Tester. Mỗi SV có nhiệm vụ phụ và minh chứng cá nhân.</v>
      </c>
      <c r="I1103" t="s">
        <v>29</v>
      </c>
      <c r="J1103" t="s">
        <v>2554</v>
      </c>
      <c r="K1103" t="str">
        <f>IF(I1103="Trung bình",'Huong dan giao do an'!$B$8,IF(I1103="Khá",'Huong dan giao do an'!$B$9,'Huong dan giao do an'!$B$10))</f>
        <v>Tối thiểu 5 actor; 14-18 use case; 10-15 bảng; 4 quy trình; tích hợp ngoài/realtime hoặc xử lý nâng cao; 3 báo cáo; &gt;=45 test case; logging, backup và deploy.</v>
      </c>
      <c r="L1103" t="str">
        <f>'Huong dan giao do an'!$B$31</f>
        <v>Bắt buộc: Charter/PMP; SRS + scope/WBS; Gantt/baseline; effort-cost budget; RACI/timesheet; quality-test-defect; communication/minutes; risk register; procurement; change log; closure/lessons learned.</v>
      </c>
      <c r="M1103" t="str">
        <f>'Huong dan giao do an'!$B$33</f>
        <v>Tuần 1: 07.09–13.09.2026; Tuần 2: 14.09–20.09.2026; Tuần 3: 21.09–27.09.2026; Tuần 4: 28.09–04.10.2026; Tuần 5: 05.10–11.10.2026; Tuần 6: 12.10–18.10.2026; Tuần 7: 19.10–25.10.2026; Tuần 8: 26.10–01.11.2026.</v>
      </c>
      <c r="N11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3" s="17" t="str">
        <f t="shared" si="17"/>
        <v>Còn trống</v>
      </c>
    </row>
    <row r="1104" spans="1:16" x14ac:dyDescent="0.3">
      <c r="A1104">
        <v>1103</v>
      </c>
      <c r="B1104" t="s">
        <v>2544</v>
      </c>
      <c r="C1104" t="s">
        <v>2555</v>
      </c>
      <c r="D1104" t="s">
        <v>2556</v>
      </c>
      <c r="E1104" t="s">
        <v>40</v>
      </c>
      <c r="F1104" t="s">
        <v>2557</v>
      </c>
      <c r="G1104" t="s">
        <v>2558</v>
      </c>
      <c r="H1104" t="str">
        <f>'Huong dan giao do an'!$B$14</f>
        <v>5 SV (vai trò chính): 1 PM/Scrum Master kiêm Integration; 2 BA/PO; 3 UI-UX + Frontend; 4 Backend/API + DevOps; 5 Database + QA/Tester. Mỗi SV có nhiệm vụ phụ và minh chứng cá nhân.</v>
      </c>
      <c r="I1104" t="s">
        <v>36</v>
      </c>
      <c r="J1104" t="s">
        <v>2559</v>
      </c>
      <c r="K1104" t="str">
        <f>IF(I1104="Trung bình",'Huong dan giao do an'!$B$8,IF(I1104="Khá",'Huong dan giao do an'!$B$9,'Huong dan giao do an'!$B$10))</f>
        <v>Tối thiểu 3 actor; 8-10 use case; 6-8 bảng dữ liệu; 2 quy trình lõi; đăng nhập/RBAC; 1 dashboard; 1 báo cáo; &gt;=25 test case; triển khai bản demo.</v>
      </c>
      <c r="L1104" t="str">
        <f>'Huong dan giao do an'!$B$31</f>
        <v>Bắt buộc: Charter/PMP; SRS + scope/WBS; Gantt/baseline; effort-cost budget; RACI/timesheet; quality-test-defect; communication/minutes; risk register; procurement; change log; closure/lessons learned.</v>
      </c>
      <c r="M1104" t="str">
        <f>'Huong dan giao do an'!$B$33</f>
        <v>Tuần 1: 07.09–13.09.2026; Tuần 2: 14.09–20.09.2026; Tuần 3: 21.09–27.09.2026; Tuần 4: 28.09–04.10.2026; Tuần 5: 05.10–11.10.2026; Tuần 6: 12.10–18.10.2026; Tuần 7: 19.10–25.10.2026; Tuần 8: 26.10–01.11.2026.</v>
      </c>
      <c r="N11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4" s="17" t="str">
        <f t="shared" si="17"/>
        <v>Còn trống</v>
      </c>
    </row>
    <row r="1105" spans="1:16" x14ac:dyDescent="0.3">
      <c r="A1105">
        <v>1104</v>
      </c>
      <c r="B1105" t="s">
        <v>2544</v>
      </c>
      <c r="C1105" t="s">
        <v>2560</v>
      </c>
      <c r="D1105" t="s">
        <v>2561</v>
      </c>
      <c r="E1105" t="s">
        <v>45</v>
      </c>
      <c r="F1105" t="s">
        <v>2562</v>
      </c>
      <c r="G1105" t="s">
        <v>2563</v>
      </c>
      <c r="H1105" t="str">
        <f>'Huong dan giao do an'!$B$14</f>
        <v>5 SV (vai trò chính): 1 PM/Scrum Master kiêm Integration; 2 BA/PO; 3 UI-UX + Frontend; 4 Backend/API + DevOps; 5 Database + QA/Tester. Mỗi SV có nhiệm vụ phụ và minh chứng cá nhân.</v>
      </c>
      <c r="I1105" t="s">
        <v>22</v>
      </c>
      <c r="J1105" t="s">
        <v>2549</v>
      </c>
      <c r="K1105" t="str">
        <f>IF(I1105="Trung bình",'Huong dan giao do an'!$B$8,IF(I1105="Khá",'Huong dan giao do an'!$B$9,'Huong dan giao do an'!$B$10))</f>
        <v>Tối thiểu 4 actor; 10-14 use case; 8-12 bảng; 3 quy trình lõi; phân quyền chi tiết; 2 báo cáo; tích hợp 1 dịch vụ; &gt;=35 test case; CI/CD hoặc deploy cloud.</v>
      </c>
      <c r="L1105" t="str">
        <f>'Huong dan giao do an'!$B$31</f>
        <v>Bắt buộc: Charter/PMP; SRS + scope/WBS; Gantt/baseline; effort-cost budget; RACI/timesheet; quality-test-defect; communication/minutes; risk register; procurement; change log; closure/lessons learned.</v>
      </c>
      <c r="M1105" t="str">
        <f>'Huong dan giao do an'!$B$33</f>
        <v>Tuần 1: 07.09–13.09.2026; Tuần 2: 14.09–20.09.2026; Tuần 3: 21.09–27.09.2026; Tuần 4: 28.09–04.10.2026; Tuần 5: 05.10–11.10.2026; Tuần 6: 12.10–18.10.2026; Tuần 7: 19.10–25.10.2026; Tuần 8: 26.10–01.11.2026.</v>
      </c>
      <c r="N11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5" s="17" t="str">
        <f t="shared" si="17"/>
        <v>Còn trống</v>
      </c>
    </row>
    <row r="1106" spans="1:16" x14ac:dyDescent="0.3">
      <c r="A1106">
        <v>1105</v>
      </c>
      <c r="B1106" t="s">
        <v>2544</v>
      </c>
      <c r="C1106" t="s">
        <v>2564</v>
      </c>
      <c r="D1106" t="s">
        <v>2565</v>
      </c>
      <c r="E1106" t="s">
        <v>19</v>
      </c>
      <c r="F1106" t="s">
        <v>2566</v>
      </c>
      <c r="G1106" t="s">
        <v>2567</v>
      </c>
      <c r="H1106" t="str">
        <f>'Huong dan giao do an'!$B$14</f>
        <v>5 SV (vai trò chính): 1 PM/Scrum Master kiêm Integration; 2 BA/PO; 3 UI-UX + Frontend; 4 Backend/API + DevOps; 5 Database + QA/Tester. Mỗi SV có nhiệm vụ phụ và minh chứng cá nhân.</v>
      </c>
      <c r="I1106" t="s">
        <v>29</v>
      </c>
      <c r="J1106" t="s">
        <v>2554</v>
      </c>
      <c r="K1106" t="str">
        <f>IF(I1106="Trung bình",'Huong dan giao do an'!$B$8,IF(I1106="Khá",'Huong dan giao do an'!$B$9,'Huong dan giao do an'!$B$10))</f>
        <v>Tối thiểu 5 actor; 14-18 use case; 10-15 bảng; 4 quy trình; tích hợp ngoài/realtime hoặc xử lý nâng cao; 3 báo cáo; &gt;=45 test case; logging, backup và deploy.</v>
      </c>
      <c r="L1106" t="str">
        <f>'Huong dan giao do an'!$B$31</f>
        <v>Bắt buộc: Charter/PMP; SRS + scope/WBS; Gantt/baseline; effort-cost budget; RACI/timesheet; quality-test-defect; communication/minutes; risk register; procurement; change log; closure/lessons learned.</v>
      </c>
      <c r="M1106" t="str">
        <f>'Huong dan giao do an'!$B$33</f>
        <v>Tuần 1: 07.09–13.09.2026; Tuần 2: 14.09–20.09.2026; Tuần 3: 21.09–27.09.2026; Tuần 4: 28.09–04.10.2026; Tuần 5: 05.10–11.10.2026; Tuần 6: 12.10–18.10.2026; Tuần 7: 19.10–25.10.2026; Tuần 8: 26.10–01.11.2026.</v>
      </c>
      <c r="N11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6" s="17" t="str">
        <f t="shared" si="17"/>
        <v>Còn trống</v>
      </c>
    </row>
    <row r="1107" spans="1:16" x14ac:dyDescent="0.3">
      <c r="A1107">
        <v>1106</v>
      </c>
      <c r="B1107" t="s">
        <v>2544</v>
      </c>
      <c r="C1107" t="s">
        <v>2568</v>
      </c>
      <c r="D1107" t="s">
        <v>2569</v>
      </c>
      <c r="E1107" t="s">
        <v>26</v>
      </c>
      <c r="F1107" t="s">
        <v>2547</v>
      </c>
      <c r="G1107" t="s">
        <v>2570</v>
      </c>
      <c r="H1107" t="str">
        <f>'Huong dan giao do an'!$B$14</f>
        <v>5 SV (vai trò chính): 1 PM/Scrum Master kiêm Integration; 2 BA/PO; 3 UI-UX + Frontend; 4 Backend/API + DevOps; 5 Database + QA/Tester. Mỗi SV có nhiệm vụ phụ và minh chứng cá nhân.</v>
      </c>
      <c r="I1107" t="s">
        <v>36</v>
      </c>
      <c r="J1107" t="s">
        <v>2559</v>
      </c>
      <c r="K1107" t="str">
        <f>IF(I1107="Trung bình",'Huong dan giao do an'!$B$8,IF(I1107="Khá",'Huong dan giao do an'!$B$9,'Huong dan giao do an'!$B$10))</f>
        <v>Tối thiểu 3 actor; 8-10 use case; 6-8 bảng dữ liệu; 2 quy trình lõi; đăng nhập/RBAC; 1 dashboard; 1 báo cáo; &gt;=25 test case; triển khai bản demo.</v>
      </c>
      <c r="L1107" t="str">
        <f>'Huong dan giao do an'!$B$31</f>
        <v>Bắt buộc: Charter/PMP; SRS + scope/WBS; Gantt/baseline; effort-cost budget; RACI/timesheet; quality-test-defect; communication/minutes; risk register; procurement; change log; closure/lessons learned.</v>
      </c>
      <c r="M1107" t="str">
        <f>'Huong dan giao do an'!$B$33</f>
        <v>Tuần 1: 07.09–13.09.2026; Tuần 2: 14.09–20.09.2026; Tuần 3: 21.09–27.09.2026; Tuần 4: 28.09–04.10.2026; Tuần 5: 05.10–11.10.2026; Tuần 6: 12.10–18.10.2026; Tuần 7: 19.10–25.10.2026; Tuần 8: 26.10–01.11.2026.</v>
      </c>
      <c r="N11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7" s="17" t="str">
        <f t="shared" si="17"/>
        <v>Còn trống</v>
      </c>
    </row>
    <row r="1108" spans="1:16" x14ac:dyDescent="0.3">
      <c r="A1108">
        <v>1107</v>
      </c>
      <c r="B1108" t="s">
        <v>2544</v>
      </c>
      <c r="C1108" t="s">
        <v>2571</v>
      </c>
      <c r="D1108" t="s">
        <v>2572</v>
      </c>
      <c r="E1108" t="s">
        <v>33</v>
      </c>
      <c r="F1108" t="s">
        <v>2552</v>
      </c>
      <c r="G1108" t="s">
        <v>2573</v>
      </c>
      <c r="H1108" t="str">
        <f>'Huong dan giao do an'!$B$14</f>
        <v>5 SV (vai trò chính): 1 PM/Scrum Master kiêm Integration; 2 BA/PO; 3 UI-UX + Frontend; 4 Backend/API + DevOps; 5 Database + QA/Tester. Mỗi SV có nhiệm vụ phụ và minh chứng cá nhân.</v>
      </c>
      <c r="I1108" t="s">
        <v>22</v>
      </c>
      <c r="J1108" t="s">
        <v>2549</v>
      </c>
      <c r="K1108" t="str">
        <f>IF(I1108="Trung bình",'Huong dan giao do an'!$B$8,IF(I1108="Khá",'Huong dan giao do an'!$B$9,'Huong dan giao do an'!$B$10))</f>
        <v>Tối thiểu 4 actor; 10-14 use case; 8-12 bảng; 3 quy trình lõi; phân quyền chi tiết; 2 báo cáo; tích hợp 1 dịch vụ; &gt;=35 test case; CI/CD hoặc deploy cloud.</v>
      </c>
      <c r="L1108" t="str">
        <f>'Huong dan giao do an'!$B$31</f>
        <v>Bắt buộc: Charter/PMP; SRS + scope/WBS; Gantt/baseline; effort-cost budget; RACI/timesheet; quality-test-defect; communication/minutes; risk register; procurement; change log; closure/lessons learned.</v>
      </c>
      <c r="M1108" t="str">
        <f>'Huong dan giao do an'!$B$33</f>
        <v>Tuần 1: 07.09–13.09.2026; Tuần 2: 14.09–20.09.2026; Tuần 3: 21.09–27.09.2026; Tuần 4: 28.09–04.10.2026; Tuần 5: 05.10–11.10.2026; Tuần 6: 12.10–18.10.2026; Tuần 7: 19.10–25.10.2026; Tuần 8: 26.10–01.11.2026.</v>
      </c>
      <c r="N11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8" s="17" t="str">
        <f t="shared" si="17"/>
        <v>Còn trống</v>
      </c>
    </row>
    <row r="1109" spans="1:16" x14ac:dyDescent="0.3">
      <c r="A1109">
        <v>1108</v>
      </c>
      <c r="B1109" t="s">
        <v>2544</v>
      </c>
      <c r="C1109" t="s">
        <v>2574</v>
      </c>
      <c r="D1109" t="s">
        <v>2575</v>
      </c>
      <c r="E1109" t="s">
        <v>40</v>
      </c>
      <c r="F1109" t="s">
        <v>2557</v>
      </c>
      <c r="G1109" t="s">
        <v>2576</v>
      </c>
      <c r="H1109" t="str">
        <f>'Huong dan giao do an'!$B$14</f>
        <v>5 SV (vai trò chính): 1 PM/Scrum Master kiêm Integration; 2 BA/PO; 3 UI-UX + Frontend; 4 Backend/API + DevOps; 5 Database + QA/Tester. Mỗi SV có nhiệm vụ phụ và minh chứng cá nhân.</v>
      </c>
      <c r="I1109" t="s">
        <v>29</v>
      </c>
      <c r="J1109" t="s">
        <v>2554</v>
      </c>
      <c r="K1109" t="str">
        <f>IF(I1109="Trung bình",'Huong dan giao do an'!$B$8,IF(I1109="Khá",'Huong dan giao do an'!$B$9,'Huong dan giao do an'!$B$10))</f>
        <v>Tối thiểu 5 actor; 14-18 use case; 10-15 bảng; 4 quy trình; tích hợp ngoài/realtime hoặc xử lý nâng cao; 3 báo cáo; &gt;=45 test case; logging, backup và deploy.</v>
      </c>
      <c r="L1109" t="str">
        <f>'Huong dan giao do an'!$B$31</f>
        <v>Bắt buộc: Charter/PMP; SRS + scope/WBS; Gantt/baseline; effort-cost budget; RACI/timesheet; quality-test-defect; communication/minutes; risk register; procurement; change log; closure/lessons learned.</v>
      </c>
      <c r="M1109" t="str">
        <f>'Huong dan giao do an'!$B$33</f>
        <v>Tuần 1: 07.09–13.09.2026; Tuần 2: 14.09–20.09.2026; Tuần 3: 21.09–27.09.2026; Tuần 4: 28.09–04.10.2026; Tuần 5: 05.10–11.10.2026; Tuần 6: 12.10–18.10.2026; Tuần 7: 19.10–25.10.2026; Tuần 8: 26.10–01.11.2026.</v>
      </c>
      <c r="N11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09" s="17" t="str">
        <f t="shared" si="17"/>
        <v>Còn trống</v>
      </c>
    </row>
    <row r="1110" spans="1:16" x14ac:dyDescent="0.3">
      <c r="A1110">
        <v>1109</v>
      </c>
      <c r="B1110" t="s">
        <v>2544</v>
      </c>
      <c r="C1110" t="s">
        <v>2577</v>
      </c>
      <c r="D1110" t="s">
        <v>2578</v>
      </c>
      <c r="E1110" t="s">
        <v>45</v>
      </c>
      <c r="F1110" t="s">
        <v>2562</v>
      </c>
      <c r="G1110" t="s">
        <v>2579</v>
      </c>
      <c r="H1110" t="str">
        <f>'Huong dan giao do an'!$B$14</f>
        <v>5 SV (vai trò chính): 1 PM/Scrum Master kiêm Integration; 2 BA/PO; 3 UI-UX + Frontend; 4 Backend/API + DevOps; 5 Database + QA/Tester. Mỗi SV có nhiệm vụ phụ và minh chứng cá nhân.</v>
      </c>
      <c r="I1110" t="s">
        <v>36</v>
      </c>
      <c r="J1110" t="s">
        <v>2559</v>
      </c>
      <c r="K1110" t="str">
        <f>IF(I1110="Trung bình",'Huong dan giao do an'!$B$8,IF(I1110="Khá",'Huong dan giao do an'!$B$9,'Huong dan giao do an'!$B$10))</f>
        <v>Tối thiểu 3 actor; 8-10 use case; 6-8 bảng dữ liệu; 2 quy trình lõi; đăng nhập/RBAC; 1 dashboard; 1 báo cáo; &gt;=25 test case; triển khai bản demo.</v>
      </c>
      <c r="L1110" t="str">
        <f>'Huong dan giao do an'!$B$31</f>
        <v>Bắt buộc: Charter/PMP; SRS + scope/WBS; Gantt/baseline; effort-cost budget; RACI/timesheet; quality-test-defect; communication/minutes; risk register; procurement; change log; closure/lessons learned.</v>
      </c>
      <c r="M1110" t="str">
        <f>'Huong dan giao do an'!$B$33</f>
        <v>Tuần 1: 07.09–13.09.2026; Tuần 2: 14.09–20.09.2026; Tuần 3: 21.09–27.09.2026; Tuần 4: 28.09–04.10.2026; Tuần 5: 05.10–11.10.2026; Tuần 6: 12.10–18.10.2026; Tuần 7: 19.10–25.10.2026; Tuần 8: 26.10–01.11.2026.</v>
      </c>
      <c r="N11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0" s="17" t="str">
        <f t="shared" si="17"/>
        <v>Còn trống</v>
      </c>
    </row>
    <row r="1111" spans="1:16" x14ac:dyDescent="0.3">
      <c r="A1111">
        <v>1110</v>
      </c>
      <c r="B1111" t="s">
        <v>2544</v>
      </c>
      <c r="C1111" t="s">
        <v>2580</v>
      </c>
      <c r="D1111" t="s">
        <v>2581</v>
      </c>
      <c r="E1111" t="s">
        <v>19</v>
      </c>
      <c r="F1111" t="s">
        <v>2566</v>
      </c>
      <c r="G1111" t="s">
        <v>2582</v>
      </c>
      <c r="H1111" t="str">
        <f>'Huong dan giao do an'!$B$14</f>
        <v>5 SV (vai trò chính): 1 PM/Scrum Master kiêm Integration; 2 BA/PO; 3 UI-UX + Frontend; 4 Backend/API + DevOps; 5 Database + QA/Tester. Mỗi SV có nhiệm vụ phụ và minh chứng cá nhân.</v>
      </c>
      <c r="I1111" t="s">
        <v>22</v>
      </c>
      <c r="J1111" t="s">
        <v>2549</v>
      </c>
      <c r="K1111" t="str">
        <f>IF(I1111="Trung bình",'Huong dan giao do an'!$B$8,IF(I1111="Khá",'Huong dan giao do an'!$B$9,'Huong dan giao do an'!$B$10))</f>
        <v>Tối thiểu 4 actor; 10-14 use case; 8-12 bảng; 3 quy trình lõi; phân quyền chi tiết; 2 báo cáo; tích hợp 1 dịch vụ; &gt;=35 test case; CI/CD hoặc deploy cloud.</v>
      </c>
      <c r="L1111" t="str">
        <f>'Huong dan giao do an'!$B$31</f>
        <v>Bắt buộc: Charter/PMP; SRS + scope/WBS; Gantt/baseline; effort-cost budget; RACI/timesheet; quality-test-defect; communication/minutes; risk register; procurement; change log; closure/lessons learned.</v>
      </c>
      <c r="M1111" t="str">
        <f>'Huong dan giao do an'!$B$33</f>
        <v>Tuần 1: 07.09–13.09.2026; Tuần 2: 14.09–20.09.2026; Tuần 3: 21.09–27.09.2026; Tuần 4: 28.09–04.10.2026; Tuần 5: 05.10–11.10.2026; Tuần 6: 12.10–18.10.2026; Tuần 7: 19.10–25.10.2026; Tuần 8: 26.10–01.11.2026.</v>
      </c>
      <c r="N11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1" s="17" t="str">
        <f t="shared" si="17"/>
        <v>Còn trống</v>
      </c>
    </row>
    <row r="1112" spans="1:16" x14ac:dyDescent="0.3">
      <c r="A1112">
        <v>1111</v>
      </c>
      <c r="B1112" t="s">
        <v>2544</v>
      </c>
      <c r="C1112" t="s">
        <v>2583</v>
      </c>
      <c r="D1112" t="s">
        <v>2584</v>
      </c>
      <c r="E1112" t="s">
        <v>26</v>
      </c>
      <c r="F1112" t="s">
        <v>2547</v>
      </c>
      <c r="G1112" t="s">
        <v>2585</v>
      </c>
      <c r="H1112" t="str">
        <f>'Huong dan giao do an'!$B$14</f>
        <v>5 SV (vai trò chính): 1 PM/Scrum Master kiêm Integration; 2 BA/PO; 3 UI-UX + Frontend; 4 Backend/API + DevOps; 5 Database + QA/Tester. Mỗi SV có nhiệm vụ phụ và minh chứng cá nhân.</v>
      </c>
      <c r="I1112" t="s">
        <v>29</v>
      </c>
      <c r="J1112" t="s">
        <v>2554</v>
      </c>
      <c r="K1112" t="str">
        <f>IF(I1112="Trung bình",'Huong dan giao do an'!$B$8,IF(I1112="Khá",'Huong dan giao do an'!$B$9,'Huong dan giao do an'!$B$10))</f>
        <v>Tối thiểu 5 actor; 14-18 use case; 10-15 bảng; 4 quy trình; tích hợp ngoài/realtime hoặc xử lý nâng cao; 3 báo cáo; &gt;=45 test case; logging, backup và deploy.</v>
      </c>
      <c r="L1112" t="str">
        <f>'Huong dan giao do an'!$B$31</f>
        <v>Bắt buộc: Charter/PMP; SRS + scope/WBS; Gantt/baseline; effort-cost budget; RACI/timesheet; quality-test-defect; communication/minutes; risk register; procurement; change log; closure/lessons learned.</v>
      </c>
      <c r="M1112" t="str">
        <f>'Huong dan giao do an'!$B$33</f>
        <v>Tuần 1: 07.09–13.09.2026; Tuần 2: 14.09–20.09.2026; Tuần 3: 21.09–27.09.2026; Tuần 4: 28.09–04.10.2026; Tuần 5: 05.10–11.10.2026; Tuần 6: 12.10–18.10.2026; Tuần 7: 19.10–25.10.2026; Tuần 8: 26.10–01.11.2026.</v>
      </c>
      <c r="N11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2" s="17" t="str">
        <f t="shared" si="17"/>
        <v>Còn trống</v>
      </c>
    </row>
    <row r="1113" spans="1:16" x14ac:dyDescent="0.3">
      <c r="A1113">
        <v>1112</v>
      </c>
      <c r="B1113" t="s">
        <v>2544</v>
      </c>
      <c r="C1113" t="s">
        <v>2586</v>
      </c>
      <c r="D1113" t="s">
        <v>2587</v>
      </c>
      <c r="E1113" t="s">
        <v>33</v>
      </c>
      <c r="F1113" t="s">
        <v>2552</v>
      </c>
      <c r="G1113" t="s">
        <v>2588</v>
      </c>
      <c r="H1113" t="str">
        <f>'Huong dan giao do an'!$B$14</f>
        <v>5 SV (vai trò chính): 1 PM/Scrum Master kiêm Integration; 2 BA/PO; 3 UI-UX + Frontend; 4 Backend/API + DevOps; 5 Database + QA/Tester. Mỗi SV có nhiệm vụ phụ và minh chứng cá nhân.</v>
      </c>
      <c r="I1113" t="s">
        <v>36</v>
      </c>
      <c r="J1113" t="s">
        <v>2559</v>
      </c>
      <c r="K1113" t="str">
        <f>IF(I1113="Trung bình",'Huong dan giao do an'!$B$8,IF(I1113="Khá",'Huong dan giao do an'!$B$9,'Huong dan giao do an'!$B$10))</f>
        <v>Tối thiểu 3 actor; 8-10 use case; 6-8 bảng dữ liệu; 2 quy trình lõi; đăng nhập/RBAC; 1 dashboard; 1 báo cáo; &gt;=25 test case; triển khai bản demo.</v>
      </c>
      <c r="L1113" t="str">
        <f>'Huong dan giao do an'!$B$31</f>
        <v>Bắt buộc: Charter/PMP; SRS + scope/WBS; Gantt/baseline; effort-cost budget; RACI/timesheet; quality-test-defect; communication/minutes; risk register; procurement; change log; closure/lessons learned.</v>
      </c>
      <c r="M1113" t="str">
        <f>'Huong dan giao do an'!$B$33</f>
        <v>Tuần 1: 07.09–13.09.2026; Tuần 2: 14.09–20.09.2026; Tuần 3: 21.09–27.09.2026; Tuần 4: 28.09–04.10.2026; Tuần 5: 05.10–11.10.2026; Tuần 6: 12.10–18.10.2026; Tuần 7: 19.10–25.10.2026; Tuần 8: 26.10–01.11.2026.</v>
      </c>
      <c r="N11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3" s="17" t="str">
        <f t="shared" si="17"/>
        <v>Còn trống</v>
      </c>
    </row>
    <row r="1114" spans="1:16" x14ac:dyDescent="0.3">
      <c r="A1114">
        <v>1113</v>
      </c>
      <c r="B1114" t="s">
        <v>2544</v>
      </c>
      <c r="C1114" t="s">
        <v>2589</v>
      </c>
      <c r="D1114" t="s">
        <v>2590</v>
      </c>
      <c r="E1114" t="s">
        <v>40</v>
      </c>
      <c r="F1114" t="s">
        <v>2557</v>
      </c>
      <c r="G1114" t="s">
        <v>2591</v>
      </c>
      <c r="H1114" t="str">
        <f>'Huong dan giao do an'!$B$14</f>
        <v>5 SV (vai trò chính): 1 PM/Scrum Master kiêm Integration; 2 BA/PO; 3 UI-UX + Frontend; 4 Backend/API + DevOps; 5 Database + QA/Tester. Mỗi SV có nhiệm vụ phụ và minh chứng cá nhân.</v>
      </c>
      <c r="I1114" t="s">
        <v>22</v>
      </c>
      <c r="J1114" t="s">
        <v>2549</v>
      </c>
      <c r="K1114" t="str">
        <f>IF(I1114="Trung bình",'Huong dan giao do an'!$B$8,IF(I1114="Khá",'Huong dan giao do an'!$B$9,'Huong dan giao do an'!$B$10))</f>
        <v>Tối thiểu 4 actor; 10-14 use case; 8-12 bảng; 3 quy trình lõi; phân quyền chi tiết; 2 báo cáo; tích hợp 1 dịch vụ; &gt;=35 test case; CI/CD hoặc deploy cloud.</v>
      </c>
      <c r="L1114" t="str">
        <f>'Huong dan giao do an'!$B$31</f>
        <v>Bắt buộc: Charter/PMP; SRS + scope/WBS; Gantt/baseline; effort-cost budget; RACI/timesheet; quality-test-defect; communication/minutes; risk register; procurement; change log; closure/lessons learned.</v>
      </c>
      <c r="M1114" t="str">
        <f>'Huong dan giao do an'!$B$33</f>
        <v>Tuần 1: 07.09–13.09.2026; Tuần 2: 14.09–20.09.2026; Tuần 3: 21.09–27.09.2026; Tuần 4: 28.09–04.10.2026; Tuần 5: 05.10–11.10.2026; Tuần 6: 12.10–18.10.2026; Tuần 7: 19.10–25.10.2026; Tuần 8: 26.10–01.11.2026.</v>
      </c>
      <c r="N11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4" s="17" t="str">
        <f t="shared" si="17"/>
        <v>Còn trống</v>
      </c>
    </row>
    <row r="1115" spans="1:16" x14ac:dyDescent="0.3">
      <c r="A1115">
        <v>1114</v>
      </c>
      <c r="B1115" t="s">
        <v>2544</v>
      </c>
      <c r="C1115" t="s">
        <v>2592</v>
      </c>
      <c r="D1115" t="s">
        <v>2593</v>
      </c>
      <c r="E1115" t="s">
        <v>45</v>
      </c>
      <c r="F1115" t="s">
        <v>2562</v>
      </c>
      <c r="G1115" t="s">
        <v>2594</v>
      </c>
      <c r="H1115" t="str">
        <f>'Huong dan giao do an'!$B$14</f>
        <v>5 SV (vai trò chính): 1 PM/Scrum Master kiêm Integration; 2 BA/PO; 3 UI-UX + Frontend; 4 Backend/API + DevOps; 5 Database + QA/Tester. Mỗi SV có nhiệm vụ phụ và minh chứng cá nhân.</v>
      </c>
      <c r="I1115" t="s">
        <v>29</v>
      </c>
      <c r="J1115" t="s">
        <v>2554</v>
      </c>
      <c r="K1115" t="str">
        <f>IF(I1115="Trung bình",'Huong dan giao do an'!$B$8,IF(I1115="Khá",'Huong dan giao do an'!$B$9,'Huong dan giao do an'!$B$10))</f>
        <v>Tối thiểu 5 actor; 14-18 use case; 10-15 bảng; 4 quy trình; tích hợp ngoài/realtime hoặc xử lý nâng cao; 3 báo cáo; &gt;=45 test case; logging, backup và deploy.</v>
      </c>
      <c r="L1115" t="str">
        <f>'Huong dan giao do an'!$B$31</f>
        <v>Bắt buộc: Charter/PMP; SRS + scope/WBS; Gantt/baseline; effort-cost budget; RACI/timesheet; quality-test-defect; communication/minutes; risk register; procurement; change log; closure/lessons learned.</v>
      </c>
      <c r="M1115" t="str">
        <f>'Huong dan giao do an'!$B$33</f>
        <v>Tuần 1: 07.09–13.09.2026; Tuần 2: 14.09–20.09.2026; Tuần 3: 21.09–27.09.2026; Tuần 4: 28.09–04.10.2026; Tuần 5: 05.10–11.10.2026; Tuần 6: 12.10–18.10.2026; Tuần 7: 19.10–25.10.2026; Tuần 8: 26.10–01.11.2026.</v>
      </c>
      <c r="N11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5" s="17" t="str">
        <f t="shared" si="17"/>
        <v>Còn trống</v>
      </c>
    </row>
    <row r="1116" spans="1:16" x14ac:dyDescent="0.3">
      <c r="A1116">
        <v>1115</v>
      </c>
      <c r="B1116" t="s">
        <v>2544</v>
      </c>
      <c r="C1116" t="s">
        <v>2595</v>
      </c>
      <c r="D1116" t="s">
        <v>2596</v>
      </c>
      <c r="E1116" t="s">
        <v>19</v>
      </c>
      <c r="F1116" t="s">
        <v>2566</v>
      </c>
      <c r="G1116" t="s">
        <v>2597</v>
      </c>
      <c r="H1116" t="str">
        <f>'Huong dan giao do an'!$B$14</f>
        <v>5 SV (vai trò chính): 1 PM/Scrum Master kiêm Integration; 2 BA/PO; 3 UI-UX + Frontend; 4 Backend/API + DevOps; 5 Database + QA/Tester. Mỗi SV có nhiệm vụ phụ và minh chứng cá nhân.</v>
      </c>
      <c r="I1116" t="s">
        <v>36</v>
      </c>
      <c r="J1116" t="s">
        <v>2559</v>
      </c>
      <c r="K1116" t="str">
        <f>IF(I1116="Trung bình",'Huong dan giao do an'!$B$8,IF(I1116="Khá",'Huong dan giao do an'!$B$9,'Huong dan giao do an'!$B$10))</f>
        <v>Tối thiểu 3 actor; 8-10 use case; 6-8 bảng dữ liệu; 2 quy trình lõi; đăng nhập/RBAC; 1 dashboard; 1 báo cáo; &gt;=25 test case; triển khai bản demo.</v>
      </c>
      <c r="L1116" t="str">
        <f>'Huong dan giao do an'!$B$31</f>
        <v>Bắt buộc: Charter/PMP; SRS + scope/WBS; Gantt/baseline; effort-cost budget; RACI/timesheet; quality-test-defect; communication/minutes; risk register; procurement; change log; closure/lessons learned.</v>
      </c>
      <c r="M1116" t="str">
        <f>'Huong dan giao do an'!$B$33</f>
        <v>Tuần 1: 07.09–13.09.2026; Tuần 2: 14.09–20.09.2026; Tuần 3: 21.09–27.09.2026; Tuần 4: 28.09–04.10.2026; Tuần 5: 05.10–11.10.2026; Tuần 6: 12.10–18.10.2026; Tuần 7: 19.10–25.10.2026; Tuần 8: 26.10–01.11.2026.</v>
      </c>
      <c r="N11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6" s="17" t="str">
        <f t="shared" si="17"/>
        <v>Còn trống</v>
      </c>
    </row>
    <row r="1117" spans="1:16" x14ac:dyDescent="0.3">
      <c r="A1117">
        <v>1116</v>
      </c>
      <c r="B1117" t="s">
        <v>2544</v>
      </c>
      <c r="C1117" t="s">
        <v>2598</v>
      </c>
      <c r="D1117" t="s">
        <v>2599</v>
      </c>
      <c r="E1117" t="s">
        <v>26</v>
      </c>
      <c r="F1117" t="s">
        <v>2547</v>
      </c>
      <c r="G1117" t="s">
        <v>2600</v>
      </c>
      <c r="H1117" t="str">
        <f>'Huong dan giao do an'!$B$14</f>
        <v>5 SV (vai trò chính): 1 PM/Scrum Master kiêm Integration; 2 BA/PO; 3 UI-UX + Frontend; 4 Backend/API + DevOps; 5 Database + QA/Tester. Mỗi SV có nhiệm vụ phụ và minh chứng cá nhân.</v>
      </c>
      <c r="I1117" t="s">
        <v>22</v>
      </c>
      <c r="J1117" t="s">
        <v>2549</v>
      </c>
      <c r="K1117" t="str">
        <f>IF(I1117="Trung bình",'Huong dan giao do an'!$B$8,IF(I1117="Khá",'Huong dan giao do an'!$B$9,'Huong dan giao do an'!$B$10))</f>
        <v>Tối thiểu 4 actor; 10-14 use case; 8-12 bảng; 3 quy trình lõi; phân quyền chi tiết; 2 báo cáo; tích hợp 1 dịch vụ; &gt;=35 test case; CI/CD hoặc deploy cloud.</v>
      </c>
      <c r="L1117" t="str">
        <f>'Huong dan giao do an'!$B$31</f>
        <v>Bắt buộc: Charter/PMP; SRS + scope/WBS; Gantt/baseline; effort-cost budget; RACI/timesheet; quality-test-defect; communication/minutes; risk register; procurement; change log; closure/lessons learned.</v>
      </c>
      <c r="M1117" t="str">
        <f>'Huong dan giao do an'!$B$33</f>
        <v>Tuần 1: 07.09–13.09.2026; Tuần 2: 14.09–20.09.2026; Tuần 3: 21.09–27.09.2026; Tuần 4: 28.09–04.10.2026; Tuần 5: 05.10–11.10.2026; Tuần 6: 12.10–18.10.2026; Tuần 7: 19.10–25.10.2026; Tuần 8: 26.10–01.11.2026.</v>
      </c>
      <c r="N11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7" s="17" t="str">
        <f t="shared" si="17"/>
        <v>Còn trống</v>
      </c>
    </row>
    <row r="1118" spans="1:16" x14ac:dyDescent="0.3">
      <c r="A1118">
        <v>1117</v>
      </c>
      <c r="B1118" t="s">
        <v>2544</v>
      </c>
      <c r="C1118" t="s">
        <v>2601</v>
      </c>
      <c r="D1118" t="s">
        <v>2602</v>
      </c>
      <c r="E1118" t="s">
        <v>33</v>
      </c>
      <c r="F1118" t="s">
        <v>2552</v>
      </c>
      <c r="G1118" t="s">
        <v>2603</v>
      </c>
      <c r="H1118" t="str">
        <f>'Huong dan giao do an'!$B$14</f>
        <v>5 SV (vai trò chính): 1 PM/Scrum Master kiêm Integration; 2 BA/PO; 3 UI-UX + Frontend; 4 Backend/API + DevOps; 5 Database + QA/Tester. Mỗi SV có nhiệm vụ phụ và minh chứng cá nhân.</v>
      </c>
      <c r="I1118" t="s">
        <v>29</v>
      </c>
      <c r="J1118" t="s">
        <v>2554</v>
      </c>
      <c r="K1118" t="str">
        <f>IF(I1118="Trung bình",'Huong dan giao do an'!$B$8,IF(I1118="Khá",'Huong dan giao do an'!$B$9,'Huong dan giao do an'!$B$10))</f>
        <v>Tối thiểu 5 actor; 14-18 use case; 10-15 bảng; 4 quy trình; tích hợp ngoài/realtime hoặc xử lý nâng cao; 3 báo cáo; &gt;=45 test case; logging, backup và deploy.</v>
      </c>
      <c r="L1118" t="str">
        <f>'Huong dan giao do an'!$B$31</f>
        <v>Bắt buộc: Charter/PMP; SRS + scope/WBS; Gantt/baseline; effort-cost budget; RACI/timesheet; quality-test-defect; communication/minutes; risk register; procurement; change log; closure/lessons learned.</v>
      </c>
      <c r="M1118" t="str">
        <f>'Huong dan giao do an'!$B$33</f>
        <v>Tuần 1: 07.09–13.09.2026; Tuần 2: 14.09–20.09.2026; Tuần 3: 21.09–27.09.2026; Tuần 4: 28.09–04.10.2026; Tuần 5: 05.10–11.10.2026; Tuần 6: 12.10–18.10.2026; Tuần 7: 19.10–25.10.2026; Tuần 8: 26.10–01.11.2026.</v>
      </c>
      <c r="N11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8" s="17" t="str">
        <f t="shared" si="17"/>
        <v>Còn trống</v>
      </c>
    </row>
    <row r="1119" spans="1:16" x14ac:dyDescent="0.3">
      <c r="A1119">
        <v>1118</v>
      </c>
      <c r="B1119" t="s">
        <v>2544</v>
      </c>
      <c r="C1119" t="s">
        <v>2604</v>
      </c>
      <c r="D1119" t="s">
        <v>2605</v>
      </c>
      <c r="E1119" t="s">
        <v>40</v>
      </c>
      <c r="F1119" t="s">
        <v>2557</v>
      </c>
      <c r="G1119" t="s">
        <v>2606</v>
      </c>
      <c r="H1119" t="str">
        <f>'Huong dan giao do an'!$B$14</f>
        <v>5 SV (vai trò chính): 1 PM/Scrum Master kiêm Integration; 2 BA/PO; 3 UI-UX + Frontend; 4 Backend/API + DevOps; 5 Database + QA/Tester. Mỗi SV có nhiệm vụ phụ và minh chứng cá nhân.</v>
      </c>
      <c r="I1119" t="s">
        <v>36</v>
      </c>
      <c r="J1119" t="s">
        <v>2559</v>
      </c>
      <c r="K1119" t="str">
        <f>IF(I1119="Trung bình",'Huong dan giao do an'!$B$8,IF(I1119="Khá",'Huong dan giao do an'!$B$9,'Huong dan giao do an'!$B$10))</f>
        <v>Tối thiểu 3 actor; 8-10 use case; 6-8 bảng dữ liệu; 2 quy trình lõi; đăng nhập/RBAC; 1 dashboard; 1 báo cáo; &gt;=25 test case; triển khai bản demo.</v>
      </c>
      <c r="L1119" t="str">
        <f>'Huong dan giao do an'!$B$31</f>
        <v>Bắt buộc: Charter/PMP; SRS + scope/WBS; Gantt/baseline; effort-cost budget; RACI/timesheet; quality-test-defect; communication/minutes; risk register; procurement; change log; closure/lessons learned.</v>
      </c>
      <c r="M1119" t="str">
        <f>'Huong dan giao do an'!$B$33</f>
        <v>Tuần 1: 07.09–13.09.2026; Tuần 2: 14.09–20.09.2026; Tuần 3: 21.09–27.09.2026; Tuần 4: 28.09–04.10.2026; Tuần 5: 05.10–11.10.2026; Tuần 6: 12.10–18.10.2026; Tuần 7: 19.10–25.10.2026; Tuần 8: 26.10–01.11.2026.</v>
      </c>
      <c r="N11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19" s="17" t="str">
        <f t="shared" si="17"/>
        <v>Còn trống</v>
      </c>
    </row>
    <row r="1120" spans="1:16" x14ac:dyDescent="0.3">
      <c r="A1120">
        <v>1119</v>
      </c>
      <c r="B1120" t="s">
        <v>2544</v>
      </c>
      <c r="C1120" t="s">
        <v>2607</v>
      </c>
      <c r="D1120" t="s">
        <v>2608</v>
      </c>
      <c r="E1120" t="s">
        <v>45</v>
      </c>
      <c r="F1120" t="s">
        <v>2562</v>
      </c>
      <c r="G1120" t="s">
        <v>2609</v>
      </c>
      <c r="H1120" t="str">
        <f>'Huong dan giao do an'!$B$14</f>
        <v>5 SV (vai trò chính): 1 PM/Scrum Master kiêm Integration; 2 BA/PO; 3 UI-UX + Frontend; 4 Backend/API + DevOps; 5 Database + QA/Tester. Mỗi SV có nhiệm vụ phụ và minh chứng cá nhân.</v>
      </c>
      <c r="I1120" t="s">
        <v>22</v>
      </c>
      <c r="J1120" t="s">
        <v>2549</v>
      </c>
      <c r="K1120" t="str">
        <f>IF(I1120="Trung bình",'Huong dan giao do an'!$B$8,IF(I1120="Khá",'Huong dan giao do an'!$B$9,'Huong dan giao do an'!$B$10))</f>
        <v>Tối thiểu 4 actor; 10-14 use case; 8-12 bảng; 3 quy trình lõi; phân quyền chi tiết; 2 báo cáo; tích hợp 1 dịch vụ; &gt;=35 test case; CI/CD hoặc deploy cloud.</v>
      </c>
      <c r="L1120" t="str">
        <f>'Huong dan giao do an'!$B$31</f>
        <v>Bắt buộc: Charter/PMP; SRS + scope/WBS; Gantt/baseline; effort-cost budget; RACI/timesheet; quality-test-defect; communication/minutes; risk register; procurement; change log; closure/lessons learned.</v>
      </c>
      <c r="M1120" t="str">
        <f>'Huong dan giao do an'!$B$33</f>
        <v>Tuần 1: 07.09–13.09.2026; Tuần 2: 14.09–20.09.2026; Tuần 3: 21.09–27.09.2026; Tuần 4: 28.09–04.10.2026; Tuần 5: 05.10–11.10.2026; Tuần 6: 12.10–18.10.2026; Tuần 7: 19.10–25.10.2026; Tuần 8: 26.10–01.11.2026.</v>
      </c>
      <c r="N11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0" s="17" t="str">
        <f t="shared" si="17"/>
        <v>Còn trống</v>
      </c>
    </row>
    <row r="1121" spans="1:16" x14ac:dyDescent="0.3">
      <c r="A1121">
        <v>1120</v>
      </c>
      <c r="B1121" t="s">
        <v>2544</v>
      </c>
      <c r="C1121" t="s">
        <v>2610</v>
      </c>
      <c r="D1121" t="s">
        <v>2611</v>
      </c>
      <c r="E1121" t="s">
        <v>19</v>
      </c>
      <c r="F1121" t="s">
        <v>2566</v>
      </c>
      <c r="G1121" t="s">
        <v>2612</v>
      </c>
      <c r="H1121" t="str">
        <f>'Huong dan giao do an'!$B$14</f>
        <v>5 SV (vai trò chính): 1 PM/Scrum Master kiêm Integration; 2 BA/PO; 3 UI-UX + Frontend; 4 Backend/API + DevOps; 5 Database + QA/Tester. Mỗi SV có nhiệm vụ phụ và minh chứng cá nhân.</v>
      </c>
      <c r="I1121" t="s">
        <v>29</v>
      </c>
      <c r="J1121" t="s">
        <v>2554</v>
      </c>
      <c r="K1121" t="str">
        <f>IF(I1121="Trung bình",'Huong dan giao do an'!$B$8,IF(I1121="Khá",'Huong dan giao do an'!$B$9,'Huong dan giao do an'!$B$10))</f>
        <v>Tối thiểu 5 actor; 14-18 use case; 10-15 bảng; 4 quy trình; tích hợp ngoài/realtime hoặc xử lý nâng cao; 3 báo cáo; &gt;=45 test case; logging, backup và deploy.</v>
      </c>
      <c r="L1121" t="str">
        <f>'Huong dan giao do an'!$B$31</f>
        <v>Bắt buộc: Charter/PMP; SRS + scope/WBS; Gantt/baseline; effort-cost budget; RACI/timesheet; quality-test-defect; communication/minutes; risk register; procurement; change log; closure/lessons learned.</v>
      </c>
      <c r="M1121" t="str">
        <f>'Huong dan giao do an'!$B$33</f>
        <v>Tuần 1: 07.09–13.09.2026; Tuần 2: 14.09–20.09.2026; Tuần 3: 21.09–27.09.2026; Tuần 4: 28.09–04.10.2026; Tuần 5: 05.10–11.10.2026; Tuần 6: 12.10–18.10.2026; Tuần 7: 19.10–25.10.2026; Tuần 8: 26.10–01.11.2026.</v>
      </c>
      <c r="N11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1" s="17" t="str">
        <f t="shared" si="17"/>
        <v>Còn trống</v>
      </c>
    </row>
    <row r="1122" spans="1:16" x14ac:dyDescent="0.3">
      <c r="A1122">
        <v>1121</v>
      </c>
      <c r="B1122" t="s">
        <v>2544</v>
      </c>
      <c r="C1122" t="s">
        <v>2613</v>
      </c>
      <c r="D1122" t="s">
        <v>2614</v>
      </c>
      <c r="E1122" t="s">
        <v>26</v>
      </c>
      <c r="F1122" t="s">
        <v>2547</v>
      </c>
      <c r="G1122" t="s">
        <v>2548</v>
      </c>
      <c r="H1122" t="str">
        <f>'Huong dan giao do an'!$B$14</f>
        <v>5 SV (vai trò chính): 1 PM/Scrum Master kiêm Integration; 2 BA/PO; 3 UI-UX + Frontend; 4 Backend/API + DevOps; 5 Database + QA/Tester. Mỗi SV có nhiệm vụ phụ và minh chứng cá nhân.</v>
      </c>
      <c r="I1122" t="s">
        <v>22</v>
      </c>
      <c r="J1122" t="s">
        <v>2549</v>
      </c>
      <c r="K1122" t="str">
        <f>IF(I1122="Trung bình",'Huong dan giao do an'!$B$8,IF(I1122="Khá",'Huong dan giao do an'!$B$9,'Huong dan giao do an'!$B$10))</f>
        <v>Tối thiểu 4 actor; 10-14 use case; 8-12 bảng; 3 quy trình lõi; phân quyền chi tiết; 2 báo cáo; tích hợp 1 dịch vụ; &gt;=35 test case; CI/CD hoặc deploy cloud.</v>
      </c>
      <c r="L1122" t="str">
        <f>'Huong dan giao do an'!$B$31</f>
        <v>Bắt buộc: Charter/PMP; SRS + scope/WBS; Gantt/baseline; effort-cost budget; RACI/timesheet; quality-test-defect; communication/minutes; risk register; procurement; change log; closure/lessons learned.</v>
      </c>
      <c r="M1122" t="str">
        <f>'Huong dan giao do an'!$B$33</f>
        <v>Tuần 1: 07.09–13.09.2026; Tuần 2: 14.09–20.09.2026; Tuần 3: 21.09–27.09.2026; Tuần 4: 28.09–04.10.2026; Tuần 5: 05.10–11.10.2026; Tuần 6: 12.10–18.10.2026; Tuần 7: 19.10–25.10.2026; Tuần 8: 26.10–01.11.2026.</v>
      </c>
      <c r="N11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2" s="17" t="str">
        <f t="shared" si="17"/>
        <v>Còn trống</v>
      </c>
    </row>
    <row r="1123" spans="1:16" x14ac:dyDescent="0.3">
      <c r="A1123">
        <v>1122</v>
      </c>
      <c r="B1123" t="s">
        <v>2544</v>
      </c>
      <c r="C1123" t="s">
        <v>2615</v>
      </c>
      <c r="D1123" t="s">
        <v>2616</v>
      </c>
      <c r="E1123" t="s">
        <v>33</v>
      </c>
      <c r="F1123" t="s">
        <v>2552</v>
      </c>
      <c r="G1123" t="s">
        <v>2553</v>
      </c>
      <c r="H1123" t="str">
        <f>'Huong dan giao do an'!$B$14</f>
        <v>5 SV (vai trò chính): 1 PM/Scrum Master kiêm Integration; 2 BA/PO; 3 UI-UX + Frontend; 4 Backend/API + DevOps; 5 Database + QA/Tester. Mỗi SV có nhiệm vụ phụ và minh chứng cá nhân.</v>
      </c>
      <c r="I1123" t="s">
        <v>29</v>
      </c>
      <c r="J1123" t="s">
        <v>2554</v>
      </c>
      <c r="K1123" t="str">
        <f>IF(I1123="Trung bình",'Huong dan giao do an'!$B$8,IF(I1123="Khá",'Huong dan giao do an'!$B$9,'Huong dan giao do an'!$B$10))</f>
        <v>Tối thiểu 5 actor; 14-18 use case; 10-15 bảng; 4 quy trình; tích hợp ngoài/realtime hoặc xử lý nâng cao; 3 báo cáo; &gt;=45 test case; logging, backup và deploy.</v>
      </c>
      <c r="L1123" t="str">
        <f>'Huong dan giao do an'!$B$31</f>
        <v>Bắt buộc: Charter/PMP; SRS + scope/WBS; Gantt/baseline; effort-cost budget; RACI/timesheet; quality-test-defect; communication/minutes; risk register; procurement; change log; closure/lessons learned.</v>
      </c>
      <c r="M1123" t="str">
        <f>'Huong dan giao do an'!$B$33</f>
        <v>Tuần 1: 07.09–13.09.2026; Tuần 2: 14.09–20.09.2026; Tuần 3: 21.09–27.09.2026; Tuần 4: 28.09–04.10.2026; Tuần 5: 05.10–11.10.2026; Tuần 6: 12.10–18.10.2026; Tuần 7: 19.10–25.10.2026; Tuần 8: 26.10–01.11.2026.</v>
      </c>
      <c r="N11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3" s="17" t="str">
        <f t="shared" si="17"/>
        <v>Còn trống</v>
      </c>
    </row>
    <row r="1124" spans="1:16" x14ac:dyDescent="0.3">
      <c r="A1124">
        <v>1123</v>
      </c>
      <c r="B1124" t="s">
        <v>2544</v>
      </c>
      <c r="C1124" t="s">
        <v>2617</v>
      </c>
      <c r="D1124" t="s">
        <v>2618</v>
      </c>
      <c r="E1124" t="s">
        <v>40</v>
      </c>
      <c r="F1124" t="s">
        <v>2557</v>
      </c>
      <c r="G1124" t="s">
        <v>2558</v>
      </c>
      <c r="H1124" t="str">
        <f>'Huong dan giao do an'!$B$14</f>
        <v>5 SV (vai trò chính): 1 PM/Scrum Master kiêm Integration; 2 BA/PO; 3 UI-UX + Frontend; 4 Backend/API + DevOps; 5 Database + QA/Tester. Mỗi SV có nhiệm vụ phụ và minh chứng cá nhân.</v>
      </c>
      <c r="I1124" t="s">
        <v>36</v>
      </c>
      <c r="J1124" t="s">
        <v>2559</v>
      </c>
      <c r="K1124" t="str">
        <f>IF(I1124="Trung bình",'Huong dan giao do an'!$B$8,IF(I1124="Khá",'Huong dan giao do an'!$B$9,'Huong dan giao do an'!$B$10))</f>
        <v>Tối thiểu 3 actor; 8-10 use case; 6-8 bảng dữ liệu; 2 quy trình lõi; đăng nhập/RBAC; 1 dashboard; 1 báo cáo; &gt;=25 test case; triển khai bản demo.</v>
      </c>
      <c r="L1124" t="str">
        <f>'Huong dan giao do an'!$B$31</f>
        <v>Bắt buộc: Charter/PMP; SRS + scope/WBS; Gantt/baseline; effort-cost budget; RACI/timesheet; quality-test-defect; communication/minutes; risk register; procurement; change log; closure/lessons learned.</v>
      </c>
      <c r="M1124" t="str">
        <f>'Huong dan giao do an'!$B$33</f>
        <v>Tuần 1: 07.09–13.09.2026; Tuần 2: 14.09–20.09.2026; Tuần 3: 21.09–27.09.2026; Tuần 4: 28.09–04.10.2026; Tuần 5: 05.10–11.10.2026; Tuần 6: 12.10–18.10.2026; Tuần 7: 19.10–25.10.2026; Tuần 8: 26.10–01.11.2026.</v>
      </c>
      <c r="N11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4" s="17" t="str">
        <f t="shared" si="17"/>
        <v>Còn trống</v>
      </c>
    </row>
    <row r="1125" spans="1:16" x14ac:dyDescent="0.3">
      <c r="A1125">
        <v>1124</v>
      </c>
      <c r="B1125" t="s">
        <v>2544</v>
      </c>
      <c r="C1125" t="s">
        <v>2619</v>
      </c>
      <c r="D1125" t="s">
        <v>2620</v>
      </c>
      <c r="E1125" t="s">
        <v>45</v>
      </c>
      <c r="F1125" t="s">
        <v>2562</v>
      </c>
      <c r="G1125" t="s">
        <v>2563</v>
      </c>
      <c r="H1125" t="str">
        <f>'Huong dan giao do an'!$B$14</f>
        <v>5 SV (vai trò chính): 1 PM/Scrum Master kiêm Integration; 2 BA/PO; 3 UI-UX + Frontend; 4 Backend/API + DevOps; 5 Database + QA/Tester. Mỗi SV có nhiệm vụ phụ và minh chứng cá nhân.</v>
      </c>
      <c r="I1125" t="s">
        <v>22</v>
      </c>
      <c r="J1125" t="s">
        <v>2549</v>
      </c>
      <c r="K1125" t="str">
        <f>IF(I1125="Trung bình",'Huong dan giao do an'!$B$8,IF(I1125="Khá",'Huong dan giao do an'!$B$9,'Huong dan giao do an'!$B$10))</f>
        <v>Tối thiểu 4 actor; 10-14 use case; 8-12 bảng; 3 quy trình lõi; phân quyền chi tiết; 2 báo cáo; tích hợp 1 dịch vụ; &gt;=35 test case; CI/CD hoặc deploy cloud.</v>
      </c>
      <c r="L1125" t="str">
        <f>'Huong dan giao do an'!$B$31</f>
        <v>Bắt buộc: Charter/PMP; SRS + scope/WBS; Gantt/baseline; effort-cost budget; RACI/timesheet; quality-test-defect; communication/minutes; risk register; procurement; change log; closure/lessons learned.</v>
      </c>
      <c r="M1125" t="str">
        <f>'Huong dan giao do an'!$B$33</f>
        <v>Tuần 1: 07.09–13.09.2026; Tuần 2: 14.09–20.09.2026; Tuần 3: 21.09–27.09.2026; Tuần 4: 28.09–04.10.2026; Tuần 5: 05.10–11.10.2026; Tuần 6: 12.10–18.10.2026; Tuần 7: 19.10–25.10.2026; Tuần 8: 26.10–01.11.2026.</v>
      </c>
      <c r="N11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5" s="17" t="str">
        <f t="shared" si="17"/>
        <v>Còn trống</v>
      </c>
    </row>
    <row r="1126" spans="1:16" x14ac:dyDescent="0.3">
      <c r="A1126">
        <v>1125</v>
      </c>
      <c r="B1126" t="s">
        <v>2544</v>
      </c>
      <c r="C1126" t="s">
        <v>2621</v>
      </c>
      <c r="D1126" t="s">
        <v>2622</v>
      </c>
      <c r="E1126" t="s">
        <v>19</v>
      </c>
      <c r="F1126" t="s">
        <v>2566</v>
      </c>
      <c r="G1126" t="s">
        <v>2567</v>
      </c>
      <c r="H1126" t="str">
        <f>'Huong dan giao do an'!$B$14</f>
        <v>5 SV (vai trò chính): 1 PM/Scrum Master kiêm Integration; 2 BA/PO; 3 UI-UX + Frontend; 4 Backend/API + DevOps; 5 Database + QA/Tester. Mỗi SV có nhiệm vụ phụ và minh chứng cá nhân.</v>
      </c>
      <c r="I1126" t="s">
        <v>29</v>
      </c>
      <c r="J1126" t="s">
        <v>2554</v>
      </c>
      <c r="K1126" t="str">
        <f>IF(I1126="Trung bình",'Huong dan giao do an'!$B$8,IF(I1126="Khá",'Huong dan giao do an'!$B$9,'Huong dan giao do an'!$B$10))</f>
        <v>Tối thiểu 5 actor; 14-18 use case; 10-15 bảng; 4 quy trình; tích hợp ngoài/realtime hoặc xử lý nâng cao; 3 báo cáo; &gt;=45 test case; logging, backup và deploy.</v>
      </c>
      <c r="L1126" t="str">
        <f>'Huong dan giao do an'!$B$31</f>
        <v>Bắt buộc: Charter/PMP; SRS + scope/WBS; Gantt/baseline; effort-cost budget; RACI/timesheet; quality-test-defect; communication/minutes; risk register; procurement; change log; closure/lessons learned.</v>
      </c>
      <c r="M1126" t="str">
        <f>'Huong dan giao do an'!$B$33</f>
        <v>Tuần 1: 07.09–13.09.2026; Tuần 2: 14.09–20.09.2026; Tuần 3: 21.09–27.09.2026; Tuần 4: 28.09–04.10.2026; Tuần 5: 05.10–11.10.2026; Tuần 6: 12.10–18.10.2026; Tuần 7: 19.10–25.10.2026; Tuần 8: 26.10–01.11.2026.</v>
      </c>
      <c r="N11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6" s="17" t="str">
        <f t="shared" si="17"/>
        <v>Còn trống</v>
      </c>
    </row>
    <row r="1127" spans="1:16" x14ac:dyDescent="0.3">
      <c r="A1127">
        <v>1126</v>
      </c>
      <c r="B1127" t="s">
        <v>2544</v>
      </c>
      <c r="C1127" t="s">
        <v>2623</v>
      </c>
      <c r="D1127" t="s">
        <v>2624</v>
      </c>
      <c r="E1127" t="s">
        <v>26</v>
      </c>
      <c r="F1127" t="s">
        <v>2547</v>
      </c>
      <c r="G1127" t="s">
        <v>2570</v>
      </c>
      <c r="H1127" t="str">
        <f>'Huong dan giao do an'!$B$14</f>
        <v>5 SV (vai trò chính): 1 PM/Scrum Master kiêm Integration; 2 BA/PO; 3 UI-UX + Frontend; 4 Backend/API + DevOps; 5 Database + QA/Tester. Mỗi SV có nhiệm vụ phụ và minh chứng cá nhân.</v>
      </c>
      <c r="I1127" t="s">
        <v>36</v>
      </c>
      <c r="J1127" t="s">
        <v>2559</v>
      </c>
      <c r="K1127" t="str">
        <f>IF(I1127="Trung bình",'Huong dan giao do an'!$B$8,IF(I1127="Khá",'Huong dan giao do an'!$B$9,'Huong dan giao do an'!$B$10))</f>
        <v>Tối thiểu 3 actor; 8-10 use case; 6-8 bảng dữ liệu; 2 quy trình lõi; đăng nhập/RBAC; 1 dashboard; 1 báo cáo; &gt;=25 test case; triển khai bản demo.</v>
      </c>
      <c r="L1127" t="str">
        <f>'Huong dan giao do an'!$B$31</f>
        <v>Bắt buộc: Charter/PMP; SRS + scope/WBS; Gantt/baseline; effort-cost budget; RACI/timesheet; quality-test-defect; communication/minutes; risk register; procurement; change log; closure/lessons learned.</v>
      </c>
      <c r="M1127" t="str">
        <f>'Huong dan giao do an'!$B$33</f>
        <v>Tuần 1: 07.09–13.09.2026; Tuần 2: 14.09–20.09.2026; Tuần 3: 21.09–27.09.2026; Tuần 4: 28.09–04.10.2026; Tuần 5: 05.10–11.10.2026; Tuần 6: 12.10–18.10.2026; Tuần 7: 19.10–25.10.2026; Tuần 8: 26.10–01.11.2026.</v>
      </c>
      <c r="N11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7" s="17" t="str">
        <f t="shared" si="17"/>
        <v>Còn trống</v>
      </c>
    </row>
    <row r="1128" spans="1:16" x14ac:dyDescent="0.3">
      <c r="A1128">
        <v>1127</v>
      </c>
      <c r="B1128" t="s">
        <v>2544</v>
      </c>
      <c r="C1128" t="s">
        <v>2625</v>
      </c>
      <c r="D1128" t="s">
        <v>2626</v>
      </c>
      <c r="E1128" t="s">
        <v>33</v>
      </c>
      <c r="F1128" t="s">
        <v>2552</v>
      </c>
      <c r="G1128" t="s">
        <v>2573</v>
      </c>
      <c r="H1128" t="str">
        <f>'Huong dan giao do an'!$B$14</f>
        <v>5 SV (vai trò chính): 1 PM/Scrum Master kiêm Integration; 2 BA/PO; 3 UI-UX + Frontend; 4 Backend/API + DevOps; 5 Database + QA/Tester. Mỗi SV có nhiệm vụ phụ và minh chứng cá nhân.</v>
      </c>
      <c r="I1128" t="s">
        <v>22</v>
      </c>
      <c r="J1128" t="s">
        <v>2549</v>
      </c>
      <c r="K1128" t="str">
        <f>IF(I1128="Trung bình",'Huong dan giao do an'!$B$8,IF(I1128="Khá",'Huong dan giao do an'!$B$9,'Huong dan giao do an'!$B$10))</f>
        <v>Tối thiểu 4 actor; 10-14 use case; 8-12 bảng; 3 quy trình lõi; phân quyền chi tiết; 2 báo cáo; tích hợp 1 dịch vụ; &gt;=35 test case; CI/CD hoặc deploy cloud.</v>
      </c>
      <c r="L1128" t="str">
        <f>'Huong dan giao do an'!$B$31</f>
        <v>Bắt buộc: Charter/PMP; SRS + scope/WBS; Gantt/baseline; effort-cost budget; RACI/timesheet; quality-test-defect; communication/minutes; risk register; procurement; change log; closure/lessons learned.</v>
      </c>
      <c r="M1128" t="str">
        <f>'Huong dan giao do an'!$B$33</f>
        <v>Tuần 1: 07.09–13.09.2026; Tuần 2: 14.09–20.09.2026; Tuần 3: 21.09–27.09.2026; Tuần 4: 28.09–04.10.2026; Tuần 5: 05.10–11.10.2026; Tuần 6: 12.10–18.10.2026; Tuần 7: 19.10–25.10.2026; Tuần 8: 26.10–01.11.2026.</v>
      </c>
      <c r="N11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8" s="17" t="str">
        <f t="shared" si="17"/>
        <v>Còn trống</v>
      </c>
    </row>
    <row r="1129" spans="1:16" x14ac:dyDescent="0.3">
      <c r="A1129">
        <v>1128</v>
      </c>
      <c r="B1129" t="s">
        <v>2544</v>
      </c>
      <c r="C1129" t="s">
        <v>2627</v>
      </c>
      <c r="D1129" t="s">
        <v>2628</v>
      </c>
      <c r="E1129" t="s">
        <v>40</v>
      </c>
      <c r="F1129" t="s">
        <v>2557</v>
      </c>
      <c r="G1129" t="s">
        <v>2576</v>
      </c>
      <c r="H1129" t="str">
        <f>'Huong dan giao do an'!$B$14</f>
        <v>5 SV (vai trò chính): 1 PM/Scrum Master kiêm Integration; 2 BA/PO; 3 UI-UX + Frontend; 4 Backend/API + DevOps; 5 Database + QA/Tester. Mỗi SV có nhiệm vụ phụ và minh chứng cá nhân.</v>
      </c>
      <c r="I1129" t="s">
        <v>29</v>
      </c>
      <c r="J1129" t="s">
        <v>2554</v>
      </c>
      <c r="K1129" t="str">
        <f>IF(I1129="Trung bình",'Huong dan giao do an'!$B$8,IF(I1129="Khá",'Huong dan giao do an'!$B$9,'Huong dan giao do an'!$B$10))</f>
        <v>Tối thiểu 5 actor; 14-18 use case; 10-15 bảng; 4 quy trình; tích hợp ngoài/realtime hoặc xử lý nâng cao; 3 báo cáo; &gt;=45 test case; logging, backup và deploy.</v>
      </c>
      <c r="L1129" t="str">
        <f>'Huong dan giao do an'!$B$31</f>
        <v>Bắt buộc: Charter/PMP; SRS + scope/WBS; Gantt/baseline; effort-cost budget; RACI/timesheet; quality-test-defect; communication/minutes; risk register; procurement; change log; closure/lessons learned.</v>
      </c>
      <c r="M1129" t="str">
        <f>'Huong dan giao do an'!$B$33</f>
        <v>Tuần 1: 07.09–13.09.2026; Tuần 2: 14.09–20.09.2026; Tuần 3: 21.09–27.09.2026; Tuần 4: 28.09–04.10.2026; Tuần 5: 05.10–11.10.2026; Tuần 6: 12.10–18.10.2026; Tuần 7: 19.10–25.10.2026; Tuần 8: 26.10–01.11.2026.</v>
      </c>
      <c r="N11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29" s="17" t="str">
        <f t="shared" si="17"/>
        <v>Còn trống</v>
      </c>
    </row>
    <row r="1130" spans="1:16" x14ac:dyDescent="0.3">
      <c r="A1130">
        <v>1129</v>
      </c>
      <c r="B1130" t="s">
        <v>2544</v>
      </c>
      <c r="C1130" t="s">
        <v>2629</v>
      </c>
      <c r="D1130" t="s">
        <v>2630</v>
      </c>
      <c r="E1130" t="s">
        <v>45</v>
      </c>
      <c r="F1130" t="s">
        <v>2562</v>
      </c>
      <c r="G1130" t="s">
        <v>2579</v>
      </c>
      <c r="H1130" t="str">
        <f>'Huong dan giao do an'!$B$14</f>
        <v>5 SV (vai trò chính): 1 PM/Scrum Master kiêm Integration; 2 BA/PO; 3 UI-UX + Frontend; 4 Backend/API + DevOps; 5 Database + QA/Tester. Mỗi SV có nhiệm vụ phụ và minh chứng cá nhân.</v>
      </c>
      <c r="I1130" t="s">
        <v>36</v>
      </c>
      <c r="J1130" t="s">
        <v>2559</v>
      </c>
      <c r="K1130" t="str">
        <f>IF(I1130="Trung bình",'Huong dan giao do an'!$B$8,IF(I1130="Khá",'Huong dan giao do an'!$B$9,'Huong dan giao do an'!$B$10))</f>
        <v>Tối thiểu 3 actor; 8-10 use case; 6-8 bảng dữ liệu; 2 quy trình lõi; đăng nhập/RBAC; 1 dashboard; 1 báo cáo; &gt;=25 test case; triển khai bản demo.</v>
      </c>
      <c r="L1130" t="str">
        <f>'Huong dan giao do an'!$B$31</f>
        <v>Bắt buộc: Charter/PMP; SRS + scope/WBS; Gantt/baseline; effort-cost budget; RACI/timesheet; quality-test-defect; communication/minutes; risk register; procurement; change log; closure/lessons learned.</v>
      </c>
      <c r="M1130" t="str">
        <f>'Huong dan giao do an'!$B$33</f>
        <v>Tuần 1: 07.09–13.09.2026; Tuần 2: 14.09–20.09.2026; Tuần 3: 21.09–27.09.2026; Tuần 4: 28.09–04.10.2026; Tuần 5: 05.10–11.10.2026; Tuần 6: 12.10–18.10.2026; Tuần 7: 19.10–25.10.2026; Tuần 8: 26.10–01.11.2026.</v>
      </c>
      <c r="N11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0" s="17" t="str">
        <f t="shared" si="17"/>
        <v>Còn trống</v>
      </c>
    </row>
    <row r="1131" spans="1:16" x14ac:dyDescent="0.3">
      <c r="A1131">
        <v>1130</v>
      </c>
      <c r="B1131" t="s">
        <v>2544</v>
      </c>
      <c r="C1131" t="s">
        <v>2631</v>
      </c>
      <c r="D1131" t="s">
        <v>2632</v>
      </c>
      <c r="E1131" t="s">
        <v>19</v>
      </c>
      <c r="F1131" t="s">
        <v>2566</v>
      </c>
      <c r="G1131" t="s">
        <v>2582</v>
      </c>
      <c r="H1131" t="str">
        <f>'Huong dan giao do an'!$B$14</f>
        <v>5 SV (vai trò chính): 1 PM/Scrum Master kiêm Integration; 2 BA/PO; 3 UI-UX + Frontend; 4 Backend/API + DevOps; 5 Database + QA/Tester. Mỗi SV có nhiệm vụ phụ và minh chứng cá nhân.</v>
      </c>
      <c r="I1131" t="s">
        <v>22</v>
      </c>
      <c r="J1131" t="s">
        <v>2549</v>
      </c>
      <c r="K1131" t="str">
        <f>IF(I1131="Trung bình",'Huong dan giao do an'!$B$8,IF(I1131="Khá",'Huong dan giao do an'!$B$9,'Huong dan giao do an'!$B$10))</f>
        <v>Tối thiểu 4 actor; 10-14 use case; 8-12 bảng; 3 quy trình lõi; phân quyền chi tiết; 2 báo cáo; tích hợp 1 dịch vụ; &gt;=35 test case; CI/CD hoặc deploy cloud.</v>
      </c>
      <c r="L1131" t="str">
        <f>'Huong dan giao do an'!$B$31</f>
        <v>Bắt buộc: Charter/PMP; SRS + scope/WBS; Gantt/baseline; effort-cost budget; RACI/timesheet; quality-test-defect; communication/minutes; risk register; procurement; change log; closure/lessons learned.</v>
      </c>
      <c r="M1131" t="str">
        <f>'Huong dan giao do an'!$B$33</f>
        <v>Tuần 1: 07.09–13.09.2026; Tuần 2: 14.09–20.09.2026; Tuần 3: 21.09–27.09.2026; Tuần 4: 28.09–04.10.2026; Tuần 5: 05.10–11.10.2026; Tuần 6: 12.10–18.10.2026; Tuần 7: 19.10–25.10.2026; Tuần 8: 26.10–01.11.2026.</v>
      </c>
      <c r="N11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1" s="17" t="str">
        <f t="shared" si="17"/>
        <v>Còn trống</v>
      </c>
    </row>
    <row r="1132" spans="1:16" x14ac:dyDescent="0.3">
      <c r="A1132">
        <v>1131</v>
      </c>
      <c r="B1132" t="s">
        <v>2544</v>
      </c>
      <c r="C1132" t="s">
        <v>2633</v>
      </c>
      <c r="D1132" t="s">
        <v>2634</v>
      </c>
      <c r="E1132" t="s">
        <v>26</v>
      </c>
      <c r="F1132" t="s">
        <v>2547</v>
      </c>
      <c r="G1132" t="s">
        <v>2585</v>
      </c>
      <c r="H1132" t="str">
        <f>'Huong dan giao do an'!$B$14</f>
        <v>5 SV (vai trò chính): 1 PM/Scrum Master kiêm Integration; 2 BA/PO; 3 UI-UX + Frontend; 4 Backend/API + DevOps; 5 Database + QA/Tester. Mỗi SV có nhiệm vụ phụ và minh chứng cá nhân.</v>
      </c>
      <c r="I1132" t="s">
        <v>29</v>
      </c>
      <c r="J1132" t="s">
        <v>2554</v>
      </c>
      <c r="K1132" t="str">
        <f>IF(I1132="Trung bình",'Huong dan giao do an'!$B$8,IF(I1132="Khá",'Huong dan giao do an'!$B$9,'Huong dan giao do an'!$B$10))</f>
        <v>Tối thiểu 5 actor; 14-18 use case; 10-15 bảng; 4 quy trình; tích hợp ngoài/realtime hoặc xử lý nâng cao; 3 báo cáo; &gt;=45 test case; logging, backup và deploy.</v>
      </c>
      <c r="L1132" t="str">
        <f>'Huong dan giao do an'!$B$31</f>
        <v>Bắt buộc: Charter/PMP; SRS + scope/WBS; Gantt/baseline; effort-cost budget; RACI/timesheet; quality-test-defect; communication/minutes; risk register; procurement; change log; closure/lessons learned.</v>
      </c>
      <c r="M1132" t="str">
        <f>'Huong dan giao do an'!$B$33</f>
        <v>Tuần 1: 07.09–13.09.2026; Tuần 2: 14.09–20.09.2026; Tuần 3: 21.09–27.09.2026; Tuần 4: 28.09–04.10.2026; Tuần 5: 05.10–11.10.2026; Tuần 6: 12.10–18.10.2026; Tuần 7: 19.10–25.10.2026; Tuần 8: 26.10–01.11.2026.</v>
      </c>
      <c r="N11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2" s="17" t="str">
        <f t="shared" si="17"/>
        <v>Còn trống</v>
      </c>
    </row>
    <row r="1133" spans="1:16" x14ac:dyDescent="0.3">
      <c r="A1133">
        <v>1132</v>
      </c>
      <c r="B1133" t="s">
        <v>2544</v>
      </c>
      <c r="C1133" t="s">
        <v>2635</v>
      </c>
      <c r="D1133" t="s">
        <v>2636</v>
      </c>
      <c r="E1133" t="s">
        <v>33</v>
      </c>
      <c r="F1133" t="s">
        <v>2552</v>
      </c>
      <c r="G1133" t="s">
        <v>2588</v>
      </c>
      <c r="H1133" t="str">
        <f>'Huong dan giao do an'!$B$14</f>
        <v>5 SV (vai trò chính): 1 PM/Scrum Master kiêm Integration; 2 BA/PO; 3 UI-UX + Frontend; 4 Backend/API + DevOps; 5 Database + QA/Tester. Mỗi SV có nhiệm vụ phụ và minh chứng cá nhân.</v>
      </c>
      <c r="I1133" t="s">
        <v>36</v>
      </c>
      <c r="J1133" t="s">
        <v>2559</v>
      </c>
      <c r="K1133" t="str">
        <f>IF(I1133="Trung bình",'Huong dan giao do an'!$B$8,IF(I1133="Khá",'Huong dan giao do an'!$B$9,'Huong dan giao do an'!$B$10))</f>
        <v>Tối thiểu 3 actor; 8-10 use case; 6-8 bảng dữ liệu; 2 quy trình lõi; đăng nhập/RBAC; 1 dashboard; 1 báo cáo; &gt;=25 test case; triển khai bản demo.</v>
      </c>
      <c r="L1133" t="str">
        <f>'Huong dan giao do an'!$B$31</f>
        <v>Bắt buộc: Charter/PMP; SRS + scope/WBS; Gantt/baseline; effort-cost budget; RACI/timesheet; quality-test-defect; communication/minutes; risk register; procurement; change log; closure/lessons learned.</v>
      </c>
      <c r="M1133" t="str">
        <f>'Huong dan giao do an'!$B$33</f>
        <v>Tuần 1: 07.09–13.09.2026; Tuần 2: 14.09–20.09.2026; Tuần 3: 21.09–27.09.2026; Tuần 4: 28.09–04.10.2026; Tuần 5: 05.10–11.10.2026; Tuần 6: 12.10–18.10.2026; Tuần 7: 19.10–25.10.2026; Tuần 8: 26.10–01.11.2026.</v>
      </c>
      <c r="N11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3" s="17" t="str">
        <f t="shared" si="17"/>
        <v>Còn trống</v>
      </c>
    </row>
    <row r="1134" spans="1:16" x14ac:dyDescent="0.3">
      <c r="A1134">
        <v>1133</v>
      </c>
      <c r="B1134" t="s">
        <v>2544</v>
      </c>
      <c r="C1134" t="s">
        <v>2637</v>
      </c>
      <c r="D1134" t="s">
        <v>2638</v>
      </c>
      <c r="E1134" t="s">
        <v>40</v>
      </c>
      <c r="F1134" t="s">
        <v>2557</v>
      </c>
      <c r="G1134" t="s">
        <v>2591</v>
      </c>
      <c r="H1134" t="str">
        <f>'Huong dan giao do an'!$B$14</f>
        <v>5 SV (vai trò chính): 1 PM/Scrum Master kiêm Integration; 2 BA/PO; 3 UI-UX + Frontend; 4 Backend/API + DevOps; 5 Database + QA/Tester. Mỗi SV có nhiệm vụ phụ và minh chứng cá nhân.</v>
      </c>
      <c r="I1134" t="s">
        <v>22</v>
      </c>
      <c r="J1134" t="s">
        <v>2549</v>
      </c>
      <c r="K1134" t="str">
        <f>IF(I1134="Trung bình",'Huong dan giao do an'!$B$8,IF(I1134="Khá",'Huong dan giao do an'!$B$9,'Huong dan giao do an'!$B$10))</f>
        <v>Tối thiểu 4 actor; 10-14 use case; 8-12 bảng; 3 quy trình lõi; phân quyền chi tiết; 2 báo cáo; tích hợp 1 dịch vụ; &gt;=35 test case; CI/CD hoặc deploy cloud.</v>
      </c>
      <c r="L1134" t="str">
        <f>'Huong dan giao do an'!$B$31</f>
        <v>Bắt buộc: Charter/PMP; SRS + scope/WBS; Gantt/baseline; effort-cost budget; RACI/timesheet; quality-test-defect; communication/minutes; risk register; procurement; change log; closure/lessons learned.</v>
      </c>
      <c r="M1134" t="str">
        <f>'Huong dan giao do an'!$B$33</f>
        <v>Tuần 1: 07.09–13.09.2026; Tuần 2: 14.09–20.09.2026; Tuần 3: 21.09–27.09.2026; Tuần 4: 28.09–04.10.2026; Tuần 5: 05.10–11.10.2026; Tuần 6: 12.10–18.10.2026; Tuần 7: 19.10–25.10.2026; Tuần 8: 26.10–01.11.2026.</v>
      </c>
      <c r="N11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4" s="17" t="str">
        <f t="shared" si="17"/>
        <v>Còn trống</v>
      </c>
    </row>
    <row r="1135" spans="1:16" x14ac:dyDescent="0.3">
      <c r="A1135">
        <v>1134</v>
      </c>
      <c r="B1135" t="s">
        <v>2544</v>
      </c>
      <c r="C1135" t="s">
        <v>2639</v>
      </c>
      <c r="D1135" t="s">
        <v>2640</v>
      </c>
      <c r="E1135" t="s">
        <v>45</v>
      </c>
      <c r="F1135" t="s">
        <v>2562</v>
      </c>
      <c r="G1135" t="s">
        <v>2594</v>
      </c>
      <c r="H1135" t="str">
        <f>'Huong dan giao do an'!$B$14</f>
        <v>5 SV (vai trò chính): 1 PM/Scrum Master kiêm Integration; 2 BA/PO; 3 UI-UX + Frontend; 4 Backend/API + DevOps; 5 Database + QA/Tester. Mỗi SV có nhiệm vụ phụ và minh chứng cá nhân.</v>
      </c>
      <c r="I1135" t="s">
        <v>29</v>
      </c>
      <c r="J1135" t="s">
        <v>2554</v>
      </c>
      <c r="K1135" t="str">
        <f>IF(I1135="Trung bình",'Huong dan giao do an'!$B$8,IF(I1135="Khá",'Huong dan giao do an'!$B$9,'Huong dan giao do an'!$B$10))</f>
        <v>Tối thiểu 5 actor; 14-18 use case; 10-15 bảng; 4 quy trình; tích hợp ngoài/realtime hoặc xử lý nâng cao; 3 báo cáo; &gt;=45 test case; logging, backup và deploy.</v>
      </c>
      <c r="L1135" t="str">
        <f>'Huong dan giao do an'!$B$31</f>
        <v>Bắt buộc: Charter/PMP; SRS + scope/WBS; Gantt/baseline; effort-cost budget; RACI/timesheet; quality-test-defect; communication/minutes; risk register; procurement; change log; closure/lessons learned.</v>
      </c>
      <c r="M1135" t="str">
        <f>'Huong dan giao do an'!$B$33</f>
        <v>Tuần 1: 07.09–13.09.2026; Tuần 2: 14.09–20.09.2026; Tuần 3: 21.09–27.09.2026; Tuần 4: 28.09–04.10.2026; Tuần 5: 05.10–11.10.2026; Tuần 6: 12.10–18.10.2026; Tuần 7: 19.10–25.10.2026; Tuần 8: 26.10–01.11.2026.</v>
      </c>
      <c r="N11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5" s="17" t="str">
        <f t="shared" si="17"/>
        <v>Còn trống</v>
      </c>
    </row>
    <row r="1136" spans="1:16" x14ac:dyDescent="0.3">
      <c r="A1136">
        <v>1135</v>
      </c>
      <c r="B1136" t="s">
        <v>2544</v>
      </c>
      <c r="C1136" t="s">
        <v>2641</v>
      </c>
      <c r="D1136" t="s">
        <v>2642</v>
      </c>
      <c r="E1136" t="s">
        <v>19</v>
      </c>
      <c r="F1136" t="s">
        <v>2566</v>
      </c>
      <c r="G1136" t="s">
        <v>2597</v>
      </c>
      <c r="H1136" t="str">
        <f>'Huong dan giao do an'!$B$14</f>
        <v>5 SV (vai trò chính): 1 PM/Scrum Master kiêm Integration; 2 BA/PO; 3 UI-UX + Frontend; 4 Backend/API + DevOps; 5 Database + QA/Tester. Mỗi SV có nhiệm vụ phụ và minh chứng cá nhân.</v>
      </c>
      <c r="I1136" t="s">
        <v>36</v>
      </c>
      <c r="J1136" t="s">
        <v>2559</v>
      </c>
      <c r="K1136" t="str">
        <f>IF(I1136="Trung bình",'Huong dan giao do an'!$B$8,IF(I1136="Khá",'Huong dan giao do an'!$B$9,'Huong dan giao do an'!$B$10))</f>
        <v>Tối thiểu 3 actor; 8-10 use case; 6-8 bảng dữ liệu; 2 quy trình lõi; đăng nhập/RBAC; 1 dashboard; 1 báo cáo; &gt;=25 test case; triển khai bản demo.</v>
      </c>
      <c r="L1136" t="str">
        <f>'Huong dan giao do an'!$B$31</f>
        <v>Bắt buộc: Charter/PMP; SRS + scope/WBS; Gantt/baseline; effort-cost budget; RACI/timesheet; quality-test-defect; communication/minutes; risk register; procurement; change log; closure/lessons learned.</v>
      </c>
      <c r="M1136" t="str">
        <f>'Huong dan giao do an'!$B$33</f>
        <v>Tuần 1: 07.09–13.09.2026; Tuần 2: 14.09–20.09.2026; Tuần 3: 21.09–27.09.2026; Tuần 4: 28.09–04.10.2026; Tuần 5: 05.10–11.10.2026; Tuần 6: 12.10–18.10.2026; Tuần 7: 19.10–25.10.2026; Tuần 8: 26.10–01.11.2026.</v>
      </c>
      <c r="N11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6" s="17" t="str">
        <f t="shared" si="17"/>
        <v>Còn trống</v>
      </c>
    </row>
    <row r="1137" spans="1:16" x14ac:dyDescent="0.3">
      <c r="A1137">
        <v>1136</v>
      </c>
      <c r="B1137" t="s">
        <v>2544</v>
      </c>
      <c r="C1137" t="s">
        <v>2643</v>
      </c>
      <c r="D1137" t="s">
        <v>2644</v>
      </c>
      <c r="E1137" t="s">
        <v>26</v>
      </c>
      <c r="F1137" t="s">
        <v>2547</v>
      </c>
      <c r="G1137" t="s">
        <v>2600</v>
      </c>
      <c r="H1137" t="str">
        <f>'Huong dan giao do an'!$B$14</f>
        <v>5 SV (vai trò chính): 1 PM/Scrum Master kiêm Integration; 2 BA/PO; 3 UI-UX + Frontend; 4 Backend/API + DevOps; 5 Database + QA/Tester. Mỗi SV có nhiệm vụ phụ và minh chứng cá nhân.</v>
      </c>
      <c r="I1137" t="s">
        <v>22</v>
      </c>
      <c r="J1137" t="s">
        <v>2549</v>
      </c>
      <c r="K1137" t="str">
        <f>IF(I1137="Trung bình",'Huong dan giao do an'!$B$8,IF(I1137="Khá",'Huong dan giao do an'!$B$9,'Huong dan giao do an'!$B$10))</f>
        <v>Tối thiểu 4 actor; 10-14 use case; 8-12 bảng; 3 quy trình lõi; phân quyền chi tiết; 2 báo cáo; tích hợp 1 dịch vụ; &gt;=35 test case; CI/CD hoặc deploy cloud.</v>
      </c>
      <c r="L1137" t="str">
        <f>'Huong dan giao do an'!$B$31</f>
        <v>Bắt buộc: Charter/PMP; SRS + scope/WBS; Gantt/baseline; effort-cost budget; RACI/timesheet; quality-test-defect; communication/minutes; risk register; procurement; change log; closure/lessons learned.</v>
      </c>
      <c r="M1137" t="str">
        <f>'Huong dan giao do an'!$B$33</f>
        <v>Tuần 1: 07.09–13.09.2026; Tuần 2: 14.09–20.09.2026; Tuần 3: 21.09–27.09.2026; Tuần 4: 28.09–04.10.2026; Tuần 5: 05.10–11.10.2026; Tuần 6: 12.10–18.10.2026; Tuần 7: 19.10–25.10.2026; Tuần 8: 26.10–01.11.2026.</v>
      </c>
      <c r="N11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7" s="17" t="str">
        <f t="shared" si="17"/>
        <v>Còn trống</v>
      </c>
    </row>
    <row r="1138" spans="1:16" x14ac:dyDescent="0.3">
      <c r="A1138">
        <v>1137</v>
      </c>
      <c r="B1138" t="s">
        <v>2544</v>
      </c>
      <c r="C1138" t="s">
        <v>2645</v>
      </c>
      <c r="D1138" t="s">
        <v>2646</v>
      </c>
      <c r="E1138" t="s">
        <v>33</v>
      </c>
      <c r="F1138" t="s">
        <v>2552</v>
      </c>
      <c r="G1138" t="s">
        <v>2603</v>
      </c>
      <c r="H1138" t="str">
        <f>'Huong dan giao do an'!$B$14</f>
        <v>5 SV (vai trò chính): 1 PM/Scrum Master kiêm Integration; 2 BA/PO; 3 UI-UX + Frontend; 4 Backend/API + DevOps; 5 Database + QA/Tester. Mỗi SV có nhiệm vụ phụ và minh chứng cá nhân.</v>
      </c>
      <c r="I1138" t="s">
        <v>29</v>
      </c>
      <c r="J1138" t="s">
        <v>2554</v>
      </c>
      <c r="K1138" t="str">
        <f>IF(I1138="Trung bình",'Huong dan giao do an'!$B$8,IF(I1138="Khá",'Huong dan giao do an'!$B$9,'Huong dan giao do an'!$B$10))</f>
        <v>Tối thiểu 5 actor; 14-18 use case; 10-15 bảng; 4 quy trình; tích hợp ngoài/realtime hoặc xử lý nâng cao; 3 báo cáo; &gt;=45 test case; logging, backup và deploy.</v>
      </c>
      <c r="L1138" t="str">
        <f>'Huong dan giao do an'!$B$31</f>
        <v>Bắt buộc: Charter/PMP; SRS + scope/WBS; Gantt/baseline; effort-cost budget; RACI/timesheet; quality-test-defect; communication/minutes; risk register; procurement; change log; closure/lessons learned.</v>
      </c>
      <c r="M1138" t="str">
        <f>'Huong dan giao do an'!$B$33</f>
        <v>Tuần 1: 07.09–13.09.2026; Tuần 2: 14.09–20.09.2026; Tuần 3: 21.09–27.09.2026; Tuần 4: 28.09–04.10.2026; Tuần 5: 05.10–11.10.2026; Tuần 6: 12.10–18.10.2026; Tuần 7: 19.10–25.10.2026; Tuần 8: 26.10–01.11.2026.</v>
      </c>
      <c r="N11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8" s="17" t="str">
        <f t="shared" si="17"/>
        <v>Còn trống</v>
      </c>
    </row>
    <row r="1139" spans="1:16" x14ac:dyDescent="0.3">
      <c r="A1139">
        <v>1138</v>
      </c>
      <c r="B1139" t="s">
        <v>2544</v>
      </c>
      <c r="C1139" t="s">
        <v>2647</v>
      </c>
      <c r="D1139" t="s">
        <v>2648</v>
      </c>
      <c r="E1139" t="s">
        <v>40</v>
      </c>
      <c r="F1139" t="s">
        <v>2557</v>
      </c>
      <c r="G1139" t="s">
        <v>2606</v>
      </c>
      <c r="H1139" t="str">
        <f>'Huong dan giao do an'!$B$14</f>
        <v>5 SV (vai trò chính): 1 PM/Scrum Master kiêm Integration; 2 BA/PO; 3 UI-UX + Frontend; 4 Backend/API + DevOps; 5 Database + QA/Tester. Mỗi SV có nhiệm vụ phụ và minh chứng cá nhân.</v>
      </c>
      <c r="I1139" t="s">
        <v>36</v>
      </c>
      <c r="J1139" t="s">
        <v>2559</v>
      </c>
      <c r="K1139" t="str">
        <f>IF(I1139="Trung bình",'Huong dan giao do an'!$B$8,IF(I1139="Khá",'Huong dan giao do an'!$B$9,'Huong dan giao do an'!$B$10))</f>
        <v>Tối thiểu 3 actor; 8-10 use case; 6-8 bảng dữ liệu; 2 quy trình lõi; đăng nhập/RBAC; 1 dashboard; 1 báo cáo; &gt;=25 test case; triển khai bản demo.</v>
      </c>
      <c r="L1139" t="str">
        <f>'Huong dan giao do an'!$B$31</f>
        <v>Bắt buộc: Charter/PMP; SRS + scope/WBS; Gantt/baseline; effort-cost budget; RACI/timesheet; quality-test-defect; communication/minutes; risk register; procurement; change log; closure/lessons learned.</v>
      </c>
      <c r="M1139" t="str">
        <f>'Huong dan giao do an'!$B$33</f>
        <v>Tuần 1: 07.09–13.09.2026; Tuần 2: 14.09–20.09.2026; Tuần 3: 21.09–27.09.2026; Tuần 4: 28.09–04.10.2026; Tuần 5: 05.10–11.10.2026; Tuần 6: 12.10–18.10.2026; Tuần 7: 19.10–25.10.2026; Tuần 8: 26.10–01.11.2026.</v>
      </c>
      <c r="N11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39" s="17" t="str">
        <f t="shared" si="17"/>
        <v>Còn trống</v>
      </c>
    </row>
    <row r="1140" spans="1:16" x14ac:dyDescent="0.3">
      <c r="A1140">
        <v>1139</v>
      </c>
      <c r="B1140" t="s">
        <v>2544</v>
      </c>
      <c r="C1140" t="s">
        <v>2649</v>
      </c>
      <c r="D1140" t="s">
        <v>2650</v>
      </c>
      <c r="E1140" t="s">
        <v>45</v>
      </c>
      <c r="F1140" t="s">
        <v>2562</v>
      </c>
      <c r="G1140" t="s">
        <v>2609</v>
      </c>
      <c r="H1140" t="str">
        <f>'Huong dan giao do an'!$B$14</f>
        <v>5 SV (vai trò chính): 1 PM/Scrum Master kiêm Integration; 2 BA/PO; 3 UI-UX + Frontend; 4 Backend/API + DevOps; 5 Database + QA/Tester. Mỗi SV có nhiệm vụ phụ và minh chứng cá nhân.</v>
      </c>
      <c r="I1140" t="s">
        <v>22</v>
      </c>
      <c r="J1140" t="s">
        <v>2549</v>
      </c>
      <c r="K1140" t="str">
        <f>IF(I1140="Trung bình",'Huong dan giao do an'!$B$8,IF(I1140="Khá",'Huong dan giao do an'!$B$9,'Huong dan giao do an'!$B$10))</f>
        <v>Tối thiểu 4 actor; 10-14 use case; 8-12 bảng; 3 quy trình lõi; phân quyền chi tiết; 2 báo cáo; tích hợp 1 dịch vụ; &gt;=35 test case; CI/CD hoặc deploy cloud.</v>
      </c>
      <c r="L1140" t="str">
        <f>'Huong dan giao do an'!$B$31</f>
        <v>Bắt buộc: Charter/PMP; SRS + scope/WBS; Gantt/baseline; effort-cost budget; RACI/timesheet; quality-test-defect; communication/minutes; risk register; procurement; change log; closure/lessons learned.</v>
      </c>
      <c r="M1140" t="str">
        <f>'Huong dan giao do an'!$B$33</f>
        <v>Tuần 1: 07.09–13.09.2026; Tuần 2: 14.09–20.09.2026; Tuần 3: 21.09–27.09.2026; Tuần 4: 28.09–04.10.2026; Tuần 5: 05.10–11.10.2026; Tuần 6: 12.10–18.10.2026; Tuần 7: 19.10–25.10.2026; Tuần 8: 26.10–01.11.2026.</v>
      </c>
      <c r="N11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0" s="17" t="str">
        <f t="shared" si="17"/>
        <v>Còn trống</v>
      </c>
    </row>
    <row r="1141" spans="1:16" x14ac:dyDescent="0.3">
      <c r="A1141">
        <v>1140</v>
      </c>
      <c r="B1141" t="s">
        <v>2544</v>
      </c>
      <c r="C1141" t="s">
        <v>2651</v>
      </c>
      <c r="D1141" t="s">
        <v>2652</v>
      </c>
      <c r="E1141" t="s">
        <v>19</v>
      </c>
      <c r="F1141" t="s">
        <v>2566</v>
      </c>
      <c r="G1141" t="s">
        <v>2612</v>
      </c>
      <c r="H1141" t="str">
        <f>'Huong dan giao do an'!$B$14</f>
        <v>5 SV (vai trò chính): 1 PM/Scrum Master kiêm Integration; 2 BA/PO; 3 UI-UX + Frontend; 4 Backend/API + DevOps; 5 Database + QA/Tester. Mỗi SV có nhiệm vụ phụ và minh chứng cá nhân.</v>
      </c>
      <c r="I1141" t="s">
        <v>29</v>
      </c>
      <c r="J1141" t="s">
        <v>2554</v>
      </c>
      <c r="K1141" t="str">
        <f>IF(I1141="Trung bình",'Huong dan giao do an'!$B$8,IF(I1141="Khá",'Huong dan giao do an'!$B$9,'Huong dan giao do an'!$B$10))</f>
        <v>Tối thiểu 5 actor; 14-18 use case; 10-15 bảng; 4 quy trình; tích hợp ngoài/realtime hoặc xử lý nâng cao; 3 báo cáo; &gt;=45 test case; logging, backup và deploy.</v>
      </c>
      <c r="L1141" t="str">
        <f>'Huong dan giao do an'!$B$31</f>
        <v>Bắt buộc: Charter/PMP; SRS + scope/WBS; Gantt/baseline; effort-cost budget; RACI/timesheet; quality-test-defect; communication/minutes; risk register; procurement; change log; closure/lessons learned.</v>
      </c>
      <c r="M1141" t="str">
        <f>'Huong dan giao do an'!$B$33</f>
        <v>Tuần 1: 07.09–13.09.2026; Tuần 2: 14.09–20.09.2026; Tuần 3: 21.09–27.09.2026; Tuần 4: 28.09–04.10.2026; Tuần 5: 05.10–11.10.2026; Tuần 6: 12.10–18.10.2026; Tuần 7: 19.10–25.10.2026; Tuần 8: 26.10–01.11.2026.</v>
      </c>
      <c r="N11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1" s="17" t="str">
        <f t="shared" si="17"/>
        <v>Còn trống</v>
      </c>
    </row>
    <row r="1142" spans="1:16" x14ac:dyDescent="0.3">
      <c r="A1142">
        <v>1141</v>
      </c>
      <c r="B1142" t="s">
        <v>2544</v>
      </c>
      <c r="C1142" t="s">
        <v>2653</v>
      </c>
      <c r="D1142" t="s">
        <v>2654</v>
      </c>
      <c r="E1142" t="s">
        <v>26</v>
      </c>
      <c r="F1142" t="s">
        <v>2547</v>
      </c>
      <c r="G1142" t="s">
        <v>2548</v>
      </c>
      <c r="H1142" t="str">
        <f>'Huong dan giao do an'!$B$14</f>
        <v>5 SV (vai trò chính): 1 PM/Scrum Master kiêm Integration; 2 BA/PO; 3 UI-UX + Frontend; 4 Backend/API + DevOps; 5 Database + QA/Tester. Mỗi SV có nhiệm vụ phụ và minh chứng cá nhân.</v>
      </c>
      <c r="I1142" t="s">
        <v>22</v>
      </c>
      <c r="J1142" t="s">
        <v>2549</v>
      </c>
      <c r="K1142" t="str">
        <f>IF(I1142="Trung bình",'Huong dan giao do an'!$B$8,IF(I1142="Khá",'Huong dan giao do an'!$B$9,'Huong dan giao do an'!$B$10))</f>
        <v>Tối thiểu 4 actor; 10-14 use case; 8-12 bảng; 3 quy trình lõi; phân quyền chi tiết; 2 báo cáo; tích hợp 1 dịch vụ; &gt;=35 test case; CI/CD hoặc deploy cloud.</v>
      </c>
      <c r="L1142" t="str">
        <f>'Huong dan giao do an'!$B$31</f>
        <v>Bắt buộc: Charter/PMP; SRS + scope/WBS; Gantt/baseline; effort-cost budget; RACI/timesheet; quality-test-defect; communication/minutes; risk register; procurement; change log; closure/lessons learned.</v>
      </c>
      <c r="M1142" t="str">
        <f>'Huong dan giao do an'!$B$33</f>
        <v>Tuần 1: 07.09–13.09.2026; Tuần 2: 14.09–20.09.2026; Tuần 3: 21.09–27.09.2026; Tuần 4: 28.09–04.10.2026; Tuần 5: 05.10–11.10.2026; Tuần 6: 12.10–18.10.2026; Tuần 7: 19.10–25.10.2026; Tuần 8: 26.10–01.11.2026.</v>
      </c>
      <c r="N11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2" s="17" t="str">
        <f t="shared" si="17"/>
        <v>Còn trống</v>
      </c>
    </row>
    <row r="1143" spans="1:16" x14ac:dyDescent="0.3">
      <c r="A1143">
        <v>1142</v>
      </c>
      <c r="B1143" t="s">
        <v>2544</v>
      </c>
      <c r="C1143" t="s">
        <v>2655</v>
      </c>
      <c r="D1143" t="s">
        <v>2656</v>
      </c>
      <c r="E1143" t="s">
        <v>33</v>
      </c>
      <c r="F1143" t="s">
        <v>2552</v>
      </c>
      <c r="G1143" t="s">
        <v>2553</v>
      </c>
      <c r="H1143" t="str">
        <f>'Huong dan giao do an'!$B$14</f>
        <v>5 SV (vai trò chính): 1 PM/Scrum Master kiêm Integration; 2 BA/PO; 3 UI-UX + Frontend; 4 Backend/API + DevOps; 5 Database + QA/Tester. Mỗi SV có nhiệm vụ phụ và minh chứng cá nhân.</v>
      </c>
      <c r="I1143" t="s">
        <v>29</v>
      </c>
      <c r="J1143" t="s">
        <v>2554</v>
      </c>
      <c r="K1143" t="str">
        <f>IF(I1143="Trung bình",'Huong dan giao do an'!$B$8,IF(I1143="Khá",'Huong dan giao do an'!$B$9,'Huong dan giao do an'!$B$10))</f>
        <v>Tối thiểu 5 actor; 14-18 use case; 10-15 bảng; 4 quy trình; tích hợp ngoài/realtime hoặc xử lý nâng cao; 3 báo cáo; &gt;=45 test case; logging, backup và deploy.</v>
      </c>
      <c r="L1143" t="str">
        <f>'Huong dan giao do an'!$B$31</f>
        <v>Bắt buộc: Charter/PMP; SRS + scope/WBS; Gantt/baseline; effort-cost budget; RACI/timesheet; quality-test-defect; communication/minutes; risk register; procurement; change log; closure/lessons learned.</v>
      </c>
      <c r="M1143" t="str">
        <f>'Huong dan giao do an'!$B$33</f>
        <v>Tuần 1: 07.09–13.09.2026; Tuần 2: 14.09–20.09.2026; Tuần 3: 21.09–27.09.2026; Tuần 4: 28.09–04.10.2026; Tuần 5: 05.10–11.10.2026; Tuần 6: 12.10–18.10.2026; Tuần 7: 19.10–25.10.2026; Tuần 8: 26.10–01.11.2026.</v>
      </c>
      <c r="N11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3" s="17" t="str">
        <f t="shared" si="17"/>
        <v>Còn trống</v>
      </c>
    </row>
    <row r="1144" spans="1:16" x14ac:dyDescent="0.3">
      <c r="A1144">
        <v>1143</v>
      </c>
      <c r="B1144" t="s">
        <v>2544</v>
      </c>
      <c r="C1144" t="s">
        <v>2657</v>
      </c>
      <c r="D1144" t="s">
        <v>2658</v>
      </c>
      <c r="E1144" t="s">
        <v>40</v>
      </c>
      <c r="F1144" t="s">
        <v>2557</v>
      </c>
      <c r="G1144" t="s">
        <v>2558</v>
      </c>
      <c r="H1144" t="str">
        <f>'Huong dan giao do an'!$B$14</f>
        <v>5 SV (vai trò chính): 1 PM/Scrum Master kiêm Integration; 2 BA/PO; 3 UI-UX + Frontend; 4 Backend/API + DevOps; 5 Database + QA/Tester. Mỗi SV có nhiệm vụ phụ và minh chứng cá nhân.</v>
      </c>
      <c r="I1144" t="s">
        <v>36</v>
      </c>
      <c r="J1144" t="s">
        <v>2559</v>
      </c>
      <c r="K1144" t="str">
        <f>IF(I1144="Trung bình",'Huong dan giao do an'!$B$8,IF(I1144="Khá",'Huong dan giao do an'!$B$9,'Huong dan giao do an'!$B$10))</f>
        <v>Tối thiểu 3 actor; 8-10 use case; 6-8 bảng dữ liệu; 2 quy trình lõi; đăng nhập/RBAC; 1 dashboard; 1 báo cáo; &gt;=25 test case; triển khai bản demo.</v>
      </c>
      <c r="L1144" t="str">
        <f>'Huong dan giao do an'!$B$31</f>
        <v>Bắt buộc: Charter/PMP; SRS + scope/WBS; Gantt/baseline; effort-cost budget; RACI/timesheet; quality-test-defect; communication/minutes; risk register; procurement; change log; closure/lessons learned.</v>
      </c>
      <c r="M1144" t="str">
        <f>'Huong dan giao do an'!$B$33</f>
        <v>Tuần 1: 07.09–13.09.2026; Tuần 2: 14.09–20.09.2026; Tuần 3: 21.09–27.09.2026; Tuần 4: 28.09–04.10.2026; Tuần 5: 05.10–11.10.2026; Tuần 6: 12.10–18.10.2026; Tuần 7: 19.10–25.10.2026; Tuần 8: 26.10–01.11.2026.</v>
      </c>
      <c r="N11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4" s="17" t="str">
        <f t="shared" si="17"/>
        <v>Còn trống</v>
      </c>
    </row>
    <row r="1145" spans="1:16" x14ac:dyDescent="0.3">
      <c r="A1145">
        <v>1144</v>
      </c>
      <c r="B1145" t="s">
        <v>2544</v>
      </c>
      <c r="C1145" t="s">
        <v>2659</v>
      </c>
      <c r="D1145" t="s">
        <v>2660</v>
      </c>
      <c r="E1145" t="s">
        <v>45</v>
      </c>
      <c r="F1145" t="s">
        <v>2562</v>
      </c>
      <c r="G1145" t="s">
        <v>2563</v>
      </c>
      <c r="H1145" t="str">
        <f>'Huong dan giao do an'!$B$14</f>
        <v>5 SV (vai trò chính): 1 PM/Scrum Master kiêm Integration; 2 BA/PO; 3 UI-UX + Frontend; 4 Backend/API + DevOps; 5 Database + QA/Tester. Mỗi SV có nhiệm vụ phụ và minh chứng cá nhân.</v>
      </c>
      <c r="I1145" t="s">
        <v>22</v>
      </c>
      <c r="J1145" t="s">
        <v>2549</v>
      </c>
      <c r="K1145" t="str">
        <f>IF(I1145="Trung bình",'Huong dan giao do an'!$B$8,IF(I1145="Khá",'Huong dan giao do an'!$B$9,'Huong dan giao do an'!$B$10))</f>
        <v>Tối thiểu 4 actor; 10-14 use case; 8-12 bảng; 3 quy trình lõi; phân quyền chi tiết; 2 báo cáo; tích hợp 1 dịch vụ; &gt;=35 test case; CI/CD hoặc deploy cloud.</v>
      </c>
      <c r="L1145" t="str">
        <f>'Huong dan giao do an'!$B$31</f>
        <v>Bắt buộc: Charter/PMP; SRS + scope/WBS; Gantt/baseline; effort-cost budget; RACI/timesheet; quality-test-defect; communication/minutes; risk register; procurement; change log; closure/lessons learned.</v>
      </c>
      <c r="M1145" t="str">
        <f>'Huong dan giao do an'!$B$33</f>
        <v>Tuần 1: 07.09–13.09.2026; Tuần 2: 14.09–20.09.2026; Tuần 3: 21.09–27.09.2026; Tuần 4: 28.09–04.10.2026; Tuần 5: 05.10–11.10.2026; Tuần 6: 12.10–18.10.2026; Tuần 7: 19.10–25.10.2026; Tuần 8: 26.10–01.11.2026.</v>
      </c>
      <c r="N11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5" s="17" t="str">
        <f t="shared" si="17"/>
        <v>Còn trống</v>
      </c>
    </row>
    <row r="1146" spans="1:16" x14ac:dyDescent="0.3">
      <c r="A1146">
        <v>1145</v>
      </c>
      <c r="B1146" t="s">
        <v>2544</v>
      </c>
      <c r="C1146" t="s">
        <v>2661</v>
      </c>
      <c r="D1146" t="s">
        <v>2662</v>
      </c>
      <c r="E1146" t="s">
        <v>19</v>
      </c>
      <c r="F1146" t="s">
        <v>2566</v>
      </c>
      <c r="G1146" t="s">
        <v>2567</v>
      </c>
      <c r="H1146" t="str">
        <f>'Huong dan giao do an'!$B$14</f>
        <v>5 SV (vai trò chính): 1 PM/Scrum Master kiêm Integration; 2 BA/PO; 3 UI-UX + Frontend; 4 Backend/API + DevOps; 5 Database + QA/Tester. Mỗi SV có nhiệm vụ phụ và minh chứng cá nhân.</v>
      </c>
      <c r="I1146" t="s">
        <v>29</v>
      </c>
      <c r="J1146" t="s">
        <v>2554</v>
      </c>
      <c r="K1146" t="str">
        <f>IF(I1146="Trung bình",'Huong dan giao do an'!$B$8,IF(I1146="Khá",'Huong dan giao do an'!$B$9,'Huong dan giao do an'!$B$10))</f>
        <v>Tối thiểu 5 actor; 14-18 use case; 10-15 bảng; 4 quy trình; tích hợp ngoài/realtime hoặc xử lý nâng cao; 3 báo cáo; &gt;=45 test case; logging, backup và deploy.</v>
      </c>
      <c r="L1146" t="str">
        <f>'Huong dan giao do an'!$B$31</f>
        <v>Bắt buộc: Charter/PMP; SRS + scope/WBS; Gantt/baseline; effort-cost budget; RACI/timesheet; quality-test-defect; communication/minutes; risk register; procurement; change log; closure/lessons learned.</v>
      </c>
      <c r="M1146" t="str">
        <f>'Huong dan giao do an'!$B$33</f>
        <v>Tuần 1: 07.09–13.09.2026; Tuần 2: 14.09–20.09.2026; Tuần 3: 21.09–27.09.2026; Tuần 4: 28.09–04.10.2026; Tuần 5: 05.10–11.10.2026; Tuần 6: 12.10–18.10.2026; Tuần 7: 19.10–25.10.2026; Tuần 8: 26.10–01.11.2026.</v>
      </c>
      <c r="N11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6" s="17" t="str">
        <f t="shared" si="17"/>
        <v>Còn trống</v>
      </c>
    </row>
    <row r="1147" spans="1:16" x14ac:dyDescent="0.3">
      <c r="A1147">
        <v>1146</v>
      </c>
      <c r="B1147" t="s">
        <v>2544</v>
      </c>
      <c r="C1147" t="s">
        <v>2663</v>
      </c>
      <c r="D1147" t="s">
        <v>2664</v>
      </c>
      <c r="E1147" t="s">
        <v>26</v>
      </c>
      <c r="F1147" t="s">
        <v>2547</v>
      </c>
      <c r="G1147" t="s">
        <v>2570</v>
      </c>
      <c r="H1147" t="str">
        <f>'Huong dan giao do an'!$B$14</f>
        <v>5 SV (vai trò chính): 1 PM/Scrum Master kiêm Integration; 2 BA/PO; 3 UI-UX + Frontend; 4 Backend/API + DevOps; 5 Database + QA/Tester. Mỗi SV có nhiệm vụ phụ và minh chứng cá nhân.</v>
      </c>
      <c r="I1147" t="s">
        <v>36</v>
      </c>
      <c r="J1147" t="s">
        <v>2559</v>
      </c>
      <c r="K1147" t="str">
        <f>IF(I1147="Trung bình",'Huong dan giao do an'!$B$8,IF(I1147="Khá",'Huong dan giao do an'!$B$9,'Huong dan giao do an'!$B$10))</f>
        <v>Tối thiểu 3 actor; 8-10 use case; 6-8 bảng dữ liệu; 2 quy trình lõi; đăng nhập/RBAC; 1 dashboard; 1 báo cáo; &gt;=25 test case; triển khai bản demo.</v>
      </c>
      <c r="L1147" t="str">
        <f>'Huong dan giao do an'!$B$31</f>
        <v>Bắt buộc: Charter/PMP; SRS + scope/WBS; Gantt/baseline; effort-cost budget; RACI/timesheet; quality-test-defect; communication/minutes; risk register; procurement; change log; closure/lessons learned.</v>
      </c>
      <c r="M1147" t="str">
        <f>'Huong dan giao do an'!$B$33</f>
        <v>Tuần 1: 07.09–13.09.2026; Tuần 2: 14.09–20.09.2026; Tuần 3: 21.09–27.09.2026; Tuần 4: 28.09–04.10.2026; Tuần 5: 05.10–11.10.2026; Tuần 6: 12.10–18.10.2026; Tuần 7: 19.10–25.10.2026; Tuần 8: 26.10–01.11.2026.</v>
      </c>
      <c r="N11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7" s="17" t="str">
        <f t="shared" si="17"/>
        <v>Còn trống</v>
      </c>
    </row>
    <row r="1148" spans="1:16" x14ac:dyDescent="0.3">
      <c r="A1148">
        <v>1147</v>
      </c>
      <c r="B1148" t="s">
        <v>2544</v>
      </c>
      <c r="C1148" t="s">
        <v>2665</v>
      </c>
      <c r="D1148" t="s">
        <v>2666</v>
      </c>
      <c r="E1148" t="s">
        <v>33</v>
      </c>
      <c r="F1148" t="s">
        <v>2552</v>
      </c>
      <c r="G1148" t="s">
        <v>2573</v>
      </c>
      <c r="H1148" t="str">
        <f>'Huong dan giao do an'!$B$14</f>
        <v>5 SV (vai trò chính): 1 PM/Scrum Master kiêm Integration; 2 BA/PO; 3 UI-UX + Frontend; 4 Backend/API + DevOps; 5 Database + QA/Tester. Mỗi SV có nhiệm vụ phụ và minh chứng cá nhân.</v>
      </c>
      <c r="I1148" t="s">
        <v>22</v>
      </c>
      <c r="J1148" t="s">
        <v>2549</v>
      </c>
      <c r="K1148" t="str">
        <f>IF(I1148="Trung bình",'Huong dan giao do an'!$B$8,IF(I1148="Khá",'Huong dan giao do an'!$B$9,'Huong dan giao do an'!$B$10))</f>
        <v>Tối thiểu 4 actor; 10-14 use case; 8-12 bảng; 3 quy trình lõi; phân quyền chi tiết; 2 báo cáo; tích hợp 1 dịch vụ; &gt;=35 test case; CI/CD hoặc deploy cloud.</v>
      </c>
      <c r="L1148" t="str">
        <f>'Huong dan giao do an'!$B$31</f>
        <v>Bắt buộc: Charter/PMP; SRS + scope/WBS; Gantt/baseline; effort-cost budget; RACI/timesheet; quality-test-defect; communication/minutes; risk register; procurement; change log; closure/lessons learned.</v>
      </c>
      <c r="M1148" t="str">
        <f>'Huong dan giao do an'!$B$33</f>
        <v>Tuần 1: 07.09–13.09.2026; Tuần 2: 14.09–20.09.2026; Tuần 3: 21.09–27.09.2026; Tuần 4: 28.09–04.10.2026; Tuần 5: 05.10–11.10.2026; Tuần 6: 12.10–18.10.2026; Tuần 7: 19.10–25.10.2026; Tuần 8: 26.10–01.11.2026.</v>
      </c>
      <c r="N11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8" s="17" t="str">
        <f t="shared" si="17"/>
        <v>Còn trống</v>
      </c>
    </row>
    <row r="1149" spans="1:16" x14ac:dyDescent="0.3">
      <c r="A1149">
        <v>1148</v>
      </c>
      <c r="B1149" t="s">
        <v>2544</v>
      </c>
      <c r="C1149" t="s">
        <v>2667</v>
      </c>
      <c r="D1149" t="s">
        <v>2668</v>
      </c>
      <c r="E1149" t="s">
        <v>40</v>
      </c>
      <c r="F1149" t="s">
        <v>2557</v>
      </c>
      <c r="G1149" t="s">
        <v>2576</v>
      </c>
      <c r="H1149" t="str">
        <f>'Huong dan giao do an'!$B$14</f>
        <v>5 SV (vai trò chính): 1 PM/Scrum Master kiêm Integration; 2 BA/PO; 3 UI-UX + Frontend; 4 Backend/API + DevOps; 5 Database + QA/Tester. Mỗi SV có nhiệm vụ phụ và minh chứng cá nhân.</v>
      </c>
      <c r="I1149" t="s">
        <v>29</v>
      </c>
      <c r="J1149" t="s">
        <v>2554</v>
      </c>
      <c r="K1149" t="str">
        <f>IF(I1149="Trung bình",'Huong dan giao do an'!$B$8,IF(I1149="Khá",'Huong dan giao do an'!$B$9,'Huong dan giao do an'!$B$10))</f>
        <v>Tối thiểu 5 actor; 14-18 use case; 10-15 bảng; 4 quy trình; tích hợp ngoài/realtime hoặc xử lý nâng cao; 3 báo cáo; &gt;=45 test case; logging, backup và deploy.</v>
      </c>
      <c r="L1149" t="str">
        <f>'Huong dan giao do an'!$B$31</f>
        <v>Bắt buộc: Charter/PMP; SRS + scope/WBS; Gantt/baseline; effort-cost budget; RACI/timesheet; quality-test-defect; communication/minutes; risk register; procurement; change log; closure/lessons learned.</v>
      </c>
      <c r="M1149" t="str">
        <f>'Huong dan giao do an'!$B$33</f>
        <v>Tuần 1: 07.09–13.09.2026; Tuần 2: 14.09–20.09.2026; Tuần 3: 21.09–27.09.2026; Tuần 4: 28.09–04.10.2026; Tuần 5: 05.10–11.10.2026; Tuần 6: 12.10–18.10.2026; Tuần 7: 19.10–25.10.2026; Tuần 8: 26.10–01.11.2026.</v>
      </c>
      <c r="N11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49" s="17" t="str">
        <f t="shared" si="17"/>
        <v>Còn trống</v>
      </c>
    </row>
    <row r="1150" spans="1:16" x14ac:dyDescent="0.3">
      <c r="A1150">
        <v>1149</v>
      </c>
      <c r="B1150" t="s">
        <v>2544</v>
      </c>
      <c r="C1150" t="s">
        <v>2669</v>
      </c>
      <c r="D1150" t="s">
        <v>2670</v>
      </c>
      <c r="E1150" t="s">
        <v>45</v>
      </c>
      <c r="F1150" t="s">
        <v>2562</v>
      </c>
      <c r="G1150" t="s">
        <v>2579</v>
      </c>
      <c r="H1150" t="str">
        <f>'Huong dan giao do an'!$B$14</f>
        <v>5 SV (vai trò chính): 1 PM/Scrum Master kiêm Integration; 2 BA/PO; 3 UI-UX + Frontend; 4 Backend/API + DevOps; 5 Database + QA/Tester. Mỗi SV có nhiệm vụ phụ và minh chứng cá nhân.</v>
      </c>
      <c r="I1150" t="s">
        <v>36</v>
      </c>
      <c r="J1150" t="s">
        <v>2559</v>
      </c>
      <c r="K1150" t="str">
        <f>IF(I1150="Trung bình",'Huong dan giao do an'!$B$8,IF(I1150="Khá",'Huong dan giao do an'!$B$9,'Huong dan giao do an'!$B$10))</f>
        <v>Tối thiểu 3 actor; 8-10 use case; 6-8 bảng dữ liệu; 2 quy trình lõi; đăng nhập/RBAC; 1 dashboard; 1 báo cáo; &gt;=25 test case; triển khai bản demo.</v>
      </c>
      <c r="L1150" t="str">
        <f>'Huong dan giao do an'!$B$31</f>
        <v>Bắt buộc: Charter/PMP; SRS + scope/WBS; Gantt/baseline; effort-cost budget; RACI/timesheet; quality-test-defect; communication/minutes; risk register; procurement; change log; closure/lessons learned.</v>
      </c>
      <c r="M1150" t="str">
        <f>'Huong dan giao do an'!$B$33</f>
        <v>Tuần 1: 07.09–13.09.2026; Tuần 2: 14.09–20.09.2026; Tuần 3: 21.09–27.09.2026; Tuần 4: 28.09–04.10.2026; Tuần 5: 05.10–11.10.2026; Tuần 6: 12.10–18.10.2026; Tuần 7: 19.10–25.10.2026; Tuần 8: 26.10–01.11.2026.</v>
      </c>
      <c r="N11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0" s="17" t="str">
        <f t="shared" si="17"/>
        <v>Còn trống</v>
      </c>
    </row>
    <row r="1151" spans="1:16" x14ac:dyDescent="0.3">
      <c r="A1151">
        <v>1150</v>
      </c>
      <c r="B1151" t="s">
        <v>2544</v>
      </c>
      <c r="C1151" t="s">
        <v>2671</v>
      </c>
      <c r="D1151" t="s">
        <v>2672</v>
      </c>
      <c r="E1151" t="s">
        <v>19</v>
      </c>
      <c r="F1151" t="s">
        <v>2566</v>
      </c>
      <c r="G1151" t="s">
        <v>2582</v>
      </c>
      <c r="H1151" t="str">
        <f>'Huong dan giao do an'!$B$14</f>
        <v>5 SV (vai trò chính): 1 PM/Scrum Master kiêm Integration; 2 BA/PO; 3 UI-UX + Frontend; 4 Backend/API + DevOps; 5 Database + QA/Tester. Mỗi SV có nhiệm vụ phụ và minh chứng cá nhân.</v>
      </c>
      <c r="I1151" t="s">
        <v>22</v>
      </c>
      <c r="J1151" t="s">
        <v>2549</v>
      </c>
      <c r="K1151" t="str">
        <f>IF(I1151="Trung bình",'Huong dan giao do an'!$B$8,IF(I1151="Khá",'Huong dan giao do an'!$B$9,'Huong dan giao do an'!$B$10))</f>
        <v>Tối thiểu 4 actor; 10-14 use case; 8-12 bảng; 3 quy trình lõi; phân quyền chi tiết; 2 báo cáo; tích hợp 1 dịch vụ; &gt;=35 test case; CI/CD hoặc deploy cloud.</v>
      </c>
      <c r="L1151" t="str">
        <f>'Huong dan giao do an'!$B$31</f>
        <v>Bắt buộc: Charter/PMP; SRS + scope/WBS; Gantt/baseline; effort-cost budget; RACI/timesheet; quality-test-defect; communication/minutes; risk register; procurement; change log; closure/lessons learned.</v>
      </c>
      <c r="M1151" t="str">
        <f>'Huong dan giao do an'!$B$33</f>
        <v>Tuần 1: 07.09–13.09.2026; Tuần 2: 14.09–20.09.2026; Tuần 3: 21.09–27.09.2026; Tuần 4: 28.09–04.10.2026; Tuần 5: 05.10–11.10.2026; Tuần 6: 12.10–18.10.2026; Tuần 7: 19.10–25.10.2026; Tuần 8: 26.10–01.11.2026.</v>
      </c>
      <c r="N11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1" s="17" t="str">
        <f t="shared" si="17"/>
        <v>Còn trống</v>
      </c>
    </row>
    <row r="1152" spans="1:16" x14ac:dyDescent="0.3">
      <c r="A1152">
        <v>1151</v>
      </c>
      <c r="B1152" t="s">
        <v>2544</v>
      </c>
      <c r="C1152" t="s">
        <v>2673</v>
      </c>
      <c r="D1152" t="s">
        <v>2674</v>
      </c>
      <c r="E1152" t="s">
        <v>26</v>
      </c>
      <c r="F1152" t="s">
        <v>2547</v>
      </c>
      <c r="G1152" t="s">
        <v>2585</v>
      </c>
      <c r="H1152" t="str">
        <f>'Huong dan giao do an'!$B$14</f>
        <v>5 SV (vai trò chính): 1 PM/Scrum Master kiêm Integration; 2 BA/PO; 3 UI-UX + Frontend; 4 Backend/API + DevOps; 5 Database + QA/Tester. Mỗi SV có nhiệm vụ phụ và minh chứng cá nhân.</v>
      </c>
      <c r="I1152" t="s">
        <v>29</v>
      </c>
      <c r="J1152" t="s">
        <v>2554</v>
      </c>
      <c r="K1152" t="str">
        <f>IF(I1152="Trung bình",'Huong dan giao do an'!$B$8,IF(I1152="Khá",'Huong dan giao do an'!$B$9,'Huong dan giao do an'!$B$10))</f>
        <v>Tối thiểu 5 actor; 14-18 use case; 10-15 bảng; 4 quy trình; tích hợp ngoài/realtime hoặc xử lý nâng cao; 3 báo cáo; &gt;=45 test case; logging, backup và deploy.</v>
      </c>
      <c r="L1152" t="str">
        <f>'Huong dan giao do an'!$B$31</f>
        <v>Bắt buộc: Charter/PMP; SRS + scope/WBS; Gantt/baseline; effort-cost budget; RACI/timesheet; quality-test-defect; communication/minutes; risk register; procurement; change log; closure/lessons learned.</v>
      </c>
      <c r="M1152" t="str">
        <f>'Huong dan giao do an'!$B$33</f>
        <v>Tuần 1: 07.09–13.09.2026; Tuần 2: 14.09–20.09.2026; Tuần 3: 21.09–27.09.2026; Tuần 4: 28.09–04.10.2026; Tuần 5: 05.10–11.10.2026; Tuần 6: 12.10–18.10.2026; Tuần 7: 19.10–25.10.2026; Tuần 8: 26.10–01.11.2026.</v>
      </c>
      <c r="N11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2" s="17" t="str">
        <f t="shared" si="17"/>
        <v>Còn trống</v>
      </c>
    </row>
    <row r="1153" spans="1:16" x14ac:dyDescent="0.3">
      <c r="A1153">
        <v>1152</v>
      </c>
      <c r="B1153" t="s">
        <v>2544</v>
      </c>
      <c r="C1153" t="s">
        <v>2675</v>
      </c>
      <c r="D1153" t="s">
        <v>2676</v>
      </c>
      <c r="E1153" t="s">
        <v>33</v>
      </c>
      <c r="F1153" t="s">
        <v>2552</v>
      </c>
      <c r="G1153" t="s">
        <v>2588</v>
      </c>
      <c r="H1153" t="str">
        <f>'Huong dan giao do an'!$B$14</f>
        <v>5 SV (vai trò chính): 1 PM/Scrum Master kiêm Integration; 2 BA/PO; 3 UI-UX + Frontend; 4 Backend/API + DevOps; 5 Database + QA/Tester. Mỗi SV có nhiệm vụ phụ và minh chứng cá nhân.</v>
      </c>
      <c r="I1153" t="s">
        <v>36</v>
      </c>
      <c r="J1153" t="s">
        <v>2559</v>
      </c>
      <c r="K1153" t="str">
        <f>IF(I1153="Trung bình",'Huong dan giao do an'!$B$8,IF(I1153="Khá",'Huong dan giao do an'!$B$9,'Huong dan giao do an'!$B$10))</f>
        <v>Tối thiểu 3 actor; 8-10 use case; 6-8 bảng dữ liệu; 2 quy trình lõi; đăng nhập/RBAC; 1 dashboard; 1 báo cáo; &gt;=25 test case; triển khai bản demo.</v>
      </c>
      <c r="L1153" t="str">
        <f>'Huong dan giao do an'!$B$31</f>
        <v>Bắt buộc: Charter/PMP; SRS + scope/WBS; Gantt/baseline; effort-cost budget; RACI/timesheet; quality-test-defect; communication/minutes; risk register; procurement; change log; closure/lessons learned.</v>
      </c>
      <c r="M1153" t="str">
        <f>'Huong dan giao do an'!$B$33</f>
        <v>Tuần 1: 07.09–13.09.2026; Tuần 2: 14.09–20.09.2026; Tuần 3: 21.09–27.09.2026; Tuần 4: 28.09–04.10.2026; Tuần 5: 05.10–11.10.2026; Tuần 6: 12.10–18.10.2026; Tuần 7: 19.10–25.10.2026; Tuần 8: 26.10–01.11.2026.</v>
      </c>
      <c r="N11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3" s="17" t="str">
        <f t="shared" si="17"/>
        <v>Còn trống</v>
      </c>
    </row>
    <row r="1154" spans="1:16" x14ac:dyDescent="0.3">
      <c r="A1154">
        <v>1153</v>
      </c>
      <c r="B1154" t="s">
        <v>2544</v>
      </c>
      <c r="C1154" t="s">
        <v>2677</v>
      </c>
      <c r="D1154" t="s">
        <v>2678</v>
      </c>
      <c r="E1154" t="s">
        <v>40</v>
      </c>
      <c r="F1154" t="s">
        <v>2557</v>
      </c>
      <c r="G1154" t="s">
        <v>2591</v>
      </c>
      <c r="H1154" t="str">
        <f>'Huong dan giao do an'!$B$14</f>
        <v>5 SV (vai trò chính): 1 PM/Scrum Master kiêm Integration; 2 BA/PO; 3 UI-UX + Frontend; 4 Backend/API + DevOps; 5 Database + QA/Tester. Mỗi SV có nhiệm vụ phụ và minh chứng cá nhân.</v>
      </c>
      <c r="I1154" t="s">
        <v>22</v>
      </c>
      <c r="J1154" t="s">
        <v>2549</v>
      </c>
      <c r="K1154" t="str">
        <f>IF(I1154="Trung bình",'Huong dan giao do an'!$B$8,IF(I1154="Khá",'Huong dan giao do an'!$B$9,'Huong dan giao do an'!$B$10))</f>
        <v>Tối thiểu 4 actor; 10-14 use case; 8-12 bảng; 3 quy trình lõi; phân quyền chi tiết; 2 báo cáo; tích hợp 1 dịch vụ; &gt;=35 test case; CI/CD hoặc deploy cloud.</v>
      </c>
      <c r="L1154" t="str">
        <f>'Huong dan giao do an'!$B$31</f>
        <v>Bắt buộc: Charter/PMP; SRS + scope/WBS; Gantt/baseline; effort-cost budget; RACI/timesheet; quality-test-defect; communication/minutes; risk register; procurement; change log; closure/lessons learned.</v>
      </c>
      <c r="M1154" t="str">
        <f>'Huong dan giao do an'!$B$33</f>
        <v>Tuần 1: 07.09–13.09.2026; Tuần 2: 14.09–20.09.2026; Tuần 3: 21.09–27.09.2026; Tuần 4: 28.09–04.10.2026; Tuần 5: 05.10–11.10.2026; Tuần 6: 12.10–18.10.2026; Tuần 7: 19.10–25.10.2026; Tuần 8: 26.10–01.11.2026.</v>
      </c>
      <c r="N11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4" s="17" t="str">
        <f t="shared" si="17"/>
        <v>Còn trống</v>
      </c>
    </row>
    <row r="1155" spans="1:16" x14ac:dyDescent="0.3">
      <c r="A1155">
        <v>1154</v>
      </c>
      <c r="B1155" t="s">
        <v>2544</v>
      </c>
      <c r="C1155" t="s">
        <v>2679</v>
      </c>
      <c r="D1155" t="s">
        <v>2680</v>
      </c>
      <c r="E1155" t="s">
        <v>45</v>
      </c>
      <c r="F1155" t="s">
        <v>2562</v>
      </c>
      <c r="G1155" t="s">
        <v>2594</v>
      </c>
      <c r="H1155" t="str">
        <f>'Huong dan giao do an'!$B$14</f>
        <v>5 SV (vai trò chính): 1 PM/Scrum Master kiêm Integration; 2 BA/PO; 3 UI-UX + Frontend; 4 Backend/API + DevOps; 5 Database + QA/Tester. Mỗi SV có nhiệm vụ phụ và minh chứng cá nhân.</v>
      </c>
      <c r="I1155" t="s">
        <v>29</v>
      </c>
      <c r="J1155" t="s">
        <v>2554</v>
      </c>
      <c r="K1155" t="str">
        <f>IF(I1155="Trung bình",'Huong dan giao do an'!$B$8,IF(I1155="Khá",'Huong dan giao do an'!$B$9,'Huong dan giao do an'!$B$10))</f>
        <v>Tối thiểu 5 actor; 14-18 use case; 10-15 bảng; 4 quy trình; tích hợp ngoài/realtime hoặc xử lý nâng cao; 3 báo cáo; &gt;=45 test case; logging, backup và deploy.</v>
      </c>
      <c r="L1155" t="str">
        <f>'Huong dan giao do an'!$B$31</f>
        <v>Bắt buộc: Charter/PMP; SRS + scope/WBS; Gantt/baseline; effort-cost budget; RACI/timesheet; quality-test-defect; communication/minutes; risk register; procurement; change log; closure/lessons learned.</v>
      </c>
      <c r="M1155" t="str">
        <f>'Huong dan giao do an'!$B$33</f>
        <v>Tuần 1: 07.09–13.09.2026; Tuần 2: 14.09–20.09.2026; Tuần 3: 21.09–27.09.2026; Tuần 4: 28.09–04.10.2026; Tuần 5: 05.10–11.10.2026; Tuần 6: 12.10–18.10.2026; Tuần 7: 19.10–25.10.2026; Tuần 8: 26.10–01.11.2026.</v>
      </c>
      <c r="N11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5" s="17" t="str">
        <f t="shared" ref="P1155:P1218" si="18">IF(O1155="","Còn trống","Đã đăng ký")</f>
        <v>Còn trống</v>
      </c>
    </row>
    <row r="1156" spans="1:16" x14ac:dyDescent="0.3">
      <c r="A1156">
        <v>1155</v>
      </c>
      <c r="B1156" t="s">
        <v>2544</v>
      </c>
      <c r="C1156" t="s">
        <v>2681</v>
      </c>
      <c r="D1156" t="s">
        <v>2682</v>
      </c>
      <c r="E1156" t="s">
        <v>19</v>
      </c>
      <c r="F1156" t="s">
        <v>2566</v>
      </c>
      <c r="G1156" t="s">
        <v>2597</v>
      </c>
      <c r="H1156" t="str">
        <f>'Huong dan giao do an'!$B$14</f>
        <v>5 SV (vai trò chính): 1 PM/Scrum Master kiêm Integration; 2 BA/PO; 3 UI-UX + Frontend; 4 Backend/API + DevOps; 5 Database + QA/Tester. Mỗi SV có nhiệm vụ phụ và minh chứng cá nhân.</v>
      </c>
      <c r="I1156" t="s">
        <v>36</v>
      </c>
      <c r="J1156" t="s">
        <v>2559</v>
      </c>
      <c r="K1156" t="str">
        <f>IF(I1156="Trung bình",'Huong dan giao do an'!$B$8,IF(I1156="Khá",'Huong dan giao do an'!$B$9,'Huong dan giao do an'!$B$10))</f>
        <v>Tối thiểu 3 actor; 8-10 use case; 6-8 bảng dữ liệu; 2 quy trình lõi; đăng nhập/RBAC; 1 dashboard; 1 báo cáo; &gt;=25 test case; triển khai bản demo.</v>
      </c>
      <c r="L1156" t="str">
        <f>'Huong dan giao do an'!$B$31</f>
        <v>Bắt buộc: Charter/PMP; SRS + scope/WBS; Gantt/baseline; effort-cost budget; RACI/timesheet; quality-test-defect; communication/minutes; risk register; procurement; change log; closure/lessons learned.</v>
      </c>
      <c r="M1156" t="str">
        <f>'Huong dan giao do an'!$B$33</f>
        <v>Tuần 1: 07.09–13.09.2026; Tuần 2: 14.09–20.09.2026; Tuần 3: 21.09–27.09.2026; Tuần 4: 28.09–04.10.2026; Tuần 5: 05.10–11.10.2026; Tuần 6: 12.10–18.10.2026; Tuần 7: 19.10–25.10.2026; Tuần 8: 26.10–01.11.2026.</v>
      </c>
      <c r="N11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6" s="17" t="str">
        <f t="shared" si="18"/>
        <v>Còn trống</v>
      </c>
    </row>
    <row r="1157" spans="1:16" x14ac:dyDescent="0.3">
      <c r="A1157">
        <v>1156</v>
      </c>
      <c r="B1157" t="s">
        <v>2544</v>
      </c>
      <c r="C1157" t="s">
        <v>2683</v>
      </c>
      <c r="D1157" t="s">
        <v>2684</v>
      </c>
      <c r="E1157" t="s">
        <v>26</v>
      </c>
      <c r="F1157" t="s">
        <v>2547</v>
      </c>
      <c r="G1157" t="s">
        <v>2600</v>
      </c>
      <c r="H1157" t="str">
        <f>'Huong dan giao do an'!$B$14</f>
        <v>5 SV (vai trò chính): 1 PM/Scrum Master kiêm Integration; 2 BA/PO; 3 UI-UX + Frontend; 4 Backend/API + DevOps; 5 Database + QA/Tester. Mỗi SV có nhiệm vụ phụ và minh chứng cá nhân.</v>
      </c>
      <c r="I1157" t="s">
        <v>22</v>
      </c>
      <c r="J1157" t="s">
        <v>2549</v>
      </c>
      <c r="K1157" t="str">
        <f>IF(I1157="Trung bình",'Huong dan giao do an'!$B$8,IF(I1157="Khá",'Huong dan giao do an'!$B$9,'Huong dan giao do an'!$B$10))</f>
        <v>Tối thiểu 4 actor; 10-14 use case; 8-12 bảng; 3 quy trình lõi; phân quyền chi tiết; 2 báo cáo; tích hợp 1 dịch vụ; &gt;=35 test case; CI/CD hoặc deploy cloud.</v>
      </c>
      <c r="L1157" t="str">
        <f>'Huong dan giao do an'!$B$31</f>
        <v>Bắt buộc: Charter/PMP; SRS + scope/WBS; Gantt/baseline; effort-cost budget; RACI/timesheet; quality-test-defect; communication/minutes; risk register; procurement; change log; closure/lessons learned.</v>
      </c>
      <c r="M1157" t="str">
        <f>'Huong dan giao do an'!$B$33</f>
        <v>Tuần 1: 07.09–13.09.2026; Tuần 2: 14.09–20.09.2026; Tuần 3: 21.09–27.09.2026; Tuần 4: 28.09–04.10.2026; Tuần 5: 05.10–11.10.2026; Tuần 6: 12.10–18.10.2026; Tuần 7: 19.10–25.10.2026; Tuần 8: 26.10–01.11.2026.</v>
      </c>
      <c r="N11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7" s="17" t="str">
        <f t="shared" si="18"/>
        <v>Còn trống</v>
      </c>
    </row>
    <row r="1158" spans="1:16" x14ac:dyDescent="0.3">
      <c r="A1158">
        <v>1157</v>
      </c>
      <c r="B1158" t="s">
        <v>2544</v>
      </c>
      <c r="C1158" t="s">
        <v>2685</v>
      </c>
      <c r="D1158" t="s">
        <v>2686</v>
      </c>
      <c r="E1158" t="s">
        <v>33</v>
      </c>
      <c r="F1158" t="s">
        <v>2552</v>
      </c>
      <c r="G1158" t="s">
        <v>2603</v>
      </c>
      <c r="H1158" t="str">
        <f>'Huong dan giao do an'!$B$14</f>
        <v>5 SV (vai trò chính): 1 PM/Scrum Master kiêm Integration; 2 BA/PO; 3 UI-UX + Frontend; 4 Backend/API + DevOps; 5 Database + QA/Tester. Mỗi SV có nhiệm vụ phụ và minh chứng cá nhân.</v>
      </c>
      <c r="I1158" t="s">
        <v>29</v>
      </c>
      <c r="J1158" t="s">
        <v>2554</v>
      </c>
      <c r="K1158" t="str">
        <f>IF(I1158="Trung bình",'Huong dan giao do an'!$B$8,IF(I1158="Khá",'Huong dan giao do an'!$B$9,'Huong dan giao do an'!$B$10))</f>
        <v>Tối thiểu 5 actor; 14-18 use case; 10-15 bảng; 4 quy trình; tích hợp ngoài/realtime hoặc xử lý nâng cao; 3 báo cáo; &gt;=45 test case; logging, backup và deploy.</v>
      </c>
      <c r="L1158" t="str">
        <f>'Huong dan giao do an'!$B$31</f>
        <v>Bắt buộc: Charter/PMP; SRS + scope/WBS; Gantt/baseline; effort-cost budget; RACI/timesheet; quality-test-defect; communication/minutes; risk register; procurement; change log; closure/lessons learned.</v>
      </c>
      <c r="M1158" t="str">
        <f>'Huong dan giao do an'!$B$33</f>
        <v>Tuần 1: 07.09–13.09.2026; Tuần 2: 14.09–20.09.2026; Tuần 3: 21.09–27.09.2026; Tuần 4: 28.09–04.10.2026; Tuần 5: 05.10–11.10.2026; Tuần 6: 12.10–18.10.2026; Tuần 7: 19.10–25.10.2026; Tuần 8: 26.10–01.11.2026.</v>
      </c>
      <c r="N11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8" s="17" t="str">
        <f t="shared" si="18"/>
        <v>Còn trống</v>
      </c>
    </row>
    <row r="1159" spans="1:16" x14ac:dyDescent="0.3">
      <c r="A1159">
        <v>1158</v>
      </c>
      <c r="B1159" t="s">
        <v>2544</v>
      </c>
      <c r="C1159" t="s">
        <v>2687</v>
      </c>
      <c r="D1159" t="s">
        <v>2688</v>
      </c>
      <c r="E1159" t="s">
        <v>40</v>
      </c>
      <c r="F1159" t="s">
        <v>2557</v>
      </c>
      <c r="G1159" t="s">
        <v>2606</v>
      </c>
      <c r="H1159" t="str">
        <f>'Huong dan giao do an'!$B$14</f>
        <v>5 SV (vai trò chính): 1 PM/Scrum Master kiêm Integration; 2 BA/PO; 3 UI-UX + Frontend; 4 Backend/API + DevOps; 5 Database + QA/Tester. Mỗi SV có nhiệm vụ phụ và minh chứng cá nhân.</v>
      </c>
      <c r="I1159" t="s">
        <v>36</v>
      </c>
      <c r="J1159" t="s">
        <v>2559</v>
      </c>
      <c r="K1159" t="str">
        <f>IF(I1159="Trung bình",'Huong dan giao do an'!$B$8,IF(I1159="Khá",'Huong dan giao do an'!$B$9,'Huong dan giao do an'!$B$10))</f>
        <v>Tối thiểu 3 actor; 8-10 use case; 6-8 bảng dữ liệu; 2 quy trình lõi; đăng nhập/RBAC; 1 dashboard; 1 báo cáo; &gt;=25 test case; triển khai bản demo.</v>
      </c>
      <c r="L1159" t="str">
        <f>'Huong dan giao do an'!$B$31</f>
        <v>Bắt buộc: Charter/PMP; SRS + scope/WBS; Gantt/baseline; effort-cost budget; RACI/timesheet; quality-test-defect; communication/minutes; risk register; procurement; change log; closure/lessons learned.</v>
      </c>
      <c r="M1159" t="str">
        <f>'Huong dan giao do an'!$B$33</f>
        <v>Tuần 1: 07.09–13.09.2026; Tuần 2: 14.09–20.09.2026; Tuần 3: 21.09–27.09.2026; Tuần 4: 28.09–04.10.2026; Tuần 5: 05.10–11.10.2026; Tuần 6: 12.10–18.10.2026; Tuần 7: 19.10–25.10.2026; Tuần 8: 26.10–01.11.2026.</v>
      </c>
      <c r="N11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59" s="17" t="str">
        <f t="shared" si="18"/>
        <v>Còn trống</v>
      </c>
    </row>
    <row r="1160" spans="1:16" x14ac:dyDescent="0.3">
      <c r="A1160">
        <v>1159</v>
      </c>
      <c r="B1160" t="s">
        <v>2544</v>
      </c>
      <c r="C1160" t="s">
        <v>2689</v>
      </c>
      <c r="D1160" t="s">
        <v>2690</v>
      </c>
      <c r="E1160" t="s">
        <v>45</v>
      </c>
      <c r="F1160" t="s">
        <v>2562</v>
      </c>
      <c r="G1160" t="s">
        <v>2609</v>
      </c>
      <c r="H1160" t="str">
        <f>'Huong dan giao do an'!$B$14</f>
        <v>5 SV (vai trò chính): 1 PM/Scrum Master kiêm Integration; 2 BA/PO; 3 UI-UX + Frontend; 4 Backend/API + DevOps; 5 Database + QA/Tester. Mỗi SV có nhiệm vụ phụ và minh chứng cá nhân.</v>
      </c>
      <c r="I1160" t="s">
        <v>22</v>
      </c>
      <c r="J1160" t="s">
        <v>2549</v>
      </c>
      <c r="K1160" t="str">
        <f>IF(I1160="Trung bình",'Huong dan giao do an'!$B$8,IF(I1160="Khá",'Huong dan giao do an'!$B$9,'Huong dan giao do an'!$B$10))</f>
        <v>Tối thiểu 4 actor; 10-14 use case; 8-12 bảng; 3 quy trình lõi; phân quyền chi tiết; 2 báo cáo; tích hợp 1 dịch vụ; &gt;=35 test case; CI/CD hoặc deploy cloud.</v>
      </c>
      <c r="L1160" t="str">
        <f>'Huong dan giao do an'!$B$31</f>
        <v>Bắt buộc: Charter/PMP; SRS + scope/WBS; Gantt/baseline; effort-cost budget; RACI/timesheet; quality-test-defect; communication/minutes; risk register; procurement; change log; closure/lessons learned.</v>
      </c>
      <c r="M1160" t="str">
        <f>'Huong dan giao do an'!$B$33</f>
        <v>Tuần 1: 07.09–13.09.2026; Tuần 2: 14.09–20.09.2026; Tuần 3: 21.09–27.09.2026; Tuần 4: 28.09–04.10.2026; Tuần 5: 05.10–11.10.2026; Tuần 6: 12.10–18.10.2026; Tuần 7: 19.10–25.10.2026; Tuần 8: 26.10–01.11.2026.</v>
      </c>
      <c r="N11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0" s="17" t="str">
        <f t="shared" si="18"/>
        <v>Còn trống</v>
      </c>
    </row>
    <row r="1161" spans="1:16" x14ac:dyDescent="0.3">
      <c r="A1161">
        <v>1160</v>
      </c>
      <c r="B1161" t="s">
        <v>2544</v>
      </c>
      <c r="C1161" t="s">
        <v>2691</v>
      </c>
      <c r="D1161" t="s">
        <v>2692</v>
      </c>
      <c r="E1161" t="s">
        <v>19</v>
      </c>
      <c r="F1161" t="s">
        <v>2566</v>
      </c>
      <c r="G1161" t="s">
        <v>2612</v>
      </c>
      <c r="H1161" t="str">
        <f>'Huong dan giao do an'!$B$14</f>
        <v>5 SV (vai trò chính): 1 PM/Scrum Master kiêm Integration; 2 BA/PO; 3 UI-UX + Frontend; 4 Backend/API + DevOps; 5 Database + QA/Tester. Mỗi SV có nhiệm vụ phụ và minh chứng cá nhân.</v>
      </c>
      <c r="I1161" t="s">
        <v>29</v>
      </c>
      <c r="J1161" t="s">
        <v>2554</v>
      </c>
      <c r="K1161" t="str">
        <f>IF(I1161="Trung bình",'Huong dan giao do an'!$B$8,IF(I1161="Khá",'Huong dan giao do an'!$B$9,'Huong dan giao do an'!$B$10))</f>
        <v>Tối thiểu 5 actor; 14-18 use case; 10-15 bảng; 4 quy trình; tích hợp ngoài/realtime hoặc xử lý nâng cao; 3 báo cáo; &gt;=45 test case; logging, backup và deploy.</v>
      </c>
      <c r="L1161" t="str">
        <f>'Huong dan giao do an'!$B$31</f>
        <v>Bắt buộc: Charter/PMP; SRS + scope/WBS; Gantt/baseline; effort-cost budget; RACI/timesheet; quality-test-defect; communication/minutes; risk register; procurement; change log; closure/lessons learned.</v>
      </c>
      <c r="M1161" t="str">
        <f>'Huong dan giao do an'!$B$33</f>
        <v>Tuần 1: 07.09–13.09.2026; Tuần 2: 14.09–20.09.2026; Tuần 3: 21.09–27.09.2026; Tuần 4: 28.09–04.10.2026; Tuần 5: 05.10–11.10.2026; Tuần 6: 12.10–18.10.2026; Tuần 7: 19.10–25.10.2026; Tuần 8: 26.10–01.11.2026.</v>
      </c>
      <c r="N11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1" s="17" t="str">
        <f t="shared" si="18"/>
        <v>Còn trống</v>
      </c>
    </row>
    <row r="1162" spans="1:16" x14ac:dyDescent="0.3">
      <c r="A1162">
        <v>1161</v>
      </c>
      <c r="B1162" t="s">
        <v>2544</v>
      </c>
      <c r="C1162" t="s">
        <v>2693</v>
      </c>
      <c r="D1162" t="s">
        <v>2694</v>
      </c>
      <c r="E1162" t="s">
        <v>26</v>
      </c>
      <c r="F1162" t="s">
        <v>2547</v>
      </c>
      <c r="G1162" t="s">
        <v>2548</v>
      </c>
      <c r="H1162" t="str">
        <f>'Huong dan giao do an'!$B$14</f>
        <v>5 SV (vai trò chính): 1 PM/Scrum Master kiêm Integration; 2 BA/PO; 3 UI-UX + Frontend; 4 Backend/API + DevOps; 5 Database + QA/Tester. Mỗi SV có nhiệm vụ phụ và minh chứng cá nhân.</v>
      </c>
      <c r="I1162" t="s">
        <v>22</v>
      </c>
      <c r="J1162" t="s">
        <v>2549</v>
      </c>
      <c r="K1162" t="str">
        <f>IF(I1162="Trung bình",'Huong dan giao do an'!$B$8,IF(I1162="Khá",'Huong dan giao do an'!$B$9,'Huong dan giao do an'!$B$10))</f>
        <v>Tối thiểu 4 actor; 10-14 use case; 8-12 bảng; 3 quy trình lõi; phân quyền chi tiết; 2 báo cáo; tích hợp 1 dịch vụ; &gt;=35 test case; CI/CD hoặc deploy cloud.</v>
      </c>
      <c r="L1162" t="str">
        <f>'Huong dan giao do an'!$B$31</f>
        <v>Bắt buộc: Charter/PMP; SRS + scope/WBS; Gantt/baseline; effort-cost budget; RACI/timesheet; quality-test-defect; communication/minutes; risk register; procurement; change log; closure/lessons learned.</v>
      </c>
      <c r="M1162" t="str">
        <f>'Huong dan giao do an'!$B$33</f>
        <v>Tuần 1: 07.09–13.09.2026; Tuần 2: 14.09–20.09.2026; Tuần 3: 21.09–27.09.2026; Tuần 4: 28.09–04.10.2026; Tuần 5: 05.10–11.10.2026; Tuần 6: 12.10–18.10.2026; Tuần 7: 19.10–25.10.2026; Tuần 8: 26.10–01.11.2026.</v>
      </c>
      <c r="N11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2" s="17" t="str">
        <f t="shared" si="18"/>
        <v>Còn trống</v>
      </c>
    </row>
    <row r="1163" spans="1:16" x14ac:dyDescent="0.3">
      <c r="A1163">
        <v>1162</v>
      </c>
      <c r="B1163" t="s">
        <v>2544</v>
      </c>
      <c r="C1163" t="s">
        <v>2695</v>
      </c>
      <c r="D1163" t="s">
        <v>2696</v>
      </c>
      <c r="E1163" t="s">
        <v>33</v>
      </c>
      <c r="F1163" t="s">
        <v>2552</v>
      </c>
      <c r="G1163" t="s">
        <v>2553</v>
      </c>
      <c r="H1163" t="str">
        <f>'Huong dan giao do an'!$B$14</f>
        <v>5 SV (vai trò chính): 1 PM/Scrum Master kiêm Integration; 2 BA/PO; 3 UI-UX + Frontend; 4 Backend/API + DevOps; 5 Database + QA/Tester. Mỗi SV có nhiệm vụ phụ và minh chứng cá nhân.</v>
      </c>
      <c r="I1163" t="s">
        <v>29</v>
      </c>
      <c r="J1163" t="s">
        <v>2554</v>
      </c>
      <c r="K1163" t="str">
        <f>IF(I1163="Trung bình",'Huong dan giao do an'!$B$8,IF(I1163="Khá",'Huong dan giao do an'!$B$9,'Huong dan giao do an'!$B$10))</f>
        <v>Tối thiểu 5 actor; 14-18 use case; 10-15 bảng; 4 quy trình; tích hợp ngoài/realtime hoặc xử lý nâng cao; 3 báo cáo; &gt;=45 test case; logging, backup và deploy.</v>
      </c>
      <c r="L1163" t="str">
        <f>'Huong dan giao do an'!$B$31</f>
        <v>Bắt buộc: Charter/PMP; SRS + scope/WBS; Gantt/baseline; effort-cost budget; RACI/timesheet; quality-test-defect; communication/minutes; risk register; procurement; change log; closure/lessons learned.</v>
      </c>
      <c r="M1163" t="str">
        <f>'Huong dan giao do an'!$B$33</f>
        <v>Tuần 1: 07.09–13.09.2026; Tuần 2: 14.09–20.09.2026; Tuần 3: 21.09–27.09.2026; Tuần 4: 28.09–04.10.2026; Tuần 5: 05.10–11.10.2026; Tuần 6: 12.10–18.10.2026; Tuần 7: 19.10–25.10.2026; Tuần 8: 26.10–01.11.2026.</v>
      </c>
      <c r="N11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3" s="17" t="str">
        <f t="shared" si="18"/>
        <v>Còn trống</v>
      </c>
    </row>
    <row r="1164" spans="1:16" x14ac:dyDescent="0.3">
      <c r="A1164">
        <v>1163</v>
      </c>
      <c r="B1164" t="s">
        <v>2544</v>
      </c>
      <c r="C1164" t="s">
        <v>2697</v>
      </c>
      <c r="D1164" t="s">
        <v>2698</v>
      </c>
      <c r="E1164" t="s">
        <v>40</v>
      </c>
      <c r="F1164" t="s">
        <v>2557</v>
      </c>
      <c r="G1164" t="s">
        <v>2558</v>
      </c>
      <c r="H1164" t="str">
        <f>'Huong dan giao do an'!$B$14</f>
        <v>5 SV (vai trò chính): 1 PM/Scrum Master kiêm Integration; 2 BA/PO; 3 UI-UX + Frontend; 4 Backend/API + DevOps; 5 Database + QA/Tester. Mỗi SV có nhiệm vụ phụ và minh chứng cá nhân.</v>
      </c>
      <c r="I1164" t="s">
        <v>36</v>
      </c>
      <c r="J1164" t="s">
        <v>2559</v>
      </c>
      <c r="K1164" t="str">
        <f>IF(I1164="Trung bình",'Huong dan giao do an'!$B$8,IF(I1164="Khá",'Huong dan giao do an'!$B$9,'Huong dan giao do an'!$B$10))</f>
        <v>Tối thiểu 3 actor; 8-10 use case; 6-8 bảng dữ liệu; 2 quy trình lõi; đăng nhập/RBAC; 1 dashboard; 1 báo cáo; &gt;=25 test case; triển khai bản demo.</v>
      </c>
      <c r="L1164" t="str">
        <f>'Huong dan giao do an'!$B$31</f>
        <v>Bắt buộc: Charter/PMP; SRS + scope/WBS; Gantt/baseline; effort-cost budget; RACI/timesheet; quality-test-defect; communication/minutes; risk register; procurement; change log; closure/lessons learned.</v>
      </c>
      <c r="M1164" t="str">
        <f>'Huong dan giao do an'!$B$33</f>
        <v>Tuần 1: 07.09–13.09.2026; Tuần 2: 14.09–20.09.2026; Tuần 3: 21.09–27.09.2026; Tuần 4: 28.09–04.10.2026; Tuần 5: 05.10–11.10.2026; Tuần 6: 12.10–18.10.2026; Tuần 7: 19.10–25.10.2026; Tuần 8: 26.10–01.11.2026.</v>
      </c>
      <c r="N11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4" s="17" t="str">
        <f t="shared" si="18"/>
        <v>Còn trống</v>
      </c>
    </row>
    <row r="1165" spans="1:16" x14ac:dyDescent="0.3">
      <c r="A1165">
        <v>1164</v>
      </c>
      <c r="B1165" t="s">
        <v>2544</v>
      </c>
      <c r="C1165" t="s">
        <v>2699</v>
      </c>
      <c r="D1165" t="s">
        <v>2700</v>
      </c>
      <c r="E1165" t="s">
        <v>45</v>
      </c>
      <c r="F1165" t="s">
        <v>2562</v>
      </c>
      <c r="G1165" t="s">
        <v>2563</v>
      </c>
      <c r="H1165" t="str">
        <f>'Huong dan giao do an'!$B$14</f>
        <v>5 SV (vai trò chính): 1 PM/Scrum Master kiêm Integration; 2 BA/PO; 3 UI-UX + Frontend; 4 Backend/API + DevOps; 5 Database + QA/Tester. Mỗi SV có nhiệm vụ phụ và minh chứng cá nhân.</v>
      </c>
      <c r="I1165" t="s">
        <v>22</v>
      </c>
      <c r="J1165" t="s">
        <v>2549</v>
      </c>
      <c r="K1165" t="str">
        <f>IF(I1165="Trung bình",'Huong dan giao do an'!$B$8,IF(I1165="Khá",'Huong dan giao do an'!$B$9,'Huong dan giao do an'!$B$10))</f>
        <v>Tối thiểu 4 actor; 10-14 use case; 8-12 bảng; 3 quy trình lõi; phân quyền chi tiết; 2 báo cáo; tích hợp 1 dịch vụ; &gt;=35 test case; CI/CD hoặc deploy cloud.</v>
      </c>
      <c r="L1165" t="str">
        <f>'Huong dan giao do an'!$B$31</f>
        <v>Bắt buộc: Charter/PMP; SRS + scope/WBS; Gantt/baseline; effort-cost budget; RACI/timesheet; quality-test-defect; communication/minutes; risk register; procurement; change log; closure/lessons learned.</v>
      </c>
      <c r="M1165" t="str">
        <f>'Huong dan giao do an'!$B$33</f>
        <v>Tuần 1: 07.09–13.09.2026; Tuần 2: 14.09–20.09.2026; Tuần 3: 21.09–27.09.2026; Tuần 4: 28.09–04.10.2026; Tuần 5: 05.10–11.10.2026; Tuần 6: 12.10–18.10.2026; Tuần 7: 19.10–25.10.2026; Tuần 8: 26.10–01.11.2026.</v>
      </c>
      <c r="N11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5" s="17" t="str">
        <f t="shared" si="18"/>
        <v>Còn trống</v>
      </c>
    </row>
    <row r="1166" spans="1:16" x14ac:dyDescent="0.3">
      <c r="A1166">
        <v>1165</v>
      </c>
      <c r="B1166" t="s">
        <v>2544</v>
      </c>
      <c r="C1166" t="s">
        <v>2701</v>
      </c>
      <c r="D1166" t="s">
        <v>2702</v>
      </c>
      <c r="E1166" t="s">
        <v>19</v>
      </c>
      <c r="F1166" t="s">
        <v>2566</v>
      </c>
      <c r="G1166" t="s">
        <v>2567</v>
      </c>
      <c r="H1166" t="str">
        <f>'Huong dan giao do an'!$B$14</f>
        <v>5 SV (vai trò chính): 1 PM/Scrum Master kiêm Integration; 2 BA/PO; 3 UI-UX + Frontend; 4 Backend/API + DevOps; 5 Database + QA/Tester. Mỗi SV có nhiệm vụ phụ và minh chứng cá nhân.</v>
      </c>
      <c r="I1166" t="s">
        <v>29</v>
      </c>
      <c r="J1166" t="s">
        <v>2554</v>
      </c>
      <c r="K1166" t="str">
        <f>IF(I1166="Trung bình",'Huong dan giao do an'!$B$8,IF(I1166="Khá",'Huong dan giao do an'!$B$9,'Huong dan giao do an'!$B$10))</f>
        <v>Tối thiểu 5 actor; 14-18 use case; 10-15 bảng; 4 quy trình; tích hợp ngoài/realtime hoặc xử lý nâng cao; 3 báo cáo; &gt;=45 test case; logging, backup và deploy.</v>
      </c>
      <c r="L1166" t="str">
        <f>'Huong dan giao do an'!$B$31</f>
        <v>Bắt buộc: Charter/PMP; SRS + scope/WBS; Gantt/baseline; effort-cost budget; RACI/timesheet; quality-test-defect; communication/minutes; risk register; procurement; change log; closure/lessons learned.</v>
      </c>
      <c r="M1166" t="str">
        <f>'Huong dan giao do an'!$B$33</f>
        <v>Tuần 1: 07.09–13.09.2026; Tuần 2: 14.09–20.09.2026; Tuần 3: 21.09–27.09.2026; Tuần 4: 28.09–04.10.2026; Tuần 5: 05.10–11.10.2026; Tuần 6: 12.10–18.10.2026; Tuần 7: 19.10–25.10.2026; Tuần 8: 26.10–01.11.2026.</v>
      </c>
      <c r="N11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6" s="17" t="str">
        <f t="shared" si="18"/>
        <v>Còn trống</v>
      </c>
    </row>
    <row r="1167" spans="1:16" x14ac:dyDescent="0.3">
      <c r="A1167">
        <v>1166</v>
      </c>
      <c r="B1167" t="s">
        <v>2544</v>
      </c>
      <c r="C1167" t="s">
        <v>2703</v>
      </c>
      <c r="D1167" t="s">
        <v>2704</v>
      </c>
      <c r="E1167" t="s">
        <v>26</v>
      </c>
      <c r="F1167" t="s">
        <v>2547</v>
      </c>
      <c r="G1167" t="s">
        <v>2570</v>
      </c>
      <c r="H1167" t="str">
        <f>'Huong dan giao do an'!$B$14</f>
        <v>5 SV (vai trò chính): 1 PM/Scrum Master kiêm Integration; 2 BA/PO; 3 UI-UX + Frontend; 4 Backend/API + DevOps; 5 Database + QA/Tester. Mỗi SV có nhiệm vụ phụ và minh chứng cá nhân.</v>
      </c>
      <c r="I1167" t="s">
        <v>36</v>
      </c>
      <c r="J1167" t="s">
        <v>2559</v>
      </c>
      <c r="K1167" t="str">
        <f>IF(I1167="Trung bình",'Huong dan giao do an'!$B$8,IF(I1167="Khá",'Huong dan giao do an'!$B$9,'Huong dan giao do an'!$B$10))</f>
        <v>Tối thiểu 3 actor; 8-10 use case; 6-8 bảng dữ liệu; 2 quy trình lõi; đăng nhập/RBAC; 1 dashboard; 1 báo cáo; &gt;=25 test case; triển khai bản demo.</v>
      </c>
      <c r="L1167" t="str">
        <f>'Huong dan giao do an'!$B$31</f>
        <v>Bắt buộc: Charter/PMP; SRS + scope/WBS; Gantt/baseline; effort-cost budget; RACI/timesheet; quality-test-defect; communication/minutes; risk register; procurement; change log; closure/lessons learned.</v>
      </c>
      <c r="M1167" t="str">
        <f>'Huong dan giao do an'!$B$33</f>
        <v>Tuần 1: 07.09–13.09.2026; Tuần 2: 14.09–20.09.2026; Tuần 3: 21.09–27.09.2026; Tuần 4: 28.09–04.10.2026; Tuần 5: 05.10–11.10.2026; Tuần 6: 12.10–18.10.2026; Tuần 7: 19.10–25.10.2026; Tuần 8: 26.10–01.11.2026.</v>
      </c>
      <c r="N11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7" s="17" t="str">
        <f t="shared" si="18"/>
        <v>Còn trống</v>
      </c>
    </row>
    <row r="1168" spans="1:16" x14ac:dyDescent="0.3">
      <c r="A1168">
        <v>1167</v>
      </c>
      <c r="B1168" t="s">
        <v>2544</v>
      </c>
      <c r="C1168" t="s">
        <v>2705</v>
      </c>
      <c r="D1168" t="s">
        <v>2706</v>
      </c>
      <c r="E1168" t="s">
        <v>33</v>
      </c>
      <c r="F1168" t="s">
        <v>2552</v>
      </c>
      <c r="G1168" t="s">
        <v>2573</v>
      </c>
      <c r="H1168" t="str">
        <f>'Huong dan giao do an'!$B$14</f>
        <v>5 SV (vai trò chính): 1 PM/Scrum Master kiêm Integration; 2 BA/PO; 3 UI-UX + Frontend; 4 Backend/API + DevOps; 5 Database + QA/Tester. Mỗi SV có nhiệm vụ phụ và minh chứng cá nhân.</v>
      </c>
      <c r="I1168" t="s">
        <v>22</v>
      </c>
      <c r="J1168" t="s">
        <v>2549</v>
      </c>
      <c r="K1168" t="str">
        <f>IF(I1168="Trung bình",'Huong dan giao do an'!$B$8,IF(I1168="Khá",'Huong dan giao do an'!$B$9,'Huong dan giao do an'!$B$10))</f>
        <v>Tối thiểu 4 actor; 10-14 use case; 8-12 bảng; 3 quy trình lõi; phân quyền chi tiết; 2 báo cáo; tích hợp 1 dịch vụ; &gt;=35 test case; CI/CD hoặc deploy cloud.</v>
      </c>
      <c r="L1168" t="str">
        <f>'Huong dan giao do an'!$B$31</f>
        <v>Bắt buộc: Charter/PMP; SRS + scope/WBS; Gantt/baseline; effort-cost budget; RACI/timesheet; quality-test-defect; communication/minutes; risk register; procurement; change log; closure/lessons learned.</v>
      </c>
      <c r="M1168" t="str">
        <f>'Huong dan giao do an'!$B$33</f>
        <v>Tuần 1: 07.09–13.09.2026; Tuần 2: 14.09–20.09.2026; Tuần 3: 21.09–27.09.2026; Tuần 4: 28.09–04.10.2026; Tuần 5: 05.10–11.10.2026; Tuần 6: 12.10–18.10.2026; Tuần 7: 19.10–25.10.2026; Tuần 8: 26.10–01.11.2026.</v>
      </c>
      <c r="N11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8" s="17" t="str">
        <f t="shared" si="18"/>
        <v>Còn trống</v>
      </c>
    </row>
    <row r="1169" spans="1:16" x14ac:dyDescent="0.3">
      <c r="A1169">
        <v>1168</v>
      </c>
      <c r="B1169" t="s">
        <v>2544</v>
      </c>
      <c r="C1169" t="s">
        <v>2707</v>
      </c>
      <c r="D1169" t="s">
        <v>2708</v>
      </c>
      <c r="E1169" t="s">
        <v>40</v>
      </c>
      <c r="F1169" t="s">
        <v>2557</v>
      </c>
      <c r="G1169" t="s">
        <v>2576</v>
      </c>
      <c r="H1169" t="str">
        <f>'Huong dan giao do an'!$B$14</f>
        <v>5 SV (vai trò chính): 1 PM/Scrum Master kiêm Integration; 2 BA/PO; 3 UI-UX + Frontend; 4 Backend/API + DevOps; 5 Database + QA/Tester. Mỗi SV có nhiệm vụ phụ và minh chứng cá nhân.</v>
      </c>
      <c r="I1169" t="s">
        <v>29</v>
      </c>
      <c r="J1169" t="s">
        <v>2554</v>
      </c>
      <c r="K1169" t="str">
        <f>IF(I1169="Trung bình",'Huong dan giao do an'!$B$8,IF(I1169="Khá",'Huong dan giao do an'!$B$9,'Huong dan giao do an'!$B$10))</f>
        <v>Tối thiểu 5 actor; 14-18 use case; 10-15 bảng; 4 quy trình; tích hợp ngoài/realtime hoặc xử lý nâng cao; 3 báo cáo; &gt;=45 test case; logging, backup và deploy.</v>
      </c>
      <c r="L1169" t="str">
        <f>'Huong dan giao do an'!$B$31</f>
        <v>Bắt buộc: Charter/PMP; SRS + scope/WBS; Gantt/baseline; effort-cost budget; RACI/timesheet; quality-test-defect; communication/minutes; risk register; procurement; change log; closure/lessons learned.</v>
      </c>
      <c r="M1169" t="str">
        <f>'Huong dan giao do an'!$B$33</f>
        <v>Tuần 1: 07.09–13.09.2026; Tuần 2: 14.09–20.09.2026; Tuần 3: 21.09–27.09.2026; Tuần 4: 28.09–04.10.2026; Tuần 5: 05.10–11.10.2026; Tuần 6: 12.10–18.10.2026; Tuần 7: 19.10–25.10.2026; Tuần 8: 26.10–01.11.2026.</v>
      </c>
      <c r="N11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69" s="17" t="str">
        <f t="shared" si="18"/>
        <v>Còn trống</v>
      </c>
    </row>
    <row r="1170" spans="1:16" x14ac:dyDescent="0.3">
      <c r="A1170">
        <v>1169</v>
      </c>
      <c r="B1170" t="s">
        <v>2544</v>
      </c>
      <c r="C1170" t="s">
        <v>2709</v>
      </c>
      <c r="D1170" t="s">
        <v>2710</v>
      </c>
      <c r="E1170" t="s">
        <v>45</v>
      </c>
      <c r="F1170" t="s">
        <v>2562</v>
      </c>
      <c r="G1170" t="s">
        <v>2579</v>
      </c>
      <c r="H1170" t="str">
        <f>'Huong dan giao do an'!$B$14</f>
        <v>5 SV (vai trò chính): 1 PM/Scrum Master kiêm Integration; 2 BA/PO; 3 UI-UX + Frontend; 4 Backend/API + DevOps; 5 Database + QA/Tester. Mỗi SV có nhiệm vụ phụ và minh chứng cá nhân.</v>
      </c>
      <c r="I1170" t="s">
        <v>36</v>
      </c>
      <c r="J1170" t="s">
        <v>2559</v>
      </c>
      <c r="K1170" t="str">
        <f>IF(I1170="Trung bình",'Huong dan giao do an'!$B$8,IF(I1170="Khá",'Huong dan giao do an'!$B$9,'Huong dan giao do an'!$B$10))</f>
        <v>Tối thiểu 3 actor; 8-10 use case; 6-8 bảng dữ liệu; 2 quy trình lõi; đăng nhập/RBAC; 1 dashboard; 1 báo cáo; &gt;=25 test case; triển khai bản demo.</v>
      </c>
      <c r="L1170" t="str">
        <f>'Huong dan giao do an'!$B$31</f>
        <v>Bắt buộc: Charter/PMP; SRS + scope/WBS; Gantt/baseline; effort-cost budget; RACI/timesheet; quality-test-defect; communication/minutes; risk register; procurement; change log; closure/lessons learned.</v>
      </c>
      <c r="M1170" t="str">
        <f>'Huong dan giao do an'!$B$33</f>
        <v>Tuần 1: 07.09–13.09.2026; Tuần 2: 14.09–20.09.2026; Tuần 3: 21.09–27.09.2026; Tuần 4: 28.09–04.10.2026; Tuần 5: 05.10–11.10.2026; Tuần 6: 12.10–18.10.2026; Tuần 7: 19.10–25.10.2026; Tuần 8: 26.10–01.11.2026.</v>
      </c>
      <c r="N11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0" s="17" t="str">
        <f t="shared" si="18"/>
        <v>Còn trống</v>
      </c>
    </row>
    <row r="1171" spans="1:16" x14ac:dyDescent="0.3">
      <c r="A1171">
        <v>1170</v>
      </c>
      <c r="B1171" t="s">
        <v>2544</v>
      </c>
      <c r="C1171" t="s">
        <v>2711</v>
      </c>
      <c r="D1171" t="s">
        <v>2712</v>
      </c>
      <c r="E1171" t="s">
        <v>19</v>
      </c>
      <c r="F1171" t="s">
        <v>2566</v>
      </c>
      <c r="G1171" t="s">
        <v>2582</v>
      </c>
      <c r="H1171" t="str">
        <f>'Huong dan giao do an'!$B$14</f>
        <v>5 SV (vai trò chính): 1 PM/Scrum Master kiêm Integration; 2 BA/PO; 3 UI-UX + Frontend; 4 Backend/API + DevOps; 5 Database + QA/Tester. Mỗi SV có nhiệm vụ phụ và minh chứng cá nhân.</v>
      </c>
      <c r="I1171" t="s">
        <v>22</v>
      </c>
      <c r="J1171" t="s">
        <v>2549</v>
      </c>
      <c r="K1171" t="str">
        <f>IF(I1171="Trung bình",'Huong dan giao do an'!$B$8,IF(I1171="Khá",'Huong dan giao do an'!$B$9,'Huong dan giao do an'!$B$10))</f>
        <v>Tối thiểu 4 actor; 10-14 use case; 8-12 bảng; 3 quy trình lõi; phân quyền chi tiết; 2 báo cáo; tích hợp 1 dịch vụ; &gt;=35 test case; CI/CD hoặc deploy cloud.</v>
      </c>
      <c r="L1171" t="str">
        <f>'Huong dan giao do an'!$B$31</f>
        <v>Bắt buộc: Charter/PMP; SRS + scope/WBS; Gantt/baseline; effort-cost budget; RACI/timesheet; quality-test-defect; communication/minutes; risk register; procurement; change log; closure/lessons learned.</v>
      </c>
      <c r="M1171" t="str">
        <f>'Huong dan giao do an'!$B$33</f>
        <v>Tuần 1: 07.09–13.09.2026; Tuần 2: 14.09–20.09.2026; Tuần 3: 21.09–27.09.2026; Tuần 4: 28.09–04.10.2026; Tuần 5: 05.10–11.10.2026; Tuần 6: 12.10–18.10.2026; Tuần 7: 19.10–25.10.2026; Tuần 8: 26.10–01.11.2026.</v>
      </c>
      <c r="N11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1" s="17" t="str">
        <f t="shared" si="18"/>
        <v>Còn trống</v>
      </c>
    </row>
    <row r="1172" spans="1:16" x14ac:dyDescent="0.3">
      <c r="A1172">
        <v>1171</v>
      </c>
      <c r="B1172" t="s">
        <v>2544</v>
      </c>
      <c r="C1172" t="s">
        <v>2713</v>
      </c>
      <c r="D1172" t="s">
        <v>2714</v>
      </c>
      <c r="E1172" t="s">
        <v>26</v>
      </c>
      <c r="F1172" t="s">
        <v>2547</v>
      </c>
      <c r="G1172" t="s">
        <v>2585</v>
      </c>
      <c r="H1172" t="str">
        <f>'Huong dan giao do an'!$B$14</f>
        <v>5 SV (vai trò chính): 1 PM/Scrum Master kiêm Integration; 2 BA/PO; 3 UI-UX + Frontend; 4 Backend/API + DevOps; 5 Database + QA/Tester. Mỗi SV có nhiệm vụ phụ và minh chứng cá nhân.</v>
      </c>
      <c r="I1172" t="s">
        <v>29</v>
      </c>
      <c r="J1172" t="s">
        <v>2554</v>
      </c>
      <c r="K1172" t="str">
        <f>IF(I1172="Trung bình",'Huong dan giao do an'!$B$8,IF(I1172="Khá",'Huong dan giao do an'!$B$9,'Huong dan giao do an'!$B$10))</f>
        <v>Tối thiểu 5 actor; 14-18 use case; 10-15 bảng; 4 quy trình; tích hợp ngoài/realtime hoặc xử lý nâng cao; 3 báo cáo; &gt;=45 test case; logging, backup và deploy.</v>
      </c>
      <c r="L1172" t="str">
        <f>'Huong dan giao do an'!$B$31</f>
        <v>Bắt buộc: Charter/PMP; SRS + scope/WBS; Gantt/baseline; effort-cost budget; RACI/timesheet; quality-test-defect; communication/minutes; risk register; procurement; change log; closure/lessons learned.</v>
      </c>
      <c r="M1172" t="str">
        <f>'Huong dan giao do an'!$B$33</f>
        <v>Tuần 1: 07.09–13.09.2026; Tuần 2: 14.09–20.09.2026; Tuần 3: 21.09–27.09.2026; Tuần 4: 28.09–04.10.2026; Tuần 5: 05.10–11.10.2026; Tuần 6: 12.10–18.10.2026; Tuần 7: 19.10–25.10.2026; Tuần 8: 26.10–01.11.2026.</v>
      </c>
      <c r="N11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2" s="17" t="str">
        <f t="shared" si="18"/>
        <v>Còn trống</v>
      </c>
    </row>
    <row r="1173" spans="1:16" x14ac:dyDescent="0.3">
      <c r="A1173">
        <v>1172</v>
      </c>
      <c r="B1173" t="s">
        <v>2544</v>
      </c>
      <c r="C1173" t="s">
        <v>2715</v>
      </c>
      <c r="D1173" t="s">
        <v>2716</v>
      </c>
      <c r="E1173" t="s">
        <v>33</v>
      </c>
      <c r="F1173" t="s">
        <v>2552</v>
      </c>
      <c r="G1173" t="s">
        <v>2588</v>
      </c>
      <c r="H1173" t="str">
        <f>'Huong dan giao do an'!$B$14</f>
        <v>5 SV (vai trò chính): 1 PM/Scrum Master kiêm Integration; 2 BA/PO; 3 UI-UX + Frontend; 4 Backend/API + DevOps; 5 Database + QA/Tester. Mỗi SV có nhiệm vụ phụ và minh chứng cá nhân.</v>
      </c>
      <c r="I1173" t="s">
        <v>36</v>
      </c>
      <c r="J1173" t="s">
        <v>2559</v>
      </c>
      <c r="K1173" t="str">
        <f>IF(I1173="Trung bình",'Huong dan giao do an'!$B$8,IF(I1173="Khá",'Huong dan giao do an'!$B$9,'Huong dan giao do an'!$B$10))</f>
        <v>Tối thiểu 3 actor; 8-10 use case; 6-8 bảng dữ liệu; 2 quy trình lõi; đăng nhập/RBAC; 1 dashboard; 1 báo cáo; &gt;=25 test case; triển khai bản demo.</v>
      </c>
      <c r="L1173" t="str">
        <f>'Huong dan giao do an'!$B$31</f>
        <v>Bắt buộc: Charter/PMP; SRS + scope/WBS; Gantt/baseline; effort-cost budget; RACI/timesheet; quality-test-defect; communication/minutes; risk register; procurement; change log; closure/lessons learned.</v>
      </c>
      <c r="M1173" t="str">
        <f>'Huong dan giao do an'!$B$33</f>
        <v>Tuần 1: 07.09–13.09.2026; Tuần 2: 14.09–20.09.2026; Tuần 3: 21.09–27.09.2026; Tuần 4: 28.09–04.10.2026; Tuần 5: 05.10–11.10.2026; Tuần 6: 12.10–18.10.2026; Tuần 7: 19.10–25.10.2026; Tuần 8: 26.10–01.11.2026.</v>
      </c>
      <c r="N11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3" s="17" t="str">
        <f t="shared" si="18"/>
        <v>Còn trống</v>
      </c>
    </row>
    <row r="1174" spans="1:16" x14ac:dyDescent="0.3">
      <c r="A1174">
        <v>1173</v>
      </c>
      <c r="B1174" t="s">
        <v>2544</v>
      </c>
      <c r="C1174" t="s">
        <v>2717</v>
      </c>
      <c r="D1174" t="s">
        <v>2718</v>
      </c>
      <c r="E1174" t="s">
        <v>40</v>
      </c>
      <c r="F1174" t="s">
        <v>2557</v>
      </c>
      <c r="G1174" t="s">
        <v>2591</v>
      </c>
      <c r="H1174" t="str">
        <f>'Huong dan giao do an'!$B$14</f>
        <v>5 SV (vai trò chính): 1 PM/Scrum Master kiêm Integration; 2 BA/PO; 3 UI-UX + Frontend; 4 Backend/API + DevOps; 5 Database + QA/Tester. Mỗi SV có nhiệm vụ phụ và minh chứng cá nhân.</v>
      </c>
      <c r="I1174" t="s">
        <v>22</v>
      </c>
      <c r="J1174" t="s">
        <v>2549</v>
      </c>
      <c r="K1174" t="str">
        <f>IF(I1174="Trung bình",'Huong dan giao do an'!$B$8,IF(I1174="Khá",'Huong dan giao do an'!$B$9,'Huong dan giao do an'!$B$10))</f>
        <v>Tối thiểu 4 actor; 10-14 use case; 8-12 bảng; 3 quy trình lõi; phân quyền chi tiết; 2 báo cáo; tích hợp 1 dịch vụ; &gt;=35 test case; CI/CD hoặc deploy cloud.</v>
      </c>
      <c r="L1174" t="str">
        <f>'Huong dan giao do an'!$B$31</f>
        <v>Bắt buộc: Charter/PMP; SRS + scope/WBS; Gantt/baseline; effort-cost budget; RACI/timesheet; quality-test-defect; communication/minutes; risk register; procurement; change log; closure/lessons learned.</v>
      </c>
      <c r="M1174" t="str">
        <f>'Huong dan giao do an'!$B$33</f>
        <v>Tuần 1: 07.09–13.09.2026; Tuần 2: 14.09–20.09.2026; Tuần 3: 21.09–27.09.2026; Tuần 4: 28.09–04.10.2026; Tuần 5: 05.10–11.10.2026; Tuần 6: 12.10–18.10.2026; Tuần 7: 19.10–25.10.2026; Tuần 8: 26.10–01.11.2026.</v>
      </c>
      <c r="N11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4" s="17" t="str">
        <f t="shared" si="18"/>
        <v>Còn trống</v>
      </c>
    </row>
    <row r="1175" spans="1:16" x14ac:dyDescent="0.3">
      <c r="A1175">
        <v>1174</v>
      </c>
      <c r="B1175" t="s">
        <v>2544</v>
      </c>
      <c r="C1175" t="s">
        <v>2719</v>
      </c>
      <c r="D1175" t="s">
        <v>2720</v>
      </c>
      <c r="E1175" t="s">
        <v>45</v>
      </c>
      <c r="F1175" t="s">
        <v>2562</v>
      </c>
      <c r="G1175" t="s">
        <v>2594</v>
      </c>
      <c r="H1175" t="str">
        <f>'Huong dan giao do an'!$B$14</f>
        <v>5 SV (vai trò chính): 1 PM/Scrum Master kiêm Integration; 2 BA/PO; 3 UI-UX + Frontend; 4 Backend/API + DevOps; 5 Database + QA/Tester. Mỗi SV có nhiệm vụ phụ và minh chứng cá nhân.</v>
      </c>
      <c r="I1175" t="s">
        <v>29</v>
      </c>
      <c r="J1175" t="s">
        <v>2554</v>
      </c>
      <c r="K1175" t="str">
        <f>IF(I1175="Trung bình",'Huong dan giao do an'!$B$8,IF(I1175="Khá",'Huong dan giao do an'!$B$9,'Huong dan giao do an'!$B$10))</f>
        <v>Tối thiểu 5 actor; 14-18 use case; 10-15 bảng; 4 quy trình; tích hợp ngoài/realtime hoặc xử lý nâng cao; 3 báo cáo; &gt;=45 test case; logging, backup và deploy.</v>
      </c>
      <c r="L1175" t="str">
        <f>'Huong dan giao do an'!$B$31</f>
        <v>Bắt buộc: Charter/PMP; SRS + scope/WBS; Gantt/baseline; effort-cost budget; RACI/timesheet; quality-test-defect; communication/minutes; risk register; procurement; change log; closure/lessons learned.</v>
      </c>
      <c r="M1175" t="str">
        <f>'Huong dan giao do an'!$B$33</f>
        <v>Tuần 1: 07.09–13.09.2026; Tuần 2: 14.09–20.09.2026; Tuần 3: 21.09–27.09.2026; Tuần 4: 28.09–04.10.2026; Tuần 5: 05.10–11.10.2026; Tuần 6: 12.10–18.10.2026; Tuần 7: 19.10–25.10.2026; Tuần 8: 26.10–01.11.2026.</v>
      </c>
      <c r="N11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5" s="17" t="str">
        <f t="shared" si="18"/>
        <v>Còn trống</v>
      </c>
    </row>
    <row r="1176" spans="1:16" x14ac:dyDescent="0.3">
      <c r="A1176">
        <v>1175</v>
      </c>
      <c r="B1176" t="s">
        <v>2544</v>
      </c>
      <c r="C1176" t="s">
        <v>2721</v>
      </c>
      <c r="D1176" t="s">
        <v>2722</v>
      </c>
      <c r="E1176" t="s">
        <v>19</v>
      </c>
      <c r="F1176" t="s">
        <v>2566</v>
      </c>
      <c r="G1176" t="s">
        <v>2597</v>
      </c>
      <c r="H1176" t="str">
        <f>'Huong dan giao do an'!$B$14</f>
        <v>5 SV (vai trò chính): 1 PM/Scrum Master kiêm Integration; 2 BA/PO; 3 UI-UX + Frontend; 4 Backend/API + DevOps; 5 Database + QA/Tester. Mỗi SV có nhiệm vụ phụ và minh chứng cá nhân.</v>
      </c>
      <c r="I1176" t="s">
        <v>36</v>
      </c>
      <c r="J1176" t="s">
        <v>2559</v>
      </c>
      <c r="K1176" t="str">
        <f>IF(I1176="Trung bình",'Huong dan giao do an'!$B$8,IF(I1176="Khá",'Huong dan giao do an'!$B$9,'Huong dan giao do an'!$B$10))</f>
        <v>Tối thiểu 3 actor; 8-10 use case; 6-8 bảng dữ liệu; 2 quy trình lõi; đăng nhập/RBAC; 1 dashboard; 1 báo cáo; &gt;=25 test case; triển khai bản demo.</v>
      </c>
      <c r="L1176" t="str">
        <f>'Huong dan giao do an'!$B$31</f>
        <v>Bắt buộc: Charter/PMP; SRS + scope/WBS; Gantt/baseline; effort-cost budget; RACI/timesheet; quality-test-defect; communication/minutes; risk register; procurement; change log; closure/lessons learned.</v>
      </c>
      <c r="M1176" t="str">
        <f>'Huong dan giao do an'!$B$33</f>
        <v>Tuần 1: 07.09–13.09.2026; Tuần 2: 14.09–20.09.2026; Tuần 3: 21.09–27.09.2026; Tuần 4: 28.09–04.10.2026; Tuần 5: 05.10–11.10.2026; Tuần 6: 12.10–18.10.2026; Tuần 7: 19.10–25.10.2026; Tuần 8: 26.10–01.11.2026.</v>
      </c>
      <c r="N11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6" s="17" t="str">
        <f t="shared" si="18"/>
        <v>Còn trống</v>
      </c>
    </row>
    <row r="1177" spans="1:16" x14ac:dyDescent="0.3">
      <c r="A1177">
        <v>1176</v>
      </c>
      <c r="B1177" t="s">
        <v>2544</v>
      </c>
      <c r="C1177" t="s">
        <v>2723</v>
      </c>
      <c r="D1177" t="s">
        <v>2724</v>
      </c>
      <c r="E1177" t="s">
        <v>26</v>
      </c>
      <c r="F1177" t="s">
        <v>2547</v>
      </c>
      <c r="G1177" t="s">
        <v>2600</v>
      </c>
      <c r="H1177" t="str">
        <f>'Huong dan giao do an'!$B$14</f>
        <v>5 SV (vai trò chính): 1 PM/Scrum Master kiêm Integration; 2 BA/PO; 3 UI-UX + Frontend; 4 Backend/API + DevOps; 5 Database + QA/Tester. Mỗi SV có nhiệm vụ phụ và minh chứng cá nhân.</v>
      </c>
      <c r="I1177" t="s">
        <v>22</v>
      </c>
      <c r="J1177" t="s">
        <v>2549</v>
      </c>
      <c r="K1177" t="str">
        <f>IF(I1177="Trung bình",'Huong dan giao do an'!$B$8,IF(I1177="Khá",'Huong dan giao do an'!$B$9,'Huong dan giao do an'!$B$10))</f>
        <v>Tối thiểu 4 actor; 10-14 use case; 8-12 bảng; 3 quy trình lõi; phân quyền chi tiết; 2 báo cáo; tích hợp 1 dịch vụ; &gt;=35 test case; CI/CD hoặc deploy cloud.</v>
      </c>
      <c r="L1177" t="str">
        <f>'Huong dan giao do an'!$B$31</f>
        <v>Bắt buộc: Charter/PMP; SRS + scope/WBS; Gantt/baseline; effort-cost budget; RACI/timesheet; quality-test-defect; communication/minutes; risk register; procurement; change log; closure/lessons learned.</v>
      </c>
      <c r="M1177" t="str">
        <f>'Huong dan giao do an'!$B$33</f>
        <v>Tuần 1: 07.09–13.09.2026; Tuần 2: 14.09–20.09.2026; Tuần 3: 21.09–27.09.2026; Tuần 4: 28.09–04.10.2026; Tuần 5: 05.10–11.10.2026; Tuần 6: 12.10–18.10.2026; Tuần 7: 19.10–25.10.2026; Tuần 8: 26.10–01.11.2026.</v>
      </c>
      <c r="N11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7" s="17" t="str">
        <f t="shared" si="18"/>
        <v>Còn trống</v>
      </c>
    </row>
    <row r="1178" spans="1:16" x14ac:dyDescent="0.3">
      <c r="A1178">
        <v>1177</v>
      </c>
      <c r="B1178" t="s">
        <v>2544</v>
      </c>
      <c r="C1178" t="s">
        <v>2725</v>
      </c>
      <c r="D1178" t="s">
        <v>2726</v>
      </c>
      <c r="E1178" t="s">
        <v>33</v>
      </c>
      <c r="F1178" t="s">
        <v>2552</v>
      </c>
      <c r="G1178" t="s">
        <v>2603</v>
      </c>
      <c r="H1178" t="str">
        <f>'Huong dan giao do an'!$B$14</f>
        <v>5 SV (vai trò chính): 1 PM/Scrum Master kiêm Integration; 2 BA/PO; 3 UI-UX + Frontend; 4 Backend/API + DevOps; 5 Database + QA/Tester. Mỗi SV có nhiệm vụ phụ và minh chứng cá nhân.</v>
      </c>
      <c r="I1178" t="s">
        <v>29</v>
      </c>
      <c r="J1178" t="s">
        <v>2554</v>
      </c>
      <c r="K1178" t="str">
        <f>IF(I1178="Trung bình",'Huong dan giao do an'!$B$8,IF(I1178="Khá",'Huong dan giao do an'!$B$9,'Huong dan giao do an'!$B$10))</f>
        <v>Tối thiểu 5 actor; 14-18 use case; 10-15 bảng; 4 quy trình; tích hợp ngoài/realtime hoặc xử lý nâng cao; 3 báo cáo; &gt;=45 test case; logging, backup và deploy.</v>
      </c>
      <c r="L1178" t="str">
        <f>'Huong dan giao do an'!$B$31</f>
        <v>Bắt buộc: Charter/PMP; SRS + scope/WBS; Gantt/baseline; effort-cost budget; RACI/timesheet; quality-test-defect; communication/minutes; risk register; procurement; change log; closure/lessons learned.</v>
      </c>
      <c r="M1178" t="str">
        <f>'Huong dan giao do an'!$B$33</f>
        <v>Tuần 1: 07.09–13.09.2026; Tuần 2: 14.09–20.09.2026; Tuần 3: 21.09–27.09.2026; Tuần 4: 28.09–04.10.2026; Tuần 5: 05.10–11.10.2026; Tuần 6: 12.10–18.10.2026; Tuần 7: 19.10–25.10.2026; Tuần 8: 26.10–01.11.2026.</v>
      </c>
      <c r="N11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8" s="17" t="str">
        <f t="shared" si="18"/>
        <v>Còn trống</v>
      </c>
    </row>
    <row r="1179" spans="1:16" x14ac:dyDescent="0.3">
      <c r="A1179">
        <v>1178</v>
      </c>
      <c r="B1179" t="s">
        <v>2544</v>
      </c>
      <c r="C1179" t="s">
        <v>2727</v>
      </c>
      <c r="D1179" t="s">
        <v>2728</v>
      </c>
      <c r="E1179" t="s">
        <v>40</v>
      </c>
      <c r="F1179" t="s">
        <v>2557</v>
      </c>
      <c r="G1179" t="s">
        <v>2606</v>
      </c>
      <c r="H1179" t="str">
        <f>'Huong dan giao do an'!$B$14</f>
        <v>5 SV (vai trò chính): 1 PM/Scrum Master kiêm Integration; 2 BA/PO; 3 UI-UX + Frontend; 4 Backend/API + DevOps; 5 Database + QA/Tester. Mỗi SV có nhiệm vụ phụ và minh chứng cá nhân.</v>
      </c>
      <c r="I1179" t="s">
        <v>36</v>
      </c>
      <c r="J1179" t="s">
        <v>2559</v>
      </c>
      <c r="K1179" t="str">
        <f>IF(I1179="Trung bình",'Huong dan giao do an'!$B$8,IF(I1179="Khá",'Huong dan giao do an'!$B$9,'Huong dan giao do an'!$B$10))</f>
        <v>Tối thiểu 3 actor; 8-10 use case; 6-8 bảng dữ liệu; 2 quy trình lõi; đăng nhập/RBAC; 1 dashboard; 1 báo cáo; &gt;=25 test case; triển khai bản demo.</v>
      </c>
      <c r="L1179" t="str">
        <f>'Huong dan giao do an'!$B$31</f>
        <v>Bắt buộc: Charter/PMP; SRS + scope/WBS; Gantt/baseline; effort-cost budget; RACI/timesheet; quality-test-defect; communication/minutes; risk register; procurement; change log; closure/lessons learned.</v>
      </c>
      <c r="M1179" t="str">
        <f>'Huong dan giao do an'!$B$33</f>
        <v>Tuần 1: 07.09–13.09.2026; Tuần 2: 14.09–20.09.2026; Tuần 3: 21.09–27.09.2026; Tuần 4: 28.09–04.10.2026; Tuần 5: 05.10–11.10.2026; Tuần 6: 12.10–18.10.2026; Tuần 7: 19.10–25.10.2026; Tuần 8: 26.10–01.11.2026.</v>
      </c>
      <c r="N11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79" s="17" t="str">
        <f t="shared" si="18"/>
        <v>Còn trống</v>
      </c>
    </row>
    <row r="1180" spans="1:16" x14ac:dyDescent="0.3">
      <c r="A1180">
        <v>1179</v>
      </c>
      <c r="B1180" t="s">
        <v>2544</v>
      </c>
      <c r="C1180" t="s">
        <v>2729</v>
      </c>
      <c r="D1180" t="s">
        <v>2730</v>
      </c>
      <c r="E1180" t="s">
        <v>45</v>
      </c>
      <c r="F1180" t="s">
        <v>2562</v>
      </c>
      <c r="G1180" t="s">
        <v>2609</v>
      </c>
      <c r="H1180" t="str">
        <f>'Huong dan giao do an'!$B$14</f>
        <v>5 SV (vai trò chính): 1 PM/Scrum Master kiêm Integration; 2 BA/PO; 3 UI-UX + Frontend; 4 Backend/API + DevOps; 5 Database + QA/Tester. Mỗi SV có nhiệm vụ phụ và minh chứng cá nhân.</v>
      </c>
      <c r="I1180" t="s">
        <v>22</v>
      </c>
      <c r="J1180" t="s">
        <v>2549</v>
      </c>
      <c r="K1180" t="str">
        <f>IF(I1180="Trung bình",'Huong dan giao do an'!$B$8,IF(I1180="Khá",'Huong dan giao do an'!$B$9,'Huong dan giao do an'!$B$10))</f>
        <v>Tối thiểu 4 actor; 10-14 use case; 8-12 bảng; 3 quy trình lõi; phân quyền chi tiết; 2 báo cáo; tích hợp 1 dịch vụ; &gt;=35 test case; CI/CD hoặc deploy cloud.</v>
      </c>
      <c r="L1180" t="str">
        <f>'Huong dan giao do an'!$B$31</f>
        <v>Bắt buộc: Charter/PMP; SRS + scope/WBS; Gantt/baseline; effort-cost budget; RACI/timesheet; quality-test-defect; communication/minutes; risk register; procurement; change log; closure/lessons learned.</v>
      </c>
      <c r="M1180" t="str">
        <f>'Huong dan giao do an'!$B$33</f>
        <v>Tuần 1: 07.09–13.09.2026; Tuần 2: 14.09–20.09.2026; Tuần 3: 21.09–27.09.2026; Tuần 4: 28.09–04.10.2026; Tuần 5: 05.10–11.10.2026; Tuần 6: 12.10–18.10.2026; Tuần 7: 19.10–25.10.2026; Tuần 8: 26.10–01.11.2026.</v>
      </c>
      <c r="N11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0" s="17" t="str">
        <f t="shared" si="18"/>
        <v>Còn trống</v>
      </c>
    </row>
    <row r="1181" spans="1:16" x14ac:dyDescent="0.3">
      <c r="A1181">
        <v>1180</v>
      </c>
      <c r="B1181" t="s">
        <v>2544</v>
      </c>
      <c r="C1181" t="s">
        <v>2731</v>
      </c>
      <c r="D1181" t="s">
        <v>2732</v>
      </c>
      <c r="E1181" t="s">
        <v>19</v>
      </c>
      <c r="F1181" t="s">
        <v>2566</v>
      </c>
      <c r="G1181" t="s">
        <v>2612</v>
      </c>
      <c r="H1181" t="str">
        <f>'Huong dan giao do an'!$B$14</f>
        <v>5 SV (vai trò chính): 1 PM/Scrum Master kiêm Integration; 2 BA/PO; 3 UI-UX + Frontend; 4 Backend/API + DevOps; 5 Database + QA/Tester. Mỗi SV có nhiệm vụ phụ và minh chứng cá nhân.</v>
      </c>
      <c r="I1181" t="s">
        <v>29</v>
      </c>
      <c r="J1181" t="s">
        <v>2554</v>
      </c>
      <c r="K1181" t="str">
        <f>IF(I1181="Trung bình",'Huong dan giao do an'!$B$8,IF(I1181="Khá",'Huong dan giao do an'!$B$9,'Huong dan giao do an'!$B$10))</f>
        <v>Tối thiểu 5 actor; 14-18 use case; 10-15 bảng; 4 quy trình; tích hợp ngoài/realtime hoặc xử lý nâng cao; 3 báo cáo; &gt;=45 test case; logging, backup và deploy.</v>
      </c>
      <c r="L1181" t="str">
        <f>'Huong dan giao do an'!$B$31</f>
        <v>Bắt buộc: Charter/PMP; SRS + scope/WBS; Gantt/baseline; effort-cost budget; RACI/timesheet; quality-test-defect; communication/minutes; risk register; procurement; change log; closure/lessons learned.</v>
      </c>
      <c r="M1181" t="str">
        <f>'Huong dan giao do an'!$B$33</f>
        <v>Tuần 1: 07.09–13.09.2026; Tuần 2: 14.09–20.09.2026; Tuần 3: 21.09–27.09.2026; Tuần 4: 28.09–04.10.2026; Tuần 5: 05.10–11.10.2026; Tuần 6: 12.10–18.10.2026; Tuần 7: 19.10–25.10.2026; Tuần 8: 26.10–01.11.2026.</v>
      </c>
      <c r="N11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1" s="17" t="str">
        <f t="shared" si="18"/>
        <v>Còn trống</v>
      </c>
    </row>
    <row r="1182" spans="1:16" x14ac:dyDescent="0.3">
      <c r="A1182">
        <v>1181</v>
      </c>
      <c r="B1182" t="s">
        <v>2544</v>
      </c>
      <c r="C1182" t="s">
        <v>2733</v>
      </c>
      <c r="D1182" t="s">
        <v>2734</v>
      </c>
      <c r="E1182" t="s">
        <v>26</v>
      </c>
      <c r="F1182" t="s">
        <v>2547</v>
      </c>
      <c r="G1182" t="s">
        <v>2548</v>
      </c>
      <c r="H1182" t="str">
        <f>'Huong dan giao do an'!$B$14</f>
        <v>5 SV (vai trò chính): 1 PM/Scrum Master kiêm Integration; 2 BA/PO; 3 UI-UX + Frontend; 4 Backend/API + DevOps; 5 Database + QA/Tester. Mỗi SV có nhiệm vụ phụ và minh chứng cá nhân.</v>
      </c>
      <c r="I1182" t="s">
        <v>22</v>
      </c>
      <c r="J1182" t="s">
        <v>2549</v>
      </c>
      <c r="K1182" t="str">
        <f>IF(I1182="Trung bình",'Huong dan giao do an'!$B$8,IF(I1182="Khá",'Huong dan giao do an'!$B$9,'Huong dan giao do an'!$B$10))</f>
        <v>Tối thiểu 4 actor; 10-14 use case; 8-12 bảng; 3 quy trình lõi; phân quyền chi tiết; 2 báo cáo; tích hợp 1 dịch vụ; &gt;=35 test case; CI/CD hoặc deploy cloud.</v>
      </c>
      <c r="L1182" t="str">
        <f>'Huong dan giao do an'!$B$31</f>
        <v>Bắt buộc: Charter/PMP; SRS + scope/WBS; Gantt/baseline; effort-cost budget; RACI/timesheet; quality-test-defect; communication/minutes; risk register; procurement; change log; closure/lessons learned.</v>
      </c>
      <c r="M1182" t="str">
        <f>'Huong dan giao do an'!$B$33</f>
        <v>Tuần 1: 07.09–13.09.2026; Tuần 2: 14.09–20.09.2026; Tuần 3: 21.09–27.09.2026; Tuần 4: 28.09–04.10.2026; Tuần 5: 05.10–11.10.2026; Tuần 6: 12.10–18.10.2026; Tuần 7: 19.10–25.10.2026; Tuần 8: 26.10–01.11.2026.</v>
      </c>
      <c r="N11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2" s="17" t="str">
        <f t="shared" si="18"/>
        <v>Còn trống</v>
      </c>
    </row>
    <row r="1183" spans="1:16" x14ac:dyDescent="0.3">
      <c r="A1183">
        <v>1182</v>
      </c>
      <c r="B1183" t="s">
        <v>2544</v>
      </c>
      <c r="C1183" t="s">
        <v>2735</v>
      </c>
      <c r="D1183" t="s">
        <v>2736</v>
      </c>
      <c r="E1183" t="s">
        <v>33</v>
      </c>
      <c r="F1183" t="s">
        <v>2552</v>
      </c>
      <c r="G1183" t="s">
        <v>2553</v>
      </c>
      <c r="H1183" t="str">
        <f>'Huong dan giao do an'!$B$14</f>
        <v>5 SV (vai trò chính): 1 PM/Scrum Master kiêm Integration; 2 BA/PO; 3 UI-UX + Frontend; 4 Backend/API + DevOps; 5 Database + QA/Tester. Mỗi SV có nhiệm vụ phụ và minh chứng cá nhân.</v>
      </c>
      <c r="I1183" t="s">
        <v>29</v>
      </c>
      <c r="J1183" t="s">
        <v>2554</v>
      </c>
      <c r="K1183" t="str">
        <f>IF(I1183="Trung bình",'Huong dan giao do an'!$B$8,IF(I1183="Khá",'Huong dan giao do an'!$B$9,'Huong dan giao do an'!$B$10))</f>
        <v>Tối thiểu 5 actor; 14-18 use case; 10-15 bảng; 4 quy trình; tích hợp ngoài/realtime hoặc xử lý nâng cao; 3 báo cáo; &gt;=45 test case; logging, backup và deploy.</v>
      </c>
      <c r="L1183" t="str">
        <f>'Huong dan giao do an'!$B$31</f>
        <v>Bắt buộc: Charter/PMP; SRS + scope/WBS; Gantt/baseline; effort-cost budget; RACI/timesheet; quality-test-defect; communication/minutes; risk register; procurement; change log; closure/lessons learned.</v>
      </c>
      <c r="M1183" t="str">
        <f>'Huong dan giao do an'!$B$33</f>
        <v>Tuần 1: 07.09–13.09.2026; Tuần 2: 14.09–20.09.2026; Tuần 3: 21.09–27.09.2026; Tuần 4: 28.09–04.10.2026; Tuần 5: 05.10–11.10.2026; Tuần 6: 12.10–18.10.2026; Tuần 7: 19.10–25.10.2026; Tuần 8: 26.10–01.11.2026.</v>
      </c>
      <c r="N11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3" s="17" t="str">
        <f t="shared" si="18"/>
        <v>Còn trống</v>
      </c>
    </row>
    <row r="1184" spans="1:16" x14ac:dyDescent="0.3">
      <c r="A1184">
        <v>1183</v>
      </c>
      <c r="B1184" t="s">
        <v>2544</v>
      </c>
      <c r="C1184" t="s">
        <v>2737</v>
      </c>
      <c r="D1184" t="s">
        <v>2738</v>
      </c>
      <c r="E1184" t="s">
        <v>40</v>
      </c>
      <c r="F1184" t="s">
        <v>2557</v>
      </c>
      <c r="G1184" t="s">
        <v>2558</v>
      </c>
      <c r="H1184" t="str">
        <f>'Huong dan giao do an'!$B$14</f>
        <v>5 SV (vai trò chính): 1 PM/Scrum Master kiêm Integration; 2 BA/PO; 3 UI-UX + Frontend; 4 Backend/API + DevOps; 5 Database + QA/Tester. Mỗi SV có nhiệm vụ phụ và minh chứng cá nhân.</v>
      </c>
      <c r="I1184" t="s">
        <v>36</v>
      </c>
      <c r="J1184" t="s">
        <v>2559</v>
      </c>
      <c r="K1184" t="str">
        <f>IF(I1184="Trung bình",'Huong dan giao do an'!$B$8,IF(I1184="Khá",'Huong dan giao do an'!$B$9,'Huong dan giao do an'!$B$10))</f>
        <v>Tối thiểu 3 actor; 8-10 use case; 6-8 bảng dữ liệu; 2 quy trình lõi; đăng nhập/RBAC; 1 dashboard; 1 báo cáo; &gt;=25 test case; triển khai bản demo.</v>
      </c>
      <c r="L1184" t="str">
        <f>'Huong dan giao do an'!$B$31</f>
        <v>Bắt buộc: Charter/PMP; SRS + scope/WBS; Gantt/baseline; effort-cost budget; RACI/timesheet; quality-test-defect; communication/minutes; risk register; procurement; change log; closure/lessons learned.</v>
      </c>
      <c r="M1184" t="str">
        <f>'Huong dan giao do an'!$B$33</f>
        <v>Tuần 1: 07.09–13.09.2026; Tuần 2: 14.09–20.09.2026; Tuần 3: 21.09–27.09.2026; Tuần 4: 28.09–04.10.2026; Tuần 5: 05.10–11.10.2026; Tuần 6: 12.10–18.10.2026; Tuần 7: 19.10–25.10.2026; Tuần 8: 26.10–01.11.2026.</v>
      </c>
      <c r="N11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4" s="17" t="str">
        <f t="shared" si="18"/>
        <v>Còn trống</v>
      </c>
    </row>
    <row r="1185" spans="1:16" x14ac:dyDescent="0.3">
      <c r="A1185">
        <v>1184</v>
      </c>
      <c r="B1185" t="s">
        <v>2544</v>
      </c>
      <c r="C1185" t="s">
        <v>2739</v>
      </c>
      <c r="D1185" t="s">
        <v>2740</v>
      </c>
      <c r="E1185" t="s">
        <v>45</v>
      </c>
      <c r="F1185" t="s">
        <v>2562</v>
      </c>
      <c r="G1185" t="s">
        <v>2563</v>
      </c>
      <c r="H1185" t="str">
        <f>'Huong dan giao do an'!$B$14</f>
        <v>5 SV (vai trò chính): 1 PM/Scrum Master kiêm Integration; 2 BA/PO; 3 UI-UX + Frontend; 4 Backend/API + DevOps; 5 Database + QA/Tester. Mỗi SV có nhiệm vụ phụ và minh chứng cá nhân.</v>
      </c>
      <c r="I1185" t="s">
        <v>22</v>
      </c>
      <c r="J1185" t="s">
        <v>2549</v>
      </c>
      <c r="K1185" t="str">
        <f>IF(I1185="Trung bình",'Huong dan giao do an'!$B$8,IF(I1185="Khá",'Huong dan giao do an'!$B$9,'Huong dan giao do an'!$B$10))</f>
        <v>Tối thiểu 4 actor; 10-14 use case; 8-12 bảng; 3 quy trình lõi; phân quyền chi tiết; 2 báo cáo; tích hợp 1 dịch vụ; &gt;=35 test case; CI/CD hoặc deploy cloud.</v>
      </c>
      <c r="L1185" t="str">
        <f>'Huong dan giao do an'!$B$31</f>
        <v>Bắt buộc: Charter/PMP; SRS + scope/WBS; Gantt/baseline; effort-cost budget; RACI/timesheet; quality-test-defect; communication/minutes; risk register; procurement; change log; closure/lessons learned.</v>
      </c>
      <c r="M1185" t="str">
        <f>'Huong dan giao do an'!$B$33</f>
        <v>Tuần 1: 07.09–13.09.2026; Tuần 2: 14.09–20.09.2026; Tuần 3: 21.09–27.09.2026; Tuần 4: 28.09–04.10.2026; Tuần 5: 05.10–11.10.2026; Tuần 6: 12.10–18.10.2026; Tuần 7: 19.10–25.10.2026; Tuần 8: 26.10–01.11.2026.</v>
      </c>
      <c r="N11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5" s="17" t="str">
        <f t="shared" si="18"/>
        <v>Còn trống</v>
      </c>
    </row>
    <row r="1186" spans="1:16" x14ac:dyDescent="0.3">
      <c r="A1186">
        <v>1185</v>
      </c>
      <c r="B1186" t="s">
        <v>2544</v>
      </c>
      <c r="C1186" t="s">
        <v>2741</v>
      </c>
      <c r="D1186" t="s">
        <v>2742</v>
      </c>
      <c r="E1186" t="s">
        <v>19</v>
      </c>
      <c r="F1186" t="s">
        <v>2566</v>
      </c>
      <c r="G1186" t="s">
        <v>2567</v>
      </c>
      <c r="H1186" t="str">
        <f>'Huong dan giao do an'!$B$14</f>
        <v>5 SV (vai trò chính): 1 PM/Scrum Master kiêm Integration; 2 BA/PO; 3 UI-UX + Frontend; 4 Backend/API + DevOps; 5 Database + QA/Tester. Mỗi SV có nhiệm vụ phụ và minh chứng cá nhân.</v>
      </c>
      <c r="I1186" t="s">
        <v>29</v>
      </c>
      <c r="J1186" t="s">
        <v>2554</v>
      </c>
      <c r="K1186" t="str">
        <f>IF(I1186="Trung bình",'Huong dan giao do an'!$B$8,IF(I1186="Khá",'Huong dan giao do an'!$B$9,'Huong dan giao do an'!$B$10))</f>
        <v>Tối thiểu 5 actor; 14-18 use case; 10-15 bảng; 4 quy trình; tích hợp ngoài/realtime hoặc xử lý nâng cao; 3 báo cáo; &gt;=45 test case; logging, backup và deploy.</v>
      </c>
      <c r="L1186" t="str">
        <f>'Huong dan giao do an'!$B$31</f>
        <v>Bắt buộc: Charter/PMP; SRS + scope/WBS; Gantt/baseline; effort-cost budget; RACI/timesheet; quality-test-defect; communication/minutes; risk register; procurement; change log; closure/lessons learned.</v>
      </c>
      <c r="M1186" t="str">
        <f>'Huong dan giao do an'!$B$33</f>
        <v>Tuần 1: 07.09–13.09.2026; Tuần 2: 14.09–20.09.2026; Tuần 3: 21.09–27.09.2026; Tuần 4: 28.09–04.10.2026; Tuần 5: 05.10–11.10.2026; Tuần 6: 12.10–18.10.2026; Tuần 7: 19.10–25.10.2026; Tuần 8: 26.10–01.11.2026.</v>
      </c>
      <c r="N11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6" s="17" t="str">
        <f t="shared" si="18"/>
        <v>Còn trống</v>
      </c>
    </row>
    <row r="1187" spans="1:16" x14ac:dyDescent="0.3">
      <c r="A1187">
        <v>1186</v>
      </c>
      <c r="B1187" t="s">
        <v>2544</v>
      </c>
      <c r="C1187" t="s">
        <v>2743</v>
      </c>
      <c r="D1187" t="s">
        <v>2744</v>
      </c>
      <c r="E1187" t="s">
        <v>26</v>
      </c>
      <c r="F1187" t="s">
        <v>2547</v>
      </c>
      <c r="G1187" t="s">
        <v>2570</v>
      </c>
      <c r="H1187" t="str">
        <f>'Huong dan giao do an'!$B$14</f>
        <v>5 SV (vai trò chính): 1 PM/Scrum Master kiêm Integration; 2 BA/PO; 3 UI-UX + Frontend; 4 Backend/API + DevOps; 5 Database + QA/Tester. Mỗi SV có nhiệm vụ phụ và minh chứng cá nhân.</v>
      </c>
      <c r="I1187" t="s">
        <v>36</v>
      </c>
      <c r="J1187" t="s">
        <v>2559</v>
      </c>
      <c r="K1187" t="str">
        <f>IF(I1187="Trung bình",'Huong dan giao do an'!$B$8,IF(I1187="Khá",'Huong dan giao do an'!$B$9,'Huong dan giao do an'!$B$10))</f>
        <v>Tối thiểu 3 actor; 8-10 use case; 6-8 bảng dữ liệu; 2 quy trình lõi; đăng nhập/RBAC; 1 dashboard; 1 báo cáo; &gt;=25 test case; triển khai bản demo.</v>
      </c>
      <c r="L1187" t="str">
        <f>'Huong dan giao do an'!$B$31</f>
        <v>Bắt buộc: Charter/PMP; SRS + scope/WBS; Gantt/baseline; effort-cost budget; RACI/timesheet; quality-test-defect; communication/minutes; risk register; procurement; change log; closure/lessons learned.</v>
      </c>
      <c r="M1187" t="str">
        <f>'Huong dan giao do an'!$B$33</f>
        <v>Tuần 1: 07.09–13.09.2026; Tuần 2: 14.09–20.09.2026; Tuần 3: 21.09–27.09.2026; Tuần 4: 28.09–04.10.2026; Tuần 5: 05.10–11.10.2026; Tuần 6: 12.10–18.10.2026; Tuần 7: 19.10–25.10.2026; Tuần 8: 26.10–01.11.2026.</v>
      </c>
      <c r="N11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7" s="17" t="str">
        <f t="shared" si="18"/>
        <v>Còn trống</v>
      </c>
    </row>
    <row r="1188" spans="1:16" x14ac:dyDescent="0.3">
      <c r="A1188">
        <v>1187</v>
      </c>
      <c r="B1188" t="s">
        <v>2544</v>
      </c>
      <c r="C1188" t="s">
        <v>2745</v>
      </c>
      <c r="D1188" t="s">
        <v>2746</v>
      </c>
      <c r="E1188" t="s">
        <v>33</v>
      </c>
      <c r="F1188" t="s">
        <v>2552</v>
      </c>
      <c r="G1188" t="s">
        <v>2573</v>
      </c>
      <c r="H1188" t="str">
        <f>'Huong dan giao do an'!$B$14</f>
        <v>5 SV (vai trò chính): 1 PM/Scrum Master kiêm Integration; 2 BA/PO; 3 UI-UX + Frontend; 4 Backend/API + DevOps; 5 Database + QA/Tester. Mỗi SV có nhiệm vụ phụ và minh chứng cá nhân.</v>
      </c>
      <c r="I1188" t="s">
        <v>22</v>
      </c>
      <c r="J1188" t="s">
        <v>2549</v>
      </c>
      <c r="K1188" t="str">
        <f>IF(I1188="Trung bình",'Huong dan giao do an'!$B$8,IF(I1188="Khá",'Huong dan giao do an'!$B$9,'Huong dan giao do an'!$B$10))</f>
        <v>Tối thiểu 4 actor; 10-14 use case; 8-12 bảng; 3 quy trình lõi; phân quyền chi tiết; 2 báo cáo; tích hợp 1 dịch vụ; &gt;=35 test case; CI/CD hoặc deploy cloud.</v>
      </c>
      <c r="L1188" t="str">
        <f>'Huong dan giao do an'!$B$31</f>
        <v>Bắt buộc: Charter/PMP; SRS + scope/WBS; Gantt/baseline; effort-cost budget; RACI/timesheet; quality-test-defect; communication/minutes; risk register; procurement; change log; closure/lessons learned.</v>
      </c>
      <c r="M1188" t="str">
        <f>'Huong dan giao do an'!$B$33</f>
        <v>Tuần 1: 07.09–13.09.2026; Tuần 2: 14.09–20.09.2026; Tuần 3: 21.09–27.09.2026; Tuần 4: 28.09–04.10.2026; Tuần 5: 05.10–11.10.2026; Tuần 6: 12.10–18.10.2026; Tuần 7: 19.10–25.10.2026; Tuần 8: 26.10–01.11.2026.</v>
      </c>
      <c r="N11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8" s="17" t="str">
        <f t="shared" si="18"/>
        <v>Còn trống</v>
      </c>
    </row>
    <row r="1189" spans="1:16" x14ac:dyDescent="0.3">
      <c r="A1189">
        <v>1188</v>
      </c>
      <c r="B1189" t="s">
        <v>2544</v>
      </c>
      <c r="C1189" t="s">
        <v>2747</v>
      </c>
      <c r="D1189" t="s">
        <v>2748</v>
      </c>
      <c r="E1189" t="s">
        <v>40</v>
      </c>
      <c r="F1189" t="s">
        <v>2557</v>
      </c>
      <c r="G1189" t="s">
        <v>2576</v>
      </c>
      <c r="H1189" t="str">
        <f>'Huong dan giao do an'!$B$14</f>
        <v>5 SV (vai trò chính): 1 PM/Scrum Master kiêm Integration; 2 BA/PO; 3 UI-UX + Frontend; 4 Backend/API + DevOps; 5 Database + QA/Tester. Mỗi SV có nhiệm vụ phụ và minh chứng cá nhân.</v>
      </c>
      <c r="I1189" t="s">
        <v>29</v>
      </c>
      <c r="J1189" t="s">
        <v>2554</v>
      </c>
      <c r="K1189" t="str">
        <f>IF(I1189="Trung bình",'Huong dan giao do an'!$B$8,IF(I1189="Khá",'Huong dan giao do an'!$B$9,'Huong dan giao do an'!$B$10))</f>
        <v>Tối thiểu 5 actor; 14-18 use case; 10-15 bảng; 4 quy trình; tích hợp ngoài/realtime hoặc xử lý nâng cao; 3 báo cáo; &gt;=45 test case; logging, backup và deploy.</v>
      </c>
      <c r="L1189" t="str">
        <f>'Huong dan giao do an'!$B$31</f>
        <v>Bắt buộc: Charter/PMP; SRS + scope/WBS; Gantt/baseline; effort-cost budget; RACI/timesheet; quality-test-defect; communication/minutes; risk register; procurement; change log; closure/lessons learned.</v>
      </c>
      <c r="M1189" t="str">
        <f>'Huong dan giao do an'!$B$33</f>
        <v>Tuần 1: 07.09–13.09.2026; Tuần 2: 14.09–20.09.2026; Tuần 3: 21.09–27.09.2026; Tuần 4: 28.09–04.10.2026; Tuần 5: 05.10–11.10.2026; Tuần 6: 12.10–18.10.2026; Tuần 7: 19.10–25.10.2026; Tuần 8: 26.10–01.11.2026.</v>
      </c>
      <c r="N11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89" s="17" t="str">
        <f t="shared" si="18"/>
        <v>Còn trống</v>
      </c>
    </row>
    <row r="1190" spans="1:16" x14ac:dyDescent="0.3">
      <c r="A1190">
        <v>1189</v>
      </c>
      <c r="B1190" t="s">
        <v>2544</v>
      </c>
      <c r="C1190" t="s">
        <v>2749</v>
      </c>
      <c r="D1190" t="s">
        <v>2750</v>
      </c>
      <c r="E1190" t="s">
        <v>45</v>
      </c>
      <c r="F1190" t="s">
        <v>2562</v>
      </c>
      <c r="G1190" t="s">
        <v>2579</v>
      </c>
      <c r="H1190" t="str">
        <f>'Huong dan giao do an'!$B$14</f>
        <v>5 SV (vai trò chính): 1 PM/Scrum Master kiêm Integration; 2 BA/PO; 3 UI-UX + Frontend; 4 Backend/API + DevOps; 5 Database + QA/Tester. Mỗi SV có nhiệm vụ phụ và minh chứng cá nhân.</v>
      </c>
      <c r="I1190" t="s">
        <v>36</v>
      </c>
      <c r="J1190" t="s">
        <v>2559</v>
      </c>
      <c r="K1190" t="str">
        <f>IF(I1190="Trung bình",'Huong dan giao do an'!$B$8,IF(I1190="Khá",'Huong dan giao do an'!$B$9,'Huong dan giao do an'!$B$10))</f>
        <v>Tối thiểu 3 actor; 8-10 use case; 6-8 bảng dữ liệu; 2 quy trình lõi; đăng nhập/RBAC; 1 dashboard; 1 báo cáo; &gt;=25 test case; triển khai bản demo.</v>
      </c>
      <c r="L1190" t="str">
        <f>'Huong dan giao do an'!$B$31</f>
        <v>Bắt buộc: Charter/PMP; SRS + scope/WBS; Gantt/baseline; effort-cost budget; RACI/timesheet; quality-test-defect; communication/minutes; risk register; procurement; change log; closure/lessons learned.</v>
      </c>
      <c r="M1190" t="str">
        <f>'Huong dan giao do an'!$B$33</f>
        <v>Tuần 1: 07.09–13.09.2026; Tuần 2: 14.09–20.09.2026; Tuần 3: 21.09–27.09.2026; Tuần 4: 28.09–04.10.2026; Tuần 5: 05.10–11.10.2026; Tuần 6: 12.10–18.10.2026; Tuần 7: 19.10–25.10.2026; Tuần 8: 26.10–01.11.2026.</v>
      </c>
      <c r="N11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0" s="17" t="str">
        <f t="shared" si="18"/>
        <v>Còn trống</v>
      </c>
    </row>
    <row r="1191" spans="1:16" x14ac:dyDescent="0.3">
      <c r="A1191">
        <v>1190</v>
      </c>
      <c r="B1191" t="s">
        <v>2544</v>
      </c>
      <c r="C1191" t="s">
        <v>2751</v>
      </c>
      <c r="D1191" t="s">
        <v>2752</v>
      </c>
      <c r="E1191" t="s">
        <v>19</v>
      </c>
      <c r="F1191" t="s">
        <v>2566</v>
      </c>
      <c r="G1191" t="s">
        <v>2582</v>
      </c>
      <c r="H1191" t="str">
        <f>'Huong dan giao do an'!$B$14</f>
        <v>5 SV (vai trò chính): 1 PM/Scrum Master kiêm Integration; 2 BA/PO; 3 UI-UX + Frontend; 4 Backend/API + DevOps; 5 Database + QA/Tester. Mỗi SV có nhiệm vụ phụ và minh chứng cá nhân.</v>
      </c>
      <c r="I1191" t="s">
        <v>22</v>
      </c>
      <c r="J1191" t="s">
        <v>2549</v>
      </c>
      <c r="K1191" t="str">
        <f>IF(I1191="Trung bình",'Huong dan giao do an'!$B$8,IF(I1191="Khá",'Huong dan giao do an'!$B$9,'Huong dan giao do an'!$B$10))</f>
        <v>Tối thiểu 4 actor; 10-14 use case; 8-12 bảng; 3 quy trình lõi; phân quyền chi tiết; 2 báo cáo; tích hợp 1 dịch vụ; &gt;=35 test case; CI/CD hoặc deploy cloud.</v>
      </c>
      <c r="L1191" t="str">
        <f>'Huong dan giao do an'!$B$31</f>
        <v>Bắt buộc: Charter/PMP; SRS + scope/WBS; Gantt/baseline; effort-cost budget; RACI/timesheet; quality-test-defect; communication/minutes; risk register; procurement; change log; closure/lessons learned.</v>
      </c>
      <c r="M1191" t="str">
        <f>'Huong dan giao do an'!$B$33</f>
        <v>Tuần 1: 07.09–13.09.2026; Tuần 2: 14.09–20.09.2026; Tuần 3: 21.09–27.09.2026; Tuần 4: 28.09–04.10.2026; Tuần 5: 05.10–11.10.2026; Tuần 6: 12.10–18.10.2026; Tuần 7: 19.10–25.10.2026; Tuần 8: 26.10–01.11.2026.</v>
      </c>
      <c r="N11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1" s="17" t="str">
        <f t="shared" si="18"/>
        <v>Còn trống</v>
      </c>
    </row>
    <row r="1192" spans="1:16" x14ac:dyDescent="0.3">
      <c r="A1192">
        <v>1191</v>
      </c>
      <c r="B1192" t="s">
        <v>2544</v>
      </c>
      <c r="C1192" t="s">
        <v>2753</v>
      </c>
      <c r="D1192" t="s">
        <v>2754</v>
      </c>
      <c r="E1192" t="s">
        <v>26</v>
      </c>
      <c r="F1192" t="s">
        <v>2547</v>
      </c>
      <c r="G1192" t="s">
        <v>2585</v>
      </c>
      <c r="H1192" t="str">
        <f>'Huong dan giao do an'!$B$14</f>
        <v>5 SV (vai trò chính): 1 PM/Scrum Master kiêm Integration; 2 BA/PO; 3 UI-UX + Frontend; 4 Backend/API + DevOps; 5 Database + QA/Tester. Mỗi SV có nhiệm vụ phụ và minh chứng cá nhân.</v>
      </c>
      <c r="I1192" t="s">
        <v>29</v>
      </c>
      <c r="J1192" t="s">
        <v>2554</v>
      </c>
      <c r="K1192" t="str">
        <f>IF(I1192="Trung bình",'Huong dan giao do an'!$B$8,IF(I1192="Khá",'Huong dan giao do an'!$B$9,'Huong dan giao do an'!$B$10))</f>
        <v>Tối thiểu 5 actor; 14-18 use case; 10-15 bảng; 4 quy trình; tích hợp ngoài/realtime hoặc xử lý nâng cao; 3 báo cáo; &gt;=45 test case; logging, backup và deploy.</v>
      </c>
      <c r="L1192" t="str">
        <f>'Huong dan giao do an'!$B$31</f>
        <v>Bắt buộc: Charter/PMP; SRS + scope/WBS; Gantt/baseline; effort-cost budget; RACI/timesheet; quality-test-defect; communication/minutes; risk register; procurement; change log; closure/lessons learned.</v>
      </c>
      <c r="M1192" t="str">
        <f>'Huong dan giao do an'!$B$33</f>
        <v>Tuần 1: 07.09–13.09.2026; Tuần 2: 14.09–20.09.2026; Tuần 3: 21.09–27.09.2026; Tuần 4: 28.09–04.10.2026; Tuần 5: 05.10–11.10.2026; Tuần 6: 12.10–18.10.2026; Tuần 7: 19.10–25.10.2026; Tuần 8: 26.10–01.11.2026.</v>
      </c>
      <c r="N11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2" s="17" t="str">
        <f t="shared" si="18"/>
        <v>Còn trống</v>
      </c>
    </row>
    <row r="1193" spans="1:16" x14ac:dyDescent="0.3">
      <c r="A1193">
        <v>1192</v>
      </c>
      <c r="B1193" t="s">
        <v>2544</v>
      </c>
      <c r="C1193" t="s">
        <v>2755</v>
      </c>
      <c r="D1193" t="s">
        <v>2756</v>
      </c>
      <c r="E1193" t="s">
        <v>33</v>
      </c>
      <c r="F1193" t="s">
        <v>2552</v>
      </c>
      <c r="G1193" t="s">
        <v>2588</v>
      </c>
      <c r="H1193" t="str">
        <f>'Huong dan giao do an'!$B$14</f>
        <v>5 SV (vai trò chính): 1 PM/Scrum Master kiêm Integration; 2 BA/PO; 3 UI-UX + Frontend; 4 Backend/API + DevOps; 5 Database + QA/Tester. Mỗi SV có nhiệm vụ phụ và minh chứng cá nhân.</v>
      </c>
      <c r="I1193" t="s">
        <v>36</v>
      </c>
      <c r="J1193" t="s">
        <v>2559</v>
      </c>
      <c r="K1193" t="str">
        <f>IF(I1193="Trung bình",'Huong dan giao do an'!$B$8,IF(I1193="Khá",'Huong dan giao do an'!$B$9,'Huong dan giao do an'!$B$10))</f>
        <v>Tối thiểu 3 actor; 8-10 use case; 6-8 bảng dữ liệu; 2 quy trình lõi; đăng nhập/RBAC; 1 dashboard; 1 báo cáo; &gt;=25 test case; triển khai bản demo.</v>
      </c>
      <c r="L1193" t="str">
        <f>'Huong dan giao do an'!$B$31</f>
        <v>Bắt buộc: Charter/PMP; SRS + scope/WBS; Gantt/baseline; effort-cost budget; RACI/timesheet; quality-test-defect; communication/minutes; risk register; procurement; change log; closure/lessons learned.</v>
      </c>
      <c r="M1193" t="str">
        <f>'Huong dan giao do an'!$B$33</f>
        <v>Tuần 1: 07.09–13.09.2026; Tuần 2: 14.09–20.09.2026; Tuần 3: 21.09–27.09.2026; Tuần 4: 28.09–04.10.2026; Tuần 5: 05.10–11.10.2026; Tuần 6: 12.10–18.10.2026; Tuần 7: 19.10–25.10.2026; Tuần 8: 26.10–01.11.2026.</v>
      </c>
      <c r="N11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3" s="17" t="str">
        <f t="shared" si="18"/>
        <v>Còn trống</v>
      </c>
    </row>
    <row r="1194" spans="1:16" x14ac:dyDescent="0.3">
      <c r="A1194">
        <v>1193</v>
      </c>
      <c r="B1194" t="s">
        <v>2544</v>
      </c>
      <c r="C1194" t="s">
        <v>2757</v>
      </c>
      <c r="D1194" t="s">
        <v>2758</v>
      </c>
      <c r="E1194" t="s">
        <v>40</v>
      </c>
      <c r="F1194" t="s">
        <v>2557</v>
      </c>
      <c r="G1194" t="s">
        <v>2591</v>
      </c>
      <c r="H1194" t="str">
        <f>'Huong dan giao do an'!$B$14</f>
        <v>5 SV (vai trò chính): 1 PM/Scrum Master kiêm Integration; 2 BA/PO; 3 UI-UX + Frontend; 4 Backend/API + DevOps; 5 Database + QA/Tester. Mỗi SV có nhiệm vụ phụ và minh chứng cá nhân.</v>
      </c>
      <c r="I1194" t="s">
        <v>22</v>
      </c>
      <c r="J1194" t="s">
        <v>2549</v>
      </c>
      <c r="K1194" t="str">
        <f>IF(I1194="Trung bình",'Huong dan giao do an'!$B$8,IF(I1194="Khá",'Huong dan giao do an'!$B$9,'Huong dan giao do an'!$B$10))</f>
        <v>Tối thiểu 4 actor; 10-14 use case; 8-12 bảng; 3 quy trình lõi; phân quyền chi tiết; 2 báo cáo; tích hợp 1 dịch vụ; &gt;=35 test case; CI/CD hoặc deploy cloud.</v>
      </c>
      <c r="L1194" t="str">
        <f>'Huong dan giao do an'!$B$31</f>
        <v>Bắt buộc: Charter/PMP; SRS + scope/WBS; Gantt/baseline; effort-cost budget; RACI/timesheet; quality-test-defect; communication/minutes; risk register; procurement; change log; closure/lessons learned.</v>
      </c>
      <c r="M1194" t="str">
        <f>'Huong dan giao do an'!$B$33</f>
        <v>Tuần 1: 07.09–13.09.2026; Tuần 2: 14.09–20.09.2026; Tuần 3: 21.09–27.09.2026; Tuần 4: 28.09–04.10.2026; Tuần 5: 05.10–11.10.2026; Tuần 6: 12.10–18.10.2026; Tuần 7: 19.10–25.10.2026; Tuần 8: 26.10–01.11.2026.</v>
      </c>
      <c r="N11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4" s="17" t="str">
        <f t="shared" si="18"/>
        <v>Còn trống</v>
      </c>
    </row>
    <row r="1195" spans="1:16" x14ac:dyDescent="0.3">
      <c r="A1195">
        <v>1194</v>
      </c>
      <c r="B1195" t="s">
        <v>2544</v>
      </c>
      <c r="C1195" t="s">
        <v>2759</v>
      </c>
      <c r="D1195" t="s">
        <v>2760</v>
      </c>
      <c r="E1195" t="s">
        <v>45</v>
      </c>
      <c r="F1195" t="s">
        <v>2562</v>
      </c>
      <c r="G1195" t="s">
        <v>2594</v>
      </c>
      <c r="H1195" t="str">
        <f>'Huong dan giao do an'!$B$14</f>
        <v>5 SV (vai trò chính): 1 PM/Scrum Master kiêm Integration; 2 BA/PO; 3 UI-UX + Frontend; 4 Backend/API + DevOps; 5 Database + QA/Tester. Mỗi SV có nhiệm vụ phụ và minh chứng cá nhân.</v>
      </c>
      <c r="I1195" t="s">
        <v>29</v>
      </c>
      <c r="J1195" t="s">
        <v>2554</v>
      </c>
      <c r="K1195" t="str">
        <f>IF(I1195="Trung bình",'Huong dan giao do an'!$B$8,IF(I1195="Khá",'Huong dan giao do an'!$B$9,'Huong dan giao do an'!$B$10))</f>
        <v>Tối thiểu 5 actor; 14-18 use case; 10-15 bảng; 4 quy trình; tích hợp ngoài/realtime hoặc xử lý nâng cao; 3 báo cáo; &gt;=45 test case; logging, backup và deploy.</v>
      </c>
      <c r="L1195" t="str">
        <f>'Huong dan giao do an'!$B$31</f>
        <v>Bắt buộc: Charter/PMP; SRS + scope/WBS; Gantt/baseline; effort-cost budget; RACI/timesheet; quality-test-defect; communication/minutes; risk register; procurement; change log; closure/lessons learned.</v>
      </c>
      <c r="M1195" t="str">
        <f>'Huong dan giao do an'!$B$33</f>
        <v>Tuần 1: 07.09–13.09.2026; Tuần 2: 14.09–20.09.2026; Tuần 3: 21.09–27.09.2026; Tuần 4: 28.09–04.10.2026; Tuần 5: 05.10–11.10.2026; Tuần 6: 12.10–18.10.2026; Tuần 7: 19.10–25.10.2026; Tuần 8: 26.10–01.11.2026.</v>
      </c>
      <c r="N11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5" s="17" t="str">
        <f t="shared" si="18"/>
        <v>Còn trống</v>
      </c>
    </row>
    <row r="1196" spans="1:16" x14ac:dyDescent="0.3">
      <c r="A1196">
        <v>1195</v>
      </c>
      <c r="B1196" t="s">
        <v>2544</v>
      </c>
      <c r="C1196" t="s">
        <v>2761</v>
      </c>
      <c r="D1196" t="s">
        <v>2762</v>
      </c>
      <c r="E1196" t="s">
        <v>19</v>
      </c>
      <c r="F1196" t="s">
        <v>2566</v>
      </c>
      <c r="G1196" t="s">
        <v>2597</v>
      </c>
      <c r="H1196" t="str">
        <f>'Huong dan giao do an'!$B$14</f>
        <v>5 SV (vai trò chính): 1 PM/Scrum Master kiêm Integration; 2 BA/PO; 3 UI-UX + Frontend; 4 Backend/API + DevOps; 5 Database + QA/Tester. Mỗi SV có nhiệm vụ phụ và minh chứng cá nhân.</v>
      </c>
      <c r="I1196" t="s">
        <v>36</v>
      </c>
      <c r="J1196" t="s">
        <v>2559</v>
      </c>
      <c r="K1196" t="str">
        <f>IF(I1196="Trung bình",'Huong dan giao do an'!$B$8,IF(I1196="Khá",'Huong dan giao do an'!$B$9,'Huong dan giao do an'!$B$10))</f>
        <v>Tối thiểu 3 actor; 8-10 use case; 6-8 bảng dữ liệu; 2 quy trình lõi; đăng nhập/RBAC; 1 dashboard; 1 báo cáo; &gt;=25 test case; triển khai bản demo.</v>
      </c>
      <c r="L1196" t="str">
        <f>'Huong dan giao do an'!$B$31</f>
        <v>Bắt buộc: Charter/PMP; SRS + scope/WBS; Gantt/baseline; effort-cost budget; RACI/timesheet; quality-test-defect; communication/minutes; risk register; procurement; change log; closure/lessons learned.</v>
      </c>
      <c r="M1196" t="str">
        <f>'Huong dan giao do an'!$B$33</f>
        <v>Tuần 1: 07.09–13.09.2026; Tuần 2: 14.09–20.09.2026; Tuần 3: 21.09–27.09.2026; Tuần 4: 28.09–04.10.2026; Tuần 5: 05.10–11.10.2026; Tuần 6: 12.10–18.10.2026; Tuần 7: 19.10–25.10.2026; Tuần 8: 26.10–01.11.2026.</v>
      </c>
      <c r="N11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6" s="17" t="str">
        <f t="shared" si="18"/>
        <v>Còn trống</v>
      </c>
    </row>
    <row r="1197" spans="1:16" x14ac:dyDescent="0.3">
      <c r="A1197">
        <v>1196</v>
      </c>
      <c r="B1197" t="s">
        <v>2544</v>
      </c>
      <c r="C1197" t="s">
        <v>2763</v>
      </c>
      <c r="D1197" t="s">
        <v>2764</v>
      </c>
      <c r="E1197" t="s">
        <v>26</v>
      </c>
      <c r="F1197" t="s">
        <v>2547</v>
      </c>
      <c r="G1197" t="s">
        <v>2600</v>
      </c>
      <c r="H1197" t="str">
        <f>'Huong dan giao do an'!$B$14</f>
        <v>5 SV (vai trò chính): 1 PM/Scrum Master kiêm Integration; 2 BA/PO; 3 UI-UX + Frontend; 4 Backend/API + DevOps; 5 Database + QA/Tester. Mỗi SV có nhiệm vụ phụ và minh chứng cá nhân.</v>
      </c>
      <c r="I1197" t="s">
        <v>22</v>
      </c>
      <c r="J1197" t="s">
        <v>2549</v>
      </c>
      <c r="K1197" t="str">
        <f>IF(I1197="Trung bình",'Huong dan giao do an'!$B$8,IF(I1197="Khá",'Huong dan giao do an'!$B$9,'Huong dan giao do an'!$B$10))</f>
        <v>Tối thiểu 4 actor; 10-14 use case; 8-12 bảng; 3 quy trình lõi; phân quyền chi tiết; 2 báo cáo; tích hợp 1 dịch vụ; &gt;=35 test case; CI/CD hoặc deploy cloud.</v>
      </c>
      <c r="L1197" t="str">
        <f>'Huong dan giao do an'!$B$31</f>
        <v>Bắt buộc: Charter/PMP; SRS + scope/WBS; Gantt/baseline; effort-cost budget; RACI/timesheet; quality-test-defect; communication/minutes; risk register; procurement; change log; closure/lessons learned.</v>
      </c>
      <c r="M1197" t="str">
        <f>'Huong dan giao do an'!$B$33</f>
        <v>Tuần 1: 07.09–13.09.2026; Tuần 2: 14.09–20.09.2026; Tuần 3: 21.09–27.09.2026; Tuần 4: 28.09–04.10.2026; Tuần 5: 05.10–11.10.2026; Tuần 6: 12.10–18.10.2026; Tuần 7: 19.10–25.10.2026; Tuần 8: 26.10–01.11.2026.</v>
      </c>
      <c r="N11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7" s="17" t="str">
        <f t="shared" si="18"/>
        <v>Còn trống</v>
      </c>
    </row>
    <row r="1198" spans="1:16" x14ac:dyDescent="0.3">
      <c r="A1198">
        <v>1197</v>
      </c>
      <c r="B1198" t="s">
        <v>2544</v>
      </c>
      <c r="C1198" t="s">
        <v>2765</v>
      </c>
      <c r="D1198" t="s">
        <v>2766</v>
      </c>
      <c r="E1198" t="s">
        <v>33</v>
      </c>
      <c r="F1198" t="s">
        <v>2552</v>
      </c>
      <c r="G1198" t="s">
        <v>2603</v>
      </c>
      <c r="H1198" t="str">
        <f>'Huong dan giao do an'!$B$14</f>
        <v>5 SV (vai trò chính): 1 PM/Scrum Master kiêm Integration; 2 BA/PO; 3 UI-UX + Frontend; 4 Backend/API + DevOps; 5 Database + QA/Tester. Mỗi SV có nhiệm vụ phụ và minh chứng cá nhân.</v>
      </c>
      <c r="I1198" t="s">
        <v>29</v>
      </c>
      <c r="J1198" t="s">
        <v>2554</v>
      </c>
      <c r="K1198" t="str">
        <f>IF(I1198="Trung bình",'Huong dan giao do an'!$B$8,IF(I1198="Khá",'Huong dan giao do an'!$B$9,'Huong dan giao do an'!$B$10))</f>
        <v>Tối thiểu 5 actor; 14-18 use case; 10-15 bảng; 4 quy trình; tích hợp ngoài/realtime hoặc xử lý nâng cao; 3 báo cáo; &gt;=45 test case; logging, backup và deploy.</v>
      </c>
      <c r="L1198" t="str">
        <f>'Huong dan giao do an'!$B$31</f>
        <v>Bắt buộc: Charter/PMP; SRS + scope/WBS; Gantt/baseline; effort-cost budget; RACI/timesheet; quality-test-defect; communication/minutes; risk register; procurement; change log; closure/lessons learned.</v>
      </c>
      <c r="M1198" t="str">
        <f>'Huong dan giao do an'!$B$33</f>
        <v>Tuần 1: 07.09–13.09.2026; Tuần 2: 14.09–20.09.2026; Tuần 3: 21.09–27.09.2026; Tuần 4: 28.09–04.10.2026; Tuần 5: 05.10–11.10.2026; Tuần 6: 12.10–18.10.2026; Tuần 7: 19.10–25.10.2026; Tuần 8: 26.10–01.11.2026.</v>
      </c>
      <c r="N11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8" s="17" t="str">
        <f t="shared" si="18"/>
        <v>Còn trống</v>
      </c>
    </row>
    <row r="1199" spans="1:16" x14ac:dyDescent="0.3">
      <c r="A1199">
        <v>1198</v>
      </c>
      <c r="B1199" t="s">
        <v>2544</v>
      </c>
      <c r="C1199" t="s">
        <v>2767</v>
      </c>
      <c r="D1199" t="s">
        <v>2768</v>
      </c>
      <c r="E1199" t="s">
        <v>40</v>
      </c>
      <c r="F1199" t="s">
        <v>2557</v>
      </c>
      <c r="G1199" t="s">
        <v>2606</v>
      </c>
      <c r="H1199" t="str">
        <f>'Huong dan giao do an'!$B$14</f>
        <v>5 SV (vai trò chính): 1 PM/Scrum Master kiêm Integration; 2 BA/PO; 3 UI-UX + Frontend; 4 Backend/API + DevOps; 5 Database + QA/Tester. Mỗi SV có nhiệm vụ phụ và minh chứng cá nhân.</v>
      </c>
      <c r="I1199" t="s">
        <v>36</v>
      </c>
      <c r="J1199" t="s">
        <v>2559</v>
      </c>
      <c r="K1199" t="str">
        <f>IF(I1199="Trung bình",'Huong dan giao do an'!$B$8,IF(I1199="Khá",'Huong dan giao do an'!$B$9,'Huong dan giao do an'!$B$10))</f>
        <v>Tối thiểu 3 actor; 8-10 use case; 6-8 bảng dữ liệu; 2 quy trình lõi; đăng nhập/RBAC; 1 dashboard; 1 báo cáo; &gt;=25 test case; triển khai bản demo.</v>
      </c>
      <c r="L1199" t="str">
        <f>'Huong dan giao do an'!$B$31</f>
        <v>Bắt buộc: Charter/PMP; SRS + scope/WBS; Gantt/baseline; effort-cost budget; RACI/timesheet; quality-test-defect; communication/minutes; risk register; procurement; change log; closure/lessons learned.</v>
      </c>
      <c r="M1199" t="str">
        <f>'Huong dan giao do an'!$B$33</f>
        <v>Tuần 1: 07.09–13.09.2026; Tuần 2: 14.09–20.09.2026; Tuần 3: 21.09–27.09.2026; Tuần 4: 28.09–04.10.2026; Tuần 5: 05.10–11.10.2026; Tuần 6: 12.10–18.10.2026; Tuần 7: 19.10–25.10.2026; Tuần 8: 26.10–01.11.2026.</v>
      </c>
      <c r="N11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199" s="17" t="str">
        <f t="shared" si="18"/>
        <v>Còn trống</v>
      </c>
    </row>
    <row r="1200" spans="1:16" x14ac:dyDescent="0.3">
      <c r="A1200">
        <v>1199</v>
      </c>
      <c r="B1200" t="s">
        <v>2544</v>
      </c>
      <c r="C1200" t="s">
        <v>2769</v>
      </c>
      <c r="D1200" t="s">
        <v>2770</v>
      </c>
      <c r="E1200" t="s">
        <v>45</v>
      </c>
      <c r="F1200" t="s">
        <v>2562</v>
      </c>
      <c r="G1200" t="s">
        <v>2609</v>
      </c>
      <c r="H1200" t="str">
        <f>'Huong dan giao do an'!$B$14</f>
        <v>5 SV (vai trò chính): 1 PM/Scrum Master kiêm Integration; 2 BA/PO; 3 UI-UX + Frontend; 4 Backend/API + DevOps; 5 Database + QA/Tester. Mỗi SV có nhiệm vụ phụ và minh chứng cá nhân.</v>
      </c>
      <c r="I1200" t="s">
        <v>22</v>
      </c>
      <c r="J1200" t="s">
        <v>2549</v>
      </c>
      <c r="K1200" t="str">
        <f>IF(I1200="Trung bình",'Huong dan giao do an'!$B$8,IF(I1200="Khá",'Huong dan giao do an'!$B$9,'Huong dan giao do an'!$B$10))</f>
        <v>Tối thiểu 4 actor; 10-14 use case; 8-12 bảng; 3 quy trình lõi; phân quyền chi tiết; 2 báo cáo; tích hợp 1 dịch vụ; &gt;=35 test case; CI/CD hoặc deploy cloud.</v>
      </c>
      <c r="L1200" t="str">
        <f>'Huong dan giao do an'!$B$31</f>
        <v>Bắt buộc: Charter/PMP; SRS + scope/WBS; Gantt/baseline; effort-cost budget; RACI/timesheet; quality-test-defect; communication/minutes; risk register; procurement; change log; closure/lessons learned.</v>
      </c>
      <c r="M1200" t="str">
        <f>'Huong dan giao do an'!$B$33</f>
        <v>Tuần 1: 07.09–13.09.2026; Tuần 2: 14.09–20.09.2026; Tuần 3: 21.09–27.09.2026; Tuần 4: 28.09–04.10.2026; Tuần 5: 05.10–11.10.2026; Tuần 6: 12.10–18.10.2026; Tuần 7: 19.10–25.10.2026; Tuần 8: 26.10–01.11.2026.</v>
      </c>
      <c r="N12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0" s="17" t="str">
        <f t="shared" si="18"/>
        <v>Còn trống</v>
      </c>
    </row>
    <row r="1201" spans="1:16" x14ac:dyDescent="0.3">
      <c r="A1201">
        <v>1200</v>
      </c>
      <c r="B1201" t="s">
        <v>2544</v>
      </c>
      <c r="C1201" t="s">
        <v>2771</v>
      </c>
      <c r="D1201" t="s">
        <v>2772</v>
      </c>
      <c r="E1201" t="s">
        <v>19</v>
      </c>
      <c r="F1201" t="s">
        <v>2566</v>
      </c>
      <c r="G1201" t="s">
        <v>2612</v>
      </c>
      <c r="H1201" t="str">
        <f>'Huong dan giao do an'!$B$14</f>
        <v>5 SV (vai trò chính): 1 PM/Scrum Master kiêm Integration; 2 BA/PO; 3 UI-UX + Frontend; 4 Backend/API + DevOps; 5 Database + QA/Tester. Mỗi SV có nhiệm vụ phụ và minh chứng cá nhân.</v>
      </c>
      <c r="I1201" t="s">
        <v>29</v>
      </c>
      <c r="J1201" t="s">
        <v>2554</v>
      </c>
      <c r="K1201" t="str">
        <f>IF(I1201="Trung bình",'Huong dan giao do an'!$B$8,IF(I1201="Khá",'Huong dan giao do an'!$B$9,'Huong dan giao do an'!$B$10))</f>
        <v>Tối thiểu 5 actor; 14-18 use case; 10-15 bảng; 4 quy trình; tích hợp ngoài/realtime hoặc xử lý nâng cao; 3 báo cáo; &gt;=45 test case; logging, backup và deploy.</v>
      </c>
      <c r="L1201" t="str">
        <f>'Huong dan giao do an'!$B$31</f>
        <v>Bắt buộc: Charter/PMP; SRS + scope/WBS; Gantt/baseline; effort-cost budget; RACI/timesheet; quality-test-defect; communication/minutes; risk register; procurement; change log; closure/lessons learned.</v>
      </c>
      <c r="M1201" t="str">
        <f>'Huong dan giao do an'!$B$33</f>
        <v>Tuần 1: 07.09–13.09.2026; Tuần 2: 14.09–20.09.2026; Tuần 3: 21.09–27.09.2026; Tuần 4: 28.09–04.10.2026; Tuần 5: 05.10–11.10.2026; Tuần 6: 12.10–18.10.2026; Tuần 7: 19.10–25.10.2026; Tuần 8: 26.10–01.11.2026.</v>
      </c>
      <c r="N12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1" s="17" t="str">
        <f t="shared" si="18"/>
        <v>Còn trống</v>
      </c>
    </row>
    <row r="1202" spans="1:16" x14ac:dyDescent="0.3">
      <c r="A1202">
        <v>1201</v>
      </c>
      <c r="B1202" t="s">
        <v>2773</v>
      </c>
      <c r="C1202" t="s">
        <v>2774</v>
      </c>
      <c r="D1202" t="s">
        <v>2775</v>
      </c>
      <c r="E1202" t="s">
        <v>33</v>
      </c>
      <c r="F1202" t="s">
        <v>2776</v>
      </c>
      <c r="G1202" t="s">
        <v>2777</v>
      </c>
      <c r="H1202" t="str">
        <f>'Huong dan giao do an'!$B$14</f>
        <v>5 SV (vai trò chính): 1 PM/Scrum Master kiêm Integration; 2 BA/PO; 3 UI-UX + Frontend; 4 Backend/API + DevOps; 5 Database + QA/Tester. Mỗi SV có nhiệm vụ phụ và minh chứng cá nhân.</v>
      </c>
      <c r="I1202" t="s">
        <v>22</v>
      </c>
      <c r="J1202" t="s">
        <v>2778</v>
      </c>
      <c r="K1202" t="str">
        <f>IF(I1202="Trung bình",'Huong dan giao do an'!$B$8,IF(I1202="Khá",'Huong dan giao do an'!$B$9,'Huong dan giao do an'!$B$10))</f>
        <v>Tối thiểu 4 actor; 10-14 use case; 8-12 bảng; 3 quy trình lõi; phân quyền chi tiết; 2 báo cáo; tích hợp 1 dịch vụ; &gt;=35 test case; CI/CD hoặc deploy cloud.</v>
      </c>
      <c r="L1202" t="str">
        <f>'Huong dan giao do an'!$B$31</f>
        <v>Bắt buộc: Charter/PMP; SRS + scope/WBS; Gantt/baseline; effort-cost budget; RACI/timesheet; quality-test-defect; communication/minutes; risk register; procurement; change log; closure/lessons learned.</v>
      </c>
      <c r="M1202" t="str">
        <f>'Huong dan giao do an'!$B$33</f>
        <v>Tuần 1: 07.09–13.09.2026; Tuần 2: 14.09–20.09.2026; Tuần 3: 21.09–27.09.2026; Tuần 4: 28.09–04.10.2026; Tuần 5: 05.10–11.10.2026; Tuần 6: 12.10–18.10.2026; Tuần 7: 19.10–25.10.2026; Tuần 8: 26.10–01.11.2026.</v>
      </c>
      <c r="N12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2" s="17" t="str">
        <f t="shared" si="18"/>
        <v>Còn trống</v>
      </c>
    </row>
    <row r="1203" spans="1:16" x14ac:dyDescent="0.3">
      <c r="A1203">
        <v>1202</v>
      </c>
      <c r="B1203" t="s">
        <v>2773</v>
      </c>
      <c r="C1203" t="s">
        <v>2779</v>
      </c>
      <c r="D1203" t="s">
        <v>2780</v>
      </c>
      <c r="E1203" t="s">
        <v>40</v>
      </c>
      <c r="F1203" t="s">
        <v>2781</v>
      </c>
      <c r="G1203" t="s">
        <v>2782</v>
      </c>
      <c r="H1203" t="str">
        <f>'Huong dan giao do an'!$B$14</f>
        <v>5 SV (vai trò chính): 1 PM/Scrum Master kiêm Integration; 2 BA/PO; 3 UI-UX + Frontend; 4 Backend/API + DevOps; 5 Database + QA/Tester. Mỗi SV có nhiệm vụ phụ và minh chứng cá nhân.</v>
      </c>
      <c r="I1203" t="s">
        <v>29</v>
      </c>
      <c r="J1203" t="s">
        <v>2783</v>
      </c>
      <c r="K1203" t="str">
        <f>IF(I1203="Trung bình",'Huong dan giao do an'!$B$8,IF(I1203="Khá",'Huong dan giao do an'!$B$9,'Huong dan giao do an'!$B$10))</f>
        <v>Tối thiểu 5 actor; 14-18 use case; 10-15 bảng; 4 quy trình; tích hợp ngoài/realtime hoặc xử lý nâng cao; 3 báo cáo; &gt;=45 test case; logging, backup và deploy.</v>
      </c>
      <c r="L1203" t="str">
        <f>'Huong dan giao do an'!$B$31</f>
        <v>Bắt buộc: Charter/PMP; SRS + scope/WBS; Gantt/baseline; effort-cost budget; RACI/timesheet; quality-test-defect; communication/minutes; risk register; procurement; change log; closure/lessons learned.</v>
      </c>
      <c r="M1203" t="str">
        <f>'Huong dan giao do an'!$B$33</f>
        <v>Tuần 1: 07.09–13.09.2026; Tuần 2: 14.09–20.09.2026; Tuần 3: 21.09–27.09.2026; Tuần 4: 28.09–04.10.2026; Tuần 5: 05.10–11.10.2026; Tuần 6: 12.10–18.10.2026; Tuần 7: 19.10–25.10.2026; Tuần 8: 26.10–01.11.2026.</v>
      </c>
      <c r="N12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3" s="17" t="str">
        <f t="shared" si="18"/>
        <v>Còn trống</v>
      </c>
    </row>
    <row r="1204" spans="1:16" x14ac:dyDescent="0.3">
      <c r="A1204">
        <v>1203</v>
      </c>
      <c r="B1204" t="s">
        <v>2773</v>
      </c>
      <c r="C1204" t="s">
        <v>2784</v>
      </c>
      <c r="D1204" t="s">
        <v>2785</v>
      </c>
      <c r="E1204" t="s">
        <v>45</v>
      </c>
      <c r="F1204" t="s">
        <v>2786</v>
      </c>
      <c r="G1204" t="s">
        <v>2787</v>
      </c>
      <c r="H1204" t="str">
        <f>'Huong dan giao do an'!$B$14</f>
        <v>5 SV (vai trò chính): 1 PM/Scrum Master kiêm Integration; 2 BA/PO; 3 UI-UX + Frontend; 4 Backend/API + DevOps; 5 Database + QA/Tester. Mỗi SV có nhiệm vụ phụ và minh chứng cá nhân.</v>
      </c>
      <c r="I1204" t="s">
        <v>36</v>
      </c>
      <c r="J1204" t="s">
        <v>2788</v>
      </c>
      <c r="K1204" t="str">
        <f>IF(I1204="Trung bình",'Huong dan giao do an'!$B$8,IF(I1204="Khá",'Huong dan giao do an'!$B$9,'Huong dan giao do an'!$B$10))</f>
        <v>Tối thiểu 3 actor; 8-10 use case; 6-8 bảng dữ liệu; 2 quy trình lõi; đăng nhập/RBAC; 1 dashboard; 1 báo cáo; &gt;=25 test case; triển khai bản demo.</v>
      </c>
      <c r="L1204" t="str">
        <f>'Huong dan giao do an'!$B$31</f>
        <v>Bắt buộc: Charter/PMP; SRS + scope/WBS; Gantt/baseline; effort-cost budget; RACI/timesheet; quality-test-defect; communication/minutes; risk register; procurement; change log; closure/lessons learned.</v>
      </c>
      <c r="M1204" t="str">
        <f>'Huong dan giao do an'!$B$33</f>
        <v>Tuần 1: 07.09–13.09.2026; Tuần 2: 14.09–20.09.2026; Tuần 3: 21.09–27.09.2026; Tuần 4: 28.09–04.10.2026; Tuần 5: 05.10–11.10.2026; Tuần 6: 12.10–18.10.2026; Tuần 7: 19.10–25.10.2026; Tuần 8: 26.10–01.11.2026.</v>
      </c>
      <c r="N12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4" s="17" t="str">
        <f t="shared" si="18"/>
        <v>Còn trống</v>
      </c>
    </row>
    <row r="1205" spans="1:16" x14ac:dyDescent="0.3">
      <c r="A1205">
        <v>1204</v>
      </c>
      <c r="B1205" t="s">
        <v>2773</v>
      </c>
      <c r="C1205" t="s">
        <v>2789</v>
      </c>
      <c r="D1205" t="s">
        <v>2790</v>
      </c>
      <c r="E1205" t="s">
        <v>19</v>
      </c>
      <c r="F1205" t="s">
        <v>2791</v>
      </c>
      <c r="G1205" t="s">
        <v>2792</v>
      </c>
      <c r="H1205" t="str">
        <f>'Huong dan giao do an'!$B$14</f>
        <v>5 SV (vai trò chính): 1 PM/Scrum Master kiêm Integration; 2 BA/PO; 3 UI-UX + Frontend; 4 Backend/API + DevOps; 5 Database + QA/Tester. Mỗi SV có nhiệm vụ phụ và minh chứng cá nhân.</v>
      </c>
      <c r="I1205" t="s">
        <v>22</v>
      </c>
      <c r="J1205" t="s">
        <v>2778</v>
      </c>
      <c r="K1205" t="str">
        <f>IF(I1205="Trung bình",'Huong dan giao do an'!$B$8,IF(I1205="Khá",'Huong dan giao do an'!$B$9,'Huong dan giao do an'!$B$10))</f>
        <v>Tối thiểu 4 actor; 10-14 use case; 8-12 bảng; 3 quy trình lõi; phân quyền chi tiết; 2 báo cáo; tích hợp 1 dịch vụ; &gt;=35 test case; CI/CD hoặc deploy cloud.</v>
      </c>
      <c r="L1205" t="str">
        <f>'Huong dan giao do an'!$B$31</f>
        <v>Bắt buộc: Charter/PMP; SRS + scope/WBS; Gantt/baseline; effort-cost budget; RACI/timesheet; quality-test-defect; communication/minutes; risk register; procurement; change log; closure/lessons learned.</v>
      </c>
      <c r="M1205" t="str">
        <f>'Huong dan giao do an'!$B$33</f>
        <v>Tuần 1: 07.09–13.09.2026; Tuần 2: 14.09–20.09.2026; Tuần 3: 21.09–27.09.2026; Tuần 4: 28.09–04.10.2026; Tuần 5: 05.10–11.10.2026; Tuần 6: 12.10–18.10.2026; Tuần 7: 19.10–25.10.2026; Tuần 8: 26.10–01.11.2026.</v>
      </c>
      <c r="N12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5" s="17" t="str">
        <f t="shared" si="18"/>
        <v>Còn trống</v>
      </c>
    </row>
    <row r="1206" spans="1:16" x14ac:dyDescent="0.3">
      <c r="A1206">
        <v>1205</v>
      </c>
      <c r="B1206" t="s">
        <v>2773</v>
      </c>
      <c r="C1206" t="s">
        <v>2793</v>
      </c>
      <c r="D1206" t="s">
        <v>2794</v>
      </c>
      <c r="E1206" t="s">
        <v>26</v>
      </c>
      <c r="F1206" t="s">
        <v>2795</v>
      </c>
      <c r="G1206" t="s">
        <v>2796</v>
      </c>
      <c r="H1206" t="str">
        <f>'Huong dan giao do an'!$B$14</f>
        <v>5 SV (vai trò chính): 1 PM/Scrum Master kiêm Integration; 2 BA/PO; 3 UI-UX + Frontend; 4 Backend/API + DevOps; 5 Database + QA/Tester. Mỗi SV có nhiệm vụ phụ và minh chứng cá nhân.</v>
      </c>
      <c r="I1206" t="s">
        <v>29</v>
      </c>
      <c r="J1206" t="s">
        <v>2783</v>
      </c>
      <c r="K1206" t="str">
        <f>IF(I1206="Trung bình",'Huong dan giao do an'!$B$8,IF(I1206="Khá",'Huong dan giao do an'!$B$9,'Huong dan giao do an'!$B$10))</f>
        <v>Tối thiểu 5 actor; 14-18 use case; 10-15 bảng; 4 quy trình; tích hợp ngoài/realtime hoặc xử lý nâng cao; 3 báo cáo; &gt;=45 test case; logging, backup và deploy.</v>
      </c>
      <c r="L1206" t="str">
        <f>'Huong dan giao do an'!$B$31</f>
        <v>Bắt buộc: Charter/PMP; SRS + scope/WBS; Gantt/baseline; effort-cost budget; RACI/timesheet; quality-test-defect; communication/minutes; risk register; procurement; change log; closure/lessons learned.</v>
      </c>
      <c r="M1206" t="str">
        <f>'Huong dan giao do an'!$B$33</f>
        <v>Tuần 1: 07.09–13.09.2026; Tuần 2: 14.09–20.09.2026; Tuần 3: 21.09–27.09.2026; Tuần 4: 28.09–04.10.2026; Tuần 5: 05.10–11.10.2026; Tuần 6: 12.10–18.10.2026; Tuần 7: 19.10–25.10.2026; Tuần 8: 26.10–01.11.2026.</v>
      </c>
      <c r="N12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6" s="17" t="str">
        <f t="shared" si="18"/>
        <v>Còn trống</v>
      </c>
    </row>
    <row r="1207" spans="1:16" x14ac:dyDescent="0.3">
      <c r="A1207">
        <v>1206</v>
      </c>
      <c r="B1207" t="s">
        <v>2773</v>
      </c>
      <c r="C1207" t="s">
        <v>2797</v>
      </c>
      <c r="D1207" t="s">
        <v>2798</v>
      </c>
      <c r="E1207" t="s">
        <v>33</v>
      </c>
      <c r="F1207" t="s">
        <v>2776</v>
      </c>
      <c r="G1207" t="s">
        <v>2799</v>
      </c>
      <c r="H1207" t="str">
        <f>'Huong dan giao do an'!$B$14</f>
        <v>5 SV (vai trò chính): 1 PM/Scrum Master kiêm Integration; 2 BA/PO; 3 UI-UX + Frontend; 4 Backend/API + DevOps; 5 Database + QA/Tester. Mỗi SV có nhiệm vụ phụ và minh chứng cá nhân.</v>
      </c>
      <c r="I1207" t="s">
        <v>36</v>
      </c>
      <c r="J1207" t="s">
        <v>2788</v>
      </c>
      <c r="K1207" t="str">
        <f>IF(I1207="Trung bình",'Huong dan giao do an'!$B$8,IF(I1207="Khá",'Huong dan giao do an'!$B$9,'Huong dan giao do an'!$B$10))</f>
        <v>Tối thiểu 3 actor; 8-10 use case; 6-8 bảng dữ liệu; 2 quy trình lõi; đăng nhập/RBAC; 1 dashboard; 1 báo cáo; &gt;=25 test case; triển khai bản demo.</v>
      </c>
      <c r="L1207" t="str">
        <f>'Huong dan giao do an'!$B$31</f>
        <v>Bắt buộc: Charter/PMP; SRS + scope/WBS; Gantt/baseline; effort-cost budget; RACI/timesheet; quality-test-defect; communication/minutes; risk register; procurement; change log; closure/lessons learned.</v>
      </c>
      <c r="M1207" t="str">
        <f>'Huong dan giao do an'!$B$33</f>
        <v>Tuần 1: 07.09–13.09.2026; Tuần 2: 14.09–20.09.2026; Tuần 3: 21.09–27.09.2026; Tuần 4: 28.09–04.10.2026; Tuần 5: 05.10–11.10.2026; Tuần 6: 12.10–18.10.2026; Tuần 7: 19.10–25.10.2026; Tuần 8: 26.10–01.11.2026.</v>
      </c>
      <c r="N12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7" s="17" t="str">
        <f t="shared" si="18"/>
        <v>Còn trống</v>
      </c>
    </row>
    <row r="1208" spans="1:16" x14ac:dyDescent="0.3">
      <c r="A1208">
        <v>1207</v>
      </c>
      <c r="B1208" t="s">
        <v>2773</v>
      </c>
      <c r="C1208" t="s">
        <v>2800</v>
      </c>
      <c r="D1208" t="s">
        <v>2801</v>
      </c>
      <c r="E1208" t="s">
        <v>40</v>
      </c>
      <c r="F1208" t="s">
        <v>2781</v>
      </c>
      <c r="G1208" t="s">
        <v>2802</v>
      </c>
      <c r="H1208" t="str">
        <f>'Huong dan giao do an'!$B$14</f>
        <v>5 SV (vai trò chính): 1 PM/Scrum Master kiêm Integration; 2 BA/PO; 3 UI-UX + Frontend; 4 Backend/API + DevOps; 5 Database + QA/Tester. Mỗi SV có nhiệm vụ phụ và minh chứng cá nhân.</v>
      </c>
      <c r="I1208" t="s">
        <v>22</v>
      </c>
      <c r="J1208" t="s">
        <v>2778</v>
      </c>
      <c r="K1208" t="str">
        <f>IF(I1208="Trung bình",'Huong dan giao do an'!$B$8,IF(I1208="Khá",'Huong dan giao do an'!$B$9,'Huong dan giao do an'!$B$10))</f>
        <v>Tối thiểu 4 actor; 10-14 use case; 8-12 bảng; 3 quy trình lõi; phân quyền chi tiết; 2 báo cáo; tích hợp 1 dịch vụ; &gt;=35 test case; CI/CD hoặc deploy cloud.</v>
      </c>
      <c r="L1208" t="str">
        <f>'Huong dan giao do an'!$B$31</f>
        <v>Bắt buộc: Charter/PMP; SRS + scope/WBS; Gantt/baseline; effort-cost budget; RACI/timesheet; quality-test-defect; communication/minutes; risk register; procurement; change log; closure/lessons learned.</v>
      </c>
      <c r="M1208" t="str">
        <f>'Huong dan giao do an'!$B$33</f>
        <v>Tuần 1: 07.09–13.09.2026; Tuần 2: 14.09–20.09.2026; Tuần 3: 21.09–27.09.2026; Tuần 4: 28.09–04.10.2026; Tuần 5: 05.10–11.10.2026; Tuần 6: 12.10–18.10.2026; Tuần 7: 19.10–25.10.2026; Tuần 8: 26.10–01.11.2026.</v>
      </c>
      <c r="N12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8" s="17" t="str">
        <f t="shared" si="18"/>
        <v>Còn trống</v>
      </c>
    </row>
    <row r="1209" spans="1:16" x14ac:dyDescent="0.3">
      <c r="A1209">
        <v>1208</v>
      </c>
      <c r="B1209" t="s">
        <v>2773</v>
      </c>
      <c r="C1209" t="s">
        <v>2803</v>
      </c>
      <c r="D1209" t="s">
        <v>2804</v>
      </c>
      <c r="E1209" t="s">
        <v>45</v>
      </c>
      <c r="F1209" t="s">
        <v>2786</v>
      </c>
      <c r="G1209" t="s">
        <v>2805</v>
      </c>
      <c r="H1209" t="str">
        <f>'Huong dan giao do an'!$B$14</f>
        <v>5 SV (vai trò chính): 1 PM/Scrum Master kiêm Integration; 2 BA/PO; 3 UI-UX + Frontend; 4 Backend/API + DevOps; 5 Database + QA/Tester. Mỗi SV có nhiệm vụ phụ và minh chứng cá nhân.</v>
      </c>
      <c r="I1209" t="s">
        <v>29</v>
      </c>
      <c r="J1209" t="s">
        <v>2783</v>
      </c>
      <c r="K1209" t="str">
        <f>IF(I1209="Trung bình",'Huong dan giao do an'!$B$8,IF(I1209="Khá",'Huong dan giao do an'!$B$9,'Huong dan giao do an'!$B$10))</f>
        <v>Tối thiểu 5 actor; 14-18 use case; 10-15 bảng; 4 quy trình; tích hợp ngoài/realtime hoặc xử lý nâng cao; 3 báo cáo; &gt;=45 test case; logging, backup và deploy.</v>
      </c>
      <c r="L1209" t="str">
        <f>'Huong dan giao do an'!$B$31</f>
        <v>Bắt buộc: Charter/PMP; SRS + scope/WBS; Gantt/baseline; effort-cost budget; RACI/timesheet; quality-test-defect; communication/minutes; risk register; procurement; change log; closure/lessons learned.</v>
      </c>
      <c r="M1209" t="str">
        <f>'Huong dan giao do an'!$B$33</f>
        <v>Tuần 1: 07.09–13.09.2026; Tuần 2: 14.09–20.09.2026; Tuần 3: 21.09–27.09.2026; Tuần 4: 28.09–04.10.2026; Tuần 5: 05.10–11.10.2026; Tuần 6: 12.10–18.10.2026; Tuần 7: 19.10–25.10.2026; Tuần 8: 26.10–01.11.2026.</v>
      </c>
      <c r="N12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09" s="17" t="str">
        <f t="shared" si="18"/>
        <v>Còn trống</v>
      </c>
    </row>
    <row r="1210" spans="1:16" x14ac:dyDescent="0.3">
      <c r="A1210">
        <v>1209</v>
      </c>
      <c r="B1210" t="s">
        <v>2773</v>
      </c>
      <c r="C1210" t="s">
        <v>2806</v>
      </c>
      <c r="D1210" t="s">
        <v>2807</v>
      </c>
      <c r="E1210" t="s">
        <v>19</v>
      </c>
      <c r="F1210" t="s">
        <v>2791</v>
      </c>
      <c r="G1210" t="s">
        <v>2808</v>
      </c>
      <c r="H1210" t="str">
        <f>'Huong dan giao do an'!$B$14</f>
        <v>5 SV (vai trò chính): 1 PM/Scrum Master kiêm Integration; 2 BA/PO; 3 UI-UX + Frontend; 4 Backend/API + DevOps; 5 Database + QA/Tester. Mỗi SV có nhiệm vụ phụ và minh chứng cá nhân.</v>
      </c>
      <c r="I1210" t="s">
        <v>36</v>
      </c>
      <c r="J1210" t="s">
        <v>2788</v>
      </c>
      <c r="K1210" t="str">
        <f>IF(I1210="Trung bình",'Huong dan giao do an'!$B$8,IF(I1210="Khá",'Huong dan giao do an'!$B$9,'Huong dan giao do an'!$B$10))</f>
        <v>Tối thiểu 3 actor; 8-10 use case; 6-8 bảng dữ liệu; 2 quy trình lõi; đăng nhập/RBAC; 1 dashboard; 1 báo cáo; &gt;=25 test case; triển khai bản demo.</v>
      </c>
      <c r="L1210" t="str">
        <f>'Huong dan giao do an'!$B$31</f>
        <v>Bắt buộc: Charter/PMP; SRS + scope/WBS; Gantt/baseline; effort-cost budget; RACI/timesheet; quality-test-defect; communication/minutes; risk register; procurement; change log; closure/lessons learned.</v>
      </c>
      <c r="M1210" t="str">
        <f>'Huong dan giao do an'!$B$33</f>
        <v>Tuần 1: 07.09–13.09.2026; Tuần 2: 14.09–20.09.2026; Tuần 3: 21.09–27.09.2026; Tuần 4: 28.09–04.10.2026; Tuần 5: 05.10–11.10.2026; Tuần 6: 12.10–18.10.2026; Tuần 7: 19.10–25.10.2026; Tuần 8: 26.10–01.11.2026.</v>
      </c>
      <c r="N12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0" s="17" t="str">
        <f t="shared" si="18"/>
        <v>Còn trống</v>
      </c>
    </row>
    <row r="1211" spans="1:16" x14ac:dyDescent="0.3">
      <c r="A1211">
        <v>1210</v>
      </c>
      <c r="B1211" t="s">
        <v>2773</v>
      </c>
      <c r="C1211" t="s">
        <v>2809</v>
      </c>
      <c r="D1211" t="s">
        <v>2810</v>
      </c>
      <c r="E1211" t="s">
        <v>26</v>
      </c>
      <c r="F1211" t="s">
        <v>2795</v>
      </c>
      <c r="G1211" t="s">
        <v>2811</v>
      </c>
      <c r="H1211" t="str">
        <f>'Huong dan giao do an'!$B$14</f>
        <v>5 SV (vai trò chính): 1 PM/Scrum Master kiêm Integration; 2 BA/PO; 3 UI-UX + Frontend; 4 Backend/API + DevOps; 5 Database + QA/Tester. Mỗi SV có nhiệm vụ phụ và minh chứng cá nhân.</v>
      </c>
      <c r="I1211" t="s">
        <v>22</v>
      </c>
      <c r="J1211" t="s">
        <v>2778</v>
      </c>
      <c r="K1211" t="str">
        <f>IF(I1211="Trung bình",'Huong dan giao do an'!$B$8,IF(I1211="Khá",'Huong dan giao do an'!$B$9,'Huong dan giao do an'!$B$10))</f>
        <v>Tối thiểu 4 actor; 10-14 use case; 8-12 bảng; 3 quy trình lõi; phân quyền chi tiết; 2 báo cáo; tích hợp 1 dịch vụ; &gt;=35 test case; CI/CD hoặc deploy cloud.</v>
      </c>
      <c r="L1211" t="str">
        <f>'Huong dan giao do an'!$B$31</f>
        <v>Bắt buộc: Charter/PMP; SRS + scope/WBS; Gantt/baseline; effort-cost budget; RACI/timesheet; quality-test-defect; communication/minutes; risk register; procurement; change log; closure/lessons learned.</v>
      </c>
      <c r="M1211" t="str">
        <f>'Huong dan giao do an'!$B$33</f>
        <v>Tuần 1: 07.09–13.09.2026; Tuần 2: 14.09–20.09.2026; Tuần 3: 21.09–27.09.2026; Tuần 4: 28.09–04.10.2026; Tuần 5: 05.10–11.10.2026; Tuần 6: 12.10–18.10.2026; Tuần 7: 19.10–25.10.2026; Tuần 8: 26.10–01.11.2026.</v>
      </c>
      <c r="N12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1" s="17" t="str">
        <f t="shared" si="18"/>
        <v>Còn trống</v>
      </c>
    </row>
    <row r="1212" spans="1:16" x14ac:dyDescent="0.3">
      <c r="A1212">
        <v>1211</v>
      </c>
      <c r="B1212" t="s">
        <v>2773</v>
      </c>
      <c r="C1212" t="s">
        <v>2812</v>
      </c>
      <c r="D1212" t="s">
        <v>2813</v>
      </c>
      <c r="E1212" t="s">
        <v>33</v>
      </c>
      <c r="F1212" t="s">
        <v>2776</v>
      </c>
      <c r="G1212" t="s">
        <v>2814</v>
      </c>
      <c r="H1212" t="str">
        <f>'Huong dan giao do an'!$B$14</f>
        <v>5 SV (vai trò chính): 1 PM/Scrum Master kiêm Integration; 2 BA/PO; 3 UI-UX + Frontend; 4 Backend/API + DevOps; 5 Database + QA/Tester. Mỗi SV có nhiệm vụ phụ và minh chứng cá nhân.</v>
      </c>
      <c r="I1212" t="s">
        <v>29</v>
      </c>
      <c r="J1212" t="s">
        <v>2783</v>
      </c>
      <c r="K1212" t="str">
        <f>IF(I1212="Trung bình",'Huong dan giao do an'!$B$8,IF(I1212="Khá",'Huong dan giao do an'!$B$9,'Huong dan giao do an'!$B$10))</f>
        <v>Tối thiểu 5 actor; 14-18 use case; 10-15 bảng; 4 quy trình; tích hợp ngoài/realtime hoặc xử lý nâng cao; 3 báo cáo; &gt;=45 test case; logging, backup và deploy.</v>
      </c>
      <c r="L1212" t="str">
        <f>'Huong dan giao do an'!$B$31</f>
        <v>Bắt buộc: Charter/PMP; SRS + scope/WBS; Gantt/baseline; effort-cost budget; RACI/timesheet; quality-test-defect; communication/minutes; risk register; procurement; change log; closure/lessons learned.</v>
      </c>
      <c r="M1212" t="str">
        <f>'Huong dan giao do an'!$B$33</f>
        <v>Tuần 1: 07.09–13.09.2026; Tuần 2: 14.09–20.09.2026; Tuần 3: 21.09–27.09.2026; Tuần 4: 28.09–04.10.2026; Tuần 5: 05.10–11.10.2026; Tuần 6: 12.10–18.10.2026; Tuần 7: 19.10–25.10.2026; Tuần 8: 26.10–01.11.2026.</v>
      </c>
      <c r="N12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2" s="17" t="str">
        <f t="shared" si="18"/>
        <v>Còn trống</v>
      </c>
    </row>
    <row r="1213" spans="1:16" x14ac:dyDescent="0.3">
      <c r="A1213">
        <v>1212</v>
      </c>
      <c r="B1213" t="s">
        <v>2773</v>
      </c>
      <c r="C1213" t="s">
        <v>2815</v>
      </c>
      <c r="D1213" t="s">
        <v>2816</v>
      </c>
      <c r="E1213" t="s">
        <v>40</v>
      </c>
      <c r="F1213" t="s">
        <v>2781</v>
      </c>
      <c r="G1213" t="s">
        <v>2817</v>
      </c>
      <c r="H1213" t="str">
        <f>'Huong dan giao do an'!$B$14</f>
        <v>5 SV (vai trò chính): 1 PM/Scrum Master kiêm Integration; 2 BA/PO; 3 UI-UX + Frontend; 4 Backend/API + DevOps; 5 Database + QA/Tester. Mỗi SV có nhiệm vụ phụ và minh chứng cá nhân.</v>
      </c>
      <c r="I1213" t="s">
        <v>36</v>
      </c>
      <c r="J1213" t="s">
        <v>2788</v>
      </c>
      <c r="K1213" t="str">
        <f>IF(I1213="Trung bình",'Huong dan giao do an'!$B$8,IF(I1213="Khá",'Huong dan giao do an'!$B$9,'Huong dan giao do an'!$B$10))</f>
        <v>Tối thiểu 3 actor; 8-10 use case; 6-8 bảng dữ liệu; 2 quy trình lõi; đăng nhập/RBAC; 1 dashboard; 1 báo cáo; &gt;=25 test case; triển khai bản demo.</v>
      </c>
      <c r="L1213" t="str">
        <f>'Huong dan giao do an'!$B$31</f>
        <v>Bắt buộc: Charter/PMP; SRS + scope/WBS; Gantt/baseline; effort-cost budget; RACI/timesheet; quality-test-defect; communication/minutes; risk register; procurement; change log; closure/lessons learned.</v>
      </c>
      <c r="M1213" t="str">
        <f>'Huong dan giao do an'!$B$33</f>
        <v>Tuần 1: 07.09–13.09.2026; Tuần 2: 14.09–20.09.2026; Tuần 3: 21.09–27.09.2026; Tuần 4: 28.09–04.10.2026; Tuần 5: 05.10–11.10.2026; Tuần 6: 12.10–18.10.2026; Tuần 7: 19.10–25.10.2026; Tuần 8: 26.10–01.11.2026.</v>
      </c>
      <c r="N12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3" s="17" t="str">
        <f t="shared" si="18"/>
        <v>Còn trống</v>
      </c>
    </row>
    <row r="1214" spans="1:16" x14ac:dyDescent="0.3">
      <c r="A1214">
        <v>1213</v>
      </c>
      <c r="B1214" t="s">
        <v>2773</v>
      </c>
      <c r="C1214" t="s">
        <v>2818</v>
      </c>
      <c r="D1214" t="s">
        <v>2819</v>
      </c>
      <c r="E1214" t="s">
        <v>45</v>
      </c>
      <c r="F1214" t="s">
        <v>2786</v>
      </c>
      <c r="G1214" t="s">
        <v>2820</v>
      </c>
      <c r="H1214" t="str">
        <f>'Huong dan giao do an'!$B$14</f>
        <v>5 SV (vai trò chính): 1 PM/Scrum Master kiêm Integration; 2 BA/PO; 3 UI-UX + Frontend; 4 Backend/API + DevOps; 5 Database + QA/Tester. Mỗi SV có nhiệm vụ phụ và minh chứng cá nhân.</v>
      </c>
      <c r="I1214" t="s">
        <v>22</v>
      </c>
      <c r="J1214" t="s">
        <v>2778</v>
      </c>
      <c r="K1214" t="str">
        <f>IF(I1214="Trung bình",'Huong dan giao do an'!$B$8,IF(I1214="Khá",'Huong dan giao do an'!$B$9,'Huong dan giao do an'!$B$10))</f>
        <v>Tối thiểu 4 actor; 10-14 use case; 8-12 bảng; 3 quy trình lõi; phân quyền chi tiết; 2 báo cáo; tích hợp 1 dịch vụ; &gt;=35 test case; CI/CD hoặc deploy cloud.</v>
      </c>
      <c r="L1214" t="str">
        <f>'Huong dan giao do an'!$B$31</f>
        <v>Bắt buộc: Charter/PMP; SRS + scope/WBS; Gantt/baseline; effort-cost budget; RACI/timesheet; quality-test-defect; communication/minutes; risk register; procurement; change log; closure/lessons learned.</v>
      </c>
      <c r="M1214" t="str">
        <f>'Huong dan giao do an'!$B$33</f>
        <v>Tuần 1: 07.09–13.09.2026; Tuần 2: 14.09–20.09.2026; Tuần 3: 21.09–27.09.2026; Tuần 4: 28.09–04.10.2026; Tuần 5: 05.10–11.10.2026; Tuần 6: 12.10–18.10.2026; Tuần 7: 19.10–25.10.2026; Tuần 8: 26.10–01.11.2026.</v>
      </c>
      <c r="N12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4" s="17" t="str">
        <f t="shared" si="18"/>
        <v>Còn trống</v>
      </c>
    </row>
    <row r="1215" spans="1:16" x14ac:dyDescent="0.3">
      <c r="A1215">
        <v>1214</v>
      </c>
      <c r="B1215" t="s">
        <v>2773</v>
      </c>
      <c r="C1215" t="s">
        <v>2821</v>
      </c>
      <c r="D1215" t="s">
        <v>2822</v>
      </c>
      <c r="E1215" t="s">
        <v>19</v>
      </c>
      <c r="F1215" t="s">
        <v>2791</v>
      </c>
      <c r="G1215" t="s">
        <v>2823</v>
      </c>
      <c r="H1215" t="str">
        <f>'Huong dan giao do an'!$B$14</f>
        <v>5 SV (vai trò chính): 1 PM/Scrum Master kiêm Integration; 2 BA/PO; 3 UI-UX + Frontend; 4 Backend/API + DevOps; 5 Database + QA/Tester. Mỗi SV có nhiệm vụ phụ và minh chứng cá nhân.</v>
      </c>
      <c r="I1215" t="s">
        <v>29</v>
      </c>
      <c r="J1215" t="s">
        <v>2783</v>
      </c>
      <c r="K1215" t="str">
        <f>IF(I1215="Trung bình",'Huong dan giao do an'!$B$8,IF(I1215="Khá",'Huong dan giao do an'!$B$9,'Huong dan giao do an'!$B$10))</f>
        <v>Tối thiểu 5 actor; 14-18 use case; 10-15 bảng; 4 quy trình; tích hợp ngoài/realtime hoặc xử lý nâng cao; 3 báo cáo; &gt;=45 test case; logging, backup và deploy.</v>
      </c>
      <c r="L1215" t="str">
        <f>'Huong dan giao do an'!$B$31</f>
        <v>Bắt buộc: Charter/PMP; SRS + scope/WBS; Gantt/baseline; effort-cost budget; RACI/timesheet; quality-test-defect; communication/minutes; risk register; procurement; change log; closure/lessons learned.</v>
      </c>
      <c r="M1215" t="str">
        <f>'Huong dan giao do an'!$B$33</f>
        <v>Tuần 1: 07.09–13.09.2026; Tuần 2: 14.09–20.09.2026; Tuần 3: 21.09–27.09.2026; Tuần 4: 28.09–04.10.2026; Tuần 5: 05.10–11.10.2026; Tuần 6: 12.10–18.10.2026; Tuần 7: 19.10–25.10.2026; Tuần 8: 26.10–01.11.2026.</v>
      </c>
      <c r="N12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5" s="17" t="str">
        <f t="shared" si="18"/>
        <v>Còn trống</v>
      </c>
    </row>
    <row r="1216" spans="1:16" x14ac:dyDescent="0.3">
      <c r="A1216">
        <v>1215</v>
      </c>
      <c r="B1216" t="s">
        <v>2773</v>
      </c>
      <c r="C1216" t="s">
        <v>2824</v>
      </c>
      <c r="D1216" t="s">
        <v>2825</v>
      </c>
      <c r="E1216" t="s">
        <v>26</v>
      </c>
      <c r="F1216" t="s">
        <v>2795</v>
      </c>
      <c r="G1216" t="s">
        <v>2826</v>
      </c>
      <c r="H1216" t="str">
        <f>'Huong dan giao do an'!$B$14</f>
        <v>5 SV (vai trò chính): 1 PM/Scrum Master kiêm Integration; 2 BA/PO; 3 UI-UX + Frontend; 4 Backend/API + DevOps; 5 Database + QA/Tester. Mỗi SV có nhiệm vụ phụ và minh chứng cá nhân.</v>
      </c>
      <c r="I1216" t="s">
        <v>36</v>
      </c>
      <c r="J1216" t="s">
        <v>2788</v>
      </c>
      <c r="K1216" t="str">
        <f>IF(I1216="Trung bình",'Huong dan giao do an'!$B$8,IF(I1216="Khá",'Huong dan giao do an'!$B$9,'Huong dan giao do an'!$B$10))</f>
        <v>Tối thiểu 3 actor; 8-10 use case; 6-8 bảng dữ liệu; 2 quy trình lõi; đăng nhập/RBAC; 1 dashboard; 1 báo cáo; &gt;=25 test case; triển khai bản demo.</v>
      </c>
      <c r="L1216" t="str">
        <f>'Huong dan giao do an'!$B$31</f>
        <v>Bắt buộc: Charter/PMP; SRS + scope/WBS; Gantt/baseline; effort-cost budget; RACI/timesheet; quality-test-defect; communication/minutes; risk register; procurement; change log; closure/lessons learned.</v>
      </c>
      <c r="M1216" t="str">
        <f>'Huong dan giao do an'!$B$33</f>
        <v>Tuần 1: 07.09–13.09.2026; Tuần 2: 14.09–20.09.2026; Tuần 3: 21.09–27.09.2026; Tuần 4: 28.09–04.10.2026; Tuần 5: 05.10–11.10.2026; Tuần 6: 12.10–18.10.2026; Tuần 7: 19.10–25.10.2026; Tuần 8: 26.10–01.11.2026.</v>
      </c>
      <c r="N12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6" s="17" t="str">
        <f t="shared" si="18"/>
        <v>Còn trống</v>
      </c>
    </row>
    <row r="1217" spans="1:16" x14ac:dyDescent="0.3">
      <c r="A1217">
        <v>1216</v>
      </c>
      <c r="B1217" t="s">
        <v>2773</v>
      </c>
      <c r="C1217" t="s">
        <v>2827</v>
      </c>
      <c r="D1217" t="s">
        <v>2828</v>
      </c>
      <c r="E1217" t="s">
        <v>33</v>
      </c>
      <c r="F1217" t="s">
        <v>2776</v>
      </c>
      <c r="G1217" t="s">
        <v>2829</v>
      </c>
      <c r="H1217" t="str">
        <f>'Huong dan giao do an'!$B$14</f>
        <v>5 SV (vai trò chính): 1 PM/Scrum Master kiêm Integration; 2 BA/PO; 3 UI-UX + Frontend; 4 Backend/API + DevOps; 5 Database + QA/Tester. Mỗi SV có nhiệm vụ phụ và minh chứng cá nhân.</v>
      </c>
      <c r="I1217" t="s">
        <v>22</v>
      </c>
      <c r="J1217" t="s">
        <v>2778</v>
      </c>
      <c r="K1217" t="str">
        <f>IF(I1217="Trung bình",'Huong dan giao do an'!$B$8,IF(I1217="Khá",'Huong dan giao do an'!$B$9,'Huong dan giao do an'!$B$10))</f>
        <v>Tối thiểu 4 actor; 10-14 use case; 8-12 bảng; 3 quy trình lõi; phân quyền chi tiết; 2 báo cáo; tích hợp 1 dịch vụ; &gt;=35 test case; CI/CD hoặc deploy cloud.</v>
      </c>
      <c r="L1217" t="str">
        <f>'Huong dan giao do an'!$B$31</f>
        <v>Bắt buộc: Charter/PMP; SRS + scope/WBS; Gantt/baseline; effort-cost budget; RACI/timesheet; quality-test-defect; communication/minutes; risk register; procurement; change log; closure/lessons learned.</v>
      </c>
      <c r="M1217" t="str">
        <f>'Huong dan giao do an'!$B$33</f>
        <v>Tuần 1: 07.09–13.09.2026; Tuần 2: 14.09–20.09.2026; Tuần 3: 21.09–27.09.2026; Tuần 4: 28.09–04.10.2026; Tuần 5: 05.10–11.10.2026; Tuần 6: 12.10–18.10.2026; Tuần 7: 19.10–25.10.2026; Tuần 8: 26.10–01.11.2026.</v>
      </c>
      <c r="N12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7" s="17" t="str">
        <f t="shared" si="18"/>
        <v>Còn trống</v>
      </c>
    </row>
    <row r="1218" spans="1:16" x14ac:dyDescent="0.3">
      <c r="A1218">
        <v>1217</v>
      </c>
      <c r="B1218" t="s">
        <v>2773</v>
      </c>
      <c r="C1218" t="s">
        <v>2830</v>
      </c>
      <c r="D1218" t="s">
        <v>2831</v>
      </c>
      <c r="E1218" t="s">
        <v>40</v>
      </c>
      <c r="F1218" t="s">
        <v>2781</v>
      </c>
      <c r="G1218" t="s">
        <v>2832</v>
      </c>
      <c r="H1218" t="str">
        <f>'Huong dan giao do an'!$B$14</f>
        <v>5 SV (vai trò chính): 1 PM/Scrum Master kiêm Integration; 2 BA/PO; 3 UI-UX + Frontend; 4 Backend/API + DevOps; 5 Database + QA/Tester. Mỗi SV có nhiệm vụ phụ và minh chứng cá nhân.</v>
      </c>
      <c r="I1218" t="s">
        <v>29</v>
      </c>
      <c r="J1218" t="s">
        <v>2783</v>
      </c>
      <c r="K1218" t="str">
        <f>IF(I1218="Trung bình",'Huong dan giao do an'!$B$8,IF(I1218="Khá",'Huong dan giao do an'!$B$9,'Huong dan giao do an'!$B$10))</f>
        <v>Tối thiểu 5 actor; 14-18 use case; 10-15 bảng; 4 quy trình; tích hợp ngoài/realtime hoặc xử lý nâng cao; 3 báo cáo; &gt;=45 test case; logging, backup và deploy.</v>
      </c>
      <c r="L1218" t="str">
        <f>'Huong dan giao do an'!$B$31</f>
        <v>Bắt buộc: Charter/PMP; SRS + scope/WBS; Gantt/baseline; effort-cost budget; RACI/timesheet; quality-test-defect; communication/minutes; risk register; procurement; change log; closure/lessons learned.</v>
      </c>
      <c r="M1218" t="str">
        <f>'Huong dan giao do an'!$B$33</f>
        <v>Tuần 1: 07.09–13.09.2026; Tuần 2: 14.09–20.09.2026; Tuần 3: 21.09–27.09.2026; Tuần 4: 28.09–04.10.2026; Tuần 5: 05.10–11.10.2026; Tuần 6: 12.10–18.10.2026; Tuần 7: 19.10–25.10.2026; Tuần 8: 26.10–01.11.2026.</v>
      </c>
      <c r="N12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8" s="17" t="str">
        <f t="shared" si="18"/>
        <v>Còn trống</v>
      </c>
    </row>
    <row r="1219" spans="1:16" x14ac:dyDescent="0.3">
      <c r="A1219">
        <v>1218</v>
      </c>
      <c r="B1219" t="s">
        <v>2773</v>
      </c>
      <c r="C1219" t="s">
        <v>2833</v>
      </c>
      <c r="D1219" t="s">
        <v>2834</v>
      </c>
      <c r="E1219" t="s">
        <v>45</v>
      </c>
      <c r="F1219" t="s">
        <v>2786</v>
      </c>
      <c r="G1219" t="s">
        <v>2835</v>
      </c>
      <c r="H1219" t="str">
        <f>'Huong dan giao do an'!$B$14</f>
        <v>5 SV (vai trò chính): 1 PM/Scrum Master kiêm Integration; 2 BA/PO; 3 UI-UX + Frontend; 4 Backend/API + DevOps; 5 Database + QA/Tester. Mỗi SV có nhiệm vụ phụ và minh chứng cá nhân.</v>
      </c>
      <c r="I1219" t="s">
        <v>36</v>
      </c>
      <c r="J1219" t="s">
        <v>2788</v>
      </c>
      <c r="K1219" t="str">
        <f>IF(I1219="Trung bình",'Huong dan giao do an'!$B$8,IF(I1219="Khá",'Huong dan giao do an'!$B$9,'Huong dan giao do an'!$B$10))</f>
        <v>Tối thiểu 3 actor; 8-10 use case; 6-8 bảng dữ liệu; 2 quy trình lõi; đăng nhập/RBAC; 1 dashboard; 1 báo cáo; &gt;=25 test case; triển khai bản demo.</v>
      </c>
      <c r="L1219" t="str">
        <f>'Huong dan giao do an'!$B$31</f>
        <v>Bắt buộc: Charter/PMP; SRS + scope/WBS; Gantt/baseline; effort-cost budget; RACI/timesheet; quality-test-defect; communication/minutes; risk register; procurement; change log; closure/lessons learned.</v>
      </c>
      <c r="M1219" t="str">
        <f>'Huong dan giao do an'!$B$33</f>
        <v>Tuần 1: 07.09–13.09.2026; Tuần 2: 14.09–20.09.2026; Tuần 3: 21.09–27.09.2026; Tuần 4: 28.09–04.10.2026; Tuần 5: 05.10–11.10.2026; Tuần 6: 12.10–18.10.2026; Tuần 7: 19.10–25.10.2026; Tuần 8: 26.10–01.11.2026.</v>
      </c>
      <c r="N12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19" s="17" t="str">
        <f t="shared" ref="P1219:P1282" si="19">IF(O1219="","Còn trống","Đã đăng ký")</f>
        <v>Còn trống</v>
      </c>
    </row>
    <row r="1220" spans="1:16" x14ac:dyDescent="0.3">
      <c r="A1220">
        <v>1219</v>
      </c>
      <c r="B1220" t="s">
        <v>2773</v>
      </c>
      <c r="C1220" t="s">
        <v>2836</v>
      </c>
      <c r="D1220" t="s">
        <v>2837</v>
      </c>
      <c r="E1220" t="s">
        <v>19</v>
      </c>
      <c r="F1220" t="s">
        <v>2791</v>
      </c>
      <c r="G1220" t="s">
        <v>2838</v>
      </c>
      <c r="H1220" t="str">
        <f>'Huong dan giao do an'!$B$14</f>
        <v>5 SV (vai trò chính): 1 PM/Scrum Master kiêm Integration; 2 BA/PO; 3 UI-UX + Frontend; 4 Backend/API + DevOps; 5 Database + QA/Tester. Mỗi SV có nhiệm vụ phụ và minh chứng cá nhân.</v>
      </c>
      <c r="I1220" t="s">
        <v>22</v>
      </c>
      <c r="J1220" t="s">
        <v>2778</v>
      </c>
      <c r="K1220" t="str">
        <f>IF(I1220="Trung bình",'Huong dan giao do an'!$B$8,IF(I1220="Khá",'Huong dan giao do an'!$B$9,'Huong dan giao do an'!$B$10))</f>
        <v>Tối thiểu 4 actor; 10-14 use case; 8-12 bảng; 3 quy trình lõi; phân quyền chi tiết; 2 báo cáo; tích hợp 1 dịch vụ; &gt;=35 test case; CI/CD hoặc deploy cloud.</v>
      </c>
      <c r="L1220" t="str">
        <f>'Huong dan giao do an'!$B$31</f>
        <v>Bắt buộc: Charter/PMP; SRS + scope/WBS; Gantt/baseline; effort-cost budget; RACI/timesheet; quality-test-defect; communication/minutes; risk register; procurement; change log; closure/lessons learned.</v>
      </c>
      <c r="M1220" t="str">
        <f>'Huong dan giao do an'!$B$33</f>
        <v>Tuần 1: 07.09–13.09.2026; Tuần 2: 14.09–20.09.2026; Tuần 3: 21.09–27.09.2026; Tuần 4: 28.09–04.10.2026; Tuần 5: 05.10–11.10.2026; Tuần 6: 12.10–18.10.2026; Tuần 7: 19.10–25.10.2026; Tuần 8: 26.10–01.11.2026.</v>
      </c>
      <c r="N12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0" s="17" t="str">
        <f t="shared" si="19"/>
        <v>Còn trống</v>
      </c>
    </row>
    <row r="1221" spans="1:16" x14ac:dyDescent="0.3">
      <c r="A1221">
        <v>1220</v>
      </c>
      <c r="B1221" t="s">
        <v>2773</v>
      </c>
      <c r="C1221" t="s">
        <v>2839</v>
      </c>
      <c r="D1221" t="s">
        <v>2840</v>
      </c>
      <c r="E1221" t="s">
        <v>26</v>
      </c>
      <c r="F1221" t="s">
        <v>2795</v>
      </c>
      <c r="G1221" t="s">
        <v>2841</v>
      </c>
      <c r="H1221" t="str">
        <f>'Huong dan giao do an'!$B$14</f>
        <v>5 SV (vai trò chính): 1 PM/Scrum Master kiêm Integration; 2 BA/PO; 3 UI-UX + Frontend; 4 Backend/API + DevOps; 5 Database + QA/Tester. Mỗi SV có nhiệm vụ phụ và minh chứng cá nhân.</v>
      </c>
      <c r="I1221" t="s">
        <v>29</v>
      </c>
      <c r="J1221" t="s">
        <v>2783</v>
      </c>
      <c r="K1221" t="str">
        <f>IF(I1221="Trung bình",'Huong dan giao do an'!$B$8,IF(I1221="Khá",'Huong dan giao do an'!$B$9,'Huong dan giao do an'!$B$10))</f>
        <v>Tối thiểu 5 actor; 14-18 use case; 10-15 bảng; 4 quy trình; tích hợp ngoài/realtime hoặc xử lý nâng cao; 3 báo cáo; &gt;=45 test case; logging, backup và deploy.</v>
      </c>
      <c r="L1221" t="str">
        <f>'Huong dan giao do an'!$B$31</f>
        <v>Bắt buộc: Charter/PMP; SRS + scope/WBS; Gantt/baseline; effort-cost budget; RACI/timesheet; quality-test-defect; communication/minutes; risk register; procurement; change log; closure/lessons learned.</v>
      </c>
      <c r="M1221" t="str">
        <f>'Huong dan giao do an'!$B$33</f>
        <v>Tuần 1: 07.09–13.09.2026; Tuần 2: 14.09–20.09.2026; Tuần 3: 21.09–27.09.2026; Tuần 4: 28.09–04.10.2026; Tuần 5: 05.10–11.10.2026; Tuần 6: 12.10–18.10.2026; Tuần 7: 19.10–25.10.2026; Tuần 8: 26.10–01.11.2026.</v>
      </c>
      <c r="N12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1" s="17" t="str">
        <f t="shared" si="19"/>
        <v>Còn trống</v>
      </c>
    </row>
    <row r="1222" spans="1:16" x14ac:dyDescent="0.3">
      <c r="A1222">
        <v>1221</v>
      </c>
      <c r="B1222" t="s">
        <v>2773</v>
      </c>
      <c r="C1222" t="s">
        <v>2842</v>
      </c>
      <c r="D1222" t="s">
        <v>2843</v>
      </c>
      <c r="E1222" t="s">
        <v>33</v>
      </c>
      <c r="F1222" t="s">
        <v>2776</v>
      </c>
      <c r="G1222" t="s">
        <v>2777</v>
      </c>
      <c r="H1222" t="str">
        <f>'Huong dan giao do an'!$B$14</f>
        <v>5 SV (vai trò chính): 1 PM/Scrum Master kiêm Integration; 2 BA/PO; 3 UI-UX + Frontend; 4 Backend/API + DevOps; 5 Database + QA/Tester. Mỗi SV có nhiệm vụ phụ và minh chứng cá nhân.</v>
      </c>
      <c r="I1222" t="s">
        <v>22</v>
      </c>
      <c r="J1222" t="s">
        <v>2778</v>
      </c>
      <c r="K1222" t="str">
        <f>IF(I1222="Trung bình",'Huong dan giao do an'!$B$8,IF(I1222="Khá",'Huong dan giao do an'!$B$9,'Huong dan giao do an'!$B$10))</f>
        <v>Tối thiểu 4 actor; 10-14 use case; 8-12 bảng; 3 quy trình lõi; phân quyền chi tiết; 2 báo cáo; tích hợp 1 dịch vụ; &gt;=35 test case; CI/CD hoặc deploy cloud.</v>
      </c>
      <c r="L1222" t="str">
        <f>'Huong dan giao do an'!$B$31</f>
        <v>Bắt buộc: Charter/PMP; SRS + scope/WBS; Gantt/baseline; effort-cost budget; RACI/timesheet; quality-test-defect; communication/minutes; risk register; procurement; change log; closure/lessons learned.</v>
      </c>
      <c r="M1222" t="str">
        <f>'Huong dan giao do an'!$B$33</f>
        <v>Tuần 1: 07.09–13.09.2026; Tuần 2: 14.09–20.09.2026; Tuần 3: 21.09–27.09.2026; Tuần 4: 28.09–04.10.2026; Tuần 5: 05.10–11.10.2026; Tuần 6: 12.10–18.10.2026; Tuần 7: 19.10–25.10.2026; Tuần 8: 26.10–01.11.2026.</v>
      </c>
      <c r="N12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2" s="17" t="str">
        <f t="shared" si="19"/>
        <v>Còn trống</v>
      </c>
    </row>
    <row r="1223" spans="1:16" x14ac:dyDescent="0.3">
      <c r="A1223">
        <v>1222</v>
      </c>
      <c r="B1223" t="s">
        <v>2773</v>
      </c>
      <c r="C1223" t="s">
        <v>2844</v>
      </c>
      <c r="D1223" t="s">
        <v>2845</v>
      </c>
      <c r="E1223" t="s">
        <v>40</v>
      </c>
      <c r="F1223" t="s">
        <v>2781</v>
      </c>
      <c r="G1223" t="s">
        <v>2782</v>
      </c>
      <c r="H1223" t="str">
        <f>'Huong dan giao do an'!$B$14</f>
        <v>5 SV (vai trò chính): 1 PM/Scrum Master kiêm Integration; 2 BA/PO; 3 UI-UX + Frontend; 4 Backend/API + DevOps; 5 Database + QA/Tester. Mỗi SV có nhiệm vụ phụ và minh chứng cá nhân.</v>
      </c>
      <c r="I1223" t="s">
        <v>29</v>
      </c>
      <c r="J1223" t="s">
        <v>2783</v>
      </c>
      <c r="K1223" t="str">
        <f>IF(I1223="Trung bình",'Huong dan giao do an'!$B$8,IF(I1223="Khá",'Huong dan giao do an'!$B$9,'Huong dan giao do an'!$B$10))</f>
        <v>Tối thiểu 5 actor; 14-18 use case; 10-15 bảng; 4 quy trình; tích hợp ngoài/realtime hoặc xử lý nâng cao; 3 báo cáo; &gt;=45 test case; logging, backup và deploy.</v>
      </c>
      <c r="L1223" t="str">
        <f>'Huong dan giao do an'!$B$31</f>
        <v>Bắt buộc: Charter/PMP; SRS + scope/WBS; Gantt/baseline; effort-cost budget; RACI/timesheet; quality-test-defect; communication/minutes; risk register; procurement; change log; closure/lessons learned.</v>
      </c>
      <c r="M1223" t="str">
        <f>'Huong dan giao do an'!$B$33</f>
        <v>Tuần 1: 07.09–13.09.2026; Tuần 2: 14.09–20.09.2026; Tuần 3: 21.09–27.09.2026; Tuần 4: 28.09–04.10.2026; Tuần 5: 05.10–11.10.2026; Tuần 6: 12.10–18.10.2026; Tuần 7: 19.10–25.10.2026; Tuần 8: 26.10–01.11.2026.</v>
      </c>
      <c r="N12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3" s="17" t="str">
        <f t="shared" si="19"/>
        <v>Còn trống</v>
      </c>
    </row>
    <row r="1224" spans="1:16" x14ac:dyDescent="0.3">
      <c r="A1224">
        <v>1223</v>
      </c>
      <c r="B1224" t="s">
        <v>2773</v>
      </c>
      <c r="C1224" t="s">
        <v>2846</v>
      </c>
      <c r="D1224" t="s">
        <v>2847</v>
      </c>
      <c r="E1224" t="s">
        <v>45</v>
      </c>
      <c r="F1224" t="s">
        <v>2786</v>
      </c>
      <c r="G1224" t="s">
        <v>2787</v>
      </c>
      <c r="H1224" t="str">
        <f>'Huong dan giao do an'!$B$14</f>
        <v>5 SV (vai trò chính): 1 PM/Scrum Master kiêm Integration; 2 BA/PO; 3 UI-UX + Frontend; 4 Backend/API + DevOps; 5 Database + QA/Tester. Mỗi SV có nhiệm vụ phụ và minh chứng cá nhân.</v>
      </c>
      <c r="I1224" t="s">
        <v>36</v>
      </c>
      <c r="J1224" t="s">
        <v>2788</v>
      </c>
      <c r="K1224" t="str">
        <f>IF(I1224="Trung bình",'Huong dan giao do an'!$B$8,IF(I1224="Khá",'Huong dan giao do an'!$B$9,'Huong dan giao do an'!$B$10))</f>
        <v>Tối thiểu 3 actor; 8-10 use case; 6-8 bảng dữ liệu; 2 quy trình lõi; đăng nhập/RBAC; 1 dashboard; 1 báo cáo; &gt;=25 test case; triển khai bản demo.</v>
      </c>
      <c r="L1224" t="str">
        <f>'Huong dan giao do an'!$B$31</f>
        <v>Bắt buộc: Charter/PMP; SRS + scope/WBS; Gantt/baseline; effort-cost budget; RACI/timesheet; quality-test-defect; communication/minutes; risk register; procurement; change log; closure/lessons learned.</v>
      </c>
      <c r="M1224" t="str">
        <f>'Huong dan giao do an'!$B$33</f>
        <v>Tuần 1: 07.09–13.09.2026; Tuần 2: 14.09–20.09.2026; Tuần 3: 21.09–27.09.2026; Tuần 4: 28.09–04.10.2026; Tuần 5: 05.10–11.10.2026; Tuần 6: 12.10–18.10.2026; Tuần 7: 19.10–25.10.2026; Tuần 8: 26.10–01.11.2026.</v>
      </c>
      <c r="N12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4" s="17" t="str">
        <f t="shared" si="19"/>
        <v>Còn trống</v>
      </c>
    </row>
    <row r="1225" spans="1:16" x14ac:dyDescent="0.3">
      <c r="A1225">
        <v>1224</v>
      </c>
      <c r="B1225" t="s">
        <v>2773</v>
      </c>
      <c r="C1225" t="s">
        <v>2848</v>
      </c>
      <c r="D1225" t="s">
        <v>2849</v>
      </c>
      <c r="E1225" t="s">
        <v>19</v>
      </c>
      <c r="F1225" t="s">
        <v>2791</v>
      </c>
      <c r="G1225" t="s">
        <v>2792</v>
      </c>
      <c r="H1225" t="str">
        <f>'Huong dan giao do an'!$B$14</f>
        <v>5 SV (vai trò chính): 1 PM/Scrum Master kiêm Integration; 2 BA/PO; 3 UI-UX + Frontend; 4 Backend/API + DevOps; 5 Database + QA/Tester. Mỗi SV có nhiệm vụ phụ và minh chứng cá nhân.</v>
      </c>
      <c r="I1225" t="s">
        <v>22</v>
      </c>
      <c r="J1225" t="s">
        <v>2778</v>
      </c>
      <c r="K1225" t="str">
        <f>IF(I1225="Trung bình",'Huong dan giao do an'!$B$8,IF(I1225="Khá",'Huong dan giao do an'!$B$9,'Huong dan giao do an'!$B$10))</f>
        <v>Tối thiểu 4 actor; 10-14 use case; 8-12 bảng; 3 quy trình lõi; phân quyền chi tiết; 2 báo cáo; tích hợp 1 dịch vụ; &gt;=35 test case; CI/CD hoặc deploy cloud.</v>
      </c>
      <c r="L1225" t="str">
        <f>'Huong dan giao do an'!$B$31</f>
        <v>Bắt buộc: Charter/PMP; SRS + scope/WBS; Gantt/baseline; effort-cost budget; RACI/timesheet; quality-test-defect; communication/minutes; risk register; procurement; change log; closure/lessons learned.</v>
      </c>
      <c r="M1225" t="str">
        <f>'Huong dan giao do an'!$B$33</f>
        <v>Tuần 1: 07.09–13.09.2026; Tuần 2: 14.09–20.09.2026; Tuần 3: 21.09–27.09.2026; Tuần 4: 28.09–04.10.2026; Tuần 5: 05.10–11.10.2026; Tuần 6: 12.10–18.10.2026; Tuần 7: 19.10–25.10.2026; Tuần 8: 26.10–01.11.2026.</v>
      </c>
      <c r="N12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5" s="17" t="str">
        <f t="shared" si="19"/>
        <v>Còn trống</v>
      </c>
    </row>
    <row r="1226" spans="1:16" x14ac:dyDescent="0.3">
      <c r="A1226">
        <v>1225</v>
      </c>
      <c r="B1226" t="s">
        <v>2773</v>
      </c>
      <c r="C1226" t="s">
        <v>2850</v>
      </c>
      <c r="D1226" t="s">
        <v>2851</v>
      </c>
      <c r="E1226" t="s">
        <v>26</v>
      </c>
      <c r="F1226" t="s">
        <v>2795</v>
      </c>
      <c r="G1226" t="s">
        <v>2796</v>
      </c>
      <c r="H1226" t="str">
        <f>'Huong dan giao do an'!$B$14</f>
        <v>5 SV (vai trò chính): 1 PM/Scrum Master kiêm Integration; 2 BA/PO; 3 UI-UX + Frontend; 4 Backend/API + DevOps; 5 Database + QA/Tester. Mỗi SV có nhiệm vụ phụ và minh chứng cá nhân.</v>
      </c>
      <c r="I1226" t="s">
        <v>29</v>
      </c>
      <c r="J1226" t="s">
        <v>2783</v>
      </c>
      <c r="K1226" t="str">
        <f>IF(I1226="Trung bình",'Huong dan giao do an'!$B$8,IF(I1226="Khá",'Huong dan giao do an'!$B$9,'Huong dan giao do an'!$B$10))</f>
        <v>Tối thiểu 5 actor; 14-18 use case; 10-15 bảng; 4 quy trình; tích hợp ngoài/realtime hoặc xử lý nâng cao; 3 báo cáo; &gt;=45 test case; logging, backup và deploy.</v>
      </c>
      <c r="L1226" t="str">
        <f>'Huong dan giao do an'!$B$31</f>
        <v>Bắt buộc: Charter/PMP; SRS + scope/WBS; Gantt/baseline; effort-cost budget; RACI/timesheet; quality-test-defect; communication/minutes; risk register; procurement; change log; closure/lessons learned.</v>
      </c>
      <c r="M1226" t="str">
        <f>'Huong dan giao do an'!$B$33</f>
        <v>Tuần 1: 07.09–13.09.2026; Tuần 2: 14.09–20.09.2026; Tuần 3: 21.09–27.09.2026; Tuần 4: 28.09–04.10.2026; Tuần 5: 05.10–11.10.2026; Tuần 6: 12.10–18.10.2026; Tuần 7: 19.10–25.10.2026; Tuần 8: 26.10–01.11.2026.</v>
      </c>
      <c r="N12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6" s="17" t="str">
        <f t="shared" si="19"/>
        <v>Còn trống</v>
      </c>
    </row>
    <row r="1227" spans="1:16" x14ac:dyDescent="0.3">
      <c r="A1227">
        <v>1226</v>
      </c>
      <c r="B1227" t="s">
        <v>2773</v>
      </c>
      <c r="C1227" t="s">
        <v>2852</v>
      </c>
      <c r="D1227" t="s">
        <v>2853</v>
      </c>
      <c r="E1227" t="s">
        <v>33</v>
      </c>
      <c r="F1227" t="s">
        <v>2776</v>
      </c>
      <c r="G1227" t="s">
        <v>2799</v>
      </c>
      <c r="H1227" t="str">
        <f>'Huong dan giao do an'!$B$14</f>
        <v>5 SV (vai trò chính): 1 PM/Scrum Master kiêm Integration; 2 BA/PO; 3 UI-UX + Frontend; 4 Backend/API + DevOps; 5 Database + QA/Tester. Mỗi SV có nhiệm vụ phụ và minh chứng cá nhân.</v>
      </c>
      <c r="I1227" t="s">
        <v>36</v>
      </c>
      <c r="J1227" t="s">
        <v>2788</v>
      </c>
      <c r="K1227" t="str">
        <f>IF(I1227="Trung bình",'Huong dan giao do an'!$B$8,IF(I1227="Khá",'Huong dan giao do an'!$B$9,'Huong dan giao do an'!$B$10))</f>
        <v>Tối thiểu 3 actor; 8-10 use case; 6-8 bảng dữ liệu; 2 quy trình lõi; đăng nhập/RBAC; 1 dashboard; 1 báo cáo; &gt;=25 test case; triển khai bản demo.</v>
      </c>
      <c r="L1227" t="str">
        <f>'Huong dan giao do an'!$B$31</f>
        <v>Bắt buộc: Charter/PMP; SRS + scope/WBS; Gantt/baseline; effort-cost budget; RACI/timesheet; quality-test-defect; communication/minutes; risk register; procurement; change log; closure/lessons learned.</v>
      </c>
      <c r="M1227" t="str">
        <f>'Huong dan giao do an'!$B$33</f>
        <v>Tuần 1: 07.09–13.09.2026; Tuần 2: 14.09–20.09.2026; Tuần 3: 21.09–27.09.2026; Tuần 4: 28.09–04.10.2026; Tuần 5: 05.10–11.10.2026; Tuần 6: 12.10–18.10.2026; Tuần 7: 19.10–25.10.2026; Tuần 8: 26.10–01.11.2026.</v>
      </c>
      <c r="N12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7" s="17" t="str">
        <f t="shared" si="19"/>
        <v>Còn trống</v>
      </c>
    </row>
    <row r="1228" spans="1:16" x14ac:dyDescent="0.3">
      <c r="A1228">
        <v>1227</v>
      </c>
      <c r="B1228" t="s">
        <v>2773</v>
      </c>
      <c r="C1228" t="s">
        <v>2854</v>
      </c>
      <c r="D1228" t="s">
        <v>2855</v>
      </c>
      <c r="E1228" t="s">
        <v>40</v>
      </c>
      <c r="F1228" t="s">
        <v>2781</v>
      </c>
      <c r="G1228" t="s">
        <v>2802</v>
      </c>
      <c r="H1228" t="str">
        <f>'Huong dan giao do an'!$B$14</f>
        <v>5 SV (vai trò chính): 1 PM/Scrum Master kiêm Integration; 2 BA/PO; 3 UI-UX + Frontend; 4 Backend/API + DevOps; 5 Database + QA/Tester. Mỗi SV có nhiệm vụ phụ và minh chứng cá nhân.</v>
      </c>
      <c r="I1228" t="s">
        <v>22</v>
      </c>
      <c r="J1228" t="s">
        <v>2778</v>
      </c>
      <c r="K1228" t="str">
        <f>IF(I1228="Trung bình",'Huong dan giao do an'!$B$8,IF(I1228="Khá",'Huong dan giao do an'!$B$9,'Huong dan giao do an'!$B$10))</f>
        <v>Tối thiểu 4 actor; 10-14 use case; 8-12 bảng; 3 quy trình lõi; phân quyền chi tiết; 2 báo cáo; tích hợp 1 dịch vụ; &gt;=35 test case; CI/CD hoặc deploy cloud.</v>
      </c>
      <c r="L1228" t="str">
        <f>'Huong dan giao do an'!$B$31</f>
        <v>Bắt buộc: Charter/PMP; SRS + scope/WBS; Gantt/baseline; effort-cost budget; RACI/timesheet; quality-test-defect; communication/minutes; risk register; procurement; change log; closure/lessons learned.</v>
      </c>
      <c r="M1228" t="str">
        <f>'Huong dan giao do an'!$B$33</f>
        <v>Tuần 1: 07.09–13.09.2026; Tuần 2: 14.09–20.09.2026; Tuần 3: 21.09–27.09.2026; Tuần 4: 28.09–04.10.2026; Tuần 5: 05.10–11.10.2026; Tuần 6: 12.10–18.10.2026; Tuần 7: 19.10–25.10.2026; Tuần 8: 26.10–01.11.2026.</v>
      </c>
      <c r="N12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8" s="17" t="str">
        <f t="shared" si="19"/>
        <v>Còn trống</v>
      </c>
    </row>
    <row r="1229" spans="1:16" x14ac:dyDescent="0.3">
      <c r="A1229">
        <v>1228</v>
      </c>
      <c r="B1229" t="s">
        <v>2773</v>
      </c>
      <c r="C1229" t="s">
        <v>2856</v>
      </c>
      <c r="D1229" t="s">
        <v>2857</v>
      </c>
      <c r="E1229" t="s">
        <v>45</v>
      </c>
      <c r="F1229" t="s">
        <v>2786</v>
      </c>
      <c r="G1229" t="s">
        <v>2805</v>
      </c>
      <c r="H1229" t="str">
        <f>'Huong dan giao do an'!$B$14</f>
        <v>5 SV (vai trò chính): 1 PM/Scrum Master kiêm Integration; 2 BA/PO; 3 UI-UX + Frontend; 4 Backend/API + DevOps; 5 Database + QA/Tester. Mỗi SV có nhiệm vụ phụ và minh chứng cá nhân.</v>
      </c>
      <c r="I1229" t="s">
        <v>29</v>
      </c>
      <c r="J1229" t="s">
        <v>2783</v>
      </c>
      <c r="K1229" t="str">
        <f>IF(I1229="Trung bình",'Huong dan giao do an'!$B$8,IF(I1229="Khá",'Huong dan giao do an'!$B$9,'Huong dan giao do an'!$B$10))</f>
        <v>Tối thiểu 5 actor; 14-18 use case; 10-15 bảng; 4 quy trình; tích hợp ngoài/realtime hoặc xử lý nâng cao; 3 báo cáo; &gt;=45 test case; logging, backup và deploy.</v>
      </c>
      <c r="L1229" t="str">
        <f>'Huong dan giao do an'!$B$31</f>
        <v>Bắt buộc: Charter/PMP; SRS + scope/WBS; Gantt/baseline; effort-cost budget; RACI/timesheet; quality-test-defect; communication/minutes; risk register; procurement; change log; closure/lessons learned.</v>
      </c>
      <c r="M1229" t="str">
        <f>'Huong dan giao do an'!$B$33</f>
        <v>Tuần 1: 07.09–13.09.2026; Tuần 2: 14.09–20.09.2026; Tuần 3: 21.09–27.09.2026; Tuần 4: 28.09–04.10.2026; Tuần 5: 05.10–11.10.2026; Tuần 6: 12.10–18.10.2026; Tuần 7: 19.10–25.10.2026; Tuần 8: 26.10–01.11.2026.</v>
      </c>
      <c r="N12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29" s="17" t="str">
        <f t="shared" si="19"/>
        <v>Còn trống</v>
      </c>
    </row>
    <row r="1230" spans="1:16" x14ac:dyDescent="0.3">
      <c r="A1230">
        <v>1229</v>
      </c>
      <c r="B1230" t="s">
        <v>2773</v>
      </c>
      <c r="C1230" t="s">
        <v>2858</v>
      </c>
      <c r="D1230" t="s">
        <v>2859</v>
      </c>
      <c r="E1230" t="s">
        <v>19</v>
      </c>
      <c r="F1230" t="s">
        <v>2791</v>
      </c>
      <c r="G1230" t="s">
        <v>2808</v>
      </c>
      <c r="H1230" t="str">
        <f>'Huong dan giao do an'!$B$14</f>
        <v>5 SV (vai trò chính): 1 PM/Scrum Master kiêm Integration; 2 BA/PO; 3 UI-UX + Frontend; 4 Backend/API + DevOps; 5 Database + QA/Tester. Mỗi SV có nhiệm vụ phụ và minh chứng cá nhân.</v>
      </c>
      <c r="I1230" t="s">
        <v>36</v>
      </c>
      <c r="J1230" t="s">
        <v>2788</v>
      </c>
      <c r="K1230" t="str">
        <f>IF(I1230="Trung bình",'Huong dan giao do an'!$B$8,IF(I1230="Khá",'Huong dan giao do an'!$B$9,'Huong dan giao do an'!$B$10))</f>
        <v>Tối thiểu 3 actor; 8-10 use case; 6-8 bảng dữ liệu; 2 quy trình lõi; đăng nhập/RBAC; 1 dashboard; 1 báo cáo; &gt;=25 test case; triển khai bản demo.</v>
      </c>
      <c r="L1230" t="str">
        <f>'Huong dan giao do an'!$B$31</f>
        <v>Bắt buộc: Charter/PMP; SRS + scope/WBS; Gantt/baseline; effort-cost budget; RACI/timesheet; quality-test-defect; communication/minutes; risk register; procurement; change log; closure/lessons learned.</v>
      </c>
      <c r="M1230" t="str">
        <f>'Huong dan giao do an'!$B$33</f>
        <v>Tuần 1: 07.09–13.09.2026; Tuần 2: 14.09–20.09.2026; Tuần 3: 21.09–27.09.2026; Tuần 4: 28.09–04.10.2026; Tuần 5: 05.10–11.10.2026; Tuần 6: 12.10–18.10.2026; Tuần 7: 19.10–25.10.2026; Tuần 8: 26.10–01.11.2026.</v>
      </c>
      <c r="N12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0" s="17" t="str">
        <f t="shared" si="19"/>
        <v>Còn trống</v>
      </c>
    </row>
    <row r="1231" spans="1:16" x14ac:dyDescent="0.3">
      <c r="A1231">
        <v>1230</v>
      </c>
      <c r="B1231" t="s">
        <v>2773</v>
      </c>
      <c r="C1231" t="s">
        <v>2860</v>
      </c>
      <c r="D1231" t="s">
        <v>2861</v>
      </c>
      <c r="E1231" t="s">
        <v>26</v>
      </c>
      <c r="F1231" t="s">
        <v>2795</v>
      </c>
      <c r="G1231" t="s">
        <v>2811</v>
      </c>
      <c r="H1231" t="str">
        <f>'Huong dan giao do an'!$B$14</f>
        <v>5 SV (vai trò chính): 1 PM/Scrum Master kiêm Integration; 2 BA/PO; 3 UI-UX + Frontend; 4 Backend/API + DevOps; 5 Database + QA/Tester. Mỗi SV có nhiệm vụ phụ và minh chứng cá nhân.</v>
      </c>
      <c r="I1231" t="s">
        <v>22</v>
      </c>
      <c r="J1231" t="s">
        <v>2778</v>
      </c>
      <c r="K1231" t="str">
        <f>IF(I1231="Trung bình",'Huong dan giao do an'!$B$8,IF(I1231="Khá",'Huong dan giao do an'!$B$9,'Huong dan giao do an'!$B$10))</f>
        <v>Tối thiểu 4 actor; 10-14 use case; 8-12 bảng; 3 quy trình lõi; phân quyền chi tiết; 2 báo cáo; tích hợp 1 dịch vụ; &gt;=35 test case; CI/CD hoặc deploy cloud.</v>
      </c>
      <c r="L1231" t="str">
        <f>'Huong dan giao do an'!$B$31</f>
        <v>Bắt buộc: Charter/PMP; SRS + scope/WBS; Gantt/baseline; effort-cost budget; RACI/timesheet; quality-test-defect; communication/minutes; risk register; procurement; change log; closure/lessons learned.</v>
      </c>
      <c r="M1231" t="str">
        <f>'Huong dan giao do an'!$B$33</f>
        <v>Tuần 1: 07.09–13.09.2026; Tuần 2: 14.09–20.09.2026; Tuần 3: 21.09–27.09.2026; Tuần 4: 28.09–04.10.2026; Tuần 5: 05.10–11.10.2026; Tuần 6: 12.10–18.10.2026; Tuần 7: 19.10–25.10.2026; Tuần 8: 26.10–01.11.2026.</v>
      </c>
      <c r="N12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1" s="17" t="str">
        <f t="shared" si="19"/>
        <v>Còn trống</v>
      </c>
    </row>
    <row r="1232" spans="1:16" x14ac:dyDescent="0.3">
      <c r="A1232">
        <v>1231</v>
      </c>
      <c r="B1232" t="s">
        <v>2773</v>
      </c>
      <c r="C1232" t="s">
        <v>2862</v>
      </c>
      <c r="D1232" t="s">
        <v>2863</v>
      </c>
      <c r="E1232" t="s">
        <v>33</v>
      </c>
      <c r="F1232" t="s">
        <v>2776</v>
      </c>
      <c r="G1232" t="s">
        <v>2814</v>
      </c>
      <c r="H1232" t="str">
        <f>'Huong dan giao do an'!$B$14</f>
        <v>5 SV (vai trò chính): 1 PM/Scrum Master kiêm Integration; 2 BA/PO; 3 UI-UX + Frontend; 4 Backend/API + DevOps; 5 Database + QA/Tester. Mỗi SV có nhiệm vụ phụ và minh chứng cá nhân.</v>
      </c>
      <c r="I1232" t="s">
        <v>29</v>
      </c>
      <c r="J1232" t="s">
        <v>2783</v>
      </c>
      <c r="K1232" t="str">
        <f>IF(I1232="Trung bình",'Huong dan giao do an'!$B$8,IF(I1232="Khá",'Huong dan giao do an'!$B$9,'Huong dan giao do an'!$B$10))</f>
        <v>Tối thiểu 5 actor; 14-18 use case; 10-15 bảng; 4 quy trình; tích hợp ngoài/realtime hoặc xử lý nâng cao; 3 báo cáo; &gt;=45 test case; logging, backup và deploy.</v>
      </c>
      <c r="L1232" t="str">
        <f>'Huong dan giao do an'!$B$31</f>
        <v>Bắt buộc: Charter/PMP; SRS + scope/WBS; Gantt/baseline; effort-cost budget; RACI/timesheet; quality-test-defect; communication/minutes; risk register; procurement; change log; closure/lessons learned.</v>
      </c>
      <c r="M1232" t="str">
        <f>'Huong dan giao do an'!$B$33</f>
        <v>Tuần 1: 07.09–13.09.2026; Tuần 2: 14.09–20.09.2026; Tuần 3: 21.09–27.09.2026; Tuần 4: 28.09–04.10.2026; Tuần 5: 05.10–11.10.2026; Tuần 6: 12.10–18.10.2026; Tuần 7: 19.10–25.10.2026; Tuần 8: 26.10–01.11.2026.</v>
      </c>
      <c r="N12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2" s="17" t="str">
        <f t="shared" si="19"/>
        <v>Còn trống</v>
      </c>
    </row>
    <row r="1233" spans="1:16" x14ac:dyDescent="0.3">
      <c r="A1233">
        <v>1232</v>
      </c>
      <c r="B1233" t="s">
        <v>2773</v>
      </c>
      <c r="C1233" t="s">
        <v>2864</v>
      </c>
      <c r="D1233" t="s">
        <v>2865</v>
      </c>
      <c r="E1233" t="s">
        <v>40</v>
      </c>
      <c r="F1233" t="s">
        <v>2781</v>
      </c>
      <c r="G1233" t="s">
        <v>2817</v>
      </c>
      <c r="H1233" t="str">
        <f>'Huong dan giao do an'!$B$14</f>
        <v>5 SV (vai trò chính): 1 PM/Scrum Master kiêm Integration; 2 BA/PO; 3 UI-UX + Frontend; 4 Backend/API + DevOps; 5 Database + QA/Tester. Mỗi SV có nhiệm vụ phụ và minh chứng cá nhân.</v>
      </c>
      <c r="I1233" t="s">
        <v>36</v>
      </c>
      <c r="J1233" t="s">
        <v>2788</v>
      </c>
      <c r="K1233" t="str">
        <f>IF(I1233="Trung bình",'Huong dan giao do an'!$B$8,IF(I1233="Khá",'Huong dan giao do an'!$B$9,'Huong dan giao do an'!$B$10))</f>
        <v>Tối thiểu 3 actor; 8-10 use case; 6-8 bảng dữ liệu; 2 quy trình lõi; đăng nhập/RBAC; 1 dashboard; 1 báo cáo; &gt;=25 test case; triển khai bản demo.</v>
      </c>
      <c r="L1233" t="str">
        <f>'Huong dan giao do an'!$B$31</f>
        <v>Bắt buộc: Charter/PMP; SRS + scope/WBS; Gantt/baseline; effort-cost budget; RACI/timesheet; quality-test-defect; communication/minutes; risk register; procurement; change log; closure/lessons learned.</v>
      </c>
      <c r="M1233" t="str">
        <f>'Huong dan giao do an'!$B$33</f>
        <v>Tuần 1: 07.09–13.09.2026; Tuần 2: 14.09–20.09.2026; Tuần 3: 21.09–27.09.2026; Tuần 4: 28.09–04.10.2026; Tuần 5: 05.10–11.10.2026; Tuần 6: 12.10–18.10.2026; Tuần 7: 19.10–25.10.2026; Tuần 8: 26.10–01.11.2026.</v>
      </c>
      <c r="N12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3" s="17" t="str">
        <f t="shared" si="19"/>
        <v>Còn trống</v>
      </c>
    </row>
    <row r="1234" spans="1:16" x14ac:dyDescent="0.3">
      <c r="A1234">
        <v>1233</v>
      </c>
      <c r="B1234" t="s">
        <v>2773</v>
      </c>
      <c r="C1234" t="s">
        <v>2866</v>
      </c>
      <c r="D1234" t="s">
        <v>2867</v>
      </c>
      <c r="E1234" t="s">
        <v>45</v>
      </c>
      <c r="F1234" t="s">
        <v>2786</v>
      </c>
      <c r="G1234" t="s">
        <v>2820</v>
      </c>
      <c r="H1234" t="str">
        <f>'Huong dan giao do an'!$B$14</f>
        <v>5 SV (vai trò chính): 1 PM/Scrum Master kiêm Integration; 2 BA/PO; 3 UI-UX + Frontend; 4 Backend/API + DevOps; 5 Database + QA/Tester. Mỗi SV có nhiệm vụ phụ và minh chứng cá nhân.</v>
      </c>
      <c r="I1234" t="s">
        <v>22</v>
      </c>
      <c r="J1234" t="s">
        <v>2778</v>
      </c>
      <c r="K1234" t="str">
        <f>IF(I1234="Trung bình",'Huong dan giao do an'!$B$8,IF(I1234="Khá",'Huong dan giao do an'!$B$9,'Huong dan giao do an'!$B$10))</f>
        <v>Tối thiểu 4 actor; 10-14 use case; 8-12 bảng; 3 quy trình lõi; phân quyền chi tiết; 2 báo cáo; tích hợp 1 dịch vụ; &gt;=35 test case; CI/CD hoặc deploy cloud.</v>
      </c>
      <c r="L1234" t="str">
        <f>'Huong dan giao do an'!$B$31</f>
        <v>Bắt buộc: Charter/PMP; SRS + scope/WBS; Gantt/baseline; effort-cost budget; RACI/timesheet; quality-test-defect; communication/minutes; risk register; procurement; change log; closure/lessons learned.</v>
      </c>
      <c r="M1234" t="str">
        <f>'Huong dan giao do an'!$B$33</f>
        <v>Tuần 1: 07.09–13.09.2026; Tuần 2: 14.09–20.09.2026; Tuần 3: 21.09–27.09.2026; Tuần 4: 28.09–04.10.2026; Tuần 5: 05.10–11.10.2026; Tuần 6: 12.10–18.10.2026; Tuần 7: 19.10–25.10.2026; Tuần 8: 26.10–01.11.2026.</v>
      </c>
      <c r="N12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4" s="17" t="str">
        <f t="shared" si="19"/>
        <v>Còn trống</v>
      </c>
    </row>
    <row r="1235" spans="1:16" x14ac:dyDescent="0.3">
      <c r="A1235">
        <v>1234</v>
      </c>
      <c r="B1235" t="s">
        <v>2773</v>
      </c>
      <c r="C1235" t="s">
        <v>2868</v>
      </c>
      <c r="D1235" t="s">
        <v>2869</v>
      </c>
      <c r="E1235" t="s">
        <v>19</v>
      </c>
      <c r="F1235" t="s">
        <v>2791</v>
      </c>
      <c r="G1235" t="s">
        <v>2823</v>
      </c>
      <c r="H1235" t="str">
        <f>'Huong dan giao do an'!$B$14</f>
        <v>5 SV (vai trò chính): 1 PM/Scrum Master kiêm Integration; 2 BA/PO; 3 UI-UX + Frontend; 4 Backend/API + DevOps; 5 Database + QA/Tester. Mỗi SV có nhiệm vụ phụ và minh chứng cá nhân.</v>
      </c>
      <c r="I1235" t="s">
        <v>29</v>
      </c>
      <c r="J1235" t="s">
        <v>2783</v>
      </c>
      <c r="K1235" t="str">
        <f>IF(I1235="Trung bình",'Huong dan giao do an'!$B$8,IF(I1235="Khá",'Huong dan giao do an'!$B$9,'Huong dan giao do an'!$B$10))</f>
        <v>Tối thiểu 5 actor; 14-18 use case; 10-15 bảng; 4 quy trình; tích hợp ngoài/realtime hoặc xử lý nâng cao; 3 báo cáo; &gt;=45 test case; logging, backup và deploy.</v>
      </c>
      <c r="L1235" t="str">
        <f>'Huong dan giao do an'!$B$31</f>
        <v>Bắt buộc: Charter/PMP; SRS + scope/WBS; Gantt/baseline; effort-cost budget; RACI/timesheet; quality-test-defect; communication/minutes; risk register; procurement; change log; closure/lessons learned.</v>
      </c>
      <c r="M1235" t="str">
        <f>'Huong dan giao do an'!$B$33</f>
        <v>Tuần 1: 07.09–13.09.2026; Tuần 2: 14.09–20.09.2026; Tuần 3: 21.09–27.09.2026; Tuần 4: 28.09–04.10.2026; Tuần 5: 05.10–11.10.2026; Tuần 6: 12.10–18.10.2026; Tuần 7: 19.10–25.10.2026; Tuần 8: 26.10–01.11.2026.</v>
      </c>
      <c r="N12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5" s="17" t="str">
        <f t="shared" si="19"/>
        <v>Còn trống</v>
      </c>
    </row>
    <row r="1236" spans="1:16" x14ac:dyDescent="0.3">
      <c r="A1236">
        <v>1235</v>
      </c>
      <c r="B1236" t="s">
        <v>2773</v>
      </c>
      <c r="C1236" t="s">
        <v>2870</v>
      </c>
      <c r="D1236" t="s">
        <v>2871</v>
      </c>
      <c r="E1236" t="s">
        <v>26</v>
      </c>
      <c r="F1236" t="s">
        <v>2795</v>
      </c>
      <c r="G1236" t="s">
        <v>2826</v>
      </c>
      <c r="H1236" t="str">
        <f>'Huong dan giao do an'!$B$14</f>
        <v>5 SV (vai trò chính): 1 PM/Scrum Master kiêm Integration; 2 BA/PO; 3 UI-UX + Frontend; 4 Backend/API + DevOps; 5 Database + QA/Tester. Mỗi SV có nhiệm vụ phụ và minh chứng cá nhân.</v>
      </c>
      <c r="I1236" t="s">
        <v>36</v>
      </c>
      <c r="J1236" t="s">
        <v>2788</v>
      </c>
      <c r="K1236" t="str">
        <f>IF(I1236="Trung bình",'Huong dan giao do an'!$B$8,IF(I1236="Khá",'Huong dan giao do an'!$B$9,'Huong dan giao do an'!$B$10))</f>
        <v>Tối thiểu 3 actor; 8-10 use case; 6-8 bảng dữ liệu; 2 quy trình lõi; đăng nhập/RBAC; 1 dashboard; 1 báo cáo; &gt;=25 test case; triển khai bản demo.</v>
      </c>
      <c r="L1236" t="str">
        <f>'Huong dan giao do an'!$B$31</f>
        <v>Bắt buộc: Charter/PMP; SRS + scope/WBS; Gantt/baseline; effort-cost budget; RACI/timesheet; quality-test-defect; communication/minutes; risk register; procurement; change log; closure/lessons learned.</v>
      </c>
      <c r="M1236" t="str">
        <f>'Huong dan giao do an'!$B$33</f>
        <v>Tuần 1: 07.09–13.09.2026; Tuần 2: 14.09–20.09.2026; Tuần 3: 21.09–27.09.2026; Tuần 4: 28.09–04.10.2026; Tuần 5: 05.10–11.10.2026; Tuần 6: 12.10–18.10.2026; Tuần 7: 19.10–25.10.2026; Tuần 8: 26.10–01.11.2026.</v>
      </c>
      <c r="N12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6" s="17" t="str">
        <f t="shared" si="19"/>
        <v>Còn trống</v>
      </c>
    </row>
    <row r="1237" spans="1:16" x14ac:dyDescent="0.3">
      <c r="A1237">
        <v>1236</v>
      </c>
      <c r="B1237" t="s">
        <v>2773</v>
      </c>
      <c r="C1237" t="s">
        <v>2872</v>
      </c>
      <c r="D1237" t="s">
        <v>2873</v>
      </c>
      <c r="E1237" t="s">
        <v>33</v>
      </c>
      <c r="F1237" t="s">
        <v>2776</v>
      </c>
      <c r="G1237" t="s">
        <v>2829</v>
      </c>
      <c r="H1237" t="str">
        <f>'Huong dan giao do an'!$B$14</f>
        <v>5 SV (vai trò chính): 1 PM/Scrum Master kiêm Integration; 2 BA/PO; 3 UI-UX + Frontend; 4 Backend/API + DevOps; 5 Database + QA/Tester. Mỗi SV có nhiệm vụ phụ và minh chứng cá nhân.</v>
      </c>
      <c r="I1237" t="s">
        <v>22</v>
      </c>
      <c r="J1237" t="s">
        <v>2778</v>
      </c>
      <c r="K1237" t="str">
        <f>IF(I1237="Trung bình",'Huong dan giao do an'!$B$8,IF(I1237="Khá",'Huong dan giao do an'!$B$9,'Huong dan giao do an'!$B$10))</f>
        <v>Tối thiểu 4 actor; 10-14 use case; 8-12 bảng; 3 quy trình lõi; phân quyền chi tiết; 2 báo cáo; tích hợp 1 dịch vụ; &gt;=35 test case; CI/CD hoặc deploy cloud.</v>
      </c>
      <c r="L1237" t="str">
        <f>'Huong dan giao do an'!$B$31</f>
        <v>Bắt buộc: Charter/PMP; SRS + scope/WBS; Gantt/baseline; effort-cost budget; RACI/timesheet; quality-test-defect; communication/minutes; risk register; procurement; change log; closure/lessons learned.</v>
      </c>
      <c r="M1237" t="str">
        <f>'Huong dan giao do an'!$B$33</f>
        <v>Tuần 1: 07.09–13.09.2026; Tuần 2: 14.09–20.09.2026; Tuần 3: 21.09–27.09.2026; Tuần 4: 28.09–04.10.2026; Tuần 5: 05.10–11.10.2026; Tuần 6: 12.10–18.10.2026; Tuần 7: 19.10–25.10.2026; Tuần 8: 26.10–01.11.2026.</v>
      </c>
      <c r="N12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7" s="17" t="str">
        <f t="shared" si="19"/>
        <v>Còn trống</v>
      </c>
    </row>
    <row r="1238" spans="1:16" x14ac:dyDescent="0.3">
      <c r="A1238">
        <v>1237</v>
      </c>
      <c r="B1238" t="s">
        <v>2773</v>
      </c>
      <c r="C1238" t="s">
        <v>2874</v>
      </c>
      <c r="D1238" t="s">
        <v>2875</v>
      </c>
      <c r="E1238" t="s">
        <v>40</v>
      </c>
      <c r="F1238" t="s">
        <v>2781</v>
      </c>
      <c r="G1238" t="s">
        <v>2832</v>
      </c>
      <c r="H1238" t="str">
        <f>'Huong dan giao do an'!$B$14</f>
        <v>5 SV (vai trò chính): 1 PM/Scrum Master kiêm Integration; 2 BA/PO; 3 UI-UX + Frontend; 4 Backend/API + DevOps; 5 Database + QA/Tester. Mỗi SV có nhiệm vụ phụ và minh chứng cá nhân.</v>
      </c>
      <c r="I1238" t="s">
        <v>29</v>
      </c>
      <c r="J1238" t="s">
        <v>2783</v>
      </c>
      <c r="K1238" t="str">
        <f>IF(I1238="Trung bình",'Huong dan giao do an'!$B$8,IF(I1238="Khá",'Huong dan giao do an'!$B$9,'Huong dan giao do an'!$B$10))</f>
        <v>Tối thiểu 5 actor; 14-18 use case; 10-15 bảng; 4 quy trình; tích hợp ngoài/realtime hoặc xử lý nâng cao; 3 báo cáo; &gt;=45 test case; logging, backup và deploy.</v>
      </c>
      <c r="L1238" t="str">
        <f>'Huong dan giao do an'!$B$31</f>
        <v>Bắt buộc: Charter/PMP; SRS + scope/WBS; Gantt/baseline; effort-cost budget; RACI/timesheet; quality-test-defect; communication/minutes; risk register; procurement; change log; closure/lessons learned.</v>
      </c>
      <c r="M1238" t="str">
        <f>'Huong dan giao do an'!$B$33</f>
        <v>Tuần 1: 07.09–13.09.2026; Tuần 2: 14.09–20.09.2026; Tuần 3: 21.09–27.09.2026; Tuần 4: 28.09–04.10.2026; Tuần 5: 05.10–11.10.2026; Tuần 6: 12.10–18.10.2026; Tuần 7: 19.10–25.10.2026; Tuần 8: 26.10–01.11.2026.</v>
      </c>
      <c r="N12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8" s="17" t="str">
        <f t="shared" si="19"/>
        <v>Còn trống</v>
      </c>
    </row>
    <row r="1239" spans="1:16" x14ac:dyDescent="0.3">
      <c r="A1239">
        <v>1238</v>
      </c>
      <c r="B1239" t="s">
        <v>2773</v>
      </c>
      <c r="C1239" t="s">
        <v>2876</v>
      </c>
      <c r="D1239" t="s">
        <v>2877</v>
      </c>
      <c r="E1239" t="s">
        <v>45</v>
      </c>
      <c r="F1239" t="s">
        <v>2786</v>
      </c>
      <c r="G1239" t="s">
        <v>2835</v>
      </c>
      <c r="H1239" t="str">
        <f>'Huong dan giao do an'!$B$14</f>
        <v>5 SV (vai trò chính): 1 PM/Scrum Master kiêm Integration; 2 BA/PO; 3 UI-UX + Frontend; 4 Backend/API + DevOps; 5 Database + QA/Tester. Mỗi SV có nhiệm vụ phụ và minh chứng cá nhân.</v>
      </c>
      <c r="I1239" t="s">
        <v>36</v>
      </c>
      <c r="J1239" t="s">
        <v>2788</v>
      </c>
      <c r="K1239" t="str">
        <f>IF(I1239="Trung bình",'Huong dan giao do an'!$B$8,IF(I1239="Khá",'Huong dan giao do an'!$B$9,'Huong dan giao do an'!$B$10))</f>
        <v>Tối thiểu 3 actor; 8-10 use case; 6-8 bảng dữ liệu; 2 quy trình lõi; đăng nhập/RBAC; 1 dashboard; 1 báo cáo; &gt;=25 test case; triển khai bản demo.</v>
      </c>
      <c r="L1239" t="str">
        <f>'Huong dan giao do an'!$B$31</f>
        <v>Bắt buộc: Charter/PMP; SRS + scope/WBS; Gantt/baseline; effort-cost budget; RACI/timesheet; quality-test-defect; communication/minutes; risk register; procurement; change log; closure/lessons learned.</v>
      </c>
      <c r="M1239" t="str">
        <f>'Huong dan giao do an'!$B$33</f>
        <v>Tuần 1: 07.09–13.09.2026; Tuần 2: 14.09–20.09.2026; Tuần 3: 21.09–27.09.2026; Tuần 4: 28.09–04.10.2026; Tuần 5: 05.10–11.10.2026; Tuần 6: 12.10–18.10.2026; Tuần 7: 19.10–25.10.2026; Tuần 8: 26.10–01.11.2026.</v>
      </c>
      <c r="N12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39" s="17" t="str">
        <f t="shared" si="19"/>
        <v>Còn trống</v>
      </c>
    </row>
    <row r="1240" spans="1:16" x14ac:dyDescent="0.3">
      <c r="A1240">
        <v>1239</v>
      </c>
      <c r="B1240" t="s">
        <v>2773</v>
      </c>
      <c r="C1240" t="s">
        <v>2878</v>
      </c>
      <c r="D1240" t="s">
        <v>2879</v>
      </c>
      <c r="E1240" t="s">
        <v>19</v>
      </c>
      <c r="F1240" t="s">
        <v>2791</v>
      </c>
      <c r="G1240" t="s">
        <v>2838</v>
      </c>
      <c r="H1240" t="str">
        <f>'Huong dan giao do an'!$B$14</f>
        <v>5 SV (vai trò chính): 1 PM/Scrum Master kiêm Integration; 2 BA/PO; 3 UI-UX + Frontend; 4 Backend/API + DevOps; 5 Database + QA/Tester. Mỗi SV có nhiệm vụ phụ và minh chứng cá nhân.</v>
      </c>
      <c r="I1240" t="s">
        <v>22</v>
      </c>
      <c r="J1240" t="s">
        <v>2778</v>
      </c>
      <c r="K1240" t="str">
        <f>IF(I1240="Trung bình",'Huong dan giao do an'!$B$8,IF(I1240="Khá",'Huong dan giao do an'!$B$9,'Huong dan giao do an'!$B$10))</f>
        <v>Tối thiểu 4 actor; 10-14 use case; 8-12 bảng; 3 quy trình lõi; phân quyền chi tiết; 2 báo cáo; tích hợp 1 dịch vụ; &gt;=35 test case; CI/CD hoặc deploy cloud.</v>
      </c>
      <c r="L1240" t="str">
        <f>'Huong dan giao do an'!$B$31</f>
        <v>Bắt buộc: Charter/PMP; SRS + scope/WBS; Gantt/baseline; effort-cost budget; RACI/timesheet; quality-test-defect; communication/minutes; risk register; procurement; change log; closure/lessons learned.</v>
      </c>
      <c r="M1240" t="str">
        <f>'Huong dan giao do an'!$B$33</f>
        <v>Tuần 1: 07.09–13.09.2026; Tuần 2: 14.09–20.09.2026; Tuần 3: 21.09–27.09.2026; Tuần 4: 28.09–04.10.2026; Tuần 5: 05.10–11.10.2026; Tuần 6: 12.10–18.10.2026; Tuần 7: 19.10–25.10.2026; Tuần 8: 26.10–01.11.2026.</v>
      </c>
      <c r="N12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0" s="17" t="str">
        <f t="shared" si="19"/>
        <v>Còn trống</v>
      </c>
    </row>
    <row r="1241" spans="1:16" x14ac:dyDescent="0.3">
      <c r="A1241">
        <v>1240</v>
      </c>
      <c r="B1241" t="s">
        <v>2773</v>
      </c>
      <c r="C1241" t="s">
        <v>2880</v>
      </c>
      <c r="D1241" t="s">
        <v>2881</v>
      </c>
      <c r="E1241" t="s">
        <v>26</v>
      </c>
      <c r="F1241" t="s">
        <v>2795</v>
      </c>
      <c r="G1241" t="s">
        <v>2841</v>
      </c>
      <c r="H1241" t="str">
        <f>'Huong dan giao do an'!$B$14</f>
        <v>5 SV (vai trò chính): 1 PM/Scrum Master kiêm Integration; 2 BA/PO; 3 UI-UX + Frontend; 4 Backend/API + DevOps; 5 Database + QA/Tester. Mỗi SV có nhiệm vụ phụ và minh chứng cá nhân.</v>
      </c>
      <c r="I1241" t="s">
        <v>29</v>
      </c>
      <c r="J1241" t="s">
        <v>2783</v>
      </c>
      <c r="K1241" t="str">
        <f>IF(I1241="Trung bình",'Huong dan giao do an'!$B$8,IF(I1241="Khá",'Huong dan giao do an'!$B$9,'Huong dan giao do an'!$B$10))</f>
        <v>Tối thiểu 5 actor; 14-18 use case; 10-15 bảng; 4 quy trình; tích hợp ngoài/realtime hoặc xử lý nâng cao; 3 báo cáo; &gt;=45 test case; logging, backup và deploy.</v>
      </c>
      <c r="L1241" t="str">
        <f>'Huong dan giao do an'!$B$31</f>
        <v>Bắt buộc: Charter/PMP; SRS + scope/WBS; Gantt/baseline; effort-cost budget; RACI/timesheet; quality-test-defect; communication/minutes; risk register; procurement; change log; closure/lessons learned.</v>
      </c>
      <c r="M1241" t="str">
        <f>'Huong dan giao do an'!$B$33</f>
        <v>Tuần 1: 07.09–13.09.2026; Tuần 2: 14.09–20.09.2026; Tuần 3: 21.09–27.09.2026; Tuần 4: 28.09–04.10.2026; Tuần 5: 05.10–11.10.2026; Tuần 6: 12.10–18.10.2026; Tuần 7: 19.10–25.10.2026; Tuần 8: 26.10–01.11.2026.</v>
      </c>
      <c r="N12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1" s="17" t="str">
        <f t="shared" si="19"/>
        <v>Còn trống</v>
      </c>
    </row>
    <row r="1242" spans="1:16" x14ac:dyDescent="0.3">
      <c r="A1242">
        <v>1241</v>
      </c>
      <c r="B1242" t="s">
        <v>2773</v>
      </c>
      <c r="C1242" t="s">
        <v>2882</v>
      </c>
      <c r="D1242" t="s">
        <v>2883</v>
      </c>
      <c r="E1242" t="s">
        <v>33</v>
      </c>
      <c r="F1242" t="s">
        <v>2776</v>
      </c>
      <c r="G1242" t="s">
        <v>2777</v>
      </c>
      <c r="H1242" t="str">
        <f>'Huong dan giao do an'!$B$14</f>
        <v>5 SV (vai trò chính): 1 PM/Scrum Master kiêm Integration; 2 BA/PO; 3 UI-UX + Frontend; 4 Backend/API + DevOps; 5 Database + QA/Tester. Mỗi SV có nhiệm vụ phụ và minh chứng cá nhân.</v>
      </c>
      <c r="I1242" t="s">
        <v>22</v>
      </c>
      <c r="J1242" t="s">
        <v>2778</v>
      </c>
      <c r="K1242" t="str">
        <f>IF(I1242="Trung bình",'Huong dan giao do an'!$B$8,IF(I1242="Khá",'Huong dan giao do an'!$B$9,'Huong dan giao do an'!$B$10))</f>
        <v>Tối thiểu 4 actor; 10-14 use case; 8-12 bảng; 3 quy trình lõi; phân quyền chi tiết; 2 báo cáo; tích hợp 1 dịch vụ; &gt;=35 test case; CI/CD hoặc deploy cloud.</v>
      </c>
      <c r="L1242" t="str">
        <f>'Huong dan giao do an'!$B$31</f>
        <v>Bắt buộc: Charter/PMP; SRS + scope/WBS; Gantt/baseline; effort-cost budget; RACI/timesheet; quality-test-defect; communication/minutes; risk register; procurement; change log; closure/lessons learned.</v>
      </c>
      <c r="M1242" t="str">
        <f>'Huong dan giao do an'!$B$33</f>
        <v>Tuần 1: 07.09–13.09.2026; Tuần 2: 14.09–20.09.2026; Tuần 3: 21.09–27.09.2026; Tuần 4: 28.09–04.10.2026; Tuần 5: 05.10–11.10.2026; Tuần 6: 12.10–18.10.2026; Tuần 7: 19.10–25.10.2026; Tuần 8: 26.10–01.11.2026.</v>
      </c>
      <c r="N12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2" s="17" t="str">
        <f t="shared" si="19"/>
        <v>Còn trống</v>
      </c>
    </row>
    <row r="1243" spans="1:16" x14ac:dyDescent="0.3">
      <c r="A1243">
        <v>1242</v>
      </c>
      <c r="B1243" t="s">
        <v>2773</v>
      </c>
      <c r="C1243" t="s">
        <v>2884</v>
      </c>
      <c r="D1243" t="s">
        <v>2885</v>
      </c>
      <c r="E1243" t="s">
        <v>40</v>
      </c>
      <c r="F1243" t="s">
        <v>2781</v>
      </c>
      <c r="G1243" t="s">
        <v>2782</v>
      </c>
      <c r="H1243" t="str">
        <f>'Huong dan giao do an'!$B$14</f>
        <v>5 SV (vai trò chính): 1 PM/Scrum Master kiêm Integration; 2 BA/PO; 3 UI-UX + Frontend; 4 Backend/API + DevOps; 5 Database + QA/Tester. Mỗi SV có nhiệm vụ phụ và minh chứng cá nhân.</v>
      </c>
      <c r="I1243" t="s">
        <v>29</v>
      </c>
      <c r="J1243" t="s">
        <v>2783</v>
      </c>
      <c r="K1243" t="str">
        <f>IF(I1243="Trung bình",'Huong dan giao do an'!$B$8,IF(I1243="Khá",'Huong dan giao do an'!$B$9,'Huong dan giao do an'!$B$10))</f>
        <v>Tối thiểu 5 actor; 14-18 use case; 10-15 bảng; 4 quy trình; tích hợp ngoài/realtime hoặc xử lý nâng cao; 3 báo cáo; &gt;=45 test case; logging, backup và deploy.</v>
      </c>
      <c r="L1243" t="str">
        <f>'Huong dan giao do an'!$B$31</f>
        <v>Bắt buộc: Charter/PMP; SRS + scope/WBS; Gantt/baseline; effort-cost budget; RACI/timesheet; quality-test-defect; communication/minutes; risk register; procurement; change log; closure/lessons learned.</v>
      </c>
      <c r="M1243" t="str">
        <f>'Huong dan giao do an'!$B$33</f>
        <v>Tuần 1: 07.09–13.09.2026; Tuần 2: 14.09–20.09.2026; Tuần 3: 21.09–27.09.2026; Tuần 4: 28.09–04.10.2026; Tuần 5: 05.10–11.10.2026; Tuần 6: 12.10–18.10.2026; Tuần 7: 19.10–25.10.2026; Tuần 8: 26.10–01.11.2026.</v>
      </c>
      <c r="N12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3" s="17" t="str">
        <f t="shared" si="19"/>
        <v>Còn trống</v>
      </c>
    </row>
    <row r="1244" spans="1:16" x14ac:dyDescent="0.3">
      <c r="A1244">
        <v>1243</v>
      </c>
      <c r="B1244" t="s">
        <v>2773</v>
      </c>
      <c r="C1244" t="s">
        <v>2886</v>
      </c>
      <c r="D1244" t="s">
        <v>2887</v>
      </c>
      <c r="E1244" t="s">
        <v>45</v>
      </c>
      <c r="F1244" t="s">
        <v>2786</v>
      </c>
      <c r="G1244" t="s">
        <v>2787</v>
      </c>
      <c r="H1244" t="str">
        <f>'Huong dan giao do an'!$B$14</f>
        <v>5 SV (vai trò chính): 1 PM/Scrum Master kiêm Integration; 2 BA/PO; 3 UI-UX + Frontend; 4 Backend/API + DevOps; 5 Database + QA/Tester. Mỗi SV có nhiệm vụ phụ và minh chứng cá nhân.</v>
      </c>
      <c r="I1244" t="s">
        <v>36</v>
      </c>
      <c r="J1244" t="s">
        <v>2788</v>
      </c>
      <c r="K1244" t="str">
        <f>IF(I1244="Trung bình",'Huong dan giao do an'!$B$8,IF(I1244="Khá",'Huong dan giao do an'!$B$9,'Huong dan giao do an'!$B$10))</f>
        <v>Tối thiểu 3 actor; 8-10 use case; 6-8 bảng dữ liệu; 2 quy trình lõi; đăng nhập/RBAC; 1 dashboard; 1 báo cáo; &gt;=25 test case; triển khai bản demo.</v>
      </c>
      <c r="L1244" t="str">
        <f>'Huong dan giao do an'!$B$31</f>
        <v>Bắt buộc: Charter/PMP; SRS + scope/WBS; Gantt/baseline; effort-cost budget; RACI/timesheet; quality-test-defect; communication/minutes; risk register; procurement; change log; closure/lessons learned.</v>
      </c>
      <c r="M1244" t="str">
        <f>'Huong dan giao do an'!$B$33</f>
        <v>Tuần 1: 07.09–13.09.2026; Tuần 2: 14.09–20.09.2026; Tuần 3: 21.09–27.09.2026; Tuần 4: 28.09–04.10.2026; Tuần 5: 05.10–11.10.2026; Tuần 6: 12.10–18.10.2026; Tuần 7: 19.10–25.10.2026; Tuần 8: 26.10–01.11.2026.</v>
      </c>
      <c r="N12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4" s="17" t="str">
        <f t="shared" si="19"/>
        <v>Còn trống</v>
      </c>
    </row>
    <row r="1245" spans="1:16" x14ac:dyDescent="0.3">
      <c r="A1245">
        <v>1244</v>
      </c>
      <c r="B1245" t="s">
        <v>2773</v>
      </c>
      <c r="C1245" t="s">
        <v>2888</v>
      </c>
      <c r="D1245" t="s">
        <v>2889</v>
      </c>
      <c r="E1245" t="s">
        <v>19</v>
      </c>
      <c r="F1245" t="s">
        <v>2791</v>
      </c>
      <c r="G1245" t="s">
        <v>2792</v>
      </c>
      <c r="H1245" t="str">
        <f>'Huong dan giao do an'!$B$14</f>
        <v>5 SV (vai trò chính): 1 PM/Scrum Master kiêm Integration; 2 BA/PO; 3 UI-UX + Frontend; 4 Backend/API + DevOps; 5 Database + QA/Tester. Mỗi SV có nhiệm vụ phụ và minh chứng cá nhân.</v>
      </c>
      <c r="I1245" t="s">
        <v>22</v>
      </c>
      <c r="J1245" t="s">
        <v>2778</v>
      </c>
      <c r="K1245" t="str">
        <f>IF(I1245="Trung bình",'Huong dan giao do an'!$B$8,IF(I1245="Khá",'Huong dan giao do an'!$B$9,'Huong dan giao do an'!$B$10))</f>
        <v>Tối thiểu 4 actor; 10-14 use case; 8-12 bảng; 3 quy trình lõi; phân quyền chi tiết; 2 báo cáo; tích hợp 1 dịch vụ; &gt;=35 test case; CI/CD hoặc deploy cloud.</v>
      </c>
      <c r="L1245" t="str">
        <f>'Huong dan giao do an'!$B$31</f>
        <v>Bắt buộc: Charter/PMP; SRS + scope/WBS; Gantt/baseline; effort-cost budget; RACI/timesheet; quality-test-defect; communication/minutes; risk register; procurement; change log; closure/lessons learned.</v>
      </c>
      <c r="M1245" t="str">
        <f>'Huong dan giao do an'!$B$33</f>
        <v>Tuần 1: 07.09–13.09.2026; Tuần 2: 14.09–20.09.2026; Tuần 3: 21.09–27.09.2026; Tuần 4: 28.09–04.10.2026; Tuần 5: 05.10–11.10.2026; Tuần 6: 12.10–18.10.2026; Tuần 7: 19.10–25.10.2026; Tuần 8: 26.10–01.11.2026.</v>
      </c>
      <c r="N12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5" s="17" t="str">
        <f t="shared" si="19"/>
        <v>Còn trống</v>
      </c>
    </row>
    <row r="1246" spans="1:16" x14ac:dyDescent="0.3">
      <c r="A1246">
        <v>1245</v>
      </c>
      <c r="B1246" t="s">
        <v>2773</v>
      </c>
      <c r="C1246" t="s">
        <v>2890</v>
      </c>
      <c r="D1246" t="s">
        <v>2891</v>
      </c>
      <c r="E1246" t="s">
        <v>26</v>
      </c>
      <c r="F1246" t="s">
        <v>2795</v>
      </c>
      <c r="G1246" t="s">
        <v>2796</v>
      </c>
      <c r="H1246" t="str">
        <f>'Huong dan giao do an'!$B$14</f>
        <v>5 SV (vai trò chính): 1 PM/Scrum Master kiêm Integration; 2 BA/PO; 3 UI-UX + Frontend; 4 Backend/API + DevOps; 5 Database + QA/Tester. Mỗi SV có nhiệm vụ phụ và minh chứng cá nhân.</v>
      </c>
      <c r="I1246" t="s">
        <v>29</v>
      </c>
      <c r="J1246" t="s">
        <v>2783</v>
      </c>
      <c r="K1246" t="str">
        <f>IF(I1246="Trung bình",'Huong dan giao do an'!$B$8,IF(I1246="Khá",'Huong dan giao do an'!$B$9,'Huong dan giao do an'!$B$10))</f>
        <v>Tối thiểu 5 actor; 14-18 use case; 10-15 bảng; 4 quy trình; tích hợp ngoài/realtime hoặc xử lý nâng cao; 3 báo cáo; &gt;=45 test case; logging, backup và deploy.</v>
      </c>
      <c r="L1246" t="str">
        <f>'Huong dan giao do an'!$B$31</f>
        <v>Bắt buộc: Charter/PMP; SRS + scope/WBS; Gantt/baseline; effort-cost budget; RACI/timesheet; quality-test-defect; communication/minutes; risk register; procurement; change log; closure/lessons learned.</v>
      </c>
      <c r="M1246" t="str">
        <f>'Huong dan giao do an'!$B$33</f>
        <v>Tuần 1: 07.09–13.09.2026; Tuần 2: 14.09–20.09.2026; Tuần 3: 21.09–27.09.2026; Tuần 4: 28.09–04.10.2026; Tuần 5: 05.10–11.10.2026; Tuần 6: 12.10–18.10.2026; Tuần 7: 19.10–25.10.2026; Tuần 8: 26.10–01.11.2026.</v>
      </c>
      <c r="N12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6" s="17" t="str">
        <f t="shared" si="19"/>
        <v>Còn trống</v>
      </c>
    </row>
    <row r="1247" spans="1:16" x14ac:dyDescent="0.3">
      <c r="A1247">
        <v>1246</v>
      </c>
      <c r="B1247" t="s">
        <v>2773</v>
      </c>
      <c r="C1247" t="s">
        <v>2892</v>
      </c>
      <c r="D1247" t="s">
        <v>2893</v>
      </c>
      <c r="E1247" t="s">
        <v>33</v>
      </c>
      <c r="F1247" t="s">
        <v>2776</v>
      </c>
      <c r="G1247" t="s">
        <v>2799</v>
      </c>
      <c r="H1247" t="str">
        <f>'Huong dan giao do an'!$B$14</f>
        <v>5 SV (vai trò chính): 1 PM/Scrum Master kiêm Integration; 2 BA/PO; 3 UI-UX + Frontend; 4 Backend/API + DevOps; 5 Database + QA/Tester. Mỗi SV có nhiệm vụ phụ và minh chứng cá nhân.</v>
      </c>
      <c r="I1247" t="s">
        <v>36</v>
      </c>
      <c r="J1247" t="s">
        <v>2788</v>
      </c>
      <c r="K1247" t="str">
        <f>IF(I1247="Trung bình",'Huong dan giao do an'!$B$8,IF(I1247="Khá",'Huong dan giao do an'!$B$9,'Huong dan giao do an'!$B$10))</f>
        <v>Tối thiểu 3 actor; 8-10 use case; 6-8 bảng dữ liệu; 2 quy trình lõi; đăng nhập/RBAC; 1 dashboard; 1 báo cáo; &gt;=25 test case; triển khai bản demo.</v>
      </c>
      <c r="L1247" t="str">
        <f>'Huong dan giao do an'!$B$31</f>
        <v>Bắt buộc: Charter/PMP; SRS + scope/WBS; Gantt/baseline; effort-cost budget; RACI/timesheet; quality-test-defect; communication/minutes; risk register; procurement; change log; closure/lessons learned.</v>
      </c>
      <c r="M1247" t="str">
        <f>'Huong dan giao do an'!$B$33</f>
        <v>Tuần 1: 07.09–13.09.2026; Tuần 2: 14.09–20.09.2026; Tuần 3: 21.09–27.09.2026; Tuần 4: 28.09–04.10.2026; Tuần 5: 05.10–11.10.2026; Tuần 6: 12.10–18.10.2026; Tuần 7: 19.10–25.10.2026; Tuần 8: 26.10–01.11.2026.</v>
      </c>
      <c r="N12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7" s="17" t="str">
        <f t="shared" si="19"/>
        <v>Còn trống</v>
      </c>
    </row>
    <row r="1248" spans="1:16" x14ac:dyDescent="0.3">
      <c r="A1248">
        <v>1247</v>
      </c>
      <c r="B1248" t="s">
        <v>2773</v>
      </c>
      <c r="C1248" t="s">
        <v>2894</v>
      </c>
      <c r="D1248" t="s">
        <v>2895</v>
      </c>
      <c r="E1248" t="s">
        <v>40</v>
      </c>
      <c r="F1248" t="s">
        <v>2781</v>
      </c>
      <c r="G1248" t="s">
        <v>2802</v>
      </c>
      <c r="H1248" t="str">
        <f>'Huong dan giao do an'!$B$14</f>
        <v>5 SV (vai trò chính): 1 PM/Scrum Master kiêm Integration; 2 BA/PO; 3 UI-UX + Frontend; 4 Backend/API + DevOps; 5 Database + QA/Tester. Mỗi SV có nhiệm vụ phụ và minh chứng cá nhân.</v>
      </c>
      <c r="I1248" t="s">
        <v>22</v>
      </c>
      <c r="J1248" t="s">
        <v>2778</v>
      </c>
      <c r="K1248" t="str">
        <f>IF(I1248="Trung bình",'Huong dan giao do an'!$B$8,IF(I1248="Khá",'Huong dan giao do an'!$B$9,'Huong dan giao do an'!$B$10))</f>
        <v>Tối thiểu 4 actor; 10-14 use case; 8-12 bảng; 3 quy trình lõi; phân quyền chi tiết; 2 báo cáo; tích hợp 1 dịch vụ; &gt;=35 test case; CI/CD hoặc deploy cloud.</v>
      </c>
      <c r="L1248" t="str">
        <f>'Huong dan giao do an'!$B$31</f>
        <v>Bắt buộc: Charter/PMP; SRS + scope/WBS; Gantt/baseline; effort-cost budget; RACI/timesheet; quality-test-defect; communication/minutes; risk register; procurement; change log; closure/lessons learned.</v>
      </c>
      <c r="M1248" t="str">
        <f>'Huong dan giao do an'!$B$33</f>
        <v>Tuần 1: 07.09–13.09.2026; Tuần 2: 14.09–20.09.2026; Tuần 3: 21.09–27.09.2026; Tuần 4: 28.09–04.10.2026; Tuần 5: 05.10–11.10.2026; Tuần 6: 12.10–18.10.2026; Tuần 7: 19.10–25.10.2026; Tuần 8: 26.10–01.11.2026.</v>
      </c>
      <c r="N12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8" s="17" t="str">
        <f t="shared" si="19"/>
        <v>Còn trống</v>
      </c>
    </row>
    <row r="1249" spans="1:16" x14ac:dyDescent="0.3">
      <c r="A1249">
        <v>1248</v>
      </c>
      <c r="B1249" t="s">
        <v>2773</v>
      </c>
      <c r="C1249" t="s">
        <v>2896</v>
      </c>
      <c r="D1249" t="s">
        <v>2897</v>
      </c>
      <c r="E1249" t="s">
        <v>45</v>
      </c>
      <c r="F1249" t="s">
        <v>2786</v>
      </c>
      <c r="G1249" t="s">
        <v>2805</v>
      </c>
      <c r="H1249" t="str">
        <f>'Huong dan giao do an'!$B$14</f>
        <v>5 SV (vai trò chính): 1 PM/Scrum Master kiêm Integration; 2 BA/PO; 3 UI-UX + Frontend; 4 Backend/API + DevOps; 5 Database + QA/Tester. Mỗi SV có nhiệm vụ phụ và minh chứng cá nhân.</v>
      </c>
      <c r="I1249" t="s">
        <v>29</v>
      </c>
      <c r="J1249" t="s">
        <v>2783</v>
      </c>
      <c r="K1249" t="str">
        <f>IF(I1249="Trung bình",'Huong dan giao do an'!$B$8,IF(I1249="Khá",'Huong dan giao do an'!$B$9,'Huong dan giao do an'!$B$10))</f>
        <v>Tối thiểu 5 actor; 14-18 use case; 10-15 bảng; 4 quy trình; tích hợp ngoài/realtime hoặc xử lý nâng cao; 3 báo cáo; &gt;=45 test case; logging, backup và deploy.</v>
      </c>
      <c r="L1249" t="str">
        <f>'Huong dan giao do an'!$B$31</f>
        <v>Bắt buộc: Charter/PMP; SRS + scope/WBS; Gantt/baseline; effort-cost budget; RACI/timesheet; quality-test-defect; communication/minutes; risk register; procurement; change log; closure/lessons learned.</v>
      </c>
      <c r="M1249" t="str">
        <f>'Huong dan giao do an'!$B$33</f>
        <v>Tuần 1: 07.09–13.09.2026; Tuần 2: 14.09–20.09.2026; Tuần 3: 21.09–27.09.2026; Tuần 4: 28.09–04.10.2026; Tuần 5: 05.10–11.10.2026; Tuần 6: 12.10–18.10.2026; Tuần 7: 19.10–25.10.2026; Tuần 8: 26.10–01.11.2026.</v>
      </c>
      <c r="N12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49" s="17" t="str">
        <f t="shared" si="19"/>
        <v>Còn trống</v>
      </c>
    </row>
    <row r="1250" spans="1:16" x14ac:dyDescent="0.3">
      <c r="A1250">
        <v>1249</v>
      </c>
      <c r="B1250" t="s">
        <v>2773</v>
      </c>
      <c r="C1250" t="s">
        <v>2898</v>
      </c>
      <c r="D1250" t="s">
        <v>2899</v>
      </c>
      <c r="E1250" t="s">
        <v>19</v>
      </c>
      <c r="F1250" t="s">
        <v>2791</v>
      </c>
      <c r="G1250" t="s">
        <v>2808</v>
      </c>
      <c r="H1250" t="str">
        <f>'Huong dan giao do an'!$B$14</f>
        <v>5 SV (vai trò chính): 1 PM/Scrum Master kiêm Integration; 2 BA/PO; 3 UI-UX + Frontend; 4 Backend/API + DevOps; 5 Database + QA/Tester. Mỗi SV có nhiệm vụ phụ và minh chứng cá nhân.</v>
      </c>
      <c r="I1250" t="s">
        <v>36</v>
      </c>
      <c r="J1250" t="s">
        <v>2788</v>
      </c>
      <c r="K1250" t="str">
        <f>IF(I1250="Trung bình",'Huong dan giao do an'!$B$8,IF(I1250="Khá",'Huong dan giao do an'!$B$9,'Huong dan giao do an'!$B$10))</f>
        <v>Tối thiểu 3 actor; 8-10 use case; 6-8 bảng dữ liệu; 2 quy trình lõi; đăng nhập/RBAC; 1 dashboard; 1 báo cáo; &gt;=25 test case; triển khai bản demo.</v>
      </c>
      <c r="L1250" t="str">
        <f>'Huong dan giao do an'!$B$31</f>
        <v>Bắt buộc: Charter/PMP; SRS + scope/WBS; Gantt/baseline; effort-cost budget; RACI/timesheet; quality-test-defect; communication/minutes; risk register; procurement; change log; closure/lessons learned.</v>
      </c>
      <c r="M1250" t="str">
        <f>'Huong dan giao do an'!$B$33</f>
        <v>Tuần 1: 07.09–13.09.2026; Tuần 2: 14.09–20.09.2026; Tuần 3: 21.09–27.09.2026; Tuần 4: 28.09–04.10.2026; Tuần 5: 05.10–11.10.2026; Tuần 6: 12.10–18.10.2026; Tuần 7: 19.10–25.10.2026; Tuần 8: 26.10–01.11.2026.</v>
      </c>
      <c r="N12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0" s="17" t="str">
        <f t="shared" si="19"/>
        <v>Còn trống</v>
      </c>
    </row>
    <row r="1251" spans="1:16" x14ac:dyDescent="0.3">
      <c r="A1251">
        <v>1250</v>
      </c>
      <c r="B1251" t="s">
        <v>2773</v>
      </c>
      <c r="C1251" t="s">
        <v>2900</v>
      </c>
      <c r="D1251" t="s">
        <v>2901</v>
      </c>
      <c r="E1251" t="s">
        <v>26</v>
      </c>
      <c r="F1251" t="s">
        <v>2795</v>
      </c>
      <c r="G1251" t="s">
        <v>2811</v>
      </c>
      <c r="H1251" t="str">
        <f>'Huong dan giao do an'!$B$14</f>
        <v>5 SV (vai trò chính): 1 PM/Scrum Master kiêm Integration; 2 BA/PO; 3 UI-UX + Frontend; 4 Backend/API + DevOps; 5 Database + QA/Tester. Mỗi SV có nhiệm vụ phụ và minh chứng cá nhân.</v>
      </c>
      <c r="I1251" t="s">
        <v>22</v>
      </c>
      <c r="J1251" t="s">
        <v>2778</v>
      </c>
      <c r="K1251" t="str">
        <f>IF(I1251="Trung bình",'Huong dan giao do an'!$B$8,IF(I1251="Khá",'Huong dan giao do an'!$B$9,'Huong dan giao do an'!$B$10))</f>
        <v>Tối thiểu 4 actor; 10-14 use case; 8-12 bảng; 3 quy trình lõi; phân quyền chi tiết; 2 báo cáo; tích hợp 1 dịch vụ; &gt;=35 test case; CI/CD hoặc deploy cloud.</v>
      </c>
      <c r="L1251" t="str">
        <f>'Huong dan giao do an'!$B$31</f>
        <v>Bắt buộc: Charter/PMP; SRS + scope/WBS; Gantt/baseline; effort-cost budget; RACI/timesheet; quality-test-defect; communication/minutes; risk register; procurement; change log; closure/lessons learned.</v>
      </c>
      <c r="M1251" t="str">
        <f>'Huong dan giao do an'!$B$33</f>
        <v>Tuần 1: 07.09–13.09.2026; Tuần 2: 14.09–20.09.2026; Tuần 3: 21.09–27.09.2026; Tuần 4: 28.09–04.10.2026; Tuần 5: 05.10–11.10.2026; Tuần 6: 12.10–18.10.2026; Tuần 7: 19.10–25.10.2026; Tuần 8: 26.10–01.11.2026.</v>
      </c>
      <c r="N12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1" s="17" t="str">
        <f t="shared" si="19"/>
        <v>Còn trống</v>
      </c>
    </row>
    <row r="1252" spans="1:16" x14ac:dyDescent="0.3">
      <c r="A1252">
        <v>1251</v>
      </c>
      <c r="B1252" t="s">
        <v>2773</v>
      </c>
      <c r="C1252" t="s">
        <v>2902</v>
      </c>
      <c r="D1252" t="s">
        <v>2903</v>
      </c>
      <c r="E1252" t="s">
        <v>33</v>
      </c>
      <c r="F1252" t="s">
        <v>2776</v>
      </c>
      <c r="G1252" t="s">
        <v>2814</v>
      </c>
      <c r="H1252" t="str">
        <f>'Huong dan giao do an'!$B$14</f>
        <v>5 SV (vai trò chính): 1 PM/Scrum Master kiêm Integration; 2 BA/PO; 3 UI-UX + Frontend; 4 Backend/API + DevOps; 5 Database + QA/Tester. Mỗi SV có nhiệm vụ phụ và minh chứng cá nhân.</v>
      </c>
      <c r="I1252" t="s">
        <v>29</v>
      </c>
      <c r="J1252" t="s">
        <v>2783</v>
      </c>
      <c r="K1252" t="str">
        <f>IF(I1252="Trung bình",'Huong dan giao do an'!$B$8,IF(I1252="Khá",'Huong dan giao do an'!$B$9,'Huong dan giao do an'!$B$10))</f>
        <v>Tối thiểu 5 actor; 14-18 use case; 10-15 bảng; 4 quy trình; tích hợp ngoài/realtime hoặc xử lý nâng cao; 3 báo cáo; &gt;=45 test case; logging, backup và deploy.</v>
      </c>
      <c r="L1252" t="str">
        <f>'Huong dan giao do an'!$B$31</f>
        <v>Bắt buộc: Charter/PMP; SRS + scope/WBS; Gantt/baseline; effort-cost budget; RACI/timesheet; quality-test-defect; communication/minutes; risk register; procurement; change log; closure/lessons learned.</v>
      </c>
      <c r="M1252" t="str">
        <f>'Huong dan giao do an'!$B$33</f>
        <v>Tuần 1: 07.09–13.09.2026; Tuần 2: 14.09–20.09.2026; Tuần 3: 21.09–27.09.2026; Tuần 4: 28.09–04.10.2026; Tuần 5: 05.10–11.10.2026; Tuần 6: 12.10–18.10.2026; Tuần 7: 19.10–25.10.2026; Tuần 8: 26.10–01.11.2026.</v>
      </c>
      <c r="N12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2" s="17" t="str">
        <f t="shared" si="19"/>
        <v>Còn trống</v>
      </c>
    </row>
    <row r="1253" spans="1:16" x14ac:dyDescent="0.3">
      <c r="A1253">
        <v>1252</v>
      </c>
      <c r="B1253" t="s">
        <v>2773</v>
      </c>
      <c r="C1253" t="s">
        <v>2904</v>
      </c>
      <c r="D1253" t="s">
        <v>2905</v>
      </c>
      <c r="E1253" t="s">
        <v>40</v>
      </c>
      <c r="F1253" t="s">
        <v>2781</v>
      </c>
      <c r="G1253" t="s">
        <v>2817</v>
      </c>
      <c r="H1253" t="str">
        <f>'Huong dan giao do an'!$B$14</f>
        <v>5 SV (vai trò chính): 1 PM/Scrum Master kiêm Integration; 2 BA/PO; 3 UI-UX + Frontend; 4 Backend/API + DevOps; 5 Database + QA/Tester. Mỗi SV có nhiệm vụ phụ và minh chứng cá nhân.</v>
      </c>
      <c r="I1253" t="s">
        <v>36</v>
      </c>
      <c r="J1253" t="s">
        <v>2788</v>
      </c>
      <c r="K1253" t="str">
        <f>IF(I1253="Trung bình",'Huong dan giao do an'!$B$8,IF(I1253="Khá",'Huong dan giao do an'!$B$9,'Huong dan giao do an'!$B$10))</f>
        <v>Tối thiểu 3 actor; 8-10 use case; 6-8 bảng dữ liệu; 2 quy trình lõi; đăng nhập/RBAC; 1 dashboard; 1 báo cáo; &gt;=25 test case; triển khai bản demo.</v>
      </c>
      <c r="L1253" t="str">
        <f>'Huong dan giao do an'!$B$31</f>
        <v>Bắt buộc: Charter/PMP; SRS + scope/WBS; Gantt/baseline; effort-cost budget; RACI/timesheet; quality-test-defect; communication/minutes; risk register; procurement; change log; closure/lessons learned.</v>
      </c>
      <c r="M1253" t="str">
        <f>'Huong dan giao do an'!$B$33</f>
        <v>Tuần 1: 07.09–13.09.2026; Tuần 2: 14.09–20.09.2026; Tuần 3: 21.09–27.09.2026; Tuần 4: 28.09–04.10.2026; Tuần 5: 05.10–11.10.2026; Tuần 6: 12.10–18.10.2026; Tuần 7: 19.10–25.10.2026; Tuần 8: 26.10–01.11.2026.</v>
      </c>
      <c r="N12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3" s="17" t="str">
        <f t="shared" si="19"/>
        <v>Còn trống</v>
      </c>
    </row>
    <row r="1254" spans="1:16" x14ac:dyDescent="0.3">
      <c r="A1254">
        <v>1253</v>
      </c>
      <c r="B1254" t="s">
        <v>2773</v>
      </c>
      <c r="C1254" t="s">
        <v>2906</v>
      </c>
      <c r="D1254" t="s">
        <v>2907</v>
      </c>
      <c r="E1254" t="s">
        <v>45</v>
      </c>
      <c r="F1254" t="s">
        <v>2786</v>
      </c>
      <c r="G1254" t="s">
        <v>2820</v>
      </c>
      <c r="H1254" t="str">
        <f>'Huong dan giao do an'!$B$14</f>
        <v>5 SV (vai trò chính): 1 PM/Scrum Master kiêm Integration; 2 BA/PO; 3 UI-UX + Frontend; 4 Backend/API + DevOps; 5 Database + QA/Tester. Mỗi SV có nhiệm vụ phụ và minh chứng cá nhân.</v>
      </c>
      <c r="I1254" t="s">
        <v>22</v>
      </c>
      <c r="J1254" t="s">
        <v>2778</v>
      </c>
      <c r="K1254" t="str">
        <f>IF(I1254="Trung bình",'Huong dan giao do an'!$B$8,IF(I1254="Khá",'Huong dan giao do an'!$B$9,'Huong dan giao do an'!$B$10))</f>
        <v>Tối thiểu 4 actor; 10-14 use case; 8-12 bảng; 3 quy trình lõi; phân quyền chi tiết; 2 báo cáo; tích hợp 1 dịch vụ; &gt;=35 test case; CI/CD hoặc deploy cloud.</v>
      </c>
      <c r="L1254" t="str">
        <f>'Huong dan giao do an'!$B$31</f>
        <v>Bắt buộc: Charter/PMP; SRS + scope/WBS; Gantt/baseline; effort-cost budget; RACI/timesheet; quality-test-defect; communication/minutes; risk register; procurement; change log; closure/lessons learned.</v>
      </c>
      <c r="M1254" t="str">
        <f>'Huong dan giao do an'!$B$33</f>
        <v>Tuần 1: 07.09–13.09.2026; Tuần 2: 14.09–20.09.2026; Tuần 3: 21.09–27.09.2026; Tuần 4: 28.09–04.10.2026; Tuần 5: 05.10–11.10.2026; Tuần 6: 12.10–18.10.2026; Tuần 7: 19.10–25.10.2026; Tuần 8: 26.10–01.11.2026.</v>
      </c>
      <c r="N12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4" s="17" t="str">
        <f t="shared" si="19"/>
        <v>Còn trống</v>
      </c>
    </row>
    <row r="1255" spans="1:16" x14ac:dyDescent="0.3">
      <c r="A1255">
        <v>1254</v>
      </c>
      <c r="B1255" t="s">
        <v>2773</v>
      </c>
      <c r="C1255" t="s">
        <v>2908</v>
      </c>
      <c r="D1255" t="s">
        <v>2909</v>
      </c>
      <c r="E1255" t="s">
        <v>19</v>
      </c>
      <c r="F1255" t="s">
        <v>2791</v>
      </c>
      <c r="G1255" t="s">
        <v>2823</v>
      </c>
      <c r="H1255" t="str">
        <f>'Huong dan giao do an'!$B$14</f>
        <v>5 SV (vai trò chính): 1 PM/Scrum Master kiêm Integration; 2 BA/PO; 3 UI-UX + Frontend; 4 Backend/API + DevOps; 5 Database + QA/Tester. Mỗi SV có nhiệm vụ phụ và minh chứng cá nhân.</v>
      </c>
      <c r="I1255" t="s">
        <v>29</v>
      </c>
      <c r="J1255" t="s">
        <v>2783</v>
      </c>
      <c r="K1255" t="str">
        <f>IF(I1255="Trung bình",'Huong dan giao do an'!$B$8,IF(I1255="Khá",'Huong dan giao do an'!$B$9,'Huong dan giao do an'!$B$10))</f>
        <v>Tối thiểu 5 actor; 14-18 use case; 10-15 bảng; 4 quy trình; tích hợp ngoài/realtime hoặc xử lý nâng cao; 3 báo cáo; &gt;=45 test case; logging, backup và deploy.</v>
      </c>
      <c r="L1255" t="str">
        <f>'Huong dan giao do an'!$B$31</f>
        <v>Bắt buộc: Charter/PMP; SRS + scope/WBS; Gantt/baseline; effort-cost budget; RACI/timesheet; quality-test-defect; communication/minutes; risk register; procurement; change log; closure/lessons learned.</v>
      </c>
      <c r="M1255" t="str">
        <f>'Huong dan giao do an'!$B$33</f>
        <v>Tuần 1: 07.09–13.09.2026; Tuần 2: 14.09–20.09.2026; Tuần 3: 21.09–27.09.2026; Tuần 4: 28.09–04.10.2026; Tuần 5: 05.10–11.10.2026; Tuần 6: 12.10–18.10.2026; Tuần 7: 19.10–25.10.2026; Tuần 8: 26.10–01.11.2026.</v>
      </c>
      <c r="N12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5" s="17" t="str">
        <f t="shared" si="19"/>
        <v>Còn trống</v>
      </c>
    </row>
    <row r="1256" spans="1:16" x14ac:dyDescent="0.3">
      <c r="A1256">
        <v>1255</v>
      </c>
      <c r="B1256" t="s">
        <v>2773</v>
      </c>
      <c r="C1256" t="s">
        <v>2910</v>
      </c>
      <c r="D1256" t="s">
        <v>2911</v>
      </c>
      <c r="E1256" t="s">
        <v>26</v>
      </c>
      <c r="F1256" t="s">
        <v>2795</v>
      </c>
      <c r="G1256" t="s">
        <v>2826</v>
      </c>
      <c r="H1256" t="str">
        <f>'Huong dan giao do an'!$B$14</f>
        <v>5 SV (vai trò chính): 1 PM/Scrum Master kiêm Integration; 2 BA/PO; 3 UI-UX + Frontend; 4 Backend/API + DevOps; 5 Database + QA/Tester. Mỗi SV có nhiệm vụ phụ và minh chứng cá nhân.</v>
      </c>
      <c r="I1256" t="s">
        <v>36</v>
      </c>
      <c r="J1256" t="s">
        <v>2788</v>
      </c>
      <c r="K1256" t="str">
        <f>IF(I1256="Trung bình",'Huong dan giao do an'!$B$8,IF(I1256="Khá",'Huong dan giao do an'!$B$9,'Huong dan giao do an'!$B$10))</f>
        <v>Tối thiểu 3 actor; 8-10 use case; 6-8 bảng dữ liệu; 2 quy trình lõi; đăng nhập/RBAC; 1 dashboard; 1 báo cáo; &gt;=25 test case; triển khai bản demo.</v>
      </c>
      <c r="L1256" t="str">
        <f>'Huong dan giao do an'!$B$31</f>
        <v>Bắt buộc: Charter/PMP; SRS + scope/WBS; Gantt/baseline; effort-cost budget; RACI/timesheet; quality-test-defect; communication/minutes; risk register; procurement; change log; closure/lessons learned.</v>
      </c>
      <c r="M1256" t="str">
        <f>'Huong dan giao do an'!$B$33</f>
        <v>Tuần 1: 07.09–13.09.2026; Tuần 2: 14.09–20.09.2026; Tuần 3: 21.09–27.09.2026; Tuần 4: 28.09–04.10.2026; Tuần 5: 05.10–11.10.2026; Tuần 6: 12.10–18.10.2026; Tuần 7: 19.10–25.10.2026; Tuần 8: 26.10–01.11.2026.</v>
      </c>
      <c r="N12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6" s="17" t="str">
        <f t="shared" si="19"/>
        <v>Còn trống</v>
      </c>
    </row>
    <row r="1257" spans="1:16" x14ac:dyDescent="0.3">
      <c r="A1257">
        <v>1256</v>
      </c>
      <c r="B1257" t="s">
        <v>2773</v>
      </c>
      <c r="C1257" t="s">
        <v>2912</v>
      </c>
      <c r="D1257" t="s">
        <v>2913</v>
      </c>
      <c r="E1257" t="s">
        <v>33</v>
      </c>
      <c r="F1257" t="s">
        <v>2776</v>
      </c>
      <c r="G1257" t="s">
        <v>2829</v>
      </c>
      <c r="H1257" t="str">
        <f>'Huong dan giao do an'!$B$14</f>
        <v>5 SV (vai trò chính): 1 PM/Scrum Master kiêm Integration; 2 BA/PO; 3 UI-UX + Frontend; 4 Backend/API + DevOps; 5 Database + QA/Tester. Mỗi SV có nhiệm vụ phụ và minh chứng cá nhân.</v>
      </c>
      <c r="I1257" t="s">
        <v>22</v>
      </c>
      <c r="J1257" t="s">
        <v>2778</v>
      </c>
      <c r="K1257" t="str">
        <f>IF(I1257="Trung bình",'Huong dan giao do an'!$B$8,IF(I1257="Khá",'Huong dan giao do an'!$B$9,'Huong dan giao do an'!$B$10))</f>
        <v>Tối thiểu 4 actor; 10-14 use case; 8-12 bảng; 3 quy trình lõi; phân quyền chi tiết; 2 báo cáo; tích hợp 1 dịch vụ; &gt;=35 test case; CI/CD hoặc deploy cloud.</v>
      </c>
      <c r="L1257" t="str">
        <f>'Huong dan giao do an'!$B$31</f>
        <v>Bắt buộc: Charter/PMP; SRS + scope/WBS; Gantt/baseline; effort-cost budget; RACI/timesheet; quality-test-defect; communication/minutes; risk register; procurement; change log; closure/lessons learned.</v>
      </c>
      <c r="M1257" t="str">
        <f>'Huong dan giao do an'!$B$33</f>
        <v>Tuần 1: 07.09–13.09.2026; Tuần 2: 14.09–20.09.2026; Tuần 3: 21.09–27.09.2026; Tuần 4: 28.09–04.10.2026; Tuần 5: 05.10–11.10.2026; Tuần 6: 12.10–18.10.2026; Tuần 7: 19.10–25.10.2026; Tuần 8: 26.10–01.11.2026.</v>
      </c>
      <c r="N12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7" s="17" t="str">
        <f t="shared" si="19"/>
        <v>Còn trống</v>
      </c>
    </row>
    <row r="1258" spans="1:16" x14ac:dyDescent="0.3">
      <c r="A1258">
        <v>1257</v>
      </c>
      <c r="B1258" t="s">
        <v>2773</v>
      </c>
      <c r="C1258" t="s">
        <v>2914</v>
      </c>
      <c r="D1258" t="s">
        <v>2915</v>
      </c>
      <c r="E1258" t="s">
        <v>40</v>
      </c>
      <c r="F1258" t="s">
        <v>2781</v>
      </c>
      <c r="G1258" t="s">
        <v>2832</v>
      </c>
      <c r="H1258" t="str">
        <f>'Huong dan giao do an'!$B$14</f>
        <v>5 SV (vai trò chính): 1 PM/Scrum Master kiêm Integration; 2 BA/PO; 3 UI-UX + Frontend; 4 Backend/API + DevOps; 5 Database + QA/Tester. Mỗi SV có nhiệm vụ phụ và minh chứng cá nhân.</v>
      </c>
      <c r="I1258" t="s">
        <v>29</v>
      </c>
      <c r="J1258" t="s">
        <v>2783</v>
      </c>
      <c r="K1258" t="str">
        <f>IF(I1258="Trung bình",'Huong dan giao do an'!$B$8,IF(I1258="Khá",'Huong dan giao do an'!$B$9,'Huong dan giao do an'!$B$10))</f>
        <v>Tối thiểu 5 actor; 14-18 use case; 10-15 bảng; 4 quy trình; tích hợp ngoài/realtime hoặc xử lý nâng cao; 3 báo cáo; &gt;=45 test case; logging, backup và deploy.</v>
      </c>
      <c r="L1258" t="str">
        <f>'Huong dan giao do an'!$B$31</f>
        <v>Bắt buộc: Charter/PMP; SRS + scope/WBS; Gantt/baseline; effort-cost budget; RACI/timesheet; quality-test-defect; communication/minutes; risk register; procurement; change log; closure/lessons learned.</v>
      </c>
      <c r="M1258" t="str">
        <f>'Huong dan giao do an'!$B$33</f>
        <v>Tuần 1: 07.09–13.09.2026; Tuần 2: 14.09–20.09.2026; Tuần 3: 21.09–27.09.2026; Tuần 4: 28.09–04.10.2026; Tuần 5: 05.10–11.10.2026; Tuần 6: 12.10–18.10.2026; Tuần 7: 19.10–25.10.2026; Tuần 8: 26.10–01.11.2026.</v>
      </c>
      <c r="N12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8" s="17" t="str">
        <f t="shared" si="19"/>
        <v>Còn trống</v>
      </c>
    </row>
    <row r="1259" spans="1:16" x14ac:dyDescent="0.3">
      <c r="A1259">
        <v>1258</v>
      </c>
      <c r="B1259" t="s">
        <v>2773</v>
      </c>
      <c r="C1259" t="s">
        <v>2916</v>
      </c>
      <c r="D1259" t="s">
        <v>2917</v>
      </c>
      <c r="E1259" t="s">
        <v>45</v>
      </c>
      <c r="F1259" t="s">
        <v>2786</v>
      </c>
      <c r="G1259" t="s">
        <v>2835</v>
      </c>
      <c r="H1259" t="str">
        <f>'Huong dan giao do an'!$B$14</f>
        <v>5 SV (vai trò chính): 1 PM/Scrum Master kiêm Integration; 2 BA/PO; 3 UI-UX + Frontend; 4 Backend/API + DevOps; 5 Database + QA/Tester. Mỗi SV có nhiệm vụ phụ và minh chứng cá nhân.</v>
      </c>
      <c r="I1259" t="s">
        <v>36</v>
      </c>
      <c r="J1259" t="s">
        <v>2788</v>
      </c>
      <c r="K1259" t="str">
        <f>IF(I1259="Trung bình",'Huong dan giao do an'!$B$8,IF(I1259="Khá",'Huong dan giao do an'!$B$9,'Huong dan giao do an'!$B$10))</f>
        <v>Tối thiểu 3 actor; 8-10 use case; 6-8 bảng dữ liệu; 2 quy trình lõi; đăng nhập/RBAC; 1 dashboard; 1 báo cáo; &gt;=25 test case; triển khai bản demo.</v>
      </c>
      <c r="L1259" t="str">
        <f>'Huong dan giao do an'!$B$31</f>
        <v>Bắt buộc: Charter/PMP; SRS + scope/WBS; Gantt/baseline; effort-cost budget; RACI/timesheet; quality-test-defect; communication/minutes; risk register; procurement; change log; closure/lessons learned.</v>
      </c>
      <c r="M1259" t="str">
        <f>'Huong dan giao do an'!$B$33</f>
        <v>Tuần 1: 07.09–13.09.2026; Tuần 2: 14.09–20.09.2026; Tuần 3: 21.09–27.09.2026; Tuần 4: 28.09–04.10.2026; Tuần 5: 05.10–11.10.2026; Tuần 6: 12.10–18.10.2026; Tuần 7: 19.10–25.10.2026; Tuần 8: 26.10–01.11.2026.</v>
      </c>
      <c r="N12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59" s="17" t="str">
        <f t="shared" si="19"/>
        <v>Còn trống</v>
      </c>
    </row>
    <row r="1260" spans="1:16" x14ac:dyDescent="0.3">
      <c r="A1260">
        <v>1259</v>
      </c>
      <c r="B1260" t="s">
        <v>2773</v>
      </c>
      <c r="C1260" t="s">
        <v>2918</v>
      </c>
      <c r="D1260" t="s">
        <v>2919</v>
      </c>
      <c r="E1260" t="s">
        <v>19</v>
      </c>
      <c r="F1260" t="s">
        <v>2791</v>
      </c>
      <c r="G1260" t="s">
        <v>2838</v>
      </c>
      <c r="H1260" t="str">
        <f>'Huong dan giao do an'!$B$14</f>
        <v>5 SV (vai trò chính): 1 PM/Scrum Master kiêm Integration; 2 BA/PO; 3 UI-UX + Frontend; 4 Backend/API + DevOps; 5 Database + QA/Tester. Mỗi SV có nhiệm vụ phụ và minh chứng cá nhân.</v>
      </c>
      <c r="I1260" t="s">
        <v>22</v>
      </c>
      <c r="J1260" t="s">
        <v>2778</v>
      </c>
      <c r="K1260" t="str">
        <f>IF(I1260="Trung bình",'Huong dan giao do an'!$B$8,IF(I1260="Khá",'Huong dan giao do an'!$B$9,'Huong dan giao do an'!$B$10))</f>
        <v>Tối thiểu 4 actor; 10-14 use case; 8-12 bảng; 3 quy trình lõi; phân quyền chi tiết; 2 báo cáo; tích hợp 1 dịch vụ; &gt;=35 test case; CI/CD hoặc deploy cloud.</v>
      </c>
      <c r="L1260" t="str">
        <f>'Huong dan giao do an'!$B$31</f>
        <v>Bắt buộc: Charter/PMP; SRS + scope/WBS; Gantt/baseline; effort-cost budget; RACI/timesheet; quality-test-defect; communication/minutes; risk register; procurement; change log; closure/lessons learned.</v>
      </c>
      <c r="M1260" t="str">
        <f>'Huong dan giao do an'!$B$33</f>
        <v>Tuần 1: 07.09–13.09.2026; Tuần 2: 14.09–20.09.2026; Tuần 3: 21.09–27.09.2026; Tuần 4: 28.09–04.10.2026; Tuần 5: 05.10–11.10.2026; Tuần 6: 12.10–18.10.2026; Tuần 7: 19.10–25.10.2026; Tuần 8: 26.10–01.11.2026.</v>
      </c>
      <c r="N12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0" s="17" t="str">
        <f t="shared" si="19"/>
        <v>Còn trống</v>
      </c>
    </row>
    <row r="1261" spans="1:16" x14ac:dyDescent="0.3">
      <c r="A1261">
        <v>1260</v>
      </c>
      <c r="B1261" t="s">
        <v>2773</v>
      </c>
      <c r="C1261" t="s">
        <v>2920</v>
      </c>
      <c r="D1261" t="s">
        <v>2921</v>
      </c>
      <c r="E1261" t="s">
        <v>26</v>
      </c>
      <c r="F1261" t="s">
        <v>2795</v>
      </c>
      <c r="G1261" t="s">
        <v>2841</v>
      </c>
      <c r="H1261" t="str">
        <f>'Huong dan giao do an'!$B$14</f>
        <v>5 SV (vai trò chính): 1 PM/Scrum Master kiêm Integration; 2 BA/PO; 3 UI-UX + Frontend; 4 Backend/API + DevOps; 5 Database + QA/Tester. Mỗi SV có nhiệm vụ phụ và minh chứng cá nhân.</v>
      </c>
      <c r="I1261" t="s">
        <v>29</v>
      </c>
      <c r="J1261" t="s">
        <v>2783</v>
      </c>
      <c r="K1261" t="str">
        <f>IF(I1261="Trung bình",'Huong dan giao do an'!$B$8,IF(I1261="Khá",'Huong dan giao do an'!$B$9,'Huong dan giao do an'!$B$10))</f>
        <v>Tối thiểu 5 actor; 14-18 use case; 10-15 bảng; 4 quy trình; tích hợp ngoài/realtime hoặc xử lý nâng cao; 3 báo cáo; &gt;=45 test case; logging, backup và deploy.</v>
      </c>
      <c r="L1261" t="str">
        <f>'Huong dan giao do an'!$B$31</f>
        <v>Bắt buộc: Charter/PMP; SRS + scope/WBS; Gantt/baseline; effort-cost budget; RACI/timesheet; quality-test-defect; communication/minutes; risk register; procurement; change log; closure/lessons learned.</v>
      </c>
      <c r="M1261" t="str">
        <f>'Huong dan giao do an'!$B$33</f>
        <v>Tuần 1: 07.09–13.09.2026; Tuần 2: 14.09–20.09.2026; Tuần 3: 21.09–27.09.2026; Tuần 4: 28.09–04.10.2026; Tuần 5: 05.10–11.10.2026; Tuần 6: 12.10–18.10.2026; Tuần 7: 19.10–25.10.2026; Tuần 8: 26.10–01.11.2026.</v>
      </c>
      <c r="N12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1" s="17" t="str">
        <f t="shared" si="19"/>
        <v>Còn trống</v>
      </c>
    </row>
    <row r="1262" spans="1:16" x14ac:dyDescent="0.3">
      <c r="A1262">
        <v>1261</v>
      </c>
      <c r="B1262" t="s">
        <v>2773</v>
      </c>
      <c r="C1262" t="s">
        <v>2922</v>
      </c>
      <c r="D1262" t="s">
        <v>2923</v>
      </c>
      <c r="E1262" t="s">
        <v>33</v>
      </c>
      <c r="F1262" t="s">
        <v>2776</v>
      </c>
      <c r="G1262" t="s">
        <v>2777</v>
      </c>
      <c r="H1262" t="str">
        <f>'Huong dan giao do an'!$B$14</f>
        <v>5 SV (vai trò chính): 1 PM/Scrum Master kiêm Integration; 2 BA/PO; 3 UI-UX + Frontend; 4 Backend/API + DevOps; 5 Database + QA/Tester. Mỗi SV có nhiệm vụ phụ và minh chứng cá nhân.</v>
      </c>
      <c r="I1262" t="s">
        <v>22</v>
      </c>
      <c r="J1262" t="s">
        <v>2778</v>
      </c>
      <c r="K1262" t="str">
        <f>IF(I1262="Trung bình",'Huong dan giao do an'!$B$8,IF(I1262="Khá",'Huong dan giao do an'!$B$9,'Huong dan giao do an'!$B$10))</f>
        <v>Tối thiểu 4 actor; 10-14 use case; 8-12 bảng; 3 quy trình lõi; phân quyền chi tiết; 2 báo cáo; tích hợp 1 dịch vụ; &gt;=35 test case; CI/CD hoặc deploy cloud.</v>
      </c>
      <c r="L1262" t="str">
        <f>'Huong dan giao do an'!$B$31</f>
        <v>Bắt buộc: Charter/PMP; SRS + scope/WBS; Gantt/baseline; effort-cost budget; RACI/timesheet; quality-test-defect; communication/minutes; risk register; procurement; change log; closure/lessons learned.</v>
      </c>
      <c r="M1262" t="str">
        <f>'Huong dan giao do an'!$B$33</f>
        <v>Tuần 1: 07.09–13.09.2026; Tuần 2: 14.09–20.09.2026; Tuần 3: 21.09–27.09.2026; Tuần 4: 28.09–04.10.2026; Tuần 5: 05.10–11.10.2026; Tuần 6: 12.10–18.10.2026; Tuần 7: 19.10–25.10.2026; Tuần 8: 26.10–01.11.2026.</v>
      </c>
      <c r="N12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2" s="17" t="str">
        <f t="shared" si="19"/>
        <v>Còn trống</v>
      </c>
    </row>
    <row r="1263" spans="1:16" x14ac:dyDescent="0.3">
      <c r="A1263">
        <v>1262</v>
      </c>
      <c r="B1263" t="s">
        <v>2773</v>
      </c>
      <c r="C1263" t="s">
        <v>2924</v>
      </c>
      <c r="D1263" t="s">
        <v>2925</v>
      </c>
      <c r="E1263" t="s">
        <v>40</v>
      </c>
      <c r="F1263" t="s">
        <v>2781</v>
      </c>
      <c r="G1263" t="s">
        <v>2782</v>
      </c>
      <c r="H1263" t="str">
        <f>'Huong dan giao do an'!$B$14</f>
        <v>5 SV (vai trò chính): 1 PM/Scrum Master kiêm Integration; 2 BA/PO; 3 UI-UX + Frontend; 4 Backend/API + DevOps; 5 Database + QA/Tester. Mỗi SV có nhiệm vụ phụ và minh chứng cá nhân.</v>
      </c>
      <c r="I1263" t="s">
        <v>29</v>
      </c>
      <c r="J1263" t="s">
        <v>2783</v>
      </c>
      <c r="K1263" t="str">
        <f>IF(I1263="Trung bình",'Huong dan giao do an'!$B$8,IF(I1263="Khá",'Huong dan giao do an'!$B$9,'Huong dan giao do an'!$B$10))</f>
        <v>Tối thiểu 5 actor; 14-18 use case; 10-15 bảng; 4 quy trình; tích hợp ngoài/realtime hoặc xử lý nâng cao; 3 báo cáo; &gt;=45 test case; logging, backup và deploy.</v>
      </c>
      <c r="L1263" t="str">
        <f>'Huong dan giao do an'!$B$31</f>
        <v>Bắt buộc: Charter/PMP; SRS + scope/WBS; Gantt/baseline; effort-cost budget; RACI/timesheet; quality-test-defect; communication/minutes; risk register; procurement; change log; closure/lessons learned.</v>
      </c>
      <c r="M1263" t="str">
        <f>'Huong dan giao do an'!$B$33</f>
        <v>Tuần 1: 07.09–13.09.2026; Tuần 2: 14.09–20.09.2026; Tuần 3: 21.09–27.09.2026; Tuần 4: 28.09–04.10.2026; Tuần 5: 05.10–11.10.2026; Tuần 6: 12.10–18.10.2026; Tuần 7: 19.10–25.10.2026; Tuần 8: 26.10–01.11.2026.</v>
      </c>
      <c r="N12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3" s="17" t="str">
        <f t="shared" si="19"/>
        <v>Còn trống</v>
      </c>
    </row>
    <row r="1264" spans="1:16" x14ac:dyDescent="0.3">
      <c r="A1264">
        <v>1263</v>
      </c>
      <c r="B1264" t="s">
        <v>2773</v>
      </c>
      <c r="C1264" t="s">
        <v>2926</v>
      </c>
      <c r="D1264" t="s">
        <v>2927</v>
      </c>
      <c r="E1264" t="s">
        <v>45</v>
      </c>
      <c r="F1264" t="s">
        <v>2786</v>
      </c>
      <c r="G1264" t="s">
        <v>2787</v>
      </c>
      <c r="H1264" t="str">
        <f>'Huong dan giao do an'!$B$14</f>
        <v>5 SV (vai trò chính): 1 PM/Scrum Master kiêm Integration; 2 BA/PO; 3 UI-UX + Frontend; 4 Backend/API + DevOps; 5 Database + QA/Tester. Mỗi SV có nhiệm vụ phụ và minh chứng cá nhân.</v>
      </c>
      <c r="I1264" t="s">
        <v>36</v>
      </c>
      <c r="J1264" t="s">
        <v>2788</v>
      </c>
      <c r="K1264" t="str">
        <f>IF(I1264="Trung bình",'Huong dan giao do an'!$B$8,IF(I1264="Khá",'Huong dan giao do an'!$B$9,'Huong dan giao do an'!$B$10))</f>
        <v>Tối thiểu 3 actor; 8-10 use case; 6-8 bảng dữ liệu; 2 quy trình lõi; đăng nhập/RBAC; 1 dashboard; 1 báo cáo; &gt;=25 test case; triển khai bản demo.</v>
      </c>
      <c r="L1264" t="str">
        <f>'Huong dan giao do an'!$B$31</f>
        <v>Bắt buộc: Charter/PMP; SRS + scope/WBS; Gantt/baseline; effort-cost budget; RACI/timesheet; quality-test-defect; communication/minutes; risk register; procurement; change log; closure/lessons learned.</v>
      </c>
      <c r="M1264" t="str">
        <f>'Huong dan giao do an'!$B$33</f>
        <v>Tuần 1: 07.09–13.09.2026; Tuần 2: 14.09–20.09.2026; Tuần 3: 21.09–27.09.2026; Tuần 4: 28.09–04.10.2026; Tuần 5: 05.10–11.10.2026; Tuần 6: 12.10–18.10.2026; Tuần 7: 19.10–25.10.2026; Tuần 8: 26.10–01.11.2026.</v>
      </c>
      <c r="N12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4" s="17" t="str">
        <f t="shared" si="19"/>
        <v>Còn trống</v>
      </c>
    </row>
    <row r="1265" spans="1:16" x14ac:dyDescent="0.3">
      <c r="A1265">
        <v>1264</v>
      </c>
      <c r="B1265" t="s">
        <v>2773</v>
      </c>
      <c r="C1265" t="s">
        <v>2928</v>
      </c>
      <c r="D1265" t="s">
        <v>2929</v>
      </c>
      <c r="E1265" t="s">
        <v>19</v>
      </c>
      <c r="F1265" t="s">
        <v>2791</v>
      </c>
      <c r="G1265" t="s">
        <v>2792</v>
      </c>
      <c r="H1265" t="str">
        <f>'Huong dan giao do an'!$B$14</f>
        <v>5 SV (vai trò chính): 1 PM/Scrum Master kiêm Integration; 2 BA/PO; 3 UI-UX + Frontend; 4 Backend/API + DevOps; 5 Database + QA/Tester. Mỗi SV có nhiệm vụ phụ và minh chứng cá nhân.</v>
      </c>
      <c r="I1265" t="s">
        <v>22</v>
      </c>
      <c r="J1265" t="s">
        <v>2778</v>
      </c>
      <c r="K1265" t="str">
        <f>IF(I1265="Trung bình",'Huong dan giao do an'!$B$8,IF(I1265="Khá",'Huong dan giao do an'!$B$9,'Huong dan giao do an'!$B$10))</f>
        <v>Tối thiểu 4 actor; 10-14 use case; 8-12 bảng; 3 quy trình lõi; phân quyền chi tiết; 2 báo cáo; tích hợp 1 dịch vụ; &gt;=35 test case; CI/CD hoặc deploy cloud.</v>
      </c>
      <c r="L1265" t="str">
        <f>'Huong dan giao do an'!$B$31</f>
        <v>Bắt buộc: Charter/PMP; SRS + scope/WBS; Gantt/baseline; effort-cost budget; RACI/timesheet; quality-test-defect; communication/minutes; risk register; procurement; change log; closure/lessons learned.</v>
      </c>
      <c r="M1265" t="str">
        <f>'Huong dan giao do an'!$B$33</f>
        <v>Tuần 1: 07.09–13.09.2026; Tuần 2: 14.09–20.09.2026; Tuần 3: 21.09–27.09.2026; Tuần 4: 28.09–04.10.2026; Tuần 5: 05.10–11.10.2026; Tuần 6: 12.10–18.10.2026; Tuần 7: 19.10–25.10.2026; Tuần 8: 26.10–01.11.2026.</v>
      </c>
      <c r="N12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5" s="17" t="str">
        <f t="shared" si="19"/>
        <v>Còn trống</v>
      </c>
    </row>
    <row r="1266" spans="1:16" x14ac:dyDescent="0.3">
      <c r="A1266">
        <v>1265</v>
      </c>
      <c r="B1266" t="s">
        <v>2773</v>
      </c>
      <c r="C1266" t="s">
        <v>2930</v>
      </c>
      <c r="D1266" t="s">
        <v>2931</v>
      </c>
      <c r="E1266" t="s">
        <v>26</v>
      </c>
      <c r="F1266" t="s">
        <v>2795</v>
      </c>
      <c r="G1266" t="s">
        <v>2796</v>
      </c>
      <c r="H1266" t="str">
        <f>'Huong dan giao do an'!$B$14</f>
        <v>5 SV (vai trò chính): 1 PM/Scrum Master kiêm Integration; 2 BA/PO; 3 UI-UX + Frontend; 4 Backend/API + DevOps; 5 Database + QA/Tester. Mỗi SV có nhiệm vụ phụ và minh chứng cá nhân.</v>
      </c>
      <c r="I1266" t="s">
        <v>29</v>
      </c>
      <c r="J1266" t="s">
        <v>2783</v>
      </c>
      <c r="K1266" t="str">
        <f>IF(I1266="Trung bình",'Huong dan giao do an'!$B$8,IF(I1266="Khá",'Huong dan giao do an'!$B$9,'Huong dan giao do an'!$B$10))</f>
        <v>Tối thiểu 5 actor; 14-18 use case; 10-15 bảng; 4 quy trình; tích hợp ngoài/realtime hoặc xử lý nâng cao; 3 báo cáo; &gt;=45 test case; logging, backup và deploy.</v>
      </c>
      <c r="L1266" t="str">
        <f>'Huong dan giao do an'!$B$31</f>
        <v>Bắt buộc: Charter/PMP; SRS + scope/WBS; Gantt/baseline; effort-cost budget; RACI/timesheet; quality-test-defect; communication/minutes; risk register; procurement; change log; closure/lessons learned.</v>
      </c>
      <c r="M1266" t="str">
        <f>'Huong dan giao do an'!$B$33</f>
        <v>Tuần 1: 07.09–13.09.2026; Tuần 2: 14.09–20.09.2026; Tuần 3: 21.09–27.09.2026; Tuần 4: 28.09–04.10.2026; Tuần 5: 05.10–11.10.2026; Tuần 6: 12.10–18.10.2026; Tuần 7: 19.10–25.10.2026; Tuần 8: 26.10–01.11.2026.</v>
      </c>
      <c r="N12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6" s="17" t="str">
        <f t="shared" si="19"/>
        <v>Còn trống</v>
      </c>
    </row>
    <row r="1267" spans="1:16" x14ac:dyDescent="0.3">
      <c r="A1267">
        <v>1266</v>
      </c>
      <c r="B1267" t="s">
        <v>2773</v>
      </c>
      <c r="C1267" t="s">
        <v>2932</v>
      </c>
      <c r="D1267" t="s">
        <v>2933</v>
      </c>
      <c r="E1267" t="s">
        <v>33</v>
      </c>
      <c r="F1267" t="s">
        <v>2776</v>
      </c>
      <c r="G1267" t="s">
        <v>2799</v>
      </c>
      <c r="H1267" t="str">
        <f>'Huong dan giao do an'!$B$14</f>
        <v>5 SV (vai trò chính): 1 PM/Scrum Master kiêm Integration; 2 BA/PO; 3 UI-UX + Frontend; 4 Backend/API + DevOps; 5 Database + QA/Tester. Mỗi SV có nhiệm vụ phụ và minh chứng cá nhân.</v>
      </c>
      <c r="I1267" t="s">
        <v>36</v>
      </c>
      <c r="J1267" t="s">
        <v>2788</v>
      </c>
      <c r="K1267" t="str">
        <f>IF(I1267="Trung bình",'Huong dan giao do an'!$B$8,IF(I1267="Khá",'Huong dan giao do an'!$B$9,'Huong dan giao do an'!$B$10))</f>
        <v>Tối thiểu 3 actor; 8-10 use case; 6-8 bảng dữ liệu; 2 quy trình lõi; đăng nhập/RBAC; 1 dashboard; 1 báo cáo; &gt;=25 test case; triển khai bản demo.</v>
      </c>
      <c r="L1267" t="str">
        <f>'Huong dan giao do an'!$B$31</f>
        <v>Bắt buộc: Charter/PMP; SRS + scope/WBS; Gantt/baseline; effort-cost budget; RACI/timesheet; quality-test-defect; communication/minutes; risk register; procurement; change log; closure/lessons learned.</v>
      </c>
      <c r="M1267" t="str">
        <f>'Huong dan giao do an'!$B$33</f>
        <v>Tuần 1: 07.09–13.09.2026; Tuần 2: 14.09–20.09.2026; Tuần 3: 21.09–27.09.2026; Tuần 4: 28.09–04.10.2026; Tuần 5: 05.10–11.10.2026; Tuần 6: 12.10–18.10.2026; Tuần 7: 19.10–25.10.2026; Tuần 8: 26.10–01.11.2026.</v>
      </c>
      <c r="N12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7" s="17" t="str">
        <f t="shared" si="19"/>
        <v>Còn trống</v>
      </c>
    </row>
    <row r="1268" spans="1:16" x14ac:dyDescent="0.3">
      <c r="A1268">
        <v>1267</v>
      </c>
      <c r="B1268" t="s">
        <v>2773</v>
      </c>
      <c r="C1268" t="s">
        <v>2934</v>
      </c>
      <c r="D1268" t="s">
        <v>2935</v>
      </c>
      <c r="E1268" t="s">
        <v>40</v>
      </c>
      <c r="F1268" t="s">
        <v>2781</v>
      </c>
      <c r="G1268" t="s">
        <v>2802</v>
      </c>
      <c r="H1268" t="str">
        <f>'Huong dan giao do an'!$B$14</f>
        <v>5 SV (vai trò chính): 1 PM/Scrum Master kiêm Integration; 2 BA/PO; 3 UI-UX + Frontend; 4 Backend/API + DevOps; 5 Database + QA/Tester. Mỗi SV có nhiệm vụ phụ và minh chứng cá nhân.</v>
      </c>
      <c r="I1268" t="s">
        <v>22</v>
      </c>
      <c r="J1268" t="s">
        <v>2778</v>
      </c>
      <c r="K1268" t="str">
        <f>IF(I1268="Trung bình",'Huong dan giao do an'!$B$8,IF(I1268="Khá",'Huong dan giao do an'!$B$9,'Huong dan giao do an'!$B$10))</f>
        <v>Tối thiểu 4 actor; 10-14 use case; 8-12 bảng; 3 quy trình lõi; phân quyền chi tiết; 2 báo cáo; tích hợp 1 dịch vụ; &gt;=35 test case; CI/CD hoặc deploy cloud.</v>
      </c>
      <c r="L1268" t="str">
        <f>'Huong dan giao do an'!$B$31</f>
        <v>Bắt buộc: Charter/PMP; SRS + scope/WBS; Gantt/baseline; effort-cost budget; RACI/timesheet; quality-test-defect; communication/minutes; risk register; procurement; change log; closure/lessons learned.</v>
      </c>
      <c r="M1268" t="str">
        <f>'Huong dan giao do an'!$B$33</f>
        <v>Tuần 1: 07.09–13.09.2026; Tuần 2: 14.09–20.09.2026; Tuần 3: 21.09–27.09.2026; Tuần 4: 28.09–04.10.2026; Tuần 5: 05.10–11.10.2026; Tuần 6: 12.10–18.10.2026; Tuần 7: 19.10–25.10.2026; Tuần 8: 26.10–01.11.2026.</v>
      </c>
      <c r="N12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8" s="17" t="str">
        <f t="shared" si="19"/>
        <v>Còn trống</v>
      </c>
    </row>
    <row r="1269" spans="1:16" x14ac:dyDescent="0.3">
      <c r="A1269">
        <v>1268</v>
      </c>
      <c r="B1269" t="s">
        <v>2773</v>
      </c>
      <c r="C1269" t="s">
        <v>2936</v>
      </c>
      <c r="D1269" t="s">
        <v>2937</v>
      </c>
      <c r="E1269" t="s">
        <v>45</v>
      </c>
      <c r="F1269" t="s">
        <v>2786</v>
      </c>
      <c r="G1269" t="s">
        <v>2805</v>
      </c>
      <c r="H1269" t="str">
        <f>'Huong dan giao do an'!$B$14</f>
        <v>5 SV (vai trò chính): 1 PM/Scrum Master kiêm Integration; 2 BA/PO; 3 UI-UX + Frontend; 4 Backend/API + DevOps; 5 Database + QA/Tester. Mỗi SV có nhiệm vụ phụ và minh chứng cá nhân.</v>
      </c>
      <c r="I1269" t="s">
        <v>29</v>
      </c>
      <c r="J1269" t="s">
        <v>2783</v>
      </c>
      <c r="K1269" t="str">
        <f>IF(I1269="Trung bình",'Huong dan giao do an'!$B$8,IF(I1269="Khá",'Huong dan giao do an'!$B$9,'Huong dan giao do an'!$B$10))</f>
        <v>Tối thiểu 5 actor; 14-18 use case; 10-15 bảng; 4 quy trình; tích hợp ngoài/realtime hoặc xử lý nâng cao; 3 báo cáo; &gt;=45 test case; logging, backup và deploy.</v>
      </c>
      <c r="L1269" t="str">
        <f>'Huong dan giao do an'!$B$31</f>
        <v>Bắt buộc: Charter/PMP; SRS + scope/WBS; Gantt/baseline; effort-cost budget; RACI/timesheet; quality-test-defect; communication/minutes; risk register; procurement; change log; closure/lessons learned.</v>
      </c>
      <c r="M1269" t="str">
        <f>'Huong dan giao do an'!$B$33</f>
        <v>Tuần 1: 07.09–13.09.2026; Tuần 2: 14.09–20.09.2026; Tuần 3: 21.09–27.09.2026; Tuần 4: 28.09–04.10.2026; Tuần 5: 05.10–11.10.2026; Tuần 6: 12.10–18.10.2026; Tuần 7: 19.10–25.10.2026; Tuần 8: 26.10–01.11.2026.</v>
      </c>
      <c r="N12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69" s="17" t="str">
        <f t="shared" si="19"/>
        <v>Còn trống</v>
      </c>
    </row>
    <row r="1270" spans="1:16" x14ac:dyDescent="0.3">
      <c r="A1270">
        <v>1269</v>
      </c>
      <c r="B1270" t="s">
        <v>2773</v>
      </c>
      <c r="C1270" t="s">
        <v>2938</v>
      </c>
      <c r="D1270" t="s">
        <v>2939</v>
      </c>
      <c r="E1270" t="s">
        <v>19</v>
      </c>
      <c r="F1270" t="s">
        <v>2791</v>
      </c>
      <c r="G1270" t="s">
        <v>2808</v>
      </c>
      <c r="H1270" t="str">
        <f>'Huong dan giao do an'!$B$14</f>
        <v>5 SV (vai trò chính): 1 PM/Scrum Master kiêm Integration; 2 BA/PO; 3 UI-UX + Frontend; 4 Backend/API + DevOps; 5 Database + QA/Tester. Mỗi SV có nhiệm vụ phụ và minh chứng cá nhân.</v>
      </c>
      <c r="I1270" t="s">
        <v>36</v>
      </c>
      <c r="J1270" t="s">
        <v>2788</v>
      </c>
      <c r="K1270" t="str">
        <f>IF(I1270="Trung bình",'Huong dan giao do an'!$B$8,IF(I1270="Khá",'Huong dan giao do an'!$B$9,'Huong dan giao do an'!$B$10))</f>
        <v>Tối thiểu 3 actor; 8-10 use case; 6-8 bảng dữ liệu; 2 quy trình lõi; đăng nhập/RBAC; 1 dashboard; 1 báo cáo; &gt;=25 test case; triển khai bản demo.</v>
      </c>
      <c r="L1270" t="str">
        <f>'Huong dan giao do an'!$B$31</f>
        <v>Bắt buộc: Charter/PMP; SRS + scope/WBS; Gantt/baseline; effort-cost budget; RACI/timesheet; quality-test-defect; communication/minutes; risk register; procurement; change log; closure/lessons learned.</v>
      </c>
      <c r="M1270" t="str">
        <f>'Huong dan giao do an'!$B$33</f>
        <v>Tuần 1: 07.09–13.09.2026; Tuần 2: 14.09–20.09.2026; Tuần 3: 21.09–27.09.2026; Tuần 4: 28.09–04.10.2026; Tuần 5: 05.10–11.10.2026; Tuần 6: 12.10–18.10.2026; Tuần 7: 19.10–25.10.2026; Tuần 8: 26.10–01.11.2026.</v>
      </c>
      <c r="N12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0" s="17" t="str">
        <f t="shared" si="19"/>
        <v>Còn trống</v>
      </c>
    </row>
    <row r="1271" spans="1:16" x14ac:dyDescent="0.3">
      <c r="A1271">
        <v>1270</v>
      </c>
      <c r="B1271" t="s">
        <v>2773</v>
      </c>
      <c r="C1271" t="s">
        <v>2940</v>
      </c>
      <c r="D1271" t="s">
        <v>2941</v>
      </c>
      <c r="E1271" t="s">
        <v>26</v>
      </c>
      <c r="F1271" t="s">
        <v>2795</v>
      </c>
      <c r="G1271" t="s">
        <v>2811</v>
      </c>
      <c r="H1271" t="str">
        <f>'Huong dan giao do an'!$B$14</f>
        <v>5 SV (vai trò chính): 1 PM/Scrum Master kiêm Integration; 2 BA/PO; 3 UI-UX + Frontend; 4 Backend/API + DevOps; 5 Database + QA/Tester. Mỗi SV có nhiệm vụ phụ và minh chứng cá nhân.</v>
      </c>
      <c r="I1271" t="s">
        <v>22</v>
      </c>
      <c r="J1271" t="s">
        <v>2778</v>
      </c>
      <c r="K1271" t="str">
        <f>IF(I1271="Trung bình",'Huong dan giao do an'!$B$8,IF(I1271="Khá",'Huong dan giao do an'!$B$9,'Huong dan giao do an'!$B$10))</f>
        <v>Tối thiểu 4 actor; 10-14 use case; 8-12 bảng; 3 quy trình lõi; phân quyền chi tiết; 2 báo cáo; tích hợp 1 dịch vụ; &gt;=35 test case; CI/CD hoặc deploy cloud.</v>
      </c>
      <c r="L1271" t="str">
        <f>'Huong dan giao do an'!$B$31</f>
        <v>Bắt buộc: Charter/PMP; SRS + scope/WBS; Gantt/baseline; effort-cost budget; RACI/timesheet; quality-test-defect; communication/minutes; risk register; procurement; change log; closure/lessons learned.</v>
      </c>
      <c r="M1271" t="str">
        <f>'Huong dan giao do an'!$B$33</f>
        <v>Tuần 1: 07.09–13.09.2026; Tuần 2: 14.09–20.09.2026; Tuần 3: 21.09–27.09.2026; Tuần 4: 28.09–04.10.2026; Tuần 5: 05.10–11.10.2026; Tuần 6: 12.10–18.10.2026; Tuần 7: 19.10–25.10.2026; Tuần 8: 26.10–01.11.2026.</v>
      </c>
      <c r="N12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1" s="17" t="str">
        <f t="shared" si="19"/>
        <v>Còn trống</v>
      </c>
    </row>
    <row r="1272" spans="1:16" x14ac:dyDescent="0.3">
      <c r="A1272">
        <v>1271</v>
      </c>
      <c r="B1272" t="s">
        <v>2773</v>
      </c>
      <c r="C1272" t="s">
        <v>2942</v>
      </c>
      <c r="D1272" t="s">
        <v>2943</v>
      </c>
      <c r="E1272" t="s">
        <v>33</v>
      </c>
      <c r="F1272" t="s">
        <v>2776</v>
      </c>
      <c r="G1272" t="s">
        <v>2814</v>
      </c>
      <c r="H1272" t="str">
        <f>'Huong dan giao do an'!$B$14</f>
        <v>5 SV (vai trò chính): 1 PM/Scrum Master kiêm Integration; 2 BA/PO; 3 UI-UX + Frontend; 4 Backend/API + DevOps; 5 Database + QA/Tester. Mỗi SV có nhiệm vụ phụ và minh chứng cá nhân.</v>
      </c>
      <c r="I1272" t="s">
        <v>29</v>
      </c>
      <c r="J1272" t="s">
        <v>2783</v>
      </c>
      <c r="K1272" t="str">
        <f>IF(I1272="Trung bình",'Huong dan giao do an'!$B$8,IF(I1272="Khá",'Huong dan giao do an'!$B$9,'Huong dan giao do an'!$B$10))</f>
        <v>Tối thiểu 5 actor; 14-18 use case; 10-15 bảng; 4 quy trình; tích hợp ngoài/realtime hoặc xử lý nâng cao; 3 báo cáo; &gt;=45 test case; logging, backup và deploy.</v>
      </c>
      <c r="L1272" t="str">
        <f>'Huong dan giao do an'!$B$31</f>
        <v>Bắt buộc: Charter/PMP; SRS + scope/WBS; Gantt/baseline; effort-cost budget; RACI/timesheet; quality-test-defect; communication/minutes; risk register; procurement; change log; closure/lessons learned.</v>
      </c>
      <c r="M1272" t="str">
        <f>'Huong dan giao do an'!$B$33</f>
        <v>Tuần 1: 07.09–13.09.2026; Tuần 2: 14.09–20.09.2026; Tuần 3: 21.09–27.09.2026; Tuần 4: 28.09–04.10.2026; Tuần 5: 05.10–11.10.2026; Tuần 6: 12.10–18.10.2026; Tuần 7: 19.10–25.10.2026; Tuần 8: 26.10–01.11.2026.</v>
      </c>
      <c r="N12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2" s="17" t="str">
        <f t="shared" si="19"/>
        <v>Còn trống</v>
      </c>
    </row>
    <row r="1273" spans="1:16" x14ac:dyDescent="0.3">
      <c r="A1273">
        <v>1272</v>
      </c>
      <c r="B1273" t="s">
        <v>2773</v>
      </c>
      <c r="C1273" t="s">
        <v>2944</v>
      </c>
      <c r="D1273" t="s">
        <v>2945</v>
      </c>
      <c r="E1273" t="s">
        <v>40</v>
      </c>
      <c r="F1273" t="s">
        <v>2781</v>
      </c>
      <c r="G1273" t="s">
        <v>2817</v>
      </c>
      <c r="H1273" t="str">
        <f>'Huong dan giao do an'!$B$14</f>
        <v>5 SV (vai trò chính): 1 PM/Scrum Master kiêm Integration; 2 BA/PO; 3 UI-UX + Frontend; 4 Backend/API + DevOps; 5 Database + QA/Tester. Mỗi SV có nhiệm vụ phụ và minh chứng cá nhân.</v>
      </c>
      <c r="I1273" t="s">
        <v>36</v>
      </c>
      <c r="J1273" t="s">
        <v>2788</v>
      </c>
      <c r="K1273" t="str">
        <f>IF(I1273="Trung bình",'Huong dan giao do an'!$B$8,IF(I1273="Khá",'Huong dan giao do an'!$B$9,'Huong dan giao do an'!$B$10))</f>
        <v>Tối thiểu 3 actor; 8-10 use case; 6-8 bảng dữ liệu; 2 quy trình lõi; đăng nhập/RBAC; 1 dashboard; 1 báo cáo; &gt;=25 test case; triển khai bản demo.</v>
      </c>
      <c r="L1273" t="str">
        <f>'Huong dan giao do an'!$B$31</f>
        <v>Bắt buộc: Charter/PMP; SRS + scope/WBS; Gantt/baseline; effort-cost budget; RACI/timesheet; quality-test-defect; communication/minutes; risk register; procurement; change log; closure/lessons learned.</v>
      </c>
      <c r="M1273" t="str">
        <f>'Huong dan giao do an'!$B$33</f>
        <v>Tuần 1: 07.09–13.09.2026; Tuần 2: 14.09–20.09.2026; Tuần 3: 21.09–27.09.2026; Tuần 4: 28.09–04.10.2026; Tuần 5: 05.10–11.10.2026; Tuần 6: 12.10–18.10.2026; Tuần 7: 19.10–25.10.2026; Tuần 8: 26.10–01.11.2026.</v>
      </c>
      <c r="N12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3" s="17" t="str">
        <f t="shared" si="19"/>
        <v>Còn trống</v>
      </c>
    </row>
    <row r="1274" spans="1:16" x14ac:dyDescent="0.3">
      <c r="A1274">
        <v>1273</v>
      </c>
      <c r="B1274" t="s">
        <v>2773</v>
      </c>
      <c r="C1274" t="s">
        <v>2946</v>
      </c>
      <c r="D1274" t="s">
        <v>2947</v>
      </c>
      <c r="E1274" t="s">
        <v>45</v>
      </c>
      <c r="F1274" t="s">
        <v>2786</v>
      </c>
      <c r="G1274" t="s">
        <v>2820</v>
      </c>
      <c r="H1274" t="str">
        <f>'Huong dan giao do an'!$B$14</f>
        <v>5 SV (vai trò chính): 1 PM/Scrum Master kiêm Integration; 2 BA/PO; 3 UI-UX + Frontend; 4 Backend/API + DevOps; 5 Database + QA/Tester. Mỗi SV có nhiệm vụ phụ và minh chứng cá nhân.</v>
      </c>
      <c r="I1274" t="s">
        <v>22</v>
      </c>
      <c r="J1274" t="s">
        <v>2778</v>
      </c>
      <c r="K1274" t="str">
        <f>IF(I1274="Trung bình",'Huong dan giao do an'!$B$8,IF(I1274="Khá",'Huong dan giao do an'!$B$9,'Huong dan giao do an'!$B$10))</f>
        <v>Tối thiểu 4 actor; 10-14 use case; 8-12 bảng; 3 quy trình lõi; phân quyền chi tiết; 2 báo cáo; tích hợp 1 dịch vụ; &gt;=35 test case; CI/CD hoặc deploy cloud.</v>
      </c>
      <c r="L1274" t="str">
        <f>'Huong dan giao do an'!$B$31</f>
        <v>Bắt buộc: Charter/PMP; SRS + scope/WBS; Gantt/baseline; effort-cost budget; RACI/timesheet; quality-test-defect; communication/minutes; risk register; procurement; change log; closure/lessons learned.</v>
      </c>
      <c r="M1274" t="str">
        <f>'Huong dan giao do an'!$B$33</f>
        <v>Tuần 1: 07.09–13.09.2026; Tuần 2: 14.09–20.09.2026; Tuần 3: 21.09–27.09.2026; Tuần 4: 28.09–04.10.2026; Tuần 5: 05.10–11.10.2026; Tuần 6: 12.10–18.10.2026; Tuần 7: 19.10–25.10.2026; Tuần 8: 26.10–01.11.2026.</v>
      </c>
      <c r="N12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4" s="17" t="str">
        <f t="shared" si="19"/>
        <v>Còn trống</v>
      </c>
    </row>
    <row r="1275" spans="1:16" x14ac:dyDescent="0.3">
      <c r="A1275">
        <v>1274</v>
      </c>
      <c r="B1275" t="s">
        <v>2773</v>
      </c>
      <c r="C1275" t="s">
        <v>2948</v>
      </c>
      <c r="D1275" t="s">
        <v>2949</v>
      </c>
      <c r="E1275" t="s">
        <v>19</v>
      </c>
      <c r="F1275" t="s">
        <v>2791</v>
      </c>
      <c r="G1275" t="s">
        <v>2823</v>
      </c>
      <c r="H1275" t="str">
        <f>'Huong dan giao do an'!$B$14</f>
        <v>5 SV (vai trò chính): 1 PM/Scrum Master kiêm Integration; 2 BA/PO; 3 UI-UX + Frontend; 4 Backend/API + DevOps; 5 Database + QA/Tester. Mỗi SV có nhiệm vụ phụ và minh chứng cá nhân.</v>
      </c>
      <c r="I1275" t="s">
        <v>29</v>
      </c>
      <c r="J1275" t="s">
        <v>2783</v>
      </c>
      <c r="K1275" t="str">
        <f>IF(I1275="Trung bình",'Huong dan giao do an'!$B$8,IF(I1275="Khá",'Huong dan giao do an'!$B$9,'Huong dan giao do an'!$B$10))</f>
        <v>Tối thiểu 5 actor; 14-18 use case; 10-15 bảng; 4 quy trình; tích hợp ngoài/realtime hoặc xử lý nâng cao; 3 báo cáo; &gt;=45 test case; logging, backup và deploy.</v>
      </c>
      <c r="L1275" t="str">
        <f>'Huong dan giao do an'!$B$31</f>
        <v>Bắt buộc: Charter/PMP; SRS + scope/WBS; Gantt/baseline; effort-cost budget; RACI/timesheet; quality-test-defect; communication/minutes; risk register; procurement; change log; closure/lessons learned.</v>
      </c>
      <c r="M1275" t="str">
        <f>'Huong dan giao do an'!$B$33</f>
        <v>Tuần 1: 07.09–13.09.2026; Tuần 2: 14.09–20.09.2026; Tuần 3: 21.09–27.09.2026; Tuần 4: 28.09–04.10.2026; Tuần 5: 05.10–11.10.2026; Tuần 6: 12.10–18.10.2026; Tuần 7: 19.10–25.10.2026; Tuần 8: 26.10–01.11.2026.</v>
      </c>
      <c r="N12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5" s="17" t="str">
        <f t="shared" si="19"/>
        <v>Còn trống</v>
      </c>
    </row>
    <row r="1276" spans="1:16" x14ac:dyDescent="0.3">
      <c r="A1276">
        <v>1275</v>
      </c>
      <c r="B1276" t="s">
        <v>2773</v>
      </c>
      <c r="C1276" t="s">
        <v>2950</v>
      </c>
      <c r="D1276" t="s">
        <v>2951</v>
      </c>
      <c r="E1276" t="s">
        <v>26</v>
      </c>
      <c r="F1276" t="s">
        <v>2795</v>
      </c>
      <c r="G1276" t="s">
        <v>2826</v>
      </c>
      <c r="H1276" t="str">
        <f>'Huong dan giao do an'!$B$14</f>
        <v>5 SV (vai trò chính): 1 PM/Scrum Master kiêm Integration; 2 BA/PO; 3 UI-UX + Frontend; 4 Backend/API + DevOps; 5 Database + QA/Tester. Mỗi SV có nhiệm vụ phụ và minh chứng cá nhân.</v>
      </c>
      <c r="I1276" t="s">
        <v>36</v>
      </c>
      <c r="J1276" t="s">
        <v>2788</v>
      </c>
      <c r="K1276" t="str">
        <f>IF(I1276="Trung bình",'Huong dan giao do an'!$B$8,IF(I1276="Khá",'Huong dan giao do an'!$B$9,'Huong dan giao do an'!$B$10))</f>
        <v>Tối thiểu 3 actor; 8-10 use case; 6-8 bảng dữ liệu; 2 quy trình lõi; đăng nhập/RBAC; 1 dashboard; 1 báo cáo; &gt;=25 test case; triển khai bản demo.</v>
      </c>
      <c r="L1276" t="str">
        <f>'Huong dan giao do an'!$B$31</f>
        <v>Bắt buộc: Charter/PMP; SRS + scope/WBS; Gantt/baseline; effort-cost budget; RACI/timesheet; quality-test-defect; communication/minutes; risk register; procurement; change log; closure/lessons learned.</v>
      </c>
      <c r="M1276" t="str">
        <f>'Huong dan giao do an'!$B$33</f>
        <v>Tuần 1: 07.09–13.09.2026; Tuần 2: 14.09–20.09.2026; Tuần 3: 21.09–27.09.2026; Tuần 4: 28.09–04.10.2026; Tuần 5: 05.10–11.10.2026; Tuần 6: 12.10–18.10.2026; Tuần 7: 19.10–25.10.2026; Tuần 8: 26.10–01.11.2026.</v>
      </c>
      <c r="N12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6" s="17" t="str">
        <f t="shared" si="19"/>
        <v>Còn trống</v>
      </c>
    </row>
    <row r="1277" spans="1:16" x14ac:dyDescent="0.3">
      <c r="A1277">
        <v>1276</v>
      </c>
      <c r="B1277" t="s">
        <v>2773</v>
      </c>
      <c r="C1277" t="s">
        <v>2952</v>
      </c>
      <c r="D1277" t="s">
        <v>2953</v>
      </c>
      <c r="E1277" t="s">
        <v>33</v>
      </c>
      <c r="F1277" t="s">
        <v>2776</v>
      </c>
      <c r="G1277" t="s">
        <v>2829</v>
      </c>
      <c r="H1277" t="str">
        <f>'Huong dan giao do an'!$B$14</f>
        <v>5 SV (vai trò chính): 1 PM/Scrum Master kiêm Integration; 2 BA/PO; 3 UI-UX + Frontend; 4 Backend/API + DevOps; 5 Database + QA/Tester. Mỗi SV có nhiệm vụ phụ và minh chứng cá nhân.</v>
      </c>
      <c r="I1277" t="s">
        <v>22</v>
      </c>
      <c r="J1277" t="s">
        <v>2778</v>
      </c>
      <c r="K1277" t="str">
        <f>IF(I1277="Trung bình",'Huong dan giao do an'!$B$8,IF(I1277="Khá",'Huong dan giao do an'!$B$9,'Huong dan giao do an'!$B$10))</f>
        <v>Tối thiểu 4 actor; 10-14 use case; 8-12 bảng; 3 quy trình lõi; phân quyền chi tiết; 2 báo cáo; tích hợp 1 dịch vụ; &gt;=35 test case; CI/CD hoặc deploy cloud.</v>
      </c>
      <c r="L1277" t="str">
        <f>'Huong dan giao do an'!$B$31</f>
        <v>Bắt buộc: Charter/PMP; SRS + scope/WBS; Gantt/baseline; effort-cost budget; RACI/timesheet; quality-test-defect; communication/minutes; risk register; procurement; change log; closure/lessons learned.</v>
      </c>
      <c r="M1277" t="str">
        <f>'Huong dan giao do an'!$B$33</f>
        <v>Tuần 1: 07.09–13.09.2026; Tuần 2: 14.09–20.09.2026; Tuần 3: 21.09–27.09.2026; Tuần 4: 28.09–04.10.2026; Tuần 5: 05.10–11.10.2026; Tuần 6: 12.10–18.10.2026; Tuần 7: 19.10–25.10.2026; Tuần 8: 26.10–01.11.2026.</v>
      </c>
      <c r="N12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7" s="17" t="str">
        <f t="shared" si="19"/>
        <v>Còn trống</v>
      </c>
    </row>
    <row r="1278" spans="1:16" x14ac:dyDescent="0.3">
      <c r="A1278">
        <v>1277</v>
      </c>
      <c r="B1278" t="s">
        <v>2773</v>
      </c>
      <c r="C1278" t="s">
        <v>2954</v>
      </c>
      <c r="D1278" t="s">
        <v>2955</v>
      </c>
      <c r="E1278" t="s">
        <v>40</v>
      </c>
      <c r="F1278" t="s">
        <v>2781</v>
      </c>
      <c r="G1278" t="s">
        <v>2832</v>
      </c>
      <c r="H1278" t="str">
        <f>'Huong dan giao do an'!$B$14</f>
        <v>5 SV (vai trò chính): 1 PM/Scrum Master kiêm Integration; 2 BA/PO; 3 UI-UX + Frontend; 4 Backend/API + DevOps; 5 Database + QA/Tester. Mỗi SV có nhiệm vụ phụ và minh chứng cá nhân.</v>
      </c>
      <c r="I1278" t="s">
        <v>29</v>
      </c>
      <c r="J1278" t="s">
        <v>2783</v>
      </c>
      <c r="K1278" t="str">
        <f>IF(I1278="Trung bình",'Huong dan giao do an'!$B$8,IF(I1278="Khá",'Huong dan giao do an'!$B$9,'Huong dan giao do an'!$B$10))</f>
        <v>Tối thiểu 5 actor; 14-18 use case; 10-15 bảng; 4 quy trình; tích hợp ngoài/realtime hoặc xử lý nâng cao; 3 báo cáo; &gt;=45 test case; logging, backup và deploy.</v>
      </c>
      <c r="L1278" t="str">
        <f>'Huong dan giao do an'!$B$31</f>
        <v>Bắt buộc: Charter/PMP; SRS + scope/WBS; Gantt/baseline; effort-cost budget; RACI/timesheet; quality-test-defect; communication/minutes; risk register; procurement; change log; closure/lessons learned.</v>
      </c>
      <c r="M1278" t="str">
        <f>'Huong dan giao do an'!$B$33</f>
        <v>Tuần 1: 07.09–13.09.2026; Tuần 2: 14.09–20.09.2026; Tuần 3: 21.09–27.09.2026; Tuần 4: 28.09–04.10.2026; Tuần 5: 05.10–11.10.2026; Tuần 6: 12.10–18.10.2026; Tuần 7: 19.10–25.10.2026; Tuần 8: 26.10–01.11.2026.</v>
      </c>
      <c r="N12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8" s="17" t="str">
        <f t="shared" si="19"/>
        <v>Còn trống</v>
      </c>
    </row>
    <row r="1279" spans="1:16" x14ac:dyDescent="0.3">
      <c r="A1279">
        <v>1278</v>
      </c>
      <c r="B1279" t="s">
        <v>2773</v>
      </c>
      <c r="C1279" t="s">
        <v>2956</v>
      </c>
      <c r="D1279" t="s">
        <v>2957</v>
      </c>
      <c r="E1279" t="s">
        <v>45</v>
      </c>
      <c r="F1279" t="s">
        <v>2786</v>
      </c>
      <c r="G1279" t="s">
        <v>2835</v>
      </c>
      <c r="H1279" t="str">
        <f>'Huong dan giao do an'!$B$14</f>
        <v>5 SV (vai trò chính): 1 PM/Scrum Master kiêm Integration; 2 BA/PO; 3 UI-UX + Frontend; 4 Backend/API + DevOps; 5 Database + QA/Tester. Mỗi SV có nhiệm vụ phụ và minh chứng cá nhân.</v>
      </c>
      <c r="I1279" t="s">
        <v>36</v>
      </c>
      <c r="J1279" t="s">
        <v>2788</v>
      </c>
      <c r="K1279" t="str">
        <f>IF(I1279="Trung bình",'Huong dan giao do an'!$B$8,IF(I1279="Khá",'Huong dan giao do an'!$B$9,'Huong dan giao do an'!$B$10))</f>
        <v>Tối thiểu 3 actor; 8-10 use case; 6-8 bảng dữ liệu; 2 quy trình lõi; đăng nhập/RBAC; 1 dashboard; 1 báo cáo; &gt;=25 test case; triển khai bản demo.</v>
      </c>
      <c r="L1279" t="str">
        <f>'Huong dan giao do an'!$B$31</f>
        <v>Bắt buộc: Charter/PMP; SRS + scope/WBS; Gantt/baseline; effort-cost budget; RACI/timesheet; quality-test-defect; communication/minutes; risk register; procurement; change log; closure/lessons learned.</v>
      </c>
      <c r="M1279" t="str">
        <f>'Huong dan giao do an'!$B$33</f>
        <v>Tuần 1: 07.09–13.09.2026; Tuần 2: 14.09–20.09.2026; Tuần 3: 21.09–27.09.2026; Tuần 4: 28.09–04.10.2026; Tuần 5: 05.10–11.10.2026; Tuần 6: 12.10–18.10.2026; Tuần 7: 19.10–25.10.2026; Tuần 8: 26.10–01.11.2026.</v>
      </c>
      <c r="N12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79" s="17" t="str">
        <f t="shared" si="19"/>
        <v>Còn trống</v>
      </c>
    </row>
    <row r="1280" spans="1:16" x14ac:dyDescent="0.3">
      <c r="A1280">
        <v>1279</v>
      </c>
      <c r="B1280" t="s">
        <v>2773</v>
      </c>
      <c r="C1280" t="s">
        <v>2958</v>
      </c>
      <c r="D1280" t="s">
        <v>2959</v>
      </c>
      <c r="E1280" t="s">
        <v>19</v>
      </c>
      <c r="F1280" t="s">
        <v>2791</v>
      </c>
      <c r="G1280" t="s">
        <v>2838</v>
      </c>
      <c r="H1280" t="str">
        <f>'Huong dan giao do an'!$B$14</f>
        <v>5 SV (vai trò chính): 1 PM/Scrum Master kiêm Integration; 2 BA/PO; 3 UI-UX + Frontend; 4 Backend/API + DevOps; 5 Database + QA/Tester. Mỗi SV có nhiệm vụ phụ và minh chứng cá nhân.</v>
      </c>
      <c r="I1280" t="s">
        <v>22</v>
      </c>
      <c r="J1280" t="s">
        <v>2778</v>
      </c>
      <c r="K1280" t="str">
        <f>IF(I1280="Trung bình",'Huong dan giao do an'!$B$8,IF(I1280="Khá",'Huong dan giao do an'!$B$9,'Huong dan giao do an'!$B$10))</f>
        <v>Tối thiểu 4 actor; 10-14 use case; 8-12 bảng; 3 quy trình lõi; phân quyền chi tiết; 2 báo cáo; tích hợp 1 dịch vụ; &gt;=35 test case; CI/CD hoặc deploy cloud.</v>
      </c>
      <c r="L1280" t="str">
        <f>'Huong dan giao do an'!$B$31</f>
        <v>Bắt buộc: Charter/PMP; SRS + scope/WBS; Gantt/baseline; effort-cost budget; RACI/timesheet; quality-test-defect; communication/minutes; risk register; procurement; change log; closure/lessons learned.</v>
      </c>
      <c r="M1280" t="str">
        <f>'Huong dan giao do an'!$B$33</f>
        <v>Tuần 1: 07.09–13.09.2026; Tuần 2: 14.09–20.09.2026; Tuần 3: 21.09–27.09.2026; Tuần 4: 28.09–04.10.2026; Tuần 5: 05.10–11.10.2026; Tuần 6: 12.10–18.10.2026; Tuần 7: 19.10–25.10.2026; Tuần 8: 26.10–01.11.2026.</v>
      </c>
      <c r="N12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0" s="17" t="str">
        <f t="shared" si="19"/>
        <v>Còn trống</v>
      </c>
    </row>
    <row r="1281" spans="1:16" x14ac:dyDescent="0.3">
      <c r="A1281">
        <v>1280</v>
      </c>
      <c r="B1281" t="s">
        <v>2773</v>
      </c>
      <c r="C1281" t="s">
        <v>2960</v>
      </c>
      <c r="D1281" t="s">
        <v>2961</v>
      </c>
      <c r="E1281" t="s">
        <v>26</v>
      </c>
      <c r="F1281" t="s">
        <v>2795</v>
      </c>
      <c r="G1281" t="s">
        <v>2841</v>
      </c>
      <c r="H1281" t="str">
        <f>'Huong dan giao do an'!$B$14</f>
        <v>5 SV (vai trò chính): 1 PM/Scrum Master kiêm Integration; 2 BA/PO; 3 UI-UX + Frontend; 4 Backend/API + DevOps; 5 Database + QA/Tester. Mỗi SV có nhiệm vụ phụ và minh chứng cá nhân.</v>
      </c>
      <c r="I1281" t="s">
        <v>29</v>
      </c>
      <c r="J1281" t="s">
        <v>2783</v>
      </c>
      <c r="K1281" t="str">
        <f>IF(I1281="Trung bình",'Huong dan giao do an'!$B$8,IF(I1281="Khá",'Huong dan giao do an'!$B$9,'Huong dan giao do an'!$B$10))</f>
        <v>Tối thiểu 5 actor; 14-18 use case; 10-15 bảng; 4 quy trình; tích hợp ngoài/realtime hoặc xử lý nâng cao; 3 báo cáo; &gt;=45 test case; logging, backup và deploy.</v>
      </c>
      <c r="L1281" t="str">
        <f>'Huong dan giao do an'!$B$31</f>
        <v>Bắt buộc: Charter/PMP; SRS + scope/WBS; Gantt/baseline; effort-cost budget; RACI/timesheet; quality-test-defect; communication/minutes; risk register; procurement; change log; closure/lessons learned.</v>
      </c>
      <c r="M1281" t="str">
        <f>'Huong dan giao do an'!$B$33</f>
        <v>Tuần 1: 07.09–13.09.2026; Tuần 2: 14.09–20.09.2026; Tuần 3: 21.09–27.09.2026; Tuần 4: 28.09–04.10.2026; Tuần 5: 05.10–11.10.2026; Tuần 6: 12.10–18.10.2026; Tuần 7: 19.10–25.10.2026; Tuần 8: 26.10–01.11.2026.</v>
      </c>
      <c r="N12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1" s="17" t="str">
        <f t="shared" si="19"/>
        <v>Còn trống</v>
      </c>
    </row>
    <row r="1282" spans="1:16" x14ac:dyDescent="0.3">
      <c r="A1282">
        <v>1281</v>
      </c>
      <c r="B1282" t="s">
        <v>2773</v>
      </c>
      <c r="C1282" t="s">
        <v>2962</v>
      </c>
      <c r="D1282" t="s">
        <v>2963</v>
      </c>
      <c r="E1282" t="s">
        <v>33</v>
      </c>
      <c r="F1282" t="s">
        <v>2776</v>
      </c>
      <c r="G1282" t="s">
        <v>2777</v>
      </c>
      <c r="H1282" t="str">
        <f>'Huong dan giao do an'!$B$14</f>
        <v>5 SV (vai trò chính): 1 PM/Scrum Master kiêm Integration; 2 BA/PO; 3 UI-UX + Frontend; 4 Backend/API + DevOps; 5 Database + QA/Tester. Mỗi SV có nhiệm vụ phụ và minh chứng cá nhân.</v>
      </c>
      <c r="I1282" t="s">
        <v>22</v>
      </c>
      <c r="J1282" t="s">
        <v>2778</v>
      </c>
      <c r="K1282" t="str">
        <f>IF(I1282="Trung bình",'Huong dan giao do an'!$B$8,IF(I1282="Khá",'Huong dan giao do an'!$B$9,'Huong dan giao do an'!$B$10))</f>
        <v>Tối thiểu 4 actor; 10-14 use case; 8-12 bảng; 3 quy trình lõi; phân quyền chi tiết; 2 báo cáo; tích hợp 1 dịch vụ; &gt;=35 test case; CI/CD hoặc deploy cloud.</v>
      </c>
      <c r="L1282" t="str">
        <f>'Huong dan giao do an'!$B$31</f>
        <v>Bắt buộc: Charter/PMP; SRS + scope/WBS; Gantt/baseline; effort-cost budget; RACI/timesheet; quality-test-defect; communication/minutes; risk register; procurement; change log; closure/lessons learned.</v>
      </c>
      <c r="M1282" t="str">
        <f>'Huong dan giao do an'!$B$33</f>
        <v>Tuần 1: 07.09–13.09.2026; Tuần 2: 14.09–20.09.2026; Tuần 3: 21.09–27.09.2026; Tuần 4: 28.09–04.10.2026; Tuần 5: 05.10–11.10.2026; Tuần 6: 12.10–18.10.2026; Tuần 7: 19.10–25.10.2026; Tuần 8: 26.10–01.11.2026.</v>
      </c>
      <c r="N12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2" s="17" t="str">
        <f t="shared" si="19"/>
        <v>Còn trống</v>
      </c>
    </row>
    <row r="1283" spans="1:16" x14ac:dyDescent="0.3">
      <c r="A1283">
        <v>1282</v>
      </c>
      <c r="B1283" t="s">
        <v>2773</v>
      </c>
      <c r="C1283" t="s">
        <v>2964</v>
      </c>
      <c r="D1283" t="s">
        <v>2965</v>
      </c>
      <c r="E1283" t="s">
        <v>40</v>
      </c>
      <c r="F1283" t="s">
        <v>2781</v>
      </c>
      <c r="G1283" t="s">
        <v>2782</v>
      </c>
      <c r="H1283" t="str">
        <f>'Huong dan giao do an'!$B$14</f>
        <v>5 SV (vai trò chính): 1 PM/Scrum Master kiêm Integration; 2 BA/PO; 3 UI-UX + Frontend; 4 Backend/API + DevOps; 5 Database + QA/Tester. Mỗi SV có nhiệm vụ phụ và minh chứng cá nhân.</v>
      </c>
      <c r="I1283" t="s">
        <v>29</v>
      </c>
      <c r="J1283" t="s">
        <v>2783</v>
      </c>
      <c r="K1283" t="str">
        <f>IF(I1283="Trung bình",'Huong dan giao do an'!$B$8,IF(I1283="Khá",'Huong dan giao do an'!$B$9,'Huong dan giao do an'!$B$10))</f>
        <v>Tối thiểu 5 actor; 14-18 use case; 10-15 bảng; 4 quy trình; tích hợp ngoài/realtime hoặc xử lý nâng cao; 3 báo cáo; &gt;=45 test case; logging, backup và deploy.</v>
      </c>
      <c r="L1283" t="str">
        <f>'Huong dan giao do an'!$B$31</f>
        <v>Bắt buộc: Charter/PMP; SRS + scope/WBS; Gantt/baseline; effort-cost budget; RACI/timesheet; quality-test-defect; communication/minutes; risk register; procurement; change log; closure/lessons learned.</v>
      </c>
      <c r="M1283" t="str">
        <f>'Huong dan giao do an'!$B$33</f>
        <v>Tuần 1: 07.09–13.09.2026; Tuần 2: 14.09–20.09.2026; Tuần 3: 21.09–27.09.2026; Tuần 4: 28.09–04.10.2026; Tuần 5: 05.10–11.10.2026; Tuần 6: 12.10–18.10.2026; Tuần 7: 19.10–25.10.2026; Tuần 8: 26.10–01.11.2026.</v>
      </c>
      <c r="N12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3" s="17" t="str">
        <f t="shared" ref="P1283:P1346" si="20">IF(O1283="","Còn trống","Đã đăng ký")</f>
        <v>Còn trống</v>
      </c>
    </row>
    <row r="1284" spans="1:16" x14ac:dyDescent="0.3">
      <c r="A1284">
        <v>1283</v>
      </c>
      <c r="B1284" t="s">
        <v>2773</v>
      </c>
      <c r="C1284" t="s">
        <v>2966</v>
      </c>
      <c r="D1284" t="s">
        <v>2967</v>
      </c>
      <c r="E1284" t="s">
        <v>45</v>
      </c>
      <c r="F1284" t="s">
        <v>2786</v>
      </c>
      <c r="G1284" t="s">
        <v>2787</v>
      </c>
      <c r="H1284" t="str">
        <f>'Huong dan giao do an'!$B$14</f>
        <v>5 SV (vai trò chính): 1 PM/Scrum Master kiêm Integration; 2 BA/PO; 3 UI-UX + Frontend; 4 Backend/API + DevOps; 5 Database + QA/Tester. Mỗi SV có nhiệm vụ phụ và minh chứng cá nhân.</v>
      </c>
      <c r="I1284" t="s">
        <v>36</v>
      </c>
      <c r="J1284" t="s">
        <v>2788</v>
      </c>
      <c r="K1284" t="str">
        <f>IF(I1284="Trung bình",'Huong dan giao do an'!$B$8,IF(I1284="Khá",'Huong dan giao do an'!$B$9,'Huong dan giao do an'!$B$10))</f>
        <v>Tối thiểu 3 actor; 8-10 use case; 6-8 bảng dữ liệu; 2 quy trình lõi; đăng nhập/RBAC; 1 dashboard; 1 báo cáo; &gt;=25 test case; triển khai bản demo.</v>
      </c>
      <c r="L1284" t="str">
        <f>'Huong dan giao do an'!$B$31</f>
        <v>Bắt buộc: Charter/PMP; SRS + scope/WBS; Gantt/baseline; effort-cost budget; RACI/timesheet; quality-test-defect; communication/minutes; risk register; procurement; change log; closure/lessons learned.</v>
      </c>
      <c r="M1284" t="str">
        <f>'Huong dan giao do an'!$B$33</f>
        <v>Tuần 1: 07.09–13.09.2026; Tuần 2: 14.09–20.09.2026; Tuần 3: 21.09–27.09.2026; Tuần 4: 28.09–04.10.2026; Tuần 5: 05.10–11.10.2026; Tuần 6: 12.10–18.10.2026; Tuần 7: 19.10–25.10.2026; Tuần 8: 26.10–01.11.2026.</v>
      </c>
      <c r="N12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4" s="17" t="str">
        <f t="shared" si="20"/>
        <v>Còn trống</v>
      </c>
    </row>
    <row r="1285" spans="1:16" x14ac:dyDescent="0.3">
      <c r="A1285">
        <v>1284</v>
      </c>
      <c r="B1285" t="s">
        <v>2773</v>
      </c>
      <c r="C1285" t="s">
        <v>2968</v>
      </c>
      <c r="D1285" t="s">
        <v>2969</v>
      </c>
      <c r="E1285" t="s">
        <v>19</v>
      </c>
      <c r="F1285" t="s">
        <v>2791</v>
      </c>
      <c r="G1285" t="s">
        <v>2792</v>
      </c>
      <c r="H1285" t="str">
        <f>'Huong dan giao do an'!$B$14</f>
        <v>5 SV (vai trò chính): 1 PM/Scrum Master kiêm Integration; 2 BA/PO; 3 UI-UX + Frontend; 4 Backend/API + DevOps; 5 Database + QA/Tester. Mỗi SV có nhiệm vụ phụ và minh chứng cá nhân.</v>
      </c>
      <c r="I1285" t="s">
        <v>22</v>
      </c>
      <c r="J1285" t="s">
        <v>2778</v>
      </c>
      <c r="K1285" t="str">
        <f>IF(I1285="Trung bình",'Huong dan giao do an'!$B$8,IF(I1285="Khá",'Huong dan giao do an'!$B$9,'Huong dan giao do an'!$B$10))</f>
        <v>Tối thiểu 4 actor; 10-14 use case; 8-12 bảng; 3 quy trình lõi; phân quyền chi tiết; 2 báo cáo; tích hợp 1 dịch vụ; &gt;=35 test case; CI/CD hoặc deploy cloud.</v>
      </c>
      <c r="L1285" t="str">
        <f>'Huong dan giao do an'!$B$31</f>
        <v>Bắt buộc: Charter/PMP; SRS + scope/WBS; Gantt/baseline; effort-cost budget; RACI/timesheet; quality-test-defect; communication/minutes; risk register; procurement; change log; closure/lessons learned.</v>
      </c>
      <c r="M1285" t="str">
        <f>'Huong dan giao do an'!$B$33</f>
        <v>Tuần 1: 07.09–13.09.2026; Tuần 2: 14.09–20.09.2026; Tuần 3: 21.09–27.09.2026; Tuần 4: 28.09–04.10.2026; Tuần 5: 05.10–11.10.2026; Tuần 6: 12.10–18.10.2026; Tuần 7: 19.10–25.10.2026; Tuần 8: 26.10–01.11.2026.</v>
      </c>
      <c r="N12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5" s="17" t="str">
        <f t="shared" si="20"/>
        <v>Còn trống</v>
      </c>
    </row>
    <row r="1286" spans="1:16" x14ac:dyDescent="0.3">
      <c r="A1286">
        <v>1285</v>
      </c>
      <c r="B1286" t="s">
        <v>2773</v>
      </c>
      <c r="C1286" t="s">
        <v>2970</v>
      </c>
      <c r="D1286" t="s">
        <v>2971</v>
      </c>
      <c r="E1286" t="s">
        <v>26</v>
      </c>
      <c r="F1286" t="s">
        <v>2795</v>
      </c>
      <c r="G1286" t="s">
        <v>2796</v>
      </c>
      <c r="H1286" t="str">
        <f>'Huong dan giao do an'!$B$14</f>
        <v>5 SV (vai trò chính): 1 PM/Scrum Master kiêm Integration; 2 BA/PO; 3 UI-UX + Frontend; 4 Backend/API + DevOps; 5 Database + QA/Tester. Mỗi SV có nhiệm vụ phụ và minh chứng cá nhân.</v>
      </c>
      <c r="I1286" t="s">
        <v>29</v>
      </c>
      <c r="J1286" t="s">
        <v>2783</v>
      </c>
      <c r="K1286" t="str">
        <f>IF(I1286="Trung bình",'Huong dan giao do an'!$B$8,IF(I1286="Khá",'Huong dan giao do an'!$B$9,'Huong dan giao do an'!$B$10))</f>
        <v>Tối thiểu 5 actor; 14-18 use case; 10-15 bảng; 4 quy trình; tích hợp ngoài/realtime hoặc xử lý nâng cao; 3 báo cáo; &gt;=45 test case; logging, backup và deploy.</v>
      </c>
      <c r="L1286" t="str">
        <f>'Huong dan giao do an'!$B$31</f>
        <v>Bắt buộc: Charter/PMP; SRS + scope/WBS; Gantt/baseline; effort-cost budget; RACI/timesheet; quality-test-defect; communication/minutes; risk register; procurement; change log; closure/lessons learned.</v>
      </c>
      <c r="M1286" t="str">
        <f>'Huong dan giao do an'!$B$33</f>
        <v>Tuần 1: 07.09–13.09.2026; Tuần 2: 14.09–20.09.2026; Tuần 3: 21.09–27.09.2026; Tuần 4: 28.09–04.10.2026; Tuần 5: 05.10–11.10.2026; Tuần 6: 12.10–18.10.2026; Tuần 7: 19.10–25.10.2026; Tuần 8: 26.10–01.11.2026.</v>
      </c>
      <c r="N12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6" s="17" t="str">
        <f t="shared" si="20"/>
        <v>Còn trống</v>
      </c>
    </row>
    <row r="1287" spans="1:16" x14ac:dyDescent="0.3">
      <c r="A1287">
        <v>1286</v>
      </c>
      <c r="B1287" t="s">
        <v>2773</v>
      </c>
      <c r="C1287" t="s">
        <v>2972</v>
      </c>
      <c r="D1287" t="s">
        <v>2973</v>
      </c>
      <c r="E1287" t="s">
        <v>33</v>
      </c>
      <c r="F1287" t="s">
        <v>2776</v>
      </c>
      <c r="G1287" t="s">
        <v>2799</v>
      </c>
      <c r="H1287" t="str">
        <f>'Huong dan giao do an'!$B$14</f>
        <v>5 SV (vai trò chính): 1 PM/Scrum Master kiêm Integration; 2 BA/PO; 3 UI-UX + Frontend; 4 Backend/API + DevOps; 5 Database + QA/Tester. Mỗi SV có nhiệm vụ phụ và minh chứng cá nhân.</v>
      </c>
      <c r="I1287" t="s">
        <v>36</v>
      </c>
      <c r="J1287" t="s">
        <v>2788</v>
      </c>
      <c r="K1287" t="str">
        <f>IF(I1287="Trung bình",'Huong dan giao do an'!$B$8,IF(I1287="Khá",'Huong dan giao do an'!$B$9,'Huong dan giao do an'!$B$10))</f>
        <v>Tối thiểu 3 actor; 8-10 use case; 6-8 bảng dữ liệu; 2 quy trình lõi; đăng nhập/RBAC; 1 dashboard; 1 báo cáo; &gt;=25 test case; triển khai bản demo.</v>
      </c>
      <c r="L1287" t="str">
        <f>'Huong dan giao do an'!$B$31</f>
        <v>Bắt buộc: Charter/PMP; SRS + scope/WBS; Gantt/baseline; effort-cost budget; RACI/timesheet; quality-test-defect; communication/minutes; risk register; procurement; change log; closure/lessons learned.</v>
      </c>
      <c r="M1287" t="str">
        <f>'Huong dan giao do an'!$B$33</f>
        <v>Tuần 1: 07.09–13.09.2026; Tuần 2: 14.09–20.09.2026; Tuần 3: 21.09–27.09.2026; Tuần 4: 28.09–04.10.2026; Tuần 5: 05.10–11.10.2026; Tuần 6: 12.10–18.10.2026; Tuần 7: 19.10–25.10.2026; Tuần 8: 26.10–01.11.2026.</v>
      </c>
      <c r="N12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7" s="17" t="str">
        <f t="shared" si="20"/>
        <v>Còn trống</v>
      </c>
    </row>
    <row r="1288" spans="1:16" x14ac:dyDescent="0.3">
      <c r="A1288">
        <v>1287</v>
      </c>
      <c r="B1288" t="s">
        <v>2773</v>
      </c>
      <c r="C1288" t="s">
        <v>2974</v>
      </c>
      <c r="D1288" t="s">
        <v>2975</v>
      </c>
      <c r="E1288" t="s">
        <v>40</v>
      </c>
      <c r="F1288" t="s">
        <v>2781</v>
      </c>
      <c r="G1288" t="s">
        <v>2802</v>
      </c>
      <c r="H1288" t="str">
        <f>'Huong dan giao do an'!$B$14</f>
        <v>5 SV (vai trò chính): 1 PM/Scrum Master kiêm Integration; 2 BA/PO; 3 UI-UX + Frontend; 4 Backend/API + DevOps; 5 Database + QA/Tester. Mỗi SV có nhiệm vụ phụ và minh chứng cá nhân.</v>
      </c>
      <c r="I1288" t="s">
        <v>22</v>
      </c>
      <c r="J1288" t="s">
        <v>2778</v>
      </c>
      <c r="K1288" t="str">
        <f>IF(I1288="Trung bình",'Huong dan giao do an'!$B$8,IF(I1288="Khá",'Huong dan giao do an'!$B$9,'Huong dan giao do an'!$B$10))</f>
        <v>Tối thiểu 4 actor; 10-14 use case; 8-12 bảng; 3 quy trình lõi; phân quyền chi tiết; 2 báo cáo; tích hợp 1 dịch vụ; &gt;=35 test case; CI/CD hoặc deploy cloud.</v>
      </c>
      <c r="L1288" t="str">
        <f>'Huong dan giao do an'!$B$31</f>
        <v>Bắt buộc: Charter/PMP; SRS + scope/WBS; Gantt/baseline; effort-cost budget; RACI/timesheet; quality-test-defect; communication/minutes; risk register; procurement; change log; closure/lessons learned.</v>
      </c>
      <c r="M1288" t="str">
        <f>'Huong dan giao do an'!$B$33</f>
        <v>Tuần 1: 07.09–13.09.2026; Tuần 2: 14.09–20.09.2026; Tuần 3: 21.09–27.09.2026; Tuần 4: 28.09–04.10.2026; Tuần 5: 05.10–11.10.2026; Tuần 6: 12.10–18.10.2026; Tuần 7: 19.10–25.10.2026; Tuần 8: 26.10–01.11.2026.</v>
      </c>
      <c r="N12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8" s="17" t="str">
        <f t="shared" si="20"/>
        <v>Còn trống</v>
      </c>
    </row>
    <row r="1289" spans="1:16" x14ac:dyDescent="0.3">
      <c r="A1289">
        <v>1288</v>
      </c>
      <c r="B1289" t="s">
        <v>2773</v>
      </c>
      <c r="C1289" t="s">
        <v>2976</v>
      </c>
      <c r="D1289" t="s">
        <v>2977</v>
      </c>
      <c r="E1289" t="s">
        <v>45</v>
      </c>
      <c r="F1289" t="s">
        <v>2786</v>
      </c>
      <c r="G1289" t="s">
        <v>2805</v>
      </c>
      <c r="H1289" t="str">
        <f>'Huong dan giao do an'!$B$14</f>
        <v>5 SV (vai trò chính): 1 PM/Scrum Master kiêm Integration; 2 BA/PO; 3 UI-UX + Frontend; 4 Backend/API + DevOps; 5 Database + QA/Tester. Mỗi SV có nhiệm vụ phụ và minh chứng cá nhân.</v>
      </c>
      <c r="I1289" t="s">
        <v>29</v>
      </c>
      <c r="J1289" t="s">
        <v>2783</v>
      </c>
      <c r="K1289" t="str">
        <f>IF(I1289="Trung bình",'Huong dan giao do an'!$B$8,IF(I1289="Khá",'Huong dan giao do an'!$B$9,'Huong dan giao do an'!$B$10))</f>
        <v>Tối thiểu 5 actor; 14-18 use case; 10-15 bảng; 4 quy trình; tích hợp ngoài/realtime hoặc xử lý nâng cao; 3 báo cáo; &gt;=45 test case; logging, backup và deploy.</v>
      </c>
      <c r="L1289" t="str">
        <f>'Huong dan giao do an'!$B$31</f>
        <v>Bắt buộc: Charter/PMP; SRS + scope/WBS; Gantt/baseline; effort-cost budget; RACI/timesheet; quality-test-defect; communication/minutes; risk register; procurement; change log; closure/lessons learned.</v>
      </c>
      <c r="M1289" t="str">
        <f>'Huong dan giao do an'!$B$33</f>
        <v>Tuần 1: 07.09–13.09.2026; Tuần 2: 14.09–20.09.2026; Tuần 3: 21.09–27.09.2026; Tuần 4: 28.09–04.10.2026; Tuần 5: 05.10–11.10.2026; Tuần 6: 12.10–18.10.2026; Tuần 7: 19.10–25.10.2026; Tuần 8: 26.10–01.11.2026.</v>
      </c>
      <c r="N12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89" s="17" t="str">
        <f t="shared" si="20"/>
        <v>Còn trống</v>
      </c>
    </row>
    <row r="1290" spans="1:16" x14ac:dyDescent="0.3">
      <c r="A1290">
        <v>1289</v>
      </c>
      <c r="B1290" t="s">
        <v>2773</v>
      </c>
      <c r="C1290" t="s">
        <v>2978</v>
      </c>
      <c r="D1290" t="s">
        <v>2979</v>
      </c>
      <c r="E1290" t="s">
        <v>19</v>
      </c>
      <c r="F1290" t="s">
        <v>2791</v>
      </c>
      <c r="G1290" t="s">
        <v>2808</v>
      </c>
      <c r="H1290" t="str">
        <f>'Huong dan giao do an'!$B$14</f>
        <v>5 SV (vai trò chính): 1 PM/Scrum Master kiêm Integration; 2 BA/PO; 3 UI-UX + Frontend; 4 Backend/API + DevOps; 5 Database + QA/Tester. Mỗi SV có nhiệm vụ phụ và minh chứng cá nhân.</v>
      </c>
      <c r="I1290" t="s">
        <v>36</v>
      </c>
      <c r="J1290" t="s">
        <v>2788</v>
      </c>
      <c r="K1290" t="str">
        <f>IF(I1290="Trung bình",'Huong dan giao do an'!$B$8,IF(I1290="Khá",'Huong dan giao do an'!$B$9,'Huong dan giao do an'!$B$10))</f>
        <v>Tối thiểu 3 actor; 8-10 use case; 6-8 bảng dữ liệu; 2 quy trình lõi; đăng nhập/RBAC; 1 dashboard; 1 báo cáo; &gt;=25 test case; triển khai bản demo.</v>
      </c>
      <c r="L1290" t="str">
        <f>'Huong dan giao do an'!$B$31</f>
        <v>Bắt buộc: Charter/PMP; SRS + scope/WBS; Gantt/baseline; effort-cost budget; RACI/timesheet; quality-test-defect; communication/minutes; risk register; procurement; change log; closure/lessons learned.</v>
      </c>
      <c r="M1290" t="str">
        <f>'Huong dan giao do an'!$B$33</f>
        <v>Tuần 1: 07.09–13.09.2026; Tuần 2: 14.09–20.09.2026; Tuần 3: 21.09–27.09.2026; Tuần 4: 28.09–04.10.2026; Tuần 5: 05.10–11.10.2026; Tuần 6: 12.10–18.10.2026; Tuần 7: 19.10–25.10.2026; Tuần 8: 26.10–01.11.2026.</v>
      </c>
      <c r="N12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0" s="17" t="str">
        <f t="shared" si="20"/>
        <v>Còn trống</v>
      </c>
    </row>
    <row r="1291" spans="1:16" x14ac:dyDescent="0.3">
      <c r="A1291">
        <v>1290</v>
      </c>
      <c r="B1291" t="s">
        <v>2773</v>
      </c>
      <c r="C1291" t="s">
        <v>2980</v>
      </c>
      <c r="D1291" t="s">
        <v>2981</v>
      </c>
      <c r="E1291" t="s">
        <v>26</v>
      </c>
      <c r="F1291" t="s">
        <v>2795</v>
      </c>
      <c r="G1291" t="s">
        <v>2811</v>
      </c>
      <c r="H1291" t="str">
        <f>'Huong dan giao do an'!$B$14</f>
        <v>5 SV (vai trò chính): 1 PM/Scrum Master kiêm Integration; 2 BA/PO; 3 UI-UX + Frontend; 4 Backend/API + DevOps; 5 Database + QA/Tester. Mỗi SV có nhiệm vụ phụ và minh chứng cá nhân.</v>
      </c>
      <c r="I1291" t="s">
        <v>22</v>
      </c>
      <c r="J1291" t="s">
        <v>2778</v>
      </c>
      <c r="K1291" t="str">
        <f>IF(I1291="Trung bình",'Huong dan giao do an'!$B$8,IF(I1291="Khá",'Huong dan giao do an'!$B$9,'Huong dan giao do an'!$B$10))</f>
        <v>Tối thiểu 4 actor; 10-14 use case; 8-12 bảng; 3 quy trình lõi; phân quyền chi tiết; 2 báo cáo; tích hợp 1 dịch vụ; &gt;=35 test case; CI/CD hoặc deploy cloud.</v>
      </c>
      <c r="L1291" t="str">
        <f>'Huong dan giao do an'!$B$31</f>
        <v>Bắt buộc: Charter/PMP; SRS + scope/WBS; Gantt/baseline; effort-cost budget; RACI/timesheet; quality-test-defect; communication/minutes; risk register; procurement; change log; closure/lessons learned.</v>
      </c>
      <c r="M1291" t="str">
        <f>'Huong dan giao do an'!$B$33</f>
        <v>Tuần 1: 07.09–13.09.2026; Tuần 2: 14.09–20.09.2026; Tuần 3: 21.09–27.09.2026; Tuần 4: 28.09–04.10.2026; Tuần 5: 05.10–11.10.2026; Tuần 6: 12.10–18.10.2026; Tuần 7: 19.10–25.10.2026; Tuần 8: 26.10–01.11.2026.</v>
      </c>
      <c r="N12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1" s="17" t="str">
        <f t="shared" si="20"/>
        <v>Còn trống</v>
      </c>
    </row>
    <row r="1292" spans="1:16" x14ac:dyDescent="0.3">
      <c r="A1292">
        <v>1291</v>
      </c>
      <c r="B1292" t="s">
        <v>2773</v>
      </c>
      <c r="C1292" t="s">
        <v>2982</v>
      </c>
      <c r="D1292" t="s">
        <v>2983</v>
      </c>
      <c r="E1292" t="s">
        <v>33</v>
      </c>
      <c r="F1292" t="s">
        <v>2776</v>
      </c>
      <c r="G1292" t="s">
        <v>2814</v>
      </c>
      <c r="H1292" t="str">
        <f>'Huong dan giao do an'!$B$14</f>
        <v>5 SV (vai trò chính): 1 PM/Scrum Master kiêm Integration; 2 BA/PO; 3 UI-UX + Frontend; 4 Backend/API + DevOps; 5 Database + QA/Tester. Mỗi SV có nhiệm vụ phụ và minh chứng cá nhân.</v>
      </c>
      <c r="I1292" t="s">
        <v>29</v>
      </c>
      <c r="J1292" t="s">
        <v>2783</v>
      </c>
      <c r="K1292" t="str">
        <f>IF(I1292="Trung bình",'Huong dan giao do an'!$B$8,IF(I1292="Khá",'Huong dan giao do an'!$B$9,'Huong dan giao do an'!$B$10))</f>
        <v>Tối thiểu 5 actor; 14-18 use case; 10-15 bảng; 4 quy trình; tích hợp ngoài/realtime hoặc xử lý nâng cao; 3 báo cáo; &gt;=45 test case; logging, backup và deploy.</v>
      </c>
      <c r="L1292" t="str">
        <f>'Huong dan giao do an'!$B$31</f>
        <v>Bắt buộc: Charter/PMP; SRS + scope/WBS; Gantt/baseline; effort-cost budget; RACI/timesheet; quality-test-defect; communication/minutes; risk register; procurement; change log; closure/lessons learned.</v>
      </c>
      <c r="M1292" t="str">
        <f>'Huong dan giao do an'!$B$33</f>
        <v>Tuần 1: 07.09–13.09.2026; Tuần 2: 14.09–20.09.2026; Tuần 3: 21.09–27.09.2026; Tuần 4: 28.09–04.10.2026; Tuần 5: 05.10–11.10.2026; Tuần 6: 12.10–18.10.2026; Tuần 7: 19.10–25.10.2026; Tuần 8: 26.10–01.11.2026.</v>
      </c>
      <c r="N12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2" s="17" t="str">
        <f t="shared" si="20"/>
        <v>Còn trống</v>
      </c>
    </row>
    <row r="1293" spans="1:16" x14ac:dyDescent="0.3">
      <c r="A1293">
        <v>1292</v>
      </c>
      <c r="B1293" t="s">
        <v>2773</v>
      </c>
      <c r="C1293" t="s">
        <v>2984</v>
      </c>
      <c r="D1293" t="s">
        <v>2985</v>
      </c>
      <c r="E1293" t="s">
        <v>40</v>
      </c>
      <c r="F1293" t="s">
        <v>2781</v>
      </c>
      <c r="G1293" t="s">
        <v>2817</v>
      </c>
      <c r="H1293" t="str">
        <f>'Huong dan giao do an'!$B$14</f>
        <v>5 SV (vai trò chính): 1 PM/Scrum Master kiêm Integration; 2 BA/PO; 3 UI-UX + Frontend; 4 Backend/API + DevOps; 5 Database + QA/Tester. Mỗi SV có nhiệm vụ phụ và minh chứng cá nhân.</v>
      </c>
      <c r="I1293" t="s">
        <v>36</v>
      </c>
      <c r="J1293" t="s">
        <v>2788</v>
      </c>
      <c r="K1293" t="str">
        <f>IF(I1293="Trung bình",'Huong dan giao do an'!$B$8,IF(I1293="Khá",'Huong dan giao do an'!$B$9,'Huong dan giao do an'!$B$10))</f>
        <v>Tối thiểu 3 actor; 8-10 use case; 6-8 bảng dữ liệu; 2 quy trình lõi; đăng nhập/RBAC; 1 dashboard; 1 báo cáo; &gt;=25 test case; triển khai bản demo.</v>
      </c>
      <c r="L1293" t="str">
        <f>'Huong dan giao do an'!$B$31</f>
        <v>Bắt buộc: Charter/PMP; SRS + scope/WBS; Gantt/baseline; effort-cost budget; RACI/timesheet; quality-test-defect; communication/minutes; risk register; procurement; change log; closure/lessons learned.</v>
      </c>
      <c r="M1293" t="str">
        <f>'Huong dan giao do an'!$B$33</f>
        <v>Tuần 1: 07.09–13.09.2026; Tuần 2: 14.09–20.09.2026; Tuần 3: 21.09–27.09.2026; Tuần 4: 28.09–04.10.2026; Tuần 5: 05.10–11.10.2026; Tuần 6: 12.10–18.10.2026; Tuần 7: 19.10–25.10.2026; Tuần 8: 26.10–01.11.2026.</v>
      </c>
      <c r="N12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3" s="17" t="str">
        <f t="shared" si="20"/>
        <v>Còn trống</v>
      </c>
    </row>
    <row r="1294" spans="1:16" x14ac:dyDescent="0.3">
      <c r="A1294">
        <v>1293</v>
      </c>
      <c r="B1294" t="s">
        <v>2773</v>
      </c>
      <c r="C1294" t="s">
        <v>2986</v>
      </c>
      <c r="D1294" t="s">
        <v>2987</v>
      </c>
      <c r="E1294" t="s">
        <v>45</v>
      </c>
      <c r="F1294" t="s">
        <v>2786</v>
      </c>
      <c r="G1294" t="s">
        <v>2820</v>
      </c>
      <c r="H1294" t="str">
        <f>'Huong dan giao do an'!$B$14</f>
        <v>5 SV (vai trò chính): 1 PM/Scrum Master kiêm Integration; 2 BA/PO; 3 UI-UX + Frontend; 4 Backend/API + DevOps; 5 Database + QA/Tester. Mỗi SV có nhiệm vụ phụ và minh chứng cá nhân.</v>
      </c>
      <c r="I1294" t="s">
        <v>22</v>
      </c>
      <c r="J1294" t="s">
        <v>2778</v>
      </c>
      <c r="K1294" t="str">
        <f>IF(I1294="Trung bình",'Huong dan giao do an'!$B$8,IF(I1294="Khá",'Huong dan giao do an'!$B$9,'Huong dan giao do an'!$B$10))</f>
        <v>Tối thiểu 4 actor; 10-14 use case; 8-12 bảng; 3 quy trình lõi; phân quyền chi tiết; 2 báo cáo; tích hợp 1 dịch vụ; &gt;=35 test case; CI/CD hoặc deploy cloud.</v>
      </c>
      <c r="L1294" t="str">
        <f>'Huong dan giao do an'!$B$31</f>
        <v>Bắt buộc: Charter/PMP; SRS + scope/WBS; Gantt/baseline; effort-cost budget; RACI/timesheet; quality-test-defect; communication/minutes; risk register; procurement; change log; closure/lessons learned.</v>
      </c>
      <c r="M1294" t="str">
        <f>'Huong dan giao do an'!$B$33</f>
        <v>Tuần 1: 07.09–13.09.2026; Tuần 2: 14.09–20.09.2026; Tuần 3: 21.09–27.09.2026; Tuần 4: 28.09–04.10.2026; Tuần 5: 05.10–11.10.2026; Tuần 6: 12.10–18.10.2026; Tuần 7: 19.10–25.10.2026; Tuần 8: 26.10–01.11.2026.</v>
      </c>
      <c r="N12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4" s="17" t="str">
        <f t="shared" si="20"/>
        <v>Còn trống</v>
      </c>
    </row>
    <row r="1295" spans="1:16" x14ac:dyDescent="0.3">
      <c r="A1295">
        <v>1294</v>
      </c>
      <c r="B1295" t="s">
        <v>2773</v>
      </c>
      <c r="C1295" t="s">
        <v>2988</v>
      </c>
      <c r="D1295" t="s">
        <v>2989</v>
      </c>
      <c r="E1295" t="s">
        <v>19</v>
      </c>
      <c r="F1295" t="s">
        <v>2791</v>
      </c>
      <c r="G1295" t="s">
        <v>2823</v>
      </c>
      <c r="H1295" t="str">
        <f>'Huong dan giao do an'!$B$14</f>
        <v>5 SV (vai trò chính): 1 PM/Scrum Master kiêm Integration; 2 BA/PO; 3 UI-UX + Frontend; 4 Backend/API + DevOps; 5 Database + QA/Tester. Mỗi SV có nhiệm vụ phụ và minh chứng cá nhân.</v>
      </c>
      <c r="I1295" t="s">
        <v>29</v>
      </c>
      <c r="J1295" t="s">
        <v>2783</v>
      </c>
      <c r="K1295" t="str">
        <f>IF(I1295="Trung bình",'Huong dan giao do an'!$B$8,IF(I1295="Khá",'Huong dan giao do an'!$B$9,'Huong dan giao do an'!$B$10))</f>
        <v>Tối thiểu 5 actor; 14-18 use case; 10-15 bảng; 4 quy trình; tích hợp ngoài/realtime hoặc xử lý nâng cao; 3 báo cáo; &gt;=45 test case; logging, backup và deploy.</v>
      </c>
      <c r="L1295" t="str">
        <f>'Huong dan giao do an'!$B$31</f>
        <v>Bắt buộc: Charter/PMP; SRS + scope/WBS; Gantt/baseline; effort-cost budget; RACI/timesheet; quality-test-defect; communication/minutes; risk register; procurement; change log; closure/lessons learned.</v>
      </c>
      <c r="M1295" t="str">
        <f>'Huong dan giao do an'!$B$33</f>
        <v>Tuần 1: 07.09–13.09.2026; Tuần 2: 14.09–20.09.2026; Tuần 3: 21.09–27.09.2026; Tuần 4: 28.09–04.10.2026; Tuần 5: 05.10–11.10.2026; Tuần 6: 12.10–18.10.2026; Tuần 7: 19.10–25.10.2026; Tuần 8: 26.10–01.11.2026.</v>
      </c>
      <c r="N12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5" s="17" t="str">
        <f t="shared" si="20"/>
        <v>Còn trống</v>
      </c>
    </row>
    <row r="1296" spans="1:16" x14ac:dyDescent="0.3">
      <c r="A1296">
        <v>1295</v>
      </c>
      <c r="B1296" t="s">
        <v>2773</v>
      </c>
      <c r="C1296" t="s">
        <v>2990</v>
      </c>
      <c r="D1296" t="s">
        <v>2991</v>
      </c>
      <c r="E1296" t="s">
        <v>26</v>
      </c>
      <c r="F1296" t="s">
        <v>2795</v>
      </c>
      <c r="G1296" t="s">
        <v>2826</v>
      </c>
      <c r="H1296" t="str">
        <f>'Huong dan giao do an'!$B$14</f>
        <v>5 SV (vai trò chính): 1 PM/Scrum Master kiêm Integration; 2 BA/PO; 3 UI-UX + Frontend; 4 Backend/API + DevOps; 5 Database + QA/Tester. Mỗi SV có nhiệm vụ phụ và minh chứng cá nhân.</v>
      </c>
      <c r="I1296" t="s">
        <v>36</v>
      </c>
      <c r="J1296" t="s">
        <v>2788</v>
      </c>
      <c r="K1296" t="str">
        <f>IF(I1296="Trung bình",'Huong dan giao do an'!$B$8,IF(I1296="Khá",'Huong dan giao do an'!$B$9,'Huong dan giao do an'!$B$10))</f>
        <v>Tối thiểu 3 actor; 8-10 use case; 6-8 bảng dữ liệu; 2 quy trình lõi; đăng nhập/RBAC; 1 dashboard; 1 báo cáo; &gt;=25 test case; triển khai bản demo.</v>
      </c>
      <c r="L1296" t="str">
        <f>'Huong dan giao do an'!$B$31</f>
        <v>Bắt buộc: Charter/PMP; SRS + scope/WBS; Gantt/baseline; effort-cost budget; RACI/timesheet; quality-test-defect; communication/minutes; risk register; procurement; change log; closure/lessons learned.</v>
      </c>
      <c r="M1296" t="str">
        <f>'Huong dan giao do an'!$B$33</f>
        <v>Tuần 1: 07.09–13.09.2026; Tuần 2: 14.09–20.09.2026; Tuần 3: 21.09–27.09.2026; Tuần 4: 28.09–04.10.2026; Tuần 5: 05.10–11.10.2026; Tuần 6: 12.10–18.10.2026; Tuần 7: 19.10–25.10.2026; Tuần 8: 26.10–01.11.2026.</v>
      </c>
      <c r="N12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6" s="17" t="str">
        <f t="shared" si="20"/>
        <v>Còn trống</v>
      </c>
    </row>
    <row r="1297" spans="1:16" x14ac:dyDescent="0.3">
      <c r="A1297">
        <v>1296</v>
      </c>
      <c r="B1297" t="s">
        <v>2773</v>
      </c>
      <c r="C1297" t="s">
        <v>2992</v>
      </c>
      <c r="D1297" t="s">
        <v>2993</v>
      </c>
      <c r="E1297" t="s">
        <v>33</v>
      </c>
      <c r="F1297" t="s">
        <v>2776</v>
      </c>
      <c r="G1297" t="s">
        <v>2829</v>
      </c>
      <c r="H1297" t="str">
        <f>'Huong dan giao do an'!$B$14</f>
        <v>5 SV (vai trò chính): 1 PM/Scrum Master kiêm Integration; 2 BA/PO; 3 UI-UX + Frontend; 4 Backend/API + DevOps; 5 Database + QA/Tester. Mỗi SV có nhiệm vụ phụ và minh chứng cá nhân.</v>
      </c>
      <c r="I1297" t="s">
        <v>22</v>
      </c>
      <c r="J1297" t="s">
        <v>2778</v>
      </c>
      <c r="K1297" t="str">
        <f>IF(I1297="Trung bình",'Huong dan giao do an'!$B$8,IF(I1297="Khá",'Huong dan giao do an'!$B$9,'Huong dan giao do an'!$B$10))</f>
        <v>Tối thiểu 4 actor; 10-14 use case; 8-12 bảng; 3 quy trình lõi; phân quyền chi tiết; 2 báo cáo; tích hợp 1 dịch vụ; &gt;=35 test case; CI/CD hoặc deploy cloud.</v>
      </c>
      <c r="L1297" t="str">
        <f>'Huong dan giao do an'!$B$31</f>
        <v>Bắt buộc: Charter/PMP; SRS + scope/WBS; Gantt/baseline; effort-cost budget; RACI/timesheet; quality-test-defect; communication/minutes; risk register; procurement; change log; closure/lessons learned.</v>
      </c>
      <c r="M1297" t="str">
        <f>'Huong dan giao do an'!$B$33</f>
        <v>Tuần 1: 07.09–13.09.2026; Tuần 2: 14.09–20.09.2026; Tuần 3: 21.09–27.09.2026; Tuần 4: 28.09–04.10.2026; Tuần 5: 05.10–11.10.2026; Tuần 6: 12.10–18.10.2026; Tuần 7: 19.10–25.10.2026; Tuần 8: 26.10–01.11.2026.</v>
      </c>
      <c r="N12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7" s="17" t="str">
        <f t="shared" si="20"/>
        <v>Còn trống</v>
      </c>
    </row>
    <row r="1298" spans="1:16" x14ac:dyDescent="0.3">
      <c r="A1298">
        <v>1297</v>
      </c>
      <c r="B1298" t="s">
        <v>2773</v>
      </c>
      <c r="C1298" t="s">
        <v>2994</v>
      </c>
      <c r="D1298" t="s">
        <v>2995</v>
      </c>
      <c r="E1298" t="s">
        <v>40</v>
      </c>
      <c r="F1298" t="s">
        <v>2781</v>
      </c>
      <c r="G1298" t="s">
        <v>2832</v>
      </c>
      <c r="H1298" t="str">
        <f>'Huong dan giao do an'!$B$14</f>
        <v>5 SV (vai trò chính): 1 PM/Scrum Master kiêm Integration; 2 BA/PO; 3 UI-UX + Frontend; 4 Backend/API + DevOps; 5 Database + QA/Tester. Mỗi SV có nhiệm vụ phụ và minh chứng cá nhân.</v>
      </c>
      <c r="I1298" t="s">
        <v>29</v>
      </c>
      <c r="J1298" t="s">
        <v>2783</v>
      </c>
      <c r="K1298" t="str">
        <f>IF(I1298="Trung bình",'Huong dan giao do an'!$B$8,IF(I1298="Khá",'Huong dan giao do an'!$B$9,'Huong dan giao do an'!$B$10))</f>
        <v>Tối thiểu 5 actor; 14-18 use case; 10-15 bảng; 4 quy trình; tích hợp ngoài/realtime hoặc xử lý nâng cao; 3 báo cáo; &gt;=45 test case; logging, backup và deploy.</v>
      </c>
      <c r="L1298" t="str">
        <f>'Huong dan giao do an'!$B$31</f>
        <v>Bắt buộc: Charter/PMP; SRS + scope/WBS; Gantt/baseline; effort-cost budget; RACI/timesheet; quality-test-defect; communication/minutes; risk register; procurement; change log; closure/lessons learned.</v>
      </c>
      <c r="M1298" t="str">
        <f>'Huong dan giao do an'!$B$33</f>
        <v>Tuần 1: 07.09–13.09.2026; Tuần 2: 14.09–20.09.2026; Tuần 3: 21.09–27.09.2026; Tuần 4: 28.09–04.10.2026; Tuần 5: 05.10–11.10.2026; Tuần 6: 12.10–18.10.2026; Tuần 7: 19.10–25.10.2026; Tuần 8: 26.10–01.11.2026.</v>
      </c>
      <c r="N12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8" s="17" t="str">
        <f t="shared" si="20"/>
        <v>Còn trống</v>
      </c>
    </row>
    <row r="1299" spans="1:16" x14ac:dyDescent="0.3">
      <c r="A1299">
        <v>1298</v>
      </c>
      <c r="B1299" t="s">
        <v>2773</v>
      </c>
      <c r="C1299" t="s">
        <v>2996</v>
      </c>
      <c r="D1299" t="s">
        <v>2997</v>
      </c>
      <c r="E1299" t="s">
        <v>45</v>
      </c>
      <c r="F1299" t="s">
        <v>2786</v>
      </c>
      <c r="G1299" t="s">
        <v>2835</v>
      </c>
      <c r="H1299" t="str">
        <f>'Huong dan giao do an'!$B$14</f>
        <v>5 SV (vai trò chính): 1 PM/Scrum Master kiêm Integration; 2 BA/PO; 3 UI-UX + Frontend; 4 Backend/API + DevOps; 5 Database + QA/Tester. Mỗi SV có nhiệm vụ phụ và minh chứng cá nhân.</v>
      </c>
      <c r="I1299" t="s">
        <v>36</v>
      </c>
      <c r="J1299" t="s">
        <v>2788</v>
      </c>
      <c r="K1299" t="str">
        <f>IF(I1299="Trung bình",'Huong dan giao do an'!$B$8,IF(I1299="Khá",'Huong dan giao do an'!$B$9,'Huong dan giao do an'!$B$10))</f>
        <v>Tối thiểu 3 actor; 8-10 use case; 6-8 bảng dữ liệu; 2 quy trình lõi; đăng nhập/RBAC; 1 dashboard; 1 báo cáo; &gt;=25 test case; triển khai bản demo.</v>
      </c>
      <c r="L1299" t="str">
        <f>'Huong dan giao do an'!$B$31</f>
        <v>Bắt buộc: Charter/PMP; SRS + scope/WBS; Gantt/baseline; effort-cost budget; RACI/timesheet; quality-test-defect; communication/minutes; risk register; procurement; change log; closure/lessons learned.</v>
      </c>
      <c r="M1299" t="str">
        <f>'Huong dan giao do an'!$B$33</f>
        <v>Tuần 1: 07.09–13.09.2026; Tuần 2: 14.09–20.09.2026; Tuần 3: 21.09–27.09.2026; Tuần 4: 28.09–04.10.2026; Tuần 5: 05.10–11.10.2026; Tuần 6: 12.10–18.10.2026; Tuần 7: 19.10–25.10.2026; Tuần 8: 26.10–01.11.2026.</v>
      </c>
      <c r="N12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299" s="17" t="str">
        <f t="shared" si="20"/>
        <v>Còn trống</v>
      </c>
    </row>
    <row r="1300" spans="1:16" x14ac:dyDescent="0.3">
      <c r="A1300">
        <v>1299</v>
      </c>
      <c r="B1300" t="s">
        <v>2773</v>
      </c>
      <c r="C1300" t="s">
        <v>2998</v>
      </c>
      <c r="D1300" t="s">
        <v>2999</v>
      </c>
      <c r="E1300" t="s">
        <v>19</v>
      </c>
      <c r="F1300" t="s">
        <v>2791</v>
      </c>
      <c r="G1300" t="s">
        <v>2838</v>
      </c>
      <c r="H1300" t="str">
        <f>'Huong dan giao do an'!$B$14</f>
        <v>5 SV (vai trò chính): 1 PM/Scrum Master kiêm Integration; 2 BA/PO; 3 UI-UX + Frontend; 4 Backend/API + DevOps; 5 Database + QA/Tester. Mỗi SV có nhiệm vụ phụ và minh chứng cá nhân.</v>
      </c>
      <c r="I1300" t="s">
        <v>22</v>
      </c>
      <c r="J1300" t="s">
        <v>2778</v>
      </c>
      <c r="K1300" t="str">
        <f>IF(I1300="Trung bình",'Huong dan giao do an'!$B$8,IF(I1300="Khá",'Huong dan giao do an'!$B$9,'Huong dan giao do an'!$B$10))</f>
        <v>Tối thiểu 4 actor; 10-14 use case; 8-12 bảng; 3 quy trình lõi; phân quyền chi tiết; 2 báo cáo; tích hợp 1 dịch vụ; &gt;=35 test case; CI/CD hoặc deploy cloud.</v>
      </c>
      <c r="L1300" t="str">
        <f>'Huong dan giao do an'!$B$31</f>
        <v>Bắt buộc: Charter/PMP; SRS + scope/WBS; Gantt/baseline; effort-cost budget; RACI/timesheet; quality-test-defect; communication/minutes; risk register; procurement; change log; closure/lessons learned.</v>
      </c>
      <c r="M1300" t="str">
        <f>'Huong dan giao do an'!$B$33</f>
        <v>Tuần 1: 07.09–13.09.2026; Tuần 2: 14.09–20.09.2026; Tuần 3: 21.09–27.09.2026; Tuần 4: 28.09–04.10.2026; Tuần 5: 05.10–11.10.2026; Tuần 6: 12.10–18.10.2026; Tuần 7: 19.10–25.10.2026; Tuần 8: 26.10–01.11.2026.</v>
      </c>
      <c r="N13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0" s="17" t="str">
        <f t="shared" si="20"/>
        <v>Còn trống</v>
      </c>
    </row>
    <row r="1301" spans="1:16" x14ac:dyDescent="0.3">
      <c r="A1301">
        <v>1300</v>
      </c>
      <c r="B1301" t="s">
        <v>2773</v>
      </c>
      <c r="C1301" t="s">
        <v>3000</v>
      </c>
      <c r="D1301" t="s">
        <v>3001</v>
      </c>
      <c r="E1301" t="s">
        <v>26</v>
      </c>
      <c r="F1301" t="s">
        <v>2795</v>
      </c>
      <c r="G1301" t="s">
        <v>2841</v>
      </c>
      <c r="H1301" t="str">
        <f>'Huong dan giao do an'!$B$14</f>
        <v>5 SV (vai trò chính): 1 PM/Scrum Master kiêm Integration; 2 BA/PO; 3 UI-UX + Frontend; 4 Backend/API + DevOps; 5 Database + QA/Tester. Mỗi SV có nhiệm vụ phụ và minh chứng cá nhân.</v>
      </c>
      <c r="I1301" t="s">
        <v>29</v>
      </c>
      <c r="J1301" t="s">
        <v>2783</v>
      </c>
      <c r="K1301" t="str">
        <f>IF(I1301="Trung bình",'Huong dan giao do an'!$B$8,IF(I1301="Khá",'Huong dan giao do an'!$B$9,'Huong dan giao do an'!$B$10))</f>
        <v>Tối thiểu 5 actor; 14-18 use case; 10-15 bảng; 4 quy trình; tích hợp ngoài/realtime hoặc xử lý nâng cao; 3 báo cáo; &gt;=45 test case; logging, backup và deploy.</v>
      </c>
      <c r="L1301" t="str">
        <f>'Huong dan giao do an'!$B$31</f>
        <v>Bắt buộc: Charter/PMP; SRS + scope/WBS; Gantt/baseline; effort-cost budget; RACI/timesheet; quality-test-defect; communication/minutes; risk register; procurement; change log; closure/lessons learned.</v>
      </c>
      <c r="M1301" t="str">
        <f>'Huong dan giao do an'!$B$33</f>
        <v>Tuần 1: 07.09–13.09.2026; Tuần 2: 14.09–20.09.2026; Tuần 3: 21.09–27.09.2026; Tuần 4: 28.09–04.10.2026; Tuần 5: 05.10–11.10.2026; Tuần 6: 12.10–18.10.2026; Tuần 7: 19.10–25.10.2026; Tuần 8: 26.10–01.11.2026.</v>
      </c>
      <c r="N13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1" s="17" t="str">
        <f t="shared" si="20"/>
        <v>Còn trống</v>
      </c>
    </row>
    <row r="1302" spans="1:16" x14ac:dyDescent="0.3">
      <c r="A1302">
        <v>1301</v>
      </c>
      <c r="B1302" t="s">
        <v>3002</v>
      </c>
      <c r="C1302" t="s">
        <v>3003</v>
      </c>
      <c r="D1302" t="s">
        <v>3004</v>
      </c>
      <c r="E1302" t="s">
        <v>40</v>
      </c>
      <c r="F1302" t="s">
        <v>3005</v>
      </c>
      <c r="G1302" t="s">
        <v>3006</v>
      </c>
      <c r="H1302" t="str">
        <f>'Huong dan giao do an'!$B$14</f>
        <v>5 SV (vai trò chính): 1 PM/Scrum Master kiêm Integration; 2 BA/PO; 3 UI-UX + Frontend; 4 Backend/API + DevOps; 5 Database + QA/Tester. Mỗi SV có nhiệm vụ phụ và minh chứng cá nhân.</v>
      </c>
      <c r="I1302" t="s">
        <v>22</v>
      </c>
      <c r="J1302" t="s">
        <v>3007</v>
      </c>
      <c r="K1302" t="str">
        <f>IF(I1302="Trung bình",'Huong dan giao do an'!$B$8,IF(I1302="Khá",'Huong dan giao do an'!$B$9,'Huong dan giao do an'!$B$10))</f>
        <v>Tối thiểu 4 actor; 10-14 use case; 8-12 bảng; 3 quy trình lõi; phân quyền chi tiết; 2 báo cáo; tích hợp 1 dịch vụ; &gt;=35 test case; CI/CD hoặc deploy cloud.</v>
      </c>
      <c r="L1302" t="str">
        <f>'Huong dan giao do an'!$B$31</f>
        <v>Bắt buộc: Charter/PMP; SRS + scope/WBS; Gantt/baseline; effort-cost budget; RACI/timesheet; quality-test-defect; communication/minutes; risk register; procurement; change log; closure/lessons learned.</v>
      </c>
      <c r="M1302" t="str">
        <f>'Huong dan giao do an'!$B$33</f>
        <v>Tuần 1: 07.09–13.09.2026; Tuần 2: 14.09–20.09.2026; Tuần 3: 21.09–27.09.2026; Tuần 4: 28.09–04.10.2026; Tuần 5: 05.10–11.10.2026; Tuần 6: 12.10–18.10.2026; Tuần 7: 19.10–25.10.2026; Tuần 8: 26.10–01.11.2026.</v>
      </c>
      <c r="N13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2" s="17" t="str">
        <f t="shared" si="20"/>
        <v>Còn trống</v>
      </c>
    </row>
    <row r="1303" spans="1:16" x14ac:dyDescent="0.3">
      <c r="A1303">
        <v>1302</v>
      </c>
      <c r="B1303" t="s">
        <v>3002</v>
      </c>
      <c r="C1303" t="s">
        <v>3008</v>
      </c>
      <c r="D1303" t="s">
        <v>3009</v>
      </c>
      <c r="E1303" t="s">
        <v>45</v>
      </c>
      <c r="F1303" t="s">
        <v>3010</v>
      </c>
      <c r="G1303" t="s">
        <v>3011</v>
      </c>
      <c r="H1303" t="str">
        <f>'Huong dan giao do an'!$B$14</f>
        <v>5 SV (vai trò chính): 1 PM/Scrum Master kiêm Integration; 2 BA/PO; 3 UI-UX + Frontend; 4 Backend/API + DevOps; 5 Database + QA/Tester. Mỗi SV có nhiệm vụ phụ và minh chứng cá nhân.</v>
      </c>
      <c r="I1303" t="s">
        <v>29</v>
      </c>
      <c r="J1303" t="s">
        <v>3012</v>
      </c>
      <c r="K1303" t="str">
        <f>IF(I1303="Trung bình",'Huong dan giao do an'!$B$8,IF(I1303="Khá",'Huong dan giao do an'!$B$9,'Huong dan giao do an'!$B$10))</f>
        <v>Tối thiểu 5 actor; 14-18 use case; 10-15 bảng; 4 quy trình; tích hợp ngoài/realtime hoặc xử lý nâng cao; 3 báo cáo; &gt;=45 test case; logging, backup và deploy.</v>
      </c>
      <c r="L1303" t="str">
        <f>'Huong dan giao do an'!$B$31</f>
        <v>Bắt buộc: Charter/PMP; SRS + scope/WBS; Gantt/baseline; effort-cost budget; RACI/timesheet; quality-test-defect; communication/minutes; risk register; procurement; change log; closure/lessons learned.</v>
      </c>
      <c r="M1303" t="str">
        <f>'Huong dan giao do an'!$B$33</f>
        <v>Tuần 1: 07.09–13.09.2026; Tuần 2: 14.09–20.09.2026; Tuần 3: 21.09–27.09.2026; Tuần 4: 28.09–04.10.2026; Tuần 5: 05.10–11.10.2026; Tuần 6: 12.10–18.10.2026; Tuần 7: 19.10–25.10.2026; Tuần 8: 26.10–01.11.2026.</v>
      </c>
      <c r="N13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3" s="17" t="str">
        <f t="shared" si="20"/>
        <v>Còn trống</v>
      </c>
    </row>
    <row r="1304" spans="1:16" x14ac:dyDescent="0.3">
      <c r="A1304">
        <v>1303</v>
      </c>
      <c r="B1304" t="s">
        <v>3002</v>
      </c>
      <c r="C1304" t="s">
        <v>3013</v>
      </c>
      <c r="D1304" t="s">
        <v>3014</v>
      </c>
      <c r="E1304" t="s">
        <v>19</v>
      </c>
      <c r="F1304" t="s">
        <v>3015</v>
      </c>
      <c r="G1304" t="s">
        <v>3016</v>
      </c>
      <c r="H1304" t="str">
        <f>'Huong dan giao do an'!$B$14</f>
        <v>5 SV (vai trò chính): 1 PM/Scrum Master kiêm Integration; 2 BA/PO; 3 UI-UX + Frontend; 4 Backend/API + DevOps; 5 Database + QA/Tester. Mỗi SV có nhiệm vụ phụ và minh chứng cá nhân.</v>
      </c>
      <c r="I1304" t="s">
        <v>36</v>
      </c>
      <c r="J1304" t="s">
        <v>3017</v>
      </c>
      <c r="K1304" t="str">
        <f>IF(I1304="Trung bình",'Huong dan giao do an'!$B$8,IF(I1304="Khá",'Huong dan giao do an'!$B$9,'Huong dan giao do an'!$B$10))</f>
        <v>Tối thiểu 3 actor; 8-10 use case; 6-8 bảng dữ liệu; 2 quy trình lõi; đăng nhập/RBAC; 1 dashboard; 1 báo cáo; &gt;=25 test case; triển khai bản demo.</v>
      </c>
      <c r="L1304" t="str">
        <f>'Huong dan giao do an'!$B$31</f>
        <v>Bắt buộc: Charter/PMP; SRS + scope/WBS; Gantt/baseline; effort-cost budget; RACI/timesheet; quality-test-defect; communication/minutes; risk register; procurement; change log; closure/lessons learned.</v>
      </c>
      <c r="M1304" t="str">
        <f>'Huong dan giao do an'!$B$33</f>
        <v>Tuần 1: 07.09–13.09.2026; Tuần 2: 14.09–20.09.2026; Tuần 3: 21.09–27.09.2026; Tuần 4: 28.09–04.10.2026; Tuần 5: 05.10–11.10.2026; Tuần 6: 12.10–18.10.2026; Tuần 7: 19.10–25.10.2026; Tuần 8: 26.10–01.11.2026.</v>
      </c>
      <c r="N13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4" s="17" t="str">
        <f t="shared" si="20"/>
        <v>Còn trống</v>
      </c>
    </row>
    <row r="1305" spans="1:16" x14ac:dyDescent="0.3">
      <c r="A1305">
        <v>1304</v>
      </c>
      <c r="B1305" t="s">
        <v>3002</v>
      </c>
      <c r="C1305" t="s">
        <v>3018</v>
      </c>
      <c r="D1305" t="s">
        <v>3019</v>
      </c>
      <c r="E1305" t="s">
        <v>26</v>
      </c>
      <c r="F1305" t="s">
        <v>3020</v>
      </c>
      <c r="G1305" t="s">
        <v>3021</v>
      </c>
      <c r="H1305" t="str">
        <f>'Huong dan giao do an'!$B$14</f>
        <v>5 SV (vai trò chính): 1 PM/Scrum Master kiêm Integration; 2 BA/PO; 3 UI-UX + Frontend; 4 Backend/API + DevOps; 5 Database + QA/Tester. Mỗi SV có nhiệm vụ phụ và minh chứng cá nhân.</v>
      </c>
      <c r="I1305" t="s">
        <v>22</v>
      </c>
      <c r="J1305" t="s">
        <v>3007</v>
      </c>
      <c r="K1305" t="str">
        <f>IF(I1305="Trung bình",'Huong dan giao do an'!$B$8,IF(I1305="Khá",'Huong dan giao do an'!$B$9,'Huong dan giao do an'!$B$10))</f>
        <v>Tối thiểu 4 actor; 10-14 use case; 8-12 bảng; 3 quy trình lõi; phân quyền chi tiết; 2 báo cáo; tích hợp 1 dịch vụ; &gt;=35 test case; CI/CD hoặc deploy cloud.</v>
      </c>
      <c r="L1305" t="str">
        <f>'Huong dan giao do an'!$B$31</f>
        <v>Bắt buộc: Charter/PMP; SRS + scope/WBS; Gantt/baseline; effort-cost budget; RACI/timesheet; quality-test-defect; communication/minutes; risk register; procurement; change log; closure/lessons learned.</v>
      </c>
      <c r="M1305" t="str">
        <f>'Huong dan giao do an'!$B$33</f>
        <v>Tuần 1: 07.09–13.09.2026; Tuần 2: 14.09–20.09.2026; Tuần 3: 21.09–27.09.2026; Tuần 4: 28.09–04.10.2026; Tuần 5: 05.10–11.10.2026; Tuần 6: 12.10–18.10.2026; Tuần 7: 19.10–25.10.2026; Tuần 8: 26.10–01.11.2026.</v>
      </c>
      <c r="N13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5" s="17" t="str">
        <f t="shared" si="20"/>
        <v>Còn trống</v>
      </c>
    </row>
    <row r="1306" spans="1:16" x14ac:dyDescent="0.3">
      <c r="A1306">
        <v>1305</v>
      </c>
      <c r="B1306" t="s">
        <v>3002</v>
      </c>
      <c r="C1306" t="s">
        <v>3022</v>
      </c>
      <c r="D1306" t="s">
        <v>3023</v>
      </c>
      <c r="E1306" t="s">
        <v>33</v>
      </c>
      <c r="F1306" t="s">
        <v>3024</v>
      </c>
      <c r="G1306" t="s">
        <v>3025</v>
      </c>
      <c r="H1306" t="str">
        <f>'Huong dan giao do an'!$B$14</f>
        <v>5 SV (vai trò chính): 1 PM/Scrum Master kiêm Integration; 2 BA/PO; 3 UI-UX + Frontend; 4 Backend/API + DevOps; 5 Database + QA/Tester. Mỗi SV có nhiệm vụ phụ và minh chứng cá nhân.</v>
      </c>
      <c r="I1306" t="s">
        <v>29</v>
      </c>
      <c r="J1306" t="s">
        <v>3012</v>
      </c>
      <c r="K1306" t="str">
        <f>IF(I1306="Trung bình",'Huong dan giao do an'!$B$8,IF(I1306="Khá",'Huong dan giao do an'!$B$9,'Huong dan giao do an'!$B$10))</f>
        <v>Tối thiểu 5 actor; 14-18 use case; 10-15 bảng; 4 quy trình; tích hợp ngoài/realtime hoặc xử lý nâng cao; 3 báo cáo; &gt;=45 test case; logging, backup và deploy.</v>
      </c>
      <c r="L1306" t="str">
        <f>'Huong dan giao do an'!$B$31</f>
        <v>Bắt buộc: Charter/PMP; SRS + scope/WBS; Gantt/baseline; effort-cost budget; RACI/timesheet; quality-test-defect; communication/minutes; risk register; procurement; change log; closure/lessons learned.</v>
      </c>
      <c r="M1306" t="str">
        <f>'Huong dan giao do an'!$B$33</f>
        <v>Tuần 1: 07.09–13.09.2026; Tuần 2: 14.09–20.09.2026; Tuần 3: 21.09–27.09.2026; Tuần 4: 28.09–04.10.2026; Tuần 5: 05.10–11.10.2026; Tuần 6: 12.10–18.10.2026; Tuần 7: 19.10–25.10.2026; Tuần 8: 26.10–01.11.2026.</v>
      </c>
      <c r="N13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6" s="17" t="str">
        <f t="shared" si="20"/>
        <v>Còn trống</v>
      </c>
    </row>
    <row r="1307" spans="1:16" x14ac:dyDescent="0.3">
      <c r="A1307">
        <v>1306</v>
      </c>
      <c r="B1307" t="s">
        <v>3002</v>
      </c>
      <c r="C1307" t="s">
        <v>3026</v>
      </c>
      <c r="D1307" t="s">
        <v>3027</v>
      </c>
      <c r="E1307" t="s">
        <v>40</v>
      </c>
      <c r="F1307" t="s">
        <v>3005</v>
      </c>
      <c r="G1307" t="s">
        <v>3028</v>
      </c>
      <c r="H1307" t="str">
        <f>'Huong dan giao do an'!$B$14</f>
        <v>5 SV (vai trò chính): 1 PM/Scrum Master kiêm Integration; 2 BA/PO; 3 UI-UX + Frontend; 4 Backend/API + DevOps; 5 Database + QA/Tester. Mỗi SV có nhiệm vụ phụ và minh chứng cá nhân.</v>
      </c>
      <c r="I1307" t="s">
        <v>36</v>
      </c>
      <c r="J1307" t="s">
        <v>3017</v>
      </c>
      <c r="K1307" t="str">
        <f>IF(I1307="Trung bình",'Huong dan giao do an'!$B$8,IF(I1307="Khá",'Huong dan giao do an'!$B$9,'Huong dan giao do an'!$B$10))</f>
        <v>Tối thiểu 3 actor; 8-10 use case; 6-8 bảng dữ liệu; 2 quy trình lõi; đăng nhập/RBAC; 1 dashboard; 1 báo cáo; &gt;=25 test case; triển khai bản demo.</v>
      </c>
      <c r="L1307" t="str">
        <f>'Huong dan giao do an'!$B$31</f>
        <v>Bắt buộc: Charter/PMP; SRS + scope/WBS; Gantt/baseline; effort-cost budget; RACI/timesheet; quality-test-defect; communication/minutes; risk register; procurement; change log; closure/lessons learned.</v>
      </c>
      <c r="M1307" t="str">
        <f>'Huong dan giao do an'!$B$33</f>
        <v>Tuần 1: 07.09–13.09.2026; Tuần 2: 14.09–20.09.2026; Tuần 3: 21.09–27.09.2026; Tuần 4: 28.09–04.10.2026; Tuần 5: 05.10–11.10.2026; Tuần 6: 12.10–18.10.2026; Tuần 7: 19.10–25.10.2026; Tuần 8: 26.10–01.11.2026.</v>
      </c>
      <c r="N13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7" s="17" t="str">
        <f t="shared" si="20"/>
        <v>Còn trống</v>
      </c>
    </row>
    <row r="1308" spans="1:16" x14ac:dyDescent="0.3">
      <c r="A1308">
        <v>1307</v>
      </c>
      <c r="B1308" t="s">
        <v>3002</v>
      </c>
      <c r="C1308" t="s">
        <v>3029</v>
      </c>
      <c r="D1308" t="s">
        <v>3030</v>
      </c>
      <c r="E1308" t="s">
        <v>45</v>
      </c>
      <c r="F1308" t="s">
        <v>3010</v>
      </c>
      <c r="G1308" t="s">
        <v>3031</v>
      </c>
      <c r="H1308" t="str">
        <f>'Huong dan giao do an'!$B$14</f>
        <v>5 SV (vai trò chính): 1 PM/Scrum Master kiêm Integration; 2 BA/PO; 3 UI-UX + Frontend; 4 Backend/API + DevOps; 5 Database + QA/Tester. Mỗi SV có nhiệm vụ phụ và minh chứng cá nhân.</v>
      </c>
      <c r="I1308" t="s">
        <v>22</v>
      </c>
      <c r="J1308" t="s">
        <v>3007</v>
      </c>
      <c r="K1308" t="str">
        <f>IF(I1308="Trung bình",'Huong dan giao do an'!$B$8,IF(I1308="Khá",'Huong dan giao do an'!$B$9,'Huong dan giao do an'!$B$10))</f>
        <v>Tối thiểu 4 actor; 10-14 use case; 8-12 bảng; 3 quy trình lõi; phân quyền chi tiết; 2 báo cáo; tích hợp 1 dịch vụ; &gt;=35 test case; CI/CD hoặc deploy cloud.</v>
      </c>
      <c r="L1308" t="str">
        <f>'Huong dan giao do an'!$B$31</f>
        <v>Bắt buộc: Charter/PMP; SRS + scope/WBS; Gantt/baseline; effort-cost budget; RACI/timesheet; quality-test-defect; communication/minutes; risk register; procurement; change log; closure/lessons learned.</v>
      </c>
      <c r="M1308" t="str">
        <f>'Huong dan giao do an'!$B$33</f>
        <v>Tuần 1: 07.09–13.09.2026; Tuần 2: 14.09–20.09.2026; Tuần 3: 21.09–27.09.2026; Tuần 4: 28.09–04.10.2026; Tuần 5: 05.10–11.10.2026; Tuần 6: 12.10–18.10.2026; Tuần 7: 19.10–25.10.2026; Tuần 8: 26.10–01.11.2026.</v>
      </c>
      <c r="N13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8" s="17" t="str">
        <f t="shared" si="20"/>
        <v>Còn trống</v>
      </c>
    </row>
    <row r="1309" spans="1:16" x14ac:dyDescent="0.3">
      <c r="A1309">
        <v>1308</v>
      </c>
      <c r="B1309" t="s">
        <v>3002</v>
      </c>
      <c r="C1309" t="s">
        <v>3032</v>
      </c>
      <c r="D1309" t="s">
        <v>3033</v>
      </c>
      <c r="E1309" t="s">
        <v>19</v>
      </c>
      <c r="F1309" t="s">
        <v>3015</v>
      </c>
      <c r="G1309" t="s">
        <v>3034</v>
      </c>
      <c r="H1309" t="str">
        <f>'Huong dan giao do an'!$B$14</f>
        <v>5 SV (vai trò chính): 1 PM/Scrum Master kiêm Integration; 2 BA/PO; 3 UI-UX + Frontend; 4 Backend/API + DevOps; 5 Database + QA/Tester. Mỗi SV có nhiệm vụ phụ và minh chứng cá nhân.</v>
      </c>
      <c r="I1309" t="s">
        <v>29</v>
      </c>
      <c r="J1309" t="s">
        <v>3012</v>
      </c>
      <c r="K1309" t="str">
        <f>IF(I1309="Trung bình",'Huong dan giao do an'!$B$8,IF(I1309="Khá",'Huong dan giao do an'!$B$9,'Huong dan giao do an'!$B$10))</f>
        <v>Tối thiểu 5 actor; 14-18 use case; 10-15 bảng; 4 quy trình; tích hợp ngoài/realtime hoặc xử lý nâng cao; 3 báo cáo; &gt;=45 test case; logging, backup và deploy.</v>
      </c>
      <c r="L1309" t="str">
        <f>'Huong dan giao do an'!$B$31</f>
        <v>Bắt buộc: Charter/PMP; SRS + scope/WBS; Gantt/baseline; effort-cost budget; RACI/timesheet; quality-test-defect; communication/minutes; risk register; procurement; change log; closure/lessons learned.</v>
      </c>
      <c r="M1309" t="str">
        <f>'Huong dan giao do an'!$B$33</f>
        <v>Tuần 1: 07.09–13.09.2026; Tuần 2: 14.09–20.09.2026; Tuần 3: 21.09–27.09.2026; Tuần 4: 28.09–04.10.2026; Tuần 5: 05.10–11.10.2026; Tuần 6: 12.10–18.10.2026; Tuần 7: 19.10–25.10.2026; Tuần 8: 26.10–01.11.2026.</v>
      </c>
      <c r="N13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09" s="17" t="str">
        <f t="shared" si="20"/>
        <v>Còn trống</v>
      </c>
    </row>
    <row r="1310" spans="1:16" x14ac:dyDescent="0.3">
      <c r="A1310">
        <v>1309</v>
      </c>
      <c r="B1310" t="s">
        <v>3002</v>
      </c>
      <c r="C1310" t="s">
        <v>3035</v>
      </c>
      <c r="D1310" t="s">
        <v>3036</v>
      </c>
      <c r="E1310" t="s">
        <v>26</v>
      </c>
      <c r="F1310" t="s">
        <v>3020</v>
      </c>
      <c r="G1310" t="s">
        <v>3037</v>
      </c>
      <c r="H1310" t="str">
        <f>'Huong dan giao do an'!$B$14</f>
        <v>5 SV (vai trò chính): 1 PM/Scrum Master kiêm Integration; 2 BA/PO; 3 UI-UX + Frontend; 4 Backend/API + DevOps; 5 Database + QA/Tester. Mỗi SV có nhiệm vụ phụ và minh chứng cá nhân.</v>
      </c>
      <c r="I1310" t="s">
        <v>36</v>
      </c>
      <c r="J1310" t="s">
        <v>3017</v>
      </c>
      <c r="K1310" t="str">
        <f>IF(I1310="Trung bình",'Huong dan giao do an'!$B$8,IF(I1310="Khá",'Huong dan giao do an'!$B$9,'Huong dan giao do an'!$B$10))</f>
        <v>Tối thiểu 3 actor; 8-10 use case; 6-8 bảng dữ liệu; 2 quy trình lõi; đăng nhập/RBAC; 1 dashboard; 1 báo cáo; &gt;=25 test case; triển khai bản demo.</v>
      </c>
      <c r="L1310" t="str">
        <f>'Huong dan giao do an'!$B$31</f>
        <v>Bắt buộc: Charter/PMP; SRS + scope/WBS; Gantt/baseline; effort-cost budget; RACI/timesheet; quality-test-defect; communication/minutes; risk register; procurement; change log; closure/lessons learned.</v>
      </c>
      <c r="M1310" t="str">
        <f>'Huong dan giao do an'!$B$33</f>
        <v>Tuần 1: 07.09–13.09.2026; Tuần 2: 14.09–20.09.2026; Tuần 3: 21.09–27.09.2026; Tuần 4: 28.09–04.10.2026; Tuần 5: 05.10–11.10.2026; Tuần 6: 12.10–18.10.2026; Tuần 7: 19.10–25.10.2026; Tuần 8: 26.10–01.11.2026.</v>
      </c>
      <c r="N13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0" s="17" t="str">
        <f t="shared" si="20"/>
        <v>Còn trống</v>
      </c>
    </row>
    <row r="1311" spans="1:16" x14ac:dyDescent="0.3">
      <c r="A1311">
        <v>1310</v>
      </c>
      <c r="B1311" t="s">
        <v>3002</v>
      </c>
      <c r="C1311" t="s">
        <v>3038</v>
      </c>
      <c r="D1311" t="s">
        <v>3039</v>
      </c>
      <c r="E1311" t="s">
        <v>33</v>
      </c>
      <c r="F1311" t="s">
        <v>3024</v>
      </c>
      <c r="G1311" t="s">
        <v>3040</v>
      </c>
      <c r="H1311" t="str">
        <f>'Huong dan giao do an'!$B$14</f>
        <v>5 SV (vai trò chính): 1 PM/Scrum Master kiêm Integration; 2 BA/PO; 3 UI-UX + Frontend; 4 Backend/API + DevOps; 5 Database + QA/Tester. Mỗi SV có nhiệm vụ phụ và minh chứng cá nhân.</v>
      </c>
      <c r="I1311" t="s">
        <v>22</v>
      </c>
      <c r="J1311" t="s">
        <v>3007</v>
      </c>
      <c r="K1311" t="str">
        <f>IF(I1311="Trung bình",'Huong dan giao do an'!$B$8,IF(I1311="Khá",'Huong dan giao do an'!$B$9,'Huong dan giao do an'!$B$10))</f>
        <v>Tối thiểu 4 actor; 10-14 use case; 8-12 bảng; 3 quy trình lõi; phân quyền chi tiết; 2 báo cáo; tích hợp 1 dịch vụ; &gt;=35 test case; CI/CD hoặc deploy cloud.</v>
      </c>
      <c r="L1311" t="str">
        <f>'Huong dan giao do an'!$B$31</f>
        <v>Bắt buộc: Charter/PMP; SRS + scope/WBS; Gantt/baseline; effort-cost budget; RACI/timesheet; quality-test-defect; communication/minutes; risk register; procurement; change log; closure/lessons learned.</v>
      </c>
      <c r="M1311" t="str">
        <f>'Huong dan giao do an'!$B$33</f>
        <v>Tuần 1: 07.09–13.09.2026; Tuần 2: 14.09–20.09.2026; Tuần 3: 21.09–27.09.2026; Tuần 4: 28.09–04.10.2026; Tuần 5: 05.10–11.10.2026; Tuần 6: 12.10–18.10.2026; Tuần 7: 19.10–25.10.2026; Tuần 8: 26.10–01.11.2026.</v>
      </c>
      <c r="N13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1" s="17" t="str">
        <f t="shared" si="20"/>
        <v>Còn trống</v>
      </c>
    </row>
    <row r="1312" spans="1:16" x14ac:dyDescent="0.3">
      <c r="A1312">
        <v>1311</v>
      </c>
      <c r="B1312" t="s">
        <v>3002</v>
      </c>
      <c r="C1312" t="s">
        <v>3041</v>
      </c>
      <c r="D1312" t="s">
        <v>3042</v>
      </c>
      <c r="E1312" t="s">
        <v>40</v>
      </c>
      <c r="F1312" t="s">
        <v>3005</v>
      </c>
      <c r="G1312" t="s">
        <v>3043</v>
      </c>
      <c r="H1312" t="str">
        <f>'Huong dan giao do an'!$B$14</f>
        <v>5 SV (vai trò chính): 1 PM/Scrum Master kiêm Integration; 2 BA/PO; 3 UI-UX + Frontend; 4 Backend/API + DevOps; 5 Database + QA/Tester. Mỗi SV có nhiệm vụ phụ và minh chứng cá nhân.</v>
      </c>
      <c r="I1312" t="s">
        <v>29</v>
      </c>
      <c r="J1312" t="s">
        <v>3012</v>
      </c>
      <c r="K1312" t="str">
        <f>IF(I1312="Trung bình",'Huong dan giao do an'!$B$8,IF(I1312="Khá",'Huong dan giao do an'!$B$9,'Huong dan giao do an'!$B$10))</f>
        <v>Tối thiểu 5 actor; 14-18 use case; 10-15 bảng; 4 quy trình; tích hợp ngoài/realtime hoặc xử lý nâng cao; 3 báo cáo; &gt;=45 test case; logging, backup và deploy.</v>
      </c>
      <c r="L1312" t="str">
        <f>'Huong dan giao do an'!$B$31</f>
        <v>Bắt buộc: Charter/PMP; SRS + scope/WBS; Gantt/baseline; effort-cost budget; RACI/timesheet; quality-test-defect; communication/minutes; risk register; procurement; change log; closure/lessons learned.</v>
      </c>
      <c r="M1312" t="str">
        <f>'Huong dan giao do an'!$B$33</f>
        <v>Tuần 1: 07.09–13.09.2026; Tuần 2: 14.09–20.09.2026; Tuần 3: 21.09–27.09.2026; Tuần 4: 28.09–04.10.2026; Tuần 5: 05.10–11.10.2026; Tuần 6: 12.10–18.10.2026; Tuần 7: 19.10–25.10.2026; Tuần 8: 26.10–01.11.2026.</v>
      </c>
      <c r="N13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2" s="17" t="str">
        <f t="shared" si="20"/>
        <v>Còn trống</v>
      </c>
    </row>
    <row r="1313" spans="1:16" x14ac:dyDescent="0.3">
      <c r="A1313">
        <v>1312</v>
      </c>
      <c r="B1313" t="s">
        <v>3002</v>
      </c>
      <c r="C1313" t="s">
        <v>3044</v>
      </c>
      <c r="D1313" t="s">
        <v>3045</v>
      </c>
      <c r="E1313" t="s">
        <v>45</v>
      </c>
      <c r="F1313" t="s">
        <v>3010</v>
      </c>
      <c r="G1313" t="s">
        <v>3046</v>
      </c>
      <c r="H1313" t="str">
        <f>'Huong dan giao do an'!$B$14</f>
        <v>5 SV (vai trò chính): 1 PM/Scrum Master kiêm Integration; 2 BA/PO; 3 UI-UX + Frontend; 4 Backend/API + DevOps; 5 Database + QA/Tester. Mỗi SV có nhiệm vụ phụ và minh chứng cá nhân.</v>
      </c>
      <c r="I1313" t="s">
        <v>36</v>
      </c>
      <c r="J1313" t="s">
        <v>3017</v>
      </c>
      <c r="K1313" t="str">
        <f>IF(I1313="Trung bình",'Huong dan giao do an'!$B$8,IF(I1313="Khá",'Huong dan giao do an'!$B$9,'Huong dan giao do an'!$B$10))</f>
        <v>Tối thiểu 3 actor; 8-10 use case; 6-8 bảng dữ liệu; 2 quy trình lõi; đăng nhập/RBAC; 1 dashboard; 1 báo cáo; &gt;=25 test case; triển khai bản demo.</v>
      </c>
      <c r="L1313" t="str">
        <f>'Huong dan giao do an'!$B$31</f>
        <v>Bắt buộc: Charter/PMP; SRS + scope/WBS; Gantt/baseline; effort-cost budget; RACI/timesheet; quality-test-defect; communication/minutes; risk register; procurement; change log; closure/lessons learned.</v>
      </c>
      <c r="M1313" t="str">
        <f>'Huong dan giao do an'!$B$33</f>
        <v>Tuần 1: 07.09–13.09.2026; Tuần 2: 14.09–20.09.2026; Tuần 3: 21.09–27.09.2026; Tuần 4: 28.09–04.10.2026; Tuần 5: 05.10–11.10.2026; Tuần 6: 12.10–18.10.2026; Tuần 7: 19.10–25.10.2026; Tuần 8: 26.10–01.11.2026.</v>
      </c>
      <c r="N13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3" s="17" t="str">
        <f t="shared" si="20"/>
        <v>Còn trống</v>
      </c>
    </row>
    <row r="1314" spans="1:16" x14ac:dyDescent="0.3">
      <c r="A1314">
        <v>1313</v>
      </c>
      <c r="B1314" t="s">
        <v>3002</v>
      </c>
      <c r="C1314" t="s">
        <v>3047</v>
      </c>
      <c r="D1314" t="s">
        <v>3048</v>
      </c>
      <c r="E1314" t="s">
        <v>19</v>
      </c>
      <c r="F1314" t="s">
        <v>3015</v>
      </c>
      <c r="G1314" t="s">
        <v>3049</v>
      </c>
      <c r="H1314" t="str">
        <f>'Huong dan giao do an'!$B$14</f>
        <v>5 SV (vai trò chính): 1 PM/Scrum Master kiêm Integration; 2 BA/PO; 3 UI-UX + Frontend; 4 Backend/API + DevOps; 5 Database + QA/Tester. Mỗi SV có nhiệm vụ phụ và minh chứng cá nhân.</v>
      </c>
      <c r="I1314" t="s">
        <v>22</v>
      </c>
      <c r="J1314" t="s">
        <v>3007</v>
      </c>
      <c r="K1314" t="str">
        <f>IF(I1314="Trung bình",'Huong dan giao do an'!$B$8,IF(I1314="Khá",'Huong dan giao do an'!$B$9,'Huong dan giao do an'!$B$10))</f>
        <v>Tối thiểu 4 actor; 10-14 use case; 8-12 bảng; 3 quy trình lõi; phân quyền chi tiết; 2 báo cáo; tích hợp 1 dịch vụ; &gt;=35 test case; CI/CD hoặc deploy cloud.</v>
      </c>
      <c r="L1314" t="str">
        <f>'Huong dan giao do an'!$B$31</f>
        <v>Bắt buộc: Charter/PMP; SRS + scope/WBS; Gantt/baseline; effort-cost budget; RACI/timesheet; quality-test-defect; communication/minutes; risk register; procurement; change log; closure/lessons learned.</v>
      </c>
      <c r="M1314" t="str">
        <f>'Huong dan giao do an'!$B$33</f>
        <v>Tuần 1: 07.09–13.09.2026; Tuần 2: 14.09–20.09.2026; Tuần 3: 21.09–27.09.2026; Tuần 4: 28.09–04.10.2026; Tuần 5: 05.10–11.10.2026; Tuần 6: 12.10–18.10.2026; Tuần 7: 19.10–25.10.2026; Tuần 8: 26.10–01.11.2026.</v>
      </c>
      <c r="N13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4" s="17" t="str">
        <f t="shared" si="20"/>
        <v>Còn trống</v>
      </c>
    </row>
    <row r="1315" spans="1:16" x14ac:dyDescent="0.3">
      <c r="A1315">
        <v>1314</v>
      </c>
      <c r="B1315" t="s">
        <v>3002</v>
      </c>
      <c r="C1315" t="s">
        <v>3050</v>
      </c>
      <c r="D1315" t="s">
        <v>3051</v>
      </c>
      <c r="E1315" t="s">
        <v>26</v>
      </c>
      <c r="F1315" t="s">
        <v>3020</v>
      </c>
      <c r="G1315" t="s">
        <v>3052</v>
      </c>
      <c r="H1315" t="str">
        <f>'Huong dan giao do an'!$B$14</f>
        <v>5 SV (vai trò chính): 1 PM/Scrum Master kiêm Integration; 2 BA/PO; 3 UI-UX + Frontend; 4 Backend/API + DevOps; 5 Database + QA/Tester. Mỗi SV có nhiệm vụ phụ và minh chứng cá nhân.</v>
      </c>
      <c r="I1315" t="s">
        <v>29</v>
      </c>
      <c r="J1315" t="s">
        <v>3012</v>
      </c>
      <c r="K1315" t="str">
        <f>IF(I1315="Trung bình",'Huong dan giao do an'!$B$8,IF(I1315="Khá",'Huong dan giao do an'!$B$9,'Huong dan giao do an'!$B$10))</f>
        <v>Tối thiểu 5 actor; 14-18 use case; 10-15 bảng; 4 quy trình; tích hợp ngoài/realtime hoặc xử lý nâng cao; 3 báo cáo; &gt;=45 test case; logging, backup và deploy.</v>
      </c>
      <c r="L1315" t="str">
        <f>'Huong dan giao do an'!$B$31</f>
        <v>Bắt buộc: Charter/PMP; SRS + scope/WBS; Gantt/baseline; effort-cost budget; RACI/timesheet; quality-test-defect; communication/minutes; risk register; procurement; change log; closure/lessons learned.</v>
      </c>
      <c r="M1315" t="str">
        <f>'Huong dan giao do an'!$B$33</f>
        <v>Tuần 1: 07.09–13.09.2026; Tuần 2: 14.09–20.09.2026; Tuần 3: 21.09–27.09.2026; Tuần 4: 28.09–04.10.2026; Tuần 5: 05.10–11.10.2026; Tuần 6: 12.10–18.10.2026; Tuần 7: 19.10–25.10.2026; Tuần 8: 26.10–01.11.2026.</v>
      </c>
      <c r="N13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5" s="17" t="str">
        <f t="shared" si="20"/>
        <v>Còn trống</v>
      </c>
    </row>
    <row r="1316" spans="1:16" x14ac:dyDescent="0.3">
      <c r="A1316">
        <v>1315</v>
      </c>
      <c r="B1316" t="s">
        <v>3002</v>
      </c>
      <c r="C1316" t="s">
        <v>3053</v>
      </c>
      <c r="D1316" t="s">
        <v>3054</v>
      </c>
      <c r="E1316" t="s">
        <v>33</v>
      </c>
      <c r="F1316" t="s">
        <v>3024</v>
      </c>
      <c r="G1316" t="s">
        <v>3055</v>
      </c>
      <c r="H1316" t="str">
        <f>'Huong dan giao do an'!$B$14</f>
        <v>5 SV (vai trò chính): 1 PM/Scrum Master kiêm Integration; 2 BA/PO; 3 UI-UX + Frontend; 4 Backend/API + DevOps; 5 Database + QA/Tester. Mỗi SV có nhiệm vụ phụ và minh chứng cá nhân.</v>
      </c>
      <c r="I1316" t="s">
        <v>36</v>
      </c>
      <c r="J1316" t="s">
        <v>3017</v>
      </c>
      <c r="K1316" t="str">
        <f>IF(I1316="Trung bình",'Huong dan giao do an'!$B$8,IF(I1316="Khá",'Huong dan giao do an'!$B$9,'Huong dan giao do an'!$B$10))</f>
        <v>Tối thiểu 3 actor; 8-10 use case; 6-8 bảng dữ liệu; 2 quy trình lõi; đăng nhập/RBAC; 1 dashboard; 1 báo cáo; &gt;=25 test case; triển khai bản demo.</v>
      </c>
      <c r="L1316" t="str">
        <f>'Huong dan giao do an'!$B$31</f>
        <v>Bắt buộc: Charter/PMP; SRS + scope/WBS; Gantt/baseline; effort-cost budget; RACI/timesheet; quality-test-defect; communication/minutes; risk register; procurement; change log; closure/lessons learned.</v>
      </c>
      <c r="M1316" t="str">
        <f>'Huong dan giao do an'!$B$33</f>
        <v>Tuần 1: 07.09–13.09.2026; Tuần 2: 14.09–20.09.2026; Tuần 3: 21.09–27.09.2026; Tuần 4: 28.09–04.10.2026; Tuần 5: 05.10–11.10.2026; Tuần 6: 12.10–18.10.2026; Tuần 7: 19.10–25.10.2026; Tuần 8: 26.10–01.11.2026.</v>
      </c>
      <c r="N13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6" s="17" t="str">
        <f t="shared" si="20"/>
        <v>Còn trống</v>
      </c>
    </row>
    <row r="1317" spans="1:16" x14ac:dyDescent="0.3">
      <c r="A1317">
        <v>1316</v>
      </c>
      <c r="B1317" t="s">
        <v>3002</v>
      </c>
      <c r="C1317" t="s">
        <v>3056</v>
      </c>
      <c r="D1317" t="s">
        <v>3057</v>
      </c>
      <c r="E1317" t="s">
        <v>40</v>
      </c>
      <c r="F1317" t="s">
        <v>3005</v>
      </c>
      <c r="G1317" t="s">
        <v>3058</v>
      </c>
      <c r="H1317" t="str">
        <f>'Huong dan giao do an'!$B$14</f>
        <v>5 SV (vai trò chính): 1 PM/Scrum Master kiêm Integration; 2 BA/PO; 3 UI-UX + Frontend; 4 Backend/API + DevOps; 5 Database + QA/Tester. Mỗi SV có nhiệm vụ phụ và minh chứng cá nhân.</v>
      </c>
      <c r="I1317" t="s">
        <v>22</v>
      </c>
      <c r="J1317" t="s">
        <v>3007</v>
      </c>
      <c r="K1317" t="str">
        <f>IF(I1317="Trung bình",'Huong dan giao do an'!$B$8,IF(I1317="Khá",'Huong dan giao do an'!$B$9,'Huong dan giao do an'!$B$10))</f>
        <v>Tối thiểu 4 actor; 10-14 use case; 8-12 bảng; 3 quy trình lõi; phân quyền chi tiết; 2 báo cáo; tích hợp 1 dịch vụ; &gt;=35 test case; CI/CD hoặc deploy cloud.</v>
      </c>
      <c r="L1317" t="str">
        <f>'Huong dan giao do an'!$B$31</f>
        <v>Bắt buộc: Charter/PMP; SRS + scope/WBS; Gantt/baseline; effort-cost budget; RACI/timesheet; quality-test-defect; communication/minutes; risk register; procurement; change log; closure/lessons learned.</v>
      </c>
      <c r="M1317" t="str">
        <f>'Huong dan giao do an'!$B$33</f>
        <v>Tuần 1: 07.09–13.09.2026; Tuần 2: 14.09–20.09.2026; Tuần 3: 21.09–27.09.2026; Tuần 4: 28.09–04.10.2026; Tuần 5: 05.10–11.10.2026; Tuần 6: 12.10–18.10.2026; Tuần 7: 19.10–25.10.2026; Tuần 8: 26.10–01.11.2026.</v>
      </c>
      <c r="N13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7" s="17" t="str">
        <f t="shared" si="20"/>
        <v>Còn trống</v>
      </c>
    </row>
    <row r="1318" spans="1:16" x14ac:dyDescent="0.3">
      <c r="A1318">
        <v>1317</v>
      </c>
      <c r="B1318" t="s">
        <v>3002</v>
      </c>
      <c r="C1318" t="s">
        <v>3059</v>
      </c>
      <c r="D1318" t="s">
        <v>3060</v>
      </c>
      <c r="E1318" t="s">
        <v>45</v>
      </c>
      <c r="F1318" t="s">
        <v>3010</v>
      </c>
      <c r="G1318" t="s">
        <v>3061</v>
      </c>
      <c r="H1318" t="str">
        <f>'Huong dan giao do an'!$B$14</f>
        <v>5 SV (vai trò chính): 1 PM/Scrum Master kiêm Integration; 2 BA/PO; 3 UI-UX + Frontend; 4 Backend/API + DevOps; 5 Database + QA/Tester. Mỗi SV có nhiệm vụ phụ và minh chứng cá nhân.</v>
      </c>
      <c r="I1318" t="s">
        <v>29</v>
      </c>
      <c r="J1318" t="s">
        <v>3012</v>
      </c>
      <c r="K1318" t="str">
        <f>IF(I1318="Trung bình",'Huong dan giao do an'!$B$8,IF(I1318="Khá",'Huong dan giao do an'!$B$9,'Huong dan giao do an'!$B$10))</f>
        <v>Tối thiểu 5 actor; 14-18 use case; 10-15 bảng; 4 quy trình; tích hợp ngoài/realtime hoặc xử lý nâng cao; 3 báo cáo; &gt;=45 test case; logging, backup và deploy.</v>
      </c>
      <c r="L1318" t="str">
        <f>'Huong dan giao do an'!$B$31</f>
        <v>Bắt buộc: Charter/PMP; SRS + scope/WBS; Gantt/baseline; effort-cost budget; RACI/timesheet; quality-test-defect; communication/minutes; risk register; procurement; change log; closure/lessons learned.</v>
      </c>
      <c r="M1318" t="str">
        <f>'Huong dan giao do an'!$B$33</f>
        <v>Tuần 1: 07.09–13.09.2026; Tuần 2: 14.09–20.09.2026; Tuần 3: 21.09–27.09.2026; Tuần 4: 28.09–04.10.2026; Tuần 5: 05.10–11.10.2026; Tuần 6: 12.10–18.10.2026; Tuần 7: 19.10–25.10.2026; Tuần 8: 26.10–01.11.2026.</v>
      </c>
      <c r="N13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8" s="17" t="str">
        <f t="shared" si="20"/>
        <v>Còn trống</v>
      </c>
    </row>
    <row r="1319" spans="1:16" x14ac:dyDescent="0.3">
      <c r="A1319">
        <v>1318</v>
      </c>
      <c r="B1319" t="s">
        <v>3002</v>
      </c>
      <c r="C1319" t="s">
        <v>3062</v>
      </c>
      <c r="D1319" t="s">
        <v>3063</v>
      </c>
      <c r="E1319" t="s">
        <v>19</v>
      </c>
      <c r="F1319" t="s">
        <v>3015</v>
      </c>
      <c r="G1319" t="s">
        <v>3064</v>
      </c>
      <c r="H1319" t="str">
        <f>'Huong dan giao do an'!$B$14</f>
        <v>5 SV (vai trò chính): 1 PM/Scrum Master kiêm Integration; 2 BA/PO; 3 UI-UX + Frontend; 4 Backend/API + DevOps; 5 Database + QA/Tester. Mỗi SV có nhiệm vụ phụ và minh chứng cá nhân.</v>
      </c>
      <c r="I1319" t="s">
        <v>36</v>
      </c>
      <c r="J1319" t="s">
        <v>3017</v>
      </c>
      <c r="K1319" t="str">
        <f>IF(I1319="Trung bình",'Huong dan giao do an'!$B$8,IF(I1319="Khá",'Huong dan giao do an'!$B$9,'Huong dan giao do an'!$B$10))</f>
        <v>Tối thiểu 3 actor; 8-10 use case; 6-8 bảng dữ liệu; 2 quy trình lõi; đăng nhập/RBAC; 1 dashboard; 1 báo cáo; &gt;=25 test case; triển khai bản demo.</v>
      </c>
      <c r="L1319" t="str">
        <f>'Huong dan giao do an'!$B$31</f>
        <v>Bắt buộc: Charter/PMP; SRS + scope/WBS; Gantt/baseline; effort-cost budget; RACI/timesheet; quality-test-defect; communication/minutes; risk register; procurement; change log; closure/lessons learned.</v>
      </c>
      <c r="M1319" t="str">
        <f>'Huong dan giao do an'!$B$33</f>
        <v>Tuần 1: 07.09–13.09.2026; Tuần 2: 14.09–20.09.2026; Tuần 3: 21.09–27.09.2026; Tuần 4: 28.09–04.10.2026; Tuần 5: 05.10–11.10.2026; Tuần 6: 12.10–18.10.2026; Tuần 7: 19.10–25.10.2026; Tuần 8: 26.10–01.11.2026.</v>
      </c>
      <c r="N13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19" s="17" t="str">
        <f t="shared" si="20"/>
        <v>Còn trống</v>
      </c>
    </row>
    <row r="1320" spans="1:16" x14ac:dyDescent="0.3">
      <c r="A1320">
        <v>1319</v>
      </c>
      <c r="B1320" t="s">
        <v>3002</v>
      </c>
      <c r="C1320" t="s">
        <v>3065</v>
      </c>
      <c r="D1320" t="s">
        <v>3066</v>
      </c>
      <c r="E1320" t="s">
        <v>26</v>
      </c>
      <c r="F1320" t="s">
        <v>3020</v>
      </c>
      <c r="G1320" t="s">
        <v>3067</v>
      </c>
      <c r="H1320" t="str">
        <f>'Huong dan giao do an'!$B$14</f>
        <v>5 SV (vai trò chính): 1 PM/Scrum Master kiêm Integration; 2 BA/PO; 3 UI-UX + Frontend; 4 Backend/API + DevOps; 5 Database + QA/Tester. Mỗi SV có nhiệm vụ phụ và minh chứng cá nhân.</v>
      </c>
      <c r="I1320" t="s">
        <v>22</v>
      </c>
      <c r="J1320" t="s">
        <v>3007</v>
      </c>
      <c r="K1320" t="str">
        <f>IF(I1320="Trung bình",'Huong dan giao do an'!$B$8,IF(I1320="Khá",'Huong dan giao do an'!$B$9,'Huong dan giao do an'!$B$10))</f>
        <v>Tối thiểu 4 actor; 10-14 use case; 8-12 bảng; 3 quy trình lõi; phân quyền chi tiết; 2 báo cáo; tích hợp 1 dịch vụ; &gt;=35 test case; CI/CD hoặc deploy cloud.</v>
      </c>
      <c r="L1320" t="str">
        <f>'Huong dan giao do an'!$B$31</f>
        <v>Bắt buộc: Charter/PMP; SRS + scope/WBS; Gantt/baseline; effort-cost budget; RACI/timesheet; quality-test-defect; communication/minutes; risk register; procurement; change log; closure/lessons learned.</v>
      </c>
      <c r="M1320" t="str">
        <f>'Huong dan giao do an'!$B$33</f>
        <v>Tuần 1: 07.09–13.09.2026; Tuần 2: 14.09–20.09.2026; Tuần 3: 21.09–27.09.2026; Tuần 4: 28.09–04.10.2026; Tuần 5: 05.10–11.10.2026; Tuần 6: 12.10–18.10.2026; Tuần 7: 19.10–25.10.2026; Tuần 8: 26.10–01.11.2026.</v>
      </c>
      <c r="N13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0" s="17" t="str">
        <f t="shared" si="20"/>
        <v>Còn trống</v>
      </c>
    </row>
    <row r="1321" spans="1:16" x14ac:dyDescent="0.3">
      <c r="A1321">
        <v>1320</v>
      </c>
      <c r="B1321" t="s">
        <v>3002</v>
      </c>
      <c r="C1321" t="s">
        <v>3068</v>
      </c>
      <c r="D1321" t="s">
        <v>3069</v>
      </c>
      <c r="E1321" t="s">
        <v>33</v>
      </c>
      <c r="F1321" t="s">
        <v>3024</v>
      </c>
      <c r="G1321" t="s">
        <v>3070</v>
      </c>
      <c r="H1321" t="str">
        <f>'Huong dan giao do an'!$B$14</f>
        <v>5 SV (vai trò chính): 1 PM/Scrum Master kiêm Integration; 2 BA/PO; 3 UI-UX + Frontend; 4 Backend/API + DevOps; 5 Database + QA/Tester. Mỗi SV có nhiệm vụ phụ và minh chứng cá nhân.</v>
      </c>
      <c r="I1321" t="s">
        <v>29</v>
      </c>
      <c r="J1321" t="s">
        <v>3012</v>
      </c>
      <c r="K1321" t="str">
        <f>IF(I1321="Trung bình",'Huong dan giao do an'!$B$8,IF(I1321="Khá",'Huong dan giao do an'!$B$9,'Huong dan giao do an'!$B$10))</f>
        <v>Tối thiểu 5 actor; 14-18 use case; 10-15 bảng; 4 quy trình; tích hợp ngoài/realtime hoặc xử lý nâng cao; 3 báo cáo; &gt;=45 test case; logging, backup và deploy.</v>
      </c>
      <c r="L1321" t="str">
        <f>'Huong dan giao do an'!$B$31</f>
        <v>Bắt buộc: Charter/PMP; SRS + scope/WBS; Gantt/baseline; effort-cost budget; RACI/timesheet; quality-test-defect; communication/minutes; risk register; procurement; change log; closure/lessons learned.</v>
      </c>
      <c r="M1321" t="str">
        <f>'Huong dan giao do an'!$B$33</f>
        <v>Tuần 1: 07.09–13.09.2026; Tuần 2: 14.09–20.09.2026; Tuần 3: 21.09–27.09.2026; Tuần 4: 28.09–04.10.2026; Tuần 5: 05.10–11.10.2026; Tuần 6: 12.10–18.10.2026; Tuần 7: 19.10–25.10.2026; Tuần 8: 26.10–01.11.2026.</v>
      </c>
      <c r="N13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1" s="17" t="str">
        <f t="shared" si="20"/>
        <v>Còn trống</v>
      </c>
    </row>
    <row r="1322" spans="1:16" x14ac:dyDescent="0.3">
      <c r="A1322">
        <v>1321</v>
      </c>
      <c r="B1322" t="s">
        <v>3002</v>
      </c>
      <c r="C1322" t="s">
        <v>3071</v>
      </c>
      <c r="D1322" t="s">
        <v>3072</v>
      </c>
      <c r="E1322" t="s">
        <v>40</v>
      </c>
      <c r="F1322" t="s">
        <v>3005</v>
      </c>
      <c r="G1322" t="s">
        <v>3006</v>
      </c>
      <c r="H1322" t="str">
        <f>'Huong dan giao do an'!$B$14</f>
        <v>5 SV (vai trò chính): 1 PM/Scrum Master kiêm Integration; 2 BA/PO; 3 UI-UX + Frontend; 4 Backend/API + DevOps; 5 Database + QA/Tester. Mỗi SV có nhiệm vụ phụ và minh chứng cá nhân.</v>
      </c>
      <c r="I1322" t="s">
        <v>22</v>
      </c>
      <c r="J1322" t="s">
        <v>3007</v>
      </c>
      <c r="K1322" t="str">
        <f>IF(I1322="Trung bình",'Huong dan giao do an'!$B$8,IF(I1322="Khá",'Huong dan giao do an'!$B$9,'Huong dan giao do an'!$B$10))</f>
        <v>Tối thiểu 4 actor; 10-14 use case; 8-12 bảng; 3 quy trình lõi; phân quyền chi tiết; 2 báo cáo; tích hợp 1 dịch vụ; &gt;=35 test case; CI/CD hoặc deploy cloud.</v>
      </c>
      <c r="L1322" t="str">
        <f>'Huong dan giao do an'!$B$31</f>
        <v>Bắt buộc: Charter/PMP; SRS + scope/WBS; Gantt/baseline; effort-cost budget; RACI/timesheet; quality-test-defect; communication/minutes; risk register; procurement; change log; closure/lessons learned.</v>
      </c>
      <c r="M1322" t="str">
        <f>'Huong dan giao do an'!$B$33</f>
        <v>Tuần 1: 07.09–13.09.2026; Tuần 2: 14.09–20.09.2026; Tuần 3: 21.09–27.09.2026; Tuần 4: 28.09–04.10.2026; Tuần 5: 05.10–11.10.2026; Tuần 6: 12.10–18.10.2026; Tuần 7: 19.10–25.10.2026; Tuần 8: 26.10–01.11.2026.</v>
      </c>
      <c r="N13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2" s="17" t="str">
        <f t="shared" si="20"/>
        <v>Còn trống</v>
      </c>
    </row>
    <row r="1323" spans="1:16" x14ac:dyDescent="0.3">
      <c r="A1323">
        <v>1322</v>
      </c>
      <c r="B1323" t="s">
        <v>3002</v>
      </c>
      <c r="C1323" t="s">
        <v>3073</v>
      </c>
      <c r="D1323" t="s">
        <v>3074</v>
      </c>
      <c r="E1323" t="s">
        <v>45</v>
      </c>
      <c r="F1323" t="s">
        <v>3010</v>
      </c>
      <c r="G1323" t="s">
        <v>3011</v>
      </c>
      <c r="H1323" t="str">
        <f>'Huong dan giao do an'!$B$14</f>
        <v>5 SV (vai trò chính): 1 PM/Scrum Master kiêm Integration; 2 BA/PO; 3 UI-UX + Frontend; 4 Backend/API + DevOps; 5 Database + QA/Tester. Mỗi SV có nhiệm vụ phụ và minh chứng cá nhân.</v>
      </c>
      <c r="I1323" t="s">
        <v>29</v>
      </c>
      <c r="J1323" t="s">
        <v>3012</v>
      </c>
      <c r="K1323" t="str">
        <f>IF(I1323="Trung bình",'Huong dan giao do an'!$B$8,IF(I1323="Khá",'Huong dan giao do an'!$B$9,'Huong dan giao do an'!$B$10))</f>
        <v>Tối thiểu 5 actor; 14-18 use case; 10-15 bảng; 4 quy trình; tích hợp ngoài/realtime hoặc xử lý nâng cao; 3 báo cáo; &gt;=45 test case; logging, backup và deploy.</v>
      </c>
      <c r="L1323" t="str">
        <f>'Huong dan giao do an'!$B$31</f>
        <v>Bắt buộc: Charter/PMP; SRS + scope/WBS; Gantt/baseline; effort-cost budget; RACI/timesheet; quality-test-defect; communication/minutes; risk register; procurement; change log; closure/lessons learned.</v>
      </c>
      <c r="M1323" t="str">
        <f>'Huong dan giao do an'!$B$33</f>
        <v>Tuần 1: 07.09–13.09.2026; Tuần 2: 14.09–20.09.2026; Tuần 3: 21.09–27.09.2026; Tuần 4: 28.09–04.10.2026; Tuần 5: 05.10–11.10.2026; Tuần 6: 12.10–18.10.2026; Tuần 7: 19.10–25.10.2026; Tuần 8: 26.10–01.11.2026.</v>
      </c>
      <c r="N13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3" s="17" t="str">
        <f t="shared" si="20"/>
        <v>Còn trống</v>
      </c>
    </row>
    <row r="1324" spans="1:16" x14ac:dyDescent="0.3">
      <c r="A1324">
        <v>1323</v>
      </c>
      <c r="B1324" t="s">
        <v>3002</v>
      </c>
      <c r="C1324" t="s">
        <v>3075</v>
      </c>
      <c r="D1324" t="s">
        <v>3076</v>
      </c>
      <c r="E1324" t="s">
        <v>19</v>
      </c>
      <c r="F1324" t="s">
        <v>3015</v>
      </c>
      <c r="G1324" t="s">
        <v>3016</v>
      </c>
      <c r="H1324" t="str">
        <f>'Huong dan giao do an'!$B$14</f>
        <v>5 SV (vai trò chính): 1 PM/Scrum Master kiêm Integration; 2 BA/PO; 3 UI-UX + Frontend; 4 Backend/API + DevOps; 5 Database + QA/Tester. Mỗi SV có nhiệm vụ phụ và minh chứng cá nhân.</v>
      </c>
      <c r="I1324" t="s">
        <v>36</v>
      </c>
      <c r="J1324" t="s">
        <v>3017</v>
      </c>
      <c r="K1324" t="str">
        <f>IF(I1324="Trung bình",'Huong dan giao do an'!$B$8,IF(I1324="Khá",'Huong dan giao do an'!$B$9,'Huong dan giao do an'!$B$10))</f>
        <v>Tối thiểu 3 actor; 8-10 use case; 6-8 bảng dữ liệu; 2 quy trình lõi; đăng nhập/RBAC; 1 dashboard; 1 báo cáo; &gt;=25 test case; triển khai bản demo.</v>
      </c>
      <c r="L1324" t="str">
        <f>'Huong dan giao do an'!$B$31</f>
        <v>Bắt buộc: Charter/PMP; SRS + scope/WBS; Gantt/baseline; effort-cost budget; RACI/timesheet; quality-test-defect; communication/minutes; risk register; procurement; change log; closure/lessons learned.</v>
      </c>
      <c r="M1324" t="str">
        <f>'Huong dan giao do an'!$B$33</f>
        <v>Tuần 1: 07.09–13.09.2026; Tuần 2: 14.09–20.09.2026; Tuần 3: 21.09–27.09.2026; Tuần 4: 28.09–04.10.2026; Tuần 5: 05.10–11.10.2026; Tuần 6: 12.10–18.10.2026; Tuần 7: 19.10–25.10.2026; Tuần 8: 26.10–01.11.2026.</v>
      </c>
      <c r="N13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4" s="17" t="str">
        <f t="shared" si="20"/>
        <v>Còn trống</v>
      </c>
    </row>
    <row r="1325" spans="1:16" x14ac:dyDescent="0.3">
      <c r="A1325">
        <v>1324</v>
      </c>
      <c r="B1325" t="s">
        <v>3002</v>
      </c>
      <c r="C1325" t="s">
        <v>3077</v>
      </c>
      <c r="D1325" t="s">
        <v>3078</v>
      </c>
      <c r="E1325" t="s">
        <v>26</v>
      </c>
      <c r="F1325" t="s">
        <v>3020</v>
      </c>
      <c r="G1325" t="s">
        <v>3021</v>
      </c>
      <c r="H1325" t="str">
        <f>'Huong dan giao do an'!$B$14</f>
        <v>5 SV (vai trò chính): 1 PM/Scrum Master kiêm Integration; 2 BA/PO; 3 UI-UX + Frontend; 4 Backend/API + DevOps; 5 Database + QA/Tester. Mỗi SV có nhiệm vụ phụ và minh chứng cá nhân.</v>
      </c>
      <c r="I1325" t="s">
        <v>22</v>
      </c>
      <c r="J1325" t="s">
        <v>3007</v>
      </c>
      <c r="K1325" t="str">
        <f>IF(I1325="Trung bình",'Huong dan giao do an'!$B$8,IF(I1325="Khá",'Huong dan giao do an'!$B$9,'Huong dan giao do an'!$B$10))</f>
        <v>Tối thiểu 4 actor; 10-14 use case; 8-12 bảng; 3 quy trình lõi; phân quyền chi tiết; 2 báo cáo; tích hợp 1 dịch vụ; &gt;=35 test case; CI/CD hoặc deploy cloud.</v>
      </c>
      <c r="L1325" t="str">
        <f>'Huong dan giao do an'!$B$31</f>
        <v>Bắt buộc: Charter/PMP; SRS + scope/WBS; Gantt/baseline; effort-cost budget; RACI/timesheet; quality-test-defect; communication/minutes; risk register; procurement; change log; closure/lessons learned.</v>
      </c>
      <c r="M1325" t="str">
        <f>'Huong dan giao do an'!$B$33</f>
        <v>Tuần 1: 07.09–13.09.2026; Tuần 2: 14.09–20.09.2026; Tuần 3: 21.09–27.09.2026; Tuần 4: 28.09–04.10.2026; Tuần 5: 05.10–11.10.2026; Tuần 6: 12.10–18.10.2026; Tuần 7: 19.10–25.10.2026; Tuần 8: 26.10–01.11.2026.</v>
      </c>
      <c r="N13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5" s="17" t="str">
        <f t="shared" si="20"/>
        <v>Còn trống</v>
      </c>
    </row>
    <row r="1326" spans="1:16" x14ac:dyDescent="0.3">
      <c r="A1326">
        <v>1325</v>
      </c>
      <c r="B1326" t="s">
        <v>3002</v>
      </c>
      <c r="C1326" t="s">
        <v>3079</v>
      </c>
      <c r="D1326" t="s">
        <v>3080</v>
      </c>
      <c r="E1326" t="s">
        <v>33</v>
      </c>
      <c r="F1326" t="s">
        <v>3024</v>
      </c>
      <c r="G1326" t="s">
        <v>3025</v>
      </c>
      <c r="H1326" t="str">
        <f>'Huong dan giao do an'!$B$14</f>
        <v>5 SV (vai trò chính): 1 PM/Scrum Master kiêm Integration; 2 BA/PO; 3 UI-UX + Frontend; 4 Backend/API + DevOps; 5 Database + QA/Tester. Mỗi SV có nhiệm vụ phụ và minh chứng cá nhân.</v>
      </c>
      <c r="I1326" t="s">
        <v>29</v>
      </c>
      <c r="J1326" t="s">
        <v>3012</v>
      </c>
      <c r="K1326" t="str">
        <f>IF(I1326="Trung bình",'Huong dan giao do an'!$B$8,IF(I1326="Khá",'Huong dan giao do an'!$B$9,'Huong dan giao do an'!$B$10))</f>
        <v>Tối thiểu 5 actor; 14-18 use case; 10-15 bảng; 4 quy trình; tích hợp ngoài/realtime hoặc xử lý nâng cao; 3 báo cáo; &gt;=45 test case; logging, backup và deploy.</v>
      </c>
      <c r="L1326" t="str">
        <f>'Huong dan giao do an'!$B$31</f>
        <v>Bắt buộc: Charter/PMP; SRS + scope/WBS; Gantt/baseline; effort-cost budget; RACI/timesheet; quality-test-defect; communication/minutes; risk register; procurement; change log; closure/lessons learned.</v>
      </c>
      <c r="M1326" t="str">
        <f>'Huong dan giao do an'!$B$33</f>
        <v>Tuần 1: 07.09–13.09.2026; Tuần 2: 14.09–20.09.2026; Tuần 3: 21.09–27.09.2026; Tuần 4: 28.09–04.10.2026; Tuần 5: 05.10–11.10.2026; Tuần 6: 12.10–18.10.2026; Tuần 7: 19.10–25.10.2026; Tuần 8: 26.10–01.11.2026.</v>
      </c>
      <c r="N13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6" s="17" t="str">
        <f t="shared" si="20"/>
        <v>Còn trống</v>
      </c>
    </row>
    <row r="1327" spans="1:16" x14ac:dyDescent="0.3">
      <c r="A1327">
        <v>1326</v>
      </c>
      <c r="B1327" t="s">
        <v>3002</v>
      </c>
      <c r="C1327" t="s">
        <v>3081</v>
      </c>
      <c r="D1327" t="s">
        <v>3082</v>
      </c>
      <c r="E1327" t="s">
        <v>40</v>
      </c>
      <c r="F1327" t="s">
        <v>3005</v>
      </c>
      <c r="G1327" t="s">
        <v>3028</v>
      </c>
      <c r="H1327" t="str">
        <f>'Huong dan giao do an'!$B$14</f>
        <v>5 SV (vai trò chính): 1 PM/Scrum Master kiêm Integration; 2 BA/PO; 3 UI-UX + Frontend; 4 Backend/API + DevOps; 5 Database + QA/Tester. Mỗi SV có nhiệm vụ phụ và minh chứng cá nhân.</v>
      </c>
      <c r="I1327" t="s">
        <v>36</v>
      </c>
      <c r="J1327" t="s">
        <v>3017</v>
      </c>
      <c r="K1327" t="str">
        <f>IF(I1327="Trung bình",'Huong dan giao do an'!$B$8,IF(I1327="Khá",'Huong dan giao do an'!$B$9,'Huong dan giao do an'!$B$10))</f>
        <v>Tối thiểu 3 actor; 8-10 use case; 6-8 bảng dữ liệu; 2 quy trình lõi; đăng nhập/RBAC; 1 dashboard; 1 báo cáo; &gt;=25 test case; triển khai bản demo.</v>
      </c>
      <c r="L1327" t="str">
        <f>'Huong dan giao do an'!$B$31</f>
        <v>Bắt buộc: Charter/PMP; SRS + scope/WBS; Gantt/baseline; effort-cost budget; RACI/timesheet; quality-test-defect; communication/minutes; risk register; procurement; change log; closure/lessons learned.</v>
      </c>
      <c r="M1327" t="str">
        <f>'Huong dan giao do an'!$B$33</f>
        <v>Tuần 1: 07.09–13.09.2026; Tuần 2: 14.09–20.09.2026; Tuần 3: 21.09–27.09.2026; Tuần 4: 28.09–04.10.2026; Tuần 5: 05.10–11.10.2026; Tuần 6: 12.10–18.10.2026; Tuần 7: 19.10–25.10.2026; Tuần 8: 26.10–01.11.2026.</v>
      </c>
      <c r="N13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7" s="17" t="str">
        <f t="shared" si="20"/>
        <v>Còn trống</v>
      </c>
    </row>
    <row r="1328" spans="1:16" x14ac:dyDescent="0.3">
      <c r="A1328">
        <v>1327</v>
      </c>
      <c r="B1328" t="s">
        <v>3002</v>
      </c>
      <c r="C1328" t="s">
        <v>3083</v>
      </c>
      <c r="D1328" t="s">
        <v>3084</v>
      </c>
      <c r="E1328" t="s">
        <v>45</v>
      </c>
      <c r="F1328" t="s">
        <v>3010</v>
      </c>
      <c r="G1328" t="s">
        <v>3031</v>
      </c>
      <c r="H1328" t="str">
        <f>'Huong dan giao do an'!$B$14</f>
        <v>5 SV (vai trò chính): 1 PM/Scrum Master kiêm Integration; 2 BA/PO; 3 UI-UX + Frontend; 4 Backend/API + DevOps; 5 Database + QA/Tester. Mỗi SV có nhiệm vụ phụ và minh chứng cá nhân.</v>
      </c>
      <c r="I1328" t="s">
        <v>22</v>
      </c>
      <c r="J1328" t="s">
        <v>3007</v>
      </c>
      <c r="K1328" t="str">
        <f>IF(I1328="Trung bình",'Huong dan giao do an'!$B$8,IF(I1328="Khá",'Huong dan giao do an'!$B$9,'Huong dan giao do an'!$B$10))</f>
        <v>Tối thiểu 4 actor; 10-14 use case; 8-12 bảng; 3 quy trình lõi; phân quyền chi tiết; 2 báo cáo; tích hợp 1 dịch vụ; &gt;=35 test case; CI/CD hoặc deploy cloud.</v>
      </c>
      <c r="L1328" t="str">
        <f>'Huong dan giao do an'!$B$31</f>
        <v>Bắt buộc: Charter/PMP; SRS + scope/WBS; Gantt/baseline; effort-cost budget; RACI/timesheet; quality-test-defect; communication/minutes; risk register; procurement; change log; closure/lessons learned.</v>
      </c>
      <c r="M1328" t="str">
        <f>'Huong dan giao do an'!$B$33</f>
        <v>Tuần 1: 07.09–13.09.2026; Tuần 2: 14.09–20.09.2026; Tuần 3: 21.09–27.09.2026; Tuần 4: 28.09–04.10.2026; Tuần 5: 05.10–11.10.2026; Tuần 6: 12.10–18.10.2026; Tuần 7: 19.10–25.10.2026; Tuần 8: 26.10–01.11.2026.</v>
      </c>
      <c r="N13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8" s="17" t="str">
        <f t="shared" si="20"/>
        <v>Còn trống</v>
      </c>
    </row>
    <row r="1329" spans="1:16" x14ac:dyDescent="0.3">
      <c r="A1329">
        <v>1328</v>
      </c>
      <c r="B1329" t="s">
        <v>3002</v>
      </c>
      <c r="C1329" t="s">
        <v>3085</v>
      </c>
      <c r="D1329" t="s">
        <v>3086</v>
      </c>
      <c r="E1329" t="s">
        <v>19</v>
      </c>
      <c r="F1329" t="s">
        <v>3015</v>
      </c>
      <c r="G1329" t="s">
        <v>3034</v>
      </c>
      <c r="H1329" t="str">
        <f>'Huong dan giao do an'!$B$14</f>
        <v>5 SV (vai trò chính): 1 PM/Scrum Master kiêm Integration; 2 BA/PO; 3 UI-UX + Frontend; 4 Backend/API + DevOps; 5 Database + QA/Tester. Mỗi SV có nhiệm vụ phụ và minh chứng cá nhân.</v>
      </c>
      <c r="I1329" t="s">
        <v>29</v>
      </c>
      <c r="J1329" t="s">
        <v>3012</v>
      </c>
      <c r="K1329" t="str">
        <f>IF(I1329="Trung bình",'Huong dan giao do an'!$B$8,IF(I1329="Khá",'Huong dan giao do an'!$B$9,'Huong dan giao do an'!$B$10))</f>
        <v>Tối thiểu 5 actor; 14-18 use case; 10-15 bảng; 4 quy trình; tích hợp ngoài/realtime hoặc xử lý nâng cao; 3 báo cáo; &gt;=45 test case; logging, backup và deploy.</v>
      </c>
      <c r="L1329" t="str">
        <f>'Huong dan giao do an'!$B$31</f>
        <v>Bắt buộc: Charter/PMP; SRS + scope/WBS; Gantt/baseline; effort-cost budget; RACI/timesheet; quality-test-defect; communication/minutes; risk register; procurement; change log; closure/lessons learned.</v>
      </c>
      <c r="M1329" t="str">
        <f>'Huong dan giao do an'!$B$33</f>
        <v>Tuần 1: 07.09–13.09.2026; Tuần 2: 14.09–20.09.2026; Tuần 3: 21.09–27.09.2026; Tuần 4: 28.09–04.10.2026; Tuần 5: 05.10–11.10.2026; Tuần 6: 12.10–18.10.2026; Tuần 7: 19.10–25.10.2026; Tuần 8: 26.10–01.11.2026.</v>
      </c>
      <c r="N13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29" s="17" t="str">
        <f t="shared" si="20"/>
        <v>Còn trống</v>
      </c>
    </row>
    <row r="1330" spans="1:16" x14ac:dyDescent="0.3">
      <c r="A1330">
        <v>1329</v>
      </c>
      <c r="B1330" t="s">
        <v>3002</v>
      </c>
      <c r="C1330" t="s">
        <v>3087</v>
      </c>
      <c r="D1330" t="s">
        <v>3088</v>
      </c>
      <c r="E1330" t="s">
        <v>26</v>
      </c>
      <c r="F1330" t="s">
        <v>3020</v>
      </c>
      <c r="G1330" t="s">
        <v>3037</v>
      </c>
      <c r="H1330" t="str">
        <f>'Huong dan giao do an'!$B$14</f>
        <v>5 SV (vai trò chính): 1 PM/Scrum Master kiêm Integration; 2 BA/PO; 3 UI-UX + Frontend; 4 Backend/API + DevOps; 5 Database + QA/Tester. Mỗi SV có nhiệm vụ phụ và minh chứng cá nhân.</v>
      </c>
      <c r="I1330" t="s">
        <v>36</v>
      </c>
      <c r="J1330" t="s">
        <v>3017</v>
      </c>
      <c r="K1330" t="str">
        <f>IF(I1330="Trung bình",'Huong dan giao do an'!$B$8,IF(I1330="Khá",'Huong dan giao do an'!$B$9,'Huong dan giao do an'!$B$10))</f>
        <v>Tối thiểu 3 actor; 8-10 use case; 6-8 bảng dữ liệu; 2 quy trình lõi; đăng nhập/RBAC; 1 dashboard; 1 báo cáo; &gt;=25 test case; triển khai bản demo.</v>
      </c>
      <c r="L1330" t="str">
        <f>'Huong dan giao do an'!$B$31</f>
        <v>Bắt buộc: Charter/PMP; SRS + scope/WBS; Gantt/baseline; effort-cost budget; RACI/timesheet; quality-test-defect; communication/minutes; risk register; procurement; change log; closure/lessons learned.</v>
      </c>
      <c r="M1330" t="str">
        <f>'Huong dan giao do an'!$B$33</f>
        <v>Tuần 1: 07.09–13.09.2026; Tuần 2: 14.09–20.09.2026; Tuần 3: 21.09–27.09.2026; Tuần 4: 28.09–04.10.2026; Tuần 5: 05.10–11.10.2026; Tuần 6: 12.10–18.10.2026; Tuần 7: 19.10–25.10.2026; Tuần 8: 26.10–01.11.2026.</v>
      </c>
      <c r="N13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0" s="17" t="str">
        <f t="shared" si="20"/>
        <v>Còn trống</v>
      </c>
    </row>
    <row r="1331" spans="1:16" x14ac:dyDescent="0.3">
      <c r="A1331">
        <v>1330</v>
      </c>
      <c r="B1331" t="s">
        <v>3002</v>
      </c>
      <c r="C1331" t="s">
        <v>3089</v>
      </c>
      <c r="D1331" t="s">
        <v>3090</v>
      </c>
      <c r="E1331" t="s">
        <v>33</v>
      </c>
      <c r="F1331" t="s">
        <v>3024</v>
      </c>
      <c r="G1331" t="s">
        <v>3040</v>
      </c>
      <c r="H1331" t="str">
        <f>'Huong dan giao do an'!$B$14</f>
        <v>5 SV (vai trò chính): 1 PM/Scrum Master kiêm Integration; 2 BA/PO; 3 UI-UX + Frontend; 4 Backend/API + DevOps; 5 Database + QA/Tester. Mỗi SV có nhiệm vụ phụ và minh chứng cá nhân.</v>
      </c>
      <c r="I1331" t="s">
        <v>22</v>
      </c>
      <c r="J1331" t="s">
        <v>3007</v>
      </c>
      <c r="K1331" t="str">
        <f>IF(I1331="Trung bình",'Huong dan giao do an'!$B$8,IF(I1331="Khá",'Huong dan giao do an'!$B$9,'Huong dan giao do an'!$B$10))</f>
        <v>Tối thiểu 4 actor; 10-14 use case; 8-12 bảng; 3 quy trình lõi; phân quyền chi tiết; 2 báo cáo; tích hợp 1 dịch vụ; &gt;=35 test case; CI/CD hoặc deploy cloud.</v>
      </c>
      <c r="L1331" t="str">
        <f>'Huong dan giao do an'!$B$31</f>
        <v>Bắt buộc: Charter/PMP; SRS + scope/WBS; Gantt/baseline; effort-cost budget; RACI/timesheet; quality-test-defect; communication/minutes; risk register; procurement; change log; closure/lessons learned.</v>
      </c>
      <c r="M1331" t="str">
        <f>'Huong dan giao do an'!$B$33</f>
        <v>Tuần 1: 07.09–13.09.2026; Tuần 2: 14.09–20.09.2026; Tuần 3: 21.09–27.09.2026; Tuần 4: 28.09–04.10.2026; Tuần 5: 05.10–11.10.2026; Tuần 6: 12.10–18.10.2026; Tuần 7: 19.10–25.10.2026; Tuần 8: 26.10–01.11.2026.</v>
      </c>
      <c r="N13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1" s="17" t="str">
        <f t="shared" si="20"/>
        <v>Còn trống</v>
      </c>
    </row>
    <row r="1332" spans="1:16" x14ac:dyDescent="0.3">
      <c r="A1332">
        <v>1331</v>
      </c>
      <c r="B1332" t="s">
        <v>3002</v>
      </c>
      <c r="C1332" t="s">
        <v>3091</v>
      </c>
      <c r="D1332" t="s">
        <v>3092</v>
      </c>
      <c r="E1332" t="s">
        <v>40</v>
      </c>
      <c r="F1332" t="s">
        <v>3005</v>
      </c>
      <c r="G1332" t="s">
        <v>3043</v>
      </c>
      <c r="H1332" t="str">
        <f>'Huong dan giao do an'!$B$14</f>
        <v>5 SV (vai trò chính): 1 PM/Scrum Master kiêm Integration; 2 BA/PO; 3 UI-UX + Frontend; 4 Backend/API + DevOps; 5 Database + QA/Tester. Mỗi SV có nhiệm vụ phụ và minh chứng cá nhân.</v>
      </c>
      <c r="I1332" t="s">
        <v>29</v>
      </c>
      <c r="J1332" t="s">
        <v>3012</v>
      </c>
      <c r="K1332" t="str">
        <f>IF(I1332="Trung bình",'Huong dan giao do an'!$B$8,IF(I1332="Khá",'Huong dan giao do an'!$B$9,'Huong dan giao do an'!$B$10))</f>
        <v>Tối thiểu 5 actor; 14-18 use case; 10-15 bảng; 4 quy trình; tích hợp ngoài/realtime hoặc xử lý nâng cao; 3 báo cáo; &gt;=45 test case; logging, backup và deploy.</v>
      </c>
      <c r="L1332" t="str">
        <f>'Huong dan giao do an'!$B$31</f>
        <v>Bắt buộc: Charter/PMP; SRS + scope/WBS; Gantt/baseline; effort-cost budget; RACI/timesheet; quality-test-defect; communication/minutes; risk register; procurement; change log; closure/lessons learned.</v>
      </c>
      <c r="M1332" t="str">
        <f>'Huong dan giao do an'!$B$33</f>
        <v>Tuần 1: 07.09–13.09.2026; Tuần 2: 14.09–20.09.2026; Tuần 3: 21.09–27.09.2026; Tuần 4: 28.09–04.10.2026; Tuần 5: 05.10–11.10.2026; Tuần 6: 12.10–18.10.2026; Tuần 7: 19.10–25.10.2026; Tuần 8: 26.10–01.11.2026.</v>
      </c>
      <c r="N13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2" s="17" t="str">
        <f t="shared" si="20"/>
        <v>Còn trống</v>
      </c>
    </row>
    <row r="1333" spans="1:16" x14ac:dyDescent="0.3">
      <c r="A1333">
        <v>1332</v>
      </c>
      <c r="B1333" t="s">
        <v>3002</v>
      </c>
      <c r="C1333" t="s">
        <v>3093</v>
      </c>
      <c r="D1333" t="s">
        <v>3094</v>
      </c>
      <c r="E1333" t="s">
        <v>45</v>
      </c>
      <c r="F1333" t="s">
        <v>3010</v>
      </c>
      <c r="G1333" t="s">
        <v>3046</v>
      </c>
      <c r="H1333" t="str">
        <f>'Huong dan giao do an'!$B$14</f>
        <v>5 SV (vai trò chính): 1 PM/Scrum Master kiêm Integration; 2 BA/PO; 3 UI-UX + Frontend; 4 Backend/API + DevOps; 5 Database + QA/Tester. Mỗi SV có nhiệm vụ phụ và minh chứng cá nhân.</v>
      </c>
      <c r="I1333" t="s">
        <v>36</v>
      </c>
      <c r="J1333" t="s">
        <v>3017</v>
      </c>
      <c r="K1333" t="str">
        <f>IF(I1333="Trung bình",'Huong dan giao do an'!$B$8,IF(I1333="Khá",'Huong dan giao do an'!$B$9,'Huong dan giao do an'!$B$10))</f>
        <v>Tối thiểu 3 actor; 8-10 use case; 6-8 bảng dữ liệu; 2 quy trình lõi; đăng nhập/RBAC; 1 dashboard; 1 báo cáo; &gt;=25 test case; triển khai bản demo.</v>
      </c>
      <c r="L1333" t="str">
        <f>'Huong dan giao do an'!$B$31</f>
        <v>Bắt buộc: Charter/PMP; SRS + scope/WBS; Gantt/baseline; effort-cost budget; RACI/timesheet; quality-test-defect; communication/minutes; risk register; procurement; change log; closure/lessons learned.</v>
      </c>
      <c r="M1333" t="str">
        <f>'Huong dan giao do an'!$B$33</f>
        <v>Tuần 1: 07.09–13.09.2026; Tuần 2: 14.09–20.09.2026; Tuần 3: 21.09–27.09.2026; Tuần 4: 28.09–04.10.2026; Tuần 5: 05.10–11.10.2026; Tuần 6: 12.10–18.10.2026; Tuần 7: 19.10–25.10.2026; Tuần 8: 26.10–01.11.2026.</v>
      </c>
      <c r="N13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3" s="17" t="str">
        <f t="shared" si="20"/>
        <v>Còn trống</v>
      </c>
    </row>
    <row r="1334" spans="1:16" x14ac:dyDescent="0.3">
      <c r="A1334">
        <v>1333</v>
      </c>
      <c r="B1334" t="s">
        <v>3002</v>
      </c>
      <c r="C1334" t="s">
        <v>3095</v>
      </c>
      <c r="D1334" t="s">
        <v>3096</v>
      </c>
      <c r="E1334" t="s">
        <v>19</v>
      </c>
      <c r="F1334" t="s">
        <v>3015</v>
      </c>
      <c r="G1334" t="s">
        <v>3049</v>
      </c>
      <c r="H1334" t="str">
        <f>'Huong dan giao do an'!$B$14</f>
        <v>5 SV (vai trò chính): 1 PM/Scrum Master kiêm Integration; 2 BA/PO; 3 UI-UX + Frontend; 4 Backend/API + DevOps; 5 Database + QA/Tester. Mỗi SV có nhiệm vụ phụ và minh chứng cá nhân.</v>
      </c>
      <c r="I1334" t="s">
        <v>22</v>
      </c>
      <c r="J1334" t="s">
        <v>3007</v>
      </c>
      <c r="K1334" t="str">
        <f>IF(I1334="Trung bình",'Huong dan giao do an'!$B$8,IF(I1334="Khá",'Huong dan giao do an'!$B$9,'Huong dan giao do an'!$B$10))</f>
        <v>Tối thiểu 4 actor; 10-14 use case; 8-12 bảng; 3 quy trình lõi; phân quyền chi tiết; 2 báo cáo; tích hợp 1 dịch vụ; &gt;=35 test case; CI/CD hoặc deploy cloud.</v>
      </c>
      <c r="L1334" t="str">
        <f>'Huong dan giao do an'!$B$31</f>
        <v>Bắt buộc: Charter/PMP; SRS + scope/WBS; Gantt/baseline; effort-cost budget; RACI/timesheet; quality-test-defect; communication/minutes; risk register; procurement; change log; closure/lessons learned.</v>
      </c>
      <c r="M1334" t="str">
        <f>'Huong dan giao do an'!$B$33</f>
        <v>Tuần 1: 07.09–13.09.2026; Tuần 2: 14.09–20.09.2026; Tuần 3: 21.09–27.09.2026; Tuần 4: 28.09–04.10.2026; Tuần 5: 05.10–11.10.2026; Tuần 6: 12.10–18.10.2026; Tuần 7: 19.10–25.10.2026; Tuần 8: 26.10–01.11.2026.</v>
      </c>
      <c r="N13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4" s="17" t="str">
        <f t="shared" si="20"/>
        <v>Còn trống</v>
      </c>
    </row>
    <row r="1335" spans="1:16" x14ac:dyDescent="0.3">
      <c r="A1335">
        <v>1334</v>
      </c>
      <c r="B1335" t="s">
        <v>3002</v>
      </c>
      <c r="C1335" t="s">
        <v>3097</v>
      </c>
      <c r="D1335" t="s">
        <v>3098</v>
      </c>
      <c r="E1335" t="s">
        <v>26</v>
      </c>
      <c r="F1335" t="s">
        <v>3020</v>
      </c>
      <c r="G1335" t="s">
        <v>3052</v>
      </c>
      <c r="H1335" t="str">
        <f>'Huong dan giao do an'!$B$14</f>
        <v>5 SV (vai trò chính): 1 PM/Scrum Master kiêm Integration; 2 BA/PO; 3 UI-UX + Frontend; 4 Backend/API + DevOps; 5 Database + QA/Tester. Mỗi SV có nhiệm vụ phụ và minh chứng cá nhân.</v>
      </c>
      <c r="I1335" t="s">
        <v>29</v>
      </c>
      <c r="J1335" t="s">
        <v>3012</v>
      </c>
      <c r="K1335" t="str">
        <f>IF(I1335="Trung bình",'Huong dan giao do an'!$B$8,IF(I1335="Khá",'Huong dan giao do an'!$B$9,'Huong dan giao do an'!$B$10))</f>
        <v>Tối thiểu 5 actor; 14-18 use case; 10-15 bảng; 4 quy trình; tích hợp ngoài/realtime hoặc xử lý nâng cao; 3 báo cáo; &gt;=45 test case; logging, backup và deploy.</v>
      </c>
      <c r="L1335" t="str">
        <f>'Huong dan giao do an'!$B$31</f>
        <v>Bắt buộc: Charter/PMP; SRS + scope/WBS; Gantt/baseline; effort-cost budget; RACI/timesheet; quality-test-defect; communication/minutes; risk register; procurement; change log; closure/lessons learned.</v>
      </c>
      <c r="M1335" t="str">
        <f>'Huong dan giao do an'!$B$33</f>
        <v>Tuần 1: 07.09–13.09.2026; Tuần 2: 14.09–20.09.2026; Tuần 3: 21.09–27.09.2026; Tuần 4: 28.09–04.10.2026; Tuần 5: 05.10–11.10.2026; Tuần 6: 12.10–18.10.2026; Tuần 7: 19.10–25.10.2026; Tuần 8: 26.10–01.11.2026.</v>
      </c>
      <c r="N13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5" s="17" t="str">
        <f t="shared" si="20"/>
        <v>Còn trống</v>
      </c>
    </row>
    <row r="1336" spans="1:16" x14ac:dyDescent="0.3">
      <c r="A1336">
        <v>1335</v>
      </c>
      <c r="B1336" t="s">
        <v>3002</v>
      </c>
      <c r="C1336" t="s">
        <v>3099</v>
      </c>
      <c r="D1336" t="s">
        <v>3100</v>
      </c>
      <c r="E1336" t="s">
        <v>33</v>
      </c>
      <c r="F1336" t="s">
        <v>3024</v>
      </c>
      <c r="G1336" t="s">
        <v>3055</v>
      </c>
      <c r="H1336" t="str">
        <f>'Huong dan giao do an'!$B$14</f>
        <v>5 SV (vai trò chính): 1 PM/Scrum Master kiêm Integration; 2 BA/PO; 3 UI-UX + Frontend; 4 Backend/API + DevOps; 5 Database + QA/Tester. Mỗi SV có nhiệm vụ phụ và minh chứng cá nhân.</v>
      </c>
      <c r="I1336" t="s">
        <v>36</v>
      </c>
      <c r="J1336" t="s">
        <v>3017</v>
      </c>
      <c r="K1336" t="str">
        <f>IF(I1336="Trung bình",'Huong dan giao do an'!$B$8,IF(I1336="Khá",'Huong dan giao do an'!$B$9,'Huong dan giao do an'!$B$10))</f>
        <v>Tối thiểu 3 actor; 8-10 use case; 6-8 bảng dữ liệu; 2 quy trình lõi; đăng nhập/RBAC; 1 dashboard; 1 báo cáo; &gt;=25 test case; triển khai bản demo.</v>
      </c>
      <c r="L1336" t="str">
        <f>'Huong dan giao do an'!$B$31</f>
        <v>Bắt buộc: Charter/PMP; SRS + scope/WBS; Gantt/baseline; effort-cost budget; RACI/timesheet; quality-test-defect; communication/minutes; risk register; procurement; change log; closure/lessons learned.</v>
      </c>
      <c r="M1336" t="str">
        <f>'Huong dan giao do an'!$B$33</f>
        <v>Tuần 1: 07.09–13.09.2026; Tuần 2: 14.09–20.09.2026; Tuần 3: 21.09–27.09.2026; Tuần 4: 28.09–04.10.2026; Tuần 5: 05.10–11.10.2026; Tuần 6: 12.10–18.10.2026; Tuần 7: 19.10–25.10.2026; Tuần 8: 26.10–01.11.2026.</v>
      </c>
      <c r="N13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6" s="17" t="str">
        <f t="shared" si="20"/>
        <v>Còn trống</v>
      </c>
    </row>
    <row r="1337" spans="1:16" x14ac:dyDescent="0.3">
      <c r="A1337">
        <v>1336</v>
      </c>
      <c r="B1337" t="s">
        <v>3002</v>
      </c>
      <c r="C1337" t="s">
        <v>3101</v>
      </c>
      <c r="D1337" t="s">
        <v>3102</v>
      </c>
      <c r="E1337" t="s">
        <v>40</v>
      </c>
      <c r="F1337" t="s">
        <v>3005</v>
      </c>
      <c r="G1337" t="s">
        <v>3058</v>
      </c>
      <c r="H1337" t="str">
        <f>'Huong dan giao do an'!$B$14</f>
        <v>5 SV (vai trò chính): 1 PM/Scrum Master kiêm Integration; 2 BA/PO; 3 UI-UX + Frontend; 4 Backend/API + DevOps; 5 Database + QA/Tester. Mỗi SV có nhiệm vụ phụ và minh chứng cá nhân.</v>
      </c>
      <c r="I1337" t="s">
        <v>22</v>
      </c>
      <c r="J1337" t="s">
        <v>3007</v>
      </c>
      <c r="K1337" t="str">
        <f>IF(I1337="Trung bình",'Huong dan giao do an'!$B$8,IF(I1337="Khá",'Huong dan giao do an'!$B$9,'Huong dan giao do an'!$B$10))</f>
        <v>Tối thiểu 4 actor; 10-14 use case; 8-12 bảng; 3 quy trình lõi; phân quyền chi tiết; 2 báo cáo; tích hợp 1 dịch vụ; &gt;=35 test case; CI/CD hoặc deploy cloud.</v>
      </c>
      <c r="L1337" t="str">
        <f>'Huong dan giao do an'!$B$31</f>
        <v>Bắt buộc: Charter/PMP; SRS + scope/WBS; Gantt/baseline; effort-cost budget; RACI/timesheet; quality-test-defect; communication/minutes; risk register; procurement; change log; closure/lessons learned.</v>
      </c>
      <c r="M1337" t="str">
        <f>'Huong dan giao do an'!$B$33</f>
        <v>Tuần 1: 07.09–13.09.2026; Tuần 2: 14.09–20.09.2026; Tuần 3: 21.09–27.09.2026; Tuần 4: 28.09–04.10.2026; Tuần 5: 05.10–11.10.2026; Tuần 6: 12.10–18.10.2026; Tuần 7: 19.10–25.10.2026; Tuần 8: 26.10–01.11.2026.</v>
      </c>
      <c r="N13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7" s="17" t="str">
        <f t="shared" si="20"/>
        <v>Còn trống</v>
      </c>
    </row>
    <row r="1338" spans="1:16" x14ac:dyDescent="0.3">
      <c r="A1338">
        <v>1337</v>
      </c>
      <c r="B1338" t="s">
        <v>3002</v>
      </c>
      <c r="C1338" t="s">
        <v>3103</v>
      </c>
      <c r="D1338" t="s">
        <v>3104</v>
      </c>
      <c r="E1338" t="s">
        <v>45</v>
      </c>
      <c r="F1338" t="s">
        <v>3010</v>
      </c>
      <c r="G1338" t="s">
        <v>3061</v>
      </c>
      <c r="H1338" t="str">
        <f>'Huong dan giao do an'!$B$14</f>
        <v>5 SV (vai trò chính): 1 PM/Scrum Master kiêm Integration; 2 BA/PO; 3 UI-UX + Frontend; 4 Backend/API + DevOps; 5 Database + QA/Tester. Mỗi SV có nhiệm vụ phụ và minh chứng cá nhân.</v>
      </c>
      <c r="I1338" t="s">
        <v>29</v>
      </c>
      <c r="J1338" t="s">
        <v>3012</v>
      </c>
      <c r="K1338" t="str">
        <f>IF(I1338="Trung bình",'Huong dan giao do an'!$B$8,IF(I1338="Khá",'Huong dan giao do an'!$B$9,'Huong dan giao do an'!$B$10))</f>
        <v>Tối thiểu 5 actor; 14-18 use case; 10-15 bảng; 4 quy trình; tích hợp ngoài/realtime hoặc xử lý nâng cao; 3 báo cáo; &gt;=45 test case; logging, backup và deploy.</v>
      </c>
      <c r="L1338" t="str">
        <f>'Huong dan giao do an'!$B$31</f>
        <v>Bắt buộc: Charter/PMP; SRS + scope/WBS; Gantt/baseline; effort-cost budget; RACI/timesheet; quality-test-defect; communication/minutes; risk register; procurement; change log; closure/lessons learned.</v>
      </c>
      <c r="M1338" t="str">
        <f>'Huong dan giao do an'!$B$33</f>
        <v>Tuần 1: 07.09–13.09.2026; Tuần 2: 14.09–20.09.2026; Tuần 3: 21.09–27.09.2026; Tuần 4: 28.09–04.10.2026; Tuần 5: 05.10–11.10.2026; Tuần 6: 12.10–18.10.2026; Tuần 7: 19.10–25.10.2026; Tuần 8: 26.10–01.11.2026.</v>
      </c>
      <c r="N13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8" s="17" t="str">
        <f t="shared" si="20"/>
        <v>Còn trống</v>
      </c>
    </row>
    <row r="1339" spans="1:16" x14ac:dyDescent="0.3">
      <c r="A1339">
        <v>1338</v>
      </c>
      <c r="B1339" t="s">
        <v>3002</v>
      </c>
      <c r="C1339" t="s">
        <v>3105</v>
      </c>
      <c r="D1339" t="s">
        <v>3106</v>
      </c>
      <c r="E1339" t="s">
        <v>19</v>
      </c>
      <c r="F1339" t="s">
        <v>3015</v>
      </c>
      <c r="G1339" t="s">
        <v>3064</v>
      </c>
      <c r="H1339" t="str">
        <f>'Huong dan giao do an'!$B$14</f>
        <v>5 SV (vai trò chính): 1 PM/Scrum Master kiêm Integration; 2 BA/PO; 3 UI-UX + Frontend; 4 Backend/API + DevOps; 5 Database + QA/Tester. Mỗi SV có nhiệm vụ phụ và minh chứng cá nhân.</v>
      </c>
      <c r="I1339" t="s">
        <v>36</v>
      </c>
      <c r="J1339" t="s">
        <v>3017</v>
      </c>
      <c r="K1339" t="str">
        <f>IF(I1339="Trung bình",'Huong dan giao do an'!$B$8,IF(I1339="Khá",'Huong dan giao do an'!$B$9,'Huong dan giao do an'!$B$10))</f>
        <v>Tối thiểu 3 actor; 8-10 use case; 6-8 bảng dữ liệu; 2 quy trình lõi; đăng nhập/RBAC; 1 dashboard; 1 báo cáo; &gt;=25 test case; triển khai bản demo.</v>
      </c>
      <c r="L1339" t="str">
        <f>'Huong dan giao do an'!$B$31</f>
        <v>Bắt buộc: Charter/PMP; SRS + scope/WBS; Gantt/baseline; effort-cost budget; RACI/timesheet; quality-test-defect; communication/minutes; risk register; procurement; change log; closure/lessons learned.</v>
      </c>
      <c r="M1339" t="str">
        <f>'Huong dan giao do an'!$B$33</f>
        <v>Tuần 1: 07.09–13.09.2026; Tuần 2: 14.09–20.09.2026; Tuần 3: 21.09–27.09.2026; Tuần 4: 28.09–04.10.2026; Tuần 5: 05.10–11.10.2026; Tuần 6: 12.10–18.10.2026; Tuần 7: 19.10–25.10.2026; Tuần 8: 26.10–01.11.2026.</v>
      </c>
      <c r="N13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39" s="17" t="str">
        <f t="shared" si="20"/>
        <v>Còn trống</v>
      </c>
    </row>
    <row r="1340" spans="1:16" x14ac:dyDescent="0.3">
      <c r="A1340">
        <v>1339</v>
      </c>
      <c r="B1340" t="s">
        <v>3002</v>
      </c>
      <c r="C1340" t="s">
        <v>3107</v>
      </c>
      <c r="D1340" t="s">
        <v>3108</v>
      </c>
      <c r="E1340" t="s">
        <v>26</v>
      </c>
      <c r="F1340" t="s">
        <v>3020</v>
      </c>
      <c r="G1340" t="s">
        <v>3067</v>
      </c>
      <c r="H1340" t="str">
        <f>'Huong dan giao do an'!$B$14</f>
        <v>5 SV (vai trò chính): 1 PM/Scrum Master kiêm Integration; 2 BA/PO; 3 UI-UX + Frontend; 4 Backend/API + DevOps; 5 Database + QA/Tester. Mỗi SV có nhiệm vụ phụ và minh chứng cá nhân.</v>
      </c>
      <c r="I1340" t="s">
        <v>22</v>
      </c>
      <c r="J1340" t="s">
        <v>3007</v>
      </c>
      <c r="K1340" t="str">
        <f>IF(I1340="Trung bình",'Huong dan giao do an'!$B$8,IF(I1340="Khá",'Huong dan giao do an'!$B$9,'Huong dan giao do an'!$B$10))</f>
        <v>Tối thiểu 4 actor; 10-14 use case; 8-12 bảng; 3 quy trình lõi; phân quyền chi tiết; 2 báo cáo; tích hợp 1 dịch vụ; &gt;=35 test case; CI/CD hoặc deploy cloud.</v>
      </c>
      <c r="L1340" t="str">
        <f>'Huong dan giao do an'!$B$31</f>
        <v>Bắt buộc: Charter/PMP; SRS + scope/WBS; Gantt/baseline; effort-cost budget; RACI/timesheet; quality-test-defect; communication/minutes; risk register; procurement; change log; closure/lessons learned.</v>
      </c>
      <c r="M1340" t="str">
        <f>'Huong dan giao do an'!$B$33</f>
        <v>Tuần 1: 07.09–13.09.2026; Tuần 2: 14.09–20.09.2026; Tuần 3: 21.09–27.09.2026; Tuần 4: 28.09–04.10.2026; Tuần 5: 05.10–11.10.2026; Tuần 6: 12.10–18.10.2026; Tuần 7: 19.10–25.10.2026; Tuần 8: 26.10–01.11.2026.</v>
      </c>
      <c r="N13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0" s="17" t="str">
        <f t="shared" si="20"/>
        <v>Còn trống</v>
      </c>
    </row>
    <row r="1341" spans="1:16" x14ac:dyDescent="0.3">
      <c r="A1341">
        <v>1340</v>
      </c>
      <c r="B1341" t="s">
        <v>3002</v>
      </c>
      <c r="C1341" t="s">
        <v>3109</v>
      </c>
      <c r="D1341" t="s">
        <v>3110</v>
      </c>
      <c r="E1341" t="s">
        <v>33</v>
      </c>
      <c r="F1341" t="s">
        <v>3024</v>
      </c>
      <c r="G1341" t="s">
        <v>3070</v>
      </c>
      <c r="H1341" t="str">
        <f>'Huong dan giao do an'!$B$14</f>
        <v>5 SV (vai trò chính): 1 PM/Scrum Master kiêm Integration; 2 BA/PO; 3 UI-UX + Frontend; 4 Backend/API + DevOps; 5 Database + QA/Tester. Mỗi SV có nhiệm vụ phụ và minh chứng cá nhân.</v>
      </c>
      <c r="I1341" t="s">
        <v>29</v>
      </c>
      <c r="J1341" t="s">
        <v>3012</v>
      </c>
      <c r="K1341" t="str">
        <f>IF(I1341="Trung bình",'Huong dan giao do an'!$B$8,IF(I1341="Khá",'Huong dan giao do an'!$B$9,'Huong dan giao do an'!$B$10))</f>
        <v>Tối thiểu 5 actor; 14-18 use case; 10-15 bảng; 4 quy trình; tích hợp ngoài/realtime hoặc xử lý nâng cao; 3 báo cáo; &gt;=45 test case; logging, backup và deploy.</v>
      </c>
      <c r="L1341" t="str">
        <f>'Huong dan giao do an'!$B$31</f>
        <v>Bắt buộc: Charter/PMP; SRS + scope/WBS; Gantt/baseline; effort-cost budget; RACI/timesheet; quality-test-defect; communication/minutes; risk register; procurement; change log; closure/lessons learned.</v>
      </c>
      <c r="M1341" t="str">
        <f>'Huong dan giao do an'!$B$33</f>
        <v>Tuần 1: 07.09–13.09.2026; Tuần 2: 14.09–20.09.2026; Tuần 3: 21.09–27.09.2026; Tuần 4: 28.09–04.10.2026; Tuần 5: 05.10–11.10.2026; Tuần 6: 12.10–18.10.2026; Tuần 7: 19.10–25.10.2026; Tuần 8: 26.10–01.11.2026.</v>
      </c>
      <c r="N13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1" s="17" t="str">
        <f t="shared" si="20"/>
        <v>Còn trống</v>
      </c>
    </row>
    <row r="1342" spans="1:16" x14ac:dyDescent="0.3">
      <c r="A1342">
        <v>1341</v>
      </c>
      <c r="B1342" t="s">
        <v>3002</v>
      </c>
      <c r="C1342" t="s">
        <v>3111</v>
      </c>
      <c r="D1342" t="s">
        <v>3112</v>
      </c>
      <c r="E1342" t="s">
        <v>40</v>
      </c>
      <c r="F1342" t="s">
        <v>3005</v>
      </c>
      <c r="G1342" t="s">
        <v>3006</v>
      </c>
      <c r="H1342" t="str">
        <f>'Huong dan giao do an'!$B$14</f>
        <v>5 SV (vai trò chính): 1 PM/Scrum Master kiêm Integration; 2 BA/PO; 3 UI-UX + Frontend; 4 Backend/API + DevOps; 5 Database + QA/Tester. Mỗi SV có nhiệm vụ phụ và minh chứng cá nhân.</v>
      </c>
      <c r="I1342" t="s">
        <v>22</v>
      </c>
      <c r="J1342" t="s">
        <v>3007</v>
      </c>
      <c r="K1342" t="str">
        <f>IF(I1342="Trung bình",'Huong dan giao do an'!$B$8,IF(I1342="Khá",'Huong dan giao do an'!$B$9,'Huong dan giao do an'!$B$10))</f>
        <v>Tối thiểu 4 actor; 10-14 use case; 8-12 bảng; 3 quy trình lõi; phân quyền chi tiết; 2 báo cáo; tích hợp 1 dịch vụ; &gt;=35 test case; CI/CD hoặc deploy cloud.</v>
      </c>
      <c r="L1342" t="str">
        <f>'Huong dan giao do an'!$B$31</f>
        <v>Bắt buộc: Charter/PMP; SRS + scope/WBS; Gantt/baseline; effort-cost budget; RACI/timesheet; quality-test-defect; communication/minutes; risk register; procurement; change log; closure/lessons learned.</v>
      </c>
      <c r="M1342" t="str">
        <f>'Huong dan giao do an'!$B$33</f>
        <v>Tuần 1: 07.09–13.09.2026; Tuần 2: 14.09–20.09.2026; Tuần 3: 21.09–27.09.2026; Tuần 4: 28.09–04.10.2026; Tuần 5: 05.10–11.10.2026; Tuần 6: 12.10–18.10.2026; Tuần 7: 19.10–25.10.2026; Tuần 8: 26.10–01.11.2026.</v>
      </c>
      <c r="N13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2" s="17" t="str">
        <f t="shared" si="20"/>
        <v>Còn trống</v>
      </c>
    </row>
    <row r="1343" spans="1:16" x14ac:dyDescent="0.3">
      <c r="A1343">
        <v>1342</v>
      </c>
      <c r="B1343" t="s">
        <v>3002</v>
      </c>
      <c r="C1343" t="s">
        <v>3113</v>
      </c>
      <c r="D1343" t="s">
        <v>3114</v>
      </c>
      <c r="E1343" t="s">
        <v>45</v>
      </c>
      <c r="F1343" t="s">
        <v>3010</v>
      </c>
      <c r="G1343" t="s">
        <v>3011</v>
      </c>
      <c r="H1343" t="str">
        <f>'Huong dan giao do an'!$B$14</f>
        <v>5 SV (vai trò chính): 1 PM/Scrum Master kiêm Integration; 2 BA/PO; 3 UI-UX + Frontend; 4 Backend/API + DevOps; 5 Database + QA/Tester. Mỗi SV có nhiệm vụ phụ và minh chứng cá nhân.</v>
      </c>
      <c r="I1343" t="s">
        <v>29</v>
      </c>
      <c r="J1343" t="s">
        <v>3012</v>
      </c>
      <c r="K1343" t="str">
        <f>IF(I1343="Trung bình",'Huong dan giao do an'!$B$8,IF(I1343="Khá",'Huong dan giao do an'!$B$9,'Huong dan giao do an'!$B$10))</f>
        <v>Tối thiểu 5 actor; 14-18 use case; 10-15 bảng; 4 quy trình; tích hợp ngoài/realtime hoặc xử lý nâng cao; 3 báo cáo; &gt;=45 test case; logging, backup và deploy.</v>
      </c>
      <c r="L1343" t="str">
        <f>'Huong dan giao do an'!$B$31</f>
        <v>Bắt buộc: Charter/PMP; SRS + scope/WBS; Gantt/baseline; effort-cost budget; RACI/timesheet; quality-test-defect; communication/minutes; risk register; procurement; change log; closure/lessons learned.</v>
      </c>
      <c r="M1343" t="str">
        <f>'Huong dan giao do an'!$B$33</f>
        <v>Tuần 1: 07.09–13.09.2026; Tuần 2: 14.09–20.09.2026; Tuần 3: 21.09–27.09.2026; Tuần 4: 28.09–04.10.2026; Tuần 5: 05.10–11.10.2026; Tuần 6: 12.10–18.10.2026; Tuần 7: 19.10–25.10.2026; Tuần 8: 26.10–01.11.2026.</v>
      </c>
      <c r="N13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3" s="17" t="str">
        <f t="shared" si="20"/>
        <v>Còn trống</v>
      </c>
    </row>
    <row r="1344" spans="1:16" x14ac:dyDescent="0.3">
      <c r="A1344">
        <v>1343</v>
      </c>
      <c r="B1344" t="s">
        <v>3002</v>
      </c>
      <c r="C1344" t="s">
        <v>3115</v>
      </c>
      <c r="D1344" t="s">
        <v>3116</v>
      </c>
      <c r="E1344" t="s">
        <v>19</v>
      </c>
      <c r="F1344" t="s">
        <v>3015</v>
      </c>
      <c r="G1344" t="s">
        <v>3016</v>
      </c>
      <c r="H1344" t="str">
        <f>'Huong dan giao do an'!$B$14</f>
        <v>5 SV (vai trò chính): 1 PM/Scrum Master kiêm Integration; 2 BA/PO; 3 UI-UX + Frontend; 4 Backend/API + DevOps; 5 Database + QA/Tester. Mỗi SV có nhiệm vụ phụ và minh chứng cá nhân.</v>
      </c>
      <c r="I1344" t="s">
        <v>36</v>
      </c>
      <c r="J1344" t="s">
        <v>3017</v>
      </c>
      <c r="K1344" t="str">
        <f>IF(I1344="Trung bình",'Huong dan giao do an'!$B$8,IF(I1344="Khá",'Huong dan giao do an'!$B$9,'Huong dan giao do an'!$B$10))</f>
        <v>Tối thiểu 3 actor; 8-10 use case; 6-8 bảng dữ liệu; 2 quy trình lõi; đăng nhập/RBAC; 1 dashboard; 1 báo cáo; &gt;=25 test case; triển khai bản demo.</v>
      </c>
      <c r="L1344" t="str">
        <f>'Huong dan giao do an'!$B$31</f>
        <v>Bắt buộc: Charter/PMP; SRS + scope/WBS; Gantt/baseline; effort-cost budget; RACI/timesheet; quality-test-defect; communication/minutes; risk register; procurement; change log; closure/lessons learned.</v>
      </c>
      <c r="M1344" t="str">
        <f>'Huong dan giao do an'!$B$33</f>
        <v>Tuần 1: 07.09–13.09.2026; Tuần 2: 14.09–20.09.2026; Tuần 3: 21.09–27.09.2026; Tuần 4: 28.09–04.10.2026; Tuần 5: 05.10–11.10.2026; Tuần 6: 12.10–18.10.2026; Tuần 7: 19.10–25.10.2026; Tuần 8: 26.10–01.11.2026.</v>
      </c>
      <c r="N13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4" s="17" t="str">
        <f t="shared" si="20"/>
        <v>Còn trống</v>
      </c>
    </row>
    <row r="1345" spans="1:16" x14ac:dyDescent="0.3">
      <c r="A1345">
        <v>1344</v>
      </c>
      <c r="B1345" t="s">
        <v>3002</v>
      </c>
      <c r="C1345" t="s">
        <v>3117</v>
      </c>
      <c r="D1345" t="s">
        <v>3118</v>
      </c>
      <c r="E1345" t="s">
        <v>26</v>
      </c>
      <c r="F1345" t="s">
        <v>3020</v>
      </c>
      <c r="G1345" t="s">
        <v>3021</v>
      </c>
      <c r="H1345" t="str">
        <f>'Huong dan giao do an'!$B$14</f>
        <v>5 SV (vai trò chính): 1 PM/Scrum Master kiêm Integration; 2 BA/PO; 3 UI-UX + Frontend; 4 Backend/API + DevOps; 5 Database + QA/Tester. Mỗi SV có nhiệm vụ phụ và minh chứng cá nhân.</v>
      </c>
      <c r="I1345" t="s">
        <v>22</v>
      </c>
      <c r="J1345" t="s">
        <v>3007</v>
      </c>
      <c r="K1345" t="str">
        <f>IF(I1345="Trung bình",'Huong dan giao do an'!$B$8,IF(I1345="Khá",'Huong dan giao do an'!$B$9,'Huong dan giao do an'!$B$10))</f>
        <v>Tối thiểu 4 actor; 10-14 use case; 8-12 bảng; 3 quy trình lõi; phân quyền chi tiết; 2 báo cáo; tích hợp 1 dịch vụ; &gt;=35 test case; CI/CD hoặc deploy cloud.</v>
      </c>
      <c r="L1345" t="str">
        <f>'Huong dan giao do an'!$B$31</f>
        <v>Bắt buộc: Charter/PMP; SRS + scope/WBS; Gantt/baseline; effort-cost budget; RACI/timesheet; quality-test-defect; communication/minutes; risk register; procurement; change log; closure/lessons learned.</v>
      </c>
      <c r="M1345" t="str">
        <f>'Huong dan giao do an'!$B$33</f>
        <v>Tuần 1: 07.09–13.09.2026; Tuần 2: 14.09–20.09.2026; Tuần 3: 21.09–27.09.2026; Tuần 4: 28.09–04.10.2026; Tuần 5: 05.10–11.10.2026; Tuần 6: 12.10–18.10.2026; Tuần 7: 19.10–25.10.2026; Tuần 8: 26.10–01.11.2026.</v>
      </c>
      <c r="N13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5" s="17" t="str">
        <f t="shared" si="20"/>
        <v>Còn trống</v>
      </c>
    </row>
    <row r="1346" spans="1:16" x14ac:dyDescent="0.3">
      <c r="A1346">
        <v>1345</v>
      </c>
      <c r="B1346" t="s">
        <v>3002</v>
      </c>
      <c r="C1346" t="s">
        <v>3119</v>
      </c>
      <c r="D1346" t="s">
        <v>3120</v>
      </c>
      <c r="E1346" t="s">
        <v>33</v>
      </c>
      <c r="F1346" t="s">
        <v>3024</v>
      </c>
      <c r="G1346" t="s">
        <v>3025</v>
      </c>
      <c r="H1346" t="str">
        <f>'Huong dan giao do an'!$B$14</f>
        <v>5 SV (vai trò chính): 1 PM/Scrum Master kiêm Integration; 2 BA/PO; 3 UI-UX + Frontend; 4 Backend/API + DevOps; 5 Database + QA/Tester. Mỗi SV có nhiệm vụ phụ và minh chứng cá nhân.</v>
      </c>
      <c r="I1346" t="s">
        <v>29</v>
      </c>
      <c r="J1346" t="s">
        <v>3012</v>
      </c>
      <c r="K1346" t="str">
        <f>IF(I1346="Trung bình",'Huong dan giao do an'!$B$8,IF(I1346="Khá",'Huong dan giao do an'!$B$9,'Huong dan giao do an'!$B$10))</f>
        <v>Tối thiểu 5 actor; 14-18 use case; 10-15 bảng; 4 quy trình; tích hợp ngoài/realtime hoặc xử lý nâng cao; 3 báo cáo; &gt;=45 test case; logging, backup và deploy.</v>
      </c>
      <c r="L1346" t="str">
        <f>'Huong dan giao do an'!$B$31</f>
        <v>Bắt buộc: Charter/PMP; SRS + scope/WBS; Gantt/baseline; effort-cost budget; RACI/timesheet; quality-test-defect; communication/minutes; risk register; procurement; change log; closure/lessons learned.</v>
      </c>
      <c r="M1346" t="str">
        <f>'Huong dan giao do an'!$B$33</f>
        <v>Tuần 1: 07.09–13.09.2026; Tuần 2: 14.09–20.09.2026; Tuần 3: 21.09–27.09.2026; Tuần 4: 28.09–04.10.2026; Tuần 5: 05.10–11.10.2026; Tuần 6: 12.10–18.10.2026; Tuần 7: 19.10–25.10.2026; Tuần 8: 26.10–01.11.2026.</v>
      </c>
      <c r="N13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6" s="17" t="str">
        <f t="shared" si="20"/>
        <v>Còn trống</v>
      </c>
    </row>
    <row r="1347" spans="1:16" x14ac:dyDescent="0.3">
      <c r="A1347">
        <v>1346</v>
      </c>
      <c r="B1347" t="s">
        <v>3002</v>
      </c>
      <c r="C1347" t="s">
        <v>3121</v>
      </c>
      <c r="D1347" t="s">
        <v>3122</v>
      </c>
      <c r="E1347" t="s">
        <v>40</v>
      </c>
      <c r="F1347" t="s">
        <v>3005</v>
      </c>
      <c r="G1347" t="s">
        <v>3028</v>
      </c>
      <c r="H1347" t="str">
        <f>'Huong dan giao do an'!$B$14</f>
        <v>5 SV (vai trò chính): 1 PM/Scrum Master kiêm Integration; 2 BA/PO; 3 UI-UX + Frontend; 4 Backend/API + DevOps; 5 Database + QA/Tester. Mỗi SV có nhiệm vụ phụ và minh chứng cá nhân.</v>
      </c>
      <c r="I1347" t="s">
        <v>36</v>
      </c>
      <c r="J1347" t="s">
        <v>3017</v>
      </c>
      <c r="K1347" t="str">
        <f>IF(I1347="Trung bình",'Huong dan giao do an'!$B$8,IF(I1347="Khá",'Huong dan giao do an'!$B$9,'Huong dan giao do an'!$B$10))</f>
        <v>Tối thiểu 3 actor; 8-10 use case; 6-8 bảng dữ liệu; 2 quy trình lõi; đăng nhập/RBAC; 1 dashboard; 1 báo cáo; &gt;=25 test case; triển khai bản demo.</v>
      </c>
      <c r="L1347" t="str">
        <f>'Huong dan giao do an'!$B$31</f>
        <v>Bắt buộc: Charter/PMP; SRS + scope/WBS; Gantt/baseline; effort-cost budget; RACI/timesheet; quality-test-defect; communication/minutes; risk register; procurement; change log; closure/lessons learned.</v>
      </c>
      <c r="M1347" t="str">
        <f>'Huong dan giao do an'!$B$33</f>
        <v>Tuần 1: 07.09–13.09.2026; Tuần 2: 14.09–20.09.2026; Tuần 3: 21.09–27.09.2026; Tuần 4: 28.09–04.10.2026; Tuần 5: 05.10–11.10.2026; Tuần 6: 12.10–18.10.2026; Tuần 7: 19.10–25.10.2026; Tuần 8: 26.10–01.11.2026.</v>
      </c>
      <c r="N13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7" s="17" t="str">
        <f t="shared" ref="P1347:P1410" si="21">IF(O1347="","Còn trống","Đã đăng ký")</f>
        <v>Còn trống</v>
      </c>
    </row>
    <row r="1348" spans="1:16" x14ac:dyDescent="0.3">
      <c r="A1348">
        <v>1347</v>
      </c>
      <c r="B1348" t="s">
        <v>3002</v>
      </c>
      <c r="C1348" t="s">
        <v>3123</v>
      </c>
      <c r="D1348" t="s">
        <v>3124</v>
      </c>
      <c r="E1348" t="s">
        <v>45</v>
      </c>
      <c r="F1348" t="s">
        <v>3010</v>
      </c>
      <c r="G1348" t="s">
        <v>3031</v>
      </c>
      <c r="H1348" t="str">
        <f>'Huong dan giao do an'!$B$14</f>
        <v>5 SV (vai trò chính): 1 PM/Scrum Master kiêm Integration; 2 BA/PO; 3 UI-UX + Frontend; 4 Backend/API + DevOps; 5 Database + QA/Tester. Mỗi SV có nhiệm vụ phụ và minh chứng cá nhân.</v>
      </c>
      <c r="I1348" t="s">
        <v>22</v>
      </c>
      <c r="J1348" t="s">
        <v>3007</v>
      </c>
      <c r="K1348" t="str">
        <f>IF(I1348="Trung bình",'Huong dan giao do an'!$B$8,IF(I1348="Khá",'Huong dan giao do an'!$B$9,'Huong dan giao do an'!$B$10))</f>
        <v>Tối thiểu 4 actor; 10-14 use case; 8-12 bảng; 3 quy trình lõi; phân quyền chi tiết; 2 báo cáo; tích hợp 1 dịch vụ; &gt;=35 test case; CI/CD hoặc deploy cloud.</v>
      </c>
      <c r="L1348" t="str">
        <f>'Huong dan giao do an'!$B$31</f>
        <v>Bắt buộc: Charter/PMP; SRS + scope/WBS; Gantt/baseline; effort-cost budget; RACI/timesheet; quality-test-defect; communication/minutes; risk register; procurement; change log; closure/lessons learned.</v>
      </c>
      <c r="M1348" t="str">
        <f>'Huong dan giao do an'!$B$33</f>
        <v>Tuần 1: 07.09–13.09.2026; Tuần 2: 14.09–20.09.2026; Tuần 3: 21.09–27.09.2026; Tuần 4: 28.09–04.10.2026; Tuần 5: 05.10–11.10.2026; Tuần 6: 12.10–18.10.2026; Tuần 7: 19.10–25.10.2026; Tuần 8: 26.10–01.11.2026.</v>
      </c>
      <c r="N13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8" s="17" t="str">
        <f t="shared" si="21"/>
        <v>Còn trống</v>
      </c>
    </row>
    <row r="1349" spans="1:16" x14ac:dyDescent="0.3">
      <c r="A1349">
        <v>1348</v>
      </c>
      <c r="B1349" t="s">
        <v>3002</v>
      </c>
      <c r="C1349" t="s">
        <v>3125</v>
      </c>
      <c r="D1349" t="s">
        <v>3126</v>
      </c>
      <c r="E1349" t="s">
        <v>19</v>
      </c>
      <c r="F1349" t="s">
        <v>3015</v>
      </c>
      <c r="G1349" t="s">
        <v>3034</v>
      </c>
      <c r="H1349" t="str">
        <f>'Huong dan giao do an'!$B$14</f>
        <v>5 SV (vai trò chính): 1 PM/Scrum Master kiêm Integration; 2 BA/PO; 3 UI-UX + Frontend; 4 Backend/API + DevOps; 5 Database + QA/Tester. Mỗi SV có nhiệm vụ phụ và minh chứng cá nhân.</v>
      </c>
      <c r="I1349" t="s">
        <v>29</v>
      </c>
      <c r="J1349" t="s">
        <v>3012</v>
      </c>
      <c r="K1349" t="str">
        <f>IF(I1349="Trung bình",'Huong dan giao do an'!$B$8,IF(I1349="Khá",'Huong dan giao do an'!$B$9,'Huong dan giao do an'!$B$10))</f>
        <v>Tối thiểu 5 actor; 14-18 use case; 10-15 bảng; 4 quy trình; tích hợp ngoài/realtime hoặc xử lý nâng cao; 3 báo cáo; &gt;=45 test case; logging, backup và deploy.</v>
      </c>
      <c r="L1349" t="str">
        <f>'Huong dan giao do an'!$B$31</f>
        <v>Bắt buộc: Charter/PMP; SRS + scope/WBS; Gantt/baseline; effort-cost budget; RACI/timesheet; quality-test-defect; communication/minutes; risk register; procurement; change log; closure/lessons learned.</v>
      </c>
      <c r="M1349" t="str">
        <f>'Huong dan giao do an'!$B$33</f>
        <v>Tuần 1: 07.09–13.09.2026; Tuần 2: 14.09–20.09.2026; Tuần 3: 21.09–27.09.2026; Tuần 4: 28.09–04.10.2026; Tuần 5: 05.10–11.10.2026; Tuần 6: 12.10–18.10.2026; Tuần 7: 19.10–25.10.2026; Tuần 8: 26.10–01.11.2026.</v>
      </c>
      <c r="N13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49" s="17" t="str">
        <f t="shared" si="21"/>
        <v>Còn trống</v>
      </c>
    </row>
    <row r="1350" spans="1:16" x14ac:dyDescent="0.3">
      <c r="A1350">
        <v>1349</v>
      </c>
      <c r="B1350" t="s">
        <v>3002</v>
      </c>
      <c r="C1350" t="s">
        <v>3127</v>
      </c>
      <c r="D1350" t="s">
        <v>3128</v>
      </c>
      <c r="E1350" t="s">
        <v>26</v>
      </c>
      <c r="F1350" t="s">
        <v>3020</v>
      </c>
      <c r="G1350" t="s">
        <v>3037</v>
      </c>
      <c r="H1350" t="str">
        <f>'Huong dan giao do an'!$B$14</f>
        <v>5 SV (vai trò chính): 1 PM/Scrum Master kiêm Integration; 2 BA/PO; 3 UI-UX + Frontend; 4 Backend/API + DevOps; 5 Database + QA/Tester. Mỗi SV có nhiệm vụ phụ và minh chứng cá nhân.</v>
      </c>
      <c r="I1350" t="s">
        <v>36</v>
      </c>
      <c r="J1350" t="s">
        <v>3017</v>
      </c>
      <c r="K1350" t="str">
        <f>IF(I1350="Trung bình",'Huong dan giao do an'!$B$8,IF(I1350="Khá",'Huong dan giao do an'!$B$9,'Huong dan giao do an'!$B$10))</f>
        <v>Tối thiểu 3 actor; 8-10 use case; 6-8 bảng dữ liệu; 2 quy trình lõi; đăng nhập/RBAC; 1 dashboard; 1 báo cáo; &gt;=25 test case; triển khai bản demo.</v>
      </c>
      <c r="L1350" t="str">
        <f>'Huong dan giao do an'!$B$31</f>
        <v>Bắt buộc: Charter/PMP; SRS + scope/WBS; Gantt/baseline; effort-cost budget; RACI/timesheet; quality-test-defect; communication/minutes; risk register; procurement; change log; closure/lessons learned.</v>
      </c>
      <c r="M1350" t="str">
        <f>'Huong dan giao do an'!$B$33</f>
        <v>Tuần 1: 07.09–13.09.2026; Tuần 2: 14.09–20.09.2026; Tuần 3: 21.09–27.09.2026; Tuần 4: 28.09–04.10.2026; Tuần 5: 05.10–11.10.2026; Tuần 6: 12.10–18.10.2026; Tuần 7: 19.10–25.10.2026; Tuần 8: 26.10–01.11.2026.</v>
      </c>
      <c r="N13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0" s="17" t="str">
        <f t="shared" si="21"/>
        <v>Còn trống</v>
      </c>
    </row>
    <row r="1351" spans="1:16" x14ac:dyDescent="0.3">
      <c r="A1351">
        <v>1350</v>
      </c>
      <c r="B1351" t="s">
        <v>3002</v>
      </c>
      <c r="C1351" t="s">
        <v>3129</v>
      </c>
      <c r="D1351" t="s">
        <v>3130</v>
      </c>
      <c r="E1351" t="s">
        <v>33</v>
      </c>
      <c r="F1351" t="s">
        <v>3024</v>
      </c>
      <c r="G1351" t="s">
        <v>3040</v>
      </c>
      <c r="H1351" t="str">
        <f>'Huong dan giao do an'!$B$14</f>
        <v>5 SV (vai trò chính): 1 PM/Scrum Master kiêm Integration; 2 BA/PO; 3 UI-UX + Frontend; 4 Backend/API + DevOps; 5 Database + QA/Tester. Mỗi SV có nhiệm vụ phụ và minh chứng cá nhân.</v>
      </c>
      <c r="I1351" t="s">
        <v>22</v>
      </c>
      <c r="J1351" t="s">
        <v>3007</v>
      </c>
      <c r="K1351" t="str">
        <f>IF(I1351="Trung bình",'Huong dan giao do an'!$B$8,IF(I1351="Khá",'Huong dan giao do an'!$B$9,'Huong dan giao do an'!$B$10))</f>
        <v>Tối thiểu 4 actor; 10-14 use case; 8-12 bảng; 3 quy trình lõi; phân quyền chi tiết; 2 báo cáo; tích hợp 1 dịch vụ; &gt;=35 test case; CI/CD hoặc deploy cloud.</v>
      </c>
      <c r="L1351" t="str">
        <f>'Huong dan giao do an'!$B$31</f>
        <v>Bắt buộc: Charter/PMP; SRS + scope/WBS; Gantt/baseline; effort-cost budget; RACI/timesheet; quality-test-defect; communication/minutes; risk register; procurement; change log; closure/lessons learned.</v>
      </c>
      <c r="M1351" t="str">
        <f>'Huong dan giao do an'!$B$33</f>
        <v>Tuần 1: 07.09–13.09.2026; Tuần 2: 14.09–20.09.2026; Tuần 3: 21.09–27.09.2026; Tuần 4: 28.09–04.10.2026; Tuần 5: 05.10–11.10.2026; Tuần 6: 12.10–18.10.2026; Tuần 7: 19.10–25.10.2026; Tuần 8: 26.10–01.11.2026.</v>
      </c>
      <c r="N13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1" s="17" t="str">
        <f t="shared" si="21"/>
        <v>Còn trống</v>
      </c>
    </row>
    <row r="1352" spans="1:16" x14ac:dyDescent="0.3">
      <c r="A1352">
        <v>1351</v>
      </c>
      <c r="B1352" t="s">
        <v>3002</v>
      </c>
      <c r="C1352" t="s">
        <v>3131</v>
      </c>
      <c r="D1352" t="s">
        <v>3132</v>
      </c>
      <c r="E1352" t="s">
        <v>40</v>
      </c>
      <c r="F1352" t="s">
        <v>3005</v>
      </c>
      <c r="G1352" t="s">
        <v>3043</v>
      </c>
      <c r="H1352" t="str">
        <f>'Huong dan giao do an'!$B$14</f>
        <v>5 SV (vai trò chính): 1 PM/Scrum Master kiêm Integration; 2 BA/PO; 3 UI-UX + Frontend; 4 Backend/API + DevOps; 5 Database + QA/Tester. Mỗi SV có nhiệm vụ phụ và minh chứng cá nhân.</v>
      </c>
      <c r="I1352" t="s">
        <v>29</v>
      </c>
      <c r="J1352" t="s">
        <v>3012</v>
      </c>
      <c r="K1352" t="str">
        <f>IF(I1352="Trung bình",'Huong dan giao do an'!$B$8,IF(I1352="Khá",'Huong dan giao do an'!$B$9,'Huong dan giao do an'!$B$10))</f>
        <v>Tối thiểu 5 actor; 14-18 use case; 10-15 bảng; 4 quy trình; tích hợp ngoài/realtime hoặc xử lý nâng cao; 3 báo cáo; &gt;=45 test case; logging, backup và deploy.</v>
      </c>
      <c r="L1352" t="str">
        <f>'Huong dan giao do an'!$B$31</f>
        <v>Bắt buộc: Charter/PMP; SRS + scope/WBS; Gantt/baseline; effort-cost budget; RACI/timesheet; quality-test-defect; communication/minutes; risk register; procurement; change log; closure/lessons learned.</v>
      </c>
      <c r="M1352" t="str">
        <f>'Huong dan giao do an'!$B$33</f>
        <v>Tuần 1: 07.09–13.09.2026; Tuần 2: 14.09–20.09.2026; Tuần 3: 21.09–27.09.2026; Tuần 4: 28.09–04.10.2026; Tuần 5: 05.10–11.10.2026; Tuần 6: 12.10–18.10.2026; Tuần 7: 19.10–25.10.2026; Tuần 8: 26.10–01.11.2026.</v>
      </c>
      <c r="N13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2" s="17" t="str">
        <f t="shared" si="21"/>
        <v>Còn trống</v>
      </c>
    </row>
    <row r="1353" spans="1:16" x14ac:dyDescent="0.3">
      <c r="A1353">
        <v>1352</v>
      </c>
      <c r="B1353" t="s">
        <v>3002</v>
      </c>
      <c r="C1353" t="s">
        <v>3133</v>
      </c>
      <c r="D1353" t="s">
        <v>3134</v>
      </c>
      <c r="E1353" t="s">
        <v>45</v>
      </c>
      <c r="F1353" t="s">
        <v>3010</v>
      </c>
      <c r="G1353" t="s">
        <v>3046</v>
      </c>
      <c r="H1353" t="str">
        <f>'Huong dan giao do an'!$B$14</f>
        <v>5 SV (vai trò chính): 1 PM/Scrum Master kiêm Integration; 2 BA/PO; 3 UI-UX + Frontend; 4 Backend/API + DevOps; 5 Database + QA/Tester. Mỗi SV có nhiệm vụ phụ và minh chứng cá nhân.</v>
      </c>
      <c r="I1353" t="s">
        <v>36</v>
      </c>
      <c r="J1353" t="s">
        <v>3017</v>
      </c>
      <c r="K1353" t="str">
        <f>IF(I1353="Trung bình",'Huong dan giao do an'!$B$8,IF(I1353="Khá",'Huong dan giao do an'!$B$9,'Huong dan giao do an'!$B$10))</f>
        <v>Tối thiểu 3 actor; 8-10 use case; 6-8 bảng dữ liệu; 2 quy trình lõi; đăng nhập/RBAC; 1 dashboard; 1 báo cáo; &gt;=25 test case; triển khai bản demo.</v>
      </c>
      <c r="L1353" t="str">
        <f>'Huong dan giao do an'!$B$31</f>
        <v>Bắt buộc: Charter/PMP; SRS + scope/WBS; Gantt/baseline; effort-cost budget; RACI/timesheet; quality-test-defect; communication/minutes; risk register; procurement; change log; closure/lessons learned.</v>
      </c>
      <c r="M1353" t="str">
        <f>'Huong dan giao do an'!$B$33</f>
        <v>Tuần 1: 07.09–13.09.2026; Tuần 2: 14.09–20.09.2026; Tuần 3: 21.09–27.09.2026; Tuần 4: 28.09–04.10.2026; Tuần 5: 05.10–11.10.2026; Tuần 6: 12.10–18.10.2026; Tuần 7: 19.10–25.10.2026; Tuần 8: 26.10–01.11.2026.</v>
      </c>
      <c r="N13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3" s="17" t="str">
        <f t="shared" si="21"/>
        <v>Còn trống</v>
      </c>
    </row>
    <row r="1354" spans="1:16" x14ac:dyDescent="0.3">
      <c r="A1354">
        <v>1353</v>
      </c>
      <c r="B1354" t="s">
        <v>3002</v>
      </c>
      <c r="C1354" t="s">
        <v>3135</v>
      </c>
      <c r="D1354" t="s">
        <v>3136</v>
      </c>
      <c r="E1354" t="s">
        <v>19</v>
      </c>
      <c r="F1354" t="s">
        <v>3015</v>
      </c>
      <c r="G1354" t="s">
        <v>3049</v>
      </c>
      <c r="H1354" t="str">
        <f>'Huong dan giao do an'!$B$14</f>
        <v>5 SV (vai trò chính): 1 PM/Scrum Master kiêm Integration; 2 BA/PO; 3 UI-UX + Frontend; 4 Backend/API + DevOps; 5 Database + QA/Tester. Mỗi SV có nhiệm vụ phụ và minh chứng cá nhân.</v>
      </c>
      <c r="I1354" t="s">
        <v>22</v>
      </c>
      <c r="J1354" t="s">
        <v>3007</v>
      </c>
      <c r="K1354" t="str">
        <f>IF(I1354="Trung bình",'Huong dan giao do an'!$B$8,IF(I1354="Khá",'Huong dan giao do an'!$B$9,'Huong dan giao do an'!$B$10))</f>
        <v>Tối thiểu 4 actor; 10-14 use case; 8-12 bảng; 3 quy trình lõi; phân quyền chi tiết; 2 báo cáo; tích hợp 1 dịch vụ; &gt;=35 test case; CI/CD hoặc deploy cloud.</v>
      </c>
      <c r="L1354" t="str">
        <f>'Huong dan giao do an'!$B$31</f>
        <v>Bắt buộc: Charter/PMP; SRS + scope/WBS; Gantt/baseline; effort-cost budget; RACI/timesheet; quality-test-defect; communication/minutes; risk register; procurement; change log; closure/lessons learned.</v>
      </c>
      <c r="M1354" t="str">
        <f>'Huong dan giao do an'!$B$33</f>
        <v>Tuần 1: 07.09–13.09.2026; Tuần 2: 14.09–20.09.2026; Tuần 3: 21.09–27.09.2026; Tuần 4: 28.09–04.10.2026; Tuần 5: 05.10–11.10.2026; Tuần 6: 12.10–18.10.2026; Tuần 7: 19.10–25.10.2026; Tuần 8: 26.10–01.11.2026.</v>
      </c>
      <c r="N13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4" s="17" t="str">
        <f t="shared" si="21"/>
        <v>Còn trống</v>
      </c>
    </row>
    <row r="1355" spans="1:16" x14ac:dyDescent="0.3">
      <c r="A1355">
        <v>1354</v>
      </c>
      <c r="B1355" t="s">
        <v>3002</v>
      </c>
      <c r="C1355" t="s">
        <v>3137</v>
      </c>
      <c r="D1355" t="s">
        <v>3138</v>
      </c>
      <c r="E1355" t="s">
        <v>26</v>
      </c>
      <c r="F1355" t="s">
        <v>3020</v>
      </c>
      <c r="G1355" t="s">
        <v>3052</v>
      </c>
      <c r="H1355" t="str">
        <f>'Huong dan giao do an'!$B$14</f>
        <v>5 SV (vai trò chính): 1 PM/Scrum Master kiêm Integration; 2 BA/PO; 3 UI-UX + Frontend; 4 Backend/API + DevOps; 5 Database + QA/Tester. Mỗi SV có nhiệm vụ phụ và minh chứng cá nhân.</v>
      </c>
      <c r="I1355" t="s">
        <v>29</v>
      </c>
      <c r="J1355" t="s">
        <v>3012</v>
      </c>
      <c r="K1355" t="str">
        <f>IF(I1355="Trung bình",'Huong dan giao do an'!$B$8,IF(I1355="Khá",'Huong dan giao do an'!$B$9,'Huong dan giao do an'!$B$10))</f>
        <v>Tối thiểu 5 actor; 14-18 use case; 10-15 bảng; 4 quy trình; tích hợp ngoài/realtime hoặc xử lý nâng cao; 3 báo cáo; &gt;=45 test case; logging, backup và deploy.</v>
      </c>
      <c r="L1355" t="str">
        <f>'Huong dan giao do an'!$B$31</f>
        <v>Bắt buộc: Charter/PMP; SRS + scope/WBS; Gantt/baseline; effort-cost budget; RACI/timesheet; quality-test-defect; communication/minutes; risk register; procurement; change log; closure/lessons learned.</v>
      </c>
      <c r="M1355" t="str">
        <f>'Huong dan giao do an'!$B$33</f>
        <v>Tuần 1: 07.09–13.09.2026; Tuần 2: 14.09–20.09.2026; Tuần 3: 21.09–27.09.2026; Tuần 4: 28.09–04.10.2026; Tuần 5: 05.10–11.10.2026; Tuần 6: 12.10–18.10.2026; Tuần 7: 19.10–25.10.2026; Tuần 8: 26.10–01.11.2026.</v>
      </c>
      <c r="N13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5" s="17" t="str">
        <f t="shared" si="21"/>
        <v>Còn trống</v>
      </c>
    </row>
    <row r="1356" spans="1:16" x14ac:dyDescent="0.3">
      <c r="A1356">
        <v>1355</v>
      </c>
      <c r="B1356" t="s">
        <v>3002</v>
      </c>
      <c r="C1356" t="s">
        <v>3139</v>
      </c>
      <c r="D1356" t="s">
        <v>3140</v>
      </c>
      <c r="E1356" t="s">
        <v>33</v>
      </c>
      <c r="F1356" t="s">
        <v>3024</v>
      </c>
      <c r="G1356" t="s">
        <v>3055</v>
      </c>
      <c r="H1356" t="str">
        <f>'Huong dan giao do an'!$B$14</f>
        <v>5 SV (vai trò chính): 1 PM/Scrum Master kiêm Integration; 2 BA/PO; 3 UI-UX + Frontend; 4 Backend/API + DevOps; 5 Database + QA/Tester. Mỗi SV có nhiệm vụ phụ và minh chứng cá nhân.</v>
      </c>
      <c r="I1356" t="s">
        <v>36</v>
      </c>
      <c r="J1356" t="s">
        <v>3017</v>
      </c>
      <c r="K1356" t="str">
        <f>IF(I1356="Trung bình",'Huong dan giao do an'!$B$8,IF(I1356="Khá",'Huong dan giao do an'!$B$9,'Huong dan giao do an'!$B$10))</f>
        <v>Tối thiểu 3 actor; 8-10 use case; 6-8 bảng dữ liệu; 2 quy trình lõi; đăng nhập/RBAC; 1 dashboard; 1 báo cáo; &gt;=25 test case; triển khai bản demo.</v>
      </c>
      <c r="L1356" t="str">
        <f>'Huong dan giao do an'!$B$31</f>
        <v>Bắt buộc: Charter/PMP; SRS + scope/WBS; Gantt/baseline; effort-cost budget; RACI/timesheet; quality-test-defect; communication/minutes; risk register; procurement; change log; closure/lessons learned.</v>
      </c>
      <c r="M1356" t="str">
        <f>'Huong dan giao do an'!$B$33</f>
        <v>Tuần 1: 07.09–13.09.2026; Tuần 2: 14.09–20.09.2026; Tuần 3: 21.09–27.09.2026; Tuần 4: 28.09–04.10.2026; Tuần 5: 05.10–11.10.2026; Tuần 6: 12.10–18.10.2026; Tuần 7: 19.10–25.10.2026; Tuần 8: 26.10–01.11.2026.</v>
      </c>
      <c r="N13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6" s="17" t="str">
        <f t="shared" si="21"/>
        <v>Còn trống</v>
      </c>
    </row>
    <row r="1357" spans="1:16" x14ac:dyDescent="0.3">
      <c r="A1357">
        <v>1356</v>
      </c>
      <c r="B1357" t="s">
        <v>3002</v>
      </c>
      <c r="C1357" t="s">
        <v>3141</v>
      </c>
      <c r="D1357" t="s">
        <v>3142</v>
      </c>
      <c r="E1357" t="s">
        <v>40</v>
      </c>
      <c r="F1357" t="s">
        <v>3005</v>
      </c>
      <c r="G1357" t="s">
        <v>3058</v>
      </c>
      <c r="H1357" t="str">
        <f>'Huong dan giao do an'!$B$14</f>
        <v>5 SV (vai trò chính): 1 PM/Scrum Master kiêm Integration; 2 BA/PO; 3 UI-UX + Frontend; 4 Backend/API + DevOps; 5 Database + QA/Tester. Mỗi SV có nhiệm vụ phụ và minh chứng cá nhân.</v>
      </c>
      <c r="I1357" t="s">
        <v>22</v>
      </c>
      <c r="J1357" t="s">
        <v>3007</v>
      </c>
      <c r="K1357" t="str">
        <f>IF(I1357="Trung bình",'Huong dan giao do an'!$B$8,IF(I1357="Khá",'Huong dan giao do an'!$B$9,'Huong dan giao do an'!$B$10))</f>
        <v>Tối thiểu 4 actor; 10-14 use case; 8-12 bảng; 3 quy trình lõi; phân quyền chi tiết; 2 báo cáo; tích hợp 1 dịch vụ; &gt;=35 test case; CI/CD hoặc deploy cloud.</v>
      </c>
      <c r="L1357" t="str">
        <f>'Huong dan giao do an'!$B$31</f>
        <v>Bắt buộc: Charter/PMP; SRS + scope/WBS; Gantt/baseline; effort-cost budget; RACI/timesheet; quality-test-defect; communication/minutes; risk register; procurement; change log; closure/lessons learned.</v>
      </c>
      <c r="M1357" t="str">
        <f>'Huong dan giao do an'!$B$33</f>
        <v>Tuần 1: 07.09–13.09.2026; Tuần 2: 14.09–20.09.2026; Tuần 3: 21.09–27.09.2026; Tuần 4: 28.09–04.10.2026; Tuần 5: 05.10–11.10.2026; Tuần 6: 12.10–18.10.2026; Tuần 7: 19.10–25.10.2026; Tuần 8: 26.10–01.11.2026.</v>
      </c>
      <c r="N13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7" s="17" t="str">
        <f t="shared" si="21"/>
        <v>Còn trống</v>
      </c>
    </row>
    <row r="1358" spans="1:16" x14ac:dyDescent="0.3">
      <c r="A1358">
        <v>1357</v>
      </c>
      <c r="B1358" t="s">
        <v>3002</v>
      </c>
      <c r="C1358" t="s">
        <v>3143</v>
      </c>
      <c r="D1358" t="s">
        <v>3144</v>
      </c>
      <c r="E1358" t="s">
        <v>45</v>
      </c>
      <c r="F1358" t="s">
        <v>3010</v>
      </c>
      <c r="G1358" t="s">
        <v>3061</v>
      </c>
      <c r="H1358" t="str">
        <f>'Huong dan giao do an'!$B$14</f>
        <v>5 SV (vai trò chính): 1 PM/Scrum Master kiêm Integration; 2 BA/PO; 3 UI-UX + Frontend; 4 Backend/API + DevOps; 5 Database + QA/Tester. Mỗi SV có nhiệm vụ phụ và minh chứng cá nhân.</v>
      </c>
      <c r="I1358" t="s">
        <v>29</v>
      </c>
      <c r="J1358" t="s">
        <v>3012</v>
      </c>
      <c r="K1358" t="str">
        <f>IF(I1358="Trung bình",'Huong dan giao do an'!$B$8,IF(I1358="Khá",'Huong dan giao do an'!$B$9,'Huong dan giao do an'!$B$10))</f>
        <v>Tối thiểu 5 actor; 14-18 use case; 10-15 bảng; 4 quy trình; tích hợp ngoài/realtime hoặc xử lý nâng cao; 3 báo cáo; &gt;=45 test case; logging, backup và deploy.</v>
      </c>
      <c r="L1358" t="str">
        <f>'Huong dan giao do an'!$B$31</f>
        <v>Bắt buộc: Charter/PMP; SRS + scope/WBS; Gantt/baseline; effort-cost budget; RACI/timesheet; quality-test-defect; communication/minutes; risk register; procurement; change log; closure/lessons learned.</v>
      </c>
      <c r="M1358" t="str">
        <f>'Huong dan giao do an'!$B$33</f>
        <v>Tuần 1: 07.09–13.09.2026; Tuần 2: 14.09–20.09.2026; Tuần 3: 21.09–27.09.2026; Tuần 4: 28.09–04.10.2026; Tuần 5: 05.10–11.10.2026; Tuần 6: 12.10–18.10.2026; Tuần 7: 19.10–25.10.2026; Tuần 8: 26.10–01.11.2026.</v>
      </c>
      <c r="N13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8" s="17" t="str">
        <f t="shared" si="21"/>
        <v>Còn trống</v>
      </c>
    </row>
    <row r="1359" spans="1:16" x14ac:dyDescent="0.3">
      <c r="A1359">
        <v>1358</v>
      </c>
      <c r="B1359" t="s">
        <v>3002</v>
      </c>
      <c r="C1359" t="s">
        <v>3145</v>
      </c>
      <c r="D1359" t="s">
        <v>3146</v>
      </c>
      <c r="E1359" t="s">
        <v>19</v>
      </c>
      <c r="F1359" t="s">
        <v>3015</v>
      </c>
      <c r="G1359" t="s">
        <v>3064</v>
      </c>
      <c r="H1359" t="str">
        <f>'Huong dan giao do an'!$B$14</f>
        <v>5 SV (vai trò chính): 1 PM/Scrum Master kiêm Integration; 2 BA/PO; 3 UI-UX + Frontend; 4 Backend/API + DevOps; 5 Database + QA/Tester. Mỗi SV có nhiệm vụ phụ và minh chứng cá nhân.</v>
      </c>
      <c r="I1359" t="s">
        <v>36</v>
      </c>
      <c r="J1359" t="s">
        <v>3017</v>
      </c>
      <c r="K1359" t="str">
        <f>IF(I1359="Trung bình",'Huong dan giao do an'!$B$8,IF(I1359="Khá",'Huong dan giao do an'!$B$9,'Huong dan giao do an'!$B$10))</f>
        <v>Tối thiểu 3 actor; 8-10 use case; 6-8 bảng dữ liệu; 2 quy trình lõi; đăng nhập/RBAC; 1 dashboard; 1 báo cáo; &gt;=25 test case; triển khai bản demo.</v>
      </c>
      <c r="L1359" t="str">
        <f>'Huong dan giao do an'!$B$31</f>
        <v>Bắt buộc: Charter/PMP; SRS + scope/WBS; Gantt/baseline; effort-cost budget; RACI/timesheet; quality-test-defect; communication/minutes; risk register; procurement; change log; closure/lessons learned.</v>
      </c>
      <c r="M1359" t="str">
        <f>'Huong dan giao do an'!$B$33</f>
        <v>Tuần 1: 07.09–13.09.2026; Tuần 2: 14.09–20.09.2026; Tuần 3: 21.09–27.09.2026; Tuần 4: 28.09–04.10.2026; Tuần 5: 05.10–11.10.2026; Tuần 6: 12.10–18.10.2026; Tuần 7: 19.10–25.10.2026; Tuần 8: 26.10–01.11.2026.</v>
      </c>
      <c r="N13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59" s="17" t="str">
        <f t="shared" si="21"/>
        <v>Còn trống</v>
      </c>
    </row>
    <row r="1360" spans="1:16" x14ac:dyDescent="0.3">
      <c r="A1360">
        <v>1359</v>
      </c>
      <c r="B1360" t="s">
        <v>3002</v>
      </c>
      <c r="C1360" t="s">
        <v>3147</v>
      </c>
      <c r="D1360" t="s">
        <v>3148</v>
      </c>
      <c r="E1360" t="s">
        <v>26</v>
      </c>
      <c r="F1360" t="s">
        <v>3020</v>
      </c>
      <c r="G1360" t="s">
        <v>3067</v>
      </c>
      <c r="H1360" t="str">
        <f>'Huong dan giao do an'!$B$14</f>
        <v>5 SV (vai trò chính): 1 PM/Scrum Master kiêm Integration; 2 BA/PO; 3 UI-UX + Frontend; 4 Backend/API + DevOps; 5 Database + QA/Tester. Mỗi SV có nhiệm vụ phụ và minh chứng cá nhân.</v>
      </c>
      <c r="I1360" t="s">
        <v>22</v>
      </c>
      <c r="J1360" t="s">
        <v>3007</v>
      </c>
      <c r="K1360" t="str">
        <f>IF(I1360="Trung bình",'Huong dan giao do an'!$B$8,IF(I1360="Khá",'Huong dan giao do an'!$B$9,'Huong dan giao do an'!$B$10))</f>
        <v>Tối thiểu 4 actor; 10-14 use case; 8-12 bảng; 3 quy trình lõi; phân quyền chi tiết; 2 báo cáo; tích hợp 1 dịch vụ; &gt;=35 test case; CI/CD hoặc deploy cloud.</v>
      </c>
      <c r="L1360" t="str">
        <f>'Huong dan giao do an'!$B$31</f>
        <v>Bắt buộc: Charter/PMP; SRS + scope/WBS; Gantt/baseline; effort-cost budget; RACI/timesheet; quality-test-defect; communication/minutes; risk register; procurement; change log; closure/lessons learned.</v>
      </c>
      <c r="M1360" t="str">
        <f>'Huong dan giao do an'!$B$33</f>
        <v>Tuần 1: 07.09–13.09.2026; Tuần 2: 14.09–20.09.2026; Tuần 3: 21.09–27.09.2026; Tuần 4: 28.09–04.10.2026; Tuần 5: 05.10–11.10.2026; Tuần 6: 12.10–18.10.2026; Tuần 7: 19.10–25.10.2026; Tuần 8: 26.10–01.11.2026.</v>
      </c>
      <c r="N13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0" s="17" t="str">
        <f t="shared" si="21"/>
        <v>Còn trống</v>
      </c>
    </row>
    <row r="1361" spans="1:16" x14ac:dyDescent="0.3">
      <c r="A1361">
        <v>1360</v>
      </c>
      <c r="B1361" t="s">
        <v>3002</v>
      </c>
      <c r="C1361" t="s">
        <v>3149</v>
      </c>
      <c r="D1361" t="s">
        <v>3150</v>
      </c>
      <c r="E1361" t="s">
        <v>33</v>
      </c>
      <c r="F1361" t="s">
        <v>3024</v>
      </c>
      <c r="G1361" t="s">
        <v>3070</v>
      </c>
      <c r="H1361" t="str">
        <f>'Huong dan giao do an'!$B$14</f>
        <v>5 SV (vai trò chính): 1 PM/Scrum Master kiêm Integration; 2 BA/PO; 3 UI-UX + Frontend; 4 Backend/API + DevOps; 5 Database + QA/Tester. Mỗi SV có nhiệm vụ phụ và minh chứng cá nhân.</v>
      </c>
      <c r="I1361" t="s">
        <v>29</v>
      </c>
      <c r="J1361" t="s">
        <v>3012</v>
      </c>
      <c r="K1361" t="str">
        <f>IF(I1361="Trung bình",'Huong dan giao do an'!$B$8,IF(I1361="Khá",'Huong dan giao do an'!$B$9,'Huong dan giao do an'!$B$10))</f>
        <v>Tối thiểu 5 actor; 14-18 use case; 10-15 bảng; 4 quy trình; tích hợp ngoài/realtime hoặc xử lý nâng cao; 3 báo cáo; &gt;=45 test case; logging, backup và deploy.</v>
      </c>
      <c r="L1361" t="str">
        <f>'Huong dan giao do an'!$B$31</f>
        <v>Bắt buộc: Charter/PMP; SRS + scope/WBS; Gantt/baseline; effort-cost budget; RACI/timesheet; quality-test-defect; communication/minutes; risk register; procurement; change log; closure/lessons learned.</v>
      </c>
      <c r="M1361" t="str">
        <f>'Huong dan giao do an'!$B$33</f>
        <v>Tuần 1: 07.09–13.09.2026; Tuần 2: 14.09–20.09.2026; Tuần 3: 21.09–27.09.2026; Tuần 4: 28.09–04.10.2026; Tuần 5: 05.10–11.10.2026; Tuần 6: 12.10–18.10.2026; Tuần 7: 19.10–25.10.2026; Tuần 8: 26.10–01.11.2026.</v>
      </c>
      <c r="N13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1" s="17" t="str">
        <f t="shared" si="21"/>
        <v>Còn trống</v>
      </c>
    </row>
    <row r="1362" spans="1:16" x14ac:dyDescent="0.3">
      <c r="A1362">
        <v>1361</v>
      </c>
      <c r="B1362" t="s">
        <v>3002</v>
      </c>
      <c r="C1362" t="s">
        <v>3151</v>
      </c>
      <c r="D1362" t="s">
        <v>3152</v>
      </c>
      <c r="E1362" t="s">
        <v>40</v>
      </c>
      <c r="F1362" t="s">
        <v>3005</v>
      </c>
      <c r="G1362" t="s">
        <v>3006</v>
      </c>
      <c r="H1362" t="str">
        <f>'Huong dan giao do an'!$B$14</f>
        <v>5 SV (vai trò chính): 1 PM/Scrum Master kiêm Integration; 2 BA/PO; 3 UI-UX + Frontend; 4 Backend/API + DevOps; 5 Database + QA/Tester. Mỗi SV có nhiệm vụ phụ và minh chứng cá nhân.</v>
      </c>
      <c r="I1362" t="s">
        <v>22</v>
      </c>
      <c r="J1362" t="s">
        <v>3007</v>
      </c>
      <c r="K1362" t="str">
        <f>IF(I1362="Trung bình",'Huong dan giao do an'!$B$8,IF(I1362="Khá",'Huong dan giao do an'!$B$9,'Huong dan giao do an'!$B$10))</f>
        <v>Tối thiểu 4 actor; 10-14 use case; 8-12 bảng; 3 quy trình lõi; phân quyền chi tiết; 2 báo cáo; tích hợp 1 dịch vụ; &gt;=35 test case; CI/CD hoặc deploy cloud.</v>
      </c>
      <c r="L1362" t="str">
        <f>'Huong dan giao do an'!$B$31</f>
        <v>Bắt buộc: Charter/PMP; SRS + scope/WBS; Gantt/baseline; effort-cost budget; RACI/timesheet; quality-test-defect; communication/minutes; risk register; procurement; change log; closure/lessons learned.</v>
      </c>
      <c r="M1362" t="str">
        <f>'Huong dan giao do an'!$B$33</f>
        <v>Tuần 1: 07.09–13.09.2026; Tuần 2: 14.09–20.09.2026; Tuần 3: 21.09–27.09.2026; Tuần 4: 28.09–04.10.2026; Tuần 5: 05.10–11.10.2026; Tuần 6: 12.10–18.10.2026; Tuần 7: 19.10–25.10.2026; Tuần 8: 26.10–01.11.2026.</v>
      </c>
      <c r="N13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2" s="17" t="str">
        <f t="shared" si="21"/>
        <v>Còn trống</v>
      </c>
    </row>
    <row r="1363" spans="1:16" x14ac:dyDescent="0.3">
      <c r="A1363">
        <v>1362</v>
      </c>
      <c r="B1363" t="s">
        <v>3002</v>
      </c>
      <c r="C1363" t="s">
        <v>3153</v>
      </c>
      <c r="D1363" t="s">
        <v>3154</v>
      </c>
      <c r="E1363" t="s">
        <v>45</v>
      </c>
      <c r="F1363" t="s">
        <v>3010</v>
      </c>
      <c r="G1363" t="s">
        <v>3011</v>
      </c>
      <c r="H1363" t="str">
        <f>'Huong dan giao do an'!$B$14</f>
        <v>5 SV (vai trò chính): 1 PM/Scrum Master kiêm Integration; 2 BA/PO; 3 UI-UX + Frontend; 4 Backend/API + DevOps; 5 Database + QA/Tester. Mỗi SV có nhiệm vụ phụ và minh chứng cá nhân.</v>
      </c>
      <c r="I1363" t="s">
        <v>29</v>
      </c>
      <c r="J1363" t="s">
        <v>3012</v>
      </c>
      <c r="K1363" t="str">
        <f>IF(I1363="Trung bình",'Huong dan giao do an'!$B$8,IF(I1363="Khá",'Huong dan giao do an'!$B$9,'Huong dan giao do an'!$B$10))</f>
        <v>Tối thiểu 5 actor; 14-18 use case; 10-15 bảng; 4 quy trình; tích hợp ngoài/realtime hoặc xử lý nâng cao; 3 báo cáo; &gt;=45 test case; logging, backup và deploy.</v>
      </c>
      <c r="L1363" t="str">
        <f>'Huong dan giao do an'!$B$31</f>
        <v>Bắt buộc: Charter/PMP; SRS + scope/WBS; Gantt/baseline; effort-cost budget; RACI/timesheet; quality-test-defect; communication/minutes; risk register; procurement; change log; closure/lessons learned.</v>
      </c>
      <c r="M1363" t="str">
        <f>'Huong dan giao do an'!$B$33</f>
        <v>Tuần 1: 07.09–13.09.2026; Tuần 2: 14.09–20.09.2026; Tuần 3: 21.09–27.09.2026; Tuần 4: 28.09–04.10.2026; Tuần 5: 05.10–11.10.2026; Tuần 6: 12.10–18.10.2026; Tuần 7: 19.10–25.10.2026; Tuần 8: 26.10–01.11.2026.</v>
      </c>
      <c r="N13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3" s="17" t="str">
        <f t="shared" si="21"/>
        <v>Còn trống</v>
      </c>
    </row>
    <row r="1364" spans="1:16" x14ac:dyDescent="0.3">
      <c r="A1364">
        <v>1363</v>
      </c>
      <c r="B1364" t="s">
        <v>3002</v>
      </c>
      <c r="C1364" t="s">
        <v>3155</v>
      </c>
      <c r="D1364" t="s">
        <v>3156</v>
      </c>
      <c r="E1364" t="s">
        <v>19</v>
      </c>
      <c r="F1364" t="s">
        <v>3015</v>
      </c>
      <c r="G1364" t="s">
        <v>3016</v>
      </c>
      <c r="H1364" t="str">
        <f>'Huong dan giao do an'!$B$14</f>
        <v>5 SV (vai trò chính): 1 PM/Scrum Master kiêm Integration; 2 BA/PO; 3 UI-UX + Frontend; 4 Backend/API + DevOps; 5 Database + QA/Tester. Mỗi SV có nhiệm vụ phụ và minh chứng cá nhân.</v>
      </c>
      <c r="I1364" t="s">
        <v>36</v>
      </c>
      <c r="J1364" t="s">
        <v>3017</v>
      </c>
      <c r="K1364" t="str">
        <f>IF(I1364="Trung bình",'Huong dan giao do an'!$B$8,IF(I1364="Khá",'Huong dan giao do an'!$B$9,'Huong dan giao do an'!$B$10))</f>
        <v>Tối thiểu 3 actor; 8-10 use case; 6-8 bảng dữ liệu; 2 quy trình lõi; đăng nhập/RBAC; 1 dashboard; 1 báo cáo; &gt;=25 test case; triển khai bản demo.</v>
      </c>
      <c r="L1364" t="str">
        <f>'Huong dan giao do an'!$B$31</f>
        <v>Bắt buộc: Charter/PMP; SRS + scope/WBS; Gantt/baseline; effort-cost budget; RACI/timesheet; quality-test-defect; communication/minutes; risk register; procurement; change log; closure/lessons learned.</v>
      </c>
      <c r="M1364" t="str">
        <f>'Huong dan giao do an'!$B$33</f>
        <v>Tuần 1: 07.09–13.09.2026; Tuần 2: 14.09–20.09.2026; Tuần 3: 21.09–27.09.2026; Tuần 4: 28.09–04.10.2026; Tuần 5: 05.10–11.10.2026; Tuần 6: 12.10–18.10.2026; Tuần 7: 19.10–25.10.2026; Tuần 8: 26.10–01.11.2026.</v>
      </c>
      <c r="N13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4" s="17" t="str">
        <f t="shared" si="21"/>
        <v>Còn trống</v>
      </c>
    </row>
    <row r="1365" spans="1:16" x14ac:dyDescent="0.3">
      <c r="A1365">
        <v>1364</v>
      </c>
      <c r="B1365" t="s">
        <v>3002</v>
      </c>
      <c r="C1365" t="s">
        <v>3157</v>
      </c>
      <c r="D1365" t="s">
        <v>3158</v>
      </c>
      <c r="E1365" t="s">
        <v>26</v>
      </c>
      <c r="F1365" t="s">
        <v>3020</v>
      </c>
      <c r="G1365" t="s">
        <v>3021</v>
      </c>
      <c r="H1365" t="str">
        <f>'Huong dan giao do an'!$B$14</f>
        <v>5 SV (vai trò chính): 1 PM/Scrum Master kiêm Integration; 2 BA/PO; 3 UI-UX + Frontend; 4 Backend/API + DevOps; 5 Database + QA/Tester. Mỗi SV có nhiệm vụ phụ và minh chứng cá nhân.</v>
      </c>
      <c r="I1365" t="s">
        <v>22</v>
      </c>
      <c r="J1365" t="s">
        <v>3007</v>
      </c>
      <c r="K1365" t="str">
        <f>IF(I1365="Trung bình",'Huong dan giao do an'!$B$8,IF(I1365="Khá",'Huong dan giao do an'!$B$9,'Huong dan giao do an'!$B$10))</f>
        <v>Tối thiểu 4 actor; 10-14 use case; 8-12 bảng; 3 quy trình lõi; phân quyền chi tiết; 2 báo cáo; tích hợp 1 dịch vụ; &gt;=35 test case; CI/CD hoặc deploy cloud.</v>
      </c>
      <c r="L1365" t="str">
        <f>'Huong dan giao do an'!$B$31</f>
        <v>Bắt buộc: Charter/PMP; SRS + scope/WBS; Gantt/baseline; effort-cost budget; RACI/timesheet; quality-test-defect; communication/minutes; risk register; procurement; change log; closure/lessons learned.</v>
      </c>
      <c r="M1365" t="str">
        <f>'Huong dan giao do an'!$B$33</f>
        <v>Tuần 1: 07.09–13.09.2026; Tuần 2: 14.09–20.09.2026; Tuần 3: 21.09–27.09.2026; Tuần 4: 28.09–04.10.2026; Tuần 5: 05.10–11.10.2026; Tuần 6: 12.10–18.10.2026; Tuần 7: 19.10–25.10.2026; Tuần 8: 26.10–01.11.2026.</v>
      </c>
      <c r="N13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5" s="17" t="str">
        <f t="shared" si="21"/>
        <v>Còn trống</v>
      </c>
    </row>
    <row r="1366" spans="1:16" x14ac:dyDescent="0.3">
      <c r="A1366">
        <v>1365</v>
      </c>
      <c r="B1366" t="s">
        <v>3002</v>
      </c>
      <c r="C1366" t="s">
        <v>3159</v>
      </c>
      <c r="D1366" t="s">
        <v>3160</v>
      </c>
      <c r="E1366" t="s">
        <v>33</v>
      </c>
      <c r="F1366" t="s">
        <v>3024</v>
      </c>
      <c r="G1366" t="s">
        <v>3025</v>
      </c>
      <c r="H1366" t="str">
        <f>'Huong dan giao do an'!$B$14</f>
        <v>5 SV (vai trò chính): 1 PM/Scrum Master kiêm Integration; 2 BA/PO; 3 UI-UX + Frontend; 4 Backend/API + DevOps; 5 Database + QA/Tester. Mỗi SV có nhiệm vụ phụ và minh chứng cá nhân.</v>
      </c>
      <c r="I1366" t="s">
        <v>29</v>
      </c>
      <c r="J1366" t="s">
        <v>3012</v>
      </c>
      <c r="K1366" t="str">
        <f>IF(I1366="Trung bình",'Huong dan giao do an'!$B$8,IF(I1366="Khá",'Huong dan giao do an'!$B$9,'Huong dan giao do an'!$B$10))</f>
        <v>Tối thiểu 5 actor; 14-18 use case; 10-15 bảng; 4 quy trình; tích hợp ngoài/realtime hoặc xử lý nâng cao; 3 báo cáo; &gt;=45 test case; logging, backup và deploy.</v>
      </c>
      <c r="L1366" t="str">
        <f>'Huong dan giao do an'!$B$31</f>
        <v>Bắt buộc: Charter/PMP; SRS + scope/WBS; Gantt/baseline; effort-cost budget; RACI/timesheet; quality-test-defect; communication/minutes; risk register; procurement; change log; closure/lessons learned.</v>
      </c>
      <c r="M1366" t="str">
        <f>'Huong dan giao do an'!$B$33</f>
        <v>Tuần 1: 07.09–13.09.2026; Tuần 2: 14.09–20.09.2026; Tuần 3: 21.09–27.09.2026; Tuần 4: 28.09–04.10.2026; Tuần 5: 05.10–11.10.2026; Tuần 6: 12.10–18.10.2026; Tuần 7: 19.10–25.10.2026; Tuần 8: 26.10–01.11.2026.</v>
      </c>
      <c r="N13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6" s="17" t="str">
        <f t="shared" si="21"/>
        <v>Còn trống</v>
      </c>
    </row>
    <row r="1367" spans="1:16" x14ac:dyDescent="0.3">
      <c r="A1367">
        <v>1366</v>
      </c>
      <c r="B1367" t="s">
        <v>3002</v>
      </c>
      <c r="C1367" t="s">
        <v>3161</v>
      </c>
      <c r="D1367" t="s">
        <v>3162</v>
      </c>
      <c r="E1367" t="s">
        <v>40</v>
      </c>
      <c r="F1367" t="s">
        <v>3005</v>
      </c>
      <c r="G1367" t="s">
        <v>3028</v>
      </c>
      <c r="H1367" t="str">
        <f>'Huong dan giao do an'!$B$14</f>
        <v>5 SV (vai trò chính): 1 PM/Scrum Master kiêm Integration; 2 BA/PO; 3 UI-UX + Frontend; 4 Backend/API + DevOps; 5 Database + QA/Tester. Mỗi SV có nhiệm vụ phụ và minh chứng cá nhân.</v>
      </c>
      <c r="I1367" t="s">
        <v>36</v>
      </c>
      <c r="J1367" t="s">
        <v>3017</v>
      </c>
      <c r="K1367" t="str">
        <f>IF(I1367="Trung bình",'Huong dan giao do an'!$B$8,IF(I1367="Khá",'Huong dan giao do an'!$B$9,'Huong dan giao do an'!$B$10))</f>
        <v>Tối thiểu 3 actor; 8-10 use case; 6-8 bảng dữ liệu; 2 quy trình lõi; đăng nhập/RBAC; 1 dashboard; 1 báo cáo; &gt;=25 test case; triển khai bản demo.</v>
      </c>
      <c r="L1367" t="str">
        <f>'Huong dan giao do an'!$B$31</f>
        <v>Bắt buộc: Charter/PMP; SRS + scope/WBS; Gantt/baseline; effort-cost budget; RACI/timesheet; quality-test-defect; communication/minutes; risk register; procurement; change log; closure/lessons learned.</v>
      </c>
      <c r="M1367" t="str">
        <f>'Huong dan giao do an'!$B$33</f>
        <v>Tuần 1: 07.09–13.09.2026; Tuần 2: 14.09–20.09.2026; Tuần 3: 21.09–27.09.2026; Tuần 4: 28.09–04.10.2026; Tuần 5: 05.10–11.10.2026; Tuần 6: 12.10–18.10.2026; Tuần 7: 19.10–25.10.2026; Tuần 8: 26.10–01.11.2026.</v>
      </c>
      <c r="N13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7" s="17" t="str">
        <f t="shared" si="21"/>
        <v>Còn trống</v>
      </c>
    </row>
    <row r="1368" spans="1:16" x14ac:dyDescent="0.3">
      <c r="A1368">
        <v>1367</v>
      </c>
      <c r="B1368" t="s">
        <v>3002</v>
      </c>
      <c r="C1368" t="s">
        <v>3163</v>
      </c>
      <c r="D1368" t="s">
        <v>3164</v>
      </c>
      <c r="E1368" t="s">
        <v>45</v>
      </c>
      <c r="F1368" t="s">
        <v>3010</v>
      </c>
      <c r="G1368" t="s">
        <v>3031</v>
      </c>
      <c r="H1368" t="str">
        <f>'Huong dan giao do an'!$B$14</f>
        <v>5 SV (vai trò chính): 1 PM/Scrum Master kiêm Integration; 2 BA/PO; 3 UI-UX + Frontend; 4 Backend/API + DevOps; 5 Database + QA/Tester. Mỗi SV có nhiệm vụ phụ và minh chứng cá nhân.</v>
      </c>
      <c r="I1368" t="s">
        <v>22</v>
      </c>
      <c r="J1368" t="s">
        <v>3007</v>
      </c>
      <c r="K1368" t="str">
        <f>IF(I1368="Trung bình",'Huong dan giao do an'!$B$8,IF(I1368="Khá",'Huong dan giao do an'!$B$9,'Huong dan giao do an'!$B$10))</f>
        <v>Tối thiểu 4 actor; 10-14 use case; 8-12 bảng; 3 quy trình lõi; phân quyền chi tiết; 2 báo cáo; tích hợp 1 dịch vụ; &gt;=35 test case; CI/CD hoặc deploy cloud.</v>
      </c>
      <c r="L1368" t="str">
        <f>'Huong dan giao do an'!$B$31</f>
        <v>Bắt buộc: Charter/PMP; SRS + scope/WBS; Gantt/baseline; effort-cost budget; RACI/timesheet; quality-test-defect; communication/minutes; risk register; procurement; change log; closure/lessons learned.</v>
      </c>
      <c r="M1368" t="str">
        <f>'Huong dan giao do an'!$B$33</f>
        <v>Tuần 1: 07.09–13.09.2026; Tuần 2: 14.09–20.09.2026; Tuần 3: 21.09–27.09.2026; Tuần 4: 28.09–04.10.2026; Tuần 5: 05.10–11.10.2026; Tuần 6: 12.10–18.10.2026; Tuần 7: 19.10–25.10.2026; Tuần 8: 26.10–01.11.2026.</v>
      </c>
      <c r="N13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8" s="17" t="str">
        <f t="shared" si="21"/>
        <v>Còn trống</v>
      </c>
    </row>
    <row r="1369" spans="1:16" x14ac:dyDescent="0.3">
      <c r="A1369">
        <v>1368</v>
      </c>
      <c r="B1369" t="s">
        <v>3002</v>
      </c>
      <c r="C1369" t="s">
        <v>3165</v>
      </c>
      <c r="D1369" t="s">
        <v>3166</v>
      </c>
      <c r="E1369" t="s">
        <v>19</v>
      </c>
      <c r="F1369" t="s">
        <v>3015</v>
      </c>
      <c r="G1369" t="s">
        <v>3034</v>
      </c>
      <c r="H1369" t="str">
        <f>'Huong dan giao do an'!$B$14</f>
        <v>5 SV (vai trò chính): 1 PM/Scrum Master kiêm Integration; 2 BA/PO; 3 UI-UX + Frontend; 4 Backend/API + DevOps; 5 Database + QA/Tester. Mỗi SV có nhiệm vụ phụ và minh chứng cá nhân.</v>
      </c>
      <c r="I1369" t="s">
        <v>29</v>
      </c>
      <c r="J1369" t="s">
        <v>3012</v>
      </c>
      <c r="K1369" t="str">
        <f>IF(I1369="Trung bình",'Huong dan giao do an'!$B$8,IF(I1369="Khá",'Huong dan giao do an'!$B$9,'Huong dan giao do an'!$B$10))</f>
        <v>Tối thiểu 5 actor; 14-18 use case; 10-15 bảng; 4 quy trình; tích hợp ngoài/realtime hoặc xử lý nâng cao; 3 báo cáo; &gt;=45 test case; logging, backup và deploy.</v>
      </c>
      <c r="L1369" t="str">
        <f>'Huong dan giao do an'!$B$31</f>
        <v>Bắt buộc: Charter/PMP; SRS + scope/WBS; Gantt/baseline; effort-cost budget; RACI/timesheet; quality-test-defect; communication/minutes; risk register; procurement; change log; closure/lessons learned.</v>
      </c>
      <c r="M1369" t="str">
        <f>'Huong dan giao do an'!$B$33</f>
        <v>Tuần 1: 07.09–13.09.2026; Tuần 2: 14.09–20.09.2026; Tuần 3: 21.09–27.09.2026; Tuần 4: 28.09–04.10.2026; Tuần 5: 05.10–11.10.2026; Tuần 6: 12.10–18.10.2026; Tuần 7: 19.10–25.10.2026; Tuần 8: 26.10–01.11.2026.</v>
      </c>
      <c r="N13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69" s="17" t="str">
        <f t="shared" si="21"/>
        <v>Còn trống</v>
      </c>
    </row>
    <row r="1370" spans="1:16" x14ac:dyDescent="0.3">
      <c r="A1370">
        <v>1369</v>
      </c>
      <c r="B1370" t="s">
        <v>3002</v>
      </c>
      <c r="C1370" t="s">
        <v>3167</v>
      </c>
      <c r="D1370" t="s">
        <v>3168</v>
      </c>
      <c r="E1370" t="s">
        <v>26</v>
      </c>
      <c r="F1370" t="s">
        <v>3020</v>
      </c>
      <c r="G1370" t="s">
        <v>3037</v>
      </c>
      <c r="H1370" t="str">
        <f>'Huong dan giao do an'!$B$14</f>
        <v>5 SV (vai trò chính): 1 PM/Scrum Master kiêm Integration; 2 BA/PO; 3 UI-UX + Frontend; 4 Backend/API + DevOps; 5 Database + QA/Tester. Mỗi SV có nhiệm vụ phụ và minh chứng cá nhân.</v>
      </c>
      <c r="I1370" t="s">
        <v>36</v>
      </c>
      <c r="J1370" t="s">
        <v>3017</v>
      </c>
      <c r="K1370" t="str">
        <f>IF(I1370="Trung bình",'Huong dan giao do an'!$B$8,IF(I1370="Khá",'Huong dan giao do an'!$B$9,'Huong dan giao do an'!$B$10))</f>
        <v>Tối thiểu 3 actor; 8-10 use case; 6-8 bảng dữ liệu; 2 quy trình lõi; đăng nhập/RBAC; 1 dashboard; 1 báo cáo; &gt;=25 test case; triển khai bản demo.</v>
      </c>
      <c r="L1370" t="str">
        <f>'Huong dan giao do an'!$B$31</f>
        <v>Bắt buộc: Charter/PMP; SRS + scope/WBS; Gantt/baseline; effort-cost budget; RACI/timesheet; quality-test-defect; communication/minutes; risk register; procurement; change log; closure/lessons learned.</v>
      </c>
      <c r="M1370" t="str">
        <f>'Huong dan giao do an'!$B$33</f>
        <v>Tuần 1: 07.09–13.09.2026; Tuần 2: 14.09–20.09.2026; Tuần 3: 21.09–27.09.2026; Tuần 4: 28.09–04.10.2026; Tuần 5: 05.10–11.10.2026; Tuần 6: 12.10–18.10.2026; Tuần 7: 19.10–25.10.2026; Tuần 8: 26.10–01.11.2026.</v>
      </c>
      <c r="N13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0" s="17" t="str">
        <f t="shared" si="21"/>
        <v>Còn trống</v>
      </c>
    </row>
    <row r="1371" spans="1:16" x14ac:dyDescent="0.3">
      <c r="A1371">
        <v>1370</v>
      </c>
      <c r="B1371" t="s">
        <v>3002</v>
      </c>
      <c r="C1371" t="s">
        <v>3169</v>
      </c>
      <c r="D1371" t="s">
        <v>3170</v>
      </c>
      <c r="E1371" t="s">
        <v>33</v>
      </c>
      <c r="F1371" t="s">
        <v>3024</v>
      </c>
      <c r="G1371" t="s">
        <v>3040</v>
      </c>
      <c r="H1371" t="str">
        <f>'Huong dan giao do an'!$B$14</f>
        <v>5 SV (vai trò chính): 1 PM/Scrum Master kiêm Integration; 2 BA/PO; 3 UI-UX + Frontend; 4 Backend/API + DevOps; 5 Database + QA/Tester. Mỗi SV có nhiệm vụ phụ và minh chứng cá nhân.</v>
      </c>
      <c r="I1371" t="s">
        <v>22</v>
      </c>
      <c r="J1371" t="s">
        <v>3007</v>
      </c>
      <c r="K1371" t="str">
        <f>IF(I1371="Trung bình",'Huong dan giao do an'!$B$8,IF(I1371="Khá",'Huong dan giao do an'!$B$9,'Huong dan giao do an'!$B$10))</f>
        <v>Tối thiểu 4 actor; 10-14 use case; 8-12 bảng; 3 quy trình lõi; phân quyền chi tiết; 2 báo cáo; tích hợp 1 dịch vụ; &gt;=35 test case; CI/CD hoặc deploy cloud.</v>
      </c>
      <c r="L1371" t="str">
        <f>'Huong dan giao do an'!$B$31</f>
        <v>Bắt buộc: Charter/PMP; SRS + scope/WBS; Gantt/baseline; effort-cost budget; RACI/timesheet; quality-test-defect; communication/minutes; risk register; procurement; change log; closure/lessons learned.</v>
      </c>
      <c r="M1371" t="str">
        <f>'Huong dan giao do an'!$B$33</f>
        <v>Tuần 1: 07.09–13.09.2026; Tuần 2: 14.09–20.09.2026; Tuần 3: 21.09–27.09.2026; Tuần 4: 28.09–04.10.2026; Tuần 5: 05.10–11.10.2026; Tuần 6: 12.10–18.10.2026; Tuần 7: 19.10–25.10.2026; Tuần 8: 26.10–01.11.2026.</v>
      </c>
      <c r="N13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1" s="17" t="str">
        <f t="shared" si="21"/>
        <v>Còn trống</v>
      </c>
    </row>
    <row r="1372" spans="1:16" x14ac:dyDescent="0.3">
      <c r="A1372">
        <v>1371</v>
      </c>
      <c r="B1372" t="s">
        <v>3002</v>
      </c>
      <c r="C1372" t="s">
        <v>3171</v>
      </c>
      <c r="D1372" t="s">
        <v>3172</v>
      </c>
      <c r="E1372" t="s">
        <v>40</v>
      </c>
      <c r="F1372" t="s">
        <v>3005</v>
      </c>
      <c r="G1372" t="s">
        <v>3043</v>
      </c>
      <c r="H1372" t="str">
        <f>'Huong dan giao do an'!$B$14</f>
        <v>5 SV (vai trò chính): 1 PM/Scrum Master kiêm Integration; 2 BA/PO; 3 UI-UX + Frontend; 4 Backend/API + DevOps; 5 Database + QA/Tester. Mỗi SV có nhiệm vụ phụ và minh chứng cá nhân.</v>
      </c>
      <c r="I1372" t="s">
        <v>29</v>
      </c>
      <c r="J1372" t="s">
        <v>3012</v>
      </c>
      <c r="K1372" t="str">
        <f>IF(I1372="Trung bình",'Huong dan giao do an'!$B$8,IF(I1372="Khá",'Huong dan giao do an'!$B$9,'Huong dan giao do an'!$B$10))</f>
        <v>Tối thiểu 5 actor; 14-18 use case; 10-15 bảng; 4 quy trình; tích hợp ngoài/realtime hoặc xử lý nâng cao; 3 báo cáo; &gt;=45 test case; logging, backup và deploy.</v>
      </c>
      <c r="L1372" t="str">
        <f>'Huong dan giao do an'!$B$31</f>
        <v>Bắt buộc: Charter/PMP; SRS + scope/WBS; Gantt/baseline; effort-cost budget; RACI/timesheet; quality-test-defect; communication/minutes; risk register; procurement; change log; closure/lessons learned.</v>
      </c>
      <c r="M1372" t="str">
        <f>'Huong dan giao do an'!$B$33</f>
        <v>Tuần 1: 07.09–13.09.2026; Tuần 2: 14.09–20.09.2026; Tuần 3: 21.09–27.09.2026; Tuần 4: 28.09–04.10.2026; Tuần 5: 05.10–11.10.2026; Tuần 6: 12.10–18.10.2026; Tuần 7: 19.10–25.10.2026; Tuần 8: 26.10–01.11.2026.</v>
      </c>
      <c r="N13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2" s="17" t="str">
        <f t="shared" si="21"/>
        <v>Còn trống</v>
      </c>
    </row>
    <row r="1373" spans="1:16" x14ac:dyDescent="0.3">
      <c r="A1373">
        <v>1372</v>
      </c>
      <c r="B1373" t="s">
        <v>3002</v>
      </c>
      <c r="C1373" t="s">
        <v>3173</v>
      </c>
      <c r="D1373" t="s">
        <v>3174</v>
      </c>
      <c r="E1373" t="s">
        <v>45</v>
      </c>
      <c r="F1373" t="s">
        <v>3010</v>
      </c>
      <c r="G1373" t="s">
        <v>3046</v>
      </c>
      <c r="H1373" t="str">
        <f>'Huong dan giao do an'!$B$14</f>
        <v>5 SV (vai trò chính): 1 PM/Scrum Master kiêm Integration; 2 BA/PO; 3 UI-UX + Frontend; 4 Backend/API + DevOps; 5 Database + QA/Tester. Mỗi SV có nhiệm vụ phụ và minh chứng cá nhân.</v>
      </c>
      <c r="I1373" t="s">
        <v>36</v>
      </c>
      <c r="J1373" t="s">
        <v>3017</v>
      </c>
      <c r="K1373" t="str">
        <f>IF(I1373="Trung bình",'Huong dan giao do an'!$B$8,IF(I1373="Khá",'Huong dan giao do an'!$B$9,'Huong dan giao do an'!$B$10))</f>
        <v>Tối thiểu 3 actor; 8-10 use case; 6-8 bảng dữ liệu; 2 quy trình lõi; đăng nhập/RBAC; 1 dashboard; 1 báo cáo; &gt;=25 test case; triển khai bản demo.</v>
      </c>
      <c r="L1373" t="str">
        <f>'Huong dan giao do an'!$B$31</f>
        <v>Bắt buộc: Charter/PMP; SRS + scope/WBS; Gantt/baseline; effort-cost budget; RACI/timesheet; quality-test-defect; communication/minutes; risk register; procurement; change log; closure/lessons learned.</v>
      </c>
      <c r="M1373" t="str">
        <f>'Huong dan giao do an'!$B$33</f>
        <v>Tuần 1: 07.09–13.09.2026; Tuần 2: 14.09–20.09.2026; Tuần 3: 21.09–27.09.2026; Tuần 4: 28.09–04.10.2026; Tuần 5: 05.10–11.10.2026; Tuần 6: 12.10–18.10.2026; Tuần 7: 19.10–25.10.2026; Tuần 8: 26.10–01.11.2026.</v>
      </c>
      <c r="N13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3" s="17" t="str">
        <f t="shared" si="21"/>
        <v>Còn trống</v>
      </c>
    </row>
    <row r="1374" spans="1:16" x14ac:dyDescent="0.3">
      <c r="A1374">
        <v>1373</v>
      </c>
      <c r="B1374" t="s">
        <v>3002</v>
      </c>
      <c r="C1374" t="s">
        <v>3175</v>
      </c>
      <c r="D1374" t="s">
        <v>3176</v>
      </c>
      <c r="E1374" t="s">
        <v>19</v>
      </c>
      <c r="F1374" t="s">
        <v>3015</v>
      </c>
      <c r="G1374" t="s">
        <v>3049</v>
      </c>
      <c r="H1374" t="str">
        <f>'Huong dan giao do an'!$B$14</f>
        <v>5 SV (vai trò chính): 1 PM/Scrum Master kiêm Integration; 2 BA/PO; 3 UI-UX + Frontend; 4 Backend/API + DevOps; 5 Database + QA/Tester. Mỗi SV có nhiệm vụ phụ và minh chứng cá nhân.</v>
      </c>
      <c r="I1374" t="s">
        <v>22</v>
      </c>
      <c r="J1374" t="s">
        <v>3007</v>
      </c>
      <c r="K1374" t="str">
        <f>IF(I1374="Trung bình",'Huong dan giao do an'!$B$8,IF(I1374="Khá",'Huong dan giao do an'!$B$9,'Huong dan giao do an'!$B$10))</f>
        <v>Tối thiểu 4 actor; 10-14 use case; 8-12 bảng; 3 quy trình lõi; phân quyền chi tiết; 2 báo cáo; tích hợp 1 dịch vụ; &gt;=35 test case; CI/CD hoặc deploy cloud.</v>
      </c>
      <c r="L1374" t="str">
        <f>'Huong dan giao do an'!$B$31</f>
        <v>Bắt buộc: Charter/PMP; SRS + scope/WBS; Gantt/baseline; effort-cost budget; RACI/timesheet; quality-test-defect; communication/minutes; risk register; procurement; change log; closure/lessons learned.</v>
      </c>
      <c r="M1374" t="str">
        <f>'Huong dan giao do an'!$B$33</f>
        <v>Tuần 1: 07.09–13.09.2026; Tuần 2: 14.09–20.09.2026; Tuần 3: 21.09–27.09.2026; Tuần 4: 28.09–04.10.2026; Tuần 5: 05.10–11.10.2026; Tuần 6: 12.10–18.10.2026; Tuần 7: 19.10–25.10.2026; Tuần 8: 26.10–01.11.2026.</v>
      </c>
      <c r="N13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4" s="17" t="str">
        <f t="shared" si="21"/>
        <v>Còn trống</v>
      </c>
    </row>
    <row r="1375" spans="1:16" x14ac:dyDescent="0.3">
      <c r="A1375">
        <v>1374</v>
      </c>
      <c r="B1375" t="s">
        <v>3002</v>
      </c>
      <c r="C1375" t="s">
        <v>3177</v>
      </c>
      <c r="D1375" t="s">
        <v>3178</v>
      </c>
      <c r="E1375" t="s">
        <v>26</v>
      </c>
      <c r="F1375" t="s">
        <v>3020</v>
      </c>
      <c r="G1375" t="s">
        <v>3052</v>
      </c>
      <c r="H1375" t="str">
        <f>'Huong dan giao do an'!$B$14</f>
        <v>5 SV (vai trò chính): 1 PM/Scrum Master kiêm Integration; 2 BA/PO; 3 UI-UX + Frontend; 4 Backend/API + DevOps; 5 Database + QA/Tester. Mỗi SV có nhiệm vụ phụ và minh chứng cá nhân.</v>
      </c>
      <c r="I1375" t="s">
        <v>29</v>
      </c>
      <c r="J1375" t="s">
        <v>3012</v>
      </c>
      <c r="K1375" t="str">
        <f>IF(I1375="Trung bình",'Huong dan giao do an'!$B$8,IF(I1375="Khá",'Huong dan giao do an'!$B$9,'Huong dan giao do an'!$B$10))</f>
        <v>Tối thiểu 5 actor; 14-18 use case; 10-15 bảng; 4 quy trình; tích hợp ngoài/realtime hoặc xử lý nâng cao; 3 báo cáo; &gt;=45 test case; logging, backup và deploy.</v>
      </c>
      <c r="L1375" t="str">
        <f>'Huong dan giao do an'!$B$31</f>
        <v>Bắt buộc: Charter/PMP; SRS + scope/WBS; Gantt/baseline; effort-cost budget; RACI/timesheet; quality-test-defect; communication/minutes; risk register; procurement; change log; closure/lessons learned.</v>
      </c>
      <c r="M1375" t="str">
        <f>'Huong dan giao do an'!$B$33</f>
        <v>Tuần 1: 07.09–13.09.2026; Tuần 2: 14.09–20.09.2026; Tuần 3: 21.09–27.09.2026; Tuần 4: 28.09–04.10.2026; Tuần 5: 05.10–11.10.2026; Tuần 6: 12.10–18.10.2026; Tuần 7: 19.10–25.10.2026; Tuần 8: 26.10–01.11.2026.</v>
      </c>
      <c r="N13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5" s="17" t="str">
        <f t="shared" si="21"/>
        <v>Còn trống</v>
      </c>
    </row>
    <row r="1376" spans="1:16" x14ac:dyDescent="0.3">
      <c r="A1376">
        <v>1375</v>
      </c>
      <c r="B1376" t="s">
        <v>3002</v>
      </c>
      <c r="C1376" t="s">
        <v>3179</v>
      </c>
      <c r="D1376" t="s">
        <v>3180</v>
      </c>
      <c r="E1376" t="s">
        <v>33</v>
      </c>
      <c r="F1376" t="s">
        <v>3024</v>
      </c>
      <c r="G1376" t="s">
        <v>3055</v>
      </c>
      <c r="H1376" t="str">
        <f>'Huong dan giao do an'!$B$14</f>
        <v>5 SV (vai trò chính): 1 PM/Scrum Master kiêm Integration; 2 BA/PO; 3 UI-UX + Frontend; 4 Backend/API + DevOps; 5 Database + QA/Tester. Mỗi SV có nhiệm vụ phụ và minh chứng cá nhân.</v>
      </c>
      <c r="I1376" t="s">
        <v>36</v>
      </c>
      <c r="J1376" t="s">
        <v>3017</v>
      </c>
      <c r="K1376" t="str">
        <f>IF(I1376="Trung bình",'Huong dan giao do an'!$B$8,IF(I1376="Khá",'Huong dan giao do an'!$B$9,'Huong dan giao do an'!$B$10))</f>
        <v>Tối thiểu 3 actor; 8-10 use case; 6-8 bảng dữ liệu; 2 quy trình lõi; đăng nhập/RBAC; 1 dashboard; 1 báo cáo; &gt;=25 test case; triển khai bản demo.</v>
      </c>
      <c r="L1376" t="str">
        <f>'Huong dan giao do an'!$B$31</f>
        <v>Bắt buộc: Charter/PMP; SRS + scope/WBS; Gantt/baseline; effort-cost budget; RACI/timesheet; quality-test-defect; communication/minutes; risk register; procurement; change log; closure/lessons learned.</v>
      </c>
      <c r="M1376" t="str">
        <f>'Huong dan giao do an'!$B$33</f>
        <v>Tuần 1: 07.09–13.09.2026; Tuần 2: 14.09–20.09.2026; Tuần 3: 21.09–27.09.2026; Tuần 4: 28.09–04.10.2026; Tuần 5: 05.10–11.10.2026; Tuần 6: 12.10–18.10.2026; Tuần 7: 19.10–25.10.2026; Tuần 8: 26.10–01.11.2026.</v>
      </c>
      <c r="N13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6" s="17" t="str">
        <f t="shared" si="21"/>
        <v>Còn trống</v>
      </c>
    </row>
    <row r="1377" spans="1:16" x14ac:dyDescent="0.3">
      <c r="A1377">
        <v>1376</v>
      </c>
      <c r="B1377" t="s">
        <v>3002</v>
      </c>
      <c r="C1377" t="s">
        <v>3181</v>
      </c>
      <c r="D1377" t="s">
        <v>3182</v>
      </c>
      <c r="E1377" t="s">
        <v>40</v>
      </c>
      <c r="F1377" t="s">
        <v>3005</v>
      </c>
      <c r="G1377" t="s">
        <v>3058</v>
      </c>
      <c r="H1377" t="str">
        <f>'Huong dan giao do an'!$B$14</f>
        <v>5 SV (vai trò chính): 1 PM/Scrum Master kiêm Integration; 2 BA/PO; 3 UI-UX + Frontend; 4 Backend/API + DevOps; 5 Database + QA/Tester. Mỗi SV có nhiệm vụ phụ và minh chứng cá nhân.</v>
      </c>
      <c r="I1377" t="s">
        <v>22</v>
      </c>
      <c r="J1377" t="s">
        <v>3007</v>
      </c>
      <c r="K1377" t="str">
        <f>IF(I1377="Trung bình",'Huong dan giao do an'!$B$8,IF(I1377="Khá",'Huong dan giao do an'!$B$9,'Huong dan giao do an'!$B$10))</f>
        <v>Tối thiểu 4 actor; 10-14 use case; 8-12 bảng; 3 quy trình lõi; phân quyền chi tiết; 2 báo cáo; tích hợp 1 dịch vụ; &gt;=35 test case; CI/CD hoặc deploy cloud.</v>
      </c>
      <c r="L1377" t="str">
        <f>'Huong dan giao do an'!$B$31</f>
        <v>Bắt buộc: Charter/PMP; SRS + scope/WBS; Gantt/baseline; effort-cost budget; RACI/timesheet; quality-test-defect; communication/minutes; risk register; procurement; change log; closure/lessons learned.</v>
      </c>
      <c r="M1377" t="str">
        <f>'Huong dan giao do an'!$B$33</f>
        <v>Tuần 1: 07.09–13.09.2026; Tuần 2: 14.09–20.09.2026; Tuần 3: 21.09–27.09.2026; Tuần 4: 28.09–04.10.2026; Tuần 5: 05.10–11.10.2026; Tuần 6: 12.10–18.10.2026; Tuần 7: 19.10–25.10.2026; Tuần 8: 26.10–01.11.2026.</v>
      </c>
      <c r="N13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7" s="17" t="str">
        <f t="shared" si="21"/>
        <v>Còn trống</v>
      </c>
    </row>
    <row r="1378" spans="1:16" x14ac:dyDescent="0.3">
      <c r="A1378">
        <v>1377</v>
      </c>
      <c r="B1378" t="s">
        <v>3002</v>
      </c>
      <c r="C1378" t="s">
        <v>3183</v>
      </c>
      <c r="D1378" t="s">
        <v>3184</v>
      </c>
      <c r="E1378" t="s">
        <v>45</v>
      </c>
      <c r="F1378" t="s">
        <v>3010</v>
      </c>
      <c r="G1378" t="s">
        <v>3061</v>
      </c>
      <c r="H1378" t="str">
        <f>'Huong dan giao do an'!$B$14</f>
        <v>5 SV (vai trò chính): 1 PM/Scrum Master kiêm Integration; 2 BA/PO; 3 UI-UX + Frontend; 4 Backend/API + DevOps; 5 Database + QA/Tester. Mỗi SV có nhiệm vụ phụ và minh chứng cá nhân.</v>
      </c>
      <c r="I1378" t="s">
        <v>29</v>
      </c>
      <c r="J1378" t="s">
        <v>3012</v>
      </c>
      <c r="K1378" t="str">
        <f>IF(I1378="Trung bình",'Huong dan giao do an'!$B$8,IF(I1378="Khá",'Huong dan giao do an'!$B$9,'Huong dan giao do an'!$B$10))</f>
        <v>Tối thiểu 5 actor; 14-18 use case; 10-15 bảng; 4 quy trình; tích hợp ngoài/realtime hoặc xử lý nâng cao; 3 báo cáo; &gt;=45 test case; logging, backup và deploy.</v>
      </c>
      <c r="L1378" t="str">
        <f>'Huong dan giao do an'!$B$31</f>
        <v>Bắt buộc: Charter/PMP; SRS + scope/WBS; Gantt/baseline; effort-cost budget; RACI/timesheet; quality-test-defect; communication/minutes; risk register; procurement; change log; closure/lessons learned.</v>
      </c>
      <c r="M1378" t="str">
        <f>'Huong dan giao do an'!$B$33</f>
        <v>Tuần 1: 07.09–13.09.2026; Tuần 2: 14.09–20.09.2026; Tuần 3: 21.09–27.09.2026; Tuần 4: 28.09–04.10.2026; Tuần 5: 05.10–11.10.2026; Tuần 6: 12.10–18.10.2026; Tuần 7: 19.10–25.10.2026; Tuần 8: 26.10–01.11.2026.</v>
      </c>
      <c r="N13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8" s="17" t="str">
        <f t="shared" si="21"/>
        <v>Còn trống</v>
      </c>
    </row>
    <row r="1379" spans="1:16" x14ac:dyDescent="0.3">
      <c r="A1379">
        <v>1378</v>
      </c>
      <c r="B1379" t="s">
        <v>3002</v>
      </c>
      <c r="C1379" t="s">
        <v>3185</v>
      </c>
      <c r="D1379" t="s">
        <v>3186</v>
      </c>
      <c r="E1379" t="s">
        <v>19</v>
      </c>
      <c r="F1379" t="s">
        <v>3015</v>
      </c>
      <c r="G1379" t="s">
        <v>3064</v>
      </c>
      <c r="H1379" t="str">
        <f>'Huong dan giao do an'!$B$14</f>
        <v>5 SV (vai trò chính): 1 PM/Scrum Master kiêm Integration; 2 BA/PO; 3 UI-UX + Frontend; 4 Backend/API + DevOps; 5 Database + QA/Tester. Mỗi SV có nhiệm vụ phụ và minh chứng cá nhân.</v>
      </c>
      <c r="I1379" t="s">
        <v>36</v>
      </c>
      <c r="J1379" t="s">
        <v>3017</v>
      </c>
      <c r="K1379" t="str">
        <f>IF(I1379="Trung bình",'Huong dan giao do an'!$B$8,IF(I1379="Khá",'Huong dan giao do an'!$B$9,'Huong dan giao do an'!$B$10))</f>
        <v>Tối thiểu 3 actor; 8-10 use case; 6-8 bảng dữ liệu; 2 quy trình lõi; đăng nhập/RBAC; 1 dashboard; 1 báo cáo; &gt;=25 test case; triển khai bản demo.</v>
      </c>
      <c r="L1379" t="str">
        <f>'Huong dan giao do an'!$B$31</f>
        <v>Bắt buộc: Charter/PMP; SRS + scope/WBS; Gantt/baseline; effort-cost budget; RACI/timesheet; quality-test-defect; communication/minutes; risk register; procurement; change log; closure/lessons learned.</v>
      </c>
      <c r="M1379" t="str">
        <f>'Huong dan giao do an'!$B$33</f>
        <v>Tuần 1: 07.09–13.09.2026; Tuần 2: 14.09–20.09.2026; Tuần 3: 21.09–27.09.2026; Tuần 4: 28.09–04.10.2026; Tuần 5: 05.10–11.10.2026; Tuần 6: 12.10–18.10.2026; Tuần 7: 19.10–25.10.2026; Tuần 8: 26.10–01.11.2026.</v>
      </c>
      <c r="N13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79" s="17" t="str">
        <f t="shared" si="21"/>
        <v>Còn trống</v>
      </c>
    </row>
    <row r="1380" spans="1:16" x14ac:dyDescent="0.3">
      <c r="A1380">
        <v>1379</v>
      </c>
      <c r="B1380" t="s">
        <v>3002</v>
      </c>
      <c r="C1380" t="s">
        <v>3187</v>
      </c>
      <c r="D1380" t="s">
        <v>3188</v>
      </c>
      <c r="E1380" t="s">
        <v>26</v>
      </c>
      <c r="F1380" t="s">
        <v>3020</v>
      </c>
      <c r="G1380" t="s">
        <v>3067</v>
      </c>
      <c r="H1380" t="str">
        <f>'Huong dan giao do an'!$B$14</f>
        <v>5 SV (vai trò chính): 1 PM/Scrum Master kiêm Integration; 2 BA/PO; 3 UI-UX + Frontend; 4 Backend/API + DevOps; 5 Database + QA/Tester. Mỗi SV có nhiệm vụ phụ và minh chứng cá nhân.</v>
      </c>
      <c r="I1380" t="s">
        <v>22</v>
      </c>
      <c r="J1380" t="s">
        <v>3007</v>
      </c>
      <c r="K1380" t="str">
        <f>IF(I1380="Trung bình",'Huong dan giao do an'!$B$8,IF(I1380="Khá",'Huong dan giao do an'!$B$9,'Huong dan giao do an'!$B$10))</f>
        <v>Tối thiểu 4 actor; 10-14 use case; 8-12 bảng; 3 quy trình lõi; phân quyền chi tiết; 2 báo cáo; tích hợp 1 dịch vụ; &gt;=35 test case; CI/CD hoặc deploy cloud.</v>
      </c>
      <c r="L1380" t="str">
        <f>'Huong dan giao do an'!$B$31</f>
        <v>Bắt buộc: Charter/PMP; SRS + scope/WBS; Gantt/baseline; effort-cost budget; RACI/timesheet; quality-test-defect; communication/minutes; risk register; procurement; change log; closure/lessons learned.</v>
      </c>
      <c r="M1380" t="str">
        <f>'Huong dan giao do an'!$B$33</f>
        <v>Tuần 1: 07.09–13.09.2026; Tuần 2: 14.09–20.09.2026; Tuần 3: 21.09–27.09.2026; Tuần 4: 28.09–04.10.2026; Tuần 5: 05.10–11.10.2026; Tuần 6: 12.10–18.10.2026; Tuần 7: 19.10–25.10.2026; Tuần 8: 26.10–01.11.2026.</v>
      </c>
      <c r="N13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0" s="17" t="str">
        <f t="shared" si="21"/>
        <v>Còn trống</v>
      </c>
    </row>
    <row r="1381" spans="1:16" x14ac:dyDescent="0.3">
      <c r="A1381">
        <v>1380</v>
      </c>
      <c r="B1381" t="s">
        <v>3002</v>
      </c>
      <c r="C1381" t="s">
        <v>3189</v>
      </c>
      <c r="D1381" t="s">
        <v>3190</v>
      </c>
      <c r="E1381" t="s">
        <v>33</v>
      </c>
      <c r="F1381" t="s">
        <v>3024</v>
      </c>
      <c r="G1381" t="s">
        <v>3070</v>
      </c>
      <c r="H1381" t="str">
        <f>'Huong dan giao do an'!$B$14</f>
        <v>5 SV (vai trò chính): 1 PM/Scrum Master kiêm Integration; 2 BA/PO; 3 UI-UX + Frontend; 4 Backend/API + DevOps; 5 Database + QA/Tester. Mỗi SV có nhiệm vụ phụ và minh chứng cá nhân.</v>
      </c>
      <c r="I1381" t="s">
        <v>29</v>
      </c>
      <c r="J1381" t="s">
        <v>3012</v>
      </c>
      <c r="K1381" t="str">
        <f>IF(I1381="Trung bình",'Huong dan giao do an'!$B$8,IF(I1381="Khá",'Huong dan giao do an'!$B$9,'Huong dan giao do an'!$B$10))</f>
        <v>Tối thiểu 5 actor; 14-18 use case; 10-15 bảng; 4 quy trình; tích hợp ngoài/realtime hoặc xử lý nâng cao; 3 báo cáo; &gt;=45 test case; logging, backup và deploy.</v>
      </c>
      <c r="L1381" t="str">
        <f>'Huong dan giao do an'!$B$31</f>
        <v>Bắt buộc: Charter/PMP; SRS + scope/WBS; Gantt/baseline; effort-cost budget; RACI/timesheet; quality-test-defect; communication/minutes; risk register; procurement; change log; closure/lessons learned.</v>
      </c>
      <c r="M1381" t="str">
        <f>'Huong dan giao do an'!$B$33</f>
        <v>Tuần 1: 07.09–13.09.2026; Tuần 2: 14.09–20.09.2026; Tuần 3: 21.09–27.09.2026; Tuần 4: 28.09–04.10.2026; Tuần 5: 05.10–11.10.2026; Tuần 6: 12.10–18.10.2026; Tuần 7: 19.10–25.10.2026; Tuần 8: 26.10–01.11.2026.</v>
      </c>
      <c r="N13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1" s="17" t="str">
        <f t="shared" si="21"/>
        <v>Còn trống</v>
      </c>
    </row>
    <row r="1382" spans="1:16" x14ac:dyDescent="0.3">
      <c r="A1382">
        <v>1381</v>
      </c>
      <c r="B1382" t="s">
        <v>3002</v>
      </c>
      <c r="C1382" t="s">
        <v>3191</v>
      </c>
      <c r="D1382" t="s">
        <v>3192</v>
      </c>
      <c r="E1382" t="s">
        <v>40</v>
      </c>
      <c r="F1382" t="s">
        <v>3005</v>
      </c>
      <c r="G1382" t="s">
        <v>3006</v>
      </c>
      <c r="H1382" t="str">
        <f>'Huong dan giao do an'!$B$14</f>
        <v>5 SV (vai trò chính): 1 PM/Scrum Master kiêm Integration; 2 BA/PO; 3 UI-UX + Frontend; 4 Backend/API + DevOps; 5 Database + QA/Tester. Mỗi SV có nhiệm vụ phụ và minh chứng cá nhân.</v>
      </c>
      <c r="I1382" t="s">
        <v>22</v>
      </c>
      <c r="J1382" t="s">
        <v>3007</v>
      </c>
      <c r="K1382" t="str">
        <f>IF(I1382="Trung bình",'Huong dan giao do an'!$B$8,IF(I1382="Khá",'Huong dan giao do an'!$B$9,'Huong dan giao do an'!$B$10))</f>
        <v>Tối thiểu 4 actor; 10-14 use case; 8-12 bảng; 3 quy trình lõi; phân quyền chi tiết; 2 báo cáo; tích hợp 1 dịch vụ; &gt;=35 test case; CI/CD hoặc deploy cloud.</v>
      </c>
      <c r="L1382" t="str">
        <f>'Huong dan giao do an'!$B$31</f>
        <v>Bắt buộc: Charter/PMP; SRS + scope/WBS; Gantt/baseline; effort-cost budget; RACI/timesheet; quality-test-defect; communication/minutes; risk register; procurement; change log; closure/lessons learned.</v>
      </c>
      <c r="M1382" t="str">
        <f>'Huong dan giao do an'!$B$33</f>
        <v>Tuần 1: 07.09–13.09.2026; Tuần 2: 14.09–20.09.2026; Tuần 3: 21.09–27.09.2026; Tuần 4: 28.09–04.10.2026; Tuần 5: 05.10–11.10.2026; Tuần 6: 12.10–18.10.2026; Tuần 7: 19.10–25.10.2026; Tuần 8: 26.10–01.11.2026.</v>
      </c>
      <c r="N13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2" s="17" t="str">
        <f t="shared" si="21"/>
        <v>Còn trống</v>
      </c>
    </row>
    <row r="1383" spans="1:16" x14ac:dyDescent="0.3">
      <c r="A1383">
        <v>1382</v>
      </c>
      <c r="B1383" t="s">
        <v>3002</v>
      </c>
      <c r="C1383" t="s">
        <v>3193</v>
      </c>
      <c r="D1383" t="s">
        <v>3194</v>
      </c>
      <c r="E1383" t="s">
        <v>45</v>
      </c>
      <c r="F1383" t="s">
        <v>3010</v>
      </c>
      <c r="G1383" t="s">
        <v>3011</v>
      </c>
      <c r="H1383" t="str">
        <f>'Huong dan giao do an'!$B$14</f>
        <v>5 SV (vai trò chính): 1 PM/Scrum Master kiêm Integration; 2 BA/PO; 3 UI-UX + Frontend; 4 Backend/API + DevOps; 5 Database + QA/Tester. Mỗi SV có nhiệm vụ phụ và minh chứng cá nhân.</v>
      </c>
      <c r="I1383" t="s">
        <v>29</v>
      </c>
      <c r="J1383" t="s">
        <v>3012</v>
      </c>
      <c r="K1383" t="str">
        <f>IF(I1383="Trung bình",'Huong dan giao do an'!$B$8,IF(I1383="Khá",'Huong dan giao do an'!$B$9,'Huong dan giao do an'!$B$10))</f>
        <v>Tối thiểu 5 actor; 14-18 use case; 10-15 bảng; 4 quy trình; tích hợp ngoài/realtime hoặc xử lý nâng cao; 3 báo cáo; &gt;=45 test case; logging, backup và deploy.</v>
      </c>
      <c r="L1383" t="str">
        <f>'Huong dan giao do an'!$B$31</f>
        <v>Bắt buộc: Charter/PMP; SRS + scope/WBS; Gantt/baseline; effort-cost budget; RACI/timesheet; quality-test-defect; communication/minutes; risk register; procurement; change log; closure/lessons learned.</v>
      </c>
      <c r="M1383" t="str">
        <f>'Huong dan giao do an'!$B$33</f>
        <v>Tuần 1: 07.09–13.09.2026; Tuần 2: 14.09–20.09.2026; Tuần 3: 21.09–27.09.2026; Tuần 4: 28.09–04.10.2026; Tuần 5: 05.10–11.10.2026; Tuần 6: 12.10–18.10.2026; Tuần 7: 19.10–25.10.2026; Tuần 8: 26.10–01.11.2026.</v>
      </c>
      <c r="N13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3" s="17" t="str">
        <f t="shared" si="21"/>
        <v>Còn trống</v>
      </c>
    </row>
    <row r="1384" spans="1:16" x14ac:dyDescent="0.3">
      <c r="A1384">
        <v>1383</v>
      </c>
      <c r="B1384" t="s">
        <v>3002</v>
      </c>
      <c r="C1384" t="s">
        <v>3195</v>
      </c>
      <c r="D1384" t="s">
        <v>3196</v>
      </c>
      <c r="E1384" t="s">
        <v>19</v>
      </c>
      <c r="F1384" t="s">
        <v>3015</v>
      </c>
      <c r="G1384" t="s">
        <v>3016</v>
      </c>
      <c r="H1384" t="str">
        <f>'Huong dan giao do an'!$B$14</f>
        <v>5 SV (vai trò chính): 1 PM/Scrum Master kiêm Integration; 2 BA/PO; 3 UI-UX + Frontend; 4 Backend/API + DevOps; 5 Database + QA/Tester. Mỗi SV có nhiệm vụ phụ và minh chứng cá nhân.</v>
      </c>
      <c r="I1384" t="s">
        <v>36</v>
      </c>
      <c r="J1384" t="s">
        <v>3017</v>
      </c>
      <c r="K1384" t="str">
        <f>IF(I1384="Trung bình",'Huong dan giao do an'!$B$8,IF(I1384="Khá",'Huong dan giao do an'!$B$9,'Huong dan giao do an'!$B$10))</f>
        <v>Tối thiểu 3 actor; 8-10 use case; 6-8 bảng dữ liệu; 2 quy trình lõi; đăng nhập/RBAC; 1 dashboard; 1 báo cáo; &gt;=25 test case; triển khai bản demo.</v>
      </c>
      <c r="L1384" t="str">
        <f>'Huong dan giao do an'!$B$31</f>
        <v>Bắt buộc: Charter/PMP; SRS + scope/WBS; Gantt/baseline; effort-cost budget; RACI/timesheet; quality-test-defect; communication/minutes; risk register; procurement; change log; closure/lessons learned.</v>
      </c>
      <c r="M1384" t="str">
        <f>'Huong dan giao do an'!$B$33</f>
        <v>Tuần 1: 07.09–13.09.2026; Tuần 2: 14.09–20.09.2026; Tuần 3: 21.09–27.09.2026; Tuần 4: 28.09–04.10.2026; Tuần 5: 05.10–11.10.2026; Tuần 6: 12.10–18.10.2026; Tuần 7: 19.10–25.10.2026; Tuần 8: 26.10–01.11.2026.</v>
      </c>
      <c r="N13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4" s="17" t="str">
        <f t="shared" si="21"/>
        <v>Còn trống</v>
      </c>
    </row>
    <row r="1385" spans="1:16" x14ac:dyDescent="0.3">
      <c r="A1385">
        <v>1384</v>
      </c>
      <c r="B1385" t="s">
        <v>3002</v>
      </c>
      <c r="C1385" t="s">
        <v>3197</v>
      </c>
      <c r="D1385" t="s">
        <v>3198</v>
      </c>
      <c r="E1385" t="s">
        <v>26</v>
      </c>
      <c r="F1385" t="s">
        <v>3020</v>
      </c>
      <c r="G1385" t="s">
        <v>3021</v>
      </c>
      <c r="H1385" t="str">
        <f>'Huong dan giao do an'!$B$14</f>
        <v>5 SV (vai trò chính): 1 PM/Scrum Master kiêm Integration; 2 BA/PO; 3 UI-UX + Frontend; 4 Backend/API + DevOps; 5 Database + QA/Tester. Mỗi SV có nhiệm vụ phụ và minh chứng cá nhân.</v>
      </c>
      <c r="I1385" t="s">
        <v>22</v>
      </c>
      <c r="J1385" t="s">
        <v>3007</v>
      </c>
      <c r="K1385" t="str">
        <f>IF(I1385="Trung bình",'Huong dan giao do an'!$B$8,IF(I1385="Khá",'Huong dan giao do an'!$B$9,'Huong dan giao do an'!$B$10))</f>
        <v>Tối thiểu 4 actor; 10-14 use case; 8-12 bảng; 3 quy trình lõi; phân quyền chi tiết; 2 báo cáo; tích hợp 1 dịch vụ; &gt;=35 test case; CI/CD hoặc deploy cloud.</v>
      </c>
      <c r="L1385" t="str">
        <f>'Huong dan giao do an'!$B$31</f>
        <v>Bắt buộc: Charter/PMP; SRS + scope/WBS; Gantt/baseline; effort-cost budget; RACI/timesheet; quality-test-defect; communication/minutes; risk register; procurement; change log; closure/lessons learned.</v>
      </c>
      <c r="M1385" t="str">
        <f>'Huong dan giao do an'!$B$33</f>
        <v>Tuần 1: 07.09–13.09.2026; Tuần 2: 14.09–20.09.2026; Tuần 3: 21.09–27.09.2026; Tuần 4: 28.09–04.10.2026; Tuần 5: 05.10–11.10.2026; Tuần 6: 12.10–18.10.2026; Tuần 7: 19.10–25.10.2026; Tuần 8: 26.10–01.11.2026.</v>
      </c>
      <c r="N13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5" s="17" t="str">
        <f t="shared" si="21"/>
        <v>Còn trống</v>
      </c>
    </row>
    <row r="1386" spans="1:16" x14ac:dyDescent="0.3">
      <c r="A1386">
        <v>1385</v>
      </c>
      <c r="B1386" t="s">
        <v>3002</v>
      </c>
      <c r="C1386" t="s">
        <v>3199</v>
      </c>
      <c r="D1386" t="s">
        <v>3200</v>
      </c>
      <c r="E1386" t="s">
        <v>33</v>
      </c>
      <c r="F1386" t="s">
        <v>3024</v>
      </c>
      <c r="G1386" t="s">
        <v>3025</v>
      </c>
      <c r="H1386" t="str">
        <f>'Huong dan giao do an'!$B$14</f>
        <v>5 SV (vai trò chính): 1 PM/Scrum Master kiêm Integration; 2 BA/PO; 3 UI-UX + Frontend; 4 Backend/API + DevOps; 5 Database + QA/Tester. Mỗi SV có nhiệm vụ phụ và minh chứng cá nhân.</v>
      </c>
      <c r="I1386" t="s">
        <v>29</v>
      </c>
      <c r="J1386" t="s">
        <v>3012</v>
      </c>
      <c r="K1386" t="str">
        <f>IF(I1386="Trung bình",'Huong dan giao do an'!$B$8,IF(I1386="Khá",'Huong dan giao do an'!$B$9,'Huong dan giao do an'!$B$10))</f>
        <v>Tối thiểu 5 actor; 14-18 use case; 10-15 bảng; 4 quy trình; tích hợp ngoài/realtime hoặc xử lý nâng cao; 3 báo cáo; &gt;=45 test case; logging, backup và deploy.</v>
      </c>
      <c r="L1386" t="str">
        <f>'Huong dan giao do an'!$B$31</f>
        <v>Bắt buộc: Charter/PMP; SRS + scope/WBS; Gantt/baseline; effort-cost budget; RACI/timesheet; quality-test-defect; communication/minutes; risk register; procurement; change log; closure/lessons learned.</v>
      </c>
      <c r="M1386" t="str">
        <f>'Huong dan giao do an'!$B$33</f>
        <v>Tuần 1: 07.09–13.09.2026; Tuần 2: 14.09–20.09.2026; Tuần 3: 21.09–27.09.2026; Tuần 4: 28.09–04.10.2026; Tuần 5: 05.10–11.10.2026; Tuần 6: 12.10–18.10.2026; Tuần 7: 19.10–25.10.2026; Tuần 8: 26.10–01.11.2026.</v>
      </c>
      <c r="N13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6" s="17" t="str">
        <f t="shared" si="21"/>
        <v>Còn trống</v>
      </c>
    </row>
    <row r="1387" spans="1:16" x14ac:dyDescent="0.3">
      <c r="A1387">
        <v>1386</v>
      </c>
      <c r="B1387" t="s">
        <v>3002</v>
      </c>
      <c r="C1387" t="s">
        <v>3201</v>
      </c>
      <c r="D1387" t="s">
        <v>3202</v>
      </c>
      <c r="E1387" t="s">
        <v>40</v>
      </c>
      <c r="F1387" t="s">
        <v>3005</v>
      </c>
      <c r="G1387" t="s">
        <v>3028</v>
      </c>
      <c r="H1387" t="str">
        <f>'Huong dan giao do an'!$B$14</f>
        <v>5 SV (vai trò chính): 1 PM/Scrum Master kiêm Integration; 2 BA/PO; 3 UI-UX + Frontend; 4 Backend/API + DevOps; 5 Database + QA/Tester. Mỗi SV có nhiệm vụ phụ và minh chứng cá nhân.</v>
      </c>
      <c r="I1387" t="s">
        <v>36</v>
      </c>
      <c r="J1387" t="s">
        <v>3017</v>
      </c>
      <c r="K1387" t="str">
        <f>IF(I1387="Trung bình",'Huong dan giao do an'!$B$8,IF(I1387="Khá",'Huong dan giao do an'!$B$9,'Huong dan giao do an'!$B$10))</f>
        <v>Tối thiểu 3 actor; 8-10 use case; 6-8 bảng dữ liệu; 2 quy trình lõi; đăng nhập/RBAC; 1 dashboard; 1 báo cáo; &gt;=25 test case; triển khai bản demo.</v>
      </c>
      <c r="L1387" t="str">
        <f>'Huong dan giao do an'!$B$31</f>
        <v>Bắt buộc: Charter/PMP; SRS + scope/WBS; Gantt/baseline; effort-cost budget; RACI/timesheet; quality-test-defect; communication/minutes; risk register; procurement; change log; closure/lessons learned.</v>
      </c>
      <c r="M1387" t="str">
        <f>'Huong dan giao do an'!$B$33</f>
        <v>Tuần 1: 07.09–13.09.2026; Tuần 2: 14.09–20.09.2026; Tuần 3: 21.09–27.09.2026; Tuần 4: 28.09–04.10.2026; Tuần 5: 05.10–11.10.2026; Tuần 6: 12.10–18.10.2026; Tuần 7: 19.10–25.10.2026; Tuần 8: 26.10–01.11.2026.</v>
      </c>
      <c r="N13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7" s="17" t="str">
        <f t="shared" si="21"/>
        <v>Còn trống</v>
      </c>
    </row>
    <row r="1388" spans="1:16" x14ac:dyDescent="0.3">
      <c r="A1388">
        <v>1387</v>
      </c>
      <c r="B1388" t="s">
        <v>3002</v>
      </c>
      <c r="C1388" t="s">
        <v>3203</v>
      </c>
      <c r="D1388" t="s">
        <v>3204</v>
      </c>
      <c r="E1388" t="s">
        <v>45</v>
      </c>
      <c r="F1388" t="s">
        <v>3010</v>
      </c>
      <c r="G1388" t="s">
        <v>3031</v>
      </c>
      <c r="H1388" t="str">
        <f>'Huong dan giao do an'!$B$14</f>
        <v>5 SV (vai trò chính): 1 PM/Scrum Master kiêm Integration; 2 BA/PO; 3 UI-UX + Frontend; 4 Backend/API + DevOps; 5 Database + QA/Tester. Mỗi SV có nhiệm vụ phụ và minh chứng cá nhân.</v>
      </c>
      <c r="I1388" t="s">
        <v>22</v>
      </c>
      <c r="J1388" t="s">
        <v>3007</v>
      </c>
      <c r="K1388" t="str">
        <f>IF(I1388="Trung bình",'Huong dan giao do an'!$B$8,IF(I1388="Khá",'Huong dan giao do an'!$B$9,'Huong dan giao do an'!$B$10))</f>
        <v>Tối thiểu 4 actor; 10-14 use case; 8-12 bảng; 3 quy trình lõi; phân quyền chi tiết; 2 báo cáo; tích hợp 1 dịch vụ; &gt;=35 test case; CI/CD hoặc deploy cloud.</v>
      </c>
      <c r="L1388" t="str">
        <f>'Huong dan giao do an'!$B$31</f>
        <v>Bắt buộc: Charter/PMP; SRS + scope/WBS; Gantt/baseline; effort-cost budget; RACI/timesheet; quality-test-defect; communication/minutes; risk register; procurement; change log; closure/lessons learned.</v>
      </c>
      <c r="M1388" t="str">
        <f>'Huong dan giao do an'!$B$33</f>
        <v>Tuần 1: 07.09–13.09.2026; Tuần 2: 14.09–20.09.2026; Tuần 3: 21.09–27.09.2026; Tuần 4: 28.09–04.10.2026; Tuần 5: 05.10–11.10.2026; Tuần 6: 12.10–18.10.2026; Tuần 7: 19.10–25.10.2026; Tuần 8: 26.10–01.11.2026.</v>
      </c>
      <c r="N13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8" s="17" t="str">
        <f t="shared" si="21"/>
        <v>Còn trống</v>
      </c>
    </row>
    <row r="1389" spans="1:16" x14ac:dyDescent="0.3">
      <c r="A1389">
        <v>1388</v>
      </c>
      <c r="B1389" t="s">
        <v>3002</v>
      </c>
      <c r="C1389" t="s">
        <v>3205</v>
      </c>
      <c r="D1389" t="s">
        <v>3206</v>
      </c>
      <c r="E1389" t="s">
        <v>19</v>
      </c>
      <c r="F1389" t="s">
        <v>3015</v>
      </c>
      <c r="G1389" t="s">
        <v>3034</v>
      </c>
      <c r="H1389" t="str">
        <f>'Huong dan giao do an'!$B$14</f>
        <v>5 SV (vai trò chính): 1 PM/Scrum Master kiêm Integration; 2 BA/PO; 3 UI-UX + Frontend; 4 Backend/API + DevOps; 5 Database + QA/Tester. Mỗi SV có nhiệm vụ phụ và minh chứng cá nhân.</v>
      </c>
      <c r="I1389" t="s">
        <v>29</v>
      </c>
      <c r="J1389" t="s">
        <v>3012</v>
      </c>
      <c r="K1389" t="str">
        <f>IF(I1389="Trung bình",'Huong dan giao do an'!$B$8,IF(I1389="Khá",'Huong dan giao do an'!$B$9,'Huong dan giao do an'!$B$10))</f>
        <v>Tối thiểu 5 actor; 14-18 use case; 10-15 bảng; 4 quy trình; tích hợp ngoài/realtime hoặc xử lý nâng cao; 3 báo cáo; &gt;=45 test case; logging, backup và deploy.</v>
      </c>
      <c r="L1389" t="str">
        <f>'Huong dan giao do an'!$B$31</f>
        <v>Bắt buộc: Charter/PMP; SRS + scope/WBS; Gantt/baseline; effort-cost budget; RACI/timesheet; quality-test-defect; communication/minutes; risk register; procurement; change log; closure/lessons learned.</v>
      </c>
      <c r="M1389" t="str">
        <f>'Huong dan giao do an'!$B$33</f>
        <v>Tuần 1: 07.09–13.09.2026; Tuần 2: 14.09–20.09.2026; Tuần 3: 21.09–27.09.2026; Tuần 4: 28.09–04.10.2026; Tuần 5: 05.10–11.10.2026; Tuần 6: 12.10–18.10.2026; Tuần 7: 19.10–25.10.2026; Tuần 8: 26.10–01.11.2026.</v>
      </c>
      <c r="N13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89" s="17" t="str">
        <f t="shared" si="21"/>
        <v>Còn trống</v>
      </c>
    </row>
    <row r="1390" spans="1:16" x14ac:dyDescent="0.3">
      <c r="A1390">
        <v>1389</v>
      </c>
      <c r="B1390" t="s">
        <v>3002</v>
      </c>
      <c r="C1390" t="s">
        <v>3207</v>
      </c>
      <c r="D1390" t="s">
        <v>3208</v>
      </c>
      <c r="E1390" t="s">
        <v>26</v>
      </c>
      <c r="F1390" t="s">
        <v>3020</v>
      </c>
      <c r="G1390" t="s">
        <v>3037</v>
      </c>
      <c r="H1390" t="str">
        <f>'Huong dan giao do an'!$B$14</f>
        <v>5 SV (vai trò chính): 1 PM/Scrum Master kiêm Integration; 2 BA/PO; 3 UI-UX + Frontend; 4 Backend/API + DevOps; 5 Database + QA/Tester. Mỗi SV có nhiệm vụ phụ và minh chứng cá nhân.</v>
      </c>
      <c r="I1390" t="s">
        <v>36</v>
      </c>
      <c r="J1390" t="s">
        <v>3017</v>
      </c>
      <c r="K1390" t="str">
        <f>IF(I1390="Trung bình",'Huong dan giao do an'!$B$8,IF(I1390="Khá",'Huong dan giao do an'!$B$9,'Huong dan giao do an'!$B$10))</f>
        <v>Tối thiểu 3 actor; 8-10 use case; 6-8 bảng dữ liệu; 2 quy trình lõi; đăng nhập/RBAC; 1 dashboard; 1 báo cáo; &gt;=25 test case; triển khai bản demo.</v>
      </c>
      <c r="L1390" t="str">
        <f>'Huong dan giao do an'!$B$31</f>
        <v>Bắt buộc: Charter/PMP; SRS + scope/WBS; Gantt/baseline; effort-cost budget; RACI/timesheet; quality-test-defect; communication/minutes; risk register; procurement; change log; closure/lessons learned.</v>
      </c>
      <c r="M1390" t="str">
        <f>'Huong dan giao do an'!$B$33</f>
        <v>Tuần 1: 07.09–13.09.2026; Tuần 2: 14.09–20.09.2026; Tuần 3: 21.09–27.09.2026; Tuần 4: 28.09–04.10.2026; Tuần 5: 05.10–11.10.2026; Tuần 6: 12.10–18.10.2026; Tuần 7: 19.10–25.10.2026; Tuần 8: 26.10–01.11.2026.</v>
      </c>
      <c r="N13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0" s="17" t="str">
        <f t="shared" si="21"/>
        <v>Còn trống</v>
      </c>
    </row>
    <row r="1391" spans="1:16" x14ac:dyDescent="0.3">
      <c r="A1391">
        <v>1390</v>
      </c>
      <c r="B1391" t="s">
        <v>3002</v>
      </c>
      <c r="C1391" t="s">
        <v>3209</v>
      </c>
      <c r="D1391" t="s">
        <v>3210</v>
      </c>
      <c r="E1391" t="s">
        <v>33</v>
      </c>
      <c r="F1391" t="s">
        <v>3024</v>
      </c>
      <c r="G1391" t="s">
        <v>3040</v>
      </c>
      <c r="H1391" t="str">
        <f>'Huong dan giao do an'!$B$14</f>
        <v>5 SV (vai trò chính): 1 PM/Scrum Master kiêm Integration; 2 BA/PO; 3 UI-UX + Frontend; 4 Backend/API + DevOps; 5 Database + QA/Tester. Mỗi SV có nhiệm vụ phụ và minh chứng cá nhân.</v>
      </c>
      <c r="I1391" t="s">
        <v>22</v>
      </c>
      <c r="J1391" t="s">
        <v>3007</v>
      </c>
      <c r="K1391" t="str">
        <f>IF(I1391="Trung bình",'Huong dan giao do an'!$B$8,IF(I1391="Khá",'Huong dan giao do an'!$B$9,'Huong dan giao do an'!$B$10))</f>
        <v>Tối thiểu 4 actor; 10-14 use case; 8-12 bảng; 3 quy trình lõi; phân quyền chi tiết; 2 báo cáo; tích hợp 1 dịch vụ; &gt;=35 test case; CI/CD hoặc deploy cloud.</v>
      </c>
      <c r="L1391" t="str">
        <f>'Huong dan giao do an'!$B$31</f>
        <v>Bắt buộc: Charter/PMP; SRS + scope/WBS; Gantt/baseline; effort-cost budget; RACI/timesheet; quality-test-defect; communication/minutes; risk register; procurement; change log; closure/lessons learned.</v>
      </c>
      <c r="M1391" t="str">
        <f>'Huong dan giao do an'!$B$33</f>
        <v>Tuần 1: 07.09–13.09.2026; Tuần 2: 14.09–20.09.2026; Tuần 3: 21.09–27.09.2026; Tuần 4: 28.09–04.10.2026; Tuần 5: 05.10–11.10.2026; Tuần 6: 12.10–18.10.2026; Tuần 7: 19.10–25.10.2026; Tuần 8: 26.10–01.11.2026.</v>
      </c>
      <c r="N13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1" s="17" t="str">
        <f t="shared" si="21"/>
        <v>Còn trống</v>
      </c>
    </row>
    <row r="1392" spans="1:16" x14ac:dyDescent="0.3">
      <c r="A1392">
        <v>1391</v>
      </c>
      <c r="B1392" t="s">
        <v>3002</v>
      </c>
      <c r="C1392" t="s">
        <v>3211</v>
      </c>
      <c r="D1392" t="s">
        <v>3212</v>
      </c>
      <c r="E1392" t="s">
        <v>40</v>
      </c>
      <c r="F1392" t="s">
        <v>3005</v>
      </c>
      <c r="G1392" t="s">
        <v>3043</v>
      </c>
      <c r="H1392" t="str">
        <f>'Huong dan giao do an'!$B$14</f>
        <v>5 SV (vai trò chính): 1 PM/Scrum Master kiêm Integration; 2 BA/PO; 3 UI-UX + Frontend; 4 Backend/API + DevOps; 5 Database + QA/Tester. Mỗi SV có nhiệm vụ phụ và minh chứng cá nhân.</v>
      </c>
      <c r="I1392" t="s">
        <v>29</v>
      </c>
      <c r="J1392" t="s">
        <v>3012</v>
      </c>
      <c r="K1392" t="str">
        <f>IF(I1392="Trung bình",'Huong dan giao do an'!$B$8,IF(I1392="Khá",'Huong dan giao do an'!$B$9,'Huong dan giao do an'!$B$10))</f>
        <v>Tối thiểu 5 actor; 14-18 use case; 10-15 bảng; 4 quy trình; tích hợp ngoài/realtime hoặc xử lý nâng cao; 3 báo cáo; &gt;=45 test case; logging, backup và deploy.</v>
      </c>
      <c r="L1392" t="str">
        <f>'Huong dan giao do an'!$B$31</f>
        <v>Bắt buộc: Charter/PMP; SRS + scope/WBS; Gantt/baseline; effort-cost budget; RACI/timesheet; quality-test-defect; communication/minutes; risk register; procurement; change log; closure/lessons learned.</v>
      </c>
      <c r="M1392" t="str">
        <f>'Huong dan giao do an'!$B$33</f>
        <v>Tuần 1: 07.09–13.09.2026; Tuần 2: 14.09–20.09.2026; Tuần 3: 21.09–27.09.2026; Tuần 4: 28.09–04.10.2026; Tuần 5: 05.10–11.10.2026; Tuần 6: 12.10–18.10.2026; Tuần 7: 19.10–25.10.2026; Tuần 8: 26.10–01.11.2026.</v>
      </c>
      <c r="N13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2" s="17" t="str">
        <f t="shared" si="21"/>
        <v>Còn trống</v>
      </c>
    </row>
    <row r="1393" spans="1:16" x14ac:dyDescent="0.3">
      <c r="A1393">
        <v>1392</v>
      </c>
      <c r="B1393" t="s">
        <v>3002</v>
      </c>
      <c r="C1393" t="s">
        <v>3213</v>
      </c>
      <c r="D1393" t="s">
        <v>3214</v>
      </c>
      <c r="E1393" t="s">
        <v>45</v>
      </c>
      <c r="F1393" t="s">
        <v>3010</v>
      </c>
      <c r="G1393" t="s">
        <v>3046</v>
      </c>
      <c r="H1393" t="str">
        <f>'Huong dan giao do an'!$B$14</f>
        <v>5 SV (vai trò chính): 1 PM/Scrum Master kiêm Integration; 2 BA/PO; 3 UI-UX + Frontend; 4 Backend/API + DevOps; 5 Database + QA/Tester. Mỗi SV có nhiệm vụ phụ và minh chứng cá nhân.</v>
      </c>
      <c r="I1393" t="s">
        <v>36</v>
      </c>
      <c r="J1393" t="s">
        <v>3017</v>
      </c>
      <c r="K1393" t="str">
        <f>IF(I1393="Trung bình",'Huong dan giao do an'!$B$8,IF(I1393="Khá",'Huong dan giao do an'!$B$9,'Huong dan giao do an'!$B$10))</f>
        <v>Tối thiểu 3 actor; 8-10 use case; 6-8 bảng dữ liệu; 2 quy trình lõi; đăng nhập/RBAC; 1 dashboard; 1 báo cáo; &gt;=25 test case; triển khai bản demo.</v>
      </c>
      <c r="L1393" t="str">
        <f>'Huong dan giao do an'!$B$31</f>
        <v>Bắt buộc: Charter/PMP; SRS + scope/WBS; Gantt/baseline; effort-cost budget; RACI/timesheet; quality-test-defect; communication/minutes; risk register; procurement; change log; closure/lessons learned.</v>
      </c>
      <c r="M1393" t="str">
        <f>'Huong dan giao do an'!$B$33</f>
        <v>Tuần 1: 07.09–13.09.2026; Tuần 2: 14.09–20.09.2026; Tuần 3: 21.09–27.09.2026; Tuần 4: 28.09–04.10.2026; Tuần 5: 05.10–11.10.2026; Tuần 6: 12.10–18.10.2026; Tuần 7: 19.10–25.10.2026; Tuần 8: 26.10–01.11.2026.</v>
      </c>
      <c r="N13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3" s="17" t="str">
        <f t="shared" si="21"/>
        <v>Còn trống</v>
      </c>
    </row>
    <row r="1394" spans="1:16" x14ac:dyDescent="0.3">
      <c r="A1394">
        <v>1393</v>
      </c>
      <c r="B1394" t="s">
        <v>3002</v>
      </c>
      <c r="C1394" t="s">
        <v>3215</v>
      </c>
      <c r="D1394" t="s">
        <v>3216</v>
      </c>
      <c r="E1394" t="s">
        <v>19</v>
      </c>
      <c r="F1394" t="s">
        <v>3015</v>
      </c>
      <c r="G1394" t="s">
        <v>3049</v>
      </c>
      <c r="H1394" t="str">
        <f>'Huong dan giao do an'!$B$14</f>
        <v>5 SV (vai trò chính): 1 PM/Scrum Master kiêm Integration; 2 BA/PO; 3 UI-UX + Frontend; 4 Backend/API + DevOps; 5 Database + QA/Tester. Mỗi SV có nhiệm vụ phụ và minh chứng cá nhân.</v>
      </c>
      <c r="I1394" t="s">
        <v>22</v>
      </c>
      <c r="J1394" t="s">
        <v>3007</v>
      </c>
      <c r="K1394" t="str">
        <f>IF(I1394="Trung bình",'Huong dan giao do an'!$B$8,IF(I1394="Khá",'Huong dan giao do an'!$B$9,'Huong dan giao do an'!$B$10))</f>
        <v>Tối thiểu 4 actor; 10-14 use case; 8-12 bảng; 3 quy trình lõi; phân quyền chi tiết; 2 báo cáo; tích hợp 1 dịch vụ; &gt;=35 test case; CI/CD hoặc deploy cloud.</v>
      </c>
      <c r="L1394" t="str">
        <f>'Huong dan giao do an'!$B$31</f>
        <v>Bắt buộc: Charter/PMP; SRS + scope/WBS; Gantt/baseline; effort-cost budget; RACI/timesheet; quality-test-defect; communication/minutes; risk register; procurement; change log; closure/lessons learned.</v>
      </c>
      <c r="M1394" t="str">
        <f>'Huong dan giao do an'!$B$33</f>
        <v>Tuần 1: 07.09–13.09.2026; Tuần 2: 14.09–20.09.2026; Tuần 3: 21.09–27.09.2026; Tuần 4: 28.09–04.10.2026; Tuần 5: 05.10–11.10.2026; Tuần 6: 12.10–18.10.2026; Tuần 7: 19.10–25.10.2026; Tuần 8: 26.10–01.11.2026.</v>
      </c>
      <c r="N13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4" s="17" t="str">
        <f t="shared" si="21"/>
        <v>Còn trống</v>
      </c>
    </row>
    <row r="1395" spans="1:16" x14ac:dyDescent="0.3">
      <c r="A1395">
        <v>1394</v>
      </c>
      <c r="B1395" t="s">
        <v>3002</v>
      </c>
      <c r="C1395" t="s">
        <v>3217</v>
      </c>
      <c r="D1395" t="s">
        <v>3218</v>
      </c>
      <c r="E1395" t="s">
        <v>26</v>
      </c>
      <c r="F1395" t="s">
        <v>3020</v>
      </c>
      <c r="G1395" t="s">
        <v>3052</v>
      </c>
      <c r="H1395" t="str">
        <f>'Huong dan giao do an'!$B$14</f>
        <v>5 SV (vai trò chính): 1 PM/Scrum Master kiêm Integration; 2 BA/PO; 3 UI-UX + Frontend; 4 Backend/API + DevOps; 5 Database + QA/Tester. Mỗi SV có nhiệm vụ phụ và minh chứng cá nhân.</v>
      </c>
      <c r="I1395" t="s">
        <v>29</v>
      </c>
      <c r="J1395" t="s">
        <v>3012</v>
      </c>
      <c r="K1395" t="str">
        <f>IF(I1395="Trung bình",'Huong dan giao do an'!$B$8,IF(I1395="Khá",'Huong dan giao do an'!$B$9,'Huong dan giao do an'!$B$10))</f>
        <v>Tối thiểu 5 actor; 14-18 use case; 10-15 bảng; 4 quy trình; tích hợp ngoài/realtime hoặc xử lý nâng cao; 3 báo cáo; &gt;=45 test case; logging, backup và deploy.</v>
      </c>
      <c r="L1395" t="str">
        <f>'Huong dan giao do an'!$B$31</f>
        <v>Bắt buộc: Charter/PMP; SRS + scope/WBS; Gantt/baseline; effort-cost budget; RACI/timesheet; quality-test-defect; communication/minutes; risk register; procurement; change log; closure/lessons learned.</v>
      </c>
      <c r="M1395" t="str">
        <f>'Huong dan giao do an'!$B$33</f>
        <v>Tuần 1: 07.09–13.09.2026; Tuần 2: 14.09–20.09.2026; Tuần 3: 21.09–27.09.2026; Tuần 4: 28.09–04.10.2026; Tuần 5: 05.10–11.10.2026; Tuần 6: 12.10–18.10.2026; Tuần 7: 19.10–25.10.2026; Tuần 8: 26.10–01.11.2026.</v>
      </c>
      <c r="N13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5" s="17" t="str">
        <f t="shared" si="21"/>
        <v>Còn trống</v>
      </c>
    </row>
    <row r="1396" spans="1:16" x14ac:dyDescent="0.3">
      <c r="A1396">
        <v>1395</v>
      </c>
      <c r="B1396" t="s">
        <v>3002</v>
      </c>
      <c r="C1396" t="s">
        <v>3219</v>
      </c>
      <c r="D1396" t="s">
        <v>3220</v>
      </c>
      <c r="E1396" t="s">
        <v>33</v>
      </c>
      <c r="F1396" t="s">
        <v>3024</v>
      </c>
      <c r="G1396" t="s">
        <v>3055</v>
      </c>
      <c r="H1396" t="str">
        <f>'Huong dan giao do an'!$B$14</f>
        <v>5 SV (vai trò chính): 1 PM/Scrum Master kiêm Integration; 2 BA/PO; 3 UI-UX + Frontend; 4 Backend/API + DevOps; 5 Database + QA/Tester. Mỗi SV có nhiệm vụ phụ và minh chứng cá nhân.</v>
      </c>
      <c r="I1396" t="s">
        <v>36</v>
      </c>
      <c r="J1396" t="s">
        <v>3017</v>
      </c>
      <c r="K1396" t="str">
        <f>IF(I1396="Trung bình",'Huong dan giao do an'!$B$8,IF(I1396="Khá",'Huong dan giao do an'!$B$9,'Huong dan giao do an'!$B$10))</f>
        <v>Tối thiểu 3 actor; 8-10 use case; 6-8 bảng dữ liệu; 2 quy trình lõi; đăng nhập/RBAC; 1 dashboard; 1 báo cáo; &gt;=25 test case; triển khai bản demo.</v>
      </c>
      <c r="L1396" t="str">
        <f>'Huong dan giao do an'!$B$31</f>
        <v>Bắt buộc: Charter/PMP; SRS + scope/WBS; Gantt/baseline; effort-cost budget; RACI/timesheet; quality-test-defect; communication/minutes; risk register; procurement; change log; closure/lessons learned.</v>
      </c>
      <c r="M1396" t="str">
        <f>'Huong dan giao do an'!$B$33</f>
        <v>Tuần 1: 07.09–13.09.2026; Tuần 2: 14.09–20.09.2026; Tuần 3: 21.09–27.09.2026; Tuần 4: 28.09–04.10.2026; Tuần 5: 05.10–11.10.2026; Tuần 6: 12.10–18.10.2026; Tuần 7: 19.10–25.10.2026; Tuần 8: 26.10–01.11.2026.</v>
      </c>
      <c r="N13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6" s="17" t="str">
        <f t="shared" si="21"/>
        <v>Còn trống</v>
      </c>
    </row>
    <row r="1397" spans="1:16" x14ac:dyDescent="0.3">
      <c r="A1397">
        <v>1396</v>
      </c>
      <c r="B1397" t="s">
        <v>3002</v>
      </c>
      <c r="C1397" t="s">
        <v>3221</v>
      </c>
      <c r="D1397" t="s">
        <v>3222</v>
      </c>
      <c r="E1397" t="s">
        <v>40</v>
      </c>
      <c r="F1397" t="s">
        <v>3005</v>
      </c>
      <c r="G1397" t="s">
        <v>3058</v>
      </c>
      <c r="H1397" t="str">
        <f>'Huong dan giao do an'!$B$14</f>
        <v>5 SV (vai trò chính): 1 PM/Scrum Master kiêm Integration; 2 BA/PO; 3 UI-UX + Frontend; 4 Backend/API + DevOps; 5 Database + QA/Tester. Mỗi SV có nhiệm vụ phụ và minh chứng cá nhân.</v>
      </c>
      <c r="I1397" t="s">
        <v>22</v>
      </c>
      <c r="J1397" t="s">
        <v>3007</v>
      </c>
      <c r="K1397" t="str">
        <f>IF(I1397="Trung bình",'Huong dan giao do an'!$B$8,IF(I1397="Khá",'Huong dan giao do an'!$B$9,'Huong dan giao do an'!$B$10))</f>
        <v>Tối thiểu 4 actor; 10-14 use case; 8-12 bảng; 3 quy trình lõi; phân quyền chi tiết; 2 báo cáo; tích hợp 1 dịch vụ; &gt;=35 test case; CI/CD hoặc deploy cloud.</v>
      </c>
      <c r="L1397" t="str">
        <f>'Huong dan giao do an'!$B$31</f>
        <v>Bắt buộc: Charter/PMP; SRS + scope/WBS; Gantt/baseline; effort-cost budget; RACI/timesheet; quality-test-defect; communication/minutes; risk register; procurement; change log; closure/lessons learned.</v>
      </c>
      <c r="M1397" t="str">
        <f>'Huong dan giao do an'!$B$33</f>
        <v>Tuần 1: 07.09–13.09.2026; Tuần 2: 14.09–20.09.2026; Tuần 3: 21.09–27.09.2026; Tuần 4: 28.09–04.10.2026; Tuần 5: 05.10–11.10.2026; Tuần 6: 12.10–18.10.2026; Tuần 7: 19.10–25.10.2026; Tuần 8: 26.10–01.11.2026.</v>
      </c>
      <c r="N13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7" s="17" t="str">
        <f t="shared" si="21"/>
        <v>Còn trống</v>
      </c>
    </row>
    <row r="1398" spans="1:16" x14ac:dyDescent="0.3">
      <c r="A1398">
        <v>1397</v>
      </c>
      <c r="B1398" t="s">
        <v>3002</v>
      </c>
      <c r="C1398" t="s">
        <v>3223</v>
      </c>
      <c r="D1398" t="s">
        <v>3224</v>
      </c>
      <c r="E1398" t="s">
        <v>45</v>
      </c>
      <c r="F1398" t="s">
        <v>3010</v>
      </c>
      <c r="G1398" t="s">
        <v>3061</v>
      </c>
      <c r="H1398" t="str">
        <f>'Huong dan giao do an'!$B$14</f>
        <v>5 SV (vai trò chính): 1 PM/Scrum Master kiêm Integration; 2 BA/PO; 3 UI-UX + Frontend; 4 Backend/API + DevOps; 5 Database + QA/Tester. Mỗi SV có nhiệm vụ phụ và minh chứng cá nhân.</v>
      </c>
      <c r="I1398" t="s">
        <v>29</v>
      </c>
      <c r="J1398" t="s">
        <v>3012</v>
      </c>
      <c r="K1398" t="str">
        <f>IF(I1398="Trung bình",'Huong dan giao do an'!$B$8,IF(I1398="Khá",'Huong dan giao do an'!$B$9,'Huong dan giao do an'!$B$10))</f>
        <v>Tối thiểu 5 actor; 14-18 use case; 10-15 bảng; 4 quy trình; tích hợp ngoài/realtime hoặc xử lý nâng cao; 3 báo cáo; &gt;=45 test case; logging, backup và deploy.</v>
      </c>
      <c r="L1398" t="str">
        <f>'Huong dan giao do an'!$B$31</f>
        <v>Bắt buộc: Charter/PMP; SRS + scope/WBS; Gantt/baseline; effort-cost budget; RACI/timesheet; quality-test-defect; communication/minutes; risk register; procurement; change log; closure/lessons learned.</v>
      </c>
      <c r="M1398" t="str">
        <f>'Huong dan giao do an'!$B$33</f>
        <v>Tuần 1: 07.09–13.09.2026; Tuần 2: 14.09–20.09.2026; Tuần 3: 21.09–27.09.2026; Tuần 4: 28.09–04.10.2026; Tuần 5: 05.10–11.10.2026; Tuần 6: 12.10–18.10.2026; Tuần 7: 19.10–25.10.2026; Tuần 8: 26.10–01.11.2026.</v>
      </c>
      <c r="N13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8" s="17" t="str">
        <f t="shared" si="21"/>
        <v>Còn trống</v>
      </c>
    </row>
    <row r="1399" spans="1:16" x14ac:dyDescent="0.3">
      <c r="A1399">
        <v>1398</v>
      </c>
      <c r="B1399" t="s">
        <v>3002</v>
      </c>
      <c r="C1399" t="s">
        <v>3225</v>
      </c>
      <c r="D1399" t="s">
        <v>3226</v>
      </c>
      <c r="E1399" t="s">
        <v>19</v>
      </c>
      <c r="F1399" t="s">
        <v>3015</v>
      </c>
      <c r="G1399" t="s">
        <v>3064</v>
      </c>
      <c r="H1399" t="str">
        <f>'Huong dan giao do an'!$B$14</f>
        <v>5 SV (vai trò chính): 1 PM/Scrum Master kiêm Integration; 2 BA/PO; 3 UI-UX + Frontend; 4 Backend/API + DevOps; 5 Database + QA/Tester. Mỗi SV có nhiệm vụ phụ và minh chứng cá nhân.</v>
      </c>
      <c r="I1399" t="s">
        <v>36</v>
      </c>
      <c r="J1399" t="s">
        <v>3017</v>
      </c>
      <c r="K1399" t="str">
        <f>IF(I1399="Trung bình",'Huong dan giao do an'!$B$8,IF(I1399="Khá",'Huong dan giao do an'!$B$9,'Huong dan giao do an'!$B$10))</f>
        <v>Tối thiểu 3 actor; 8-10 use case; 6-8 bảng dữ liệu; 2 quy trình lõi; đăng nhập/RBAC; 1 dashboard; 1 báo cáo; &gt;=25 test case; triển khai bản demo.</v>
      </c>
      <c r="L1399" t="str">
        <f>'Huong dan giao do an'!$B$31</f>
        <v>Bắt buộc: Charter/PMP; SRS + scope/WBS; Gantt/baseline; effort-cost budget; RACI/timesheet; quality-test-defect; communication/minutes; risk register; procurement; change log; closure/lessons learned.</v>
      </c>
      <c r="M1399" t="str">
        <f>'Huong dan giao do an'!$B$33</f>
        <v>Tuần 1: 07.09–13.09.2026; Tuần 2: 14.09–20.09.2026; Tuần 3: 21.09–27.09.2026; Tuần 4: 28.09–04.10.2026; Tuần 5: 05.10–11.10.2026; Tuần 6: 12.10–18.10.2026; Tuần 7: 19.10–25.10.2026; Tuần 8: 26.10–01.11.2026.</v>
      </c>
      <c r="N13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399" s="17" t="str">
        <f t="shared" si="21"/>
        <v>Còn trống</v>
      </c>
    </row>
    <row r="1400" spans="1:16" x14ac:dyDescent="0.3">
      <c r="A1400">
        <v>1399</v>
      </c>
      <c r="B1400" t="s">
        <v>3002</v>
      </c>
      <c r="C1400" t="s">
        <v>3227</v>
      </c>
      <c r="D1400" t="s">
        <v>3228</v>
      </c>
      <c r="E1400" t="s">
        <v>26</v>
      </c>
      <c r="F1400" t="s">
        <v>3020</v>
      </c>
      <c r="G1400" t="s">
        <v>3067</v>
      </c>
      <c r="H1400" t="str">
        <f>'Huong dan giao do an'!$B$14</f>
        <v>5 SV (vai trò chính): 1 PM/Scrum Master kiêm Integration; 2 BA/PO; 3 UI-UX + Frontend; 4 Backend/API + DevOps; 5 Database + QA/Tester. Mỗi SV có nhiệm vụ phụ và minh chứng cá nhân.</v>
      </c>
      <c r="I1400" t="s">
        <v>22</v>
      </c>
      <c r="J1400" t="s">
        <v>3007</v>
      </c>
      <c r="K1400" t="str">
        <f>IF(I1400="Trung bình",'Huong dan giao do an'!$B$8,IF(I1400="Khá",'Huong dan giao do an'!$B$9,'Huong dan giao do an'!$B$10))</f>
        <v>Tối thiểu 4 actor; 10-14 use case; 8-12 bảng; 3 quy trình lõi; phân quyền chi tiết; 2 báo cáo; tích hợp 1 dịch vụ; &gt;=35 test case; CI/CD hoặc deploy cloud.</v>
      </c>
      <c r="L1400" t="str">
        <f>'Huong dan giao do an'!$B$31</f>
        <v>Bắt buộc: Charter/PMP; SRS + scope/WBS; Gantt/baseline; effort-cost budget; RACI/timesheet; quality-test-defect; communication/minutes; risk register; procurement; change log; closure/lessons learned.</v>
      </c>
      <c r="M1400" t="str">
        <f>'Huong dan giao do an'!$B$33</f>
        <v>Tuần 1: 07.09–13.09.2026; Tuần 2: 14.09–20.09.2026; Tuần 3: 21.09–27.09.2026; Tuần 4: 28.09–04.10.2026; Tuần 5: 05.10–11.10.2026; Tuần 6: 12.10–18.10.2026; Tuần 7: 19.10–25.10.2026; Tuần 8: 26.10–01.11.2026.</v>
      </c>
      <c r="N14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0" s="17" t="str">
        <f t="shared" si="21"/>
        <v>Còn trống</v>
      </c>
    </row>
    <row r="1401" spans="1:16" x14ac:dyDescent="0.3">
      <c r="A1401">
        <v>1400</v>
      </c>
      <c r="B1401" t="s">
        <v>3002</v>
      </c>
      <c r="C1401" t="s">
        <v>3229</v>
      </c>
      <c r="D1401" t="s">
        <v>3230</v>
      </c>
      <c r="E1401" t="s">
        <v>33</v>
      </c>
      <c r="F1401" t="s">
        <v>3024</v>
      </c>
      <c r="G1401" t="s">
        <v>3070</v>
      </c>
      <c r="H1401" t="str">
        <f>'Huong dan giao do an'!$B$14</f>
        <v>5 SV (vai trò chính): 1 PM/Scrum Master kiêm Integration; 2 BA/PO; 3 UI-UX + Frontend; 4 Backend/API + DevOps; 5 Database + QA/Tester. Mỗi SV có nhiệm vụ phụ và minh chứng cá nhân.</v>
      </c>
      <c r="I1401" t="s">
        <v>29</v>
      </c>
      <c r="J1401" t="s">
        <v>3012</v>
      </c>
      <c r="K1401" t="str">
        <f>IF(I1401="Trung bình",'Huong dan giao do an'!$B$8,IF(I1401="Khá",'Huong dan giao do an'!$B$9,'Huong dan giao do an'!$B$10))</f>
        <v>Tối thiểu 5 actor; 14-18 use case; 10-15 bảng; 4 quy trình; tích hợp ngoài/realtime hoặc xử lý nâng cao; 3 báo cáo; &gt;=45 test case; logging, backup và deploy.</v>
      </c>
      <c r="L1401" t="str">
        <f>'Huong dan giao do an'!$B$31</f>
        <v>Bắt buộc: Charter/PMP; SRS + scope/WBS; Gantt/baseline; effort-cost budget; RACI/timesheet; quality-test-defect; communication/minutes; risk register; procurement; change log; closure/lessons learned.</v>
      </c>
      <c r="M1401" t="str">
        <f>'Huong dan giao do an'!$B$33</f>
        <v>Tuần 1: 07.09–13.09.2026; Tuần 2: 14.09–20.09.2026; Tuần 3: 21.09–27.09.2026; Tuần 4: 28.09–04.10.2026; Tuần 5: 05.10–11.10.2026; Tuần 6: 12.10–18.10.2026; Tuần 7: 19.10–25.10.2026; Tuần 8: 26.10–01.11.2026.</v>
      </c>
      <c r="N14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1" s="17" t="str">
        <f t="shared" si="21"/>
        <v>Còn trống</v>
      </c>
    </row>
    <row r="1402" spans="1:16" x14ac:dyDescent="0.3">
      <c r="A1402">
        <v>1401</v>
      </c>
      <c r="B1402" t="s">
        <v>3231</v>
      </c>
      <c r="C1402" t="s">
        <v>3232</v>
      </c>
      <c r="D1402" t="s">
        <v>3233</v>
      </c>
      <c r="E1402" t="s">
        <v>45</v>
      </c>
      <c r="F1402" t="s">
        <v>3234</v>
      </c>
      <c r="G1402" t="s">
        <v>3235</v>
      </c>
      <c r="H1402" t="str">
        <f>'Huong dan giao do an'!$B$14</f>
        <v>5 SV (vai trò chính): 1 PM/Scrum Master kiêm Integration; 2 BA/PO; 3 UI-UX + Frontend; 4 Backend/API + DevOps; 5 Database + QA/Tester. Mỗi SV có nhiệm vụ phụ và minh chứng cá nhân.</v>
      </c>
      <c r="I1402" t="s">
        <v>22</v>
      </c>
      <c r="J1402" t="s">
        <v>3236</v>
      </c>
      <c r="K1402" t="str">
        <f>IF(I1402="Trung bình",'Huong dan giao do an'!$B$8,IF(I1402="Khá",'Huong dan giao do an'!$B$9,'Huong dan giao do an'!$B$10))</f>
        <v>Tối thiểu 4 actor; 10-14 use case; 8-12 bảng; 3 quy trình lõi; phân quyền chi tiết; 2 báo cáo; tích hợp 1 dịch vụ; &gt;=35 test case; CI/CD hoặc deploy cloud.</v>
      </c>
      <c r="L1402" t="str">
        <f>'Huong dan giao do an'!$B$31</f>
        <v>Bắt buộc: Charter/PMP; SRS + scope/WBS; Gantt/baseline; effort-cost budget; RACI/timesheet; quality-test-defect; communication/minutes; risk register; procurement; change log; closure/lessons learned.</v>
      </c>
      <c r="M1402" t="str">
        <f>'Huong dan giao do an'!$B$33</f>
        <v>Tuần 1: 07.09–13.09.2026; Tuần 2: 14.09–20.09.2026; Tuần 3: 21.09–27.09.2026; Tuần 4: 28.09–04.10.2026; Tuần 5: 05.10–11.10.2026; Tuần 6: 12.10–18.10.2026; Tuần 7: 19.10–25.10.2026; Tuần 8: 26.10–01.11.2026.</v>
      </c>
      <c r="N14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2" s="17" t="str">
        <f t="shared" si="21"/>
        <v>Còn trống</v>
      </c>
    </row>
    <row r="1403" spans="1:16" x14ac:dyDescent="0.3">
      <c r="A1403">
        <v>1402</v>
      </c>
      <c r="B1403" t="s">
        <v>3231</v>
      </c>
      <c r="C1403" t="s">
        <v>3237</v>
      </c>
      <c r="D1403" t="s">
        <v>3238</v>
      </c>
      <c r="E1403" t="s">
        <v>19</v>
      </c>
      <c r="F1403" t="s">
        <v>3239</v>
      </c>
      <c r="G1403" t="s">
        <v>3240</v>
      </c>
      <c r="H1403" t="str">
        <f>'Huong dan giao do an'!$B$14</f>
        <v>5 SV (vai trò chính): 1 PM/Scrum Master kiêm Integration; 2 BA/PO; 3 UI-UX + Frontend; 4 Backend/API + DevOps; 5 Database + QA/Tester. Mỗi SV có nhiệm vụ phụ và minh chứng cá nhân.</v>
      </c>
      <c r="I1403" t="s">
        <v>29</v>
      </c>
      <c r="J1403" t="s">
        <v>3241</v>
      </c>
      <c r="K1403" t="str">
        <f>IF(I1403="Trung bình",'Huong dan giao do an'!$B$8,IF(I1403="Khá",'Huong dan giao do an'!$B$9,'Huong dan giao do an'!$B$10))</f>
        <v>Tối thiểu 5 actor; 14-18 use case; 10-15 bảng; 4 quy trình; tích hợp ngoài/realtime hoặc xử lý nâng cao; 3 báo cáo; &gt;=45 test case; logging, backup và deploy.</v>
      </c>
      <c r="L1403" t="str">
        <f>'Huong dan giao do an'!$B$31</f>
        <v>Bắt buộc: Charter/PMP; SRS + scope/WBS; Gantt/baseline; effort-cost budget; RACI/timesheet; quality-test-defect; communication/minutes; risk register; procurement; change log; closure/lessons learned.</v>
      </c>
      <c r="M1403" t="str">
        <f>'Huong dan giao do an'!$B$33</f>
        <v>Tuần 1: 07.09–13.09.2026; Tuần 2: 14.09–20.09.2026; Tuần 3: 21.09–27.09.2026; Tuần 4: 28.09–04.10.2026; Tuần 5: 05.10–11.10.2026; Tuần 6: 12.10–18.10.2026; Tuần 7: 19.10–25.10.2026; Tuần 8: 26.10–01.11.2026.</v>
      </c>
      <c r="N14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3" s="17" t="str">
        <f t="shared" si="21"/>
        <v>Còn trống</v>
      </c>
    </row>
    <row r="1404" spans="1:16" x14ac:dyDescent="0.3">
      <c r="A1404">
        <v>1403</v>
      </c>
      <c r="B1404" t="s">
        <v>3231</v>
      </c>
      <c r="C1404" t="s">
        <v>3242</v>
      </c>
      <c r="D1404" t="s">
        <v>3243</v>
      </c>
      <c r="E1404" t="s">
        <v>26</v>
      </c>
      <c r="F1404" t="s">
        <v>3244</v>
      </c>
      <c r="G1404" t="s">
        <v>3245</v>
      </c>
      <c r="H1404" t="str">
        <f>'Huong dan giao do an'!$B$14</f>
        <v>5 SV (vai trò chính): 1 PM/Scrum Master kiêm Integration; 2 BA/PO; 3 UI-UX + Frontend; 4 Backend/API + DevOps; 5 Database + QA/Tester. Mỗi SV có nhiệm vụ phụ và minh chứng cá nhân.</v>
      </c>
      <c r="I1404" t="s">
        <v>36</v>
      </c>
      <c r="J1404" t="s">
        <v>3246</v>
      </c>
      <c r="K1404" t="str">
        <f>IF(I1404="Trung bình",'Huong dan giao do an'!$B$8,IF(I1404="Khá",'Huong dan giao do an'!$B$9,'Huong dan giao do an'!$B$10))</f>
        <v>Tối thiểu 3 actor; 8-10 use case; 6-8 bảng dữ liệu; 2 quy trình lõi; đăng nhập/RBAC; 1 dashboard; 1 báo cáo; &gt;=25 test case; triển khai bản demo.</v>
      </c>
      <c r="L1404" t="str">
        <f>'Huong dan giao do an'!$B$31</f>
        <v>Bắt buộc: Charter/PMP; SRS + scope/WBS; Gantt/baseline; effort-cost budget; RACI/timesheet; quality-test-defect; communication/minutes; risk register; procurement; change log; closure/lessons learned.</v>
      </c>
      <c r="M1404" t="str">
        <f>'Huong dan giao do an'!$B$33</f>
        <v>Tuần 1: 07.09–13.09.2026; Tuần 2: 14.09–20.09.2026; Tuần 3: 21.09–27.09.2026; Tuần 4: 28.09–04.10.2026; Tuần 5: 05.10–11.10.2026; Tuần 6: 12.10–18.10.2026; Tuần 7: 19.10–25.10.2026; Tuần 8: 26.10–01.11.2026.</v>
      </c>
      <c r="N14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4" s="17" t="str">
        <f t="shared" si="21"/>
        <v>Còn trống</v>
      </c>
    </row>
    <row r="1405" spans="1:16" x14ac:dyDescent="0.3">
      <c r="A1405">
        <v>1404</v>
      </c>
      <c r="B1405" t="s">
        <v>3231</v>
      </c>
      <c r="C1405" t="s">
        <v>3247</v>
      </c>
      <c r="D1405" t="s">
        <v>3248</v>
      </c>
      <c r="E1405" t="s">
        <v>33</v>
      </c>
      <c r="F1405" t="s">
        <v>3249</v>
      </c>
      <c r="G1405" t="s">
        <v>3250</v>
      </c>
      <c r="H1405" t="str">
        <f>'Huong dan giao do an'!$B$14</f>
        <v>5 SV (vai trò chính): 1 PM/Scrum Master kiêm Integration; 2 BA/PO; 3 UI-UX + Frontend; 4 Backend/API + DevOps; 5 Database + QA/Tester. Mỗi SV có nhiệm vụ phụ và minh chứng cá nhân.</v>
      </c>
      <c r="I1405" t="s">
        <v>22</v>
      </c>
      <c r="J1405" t="s">
        <v>3236</v>
      </c>
      <c r="K1405" t="str">
        <f>IF(I1405="Trung bình",'Huong dan giao do an'!$B$8,IF(I1405="Khá",'Huong dan giao do an'!$B$9,'Huong dan giao do an'!$B$10))</f>
        <v>Tối thiểu 4 actor; 10-14 use case; 8-12 bảng; 3 quy trình lõi; phân quyền chi tiết; 2 báo cáo; tích hợp 1 dịch vụ; &gt;=35 test case; CI/CD hoặc deploy cloud.</v>
      </c>
      <c r="L1405" t="str">
        <f>'Huong dan giao do an'!$B$31</f>
        <v>Bắt buộc: Charter/PMP; SRS + scope/WBS; Gantt/baseline; effort-cost budget; RACI/timesheet; quality-test-defect; communication/minutes; risk register; procurement; change log; closure/lessons learned.</v>
      </c>
      <c r="M1405" t="str">
        <f>'Huong dan giao do an'!$B$33</f>
        <v>Tuần 1: 07.09–13.09.2026; Tuần 2: 14.09–20.09.2026; Tuần 3: 21.09–27.09.2026; Tuần 4: 28.09–04.10.2026; Tuần 5: 05.10–11.10.2026; Tuần 6: 12.10–18.10.2026; Tuần 7: 19.10–25.10.2026; Tuần 8: 26.10–01.11.2026.</v>
      </c>
      <c r="N14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5" s="17" t="str">
        <f t="shared" si="21"/>
        <v>Còn trống</v>
      </c>
    </row>
    <row r="1406" spans="1:16" x14ac:dyDescent="0.3">
      <c r="A1406">
        <v>1405</v>
      </c>
      <c r="B1406" t="s">
        <v>3231</v>
      </c>
      <c r="C1406" t="s">
        <v>3251</v>
      </c>
      <c r="D1406" t="s">
        <v>3252</v>
      </c>
      <c r="E1406" t="s">
        <v>40</v>
      </c>
      <c r="F1406" t="s">
        <v>3253</v>
      </c>
      <c r="G1406" t="s">
        <v>3254</v>
      </c>
      <c r="H1406" t="str">
        <f>'Huong dan giao do an'!$B$14</f>
        <v>5 SV (vai trò chính): 1 PM/Scrum Master kiêm Integration; 2 BA/PO; 3 UI-UX + Frontend; 4 Backend/API + DevOps; 5 Database + QA/Tester. Mỗi SV có nhiệm vụ phụ và minh chứng cá nhân.</v>
      </c>
      <c r="I1406" t="s">
        <v>29</v>
      </c>
      <c r="J1406" t="s">
        <v>3241</v>
      </c>
      <c r="K1406" t="str">
        <f>IF(I1406="Trung bình",'Huong dan giao do an'!$B$8,IF(I1406="Khá",'Huong dan giao do an'!$B$9,'Huong dan giao do an'!$B$10))</f>
        <v>Tối thiểu 5 actor; 14-18 use case; 10-15 bảng; 4 quy trình; tích hợp ngoài/realtime hoặc xử lý nâng cao; 3 báo cáo; &gt;=45 test case; logging, backup và deploy.</v>
      </c>
      <c r="L1406" t="str">
        <f>'Huong dan giao do an'!$B$31</f>
        <v>Bắt buộc: Charter/PMP; SRS + scope/WBS; Gantt/baseline; effort-cost budget; RACI/timesheet; quality-test-defect; communication/minutes; risk register; procurement; change log; closure/lessons learned.</v>
      </c>
      <c r="M1406" t="str">
        <f>'Huong dan giao do an'!$B$33</f>
        <v>Tuần 1: 07.09–13.09.2026; Tuần 2: 14.09–20.09.2026; Tuần 3: 21.09–27.09.2026; Tuần 4: 28.09–04.10.2026; Tuần 5: 05.10–11.10.2026; Tuần 6: 12.10–18.10.2026; Tuần 7: 19.10–25.10.2026; Tuần 8: 26.10–01.11.2026.</v>
      </c>
      <c r="N14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6" s="17" t="str">
        <f t="shared" si="21"/>
        <v>Còn trống</v>
      </c>
    </row>
    <row r="1407" spans="1:16" x14ac:dyDescent="0.3">
      <c r="A1407">
        <v>1406</v>
      </c>
      <c r="B1407" t="s">
        <v>3231</v>
      </c>
      <c r="C1407" t="s">
        <v>3255</v>
      </c>
      <c r="D1407" t="s">
        <v>3256</v>
      </c>
      <c r="E1407" t="s">
        <v>45</v>
      </c>
      <c r="F1407" t="s">
        <v>3234</v>
      </c>
      <c r="G1407" t="s">
        <v>3257</v>
      </c>
      <c r="H1407" t="str">
        <f>'Huong dan giao do an'!$B$14</f>
        <v>5 SV (vai trò chính): 1 PM/Scrum Master kiêm Integration; 2 BA/PO; 3 UI-UX + Frontend; 4 Backend/API + DevOps; 5 Database + QA/Tester. Mỗi SV có nhiệm vụ phụ và minh chứng cá nhân.</v>
      </c>
      <c r="I1407" t="s">
        <v>36</v>
      </c>
      <c r="J1407" t="s">
        <v>3246</v>
      </c>
      <c r="K1407" t="str">
        <f>IF(I1407="Trung bình",'Huong dan giao do an'!$B$8,IF(I1407="Khá",'Huong dan giao do an'!$B$9,'Huong dan giao do an'!$B$10))</f>
        <v>Tối thiểu 3 actor; 8-10 use case; 6-8 bảng dữ liệu; 2 quy trình lõi; đăng nhập/RBAC; 1 dashboard; 1 báo cáo; &gt;=25 test case; triển khai bản demo.</v>
      </c>
      <c r="L1407" t="str">
        <f>'Huong dan giao do an'!$B$31</f>
        <v>Bắt buộc: Charter/PMP; SRS + scope/WBS; Gantt/baseline; effort-cost budget; RACI/timesheet; quality-test-defect; communication/minutes; risk register; procurement; change log; closure/lessons learned.</v>
      </c>
      <c r="M1407" t="str">
        <f>'Huong dan giao do an'!$B$33</f>
        <v>Tuần 1: 07.09–13.09.2026; Tuần 2: 14.09–20.09.2026; Tuần 3: 21.09–27.09.2026; Tuần 4: 28.09–04.10.2026; Tuần 5: 05.10–11.10.2026; Tuần 6: 12.10–18.10.2026; Tuần 7: 19.10–25.10.2026; Tuần 8: 26.10–01.11.2026.</v>
      </c>
      <c r="N14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7" s="17" t="str">
        <f t="shared" si="21"/>
        <v>Còn trống</v>
      </c>
    </row>
    <row r="1408" spans="1:16" x14ac:dyDescent="0.3">
      <c r="A1408">
        <v>1407</v>
      </c>
      <c r="B1408" t="s">
        <v>3231</v>
      </c>
      <c r="C1408" t="s">
        <v>3258</v>
      </c>
      <c r="D1408" t="s">
        <v>3259</v>
      </c>
      <c r="E1408" t="s">
        <v>19</v>
      </c>
      <c r="F1408" t="s">
        <v>3239</v>
      </c>
      <c r="G1408" t="s">
        <v>3260</v>
      </c>
      <c r="H1408" t="str">
        <f>'Huong dan giao do an'!$B$14</f>
        <v>5 SV (vai trò chính): 1 PM/Scrum Master kiêm Integration; 2 BA/PO; 3 UI-UX + Frontend; 4 Backend/API + DevOps; 5 Database + QA/Tester. Mỗi SV có nhiệm vụ phụ và minh chứng cá nhân.</v>
      </c>
      <c r="I1408" t="s">
        <v>22</v>
      </c>
      <c r="J1408" t="s">
        <v>3236</v>
      </c>
      <c r="K1408" t="str">
        <f>IF(I1408="Trung bình",'Huong dan giao do an'!$B$8,IF(I1408="Khá",'Huong dan giao do an'!$B$9,'Huong dan giao do an'!$B$10))</f>
        <v>Tối thiểu 4 actor; 10-14 use case; 8-12 bảng; 3 quy trình lõi; phân quyền chi tiết; 2 báo cáo; tích hợp 1 dịch vụ; &gt;=35 test case; CI/CD hoặc deploy cloud.</v>
      </c>
      <c r="L1408" t="str">
        <f>'Huong dan giao do an'!$B$31</f>
        <v>Bắt buộc: Charter/PMP; SRS + scope/WBS; Gantt/baseline; effort-cost budget; RACI/timesheet; quality-test-defect; communication/minutes; risk register; procurement; change log; closure/lessons learned.</v>
      </c>
      <c r="M1408" t="str">
        <f>'Huong dan giao do an'!$B$33</f>
        <v>Tuần 1: 07.09–13.09.2026; Tuần 2: 14.09–20.09.2026; Tuần 3: 21.09–27.09.2026; Tuần 4: 28.09–04.10.2026; Tuần 5: 05.10–11.10.2026; Tuần 6: 12.10–18.10.2026; Tuần 7: 19.10–25.10.2026; Tuần 8: 26.10–01.11.2026.</v>
      </c>
      <c r="N14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8" s="17" t="str">
        <f t="shared" si="21"/>
        <v>Còn trống</v>
      </c>
    </row>
    <row r="1409" spans="1:16" x14ac:dyDescent="0.3">
      <c r="A1409">
        <v>1408</v>
      </c>
      <c r="B1409" t="s">
        <v>3231</v>
      </c>
      <c r="C1409" t="s">
        <v>3261</v>
      </c>
      <c r="D1409" t="s">
        <v>3262</v>
      </c>
      <c r="E1409" t="s">
        <v>26</v>
      </c>
      <c r="F1409" t="s">
        <v>3244</v>
      </c>
      <c r="G1409" t="s">
        <v>3263</v>
      </c>
      <c r="H1409" t="str">
        <f>'Huong dan giao do an'!$B$14</f>
        <v>5 SV (vai trò chính): 1 PM/Scrum Master kiêm Integration; 2 BA/PO; 3 UI-UX + Frontend; 4 Backend/API + DevOps; 5 Database + QA/Tester. Mỗi SV có nhiệm vụ phụ và minh chứng cá nhân.</v>
      </c>
      <c r="I1409" t="s">
        <v>29</v>
      </c>
      <c r="J1409" t="s">
        <v>3241</v>
      </c>
      <c r="K1409" t="str">
        <f>IF(I1409="Trung bình",'Huong dan giao do an'!$B$8,IF(I1409="Khá",'Huong dan giao do an'!$B$9,'Huong dan giao do an'!$B$10))</f>
        <v>Tối thiểu 5 actor; 14-18 use case; 10-15 bảng; 4 quy trình; tích hợp ngoài/realtime hoặc xử lý nâng cao; 3 báo cáo; &gt;=45 test case; logging, backup và deploy.</v>
      </c>
      <c r="L1409" t="str">
        <f>'Huong dan giao do an'!$B$31</f>
        <v>Bắt buộc: Charter/PMP; SRS + scope/WBS; Gantt/baseline; effort-cost budget; RACI/timesheet; quality-test-defect; communication/minutes; risk register; procurement; change log; closure/lessons learned.</v>
      </c>
      <c r="M1409" t="str">
        <f>'Huong dan giao do an'!$B$33</f>
        <v>Tuần 1: 07.09–13.09.2026; Tuần 2: 14.09–20.09.2026; Tuần 3: 21.09–27.09.2026; Tuần 4: 28.09–04.10.2026; Tuần 5: 05.10–11.10.2026; Tuần 6: 12.10–18.10.2026; Tuần 7: 19.10–25.10.2026; Tuần 8: 26.10–01.11.2026.</v>
      </c>
      <c r="N14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09" s="17" t="str">
        <f t="shared" si="21"/>
        <v>Còn trống</v>
      </c>
    </row>
    <row r="1410" spans="1:16" x14ac:dyDescent="0.3">
      <c r="A1410">
        <v>1409</v>
      </c>
      <c r="B1410" t="s">
        <v>3231</v>
      </c>
      <c r="C1410" t="s">
        <v>3264</v>
      </c>
      <c r="D1410" t="s">
        <v>3265</v>
      </c>
      <c r="E1410" t="s">
        <v>33</v>
      </c>
      <c r="F1410" t="s">
        <v>3249</v>
      </c>
      <c r="G1410" t="s">
        <v>3266</v>
      </c>
      <c r="H1410" t="str">
        <f>'Huong dan giao do an'!$B$14</f>
        <v>5 SV (vai trò chính): 1 PM/Scrum Master kiêm Integration; 2 BA/PO; 3 UI-UX + Frontend; 4 Backend/API + DevOps; 5 Database + QA/Tester. Mỗi SV có nhiệm vụ phụ và minh chứng cá nhân.</v>
      </c>
      <c r="I1410" t="s">
        <v>36</v>
      </c>
      <c r="J1410" t="s">
        <v>3246</v>
      </c>
      <c r="K1410" t="str">
        <f>IF(I1410="Trung bình",'Huong dan giao do an'!$B$8,IF(I1410="Khá",'Huong dan giao do an'!$B$9,'Huong dan giao do an'!$B$10))</f>
        <v>Tối thiểu 3 actor; 8-10 use case; 6-8 bảng dữ liệu; 2 quy trình lõi; đăng nhập/RBAC; 1 dashboard; 1 báo cáo; &gt;=25 test case; triển khai bản demo.</v>
      </c>
      <c r="L1410" t="str">
        <f>'Huong dan giao do an'!$B$31</f>
        <v>Bắt buộc: Charter/PMP; SRS + scope/WBS; Gantt/baseline; effort-cost budget; RACI/timesheet; quality-test-defect; communication/minutes; risk register; procurement; change log; closure/lessons learned.</v>
      </c>
      <c r="M1410" t="str">
        <f>'Huong dan giao do an'!$B$33</f>
        <v>Tuần 1: 07.09–13.09.2026; Tuần 2: 14.09–20.09.2026; Tuần 3: 21.09–27.09.2026; Tuần 4: 28.09–04.10.2026; Tuần 5: 05.10–11.10.2026; Tuần 6: 12.10–18.10.2026; Tuần 7: 19.10–25.10.2026; Tuần 8: 26.10–01.11.2026.</v>
      </c>
      <c r="N14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0" s="17" t="str">
        <f t="shared" si="21"/>
        <v>Còn trống</v>
      </c>
    </row>
    <row r="1411" spans="1:16" x14ac:dyDescent="0.3">
      <c r="A1411">
        <v>1410</v>
      </c>
      <c r="B1411" t="s">
        <v>3231</v>
      </c>
      <c r="C1411" t="s">
        <v>3267</v>
      </c>
      <c r="D1411" t="s">
        <v>3268</v>
      </c>
      <c r="E1411" t="s">
        <v>40</v>
      </c>
      <c r="F1411" t="s">
        <v>3253</v>
      </c>
      <c r="G1411" t="s">
        <v>3269</v>
      </c>
      <c r="H1411" t="str">
        <f>'Huong dan giao do an'!$B$14</f>
        <v>5 SV (vai trò chính): 1 PM/Scrum Master kiêm Integration; 2 BA/PO; 3 UI-UX + Frontend; 4 Backend/API + DevOps; 5 Database + QA/Tester. Mỗi SV có nhiệm vụ phụ và minh chứng cá nhân.</v>
      </c>
      <c r="I1411" t="s">
        <v>22</v>
      </c>
      <c r="J1411" t="s">
        <v>3236</v>
      </c>
      <c r="K1411" t="str">
        <f>IF(I1411="Trung bình",'Huong dan giao do an'!$B$8,IF(I1411="Khá",'Huong dan giao do an'!$B$9,'Huong dan giao do an'!$B$10))</f>
        <v>Tối thiểu 4 actor; 10-14 use case; 8-12 bảng; 3 quy trình lõi; phân quyền chi tiết; 2 báo cáo; tích hợp 1 dịch vụ; &gt;=35 test case; CI/CD hoặc deploy cloud.</v>
      </c>
      <c r="L1411" t="str">
        <f>'Huong dan giao do an'!$B$31</f>
        <v>Bắt buộc: Charter/PMP; SRS + scope/WBS; Gantt/baseline; effort-cost budget; RACI/timesheet; quality-test-defect; communication/minutes; risk register; procurement; change log; closure/lessons learned.</v>
      </c>
      <c r="M1411" t="str">
        <f>'Huong dan giao do an'!$B$33</f>
        <v>Tuần 1: 07.09–13.09.2026; Tuần 2: 14.09–20.09.2026; Tuần 3: 21.09–27.09.2026; Tuần 4: 28.09–04.10.2026; Tuần 5: 05.10–11.10.2026; Tuần 6: 12.10–18.10.2026; Tuần 7: 19.10–25.10.2026; Tuần 8: 26.10–01.11.2026.</v>
      </c>
      <c r="N14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1" s="17" t="str">
        <f t="shared" ref="P1411:P1474" si="22">IF(O1411="","Còn trống","Đã đăng ký")</f>
        <v>Còn trống</v>
      </c>
    </row>
    <row r="1412" spans="1:16" x14ac:dyDescent="0.3">
      <c r="A1412">
        <v>1411</v>
      </c>
      <c r="B1412" t="s">
        <v>3231</v>
      </c>
      <c r="C1412" t="s">
        <v>3270</v>
      </c>
      <c r="D1412" t="s">
        <v>3271</v>
      </c>
      <c r="E1412" t="s">
        <v>45</v>
      </c>
      <c r="F1412" t="s">
        <v>3234</v>
      </c>
      <c r="G1412" t="s">
        <v>3272</v>
      </c>
      <c r="H1412" t="str">
        <f>'Huong dan giao do an'!$B$14</f>
        <v>5 SV (vai trò chính): 1 PM/Scrum Master kiêm Integration; 2 BA/PO; 3 UI-UX + Frontend; 4 Backend/API + DevOps; 5 Database + QA/Tester. Mỗi SV có nhiệm vụ phụ và minh chứng cá nhân.</v>
      </c>
      <c r="I1412" t="s">
        <v>29</v>
      </c>
      <c r="J1412" t="s">
        <v>3241</v>
      </c>
      <c r="K1412" t="str">
        <f>IF(I1412="Trung bình",'Huong dan giao do an'!$B$8,IF(I1412="Khá",'Huong dan giao do an'!$B$9,'Huong dan giao do an'!$B$10))</f>
        <v>Tối thiểu 5 actor; 14-18 use case; 10-15 bảng; 4 quy trình; tích hợp ngoài/realtime hoặc xử lý nâng cao; 3 báo cáo; &gt;=45 test case; logging, backup và deploy.</v>
      </c>
      <c r="L1412" t="str">
        <f>'Huong dan giao do an'!$B$31</f>
        <v>Bắt buộc: Charter/PMP; SRS + scope/WBS; Gantt/baseline; effort-cost budget; RACI/timesheet; quality-test-defect; communication/minutes; risk register; procurement; change log; closure/lessons learned.</v>
      </c>
      <c r="M1412" t="str">
        <f>'Huong dan giao do an'!$B$33</f>
        <v>Tuần 1: 07.09–13.09.2026; Tuần 2: 14.09–20.09.2026; Tuần 3: 21.09–27.09.2026; Tuần 4: 28.09–04.10.2026; Tuần 5: 05.10–11.10.2026; Tuần 6: 12.10–18.10.2026; Tuần 7: 19.10–25.10.2026; Tuần 8: 26.10–01.11.2026.</v>
      </c>
      <c r="N14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2" s="17" t="str">
        <f t="shared" si="22"/>
        <v>Còn trống</v>
      </c>
    </row>
    <row r="1413" spans="1:16" x14ac:dyDescent="0.3">
      <c r="A1413">
        <v>1412</v>
      </c>
      <c r="B1413" t="s">
        <v>3231</v>
      </c>
      <c r="C1413" t="s">
        <v>3273</v>
      </c>
      <c r="D1413" t="s">
        <v>3274</v>
      </c>
      <c r="E1413" t="s">
        <v>19</v>
      </c>
      <c r="F1413" t="s">
        <v>3239</v>
      </c>
      <c r="G1413" t="s">
        <v>3275</v>
      </c>
      <c r="H1413" t="str">
        <f>'Huong dan giao do an'!$B$14</f>
        <v>5 SV (vai trò chính): 1 PM/Scrum Master kiêm Integration; 2 BA/PO; 3 UI-UX + Frontend; 4 Backend/API + DevOps; 5 Database + QA/Tester. Mỗi SV có nhiệm vụ phụ và minh chứng cá nhân.</v>
      </c>
      <c r="I1413" t="s">
        <v>36</v>
      </c>
      <c r="J1413" t="s">
        <v>3246</v>
      </c>
      <c r="K1413" t="str">
        <f>IF(I1413="Trung bình",'Huong dan giao do an'!$B$8,IF(I1413="Khá",'Huong dan giao do an'!$B$9,'Huong dan giao do an'!$B$10))</f>
        <v>Tối thiểu 3 actor; 8-10 use case; 6-8 bảng dữ liệu; 2 quy trình lõi; đăng nhập/RBAC; 1 dashboard; 1 báo cáo; &gt;=25 test case; triển khai bản demo.</v>
      </c>
      <c r="L1413" t="str">
        <f>'Huong dan giao do an'!$B$31</f>
        <v>Bắt buộc: Charter/PMP; SRS + scope/WBS; Gantt/baseline; effort-cost budget; RACI/timesheet; quality-test-defect; communication/minutes; risk register; procurement; change log; closure/lessons learned.</v>
      </c>
      <c r="M1413" t="str">
        <f>'Huong dan giao do an'!$B$33</f>
        <v>Tuần 1: 07.09–13.09.2026; Tuần 2: 14.09–20.09.2026; Tuần 3: 21.09–27.09.2026; Tuần 4: 28.09–04.10.2026; Tuần 5: 05.10–11.10.2026; Tuần 6: 12.10–18.10.2026; Tuần 7: 19.10–25.10.2026; Tuần 8: 26.10–01.11.2026.</v>
      </c>
      <c r="N14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3" s="17" t="str">
        <f t="shared" si="22"/>
        <v>Còn trống</v>
      </c>
    </row>
    <row r="1414" spans="1:16" x14ac:dyDescent="0.3">
      <c r="A1414">
        <v>1413</v>
      </c>
      <c r="B1414" t="s">
        <v>3231</v>
      </c>
      <c r="C1414" t="s">
        <v>3276</v>
      </c>
      <c r="D1414" t="s">
        <v>3277</v>
      </c>
      <c r="E1414" t="s">
        <v>26</v>
      </c>
      <c r="F1414" t="s">
        <v>3244</v>
      </c>
      <c r="G1414" t="s">
        <v>3278</v>
      </c>
      <c r="H1414" t="str">
        <f>'Huong dan giao do an'!$B$14</f>
        <v>5 SV (vai trò chính): 1 PM/Scrum Master kiêm Integration; 2 BA/PO; 3 UI-UX + Frontend; 4 Backend/API + DevOps; 5 Database + QA/Tester. Mỗi SV có nhiệm vụ phụ và minh chứng cá nhân.</v>
      </c>
      <c r="I1414" t="s">
        <v>22</v>
      </c>
      <c r="J1414" t="s">
        <v>3236</v>
      </c>
      <c r="K1414" t="str">
        <f>IF(I1414="Trung bình",'Huong dan giao do an'!$B$8,IF(I1414="Khá",'Huong dan giao do an'!$B$9,'Huong dan giao do an'!$B$10))</f>
        <v>Tối thiểu 4 actor; 10-14 use case; 8-12 bảng; 3 quy trình lõi; phân quyền chi tiết; 2 báo cáo; tích hợp 1 dịch vụ; &gt;=35 test case; CI/CD hoặc deploy cloud.</v>
      </c>
      <c r="L1414" t="str">
        <f>'Huong dan giao do an'!$B$31</f>
        <v>Bắt buộc: Charter/PMP; SRS + scope/WBS; Gantt/baseline; effort-cost budget; RACI/timesheet; quality-test-defect; communication/minutes; risk register; procurement; change log; closure/lessons learned.</v>
      </c>
      <c r="M1414" t="str">
        <f>'Huong dan giao do an'!$B$33</f>
        <v>Tuần 1: 07.09–13.09.2026; Tuần 2: 14.09–20.09.2026; Tuần 3: 21.09–27.09.2026; Tuần 4: 28.09–04.10.2026; Tuần 5: 05.10–11.10.2026; Tuần 6: 12.10–18.10.2026; Tuần 7: 19.10–25.10.2026; Tuần 8: 26.10–01.11.2026.</v>
      </c>
      <c r="N14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4" s="17" t="str">
        <f t="shared" si="22"/>
        <v>Còn trống</v>
      </c>
    </row>
    <row r="1415" spans="1:16" x14ac:dyDescent="0.3">
      <c r="A1415">
        <v>1414</v>
      </c>
      <c r="B1415" t="s">
        <v>3231</v>
      </c>
      <c r="C1415" t="s">
        <v>3279</v>
      </c>
      <c r="D1415" t="s">
        <v>3280</v>
      </c>
      <c r="E1415" t="s">
        <v>33</v>
      </c>
      <c r="F1415" t="s">
        <v>3249</v>
      </c>
      <c r="G1415" t="s">
        <v>3281</v>
      </c>
      <c r="H1415" t="str">
        <f>'Huong dan giao do an'!$B$14</f>
        <v>5 SV (vai trò chính): 1 PM/Scrum Master kiêm Integration; 2 BA/PO; 3 UI-UX + Frontend; 4 Backend/API + DevOps; 5 Database + QA/Tester. Mỗi SV có nhiệm vụ phụ và minh chứng cá nhân.</v>
      </c>
      <c r="I1415" t="s">
        <v>29</v>
      </c>
      <c r="J1415" t="s">
        <v>3241</v>
      </c>
      <c r="K1415" t="str">
        <f>IF(I1415="Trung bình",'Huong dan giao do an'!$B$8,IF(I1415="Khá",'Huong dan giao do an'!$B$9,'Huong dan giao do an'!$B$10))</f>
        <v>Tối thiểu 5 actor; 14-18 use case; 10-15 bảng; 4 quy trình; tích hợp ngoài/realtime hoặc xử lý nâng cao; 3 báo cáo; &gt;=45 test case; logging, backup và deploy.</v>
      </c>
      <c r="L1415" t="str">
        <f>'Huong dan giao do an'!$B$31</f>
        <v>Bắt buộc: Charter/PMP; SRS + scope/WBS; Gantt/baseline; effort-cost budget; RACI/timesheet; quality-test-defect; communication/minutes; risk register; procurement; change log; closure/lessons learned.</v>
      </c>
      <c r="M1415" t="str">
        <f>'Huong dan giao do an'!$B$33</f>
        <v>Tuần 1: 07.09–13.09.2026; Tuần 2: 14.09–20.09.2026; Tuần 3: 21.09–27.09.2026; Tuần 4: 28.09–04.10.2026; Tuần 5: 05.10–11.10.2026; Tuần 6: 12.10–18.10.2026; Tuần 7: 19.10–25.10.2026; Tuần 8: 26.10–01.11.2026.</v>
      </c>
      <c r="N14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5" s="17" t="str">
        <f t="shared" si="22"/>
        <v>Còn trống</v>
      </c>
    </row>
    <row r="1416" spans="1:16" x14ac:dyDescent="0.3">
      <c r="A1416">
        <v>1415</v>
      </c>
      <c r="B1416" t="s">
        <v>3231</v>
      </c>
      <c r="C1416" t="s">
        <v>3282</v>
      </c>
      <c r="D1416" t="s">
        <v>3283</v>
      </c>
      <c r="E1416" t="s">
        <v>40</v>
      </c>
      <c r="F1416" t="s">
        <v>3253</v>
      </c>
      <c r="G1416" t="s">
        <v>3284</v>
      </c>
      <c r="H1416" t="str">
        <f>'Huong dan giao do an'!$B$14</f>
        <v>5 SV (vai trò chính): 1 PM/Scrum Master kiêm Integration; 2 BA/PO; 3 UI-UX + Frontend; 4 Backend/API + DevOps; 5 Database + QA/Tester. Mỗi SV có nhiệm vụ phụ và minh chứng cá nhân.</v>
      </c>
      <c r="I1416" t="s">
        <v>36</v>
      </c>
      <c r="J1416" t="s">
        <v>3246</v>
      </c>
      <c r="K1416" t="str">
        <f>IF(I1416="Trung bình",'Huong dan giao do an'!$B$8,IF(I1416="Khá",'Huong dan giao do an'!$B$9,'Huong dan giao do an'!$B$10))</f>
        <v>Tối thiểu 3 actor; 8-10 use case; 6-8 bảng dữ liệu; 2 quy trình lõi; đăng nhập/RBAC; 1 dashboard; 1 báo cáo; &gt;=25 test case; triển khai bản demo.</v>
      </c>
      <c r="L1416" t="str">
        <f>'Huong dan giao do an'!$B$31</f>
        <v>Bắt buộc: Charter/PMP; SRS + scope/WBS; Gantt/baseline; effort-cost budget; RACI/timesheet; quality-test-defect; communication/minutes; risk register; procurement; change log; closure/lessons learned.</v>
      </c>
      <c r="M1416" t="str">
        <f>'Huong dan giao do an'!$B$33</f>
        <v>Tuần 1: 07.09–13.09.2026; Tuần 2: 14.09–20.09.2026; Tuần 3: 21.09–27.09.2026; Tuần 4: 28.09–04.10.2026; Tuần 5: 05.10–11.10.2026; Tuần 6: 12.10–18.10.2026; Tuần 7: 19.10–25.10.2026; Tuần 8: 26.10–01.11.2026.</v>
      </c>
      <c r="N14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6" s="17" t="str">
        <f t="shared" si="22"/>
        <v>Còn trống</v>
      </c>
    </row>
    <row r="1417" spans="1:16" x14ac:dyDescent="0.3">
      <c r="A1417">
        <v>1416</v>
      </c>
      <c r="B1417" t="s">
        <v>3231</v>
      </c>
      <c r="C1417" t="s">
        <v>3285</v>
      </c>
      <c r="D1417" t="s">
        <v>3286</v>
      </c>
      <c r="E1417" t="s">
        <v>45</v>
      </c>
      <c r="F1417" t="s">
        <v>3234</v>
      </c>
      <c r="G1417" t="s">
        <v>3287</v>
      </c>
      <c r="H1417" t="str">
        <f>'Huong dan giao do an'!$B$14</f>
        <v>5 SV (vai trò chính): 1 PM/Scrum Master kiêm Integration; 2 BA/PO; 3 UI-UX + Frontend; 4 Backend/API + DevOps; 5 Database + QA/Tester. Mỗi SV có nhiệm vụ phụ và minh chứng cá nhân.</v>
      </c>
      <c r="I1417" t="s">
        <v>22</v>
      </c>
      <c r="J1417" t="s">
        <v>3236</v>
      </c>
      <c r="K1417" t="str">
        <f>IF(I1417="Trung bình",'Huong dan giao do an'!$B$8,IF(I1417="Khá",'Huong dan giao do an'!$B$9,'Huong dan giao do an'!$B$10))</f>
        <v>Tối thiểu 4 actor; 10-14 use case; 8-12 bảng; 3 quy trình lõi; phân quyền chi tiết; 2 báo cáo; tích hợp 1 dịch vụ; &gt;=35 test case; CI/CD hoặc deploy cloud.</v>
      </c>
      <c r="L1417" t="str">
        <f>'Huong dan giao do an'!$B$31</f>
        <v>Bắt buộc: Charter/PMP; SRS + scope/WBS; Gantt/baseline; effort-cost budget; RACI/timesheet; quality-test-defect; communication/minutes; risk register; procurement; change log; closure/lessons learned.</v>
      </c>
      <c r="M1417" t="str">
        <f>'Huong dan giao do an'!$B$33</f>
        <v>Tuần 1: 07.09–13.09.2026; Tuần 2: 14.09–20.09.2026; Tuần 3: 21.09–27.09.2026; Tuần 4: 28.09–04.10.2026; Tuần 5: 05.10–11.10.2026; Tuần 6: 12.10–18.10.2026; Tuần 7: 19.10–25.10.2026; Tuần 8: 26.10–01.11.2026.</v>
      </c>
      <c r="N14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7" s="17" t="str">
        <f t="shared" si="22"/>
        <v>Còn trống</v>
      </c>
    </row>
    <row r="1418" spans="1:16" x14ac:dyDescent="0.3">
      <c r="A1418">
        <v>1417</v>
      </c>
      <c r="B1418" t="s">
        <v>3231</v>
      </c>
      <c r="C1418" t="s">
        <v>3288</v>
      </c>
      <c r="D1418" t="s">
        <v>3289</v>
      </c>
      <c r="E1418" t="s">
        <v>19</v>
      </c>
      <c r="F1418" t="s">
        <v>3239</v>
      </c>
      <c r="G1418" t="s">
        <v>3290</v>
      </c>
      <c r="H1418" t="str">
        <f>'Huong dan giao do an'!$B$14</f>
        <v>5 SV (vai trò chính): 1 PM/Scrum Master kiêm Integration; 2 BA/PO; 3 UI-UX + Frontend; 4 Backend/API + DevOps; 5 Database + QA/Tester. Mỗi SV có nhiệm vụ phụ và minh chứng cá nhân.</v>
      </c>
      <c r="I1418" t="s">
        <v>29</v>
      </c>
      <c r="J1418" t="s">
        <v>3241</v>
      </c>
      <c r="K1418" t="str">
        <f>IF(I1418="Trung bình",'Huong dan giao do an'!$B$8,IF(I1418="Khá",'Huong dan giao do an'!$B$9,'Huong dan giao do an'!$B$10))</f>
        <v>Tối thiểu 5 actor; 14-18 use case; 10-15 bảng; 4 quy trình; tích hợp ngoài/realtime hoặc xử lý nâng cao; 3 báo cáo; &gt;=45 test case; logging, backup và deploy.</v>
      </c>
      <c r="L1418" t="str">
        <f>'Huong dan giao do an'!$B$31</f>
        <v>Bắt buộc: Charter/PMP; SRS + scope/WBS; Gantt/baseline; effort-cost budget; RACI/timesheet; quality-test-defect; communication/minutes; risk register; procurement; change log; closure/lessons learned.</v>
      </c>
      <c r="M1418" t="str">
        <f>'Huong dan giao do an'!$B$33</f>
        <v>Tuần 1: 07.09–13.09.2026; Tuần 2: 14.09–20.09.2026; Tuần 3: 21.09–27.09.2026; Tuần 4: 28.09–04.10.2026; Tuần 5: 05.10–11.10.2026; Tuần 6: 12.10–18.10.2026; Tuần 7: 19.10–25.10.2026; Tuần 8: 26.10–01.11.2026.</v>
      </c>
      <c r="N14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8" s="17" t="str">
        <f t="shared" si="22"/>
        <v>Còn trống</v>
      </c>
    </row>
    <row r="1419" spans="1:16" x14ac:dyDescent="0.3">
      <c r="A1419">
        <v>1418</v>
      </c>
      <c r="B1419" t="s">
        <v>3231</v>
      </c>
      <c r="C1419" t="s">
        <v>3291</v>
      </c>
      <c r="D1419" t="s">
        <v>3292</v>
      </c>
      <c r="E1419" t="s">
        <v>26</v>
      </c>
      <c r="F1419" t="s">
        <v>3244</v>
      </c>
      <c r="G1419" t="s">
        <v>3293</v>
      </c>
      <c r="H1419" t="str">
        <f>'Huong dan giao do an'!$B$14</f>
        <v>5 SV (vai trò chính): 1 PM/Scrum Master kiêm Integration; 2 BA/PO; 3 UI-UX + Frontend; 4 Backend/API + DevOps; 5 Database + QA/Tester. Mỗi SV có nhiệm vụ phụ và minh chứng cá nhân.</v>
      </c>
      <c r="I1419" t="s">
        <v>36</v>
      </c>
      <c r="J1419" t="s">
        <v>3246</v>
      </c>
      <c r="K1419" t="str">
        <f>IF(I1419="Trung bình",'Huong dan giao do an'!$B$8,IF(I1419="Khá",'Huong dan giao do an'!$B$9,'Huong dan giao do an'!$B$10))</f>
        <v>Tối thiểu 3 actor; 8-10 use case; 6-8 bảng dữ liệu; 2 quy trình lõi; đăng nhập/RBAC; 1 dashboard; 1 báo cáo; &gt;=25 test case; triển khai bản demo.</v>
      </c>
      <c r="L1419" t="str">
        <f>'Huong dan giao do an'!$B$31</f>
        <v>Bắt buộc: Charter/PMP; SRS + scope/WBS; Gantt/baseline; effort-cost budget; RACI/timesheet; quality-test-defect; communication/minutes; risk register; procurement; change log; closure/lessons learned.</v>
      </c>
      <c r="M1419" t="str">
        <f>'Huong dan giao do an'!$B$33</f>
        <v>Tuần 1: 07.09–13.09.2026; Tuần 2: 14.09–20.09.2026; Tuần 3: 21.09–27.09.2026; Tuần 4: 28.09–04.10.2026; Tuần 5: 05.10–11.10.2026; Tuần 6: 12.10–18.10.2026; Tuần 7: 19.10–25.10.2026; Tuần 8: 26.10–01.11.2026.</v>
      </c>
      <c r="N14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19" s="17" t="str">
        <f t="shared" si="22"/>
        <v>Còn trống</v>
      </c>
    </row>
    <row r="1420" spans="1:16" x14ac:dyDescent="0.3">
      <c r="A1420">
        <v>1419</v>
      </c>
      <c r="B1420" t="s">
        <v>3231</v>
      </c>
      <c r="C1420" t="s">
        <v>3294</v>
      </c>
      <c r="D1420" t="s">
        <v>3295</v>
      </c>
      <c r="E1420" t="s">
        <v>33</v>
      </c>
      <c r="F1420" t="s">
        <v>3249</v>
      </c>
      <c r="G1420" t="s">
        <v>3296</v>
      </c>
      <c r="H1420" t="str">
        <f>'Huong dan giao do an'!$B$14</f>
        <v>5 SV (vai trò chính): 1 PM/Scrum Master kiêm Integration; 2 BA/PO; 3 UI-UX + Frontend; 4 Backend/API + DevOps; 5 Database + QA/Tester. Mỗi SV có nhiệm vụ phụ và minh chứng cá nhân.</v>
      </c>
      <c r="I1420" t="s">
        <v>22</v>
      </c>
      <c r="J1420" t="s">
        <v>3236</v>
      </c>
      <c r="K1420" t="str">
        <f>IF(I1420="Trung bình",'Huong dan giao do an'!$B$8,IF(I1420="Khá",'Huong dan giao do an'!$B$9,'Huong dan giao do an'!$B$10))</f>
        <v>Tối thiểu 4 actor; 10-14 use case; 8-12 bảng; 3 quy trình lõi; phân quyền chi tiết; 2 báo cáo; tích hợp 1 dịch vụ; &gt;=35 test case; CI/CD hoặc deploy cloud.</v>
      </c>
      <c r="L1420" t="str">
        <f>'Huong dan giao do an'!$B$31</f>
        <v>Bắt buộc: Charter/PMP; SRS + scope/WBS; Gantt/baseline; effort-cost budget; RACI/timesheet; quality-test-defect; communication/minutes; risk register; procurement; change log; closure/lessons learned.</v>
      </c>
      <c r="M1420" t="str">
        <f>'Huong dan giao do an'!$B$33</f>
        <v>Tuần 1: 07.09–13.09.2026; Tuần 2: 14.09–20.09.2026; Tuần 3: 21.09–27.09.2026; Tuần 4: 28.09–04.10.2026; Tuần 5: 05.10–11.10.2026; Tuần 6: 12.10–18.10.2026; Tuần 7: 19.10–25.10.2026; Tuần 8: 26.10–01.11.2026.</v>
      </c>
      <c r="N14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0" s="17" t="str">
        <f t="shared" si="22"/>
        <v>Còn trống</v>
      </c>
    </row>
    <row r="1421" spans="1:16" x14ac:dyDescent="0.3">
      <c r="A1421">
        <v>1420</v>
      </c>
      <c r="B1421" t="s">
        <v>3231</v>
      </c>
      <c r="C1421" t="s">
        <v>3297</v>
      </c>
      <c r="D1421" t="s">
        <v>3298</v>
      </c>
      <c r="E1421" t="s">
        <v>40</v>
      </c>
      <c r="F1421" t="s">
        <v>3253</v>
      </c>
      <c r="G1421" t="s">
        <v>3299</v>
      </c>
      <c r="H1421" t="str">
        <f>'Huong dan giao do an'!$B$14</f>
        <v>5 SV (vai trò chính): 1 PM/Scrum Master kiêm Integration; 2 BA/PO; 3 UI-UX + Frontend; 4 Backend/API + DevOps; 5 Database + QA/Tester. Mỗi SV có nhiệm vụ phụ và minh chứng cá nhân.</v>
      </c>
      <c r="I1421" t="s">
        <v>29</v>
      </c>
      <c r="J1421" t="s">
        <v>3241</v>
      </c>
      <c r="K1421" t="str">
        <f>IF(I1421="Trung bình",'Huong dan giao do an'!$B$8,IF(I1421="Khá",'Huong dan giao do an'!$B$9,'Huong dan giao do an'!$B$10))</f>
        <v>Tối thiểu 5 actor; 14-18 use case; 10-15 bảng; 4 quy trình; tích hợp ngoài/realtime hoặc xử lý nâng cao; 3 báo cáo; &gt;=45 test case; logging, backup và deploy.</v>
      </c>
      <c r="L1421" t="str">
        <f>'Huong dan giao do an'!$B$31</f>
        <v>Bắt buộc: Charter/PMP; SRS + scope/WBS; Gantt/baseline; effort-cost budget; RACI/timesheet; quality-test-defect; communication/minutes; risk register; procurement; change log; closure/lessons learned.</v>
      </c>
      <c r="M1421" t="str">
        <f>'Huong dan giao do an'!$B$33</f>
        <v>Tuần 1: 07.09–13.09.2026; Tuần 2: 14.09–20.09.2026; Tuần 3: 21.09–27.09.2026; Tuần 4: 28.09–04.10.2026; Tuần 5: 05.10–11.10.2026; Tuần 6: 12.10–18.10.2026; Tuần 7: 19.10–25.10.2026; Tuần 8: 26.10–01.11.2026.</v>
      </c>
      <c r="N14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1" s="17" t="str">
        <f t="shared" si="22"/>
        <v>Còn trống</v>
      </c>
    </row>
    <row r="1422" spans="1:16" x14ac:dyDescent="0.3">
      <c r="A1422">
        <v>1421</v>
      </c>
      <c r="B1422" t="s">
        <v>3231</v>
      </c>
      <c r="C1422" t="s">
        <v>3300</v>
      </c>
      <c r="D1422" t="s">
        <v>3301</v>
      </c>
      <c r="E1422" t="s">
        <v>45</v>
      </c>
      <c r="F1422" t="s">
        <v>3234</v>
      </c>
      <c r="G1422" t="s">
        <v>3235</v>
      </c>
      <c r="H1422" t="str">
        <f>'Huong dan giao do an'!$B$14</f>
        <v>5 SV (vai trò chính): 1 PM/Scrum Master kiêm Integration; 2 BA/PO; 3 UI-UX + Frontend; 4 Backend/API + DevOps; 5 Database + QA/Tester. Mỗi SV có nhiệm vụ phụ và minh chứng cá nhân.</v>
      </c>
      <c r="I1422" t="s">
        <v>22</v>
      </c>
      <c r="J1422" t="s">
        <v>3236</v>
      </c>
      <c r="K1422" t="str">
        <f>IF(I1422="Trung bình",'Huong dan giao do an'!$B$8,IF(I1422="Khá",'Huong dan giao do an'!$B$9,'Huong dan giao do an'!$B$10))</f>
        <v>Tối thiểu 4 actor; 10-14 use case; 8-12 bảng; 3 quy trình lõi; phân quyền chi tiết; 2 báo cáo; tích hợp 1 dịch vụ; &gt;=35 test case; CI/CD hoặc deploy cloud.</v>
      </c>
      <c r="L1422" t="str">
        <f>'Huong dan giao do an'!$B$31</f>
        <v>Bắt buộc: Charter/PMP; SRS + scope/WBS; Gantt/baseline; effort-cost budget; RACI/timesheet; quality-test-defect; communication/minutes; risk register; procurement; change log; closure/lessons learned.</v>
      </c>
      <c r="M1422" t="str">
        <f>'Huong dan giao do an'!$B$33</f>
        <v>Tuần 1: 07.09–13.09.2026; Tuần 2: 14.09–20.09.2026; Tuần 3: 21.09–27.09.2026; Tuần 4: 28.09–04.10.2026; Tuần 5: 05.10–11.10.2026; Tuần 6: 12.10–18.10.2026; Tuần 7: 19.10–25.10.2026; Tuần 8: 26.10–01.11.2026.</v>
      </c>
      <c r="N14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2" s="17" t="str">
        <f t="shared" si="22"/>
        <v>Còn trống</v>
      </c>
    </row>
    <row r="1423" spans="1:16" x14ac:dyDescent="0.3">
      <c r="A1423">
        <v>1422</v>
      </c>
      <c r="B1423" t="s">
        <v>3231</v>
      </c>
      <c r="C1423" t="s">
        <v>3302</v>
      </c>
      <c r="D1423" t="s">
        <v>3303</v>
      </c>
      <c r="E1423" t="s">
        <v>19</v>
      </c>
      <c r="F1423" t="s">
        <v>3239</v>
      </c>
      <c r="G1423" t="s">
        <v>3240</v>
      </c>
      <c r="H1423" t="str">
        <f>'Huong dan giao do an'!$B$14</f>
        <v>5 SV (vai trò chính): 1 PM/Scrum Master kiêm Integration; 2 BA/PO; 3 UI-UX + Frontend; 4 Backend/API + DevOps; 5 Database + QA/Tester. Mỗi SV có nhiệm vụ phụ và minh chứng cá nhân.</v>
      </c>
      <c r="I1423" t="s">
        <v>29</v>
      </c>
      <c r="J1423" t="s">
        <v>3241</v>
      </c>
      <c r="K1423" t="str">
        <f>IF(I1423="Trung bình",'Huong dan giao do an'!$B$8,IF(I1423="Khá",'Huong dan giao do an'!$B$9,'Huong dan giao do an'!$B$10))</f>
        <v>Tối thiểu 5 actor; 14-18 use case; 10-15 bảng; 4 quy trình; tích hợp ngoài/realtime hoặc xử lý nâng cao; 3 báo cáo; &gt;=45 test case; logging, backup và deploy.</v>
      </c>
      <c r="L1423" t="str">
        <f>'Huong dan giao do an'!$B$31</f>
        <v>Bắt buộc: Charter/PMP; SRS + scope/WBS; Gantt/baseline; effort-cost budget; RACI/timesheet; quality-test-defect; communication/minutes; risk register; procurement; change log; closure/lessons learned.</v>
      </c>
      <c r="M1423" t="str">
        <f>'Huong dan giao do an'!$B$33</f>
        <v>Tuần 1: 07.09–13.09.2026; Tuần 2: 14.09–20.09.2026; Tuần 3: 21.09–27.09.2026; Tuần 4: 28.09–04.10.2026; Tuần 5: 05.10–11.10.2026; Tuần 6: 12.10–18.10.2026; Tuần 7: 19.10–25.10.2026; Tuần 8: 26.10–01.11.2026.</v>
      </c>
      <c r="N14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3" s="17" t="str">
        <f t="shared" si="22"/>
        <v>Còn trống</v>
      </c>
    </row>
    <row r="1424" spans="1:16" x14ac:dyDescent="0.3">
      <c r="A1424">
        <v>1423</v>
      </c>
      <c r="B1424" t="s">
        <v>3231</v>
      </c>
      <c r="C1424" t="s">
        <v>3304</v>
      </c>
      <c r="D1424" t="s">
        <v>3305</v>
      </c>
      <c r="E1424" t="s">
        <v>26</v>
      </c>
      <c r="F1424" t="s">
        <v>3244</v>
      </c>
      <c r="G1424" t="s">
        <v>3245</v>
      </c>
      <c r="H1424" t="str">
        <f>'Huong dan giao do an'!$B$14</f>
        <v>5 SV (vai trò chính): 1 PM/Scrum Master kiêm Integration; 2 BA/PO; 3 UI-UX + Frontend; 4 Backend/API + DevOps; 5 Database + QA/Tester. Mỗi SV có nhiệm vụ phụ và minh chứng cá nhân.</v>
      </c>
      <c r="I1424" t="s">
        <v>36</v>
      </c>
      <c r="J1424" t="s">
        <v>3246</v>
      </c>
      <c r="K1424" t="str">
        <f>IF(I1424="Trung bình",'Huong dan giao do an'!$B$8,IF(I1424="Khá",'Huong dan giao do an'!$B$9,'Huong dan giao do an'!$B$10))</f>
        <v>Tối thiểu 3 actor; 8-10 use case; 6-8 bảng dữ liệu; 2 quy trình lõi; đăng nhập/RBAC; 1 dashboard; 1 báo cáo; &gt;=25 test case; triển khai bản demo.</v>
      </c>
      <c r="L1424" t="str">
        <f>'Huong dan giao do an'!$B$31</f>
        <v>Bắt buộc: Charter/PMP; SRS + scope/WBS; Gantt/baseline; effort-cost budget; RACI/timesheet; quality-test-defect; communication/minutes; risk register; procurement; change log; closure/lessons learned.</v>
      </c>
      <c r="M1424" t="str">
        <f>'Huong dan giao do an'!$B$33</f>
        <v>Tuần 1: 07.09–13.09.2026; Tuần 2: 14.09–20.09.2026; Tuần 3: 21.09–27.09.2026; Tuần 4: 28.09–04.10.2026; Tuần 5: 05.10–11.10.2026; Tuần 6: 12.10–18.10.2026; Tuần 7: 19.10–25.10.2026; Tuần 8: 26.10–01.11.2026.</v>
      </c>
      <c r="N14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4" s="17" t="str">
        <f t="shared" si="22"/>
        <v>Còn trống</v>
      </c>
    </row>
    <row r="1425" spans="1:16" x14ac:dyDescent="0.3">
      <c r="A1425">
        <v>1424</v>
      </c>
      <c r="B1425" t="s">
        <v>3231</v>
      </c>
      <c r="C1425" t="s">
        <v>3306</v>
      </c>
      <c r="D1425" t="s">
        <v>3307</v>
      </c>
      <c r="E1425" t="s">
        <v>33</v>
      </c>
      <c r="F1425" t="s">
        <v>3249</v>
      </c>
      <c r="G1425" t="s">
        <v>3250</v>
      </c>
      <c r="H1425" t="str">
        <f>'Huong dan giao do an'!$B$14</f>
        <v>5 SV (vai trò chính): 1 PM/Scrum Master kiêm Integration; 2 BA/PO; 3 UI-UX + Frontend; 4 Backend/API + DevOps; 5 Database + QA/Tester. Mỗi SV có nhiệm vụ phụ và minh chứng cá nhân.</v>
      </c>
      <c r="I1425" t="s">
        <v>22</v>
      </c>
      <c r="J1425" t="s">
        <v>3236</v>
      </c>
      <c r="K1425" t="str">
        <f>IF(I1425="Trung bình",'Huong dan giao do an'!$B$8,IF(I1425="Khá",'Huong dan giao do an'!$B$9,'Huong dan giao do an'!$B$10))</f>
        <v>Tối thiểu 4 actor; 10-14 use case; 8-12 bảng; 3 quy trình lõi; phân quyền chi tiết; 2 báo cáo; tích hợp 1 dịch vụ; &gt;=35 test case; CI/CD hoặc deploy cloud.</v>
      </c>
      <c r="L1425" t="str">
        <f>'Huong dan giao do an'!$B$31</f>
        <v>Bắt buộc: Charter/PMP; SRS + scope/WBS; Gantt/baseline; effort-cost budget; RACI/timesheet; quality-test-defect; communication/minutes; risk register; procurement; change log; closure/lessons learned.</v>
      </c>
      <c r="M1425" t="str">
        <f>'Huong dan giao do an'!$B$33</f>
        <v>Tuần 1: 07.09–13.09.2026; Tuần 2: 14.09–20.09.2026; Tuần 3: 21.09–27.09.2026; Tuần 4: 28.09–04.10.2026; Tuần 5: 05.10–11.10.2026; Tuần 6: 12.10–18.10.2026; Tuần 7: 19.10–25.10.2026; Tuần 8: 26.10–01.11.2026.</v>
      </c>
      <c r="N14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5" s="17" t="str">
        <f t="shared" si="22"/>
        <v>Còn trống</v>
      </c>
    </row>
    <row r="1426" spans="1:16" x14ac:dyDescent="0.3">
      <c r="A1426">
        <v>1425</v>
      </c>
      <c r="B1426" t="s">
        <v>3231</v>
      </c>
      <c r="C1426" t="s">
        <v>3308</v>
      </c>
      <c r="D1426" t="s">
        <v>3309</v>
      </c>
      <c r="E1426" t="s">
        <v>40</v>
      </c>
      <c r="F1426" t="s">
        <v>3253</v>
      </c>
      <c r="G1426" t="s">
        <v>3254</v>
      </c>
      <c r="H1426" t="str">
        <f>'Huong dan giao do an'!$B$14</f>
        <v>5 SV (vai trò chính): 1 PM/Scrum Master kiêm Integration; 2 BA/PO; 3 UI-UX + Frontend; 4 Backend/API + DevOps; 5 Database + QA/Tester. Mỗi SV có nhiệm vụ phụ và minh chứng cá nhân.</v>
      </c>
      <c r="I1426" t="s">
        <v>29</v>
      </c>
      <c r="J1426" t="s">
        <v>3241</v>
      </c>
      <c r="K1426" t="str">
        <f>IF(I1426="Trung bình",'Huong dan giao do an'!$B$8,IF(I1426="Khá",'Huong dan giao do an'!$B$9,'Huong dan giao do an'!$B$10))</f>
        <v>Tối thiểu 5 actor; 14-18 use case; 10-15 bảng; 4 quy trình; tích hợp ngoài/realtime hoặc xử lý nâng cao; 3 báo cáo; &gt;=45 test case; logging, backup và deploy.</v>
      </c>
      <c r="L1426" t="str">
        <f>'Huong dan giao do an'!$B$31</f>
        <v>Bắt buộc: Charter/PMP; SRS + scope/WBS; Gantt/baseline; effort-cost budget; RACI/timesheet; quality-test-defect; communication/minutes; risk register; procurement; change log; closure/lessons learned.</v>
      </c>
      <c r="M1426" t="str">
        <f>'Huong dan giao do an'!$B$33</f>
        <v>Tuần 1: 07.09–13.09.2026; Tuần 2: 14.09–20.09.2026; Tuần 3: 21.09–27.09.2026; Tuần 4: 28.09–04.10.2026; Tuần 5: 05.10–11.10.2026; Tuần 6: 12.10–18.10.2026; Tuần 7: 19.10–25.10.2026; Tuần 8: 26.10–01.11.2026.</v>
      </c>
      <c r="N14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6" s="17" t="str">
        <f t="shared" si="22"/>
        <v>Còn trống</v>
      </c>
    </row>
    <row r="1427" spans="1:16" x14ac:dyDescent="0.3">
      <c r="A1427">
        <v>1426</v>
      </c>
      <c r="B1427" t="s">
        <v>3231</v>
      </c>
      <c r="C1427" t="s">
        <v>3310</v>
      </c>
      <c r="D1427" t="s">
        <v>3311</v>
      </c>
      <c r="E1427" t="s">
        <v>45</v>
      </c>
      <c r="F1427" t="s">
        <v>3234</v>
      </c>
      <c r="G1427" t="s">
        <v>3257</v>
      </c>
      <c r="H1427" t="str">
        <f>'Huong dan giao do an'!$B$14</f>
        <v>5 SV (vai trò chính): 1 PM/Scrum Master kiêm Integration; 2 BA/PO; 3 UI-UX + Frontend; 4 Backend/API + DevOps; 5 Database + QA/Tester. Mỗi SV có nhiệm vụ phụ và minh chứng cá nhân.</v>
      </c>
      <c r="I1427" t="s">
        <v>36</v>
      </c>
      <c r="J1427" t="s">
        <v>3246</v>
      </c>
      <c r="K1427" t="str">
        <f>IF(I1427="Trung bình",'Huong dan giao do an'!$B$8,IF(I1427="Khá",'Huong dan giao do an'!$B$9,'Huong dan giao do an'!$B$10))</f>
        <v>Tối thiểu 3 actor; 8-10 use case; 6-8 bảng dữ liệu; 2 quy trình lõi; đăng nhập/RBAC; 1 dashboard; 1 báo cáo; &gt;=25 test case; triển khai bản demo.</v>
      </c>
      <c r="L1427" t="str">
        <f>'Huong dan giao do an'!$B$31</f>
        <v>Bắt buộc: Charter/PMP; SRS + scope/WBS; Gantt/baseline; effort-cost budget; RACI/timesheet; quality-test-defect; communication/minutes; risk register; procurement; change log; closure/lessons learned.</v>
      </c>
      <c r="M1427" t="str">
        <f>'Huong dan giao do an'!$B$33</f>
        <v>Tuần 1: 07.09–13.09.2026; Tuần 2: 14.09–20.09.2026; Tuần 3: 21.09–27.09.2026; Tuần 4: 28.09–04.10.2026; Tuần 5: 05.10–11.10.2026; Tuần 6: 12.10–18.10.2026; Tuần 7: 19.10–25.10.2026; Tuần 8: 26.10–01.11.2026.</v>
      </c>
      <c r="N14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7" s="17" t="str">
        <f t="shared" si="22"/>
        <v>Còn trống</v>
      </c>
    </row>
    <row r="1428" spans="1:16" x14ac:dyDescent="0.3">
      <c r="A1428">
        <v>1427</v>
      </c>
      <c r="B1428" t="s">
        <v>3231</v>
      </c>
      <c r="C1428" t="s">
        <v>3312</v>
      </c>
      <c r="D1428" t="s">
        <v>3313</v>
      </c>
      <c r="E1428" t="s">
        <v>19</v>
      </c>
      <c r="F1428" t="s">
        <v>3239</v>
      </c>
      <c r="G1428" t="s">
        <v>3260</v>
      </c>
      <c r="H1428" t="str">
        <f>'Huong dan giao do an'!$B$14</f>
        <v>5 SV (vai trò chính): 1 PM/Scrum Master kiêm Integration; 2 BA/PO; 3 UI-UX + Frontend; 4 Backend/API + DevOps; 5 Database + QA/Tester. Mỗi SV có nhiệm vụ phụ và minh chứng cá nhân.</v>
      </c>
      <c r="I1428" t="s">
        <v>22</v>
      </c>
      <c r="J1428" t="s">
        <v>3236</v>
      </c>
      <c r="K1428" t="str">
        <f>IF(I1428="Trung bình",'Huong dan giao do an'!$B$8,IF(I1428="Khá",'Huong dan giao do an'!$B$9,'Huong dan giao do an'!$B$10))</f>
        <v>Tối thiểu 4 actor; 10-14 use case; 8-12 bảng; 3 quy trình lõi; phân quyền chi tiết; 2 báo cáo; tích hợp 1 dịch vụ; &gt;=35 test case; CI/CD hoặc deploy cloud.</v>
      </c>
      <c r="L1428" t="str">
        <f>'Huong dan giao do an'!$B$31</f>
        <v>Bắt buộc: Charter/PMP; SRS + scope/WBS; Gantt/baseline; effort-cost budget; RACI/timesheet; quality-test-defect; communication/minutes; risk register; procurement; change log; closure/lessons learned.</v>
      </c>
      <c r="M1428" t="str">
        <f>'Huong dan giao do an'!$B$33</f>
        <v>Tuần 1: 07.09–13.09.2026; Tuần 2: 14.09–20.09.2026; Tuần 3: 21.09–27.09.2026; Tuần 4: 28.09–04.10.2026; Tuần 5: 05.10–11.10.2026; Tuần 6: 12.10–18.10.2026; Tuần 7: 19.10–25.10.2026; Tuần 8: 26.10–01.11.2026.</v>
      </c>
      <c r="N14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8" s="17" t="str">
        <f t="shared" si="22"/>
        <v>Còn trống</v>
      </c>
    </row>
    <row r="1429" spans="1:16" x14ac:dyDescent="0.3">
      <c r="A1429">
        <v>1428</v>
      </c>
      <c r="B1429" t="s">
        <v>3231</v>
      </c>
      <c r="C1429" t="s">
        <v>3314</v>
      </c>
      <c r="D1429" t="s">
        <v>3315</v>
      </c>
      <c r="E1429" t="s">
        <v>26</v>
      </c>
      <c r="F1429" t="s">
        <v>3244</v>
      </c>
      <c r="G1429" t="s">
        <v>3263</v>
      </c>
      <c r="H1429" t="str">
        <f>'Huong dan giao do an'!$B$14</f>
        <v>5 SV (vai trò chính): 1 PM/Scrum Master kiêm Integration; 2 BA/PO; 3 UI-UX + Frontend; 4 Backend/API + DevOps; 5 Database + QA/Tester. Mỗi SV có nhiệm vụ phụ và minh chứng cá nhân.</v>
      </c>
      <c r="I1429" t="s">
        <v>29</v>
      </c>
      <c r="J1429" t="s">
        <v>3241</v>
      </c>
      <c r="K1429" t="str">
        <f>IF(I1429="Trung bình",'Huong dan giao do an'!$B$8,IF(I1429="Khá",'Huong dan giao do an'!$B$9,'Huong dan giao do an'!$B$10))</f>
        <v>Tối thiểu 5 actor; 14-18 use case; 10-15 bảng; 4 quy trình; tích hợp ngoài/realtime hoặc xử lý nâng cao; 3 báo cáo; &gt;=45 test case; logging, backup và deploy.</v>
      </c>
      <c r="L1429" t="str">
        <f>'Huong dan giao do an'!$B$31</f>
        <v>Bắt buộc: Charter/PMP; SRS + scope/WBS; Gantt/baseline; effort-cost budget; RACI/timesheet; quality-test-defect; communication/minutes; risk register; procurement; change log; closure/lessons learned.</v>
      </c>
      <c r="M1429" t="str">
        <f>'Huong dan giao do an'!$B$33</f>
        <v>Tuần 1: 07.09–13.09.2026; Tuần 2: 14.09–20.09.2026; Tuần 3: 21.09–27.09.2026; Tuần 4: 28.09–04.10.2026; Tuần 5: 05.10–11.10.2026; Tuần 6: 12.10–18.10.2026; Tuần 7: 19.10–25.10.2026; Tuần 8: 26.10–01.11.2026.</v>
      </c>
      <c r="N14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29" s="17" t="str">
        <f t="shared" si="22"/>
        <v>Còn trống</v>
      </c>
    </row>
    <row r="1430" spans="1:16" x14ac:dyDescent="0.3">
      <c r="A1430">
        <v>1429</v>
      </c>
      <c r="B1430" t="s">
        <v>3231</v>
      </c>
      <c r="C1430" t="s">
        <v>3316</v>
      </c>
      <c r="D1430" t="s">
        <v>3317</v>
      </c>
      <c r="E1430" t="s">
        <v>33</v>
      </c>
      <c r="F1430" t="s">
        <v>3249</v>
      </c>
      <c r="G1430" t="s">
        <v>3266</v>
      </c>
      <c r="H1430" t="str">
        <f>'Huong dan giao do an'!$B$14</f>
        <v>5 SV (vai trò chính): 1 PM/Scrum Master kiêm Integration; 2 BA/PO; 3 UI-UX + Frontend; 4 Backend/API + DevOps; 5 Database + QA/Tester. Mỗi SV có nhiệm vụ phụ và minh chứng cá nhân.</v>
      </c>
      <c r="I1430" t="s">
        <v>36</v>
      </c>
      <c r="J1430" t="s">
        <v>3246</v>
      </c>
      <c r="K1430" t="str">
        <f>IF(I1430="Trung bình",'Huong dan giao do an'!$B$8,IF(I1430="Khá",'Huong dan giao do an'!$B$9,'Huong dan giao do an'!$B$10))</f>
        <v>Tối thiểu 3 actor; 8-10 use case; 6-8 bảng dữ liệu; 2 quy trình lõi; đăng nhập/RBAC; 1 dashboard; 1 báo cáo; &gt;=25 test case; triển khai bản demo.</v>
      </c>
      <c r="L1430" t="str">
        <f>'Huong dan giao do an'!$B$31</f>
        <v>Bắt buộc: Charter/PMP; SRS + scope/WBS; Gantt/baseline; effort-cost budget; RACI/timesheet; quality-test-defect; communication/minutes; risk register; procurement; change log; closure/lessons learned.</v>
      </c>
      <c r="M1430" t="str">
        <f>'Huong dan giao do an'!$B$33</f>
        <v>Tuần 1: 07.09–13.09.2026; Tuần 2: 14.09–20.09.2026; Tuần 3: 21.09–27.09.2026; Tuần 4: 28.09–04.10.2026; Tuần 5: 05.10–11.10.2026; Tuần 6: 12.10–18.10.2026; Tuần 7: 19.10–25.10.2026; Tuần 8: 26.10–01.11.2026.</v>
      </c>
      <c r="N14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0" s="17" t="str">
        <f t="shared" si="22"/>
        <v>Còn trống</v>
      </c>
    </row>
    <row r="1431" spans="1:16" x14ac:dyDescent="0.3">
      <c r="A1431">
        <v>1430</v>
      </c>
      <c r="B1431" t="s">
        <v>3231</v>
      </c>
      <c r="C1431" t="s">
        <v>3318</v>
      </c>
      <c r="D1431" t="s">
        <v>3319</v>
      </c>
      <c r="E1431" t="s">
        <v>40</v>
      </c>
      <c r="F1431" t="s">
        <v>3253</v>
      </c>
      <c r="G1431" t="s">
        <v>3269</v>
      </c>
      <c r="H1431" t="str">
        <f>'Huong dan giao do an'!$B$14</f>
        <v>5 SV (vai trò chính): 1 PM/Scrum Master kiêm Integration; 2 BA/PO; 3 UI-UX + Frontend; 4 Backend/API + DevOps; 5 Database + QA/Tester. Mỗi SV có nhiệm vụ phụ và minh chứng cá nhân.</v>
      </c>
      <c r="I1431" t="s">
        <v>22</v>
      </c>
      <c r="J1431" t="s">
        <v>3236</v>
      </c>
      <c r="K1431" t="str">
        <f>IF(I1431="Trung bình",'Huong dan giao do an'!$B$8,IF(I1431="Khá",'Huong dan giao do an'!$B$9,'Huong dan giao do an'!$B$10))</f>
        <v>Tối thiểu 4 actor; 10-14 use case; 8-12 bảng; 3 quy trình lõi; phân quyền chi tiết; 2 báo cáo; tích hợp 1 dịch vụ; &gt;=35 test case; CI/CD hoặc deploy cloud.</v>
      </c>
      <c r="L1431" t="str">
        <f>'Huong dan giao do an'!$B$31</f>
        <v>Bắt buộc: Charter/PMP; SRS + scope/WBS; Gantt/baseline; effort-cost budget; RACI/timesheet; quality-test-defect; communication/minutes; risk register; procurement; change log; closure/lessons learned.</v>
      </c>
      <c r="M1431" t="str">
        <f>'Huong dan giao do an'!$B$33</f>
        <v>Tuần 1: 07.09–13.09.2026; Tuần 2: 14.09–20.09.2026; Tuần 3: 21.09–27.09.2026; Tuần 4: 28.09–04.10.2026; Tuần 5: 05.10–11.10.2026; Tuần 6: 12.10–18.10.2026; Tuần 7: 19.10–25.10.2026; Tuần 8: 26.10–01.11.2026.</v>
      </c>
      <c r="N14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1" s="17" t="str">
        <f t="shared" si="22"/>
        <v>Còn trống</v>
      </c>
    </row>
    <row r="1432" spans="1:16" x14ac:dyDescent="0.3">
      <c r="A1432">
        <v>1431</v>
      </c>
      <c r="B1432" t="s">
        <v>3231</v>
      </c>
      <c r="C1432" t="s">
        <v>3320</v>
      </c>
      <c r="D1432" t="s">
        <v>3321</v>
      </c>
      <c r="E1432" t="s">
        <v>45</v>
      </c>
      <c r="F1432" t="s">
        <v>3234</v>
      </c>
      <c r="G1432" t="s">
        <v>3272</v>
      </c>
      <c r="H1432" t="str">
        <f>'Huong dan giao do an'!$B$14</f>
        <v>5 SV (vai trò chính): 1 PM/Scrum Master kiêm Integration; 2 BA/PO; 3 UI-UX + Frontend; 4 Backend/API + DevOps; 5 Database + QA/Tester. Mỗi SV có nhiệm vụ phụ và minh chứng cá nhân.</v>
      </c>
      <c r="I1432" t="s">
        <v>29</v>
      </c>
      <c r="J1432" t="s">
        <v>3241</v>
      </c>
      <c r="K1432" t="str">
        <f>IF(I1432="Trung bình",'Huong dan giao do an'!$B$8,IF(I1432="Khá",'Huong dan giao do an'!$B$9,'Huong dan giao do an'!$B$10))</f>
        <v>Tối thiểu 5 actor; 14-18 use case; 10-15 bảng; 4 quy trình; tích hợp ngoài/realtime hoặc xử lý nâng cao; 3 báo cáo; &gt;=45 test case; logging, backup và deploy.</v>
      </c>
      <c r="L1432" t="str">
        <f>'Huong dan giao do an'!$B$31</f>
        <v>Bắt buộc: Charter/PMP; SRS + scope/WBS; Gantt/baseline; effort-cost budget; RACI/timesheet; quality-test-defect; communication/minutes; risk register; procurement; change log; closure/lessons learned.</v>
      </c>
      <c r="M1432" t="str">
        <f>'Huong dan giao do an'!$B$33</f>
        <v>Tuần 1: 07.09–13.09.2026; Tuần 2: 14.09–20.09.2026; Tuần 3: 21.09–27.09.2026; Tuần 4: 28.09–04.10.2026; Tuần 5: 05.10–11.10.2026; Tuần 6: 12.10–18.10.2026; Tuần 7: 19.10–25.10.2026; Tuần 8: 26.10–01.11.2026.</v>
      </c>
      <c r="N14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2" s="17" t="str">
        <f t="shared" si="22"/>
        <v>Còn trống</v>
      </c>
    </row>
    <row r="1433" spans="1:16" x14ac:dyDescent="0.3">
      <c r="A1433">
        <v>1432</v>
      </c>
      <c r="B1433" t="s">
        <v>3231</v>
      </c>
      <c r="C1433" t="s">
        <v>3322</v>
      </c>
      <c r="D1433" t="s">
        <v>3323</v>
      </c>
      <c r="E1433" t="s">
        <v>19</v>
      </c>
      <c r="F1433" t="s">
        <v>3239</v>
      </c>
      <c r="G1433" t="s">
        <v>3275</v>
      </c>
      <c r="H1433" t="str">
        <f>'Huong dan giao do an'!$B$14</f>
        <v>5 SV (vai trò chính): 1 PM/Scrum Master kiêm Integration; 2 BA/PO; 3 UI-UX + Frontend; 4 Backend/API + DevOps; 5 Database + QA/Tester. Mỗi SV có nhiệm vụ phụ và minh chứng cá nhân.</v>
      </c>
      <c r="I1433" t="s">
        <v>36</v>
      </c>
      <c r="J1433" t="s">
        <v>3246</v>
      </c>
      <c r="K1433" t="str">
        <f>IF(I1433="Trung bình",'Huong dan giao do an'!$B$8,IF(I1433="Khá",'Huong dan giao do an'!$B$9,'Huong dan giao do an'!$B$10))</f>
        <v>Tối thiểu 3 actor; 8-10 use case; 6-8 bảng dữ liệu; 2 quy trình lõi; đăng nhập/RBAC; 1 dashboard; 1 báo cáo; &gt;=25 test case; triển khai bản demo.</v>
      </c>
      <c r="L1433" t="str">
        <f>'Huong dan giao do an'!$B$31</f>
        <v>Bắt buộc: Charter/PMP; SRS + scope/WBS; Gantt/baseline; effort-cost budget; RACI/timesheet; quality-test-defect; communication/minutes; risk register; procurement; change log; closure/lessons learned.</v>
      </c>
      <c r="M1433" t="str">
        <f>'Huong dan giao do an'!$B$33</f>
        <v>Tuần 1: 07.09–13.09.2026; Tuần 2: 14.09–20.09.2026; Tuần 3: 21.09–27.09.2026; Tuần 4: 28.09–04.10.2026; Tuần 5: 05.10–11.10.2026; Tuần 6: 12.10–18.10.2026; Tuần 7: 19.10–25.10.2026; Tuần 8: 26.10–01.11.2026.</v>
      </c>
      <c r="N14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3" s="17" t="str">
        <f t="shared" si="22"/>
        <v>Còn trống</v>
      </c>
    </row>
    <row r="1434" spans="1:16" x14ac:dyDescent="0.3">
      <c r="A1434">
        <v>1433</v>
      </c>
      <c r="B1434" t="s">
        <v>3231</v>
      </c>
      <c r="C1434" t="s">
        <v>3324</v>
      </c>
      <c r="D1434" t="s">
        <v>3325</v>
      </c>
      <c r="E1434" t="s">
        <v>26</v>
      </c>
      <c r="F1434" t="s">
        <v>3244</v>
      </c>
      <c r="G1434" t="s">
        <v>3278</v>
      </c>
      <c r="H1434" t="str">
        <f>'Huong dan giao do an'!$B$14</f>
        <v>5 SV (vai trò chính): 1 PM/Scrum Master kiêm Integration; 2 BA/PO; 3 UI-UX + Frontend; 4 Backend/API + DevOps; 5 Database + QA/Tester. Mỗi SV có nhiệm vụ phụ và minh chứng cá nhân.</v>
      </c>
      <c r="I1434" t="s">
        <v>22</v>
      </c>
      <c r="J1434" t="s">
        <v>3236</v>
      </c>
      <c r="K1434" t="str">
        <f>IF(I1434="Trung bình",'Huong dan giao do an'!$B$8,IF(I1434="Khá",'Huong dan giao do an'!$B$9,'Huong dan giao do an'!$B$10))</f>
        <v>Tối thiểu 4 actor; 10-14 use case; 8-12 bảng; 3 quy trình lõi; phân quyền chi tiết; 2 báo cáo; tích hợp 1 dịch vụ; &gt;=35 test case; CI/CD hoặc deploy cloud.</v>
      </c>
      <c r="L1434" t="str">
        <f>'Huong dan giao do an'!$B$31</f>
        <v>Bắt buộc: Charter/PMP; SRS + scope/WBS; Gantt/baseline; effort-cost budget; RACI/timesheet; quality-test-defect; communication/minutes; risk register; procurement; change log; closure/lessons learned.</v>
      </c>
      <c r="M1434" t="str">
        <f>'Huong dan giao do an'!$B$33</f>
        <v>Tuần 1: 07.09–13.09.2026; Tuần 2: 14.09–20.09.2026; Tuần 3: 21.09–27.09.2026; Tuần 4: 28.09–04.10.2026; Tuần 5: 05.10–11.10.2026; Tuần 6: 12.10–18.10.2026; Tuần 7: 19.10–25.10.2026; Tuần 8: 26.10–01.11.2026.</v>
      </c>
      <c r="N14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4" s="17" t="str">
        <f t="shared" si="22"/>
        <v>Còn trống</v>
      </c>
    </row>
    <row r="1435" spans="1:16" x14ac:dyDescent="0.3">
      <c r="A1435">
        <v>1434</v>
      </c>
      <c r="B1435" t="s">
        <v>3231</v>
      </c>
      <c r="C1435" t="s">
        <v>3326</v>
      </c>
      <c r="D1435" t="s">
        <v>3327</v>
      </c>
      <c r="E1435" t="s">
        <v>33</v>
      </c>
      <c r="F1435" t="s">
        <v>3249</v>
      </c>
      <c r="G1435" t="s">
        <v>3281</v>
      </c>
      <c r="H1435" t="str">
        <f>'Huong dan giao do an'!$B$14</f>
        <v>5 SV (vai trò chính): 1 PM/Scrum Master kiêm Integration; 2 BA/PO; 3 UI-UX + Frontend; 4 Backend/API + DevOps; 5 Database + QA/Tester. Mỗi SV có nhiệm vụ phụ và minh chứng cá nhân.</v>
      </c>
      <c r="I1435" t="s">
        <v>29</v>
      </c>
      <c r="J1435" t="s">
        <v>3241</v>
      </c>
      <c r="K1435" t="str">
        <f>IF(I1435="Trung bình",'Huong dan giao do an'!$B$8,IF(I1435="Khá",'Huong dan giao do an'!$B$9,'Huong dan giao do an'!$B$10))</f>
        <v>Tối thiểu 5 actor; 14-18 use case; 10-15 bảng; 4 quy trình; tích hợp ngoài/realtime hoặc xử lý nâng cao; 3 báo cáo; &gt;=45 test case; logging, backup và deploy.</v>
      </c>
      <c r="L1435" t="str">
        <f>'Huong dan giao do an'!$B$31</f>
        <v>Bắt buộc: Charter/PMP; SRS + scope/WBS; Gantt/baseline; effort-cost budget; RACI/timesheet; quality-test-defect; communication/minutes; risk register; procurement; change log; closure/lessons learned.</v>
      </c>
      <c r="M1435" t="str">
        <f>'Huong dan giao do an'!$B$33</f>
        <v>Tuần 1: 07.09–13.09.2026; Tuần 2: 14.09–20.09.2026; Tuần 3: 21.09–27.09.2026; Tuần 4: 28.09–04.10.2026; Tuần 5: 05.10–11.10.2026; Tuần 6: 12.10–18.10.2026; Tuần 7: 19.10–25.10.2026; Tuần 8: 26.10–01.11.2026.</v>
      </c>
      <c r="N14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5" s="17" t="str">
        <f t="shared" si="22"/>
        <v>Còn trống</v>
      </c>
    </row>
    <row r="1436" spans="1:16" x14ac:dyDescent="0.3">
      <c r="A1436">
        <v>1435</v>
      </c>
      <c r="B1436" t="s">
        <v>3231</v>
      </c>
      <c r="C1436" t="s">
        <v>3328</v>
      </c>
      <c r="D1436" t="s">
        <v>3329</v>
      </c>
      <c r="E1436" t="s">
        <v>40</v>
      </c>
      <c r="F1436" t="s">
        <v>3253</v>
      </c>
      <c r="G1436" t="s">
        <v>3284</v>
      </c>
      <c r="H1436" t="str">
        <f>'Huong dan giao do an'!$B$14</f>
        <v>5 SV (vai trò chính): 1 PM/Scrum Master kiêm Integration; 2 BA/PO; 3 UI-UX + Frontend; 4 Backend/API + DevOps; 5 Database + QA/Tester. Mỗi SV có nhiệm vụ phụ và minh chứng cá nhân.</v>
      </c>
      <c r="I1436" t="s">
        <v>36</v>
      </c>
      <c r="J1436" t="s">
        <v>3246</v>
      </c>
      <c r="K1436" t="str">
        <f>IF(I1436="Trung bình",'Huong dan giao do an'!$B$8,IF(I1436="Khá",'Huong dan giao do an'!$B$9,'Huong dan giao do an'!$B$10))</f>
        <v>Tối thiểu 3 actor; 8-10 use case; 6-8 bảng dữ liệu; 2 quy trình lõi; đăng nhập/RBAC; 1 dashboard; 1 báo cáo; &gt;=25 test case; triển khai bản demo.</v>
      </c>
      <c r="L1436" t="str">
        <f>'Huong dan giao do an'!$B$31</f>
        <v>Bắt buộc: Charter/PMP; SRS + scope/WBS; Gantt/baseline; effort-cost budget; RACI/timesheet; quality-test-defect; communication/minutes; risk register; procurement; change log; closure/lessons learned.</v>
      </c>
      <c r="M1436" t="str">
        <f>'Huong dan giao do an'!$B$33</f>
        <v>Tuần 1: 07.09–13.09.2026; Tuần 2: 14.09–20.09.2026; Tuần 3: 21.09–27.09.2026; Tuần 4: 28.09–04.10.2026; Tuần 5: 05.10–11.10.2026; Tuần 6: 12.10–18.10.2026; Tuần 7: 19.10–25.10.2026; Tuần 8: 26.10–01.11.2026.</v>
      </c>
      <c r="N14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6" s="17" t="str">
        <f t="shared" si="22"/>
        <v>Còn trống</v>
      </c>
    </row>
    <row r="1437" spans="1:16" x14ac:dyDescent="0.3">
      <c r="A1437">
        <v>1436</v>
      </c>
      <c r="B1437" t="s">
        <v>3231</v>
      </c>
      <c r="C1437" t="s">
        <v>3330</v>
      </c>
      <c r="D1437" t="s">
        <v>3331</v>
      </c>
      <c r="E1437" t="s">
        <v>45</v>
      </c>
      <c r="F1437" t="s">
        <v>3234</v>
      </c>
      <c r="G1437" t="s">
        <v>3287</v>
      </c>
      <c r="H1437" t="str">
        <f>'Huong dan giao do an'!$B$14</f>
        <v>5 SV (vai trò chính): 1 PM/Scrum Master kiêm Integration; 2 BA/PO; 3 UI-UX + Frontend; 4 Backend/API + DevOps; 5 Database + QA/Tester. Mỗi SV có nhiệm vụ phụ và minh chứng cá nhân.</v>
      </c>
      <c r="I1437" t="s">
        <v>22</v>
      </c>
      <c r="J1437" t="s">
        <v>3236</v>
      </c>
      <c r="K1437" t="str">
        <f>IF(I1437="Trung bình",'Huong dan giao do an'!$B$8,IF(I1437="Khá",'Huong dan giao do an'!$B$9,'Huong dan giao do an'!$B$10))</f>
        <v>Tối thiểu 4 actor; 10-14 use case; 8-12 bảng; 3 quy trình lõi; phân quyền chi tiết; 2 báo cáo; tích hợp 1 dịch vụ; &gt;=35 test case; CI/CD hoặc deploy cloud.</v>
      </c>
      <c r="L1437" t="str">
        <f>'Huong dan giao do an'!$B$31</f>
        <v>Bắt buộc: Charter/PMP; SRS + scope/WBS; Gantt/baseline; effort-cost budget; RACI/timesheet; quality-test-defect; communication/minutes; risk register; procurement; change log; closure/lessons learned.</v>
      </c>
      <c r="M1437" t="str">
        <f>'Huong dan giao do an'!$B$33</f>
        <v>Tuần 1: 07.09–13.09.2026; Tuần 2: 14.09–20.09.2026; Tuần 3: 21.09–27.09.2026; Tuần 4: 28.09–04.10.2026; Tuần 5: 05.10–11.10.2026; Tuần 6: 12.10–18.10.2026; Tuần 7: 19.10–25.10.2026; Tuần 8: 26.10–01.11.2026.</v>
      </c>
      <c r="N14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7" s="17" t="str">
        <f t="shared" si="22"/>
        <v>Còn trống</v>
      </c>
    </row>
    <row r="1438" spans="1:16" x14ac:dyDescent="0.3">
      <c r="A1438">
        <v>1437</v>
      </c>
      <c r="B1438" t="s">
        <v>3231</v>
      </c>
      <c r="C1438" t="s">
        <v>3332</v>
      </c>
      <c r="D1438" t="s">
        <v>3333</v>
      </c>
      <c r="E1438" t="s">
        <v>19</v>
      </c>
      <c r="F1438" t="s">
        <v>3239</v>
      </c>
      <c r="G1438" t="s">
        <v>3290</v>
      </c>
      <c r="H1438" t="str">
        <f>'Huong dan giao do an'!$B$14</f>
        <v>5 SV (vai trò chính): 1 PM/Scrum Master kiêm Integration; 2 BA/PO; 3 UI-UX + Frontend; 4 Backend/API + DevOps; 5 Database + QA/Tester. Mỗi SV có nhiệm vụ phụ và minh chứng cá nhân.</v>
      </c>
      <c r="I1438" t="s">
        <v>29</v>
      </c>
      <c r="J1438" t="s">
        <v>3241</v>
      </c>
      <c r="K1438" t="str">
        <f>IF(I1438="Trung bình",'Huong dan giao do an'!$B$8,IF(I1438="Khá",'Huong dan giao do an'!$B$9,'Huong dan giao do an'!$B$10))</f>
        <v>Tối thiểu 5 actor; 14-18 use case; 10-15 bảng; 4 quy trình; tích hợp ngoài/realtime hoặc xử lý nâng cao; 3 báo cáo; &gt;=45 test case; logging, backup và deploy.</v>
      </c>
      <c r="L1438" t="str">
        <f>'Huong dan giao do an'!$B$31</f>
        <v>Bắt buộc: Charter/PMP; SRS + scope/WBS; Gantt/baseline; effort-cost budget; RACI/timesheet; quality-test-defect; communication/minutes; risk register; procurement; change log; closure/lessons learned.</v>
      </c>
      <c r="M1438" t="str">
        <f>'Huong dan giao do an'!$B$33</f>
        <v>Tuần 1: 07.09–13.09.2026; Tuần 2: 14.09–20.09.2026; Tuần 3: 21.09–27.09.2026; Tuần 4: 28.09–04.10.2026; Tuần 5: 05.10–11.10.2026; Tuần 6: 12.10–18.10.2026; Tuần 7: 19.10–25.10.2026; Tuần 8: 26.10–01.11.2026.</v>
      </c>
      <c r="N14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8" s="17" t="str">
        <f t="shared" si="22"/>
        <v>Còn trống</v>
      </c>
    </row>
    <row r="1439" spans="1:16" x14ac:dyDescent="0.3">
      <c r="A1439">
        <v>1438</v>
      </c>
      <c r="B1439" t="s">
        <v>3231</v>
      </c>
      <c r="C1439" t="s">
        <v>3334</v>
      </c>
      <c r="D1439" t="s">
        <v>3335</v>
      </c>
      <c r="E1439" t="s">
        <v>26</v>
      </c>
      <c r="F1439" t="s">
        <v>3244</v>
      </c>
      <c r="G1439" t="s">
        <v>3293</v>
      </c>
      <c r="H1439" t="str">
        <f>'Huong dan giao do an'!$B$14</f>
        <v>5 SV (vai trò chính): 1 PM/Scrum Master kiêm Integration; 2 BA/PO; 3 UI-UX + Frontend; 4 Backend/API + DevOps; 5 Database + QA/Tester. Mỗi SV có nhiệm vụ phụ và minh chứng cá nhân.</v>
      </c>
      <c r="I1439" t="s">
        <v>36</v>
      </c>
      <c r="J1439" t="s">
        <v>3246</v>
      </c>
      <c r="K1439" t="str">
        <f>IF(I1439="Trung bình",'Huong dan giao do an'!$B$8,IF(I1439="Khá",'Huong dan giao do an'!$B$9,'Huong dan giao do an'!$B$10))</f>
        <v>Tối thiểu 3 actor; 8-10 use case; 6-8 bảng dữ liệu; 2 quy trình lõi; đăng nhập/RBAC; 1 dashboard; 1 báo cáo; &gt;=25 test case; triển khai bản demo.</v>
      </c>
      <c r="L1439" t="str">
        <f>'Huong dan giao do an'!$B$31</f>
        <v>Bắt buộc: Charter/PMP; SRS + scope/WBS; Gantt/baseline; effort-cost budget; RACI/timesheet; quality-test-defect; communication/minutes; risk register; procurement; change log; closure/lessons learned.</v>
      </c>
      <c r="M1439" t="str">
        <f>'Huong dan giao do an'!$B$33</f>
        <v>Tuần 1: 07.09–13.09.2026; Tuần 2: 14.09–20.09.2026; Tuần 3: 21.09–27.09.2026; Tuần 4: 28.09–04.10.2026; Tuần 5: 05.10–11.10.2026; Tuần 6: 12.10–18.10.2026; Tuần 7: 19.10–25.10.2026; Tuần 8: 26.10–01.11.2026.</v>
      </c>
      <c r="N14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39" s="17" t="str">
        <f t="shared" si="22"/>
        <v>Còn trống</v>
      </c>
    </row>
    <row r="1440" spans="1:16" x14ac:dyDescent="0.3">
      <c r="A1440">
        <v>1439</v>
      </c>
      <c r="B1440" t="s">
        <v>3231</v>
      </c>
      <c r="C1440" t="s">
        <v>3336</v>
      </c>
      <c r="D1440" t="s">
        <v>3337</v>
      </c>
      <c r="E1440" t="s">
        <v>33</v>
      </c>
      <c r="F1440" t="s">
        <v>3249</v>
      </c>
      <c r="G1440" t="s">
        <v>3296</v>
      </c>
      <c r="H1440" t="str">
        <f>'Huong dan giao do an'!$B$14</f>
        <v>5 SV (vai trò chính): 1 PM/Scrum Master kiêm Integration; 2 BA/PO; 3 UI-UX + Frontend; 4 Backend/API + DevOps; 5 Database + QA/Tester. Mỗi SV có nhiệm vụ phụ và minh chứng cá nhân.</v>
      </c>
      <c r="I1440" t="s">
        <v>22</v>
      </c>
      <c r="J1440" t="s">
        <v>3236</v>
      </c>
      <c r="K1440" t="str">
        <f>IF(I1440="Trung bình",'Huong dan giao do an'!$B$8,IF(I1440="Khá",'Huong dan giao do an'!$B$9,'Huong dan giao do an'!$B$10))</f>
        <v>Tối thiểu 4 actor; 10-14 use case; 8-12 bảng; 3 quy trình lõi; phân quyền chi tiết; 2 báo cáo; tích hợp 1 dịch vụ; &gt;=35 test case; CI/CD hoặc deploy cloud.</v>
      </c>
      <c r="L1440" t="str">
        <f>'Huong dan giao do an'!$B$31</f>
        <v>Bắt buộc: Charter/PMP; SRS + scope/WBS; Gantt/baseline; effort-cost budget; RACI/timesheet; quality-test-defect; communication/minutes; risk register; procurement; change log; closure/lessons learned.</v>
      </c>
      <c r="M1440" t="str">
        <f>'Huong dan giao do an'!$B$33</f>
        <v>Tuần 1: 07.09–13.09.2026; Tuần 2: 14.09–20.09.2026; Tuần 3: 21.09–27.09.2026; Tuần 4: 28.09–04.10.2026; Tuần 5: 05.10–11.10.2026; Tuần 6: 12.10–18.10.2026; Tuần 7: 19.10–25.10.2026; Tuần 8: 26.10–01.11.2026.</v>
      </c>
      <c r="N14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0" s="17" t="str">
        <f t="shared" si="22"/>
        <v>Còn trống</v>
      </c>
    </row>
    <row r="1441" spans="1:16" x14ac:dyDescent="0.3">
      <c r="A1441">
        <v>1440</v>
      </c>
      <c r="B1441" t="s">
        <v>3231</v>
      </c>
      <c r="C1441" t="s">
        <v>3338</v>
      </c>
      <c r="D1441" t="s">
        <v>3339</v>
      </c>
      <c r="E1441" t="s">
        <v>40</v>
      </c>
      <c r="F1441" t="s">
        <v>3253</v>
      </c>
      <c r="G1441" t="s">
        <v>3299</v>
      </c>
      <c r="H1441" t="str">
        <f>'Huong dan giao do an'!$B$14</f>
        <v>5 SV (vai trò chính): 1 PM/Scrum Master kiêm Integration; 2 BA/PO; 3 UI-UX + Frontend; 4 Backend/API + DevOps; 5 Database + QA/Tester. Mỗi SV có nhiệm vụ phụ và minh chứng cá nhân.</v>
      </c>
      <c r="I1441" t="s">
        <v>29</v>
      </c>
      <c r="J1441" t="s">
        <v>3241</v>
      </c>
      <c r="K1441" t="str">
        <f>IF(I1441="Trung bình",'Huong dan giao do an'!$B$8,IF(I1441="Khá",'Huong dan giao do an'!$B$9,'Huong dan giao do an'!$B$10))</f>
        <v>Tối thiểu 5 actor; 14-18 use case; 10-15 bảng; 4 quy trình; tích hợp ngoài/realtime hoặc xử lý nâng cao; 3 báo cáo; &gt;=45 test case; logging, backup và deploy.</v>
      </c>
      <c r="L1441" t="str">
        <f>'Huong dan giao do an'!$B$31</f>
        <v>Bắt buộc: Charter/PMP; SRS + scope/WBS; Gantt/baseline; effort-cost budget; RACI/timesheet; quality-test-defect; communication/minutes; risk register; procurement; change log; closure/lessons learned.</v>
      </c>
      <c r="M1441" t="str">
        <f>'Huong dan giao do an'!$B$33</f>
        <v>Tuần 1: 07.09–13.09.2026; Tuần 2: 14.09–20.09.2026; Tuần 3: 21.09–27.09.2026; Tuần 4: 28.09–04.10.2026; Tuần 5: 05.10–11.10.2026; Tuần 6: 12.10–18.10.2026; Tuần 7: 19.10–25.10.2026; Tuần 8: 26.10–01.11.2026.</v>
      </c>
      <c r="N14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1" s="17" t="str">
        <f t="shared" si="22"/>
        <v>Còn trống</v>
      </c>
    </row>
    <row r="1442" spans="1:16" x14ac:dyDescent="0.3">
      <c r="A1442">
        <v>1441</v>
      </c>
      <c r="B1442" t="s">
        <v>3231</v>
      </c>
      <c r="C1442" t="s">
        <v>3340</v>
      </c>
      <c r="D1442" t="s">
        <v>3341</v>
      </c>
      <c r="E1442" t="s">
        <v>45</v>
      </c>
      <c r="F1442" t="s">
        <v>3234</v>
      </c>
      <c r="G1442" t="s">
        <v>3235</v>
      </c>
      <c r="H1442" t="str">
        <f>'Huong dan giao do an'!$B$14</f>
        <v>5 SV (vai trò chính): 1 PM/Scrum Master kiêm Integration; 2 BA/PO; 3 UI-UX + Frontend; 4 Backend/API + DevOps; 5 Database + QA/Tester. Mỗi SV có nhiệm vụ phụ và minh chứng cá nhân.</v>
      </c>
      <c r="I1442" t="s">
        <v>22</v>
      </c>
      <c r="J1442" t="s">
        <v>3236</v>
      </c>
      <c r="K1442" t="str">
        <f>IF(I1442="Trung bình",'Huong dan giao do an'!$B$8,IF(I1442="Khá",'Huong dan giao do an'!$B$9,'Huong dan giao do an'!$B$10))</f>
        <v>Tối thiểu 4 actor; 10-14 use case; 8-12 bảng; 3 quy trình lõi; phân quyền chi tiết; 2 báo cáo; tích hợp 1 dịch vụ; &gt;=35 test case; CI/CD hoặc deploy cloud.</v>
      </c>
      <c r="L1442" t="str">
        <f>'Huong dan giao do an'!$B$31</f>
        <v>Bắt buộc: Charter/PMP; SRS + scope/WBS; Gantt/baseline; effort-cost budget; RACI/timesheet; quality-test-defect; communication/minutes; risk register; procurement; change log; closure/lessons learned.</v>
      </c>
      <c r="M1442" t="str">
        <f>'Huong dan giao do an'!$B$33</f>
        <v>Tuần 1: 07.09–13.09.2026; Tuần 2: 14.09–20.09.2026; Tuần 3: 21.09–27.09.2026; Tuần 4: 28.09–04.10.2026; Tuần 5: 05.10–11.10.2026; Tuần 6: 12.10–18.10.2026; Tuần 7: 19.10–25.10.2026; Tuần 8: 26.10–01.11.2026.</v>
      </c>
      <c r="N14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2" s="17" t="str">
        <f t="shared" si="22"/>
        <v>Còn trống</v>
      </c>
    </row>
    <row r="1443" spans="1:16" x14ac:dyDescent="0.3">
      <c r="A1443">
        <v>1442</v>
      </c>
      <c r="B1443" t="s">
        <v>3231</v>
      </c>
      <c r="C1443" t="s">
        <v>3342</v>
      </c>
      <c r="D1443" t="s">
        <v>3343</v>
      </c>
      <c r="E1443" t="s">
        <v>19</v>
      </c>
      <c r="F1443" t="s">
        <v>3239</v>
      </c>
      <c r="G1443" t="s">
        <v>3240</v>
      </c>
      <c r="H1443" t="str">
        <f>'Huong dan giao do an'!$B$14</f>
        <v>5 SV (vai trò chính): 1 PM/Scrum Master kiêm Integration; 2 BA/PO; 3 UI-UX + Frontend; 4 Backend/API + DevOps; 5 Database + QA/Tester. Mỗi SV có nhiệm vụ phụ và minh chứng cá nhân.</v>
      </c>
      <c r="I1443" t="s">
        <v>29</v>
      </c>
      <c r="J1443" t="s">
        <v>3241</v>
      </c>
      <c r="K1443" t="str">
        <f>IF(I1443="Trung bình",'Huong dan giao do an'!$B$8,IF(I1443="Khá",'Huong dan giao do an'!$B$9,'Huong dan giao do an'!$B$10))</f>
        <v>Tối thiểu 5 actor; 14-18 use case; 10-15 bảng; 4 quy trình; tích hợp ngoài/realtime hoặc xử lý nâng cao; 3 báo cáo; &gt;=45 test case; logging, backup và deploy.</v>
      </c>
      <c r="L1443" t="str">
        <f>'Huong dan giao do an'!$B$31</f>
        <v>Bắt buộc: Charter/PMP; SRS + scope/WBS; Gantt/baseline; effort-cost budget; RACI/timesheet; quality-test-defect; communication/minutes; risk register; procurement; change log; closure/lessons learned.</v>
      </c>
      <c r="M1443" t="str">
        <f>'Huong dan giao do an'!$B$33</f>
        <v>Tuần 1: 07.09–13.09.2026; Tuần 2: 14.09–20.09.2026; Tuần 3: 21.09–27.09.2026; Tuần 4: 28.09–04.10.2026; Tuần 5: 05.10–11.10.2026; Tuần 6: 12.10–18.10.2026; Tuần 7: 19.10–25.10.2026; Tuần 8: 26.10–01.11.2026.</v>
      </c>
      <c r="N14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3" s="17" t="str">
        <f t="shared" si="22"/>
        <v>Còn trống</v>
      </c>
    </row>
    <row r="1444" spans="1:16" x14ac:dyDescent="0.3">
      <c r="A1444">
        <v>1443</v>
      </c>
      <c r="B1444" t="s">
        <v>3231</v>
      </c>
      <c r="C1444" t="s">
        <v>3344</v>
      </c>
      <c r="D1444" t="s">
        <v>3345</v>
      </c>
      <c r="E1444" t="s">
        <v>26</v>
      </c>
      <c r="F1444" t="s">
        <v>3244</v>
      </c>
      <c r="G1444" t="s">
        <v>3245</v>
      </c>
      <c r="H1444" t="str">
        <f>'Huong dan giao do an'!$B$14</f>
        <v>5 SV (vai trò chính): 1 PM/Scrum Master kiêm Integration; 2 BA/PO; 3 UI-UX + Frontend; 4 Backend/API + DevOps; 5 Database + QA/Tester. Mỗi SV có nhiệm vụ phụ và minh chứng cá nhân.</v>
      </c>
      <c r="I1444" t="s">
        <v>36</v>
      </c>
      <c r="J1444" t="s">
        <v>3246</v>
      </c>
      <c r="K1444" t="str">
        <f>IF(I1444="Trung bình",'Huong dan giao do an'!$B$8,IF(I1444="Khá",'Huong dan giao do an'!$B$9,'Huong dan giao do an'!$B$10))</f>
        <v>Tối thiểu 3 actor; 8-10 use case; 6-8 bảng dữ liệu; 2 quy trình lõi; đăng nhập/RBAC; 1 dashboard; 1 báo cáo; &gt;=25 test case; triển khai bản demo.</v>
      </c>
      <c r="L1444" t="str">
        <f>'Huong dan giao do an'!$B$31</f>
        <v>Bắt buộc: Charter/PMP; SRS + scope/WBS; Gantt/baseline; effort-cost budget; RACI/timesheet; quality-test-defect; communication/minutes; risk register; procurement; change log; closure/lessons learned.</v>
      </c>
      <c r="M1444" t="str">
        <f>'Huong dan giao do an'!$B$33</f>
        <v>Tuần 1: 07.09–13.09.2026; Tuần 2: 14.09–20.09.2026; Tuần 3: 21.09–27.09.2026; Tuần 4: 28.09–04.10.2026; Tuần 5: 05.10–11.10.2026; Tuần 6: 12.10–18.10.2026; Tuần 7: 19.10–25.10.2026; Tuần 8: 26.10–01.11.2026.</v>
      </c>
      <c r="N14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4" s="17" t="str">
        <f t="shared" si="22"/>
        <v>Còn trống</v>
      </c>
    </row>
    <row r="1445" spans="1:16" x14ac:dyDescent="0.3">
      <c r="A1445">
        <v>1444</v>
      </c>
      <c r="B1445" t="s">
        <v>3231</v>
      </c>
      <c r="C1445" t="s">
        <v>3346</v>
      </c>
      <c r="D1445" t="s">
        <v>3347</v>
      </c>
      <c r="E1445" t="s">
        <v>33</v>
      </c>
      <c r="F1445" t="s">
        <v>3249</v>
      </c>
      <c r="G1445" t="s">
        <v>3250</v>
      </c>
      <c r="H1445" t="str">
        <f>'Huong dan giao do an'!$B$14</f>
        <v>5 SV (vai trò chính): 1 PM/Scrum Master kiêm Integration; 2 BA/PO; 3 UI-UX + Frontend; 4 Backend/API + DevOps; 5 Database + QA/Tester. Mỗi SV có nhiệm vụ phụ và minh chứng cá nhân.</v>
      </c>
      <c r="I1445" t="s">
        <v>22</v>
      </c>
      <c r="J1445" t="s">
        <v>3236</v>
      </c>
      <c r="K1445" t="str">
        <f>IF(I1445="Trung bình",'Huong dan giao do an'!$B$8,IF(I1445="Khá",'Huong dan giao do an'!$B$9,'Huong dan giao do an'!$B$10))</f>
        <v>Tối thiểu 4 actor; 10-14 use case; 8-12 bảng; 3 quy trình lõi; phân quyền chi tiết; 2 báo cáo; tích hợp 1 dịch vụ; &gt;=35 test case; CI/CD hoặc deploy cloud.</v>
      </c>
      <c r="L1445" t="str">
        <f>'Huong dan giao do an'!$B$31</f>
        <v>Bắt buộc: Charter/PMP; SRS + scope/WBS; Gantt/baseline; effort-cost budget; RACI/timesheet; quality-test-defect; communication/minutes; risk register; procurement; change log; closure/lessons learned.</v>
      </c>
      <c r="M1445" t="str">
        <f>'Huong dan giao do an'!$B$33</f>
        <v>Tuần 1: 07.09–13.09.2026; Tuần 2: 14.09–20.09.2026; Tuần 3: 21.09–27.09.2026; Tuần 4: 28.09–04.10.2026; Tuần 5: 05.10–11.10.2026; Tuần 6: 12.10–18.10.2026; Tuần 7: 19.10–25.10.2026; Tuần 8: 26.10–01.11.2026.</v>
      </c>
      <c r="N14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5" s="17" t="str">
        <f t="shared" si="22"/>
        <v>Còn trống</v>
      </c>
    </row>
    <row r="1446" spans="1:16" x14ac:dyDescent="0.3">
      <c r="A1446">
        <v>1445</v>
      </c>
      <c r="B1446" t="s">
        <v>3231</v>
      </c>
      <c r="C1446" t="s">
        <v>3348</v>
      </c>
      <c r="D1446" t="s">
        <v>3349</v>
      </c>
      <c r="E1446" t="s">
        <v>40</v>
      </c>
      <c r="F1446" t="s">
        <v>3253</v>
      </c>
      <c r="G1446" t="s">
        <v>3254</v>
      </c>
      <c r="H1446" t="str">
        <f>'Huong dan giao do an'!$B$14</f>
        <v>5 SV (vai trò chính): 1 PM/Scrum Master kiêm Integration; 2 BA/PO; 3 UI-UX + Frontend; 4 Backend/API + DevOps; 5 Database + QA/Tester. Mỗi SV có nhiệm vụ phụ và minh chứng cá nhân.</v>
      </c>
      <c r="I1446" t="s">
        <v>29</v>
      </c>
      <c r="J1446" t="s">
        <v>3241</v>
      </c>
      <c r="K1446" t="str">
        <f>IF(I1446="Trung bình",'Huong dan giao do an'!$B$8,IF(I1446="Khá",'Huong dan giao do an'!$B$9,'Huong dan giao do an'!$B$10))</f>
        <v>Tối thiểu 5 actor; 14-18 use case; 10-15 bảng; 4 quy trình; tích hợp ngoài/realtime hoặc xử lý nâng cao; 3 báo cáo; &gt;=45 test case; logging, backup và deploy.</v>
      </c>
      <c r="L1446" t="str">
        <f>'Huong dan giao do an'!$B$31</f>
        <v>Bắt buộc: Charter/PMP; SRS + scope/WBS; Gantt/baseline; effort-cost budget; RACI/timesheet; quality-test-defect; communication/minutes; risk register; procurement; change log; closure/lessons learned.</v>
      </c>
      <c r="M1446" t="str">
        <f>'Huong dan giao do an'!$B$33</f>
        <v>Tuần 1: 07.09–13.09.2026; Tuần 2: 14.09–20.09.2026; Tuần 3: 21.09–27.09.2026; Tuần 4: 28.09–04.10.2026; Tuần 5: 05.10–11.10.2026; Tuần 6: 12.10–18.10.2026; Tuần 7: 19.10–25.10.2026; Tuần 8: 26.10–01.11.2026.</v>
      </c>
      <c r="N14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6" s="17" t="str">
        <f t="shared" si="22"/>
        <v>Còn trống</v>
      </c>
    </row>
    <row r="1447" spans="1:16" x14ac:dyDescent="0.3">
      <c r="A1447">
        <v>1446</v>
      </c>
      <c r="B1447" t="s">
        <v>3231</v>
      </c>
      <c r="C1447" t="s">
        <v>3350</v>
      </c>
      <c r="D1447" t="s">
        <v>3351</v>
      </c>
      <c r="E1447" t="s">
        <v>45</v>
      </c>
      <c r="F1447" t="s">
        <v>3234</v>
      </c>
      <c r="G1447" t="s">
        <v>3257</v>
      </c>
      <c r="H1447" t="str">
        <f>'Huong dan giao do an'!$B$14</f>
        <v>5 SV (vai trò chính): 1 PM/Scrum Master kiêm Integration; 2 BA/PO; 3 UI-UX + Frontend; 4 Backend/API + DevOps; 5 Database + QA/Tester. Mỗi SV có nhiệm vụ phụ và minh chứng cá nhân.</v>
      </c>
      <c r="I1447" t="s">
        <v>36</v>
      </c>
      <c r="J1447" t="s">
        <v>3246</v>
      </c>
      <c r="K1447" t="str">
        <f>IF(I1447="Trung bình",'Huong dan giao do an'!$B$8,IF(I1447="Khá",'Huong dan giao do an'!$B$9,'Huong dan giao do an'!$B$10))</f>
        <v>Tối thiểu 3 actor; 8-10 use case; 6-8 bảng dữ liệu; 2 quy trình lõi; đăng nhập/RBAC; 1 dashboard; 1 báo cáo; &gt;=25 test case; triển khai bản demo.</v>
      </c>
      <c r="L1447" t="str">
        <f>'Huong dan giao do an'!$B$31</f>
        <v>Bắt buộc: Charter/PMP; SRS + scope/WBS; Gantt/baseline; effort-cost budget; RACI/timesheet; quality-test-defect; communication/minutes; risk register; procurement; change log; closure/lessons learned.</v>
      </c>
      <c r="M1447" t="str">
        <f>'Huong dan giao do an'!$B$33</f>
        <v>Tuần 1: 07.09–13.09.2026; Tuần 2: 14.09–20.09.2026; Tuần 3: 21.09–27.09.2026; Tuần 4: 28.09–04.10.2026; Tuần 5: 05.10–11.10.2026; Tuần 6: 12.10–18.10.2026; Tuần 7: 19.10–25.10.2026; Tuần 8: 26.10–01.11.2026.</v>
      </c>
      <c r="N14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7" s="17" t="str">
        <f t="shared" si="22"/>
        <v>Còn trống</v>
      </c>
    </row>
    <row r="1448" spans="1:16" x14ac:dyDescent="0.3">
      <c r="A1448">
        <v>1447</v>
      </c>
      <c r="B1448" t="s">
        <v>3231</v>
      </c>
      <c r="C1448" t="s">
        <v>3352</v>
      </c>
      <c r="D1448" t="s">
        <v>3353</v>
      </c>
      <c r="E1448" t="s">
        <v>19</v>
      </c>
      <c r="F1448" t="s">
        <v>3239</v>
      </c>
      <c r="G1448" t="s">
        <v>3260</v>
      </c>
      <c r="H1448" t="str">
        <f>'Huong dan giao do an'!$B$14</f>
        <v>5 SV (vai trò chính): 1 PM/Scrum Master kiêm Integration; 2 BA/PO; 3 UI-UX + Frontend; 4 Backend/API + DevOps; 5 Database + QA/Tester. Mỗi SV có nhiệm vụ phụ và minh chứng cá nhân.</v>
      </c>
      <c r="I1448" t="s">
        <v>22</v>
      </c>
      <c r="J1448" t="s">
        <v>3236</v>
      </c>
      <c r="K1448" t="str">
        <f>IF(I1448="Trung bình",'Huong dan giao do an'!$B$8,IF(I1448="Khá",'Huong dan giao do an'!$B$9,'Huong dan giao do an'!$B$10))</f>
        <v>Tối thiểu 4 actor; 10-14 use case; 8-12 bảng; 3 quy trình lõi; phân quyền chi tiết; 2 báo cáo; tích hợp 1 dịch vụ; &gt;=35 test case; CI/CD hoặc deploy cloud.</v>
      </c>
      <c r="L1448" t="str">
        <f>'Huong dan giao do an'!$B$31</f>
        <v>Bắt buộc: Charter/PMP; SRS + scope/WBS; Gantt/baseline; effort-cost budget; RACI/timesheet; quality-test-defect; communication/minutes; risk register; procurement; change log; closure/lessons learned.</v>
      </c>
      <c r="M1448" t="str">
        <f>'Huong dan giao do an'!$B$33</f>
        <v>Tuần 1: 07.09–13.09.2026; Tuần 2: 14.09–20.09.2026; Tuần 3: 21.09–27.09.2026; Tuần 4: 28.09–04.10.2026; Tuần 5: 05.10–11.10.2026; Tuần 6: 12.10–18.10.2026; Tuần 7: 19.10–25.10.2026; Tuần 8: 26.10–01.11.2026.</v>
      </c>
      <c r="N14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8" s="17" t="str">
        <f t="shared" si="22"/>
        <v>Còn trống</v>
      </c>
    </row>
    <row r="1449" spans="1:16" x14ac:dyDescent="0.3">
      <c r="A1449">
        <v>1448</v>
      </c>
      <c r="B1449" t="s">
        <v>3231</v>
      </c>
      <c r="C1449" t="s">
        <v>3354</v>
      </c>
      <c r="D1449" t="s">
        <v>3355</v>
      </c>
      <c r="E1449" t="s">
        <v>26</v>
      </c>
      <c r="F1449" t="s">
        <v>3244</v>
      </c>
      <c r="G1449" t="s">
        <v>3263</v>
      </c>
      <c r="H1449" t="str">
        <f>'Huong dan giao do an'!$B$14</f>
        <v>5 SV (vai trò chính): 1 PM/Scrum Master kiêm Integration; 2 BA/PO; 3 UI-UX + Frontend; 4 Backend/API + DevOps; 5 Database + QA/Tester. Mỗi SV có nhiệm vụ phụ và minh chứng cá nhân.</v>
      </c>
      <c r="I1449" t="s">
        <v>29</v>
      </c>
      <c r="J1449" t="s">
        <v>3241</v>
      </c>
      <c r="K1449" t="str">
        <f>IF(I1449="Trung bình",'Huong dan giao do an'!$B$8,IF(I1449="Khá",'Huong dan giao do an'!$B$9,'Huong dan giao do an'!$B$10))</f>
        <v>Tối thiểu 5 actor; 14-18 use case; 10-15 bảng; 4 quy trình; tích hợp ngoài/realtime hoặc xử lý nâng cao; 3 báo cáo; &gt;=45 test case; logging, backup và deploy.</v>
      </c>
      <c r="L1449" t="str">
        <f>'Huong dan giao do an'!$B$31</f>
        <v>Bắt buộc: Charter/PMP; SRS + scope/WBS; Gantt/baseline; effort-cost budget; RACI/timesheet; quality-test-defect; communication/minutes; risk register; procurement; change log; closure/lessons learned.</v>
      </c>
      <c r="M1449" t="str">
        <f>'Huong dan giao do an'!$B$33</f>
        <v>Tuần 1: 07.09–13.09.2026; Tuần 2: 14.09–20.09.2026; Tuần 3: 21.09–27.09.2026; Tuần 4: 28.09–04.10.2026; Tuần 5: 05.10–11.10.2026; Tuần 6: 12.10–18.10.2026; Tuần 7: 19.10–25.10.2026; Tuần 8: 26.10–01.11.2026.</v>
      </c>
      <c r="N14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49" s="17" t="str">
        <f t="shared" si="22"/>
        <v>Còn trống</v>
      </c>
    </row>
    <row r="1450" spans="1:16" x14ac:dyDescent="0.3">
      <c r="A1450">
        <v>1449</v>
      </c>
      <c r="B1450" t="s">
        <v>3231</v>
      </c>
      <c r="C1450" t="s">
        <v>3356</v>
      </c>
      <c r="D1450" t="s">
        <v>3357</v>
      </c>
      <c r="E1450" t="s">
        <v>33</v>
      </c>
      <c r="F1450" t="s">
        <v>3249</v>
      </c>
      <c r="G1450" t="s">
        <v>3266</v>
      </c>
      <c r="H1450" t="str">
        <f>'Huong dan giao do an'!$B$14</f>
        <v>5 SV (vai trò chính): 1 PM/Scrum Master kiêm Integration; 2 BA/PO; 3 UI-UX + Frontend; 4 Backend/API + DevOps; 5 Database + QA/Tester. Mỗi SV có nhiệm vụ phụ và minh chứng cá nhân.</v>
      </c>
      <c r="I1450" t="s">
        <v>36</v>
      </c>
      <c r="J1450" t="s">
        <v>3246</v>
      </c>
      <c r="K1450" t="str">
        <f>IF(I1450="Trung bình",'Huong dan giao do an'!$B$8,IF(I1450="Khá",'Huong dan giao do an'!$B$9,'Huong dan giao do an'!$B$10))</f>
        <v>Tối thiểu 3 actor; 8-10 use case; 6-8 bảng dữ liệu; 2 quy trình lõi; đăng nhập/RBAC; 1 dashboard; 1 báo cáo; &gt;=25 test case; triển khai bản demo.</v>
      </c>
      <c r="L1450" t="str">
        <f>'Huong dan giao do an'!$B$31</f>
        <v>Bắt buộc: Charter/PMP; SRS + scope/WBS; Gantt/baseline; effort-cost budget; RACI/timesheet; quality-test-defect; communication/minutes; risk register; procurement; change log; closure/lessons learned.</v>
      </c>
      <c r="M1450" t="str">
        <f>'Huong dan giao do an'!$B$33</f>
        <v>Tuần 1: 07.09–13.09.2026; Tuần 2: 14.09–20.09.2026; Tuần 3: 21.09–27.09.2026; Tuần 4: 28.09–04.10.2026; Tuần 5: 05.10–11.10.2026; Tuần 6: 12.10–18.10.2026; Tuần 7: 19.10–25.10.2026; Tuần 8: 26.10–01.11.2026.</v>
      </c>
      <c r="N14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0" s="17" t="str">
        <f t="shared" si="22"/>
        <v>Còn trống</v>
      </c>
    </row>
    <row r="1451" spans="1:16" x14ac:dyDescent="0.3">
      <c r="A1451">
        <v>1450</v>
      </c>
      <c r="B1451" t="s">
        <v>3231</v>
      </c>
      <c r="C1451" t="s">
        <v>3358</v>
      </c>
      <c r="D1451" t="s">
        <v>3359</v>
      </c>
      <c r="E1451" t="s">
        <v>40</v>
      </c>
      <c r="F1451" t="s">
        <v>3253</v>
      </c>
      <c r="G1451" t="s">
        <v>3269</v>
      </c>
      <c r="H1451" t="str">
        <f>'Huong dan giao do an'!$B$14</f>
        <v>5 SV (vai trò chính): 1 PM/Scrum Master kiêm Integration; 2 BA/PO; 3 UI-UX + Frontend; 4 Backend/API + DevOps; 5 Database + QA/Tester. Mỗi SV có nhiệm vụ phụ và minh chứng cá nhân.</v>
      </c>
      <c r="I1451" t="s">
        <v>22</v>
      </c>
      <c r="J1451" t="s">
        <v>3236</v>
      </c>
      <c r="K1451" t="str">
        <f>IF(I1451="Trung bình",'Huong dan giao do an'!$B$8,IF(I1451="Khá",'Huong dan giao do an'!$B$9,'Huong dan giao do an'!$B$10))</f>
        <v>Tối thiểu 4 actor; 10-14 use case; 8-12 bảng; 3 quy trình lõi; phân quyền chi tiết; 2 báo cáo; tích hợp 1 dịch vụ; &gt;=35 test case; CI/CD hoặc deploy cloud.</v>
      </c>
      <c r="L1451" t="str">
        <f>'Huong dan giao do an'!$B$31</f>
        <v>Bắt buộc: Charter/PMP; SRS + scope/WBS; Gantt/baseline; effort-cost budget; RACI/timesheet; quality-test-defect; communication/minutes; risk register; procurement; change log; closure/lessons learned.</v>
      </c>
      <c r="M1451" t="str">
        <f>'Huong dan giao do an'!$B$33</f>
        <v>Tuần 1: 07.09–13.09.2026; Tuần 2: 14.09–20.09.2026; Tuần 3: 21.09–27.09.2026; Tuần 4: 28.09–04.10.2026; Tuần 5: 05.10–11.10.2026; Tuần 6: 12.10–18.10.2026; Tuần 7: 19.10–25.10.2026; Tuần 8: 26.10–01.11.2026.</v>
      </c>
      <c r="N14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1" s="17" t="str">
        <f t="shared" si="22"/>
        <v>Còn trống</v>
      </c>
    </row>
    <row r="1452" spans="1:16" x14ac:dyDescent="0.3">
      <c r="A1452">
        <v>1451</v>
      </c>
      <c r="B1452" t="s">
        <v>3231</v>
      </c>
      <c r="C1452" t="s">
        <v>3360</v>
      </c>
      <c r="D1452" t="s">
        <v>3361</v>
      </c>
      <c r="E1452" t="s">
        <v>45</v>
      </c>
      <c r="F1452" t="s">
        <v>3234</v>
      </c>
      <c r="G1452" t="s">
        <v>3272</v>
      </c>
      <c r="H1452" t="str">
        <f>'Huong dan giao do an'!$B$14</f>
        <v>5 SV (vai trò chính): 1 PM/Scrum Master kiêm Integration; 2 BA/PO; 3 UI-UX + Frontend; 4 Backend/API + DevOps; 5 Database + QA/Tester. Mỗi SV có nhiệm vụ phụ và minh chứng cá nhân.</v>
      </c>
      <c r="I1452" t="s">
        <v>29</v>
      </c>
      <c r="J1452" t="s">
        <v>3241</v>
      </c>
      <c r="K1452" t="str">
        <f>IF(I1452="Trung bình",'Huong dan giao do an'!$B$8,IF(I1452="Khá",'Huong dan giao do an'!$B$9,'Huong dan giao do an'!$B$10))</f>
        <v>Tối thiểu 5 actor; 14-18 use case; 10-15 bảng; 4 quy trình; tích hợp ngoài/realtime hoặc xử lý nâng cao; 3 báo cáo; &gt;=45 test case; logging, backup và deploy.</v>
      </c>
      <c r="L1452" t="str">
        <f>'Huong dan giao do an'!$B$31</f>
        <v>Bắt buộc: Charter/PMP; SRS + scope/WBS; Gantt/baseline; effort-cost budget; RACI/timesheet; quality-test-defect; communication/minutes; risk register; procurement; change log; closure/lessons learned.</v>
      </c>
      <c r="M1452" t="str">
        <f>'Huong dan giao do an'!$B$33</f>
        <v>Tuần 1: 07.09–13.09.2026; Tuần 2: 14.09–20.09.2026; Tuần 3: 21.09–27.09.2026; Tuần 4: 28.09–04.10.2026; Tuần 5: 05.10–11.10.2026; Tuần 6: 12.10–18.10.2026; Tuần 7: 19.10–25.10.2026; Tuần 8: 26.10–01.11.2026.</v>
      </c>
      <c r="N14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2" s="17" t="str">
        <f t="shared" si="22"/>
        <v>Còn trống</v>
      </c>
    </row>
    <row r="1453" spans="1:16" x14ac:dyDescent="0.3">
      <c r="A1453">
        <v>1452</v>
      </c>
      <c r="B1453" t="s">
        <v>3231</v>
      </c>
      <c r="C1453" t="s">
        <v>3362</v>
      </c>
      <c r="D1453" t="s">
        <v>3363</v>
      </c>
      <c r="E1453" t="s">
        <v>19</v>
      </c>
      <c r="F1453" t="s">
        <v>3239</v>
      </c>
      <c r="G1453" t="s">
        <v>3275</v>
      </c>
      <c r="H1453" t="str">
        <f>'Huong dan giao do an'!$B$14</f>
        <v>5 SV (vai trò chính): 1 PM/Scrum Master kiêm Integration; 2 BA/PO; 3 UI-UX + Frontend; 4 Backend/API + DevOps; 5 Database + QA/Tester. Mỗi SV có nhiệm vụ phụ và minh chứng cá nhân.</v>
      </c>
      <c r="I1453" t="s">
        <v>36</v>
      </c>
      <c r="J1453" t="s">
        <v>3246</v>
      </c>
      <c r="K1453" t="str">
        <f>IF(I1453="Trung bình",'Huong dan giao do an'!$B$8,IF(I1453="Khá",'Huong dan giao do an'!$B$9,'Huong dan giao do an'!$B$10))</f>
        <v>Tối thiểu 3 actor; 8-10 use case; 6-8 bảng dữ liệu; 2 quy trình lõi; đăng nhập/RBAC; 1 dashboard; 1 báo cáo; &gt;=25 test case; triển khai bản demo.</v>
      </c>
      <c r="L1453" t="str">
        <f>'Huong dan giao do an'!$B$31</f>
        <v>Bắt buộc: Charter/PMP; SRS + scope/WBS; Gantt/baseline; effort-cost budget; RACI/timesheet; quality-test-defect; communication/minutes; risk register; procurement; change log; closure/lessons learned.</v>
      </c>
      <c r="M1453" t="str">
        <f>'Huong dan giao do an'!$B$33</f>
        <v>Tuần 1: 07.09–13.09.2026; Tuần 2: 14.09–20.09.2026; Tuần 3: 21.09–27.09.2026; Tuần 4: 28.09–04.10.2026; Tuần 5: 05.10–11.10.2026; Tuần 6: 12.10–18.10.2026; Tuần 7: 19.10–25.10.2026; Tuần 8: 26.10–01.11.2026.</v>
      </c>
      <c r="N14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3" s="17" t="str">
        <f t="shared" si="22"/>
        <v>Còn trống</v>
      </c>
    </row>
    <row r="1454" spans="1:16" x14ac:dyDescent="0.3">
      <c r="A1454">
        <v>1453</v>
      </c>
      <c r="B1454" t="s">
        <v>3231</v>
      </c>
      <c r="C1454" t="s">
        <v>3364</v>
      </c>
      <c r="D1454" t="s">
        <v>3365</v>
      </c>
      <c r="E1454" t="s">
        <v>26</v>
      </c>
      <c r="F1454" t="s">
        <v>3244</v>
      </c>
      <c r="G1454" t="s">
        <v>3278</v>
      </c>
      <c r="H1454" t="str">
        <f>'Huong dan giao do an'!$B$14</f>
        <v>5 SV (vai trò chính): 1 PM/Scrum Master kiêm Integration; 2 BA/PO; 3 UI-UX + Frontend; 4 Backend/API + DevOps; 5 Database + QA/Tester. Mỗi SV có nhiệm vụ phụ và minh chứng cá nhân.</v>
      </c>
      <c r="I1454" t="s">
        <v>22</v>
      </c>
      <c r="J1454" t="s">
        <v>3236</v>
      </c>
      <c r="K1454" t="str">
        <f>IF(I1454="Trung bình",'Huong dan giao do an'!$B$8,IF(I1454="Khá",'Huong dan giao do an'!$B$9,'Huong dan giao do an'!$B$10))</f>
        <v>Tối thiểu 4 actor; 10-14 use case; 8-12 bảng; 3 quy trình lõi; phân quyền chi tiết; 2 báo cáo; tích hợp 1 dịch vụ; &gt;=35 test case; CI/CD hoặc deploy cloud.</v>
      </c>
      <c r="L1454" t="str">
        <f>'Huong dan giao do an'!$B$31</f>
        <v>Bắt buộc: Charter/PMP; SRS + scope/WBS; Gantt/baseline; effort-cost budget; RACI/timesheet; quality-test-defect; communication/minutes; risk register; procurement; change log; closure/lessons learned.</v>
      </c>
      <c r="M1454" t="str">
        <f>'Huong dan giao do an'!$B$33</f>
        <v>Tuần 1: 07.09–13.09.2026; Tuần 2: 14.09–20.09.2026; Tuần 3: 21.09–27.09.2026; Tuần 4: 28.09–04.10.2026; Tuần 5: 05.10–11.10.2026; Tuần 6: 12.10–18.10.2026; Tuần 7: 19.10–25.10.2026; Tuần 8: 26.10–01.11.2026.</v>
      </c>
      <c r="N14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4" s="17" t="str">
        <f t="shared" si="22"/>
        <v>Còn trống</v>
      </c>
    </row>
    <row r="1455" spans="1:16" x14ac:dyDescent="0.3">
      <c r="A1455">
        <v>1454</v>
      </c>
      <c r="B1455" t="s">
        <v>3231</v>
      </c>
      <c r="C1455" t="s">
        <v>3366</v>
      </c>
      <c r="D1455" t="s">
        <v>3367</v>
      </c>
      <c r="E1455" t="s">
        <v>33</v>
      </c>
      <c r="F1455" t="s">
        <v>3249</v>
      </c>
      <c r="G1455" t="s">
        <v>3281</v>
      </c>
      <c r="H1455" t="str">
        <f>'Huong dan giao do an'!$B$14</f>
        <v>5 SV (vai trò chính): 1 PM/Scrum Master kiêm Integration; 2 BA/PO; 3 UI-UX + Frontend; 4 Backend/API + DevOps; 5 Database + QA/Tester. Mỗi SV có nhiệm vụ phụ và minh chứng cá nhân.</v>
      </c>
      <c r="I1455" t="s">
        <v>29</v>
      </c>
      <c r="J1455" t="s">
        <v>3241</v>
      </c>
      <c r="K1455" t="str">
        <f>IF(I1455="Trung bình",'Huong dan giao do an'!$B$8,IF(I1455="Khá",'Huong dan giao do an'!$B$9,'Huong dan giao do an'!$B$10))</f>
        <v>Tối thiểu 5 actor; 14-18 use case; 10-15 bảng; 4 quy trình; tích hợp ngoài/realtime hoặc xử lý nâng cao; 3 báo cáo; &gt;=45 test case; logging, backup và deploy.</v>
      </c>
      <c r="L1455" t="str">
        <f>'Huong dan giao do an'!$B$31</f>
        <v>Bắt buộc: Charter/PMP; SRS + scope/WBS; Gantt/baseline; effort-cost budget; RACI/timesheet; quality-test-defect; communication/minutes; risk register; procurement; change log; closure/lessons learned.</v>
      </c>
      <c r="M1455" t="str">
        <f>'Huong dan giao do an'!$B$33</f>
        <v>Tuần 1: 07.09–13.09.2026; Tuần 2: 14.09–20.09.2026; Tuần 3: 21.09–27.09.2026; Tuần 4: 28.09–04.10.2026; Tuần 5: 05.10–11.10.2026; Tuần 6: 12.10–18.10.2026; Tuần 7: 19.10–25.10.2026; Tuần 8: 26.10–01.11.2026.</v>
      </c>
      <c r="N14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5" s="17" t="str">
        <f t="shared" si="22"/>
        <v>Còn trống</v>
      </c>
    </row>
    <row r="1456" spans="1:16" x14ac:dyDescent="0.3">
      <c r="A1456">
        <v>1455</v>
      </c>
      <c r="B1456" t="s">
        <v>3231</v>
      </c>
      <c r="C1456" t="s">
        <v>3368</v>
      </c>
      <c r="D1456" t="s">
        <v>3369</v>
      </c>
      <c r="E1456" t="s">
        <v>40</v>
      </c>
      <c r="F1456" t="s">
        <v>3253</v>
      </c>
      <c r="G1456" t="s">
        <v>3284</v>
      </c>
      <c r="H1456" t="str">
        <f>'Huong dan giao do an'!$B$14</f>
        <v>5 SV (vai trò chính): 1 PM/Scrum Master kiêm Integration; 2 BA/PO; 3 UI-UX + Frontend; 4 Backend/API + DevOps; 5 Database + QA/Tester. Mỗi SV có nhiệm vụ phụ và minh chứng cá nhân.</v>
      </c>
      <c r="I1456" t="s">
        <v>36</v>
      </c>
      <c r="J1456" t="s">
        <v>3246</v>
      </c>
      <c r="K1456" t="str">
        <f>IF(I1456="Trung bình",'Huong dan giao do an'!$B$8,IF(I1456="Khá",'Huong dan giao do an'!$B$9,'Huong dan giao do an'!$B$10))</f>
        <v>Tối thiểu 3 actor; 8-10 use case; 6-8 bảng dữ liệu; 2 quy trình lõi; đăng nhập/RBAC; 1 dashboard; 1 báo cáo; &gt;=25 test case; triển khai bản demo.</v>
      </c>
      <c r="L1456" t="str">
        <f>'Huong dan giao do an'!$B$31</f>
        <v>Bắt buộc: Charter/PMP; SRS + scope/WBS; Gantt/baseline; effort-cost budget; RACI/timesheet; quality-test-defect; communication/minutes; risk register; procurement; change log; closure/lessons learned.</v>
      </c>
      <c r="M1456" t="str">
        <f>'Huong dan giao do an'!$B$33</f>
        <v>Tuần 1: 07.09–13.09.2026; Tuần 2: 14.09–20.09.2026; Tuần 3: 21.09–27.09.2026; Tuần 4: 28.09–04.10.2026; Tuần 5: 05.10–11.10.2026; Tuần 6: 12.10–18.10.2026; Tuần 7: 19.10–25.10.2026; Tuần 8: 26.10–01.11.2026.</v>
      </c>
      <c r="N14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6" s="17" t="str">
        <f t="shared" si="22"/>
        <v>Còn trống</v>
      </c>
    </row>
    <row r="1457" spans="1:16" x14ac:dyDescent="0.3">
      <c r="A1457">
        <v>1456</v>
      </c>
      <c r="B1457" t="s">
        <v>3231</v>
      </c>
      <c r="C1457" t="s">
        <v>3370</v>
      </c>
      <c r="D1457" t="s">
        <v>3371</v>
      </c>
      <c r="E1457" t="s">
        <v>45</v>
      </c>
      <c r="F1457" t="s">
        <v>3234</v>
      </c>
      <c r="G1457" t="s">
        <v>3287</v>
      </c>
      <c r="H1457" t="str">
        <f>'Huong dan giao do an'!$B$14</f>
        <v>5 SV (vai trò chính): 1 PM/Scrum Master kiêm Integration; 2 BA/PO; 3 UI-UX + Frontend; 4 Backend/API + DevOps; 5 Database + QA/Tester. Mỗi SV có nhiệm vụ phụ và minh chứng cá nhân.</v>
      </c>
      <c r="I1457" t="s">
        <v>22</v>
      </c>
      <c r="J1457" t="s">
        <v>3236</v>
      </c>
      <c r="K1457" t="str">
        <f>IF(I1457="Trung bình",'Huong dan giao do an'!$B$8,IF(I1457="Khá",'Huong dan giao do an'!$B$9,'Huong dan giao do an'!$B$10))</f>
        <v>Tối thiểu 4 actor; 10-14 use case; 8-12 bảng; 3 quy trình lõi; phân quyền chi tiết; 2 báo cáo; tích hợp 1 dịch vụ; &gt;=35 test case; CI/CD hoặc deploy cloud.</v>
      </c>
      <c r="L1457" t="str">
        <f>'Huong dan giao do an'!$B$31</f>
        <v>Bắt buộc: Charter/PMP; SRS + scope/WBS; Gantt/baseline; effort-cost budget; RACI/timesheet; quality-test-defect; communication/minutes; risk register; procurement; change log; closure/lessons learned.</v>
      </c>
      <c r="M1457" t="str">
        <f>'Huong dan giao do an'!$B$33</f>
        <v>Tuần 1: 07.09–13.09.2026; Tuần 2: 14.09–20.09.2026; Tuần 3: 21.09–27.09.2026; Tuần 4: 28.09–04.10.2026; Tuần 5: 05.10–11.10.2026; Tuần 6: 12.10–18.10.2026; Tuần 7: 19.10–25.10.2026; Tuần 8: 26.10–01.11.2026.</v>
      </c>
      <c r="N14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7" s="17" t="str">
        <f t="shared" si="22"/>
        <v>Còn trống</v>
      </c>
    </row>
    <row r="1458" spans="1:16" x14ac:dyDescent="0.3">
      <c r="A1458">
        <v>1457</v>
      </c>
      <c r="B1458" t="s">
        <v>3231</v>
      </c>
      <c r="C1458" t="s">
        <v>3372</v>
      </c>
      <c r="D1458" t="s">
        <v>3373</v>
      </c>
      <c r="E1458" t="s">
        <v>19</v>
      </c>
      <c r="F1458" t="s">
        <v>3239</v>
      </c>
      <c r="G1458" t="s">
        <v>3290</v>
      </c>
      <c r="H1458" t="str">
        <f>'Huong dan giao do an'!$B$14</f>
        <v>5 SV (vai trò chính): 1 PM/Scrum Master kiêm Integration; 2 BA/PO; 3 UI-UX + Frontend; 4 Backend/API + DevOps; 5 Database + QA/Tester. Mỗi SV có nhiệm vụ phụ và minh chứng cá nhân.</v>
      </c>
      <c r="I1458" t="s">
        <v>29</v>
      </c>
      <c r="J1458" t="s">
        <v>3241</v>
      </c>
      <c r="K1458" t="str">
        <f>IF(I1458="Trung bình",'Huong dan giao do an'!$B$8,IF(I1458="Khá",'Huong dan giao do an'!$B$9,'Huong dan giao do an'!$B$10))</f>
        <v>Tối thiểu 5 actor; 14-18 use case; 10-15 bảng; 4 quy trình; tích hợp ngoài/realtime hoặc xử lý nâng cao; 3 báo cáo; &gt;=45 test case; logging, backup và deploy.</v>
      </c>
      <c r="L1458" t="str">
        <f>'Huong dan giao do an'!$B$31</f>
        <v>Bắt buộc: Charter/PMP; SRS + scope/WBS; Gantt/baseline; effort-cost budget; RACI/timesheet; quality-test-defect; communication/minutes; risk register; procurement; change log; closure/lessons learned.</v>
      </c>
      <c r="M1458" t="str">
        <f>'Huong dan giao do an'!$B$33</f>
        <v>Tuần 1: 07.09–13.09.2026; Tuần 2: 14.09–20.09.2026; Tuần 3: 21.09–27.09.2026; Tuần 4: 28.09–04.10.2026; Tuần 5: 05.10–11.10.2026; Tuần 6: 12.10–18.10.2026; Tuần 7: 19.10–25.10.2026; Tuần 8: 26.10–01.11.2026.</v>
      </c>
      <c r="N14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8" s="17" t="str">
        <f t="shared" si="22"/>
        <v>Còn trống</v>
      </c>
    </row>
    <row r="1459" spans="1:16" x14ac:dyDescent="0.3">
      <c r="A1459">
        <v>1458</v>
      </c>
      <c r="B1459" t="s">
        <v>3231</v>
      </c>
      <c r="C1459" t="s">
        <v>3374</v>
      </c>
      <c r="D1459" t="s">
        <v>3375</v>
      </c>
      <c r="E1459" t="s">
        <v>26</v>
      </c>
      <c r="F1459" t="s">
        <v>3244</v>
      </c>
      <c r="G1459" t="s">
        <v>3293</v>
      </c>
      <c r="H1459" t="str">
        <f>'Huong dan giao do an'!$B$14</f>
        <v>5 SV (vai trò chính): 1 PM/Scrum Master kiêm Integration; 2 BA/PO; 3 UI-UX + Frontend; 4 Backend/API + DevOps; 5 Database + QA/Tester. Mỗi SV có nhiệm vụ phụ và minh chứng cá nhân.</v>
      </c>
      <c r="I1459" t="s">
        <v>36</v>
      </c>
      <c r="J1459" t="s">
        <v>3246</v>
      </c>
      <c r="K1459" t="str">
        <f>IF(I1459="Trung bình",'Huong dan giao do an'!$B$8,IF(I1459="Khá",'Huong dan giao do an'!$B$9,'Huong dan giao do an'!$B$10))</f>
        <v>Tối thiểu 3 actor; 8-10 use case; 6-8 bảng dữ liệu; 2 quy trình lõi; đăng nhập/RBAC; 1 dashboard; 1 báo cáo; &gt;=25 test case; triển khai bản demo.</v>
      </c>
      <c r="L1459" t="str">
        <f>'Huong dan giao do an'!$B$31</f>
        <v>Bắt buộc: Charter/PMP; SRS + scope/WBS; Gantt/baseline; effort-cost budget; RACI/timesheet; quality-test-defect; communication/minutes; risk register; procurement; change log; closure/lessons learned.</v>
      </c>
      <c r="M1459" t="str">
        <f>'Huong dan giao do an'!$B$33</f>
        <v>Tuần 1: 07.09–13.09.2026; Tuần 2: 14.09–20.09.2026; Tuần 3: 21.09–27.09.2026; Tuần 4: 28.09–04.10.2026; Tuần 5: 05.10–11.10.2026; Tuần 6: 12.10–18.10.2026; Tuần 7: 19.10–25.10.2026; Tuần 8: 26.10–01.11.2026.</v>
      </c>
      <c r="N14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59" s="17" t="str">
        <f t="shared" si="22"/>
        <v>Còn trống</v>
      </c>
    </row>
    <row r="1460" spans="1:16" x14ac:dyDescent="0.3">
      <c r="A1460">
        <v>1459</v>
      </c>
      <c r="B1460" t="s">
        <v>3231</v>
      </c>
      <c r="C1460" t="s">
        <v>3376</v>
      </c>
      <c r="D1460" t="s">
        <v>3377</v>
      </c>
      <c r="E1460" t="s">
        <v>33</v>
      </c>
      <c r="F1460" t="s">
        <v>3249</v>
      </c>
      <c r="G1460" t="s">
        <v>3296</v>
      </c>
      <c r="H1460" t="str">
        <f>'Huong dan giao do an'!$B$14</f>
        <v>5 SV (vai trò chính): 1 PM/Scrum Master kiêm Integration; 2 BA/PO; 3 UI-UX + Frontend; 4 Backend/API + DevOps; 5 Database + QA/Tester. Mỗi SV có nhiệm vụ phụ và minh chứng cá nhân.</v>
      </c>
      <c r="I1460" t="s">
        <v>22</v>
      </c>
      <c r="J1460" t="s">
        <v>3236</v>
      </c>
      <c r="K1460" t="str">
        <f>IF(I1460="Trung bình",'Huong dan giao do an'!$B$8,IF(I1460="Khá",'Huong dan giao do an'!$B$9,'Huong dan giao do an'!$B$10))</f>
        <v>Tối thiểu 4 actor; 10-14 use case; 8-12 bảng; 3 quy trình lõi; phân quyền chi tiết; 2 báo cáo; tích hợp 1 dịch vụ; &gt;=35 test case; CI/CD hoặc deploy cloud.</v>
      </c>
      <c r="L1460" t="str">
        <f>'Huong dan giao do an'!$B$31</f>
        <v>Bắt buộc: Charter/PMP; SRS + scope/WBS; Gantt/baseline; effort-cost budget; RACI/timesheet; quality-test-defect; communication/minutes; risk register; procurement; change log; closure/lessons learned.</v>
      </c>
      <c r="M1460" t="str">
        <f>'Huong dan giao do an'!$B$33</f>
        <v>Tuần 1: 07.09–13.09.2026; Tuần 2: 14.09–20.09.2026; Tuần 3: 21.09–27.09.2026; Tuần 4: 28.09–04.10.2026; Tuần 5: 05.10–11.10.2026; Tuần 6: 12.10–18.10.2026; Tuần 7: 19.10–25.10.2026; Tuần 8: 26.10–01.11.2026.</v>
      </c>
      <c r="N14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0" s="17" t="str">
        <f t="shared" si="22"/>
        <v>Còn trống</v>
      </c>
    </row>
    <row r="1461" spans="1:16" x14ac:dyDescent="0.3">
      <c r="A1461">
        <v>1460</v>
      </c>
      <c r="B1461" t="s">
        <v>3231</v>
      </c>
      <c r="C1461" t="s">
        <v>3378</v>
      </c>
      <c r="D1461" t="s">
        <v>3379</v>
      </c>
      <c r="E1461" t="s">
        <v>40</v>
      </c>
      <c r="F1461" t="s">
        <v>3253</v>
      </c>
      <c r="G1461" t="s">
        <v>3299</v>
      </c>
      <c r="H1461" t="str">
        <f>'Huong dan giao do an'!$B$14</f>
        <v>5 SV (vai trò chính): 1 PM/Scrum Master kiêm Integration; 2 BA/PO; 3 UI-UX + Frontend; 4 Backend/API + DevOps; 5 Database + QA/Tester. Mỗi SV có nhiệm vụ phụ và minh chứng cá nhân.</v>
      </c>
      <c r="I1461" t="s">
        <v>29</v>
      </c>
      <c r="J1461" t="s">
        <v>3241</v>
      </c>
      <c r="K1461" t="str">
        <f>IF(I1461="Trung bình",'Huong dan giao do an'!$B$8,IF(I1461="Khá",'Huong dan giao do an'!$B$9,'Huong dan giao do an'!$B$10))</f>
        <v>Tối thiểu 5 actor; 14-18 use case; 10-15 bảng; 4 quy trình; tích hợp ngoài/realtime hoặc xử lý nâng cao; 3 báo cáo; &gt;=45 test case; logging, backup và deploy.</v>
      </c>
      <c r="L1461" t="str">
        <f>'Huong dan giao do an'!$B$31</f>
        <v>Bắt buộc: Charter/PMP; SRS + scope/WBS; Gantt/baseline; effort-cost budget; RACI/timesheet; quality-test-defect; communication/minutes; risk register; procurement; change log; closure/lessons learned.</v>
      </c>
      <c r="M1461" t="str">
        <f>'Huong dan giao do an'!$B$33</f>
        <v>Tuần 1: 07.09–13.09.2026; Tuần 2: 14.09–20.09.2026; Tuần 3: 21.09–27.09.2026; Tuần 4: 28.09–04.10.2026; Tuần 5: 05.10–11.10.2026; Tuần 6: 12.10–18.10.2026; Tuần 7: 19.10–25.10.2026; Tuần 8: 26.10–01.11.2026.</v>
      </c>
      <c r="N14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1" s="17" t="str">
        <f t="shared" si="22"/>
        <v>Còn trống</v>
      </c>
    </row>
    <row r="1462" spans="1:16" x14ac:dyDescent="0.3">
      <c r="A1462">
        <v>1461</v>
      </c>
      <c r="B1462" t="s">
        <v>3231</v>
      </c>
      <c r="C1462" t="s">
        <v>3380</v>
      </c>
      <c r="D1462" t="s">
        <v>3381</v>
      </c>
      <c r="E1462" t="s">
        <v>45</v>
      </c>
      <c r="F1462" t="s">
        <v>3234</v>
      </c>
      <c r="G1462" t="s">
        <v>3235</v>
      </c>
      <c r="H1462" t="str">
        <f>'Huong dan giao do an'!$B$14</f>
        <v>5 SV (vai trò chính): 1 PM/Scrum Master kiêm Integration; 2 BA/PO; 3 UI-UX + Frontend; 4 Backend/API + DevOps; 5 Database + QA/Tester. Mỗi SV có nhiệm vụ phụ và minh chứng cá nhân.</v>
      </c>
      <c r="I1462" t="s">
        <v>22</v>
      </c>
      <c r="J1462" t="s">
        <v>3236</v>
      </c>
      <c r="K1462" t="str">
        <f>IF(I1462="Trung bình",'Huong dan giao do an'!$B$8,IF(I1462="Khá",'Huong dan giao do an'!$B$9,'Huong dan giao do an'!$B$10))</f>
        <v>Tối thiểu 4 actor; 10-14 use case; 8-12 bảng; 3 quy trình lõi; phân quyền chi tiết; 2 báo cáo; tích hợp 1 dịch vụ; &gt;=35 test case; CI/CD hoặc deploy cloud.</v>
      </c>
      <c r="L1462" t="str">
        <f>'Huong dan giao do an'!$B$31</f>
        <v>Bắt buộc: Charter/PMP; SRS + scope/WBS; Gantt/baseline; effort-cost budget; RACI/timesheet; quality-test-defect; communication/minutes; risk register; procurement; change log; closure/lessons learned.</v>
      </c>
      <c r="M1462" t="str">
        <f>'Huong dan giao do an'!$B$33</f>
        <v>Tuần 1: 07.09–13.09.2026; Tuần 2: 14.09–20.09.2026; Tuần 3: 21.09–27.09.2026; Tuần 4: 28.09–04.10.2026; Tuần 5: 05.10–11.10.2026; Tuần 6: 12.10–18.10.2026; Tuần 7: 19.10–25.10.2026; Tuần 8: 26.10–01.11.2026.</v>
      </c>
      <c r="N14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2" s="17" t="str">
        <f t="shared" si="22"/>
        <v>Còn trống</v>
      </c>
    </row>
    <row r="1463" spans="1:16" x14ac:dyDescent="0.3">
      <c r="A1463">
        <v>1462</v>
      </c>
      <c r="B1463" t="s">
        <v>3231</v>
      </c>
      <c r="C1463" t="s">
        <v>3382</v>
      </c>
      <c r="D1463" t="s">
        <v>3383</v>
      </c>
      <c r="E1463" t="s">
        <v>19</v>
      </c>
      <c r="F1463" t="s">
        <v>3239</v>
      </c>
      <c r="G1463" t="s">
        <v>3240</v>
      </c>
      <c r="H1463" t="str">
        <f>'Huong dan giao do an'!$B$14</f>
        <v>5 SV (vai trò chính): 1 PM/Scrum Master kiêm Integration; 2 BA/PO; 3 UI-UX + Frontend; 4 Backend/API + DevOps; 5 Database + QA/Tester. Mỗi SV có nhiệm vụ phụ và minh chứng cá nhân.</v>
      </c>
      <c r="I1463" t="s">
        <v>29</v>
      </c>
      <c r="J1463" t="s">
        <v>3241</v>
      </c>
      <c r="K1463" t="str">
        <f>IF(I1463="Trung bình",'Huong dan giao do an'!$B$8,IF(I1463="Khá",'Huong dan giao do an'!$B$9,'Huong dan giao do an'!$B$10))</f>
        <v>Tối thiểu 5 actor; 14-18 use case; 10-15 bảng; 4 quy trình; tích hợp ngoài/realtime hoặc xử lý nâng cao; 3 báo cáo; &gt;=45 test case; logging, backup và deploy.</v>
      </c>
      <c r="L1463" t="str">
        <f>'Huong dan giao do an'!$B$31</f>
        <v>Bắt buộc: Charter/PMP; SRS + scope/WBS; Gantt/baseline; effort-cost budget; RACI/timesheet; quality-test-defect; communication/minutes; risk register; procurement; change log; closure/lessons learned.</v>
      </c>
      <c r="M1463" t="str">
        <f>'Huong dan giao do an'!$B$33</f>
        <v>Tuần 1: 07.09–13.09.2026; Tuần 2: 14.09–20.09.2026; Tuần 3: 21.09–27.09.2026; Tuần 4: 28.09–04.10.2026; Tuần 5: 05.10–11.10.2026; Tuần 6: 12.10–18.10.2026; Tuần 7: 19.10–25.10.2026; Tuần 8: 26.10–01.11.2026.</v>
      </c>
      <c r="N14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3" s="17" t="str">
        <f t="shared" si="22"/>
        <v>Còn trống</v>
      </c>
    </row>
    <row r="1464" spans="1:16" x14ac:dyDescent="0.3">
      <c r="A1464">
        <v>1463</v>
      </c>
      <c r="B1464" t="s">
        <v>3231</v>
      </c>
      <c r="C1464" t="s">
        <v>3384</v>
      </c>
      <c r="D1464" t="s">
        <v>3385</v>
      </c>
      <c r="E1464" t="s">
        <v>26</v>
      </c>
      <c r="F1464" t="s">
        <v>3244</v>
      </c>
      <c r="G1464" t="s">
        <v>3245</v>
      </c>
      <c r="H1464" t="str">
        <f>'Huong dan giao do an'!$B$14</f>
        <v>5 SV (vai trò chính): 1 PM/Scrum Master kiêm Integration; 2 BA/PO; 3 UI-UX + Frontend; 4 Backend/API + DevOps; 5 Database + QA/Tester. Mỗi SV có nhiệm vụ phụ và minh chứng cá nhân.</v>
      </c>
      <c r="I1464" t="s">
        <v>36</v>
      </c>
      <c r="J1464" t="s">
        <v>3246</v>
      </c>
      <c r="K1464" t="str">
        <f>IF(I1464="Trung bình",'Huong dan giao do an'!$B$8,IF(I1464="Khá",'Huong dan giao do an'!$B$9,'Huong dan giao do an'!$B$10))</f>
        <v>Tối thiểu 3 actor; 8-10 use case; 6-8 bảng dữ liệu; 2 quy trình lõi; đăng nhập/RBAC; 1 dashboard; 1 báo cáo; &gt;=25 test case; triển khai bản demo.</v>
      </c>
      <c r="L1464" t="str">
        <f>'Huong dan giao do an'!$B$31</f>
        <v>Bắt buộc: Charter/PMP; SRS + scope/WBS; Gantt/baseline; effort-cost budget; RACI/timesheet; quality-test-defect; communication/minutes; risk register; procurement; change log; closure/lessons learned.</v>
      </c>
      <c r="M1464" t="str">
        <f>'Huong dan giao do an'!$B$33</f>
        <v>Tuần 1: 07.09–13.09.2026; Tuần 2: 14.09–20.09.2026; Tuần 3: 21.09–27.09.2026; Tuần 4: 28.09–04.10.2026; Tuần 5: 05.10–11.10.2026; Tuần 6: 12.10–18.10.2026; Tuần 7: 19.10–25.10.2026; Tuần 8: 26.10–01.11.2026.</v>
      </c>
      <c r="N14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4" s="17" t="str">
        <f t="shared" si="22"/>
        <v>Còn trống</v>
      </c>
    </row>
    <row r="1465" spans="1:16" x14ac:dyDescent="0.3">
      <c r="A1465">
        <v>1464</v>
      </c>
      <c r="B1465" t="s">
        <v>3231</v>
      </c>
      <c r="C1465" t="s">
        <v>3386</v>
      </c>
      <c r="D1465" t="s">
        <v>3387</v>
      </c>
      <c r="E1465" t="s">
        <v>33</v>
      </c>
      <c r="F1465" t="s">
        <v>3249</v>
      </c>
      <c r="G1465" t="s">
        <v>3250</v>
      </c>
      <c r="H1465" t="str">
        <f>'Huong dan giao do an'!$B$14</f>
        <v>5 SV (vai trò chính): 1 PM/Scrum Master kiêm Integration; 2 BA/PO; 3 UI-UX + Frontend; 4 Backend/API + DevOps; 5 Database + QA/Tester. Mỗi SV có nhiệm vụ phụ và minh chứng cá nhân.</v>
      </c>
      <c r="I1465" t="s">
        <v>22</v>
      </c>
      <c r="J1465" t="s">
        <v>3236</v>
      </c>
      <c r="K1465" t="str">
        <f>IF(I1465="Trung bình",'Huong dan giao do an'!$B$8,IF(I1465="Khá",'Huong dan giao do an'!$B$9,'Huong dan giao do an'!$B$10))</f>
        <v>Tối thiểu 4 actor; 10-14 use case; 8-12 bảng; 3 quy trình lõi; phân quyền chi tiết; 2 báo cáo; tích hợp 1 dịch vụ; &gt;=35 test case; CI/CD hoặc deploy cloud.</v>
      </c>
      <c r="L1465" t="str">
        <f>'Huong dan giao do an'!$B$31</f>
        <v>Bắt buộc: Charter/PMP; SRS + scope/WBS; Gantt/baseline; effort-cost budget; RACI/timesheet; quality-test-defect; communication/minutes; risk register; procurement; change log; closure/lessons learned.</v>
      </c>
      <c r="M1465" t="str">
        <f>'Huong dan giao do an'!$B$33</f>
        <v>Tuần 1: 07.09–13.09.2026; Tuần 2: 14.09–20.09.2026; Tuần 3: 21.09–27.09.2026; Tuần 4: 28.09–04.10.2026; Tuần 5: 05.10–11.10.2026; Tuần 6: 12.10–18.10.2026; Tuần 7: 19.10–25.10.2026; Tuần 8: 26.10–01.11.2026.</v>
      </c>
      <c r="N14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5" s="17" t="str">
        <f t="shared" si="22"/>
        <v>Còn trống</v>
      </c>
    </row>
    <row r="1466" spans="1:16" x14ac:dyDescent="0.3">
      <c r="A1466">
        <v>1465</v>
      </c>
      <c r="B1466" t="s">
        <v>3231</v>
      </c>
      <c r="C1466" t="s">
        <v>3388</v>
      </c>
      <c r="D1466" t="s">
        <v>3389</v>
      </c>
      <c r="E1466" t="s">
        <v>40</v>
      </c>
      <c r="F1466" t="s">
        <v>3253</v>
      </c>
      <c r="G1466" t="s">
        <v>3254</v>
      </c>
      <c r="H1466" t="str">
        <f>'Huong dan giao do an'!$B$14</f>
        <v>5 SV (vai trò chính): 1 PM/Scrum Master kiêm Integration; 2 BA/PO; 3 UI-UX + Frontend; 4 Backend/API + DevOps; 5 Database + QA/Tester. Mỗi SV có nhiệm vụ phụ và minh chứng cá nhân.</v>
      </c>
      <c r="I1466" t="s">
        <v>29</v>
      </c>
      <c r="J1466" t="s">
        <v>3241</v>
      </c>
      <c r="K1466" t="str">
        <f>IF(I1466="Trung bình",'Huong dan giao do an'!$B$8,IF(I1466="Khá",'Huong dan giao do an'!$B$9,'Huong dan giao do an'!$B$10))</f>
        <v>Tối thiểu 5 actor; 14-18 use case; 10-15 bảng; 4 quy trình; tích hợp ngoài/realtime hoặc xử lý nâng cao; 3 báo cáo; &gt;=45 test case; logging, backup và deploy.</v>
      </c>
      <c r="L1466" t="str">
        <f>'Huong dan giao do an'!$B$31</f>
        <v>Bắt buộc: Charter/PMP; SRS + scope/WBS; Gantt/baseline; effort-cost budget; RACI/timesheet; quality-test-defect; communication/minutes; risk register; procurement; change log; closure/lessons learned.</v>
      </c>
      <c r="M1466" t="str">
        <f>'Huong dan giao do an'!$B$33</f>
        <v>Tuần 1: 07.09–13.09.2026; Tuần 2: 14.09–20.09.2026; Tuần 3: 21.09–27.09.2026; Tuần 4: 28.09–04.10.2026; Tuần 5: 05.10–11.10.2026; Tuần 6: 12.10–18.10.2026; Tuần 7: 19.10–25.10.2026; Tuần 8: 26.10–01.11.2026.</v>
      </c>
      <c r="N14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6" s="17" t="str">
        <f t="shared" si="22"/>
        <v>Còn trống</v>
      </c>
    </row>
    <row r="1467" spans="1:16" x14ac:dyDescent="0.3">
      <c r="A1467">
        <v>1466</v>
      </c>
      <c r="B1467" t="s">
        <v>3231</v>
      </c>
      <c r="C1467" t="s">
        <v>3390</v>
      </c>
      <c r="D1467" t="s">
        <v>3391</v>
      </c>
      <c r="E1467" t="s">
        <v>45</v>
      </c>
      <c r="F1467" t="s">
        <v>3234</v>
      </c>
      <c r="G1467" t="s">
        <v>3257</v>
      </c>
      <c r="H1467" t="str">
        <f>'Huong dan giao do an'!$B$14</f>
        <v>5 SV (vai trò chính): 1 PM/Scrum Master kiêm Integration; 2 BA/PO; 3 UI-UX + Frontend; 4 Backend/API + DevOps; 5 Database + QA/Tester. Mỗi SV có nhiệm vụ phụ và minh chứng cá nhân.</v>
      </c>
      <c r="I1467" t="s">
        <v>36</v>
      </c>
      <c r="J1467" t="s">
        <v>3246</v>
      </c>
      <c r="K1467" t="str">
        <f>IF(I1467="Trung bình",'Huong dan giao do an'!$B$8,IF(I1467="Khá",'Huong dan giao do an'!$B$9,'Huong dan giao do an'!$B$10))</f>
        <v>Tối thiểu 3 actor; 8-10 use case; 6-8 bảng dữ liệu; 2 quy trình lõi; đăng nhập/RBAC; 1 dashboard; 1 báo cáo; &gt;=25 test case; triển khai bản demo.</v>
      </c>
      <c r="L1467" t="str">
        <f>'Huong dan giao do an'!$B$31</f>
        <v>Bắt buộc: Charter/PMP; SRS + scope/WBS; Gantt/baseline; effort-cost budget; RACI/timesheet; quality-test-defect; communication/minutes; risk register; procurement; change log; closure/lessons learned.</v>
      </c>
      <c r="M1467" t="str">
        <f>'Huong dan giao do an'!$B$33</f>
        <v>Tuần 1: 07.09–13.09.2026; Tuần 2: 14.09–20.09.2026; Tuần 3: 21.09–27.09.2026; Tuần 4: 28.09–04.10.2026; Tuần 5: 05.10–11.10.2026; Tuần 6: 12.10–18.10.2026; Tuần 7: 19.10–25.10.2026; Tuần 8: 26.10–01.11.2026.</v>
      </c>
      <c r="N14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7" s="17" t="str">
        <f t="shared" si="22"/>
        <v>Còn trống</v>
      </c>
    </row>
    <row r="1468" spans="1:16" x14ac:dyDescent="0.3">
      <c r="A1468">
        <v>1467</v>
      </c>
      <c r="B1468" t="s">
        <v>3231</v>
      </c>
      <c r="C1468" t="s">
        <v>3392</v>
      </c>
      <c r="D1468" t="s">
        <v>3393</v>
      </c>
      <c r="E1468" t="s">
        <v>19</v>
      </c>
      <c r="F1468" t="s">
        <v>3239</v>
      </c>
      <c r="G1468" t="s">
        <v>3260</v>
      </c>
      <c r="H1468" t="str">
        <f>'Huong dan giao do an'!$B$14</f>
        <v>5 SV (vai trò chính): 1 PM/Scrum Master kiêm Integration; 2 BA/PO; 3 UI-UX + Frontend; 4 Backend/API + DevOps; 5 Database + QA/Tester. Mỗi SV có nhiệm vụ phụ và minh chứng cá nhân.</v>
      </c>
      <c r="I1468" t="s">
        <v>22</v>
      </c>
      <c r="J1468" t="s">
        <v>3236</v>
      </c>
      <c r="K1468" t="str">
        <f>IF(I1468="Trung bình",'Huong dan giao do an'!$B$8,IF(I1468="Khá",'Huong dan giao do an'!$B$9,'Huong dan giao do an'!$B$10))</f>
        <v>Tối thiểu 4 actor; 10-14 use case; 8-12 bảng; 3 quy trình lõi; phân quyền chi tiết; 2 báo cáo; tích hợp 1 dịch vụ; &gt;=35 test case; CI/CD hoặc deploy cloud.</v>
      </c>
      <c r="L1468" t="str">
        <f>'Huong dan giao do an'!$B$31</f>
        <v>Bắt buộc: Charter/PMP; SRS + scope/WBS; Gantt/baseline; effort-cost budget; RACI/timesheet; quality-test-defect; communication/minutes; risk register; procurement; change log; closure/lessons learned.</v>
      </c>
      <c r="M1468" t="str">
        <f>'Huong dan giao do an'!$B$33</f>
        <v>Tuần 1: 07.09–13.09.2026; Tuần 2: 14.09–20.09.2026; Tuần 3: 21.09–27.09.2026; Tuần 4: 28.09–04.10.2026; Tuần 5: 05.10–11.10.2026; Tuần 6: 12.10–18.10.2026; Tuần 7: 19.10–25.10.2026; Tuần 8: 26.10–01.11.2026.</v>
      </c>
      <c r="N14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8" s="17" t="str">
        <f t="shared" si="22"/>
        <v>Còn trống</v>
      </c>
    </row>
    <row r="1469" spans="1:16" x14ac:dyDescent="0.3">
      <c r="A1469">
        <v>1468</v>
      </c>
      <c r="B1469" t="s">
        <v>3231</v>
      </c>
      <c r="C1469" t="s">
        <v>3394</v>
      </c>
      <c r="D1469" t="s">
        <v>3395</v>
      </c>
      <c r="E1469" t="s">
        <v>26</v>
      </c>
      <c r="F1469" t="s">
        <v>3244</v>
      </c>
      <c r="G1469" t="s">
        <v>3263</v>
      </c>
      <c r="H1469" t="str">
        <f>'Huong dan giao do an'!$B$14</f>
        <v>5 SV (vai trò chính): 1 PM/Scrum Master kiêm Integration; 2 BA/PO; 3 UI-UX + Frontend; 4 Backend/API + DevOps; 5 Database + QA/Tester. Mỗi SV có nhiệm vụ phụ và minh chứng cá nhân.</v>
      </c>
      <c r="I1469" t="s">
        <v>29</v>
      </c>
      <c r="J1469" t="s">
        <v>3241</v>
      </c>
      <c r="K1469" t="str">
        <f>IF(I1469="Trung bình",'Huong dan giao do an'!$B$8,IF(I1469="Khá",'Huong dan giao do an'!$B$9,'Huong dan giao do an'!$B$10))</f>
        <v>Tối thiểu 5 actor; 14-18 use case; 10-15 bảng; 4 quy trình; tích hợp ngoài/realtime hoặc xử lý nâng cao; 3 báo cáo; &gt;=45 test case; logging, backup và deploy.</v>
      </c>
      <c r="L1469" t="str">
        <f>'Huong dan giao do an'!$B$31</f>
        <v>Bắt buộc: Charter/PMP; SRS + scope/WBS; Gantt/baseline; effort-cost budget; RACI/timesheet; quality-test-defect; communication/minutes; risk register; procurement; change log; closure/lessons learned.</v>
      </c>
      <c r="M1469" t="str">
        <f>'Huong dan giao do an'!$B$33</f>
        <v>Tuần 1: 07.09–13.09.2026; Tuần 2: 14.09–20.09.2026; Tuần 3: 21.09–27.09.2026; Tuần 4: 28.09–04.10.2026; Tuần 5: 05.10–11.10.2026; Tuần 6: 12.10–18.10.2026; Tuần 7: 19.10–25.10.2026; Tuần 8: 26.10–01.11.2026.</v>
      </c>
      <c r="N14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69" s="17" t="str">
        <f t="shared" si="22"/>
        <v>Còn trống</v>
      </c>
    </row>
    <row r="1470" spans="1:16" x14ac:dyDescent="0.3">
      <c r="A1470">
        <v>1469</v>
      </c>
      <c r="B1470" t="s">
        <v>3231</v>
      </c>
      <c r="C1470" t="s">
        <v>3396</v>
      </c>
      <c r="D1470" t="s">
        <v>3397</v>
      </c>
      <c r="E1470" t="s">
        <v>33</v>
      </c>
      <c r="F1470" t="s">
        <v>3249</v>
      </c>
      <c r="G1470" t="s">
        <v>3266</v>
      </c>
      <c r="H1470" t="str">
        <f>'Huong dan giao do an'!$B$14</f>
        <v>5 SV (vai trò chính): 1 PM/Scrum Master kiêm Integration; 2 BA/PO; 3 UI-UX + Frontend; 4 Backend/API + DevOps; 5 Database + QA/Tester. Mỗi SV có nhiệm vụ phụ và minh chứng cá nhân.</v>
      </c>
      <c r="I1470" t="s">
        <v>36</v>
      </c>
      <c r="J1470" t="s">
        <v>3246</v>
      </c>
      <c r="K1470" t="str">
        <f>IF(I1470="Trung bình",'Huong dan giao do an'!$B$8,IF(I1470="Khá",'Huong dan giao do an'!$B$9,'Huong dan giao do an'!$B$10))</f>
        <v>Tối thiểu 3 actor; 8-10 use case; 6-8 bảng dữ liệu; 2 quy trình lõi; đăng nhập/RBAC; 1 dashboard; 1 báo cáo; &gt;=25 test case; triển khai bản demo.</v>
      </c>
      <c r="L1470" t="str">
        <f>'Huong dan giao do an'!$B$31</f>
        <v>Bắt buộc: Charter/PMP; SRS + scope/WBS; Gantt/baseline; effort-cost budget; RACI/timesheet; quality-test-defect; communication/minutes; risk register; procurement; change log; closure/lessons learned.</v>
      </c>
      <c r="M1470" t="str">
        <f>'Huong dan giao do an'!$B$33</f>
        <v>Tuần 1: 07.09–13.09.2026; Tuần 2: 14.09–20.09.2026; Tuần 3: 21.09–27.09.2026; Tuần 4: 28.09–04.10.2026; Tuần 5: 05.10–11.10.2026; Tuần 6: 12.10–18.10.2026; Tuần 7: 19.10–25.10.2026; Tuần 8: 26.10–01.11.2026.</v>
      </c>
      <c r="N14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0" s="17" t="str">
        <f t="shared" si="22"/>
        <v>Còn trống</v>
      </c>
    </row>
    <row r="1471" spans="1:16" x14ac:dyDescent="0.3">
      <c r="A1471">
        <v>1470</v>
      </c>
      <c r="B1471" t="s">
        <v>3231</v>
      </c>
      <c r="C1471" t="s">
        <v>3398</v>
      </c>
      <c r="D1471" t="s">
        <v>3399</v>
      </c>
      <c r="E1471" t="s">
        <v>40</v>
      </c>
      <c r="F1471" t="s">
        <v>3253</v>
      </c>
      <c r="G1471" t="s">
        <v>3269</v>
      </c>
      <c r="H1471" t="str">
        <f>'Huong dan giao do an'!$B$14</f>
        <v>5 SV (vai trò chính): 1 PM/Scrum Master kiêm Integration; 2 BA/PO; 3 UI-UX + Frontend; 4 Backend/API + DevOps; 5 Database + QA/Tester. Mỗi SV có nhiệm vụ phụ và minh chứng cá nhân.</v>
      </c>
      <c r="I1471" t="s">
        <v>22</v>
      </c>
      <c r="J1471" t="s">
        <v>3236</v>
      </c>
      <c r="K1471" t="str">
        <f>IF(I1471="Trung bình",'Huong dan giao do an'!$B$8,IF(I1471="Khá",'Huong dan giao do an'!$B$9,'Huong dan giao do an'!$B$10))</f>
        <v>Tối thiểu 4 actor; 10-14 use case; 8-12 bảng; 3 quy trình lõi; phân quyền chi tiết; 2 báo cáo; tích hợp 1 dịch vụ; &gt;=35 test case; CI/CD hoặc deploy cloud.</v>
      </c>
      <c r="L1471" t="str">
        <f>'Huong dan giao do an'!$B$31</f>
        <v>Bắt buộc: Charter/PMP; SRS + scope/WBS; Gantt/baseline; effort-cost budget; RACI/timesheet; quality-test-defect; communication/minutes; risk register; procurement; change log; closure/lessons learned.</v>
      </c>
      <c r="M1471" t="str">
        <f>'Huong dan giao do an'!$B$33</f>
        <v>Tuần 1: 07.09–13.09.2026; Tuần 2: 14.09–20.09.2026; Tuần 3: 21.09–27.09.2026; Tuần 4: 28.09–04.10.2026; Tuần 5: 05.10–11.10.2026; Tuần 6: 12.10–18.10.2026; Tuần 7: 19.10–25.10.2026; Tuần 8: 26.10–01.11.2026.</v>
      </c>
      <c r="N14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1" s="17" t="str">
        <f t="shared" si="22"/>
        <v>Còn trống</v>
      </c>
    </row>
    <row r="1472" spans="1:16" x14ac:dyDescent="0.3">
      <c r="A1472">
        <v>1471</v>
      </c>
      <c r="B1472" t="s">
        <v>3231</v>
      </c>
      <c r="C1472" t="s">
        <v>3400</v>
      </c>
      <c r="D1472" t="s">
        <v>3401</v>
      </c>
      <c r="E1472" t="s">
        <v>45</v>
      </c>
      <c r="F1472" t="s">
        <v>3234</v>
      </c>
      <c r="G1472" t="s">
        <v>3272</v>
      </c>
      <c r="H1472" t="str">
        <f>'Huong dan giao do an'!$B$14</f>
        <v>5 SV (vai trò chính): 1 PM/Scrum Master kiêm Integration; 2 BA/PO; 3 UI-UX + Frontend; 4 Backend/API + DevOps; 5 Database + QA/Tester. Mỗi SV có nhiệm vụ phụ và minh chứng cá nhân.</v>
      </c>
      <c r="I1472" t="s">
        <v>29</v>
      </c>
      <c r="J1472" t="s">
        <v>3241</v>
      </c>
      <c r="K1472" t="str">
        <f>IF(I1472="Trung bình",'Huong dan giao do an'!$B$8,IF(I1472="Khá",'Huong dan giao do an'!$B$9,'Huong dan giao do an'!$B$10))</f>
        <v>Tối thiểu 5 actor; 14-18 use case; 10-15 bảng; 4 quy trình; tích hợp ngoài/realtime hoặc xử lý nâng cao; 3 báo cáo; &gt;=45 test case; logging, backup và deploy.</v>
      </c>
      <c r="L1472" t="str">
        <f>'Huong dan giao do an'!$B$31</f>
        <v>Bắt buộc: Charter/PMP; SRS + scope/WBS; Gantt/baseline; effort-cost budget; RACI/timesheet; quality-test-defect; communication/minutes; risk register; procurement; change log; closure/lessons learned.</v>
      </c>
      <c r="M1472" t="str">
        <f>'Huong dan giao do an'!$B$33</f>
        <v>Tuần 1: 07.09–13.09.2026; Tuần 2: 14.09–20.09.2026; Tuần 3: 21.09–27.09.2026; Tuần 4: 28.09–04.10.2026; Tuần 5: 05.10–11.10.2026; Tuần 6: 12.10–18.10.2026; Tuần 7: 19.10–25.10.2026; Tuần 8: 26.10–01.11.2026.</v>
      </c>
      <c r="N14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2" s="17" t="str">
        <f t="shared" si="22"/>
        <v>Còn trống</v>
      </c>
    </row>
    <row r="1473" spans="1:16" x14ac:dyDescent="0.3">
      <c r="A1473">
        <v>1472</v>
      </c>
      <c r="B1473" t="s">
        <v>3231</v>
      </c>
      <c r="C1473" t="s">
        <v>3402</v>
      </c>
      <c r="D1473" t="s">
        <v>3403</v>
      </c>
      <c r="E1473" t="s">
        <v>19</v>
      </c>
      <c r="F1473" t="s">
        <v>3239</v>
      </c>
      <c r="G1473" t="s">
        <v>3275</v>
      </c>
      <c r="H1473" t="str">
        <f>'Huong dan giao do an'!$B$14</f>
        <v>5 SV (vai trò chính): 1 PM/Scrum Master kiêm Integration; 2 BA/PO; 3 UI-UX + Frontend; 4 Backend/API + DevOps; 5 Database + QA/Tester. Mỗi SV có nhiệm vụ phụ và minh chứng cá nhân.</v>
      </c>
      <c r="I1473" t="s">
        <v>36</v>
      </c>
      <c r="J1473" t="s">
        <v>3246</v>
      </c>
      <c r="K1473" t="str">
        <f>IF(I1473="Trung bình",'Huong dan giao do an'!$B$8,IF(I1473="Khá",'Huong dan giao do an'!$B$9,'Huong dan giao do an'!$B$10))</f>
        <v>Tối thiểu 3 actor; 8-10 use case; 6-8 bảng dữ liệu; 2 quy trình lõi; đăng nhập/RBAC; 1 dashboard; 1 báo cáo; &gt;=25 test case; triển khai bản demo.</v>
      </c>
      <c r="L1473" t="str">
        <f>'Huong dan giao do an'!$B$31</f>
        <v>Bắt buộc: Charter/PMP; SRS + scope/WBS; Gantt/baseline; effort-cost budget; RACI/timesheet; quality-test-defect; communication/minutes; risk register; procurement; change log; closure/lessons learned.</v>
      </c>
      <c r="M1473" t="str">
        <f>'Huong dan giao do an'!$B$33</f>
        <v>Tuần 1: 07.09–13.09.2026; Tuần 2: 14.09–20.09.2026; Tuần 3: 21.09–27.09.2026; Tuần 4: 28.09–04.10.2026; Tuần 5: 05.10–11.10.2026; Tuần 6: 12.10–18.10.2026; Tuần 7: 19.10–25.10.2026; Tuần 8: 26.10–01.11.2026.</v>
      </c>
      <c r="N14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3" s="17" t="str">
        <f t="shared" si="22"/>
        <v>Còn trống</v>
      </c>
    </row>
    <row r="1474" spans="1:16" x14ac:dyDescent="0.3">
      <c r="A1474">
        <v>1473</v>
      </c>
      <c r="B1474" t="s">
        <v>3231</v>
      </c>
      <c r="C1474" t="s">
        <v>3404</v>
      </c>
      <c r="D1474" t="s">
        <v>3405</v>
      </c>
      <c r="E1474" t="s">
        <v>26</v>
      </c>
      <c r="F1474" t="s">
        <v>3244</v>
      </c>
      <c r="G1474" t="s">
        <v>3278</v>
      </c>
      <c r="H1474" t="str">
        <f>'Huong dan giao do an'!$B$14</f>
        <v>5 SV (vai trò chính): 1 PM/Scrum Master kiêm Integration; 2 BA/PO; 3 UI-UX + Frontend; 4 Backend/API + DevOps; 5 Database + QA/Tester. Mỗi SV có nhiệm vụ phụ và minh chứng cá nhân.</v>
      </c>
      <c r="I1474" t="s">
        <v>22</v>
      </c>
      <c r="J1474" t="s">
        <v>3236</v>
      </c>
      <c r="K1474" t="str">
        <f>IF(I1474="Trung bình",'Huong dan giao do an'!$B$8,IF(I1474="Khá",'Huong dan giao do an'!$B$9,'Huong dan giao do an'!$B$10))</f>
        <v>Tối thiểu 4 actor; 10-14 use case; 8-12 bảng; 3 quy trình lõi; phân quyền chi tiết; 2 báo cáo; tích hợp 1 dịch vụ; &gt;=35 test case; CI/CD hoặc deploy cloud.</v>
      </c>
      <c r="L1474" t="str">
        <f>'Huong dan giao do an'!$B$31</f>
        <v>Bắt buộc: Charter/PMP; SRS + scope/WBS; Gantt/baseline; effort-cost budget; RACI/timesheet; quality-test-defect; communication/minutes; risk register; procurement; change log; closure/lessons learned.</v>
      </c>
      <c r="M1474" t="str">
        <f>'Huong dan giao do an'!$B$33</f>
        <v>Tuần 1: 07.09–13.09.2026; Tuần 2: 14.09–20.09.2026; Tuần 3: 21.09–27.09.2026; Tuần 4: 28.09–04.10.2026; Tuần 5: 05.10–11.10.2026; Tuần 6: 12.10–18.10.2026; Tuần 7: 19.10–25.10.2026; Tuần 8: 26.10–01.11.2026.</v>
      </c>
      <c r="N14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4" s="17" t="str">
        <f t="shared" si="22"/>
        <v>Còn trống</v>
      </c>
    </row>
    <row r="1475" spans="1:16" x14ac:dyDescent="0.3">
      <c r="A1475">
        <v>1474</v>
      </c>
      <c r="B1475" t="s">
        <v>3231</v>
      </c>
      <c r="C1475" t="s">
        <v>3406</v>
      </c>
      <c r="D1475" t="s">
        <v>3407</v>
      </c>
      <c r="E1475" t="s">
        <v>33</v>
      </c>
      <c r="F1475" t="s">
        <v>3249</v>
      </c>
      <c r="G1475" t="s">
        <v>3281</v>
      </c>
      <c r="H1475" t="str">
        <f>'Huong dan giao do an'!$B$14</f>
        <v>5 SV (vai trò chính): 1 PM/Scrum Master kiêm Integration; 2 BA/PO; 3 UI-UX + Frontend; 4 Backend/API + DevOps; 5 Database + QA/Tester. Mỗi SV có nhiệm vụ phụ và minh chứng cá nhân.</v>
      </c>
      <c r="I1475" t="s">
        <v>29</v>
      </c>
      <c r="J1475" t="s">
        <v>3241</v>
      </c>
      <c r="K1475" t="str">
        <f>IF(I1475="Trung bình",'Huong dan giao do an'!$B$8,IF(I1475="Khá",'Huong dan giao do an'!$B$9,'Huong dan giao do an'!$B$10))</f>
        <v>Tối thiểu 5 actor; 14-18 use case; 10-15 bảng; 4 quy trình; tích hợp ngoài/realtime hoặc xử lý nâng cao; 3 báo cáo; &gt;=45 test case; logging, backup và deploy.</v>
      </c>
      <c r="L1475" t="str">
        <f>'Huong dan giao do an'!$B$31</f>
        <v>Bắt buộc: Charter/PMP; SRS + scope/WBS; Gantt/baseline; effort-cost budget; RACI/timesheet; quality-test-defect; communication/minutes; risk register; procurement; change log; closure/lessons learned.</v>
      </c>
      <c r="M1475" t="str">
        <f>'Huong dan giao do an'!$B$33</f>
        <v>Tuần 1: 07.09–13.09.2026; Tuần 2: 14.09–20.09.2026; Tuần 3: 21.09–27.09.2026; Tuần 4: 28.09–04.10.2026; Tuần 5: 05.10–11.10.2026; Tuần 6: 12.10–18.10.2026; Tuần 7: 19.10–25.10.2026; Tuần 8: 26.10–01.11.2026.</v>
      </c>
      <c r="N14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5" s="17" t="str">
        <f t="shared" ref="P1475:P1538" si="23">IF(O1475="","Còn trống","Đã đăng ký")</f>
        <v>Còn trống</v>
      </c>
    </row>
    <row r="1476" spans="1:16" x14ac:dyDescent="0.3">
      <c r="A1476">
        <v>1475</v>
      </c>
      <c r="B1476" t="s">
        <v>3231</v>
      </c>
      <c r="C1476" t="s">
        <v>3408</v>
      </c>
      <c r="D1476" t="s">
        <v>3409</v>
      </c>
      <c r="E1476" t="s">
        <v>40</v>
      </c>
      <c r="F1476" t="s">
        <v>3253</v>
      </c>
      <c r="G1476" t="s">
        <v>3284</v>
      </c>
      <c r="H1476" t="str">
        <f>'Huong dan giao do an'!$B$14</f>
        <v>5 SV (vai trò chính): 1 PM/Scrum Master kiêm Integration; 2 BA/PO; 3 UI-UX + Frontend; 4 Backend/API + DevOps; 5 Database + QA/Tester. Mỗi SV có nhiệm vụ phụ và minh chứng cá nhân.</v>
      </c>
      <c r="I1476" t="s">
        <v>36</v>
      </c>
      <c r="J1476" t="s">
        <v>3246</v>
      </c>
      <c r="K1476" t="str">
        <f>IF(I1476="Trung bình",'Huong dan giao do an'!$B$8,IF(I1476="Khá",'Huong dan giao do an'!$B$9,'Huong dan giao do an'!$B$10))</f>
        <v>Tối thiểu 3 actor; 8-10 use case; 6-8 bảng dữ liệu; 2 quy trình lõi; đăng nhập/RBAC; 1 dashboard; 1 báo cáo; &gt;=25 test case; triển khai bản demo.</v>
      </c>
      <c r="L1476" t="str">
        <f>'Huong dan giao do an'!$B$31</f>
        <v>Bắt buộc: Charter/PMP; SRS + scope/WBS; Gantt/baseline; effort-cost budget; RACI/timesheet; quality-test-defect; communication/minutes; risk register; procurement; change log; closure/lessons learned.</v>
      </c>
      <c r="M1476" t="str">
        <f>'Huong dan giao do an'!$B$33</f>
        <v>Tuần 1: 07.09–13.09.2026; Tuần 2: 14.09–20.09.2026; Tuần 3: 21.09–27.09.2026; Tuần 4: 28.09–04.10.2026; Tuần 5: 05.10–11.10.2026; Tuần 6: 12.10–18.10.2026; Tuần 7: 19.10–25.10.2026; Tuần 8: 26.10–01.11.2026.</v>
      </c>
      <c r="N14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6" s="17" t="str">
        <f t="shared" si="23"/>
        <v>Còn trống</v>
      </c>
    </row>
    <row r="1477" spans="1:16" x14ac:dyDescent="0.3">
      <c r="A1477">
        <v>1476</v>
      </c>
      <c r="B1477" t="s">
        <v>3231</v>
      </c>
      <c r="C1477" t="s">
        <v>3410</v>
      </c>
      <c r="D1477" t="s">
        <v>3411</v>
      </c>
      <c r="E1477" t="s">
        <v>45</v>
      </c>
      <c r="F1477" t="s">
        <v>3234</v>
      </c>
      <c r="G1477" t="s">
        <v>3287</v>
      </c>
      <c r="H1477" t="str">
        <f>'Huong dan giao do an'!$B$14</f>
        <v>5 SV (vai trò chính): 1 PM/Scrum Master kiêm Integration; 2 BA/PO; 3 UI-UX + Frontend; 4 Backend/API + DevOps; 5 Database + QA/Tester. Mỗi SV có nhiệm vụ phụ và minh chứng cá nhân.</v>
      </c>
      <c r="I1477" t="s">
        <v>22</v>
      </c>
      <c r="J1477" t="s">
        <v>3236</v>
      </c>
      <c r="K1477" t="str">
        <f>IF(I1477="Trung bình",'Huong dan giao do an'!$B$8,IF(I1477="Khá",'Huong dan giao do an'!$B$9,'Huong dan giao do an'!$B$10))</f>
        <v>Tối thiểu 4 actor; 10-14 use case; 8-12 bảng; 3 quy trình lõi; phân quyền chi tiết; 2 báo cáo; tích hợp 1 dịch vụ; &gt;=35 test case; CI/CD hoặc deploy cloud.</v>
      </c>
      <c r="L1477" t="str">
        <f>'Huong dan giao do an'!$B$31</f>
        <v>Bắt buộc: Charter/PMP; SRS + scope/WBS; Gantt/baseline; effort-cost budget; RACI/timesheet; quality-test-defect; communication/minutes; risk register; procurement; change log; closure/lessons learned.</v>
      </c>
      <c r="M1477" t="str">
        <f>'Huong dan giao do an'!$B$33</f>
        <v>Tuần 1: 07.09–13.09.2026; Tuần 2: 14.09–20.09.2026; Tuần 3: 21.09–27.09.2026; Tuần 4: 28.09–04.10.2026; Tuần 5: 05.10–11.10.2026; Tuần 6: 12.10–18.10.2026; Tuần 7: 19.10–25.10.2026; Tuần 8: 26.10–01.11.2026.</v>
      </c>
      <c r="N14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7" s="17" t="str">
        <f t="shared" si="23"/>
        <v>Còn trống</v>
      </c>
    </row>
    <row r="1478" spans="1:16" x14ac:dyDescent="0.3">
      <c r="A1478">
        <v>1477</v>
      </c>
      <c r="B1478" t="s">
        <v>3231</v>
      </c>
      <c r="C1478" t="s">
        <v>3412</v>
      </c>
      <c r="D1478" t="s">
        <v>3413</v>
      </c>
      <c r="E1478" t="s">
        <v>19</v>
      </c>
      <c r="F1478" t="s">
        <v>3239</v>
      </c>
      <c r="G1478" t="s">
        <v>3290</v>
      </c>
      <c r="H1478" t="str">
        <f>'Huong dan giao do an'!$B$14</f>
        <v>5 SV (vai trò chính): 1 PM/Scrum Master kiêm Integration; 2 BA/PO; 3 UI-UX + Frontend; 4 Backend/API + DevOps; 5 Database + QA/Tester. Mỗi SV có nhiệm vụ phụ và minh chứng cá nhân.</v>
      </c>
      <c r="I1478" t="s">
        <v>29</v>
      </c>
      <c r="J1478" t="s">
        <v>3241</v>
      </c>
      <c r="K1478" t="str">
        <f>IF(I1478="Trung bình",'Huong dan giao do an'!$B$8,IF(I1478="Khá",'Huong dan giao do an'!$B$9,'Huong dan giao do an'!$B$10))</f>
        <v>Tối thiểu 5 actor; 14-18 use case; 10-15 bảng; 4 quy trình; tích hợp ngoài/realtime hoặc xử lý nâng cao; 3 báo cáo; &gt;=45 test case; logging, backup và deploy.</v>
      </c>
      <c r="L1478" t="str">
        <f>'Huong dan giao do an'!$B$31</f>
        <v>Bắt buộc: Charter/PMP; SRS + scope/WBS; Gantt/baseline; effort-cost budget; RACI/timesheet; quality-test-defect; communication/minutes; risk register; procurement; change log; closure/lessons learned.</v>
      </c>
      <c r="M1478" t="str">
        <f>'Huong dan giao do an'!$B$33</f>
        <v>Tuần 1: 07.09–13.09.2026; Tuần 2: 14.09–20.09.2026; Tuần 3: 21.09–27.09.2026; Tuần 4: 28.09–04.10.2026; Tuần 5: 05.10–11.10.2026; Tuần 6: 12.10–18.10.2026; Tuần 7: 19.10–25.10.2026; Tuần 8: 26.10–01.11.2026.</v>
      </c>
      <c r="N14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8" s="17" t="str">
        <f t="shared" si="23"/>
        <v>Còn trống</v>
      </c>
    </row>
    <row r="1479" spans="1:16" x14ac:dyDescent="0.3">
      <c r="A1479">
        <v>1478</v>
      </c>
      <c r="B1479" t="s">
        <v>3231</v>
      </c>
      <c r="C1479" t="s">
        <v>3414</v>
      </c>
      <c r="D1479" t="s">
        <v>3415</v>
      </c>
      <c r="E1479" t="s">
        <v>26</v>
      </c>
      <c r="F1479" t="s">
        <v>3244</v>
      </c>
      <c r="G1479" t="s">
        <v>3293</v>
      </c>
      <c r="H1479" t="str">
        <f>'Huong dan giao do an'!$B$14</f>
        <v>5 SV (vai trò chính): 1 PM/Scrum Master kiêm Integration; 2 BA/PO; 3 UI-UX + Frontend; 4 Backend/API + DevOps; 5 Database + QA/Tester. Mỗi SV có nhiệm vụ phụ và minh chứng cá nhân.</v>
      </c>
      <c r="I1479" t="s">
        <v>36</v>
      </c>
      <c r="J1479" t="s">
        <v>3246</v>
      </c>
      <c r="K1479" t="str">
        <f>IF(I1479="Trung bình",'Huong dan giao do an'!$B$8,IF(I1479="Khá",'Huong dan giao do an'!$B$9,'Huong dan giao do an'!$B$10))</f>
        <v>Tối thiểu 3 actor; 8-10 use case; 6-8 bảng dữ liệu; 2 quy trình lõi; đăng nhập/RBAC; 1 dashboard; 1 báo cáo; &gt;=25 test case; triển khai bản demo.</v>
      </c>
      <c r="L1479" t="str">
        <f>'Huong dan giao do an'!$B$31</f>
        <v>Bắt buộc: Charter/PMP; SRS + scope/WBS; Gantt/baseline; effort-cost budget; RACI/timesheet; quality-test-defect; communication/minutes; risk register; procurement; change log; closure/lessons learned.</v>
      </c>
      <c r="M1479" t="str">
        <f>'Huong dan giao do an'!$B$33</f>
        <v>Tuần 1: 07.09–13.09.2026; Tuần 2: 14.09–20.09.2026; Tuần 3: 21.09–27.09.2026; Tuần 4: 28.09–04.10.2026; Tuần 5: 05.10–11.10.2026; Tuần 6: 12.10–18.10.2026; Tuần 7: 19.10–25.10.2026; Tuần 8: 26.10–01.11.2026.</v>
      </c>
      <c r="N14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79" s="17" t="str">
        <f t="shared" si="23"/>
        <v>Còn trống</v>
      </c>
    </row>
    <row r="1480" spans="1:16" x14ac:dyDescent="0.3">
      <c r="A1480">
        <v>1479</v>
      </c>
      <c r="B1480" t="s">
        <v>3231</v>
      </c>
      <c r="C1480" t="s">
        <v>3416</v>
      </c>
      <c r="D1480" t="s">
        <v>3417</v>
      </c>
      <c r="E1480" t="s">
        <v>33</v>
      </c>
      <c r="F1480" t="s">
        <v>3249</v>
      </c>
      <c r="G1480" t="s">
        <v>3296</v>
      </c>
      <c r="H1480" t="str">
        <f>'Huong dan giao do an'!$B$14</f>
        <v>5 SV (vai trò chính): 1 PM/Scrum Master kiêm Integration; 2 BA/PO; 3 UI-UX + Frontend; 4 Backend/API + DevOps; 5 Database + QA/Tester. Mỗi SV có nhiệm vụ phụ và minh chứng cá nhân.</v>
      </c>
      <c r="I1480" t="s">
        <v>22</v>
      </c>
      <c r="J1480" t="s">
        <v>3236</v>
      </c>
      <c r="K1480" t="str">
        <f>IF(I1480="Trung bình",'Huong dan giao do an'!$B$8,IF(I1480="Khá",'Huong dan giao do an'!$B$9,'Huong dan giao do an'!$B$10))</f>
        <v>Tối thiểu 4 actor; 10-14 use case; 8-12 bảng; 3 quy trình lõi; phân quyền chi tiết; 2 báo cáo; tích hợp 1 dịch vụ; &gt;=35 test case; CI/CD hoặc deploy cloud.</v>
      </c>
      <c r="L1480" t="str">
        <f>'Huong dan giao do an'!$B$31</f>
        <v>Bắt buộc: Charter/PMP; SRS + scope/WBS; Gantt/baseline; effort-cost budget; RACI/timesheet; quality-test-defect; communication/minutes; risk register; procurement; change log; closure/lessons learned.</v>
      </c>
      <c r="M1480" t="str">
        <f>'Huong dan giao do an'!$B$33</f>
        <v>Tuần 1: 07.09–13.09.2026; Tuần 2: 14.09–20.09.2026; Tuần 3: 21.09–27.09.2026; Tuần 4: 28.09–04.10.2026; Tuần 5: 05.10–11.10.2026; Tuần 6: 12.10–18.10.2026; Tuần 7: 19.10–25.10.2026; Tuần 8: 26.10–01.11.2026.</v>
      </c>
      <c r="N14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0" s="17" t="str">
        <f t="shared" si="23"/>
        <v>Còn trống</v>
      </c>
    </row>
    <row r="1481" spans="1:16" x14ac:dyDescent="0.3">
      <c r="A1481">
        <v>1480</v>
      </c>
      <c r="B1481" t="s">
        <v>3231</v>
      </c>
      <c r="C1481" t="s">
        <v>3418</v>
      </c>
      <c r="D1481" t="s">
        <v>3419</v>
      </c>
      <c r="E1481" t="s">
        <v>40</v>
      </c>
      <c r="F1481" t="s">
        <v>3253</v>
      </c>
      <c r="G1481" t="s">
        <v>3299</v>
      </c>
      <c r="H1481" t="str">
        <f>'Huong dan giao do an'!$B$14</f>
        <v>5 SV (vai trò chính): 1 PM/Scrum Master kiêm Integration; 2 BA/PO; 3 UI-UX + Frontend; 4 Backend/API + DevOps; 5 Database + QA/Tester. Mỗi SV có nhiệm vụ phụ và minh chứng cá nhân.</v>
      </c>
      <c r="I1481" t="s">
        <v>29</v>
      </c>
      <c r="J1481" t="s">
        <v>3241</v>
      </c>
      <c r="K1481" t="str">
        <f>IF(I1481="Trung bình",'Huong dan giao do an'!$B$8,IF(I1481="Khá",'Huong dan giao do an'!$B$9,'Huong dan giao do an'!$B$10))</f>
        <v>Tối thiểu 5 actor; 14-18 use case; 10-15 bảng; 4 quy trình; tích hợp ngoài/realtime hoặc xử lý nâng cao; 3 báo cáo; &gt;=45 test case; logging, backup và deploy.</v>
      </c>
      <c r="L1481" t="str">
        <f>'Huong dan giao do an'!$B$31</f>
        <v>Bắt buộc: Charter/PMP; SRS + scope/WBS; Gantt/baseline; effort-cost budget; RACI/timesheet; quality-test-defect; communication/minutes; risk register; procurement; change log; closure/lessons learned.</v>
      </c>
      <c r="M1481" t="str">
        <f>'Huong dan giao do an'!$B$33</f>
        <v>Tuần 1: 07.09–13.09.2026; Tuần 2: 14.09–20.09.2026; Tuần 3: 21.09–27.09.2026; Tuần 4: 28.09–04.10.2026; Tuần 5: 05.10–11.10.2026; Tuần 6: 12.10–18.10.2026; Tuần 7: 19.10–25.10.2026; Tuần 8: 26.10–01.11.2026.</v>
      </c>
      <c r="N14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1" s="17" t="str">
        <f t="shared" si="23"/>
        <v>Còn trống</v>
      </c>
    </row>
    <row r="1482" spans="1:16" x14ac:dyDescent="0.3">
      <c r="A1482">
        <v>1481</v>
      </c>
      <c r="B1482" t="s">
        <v>3231</v>
      </c>
      <c r="C1482" t="s">
        <v>3420</v>
      </c>
      <c r="D1482" t="s">
        <v>3421</v>
      </c>
      <c r="E1482" t="s">
        <v>45</v>
      </c>
      <c r="F1482" t="s">
        <v>3234</v>
      </c>
      <c r="G1482" t="s">
        <v>3235</v>
      </c>
      <c r="H1482" t="str">
        <f>'Huong dan giao do an'!$B$14</f>
        <v>5 SV (vai trò chính): 1 PM/Scrum Master kiêm Integration; 2 BA/PO; 3 UI-UX + Frontend; 4 Backend/API + DevOps; 5 Database + QA/Tester. Mỗi SV có nhiệm vụ phụ và minh chứng cá nhân.</v>
      </c>
      <c r="I1482" t="s">
        <v>22</v>
      </c>
      <c r="J1482" t="s">
        <v>3236</v>
      </c>
      <c r="K1482" t="str">
        <f>IF(I1482="Trung bình",'Huong dan giao do an'!$B$8,IF(I1482="Khá",'Huong dan giao do an'!$B$9,'Huong dan giao do an'!$B$10))</f>
        <v>Tối thiểu 4 actor; 10-14 use case; 8-12 bảng; 3 quy trình lõi; phân quyền chi tiết; 2 báo cáo; tích hợp 1 dịch vụ; &gt;=35 test case; CI/CD hoặc deploy cloud.</v>
      </c>
      <c r="L1482" t="str">
        <f>'Huong dan giao do an'!$B$31</f>
        <v>Bắt buộc: Charter/PMP; SRS + scope/WBS; Gantt/baseline; effort-cost budget; RACI/timesheet; quality-test-defect; communication/minutes; risk register; procurement; change log; closure/lessons learned.</v>
      </c>
      <c r="M1482" t="str">
        <f>'Huong dan giao do an'!$B$33</f>
        <v>Tuần 1: 07.09–13.09.2026; Tuần 2: 14.09–20.09.2026; Tuần 3: 21.09–27.09.2026; Tuần 4: 28.09–04.10.2026; Tuần 5: 05.10–11.10.2026; Tuần 6: 12.10–18.10.2026; Tuần 7: 19.10–25.10.2026; Tuần 8: 26.10–01.11.2026.</v>
      </c>
      <c r="N14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2" s="17" t="str">
        <f t="shared" si="23"/>
        <v>Còn trống</v>
      </c>
    </row>
    <row r="1483" spans="1:16" x14ac:dyDescent="0.3">
      <c r="A1483">
        <v>1482</v>
      </c>
      <c r="B1483" t="s">
        <v>3231</v>
      </c>
      <c r="C1483" t="s">
        <v>3422</v>
      </c>
      <c r="D1483" t="s">
        <v>3423</v>
      </c>
      <c r="E1483" t="s">
        <v>19</v>
      </c>
      <c r="F1483" t="s">
        <v>3239</v>
      </c>
      <c r="G1483" t="s">
        <v>3240</v>
      </c>
      <c r="H1483" t="str">
        <f>'Huong dan giao do an'!$B$14</f>
        <v>5 SV (vai trò chính): 1 PM/Scrum Master kiêm Integration; 2 BA/PO; 3 UI-UX + Frontend; 4 Backend/API + DevOps; 5 Database + QA/Tester. Mỗi SV có nhiệm vụ phụ và minh chứng cá nhân.</v>
      </c>
      <c r="I1483" t="s">
        <v>29</v>
      </c>
      <c r="J1483" t="s">
        <v>3241</v>
      </c>
      <c r="K1483" t="str">
        <f>IF(I1483="Trung bình",'Huong dan giao do an'!$B$8,IF(I1483="Khá",'Huong dan giao do an'!$B$9,'Huong dan giao do an'!$B$10))</f>
        <v>Tối thiểu 5 actor; 14-18 use case; 10-15 bảng; 4 quy trình; tích hợp ngoài/realtime hoặc xử lý nâng cao; 3 báo cáo; &gt;=45 test case; logging, backup và deploy.</v>
      </c>
      <c r="L1483" t="str">
        <f>'Huong dan giao do an'!$B$31</f>
        <v>Bắt buộc: Charter/PMP; SRS + scope/WBS; Gantt/baseline; effort-cost budget; RACI/timesheet; quality-test-defect; communication/minutes; risk register; procurement; change log; closure/lessons learned.</v>
      </c>
      <c r="M1483" t="str">
        <f>'Huong dan giao do an'!$B$33</f>
        <v>Tuần 1: 07.09–13.09.2026; Tuần 2: 14.09–20.09.2026; Tuần 3: 21.09–27.09.2026; Tuần 4: 28.09–04.10.2026; Tuần 5: 05.10–11.10.2026; Tuần 6: 12.10–18.10.2026; Tuần 7: 19.10–25.10.2026; Tuần 8: 26.10–01.11.2026.</v>
      </c>
      <c r="N14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3" s="17" t="str">
        <f t="shared" si="23"/>
        <v>Còn trống</v>
      </c>
    </row>
    <row r="1484" spans="1:16" x14ac:dyDescent="0.3">
      <c r="A1484">
        <v>1483</v>
      </c>
      <c r="B1484" t="s">
        <v>3231</v>
      </c>
      <c r="C1484" t="s">
        <v>3424</v>
      </c>
      <c r="D1484" t="s">
        <v>3425</v>
      </c>
      <c r="E1484" t="s">
        <v>26</v>
      </c>
      <c r="F1484" t="s">
        <v>3244</v>
      </c>
      <c r="G1484" t="s">
        <v>3245</v>
      </c>
      <c r="H1484" t="str">
        <f>'Huong dan giao do an'!$B$14</f>
        <v>5 SV (vai trò chính): 1 PM/Scrum Master kiêm Integration; 2 BA/PO; 3 UI-UX + Frontend; 4 Backend/API + DevOps; 5 Database + QA/Tester. Mỗi SV có nhiệm vụ phụ và minh chứng cá nhân.</v>
      </c>
      <c r="I1484" t="s">
        <v>36</v>
      </c>
      <c r="J1484" t="s">
        <v>3246</v>
      </c>
      <c r="K1484" t="str">
        <f>IF(I1484="Trung bình",'Huong dan giao do an'!$B$8,IF(I1484="Khá",'Huong dan giao do an'!$B$9,'Huong dan giao do an'!$B$10))</f>
        <v>Tối thiểu 3 actor; 8-10 use case; 6-8 bảng dữ liệu; 2 quy trình lõi; đăng nhập/RBAC; 1 dashboard; 1 báo cáo; &gt;=25 test case; triển khai bản demo.</v>
      </c>
      <c r="L1484" t="str">
        <f>'Huong dan giao do an'!$B$31</f>
        <v>Bắt buộc: Charter/PMP; SRS + scope/WBS; Gantt/baseline; effort-cost budget; RACI/timesheet; quality-test-defect; communication/minutes; risk register; procurement; change log; closure/lessons learned.</v>
      </c>
      <c r="M1484" t="str">
        <f>'Huong dan giao do an'!$B$33</f>
        <v>Tuần 1: 07.09–13.09.2026; Tuần 2: 14.09–20.09.2026; Tuần 3: 21.09–27.09.2026; Tuần 4: 28.09–04.10.2026; Tuần 5: 05.10–11.10.2026; Tuần 6: 12.10–18.10.2026; Tuần 7: 19.10–25.10.2026; Tuần 8: 26.10–01.11.2026.</v>
      </c>
      <c r="N14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4" s="17" t="str">
        <f t="shared" si="23"/>
        <v>Còn trống</v>
      </c>
    </row>
    <row r="1485" spans="1:16" x14ac:dyDescent="0.3">
      <c r="A1485">
        <v>1484</v>
      </c>
      <c r="B1485" t="s">
        <v>3231</v>
      </c>
      <c r="C1485" t="s">
        <v>3426</v>
      </c>
      <c r="D1485" t="s">
        <v>3427</v>
      </c>
      <c r="E1485" t="s">
        <v>33</v>
      </c>
      <c r="F1485" t="s">
        <v>3249</v>
      </c>
      <c r="G1485" t="s">
        <v>3250</v>
      </c>
      <c r="H1485" t="str">
        <f>'Huong dan giao do an'!$B$14</f>
        <v>5 SV (vai trò chính): 1 PM/Scrum Master kiêm Integration; 2 BA/PO; 3 UI-UX + Frontend; 4 Backend/API + DevOps; 5 Database + QA/Tester. Mỗi SV có nhiệm vụ phụ và minh chứng cá nhân.</v>
      </c>
      <c r="I1485" t="s">
        <v>22</v>
      </c>
      <c r="J1485" t="s">
        <v>3236</v>
      </c>
      <c r="K1485" t="str">
        <f>IF(I1485="Trung bình",'Huong dan giao do an'!$B$8,IF(I1485="Khá",'Huong dan giao do an'!$B$9,'Huong dan giao do an'!$B$10))</f>
        <v>Tối thiểu 4 actor; 10-14 use case; 8-12 bảng; 3 quy trình lõi; phân quyền chi tiết; 2 báo cáo; tích hợp 1 dịch vụ; &gt;=35 test case; CI/CD hoặc deploy cloud.</v>
      </c>
      <c r="L1485" t="str">
        <f>'Huong dan giao do an'!$B$31</f>
        <v>Bắt buộc: Charter/PMP; SRS + scope/WBS; Gantt/baseline; effort-cost budget; RACI/timesheet; quality-test-defect; communication/minutes; risk register; procurement; change log; closure/lessons learned.</v>
      </c>
      <c r="M1485" t="str">
        <f>'Huong dan giao do an'!$B$33</f>
        <v>Tuần 1: 07.09–13.09.2026; Tuần 2: 14.09–20.09.2026; Tuần 3: 21.09–27.09.2026; Tuần 4: 28.09–04.10.2026; Tuần 5: 05.10–11.10.2026; Tuần 6: 12.10–18.10.2026; Tuần 7: 19.10–25.10.2026; Tuần 8: 26.10–01.11.2026.</v>
      </c>
      <c r="N14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5" s="17" t="str">
        <f t="shared" si="23"/>
        <v>Còn trống</v>
      </c>
    </row>
    <row r="1486" spans="1:16" x14ac:dyDescent="0.3">
      <c r="A1486">
        <v>1485</v>
      </c>
      <c r="B1486" t="s">
        <v>3231</v>
      </c>
      <c r="C1486" t="s">
        <v>3428</v>
      </c>
      <c r="D1486" t="s">
        <v>3429</v>
      </c>
      <c r="E1486" t="s">
        <v>40</v>
      </c>
      <c r="F1486" t="s">
        <v>3253</v>
      </c>
      <c r="G1486" t="s">
        <v>3254</v>
      </c>
      <c r="H1486" t="str">
        <f>'Huong dan giao do an'!$B$14</f>
        <v>5 SV (vai trò chính): 1 PM/Scrum Master kiêm Integration; 2 BA/PO; 3 UI-UX + Frontend; 4 Backend/API + DevOps; 5 Database + QA/Tester. Mỗi SV có nhiệm vụ phụ và minh chứng cá nhân.</v>
      </c>
      <c r="I1486" t="s">
        <v>29</v>
      </c>
      <c r="J1486" t="s">
        <v>3241</v>
      </c>
      <c r="K1486" t="str">
        <f>IF(I1486="Trung bình",'Huong dan giao do an'!$B$8,IF(I1486="Khá",'Huong dan giao do an'!$B$9,'Huong dan giao do an'!$B$10))</f>
        <v>Tối thiểu 5 actor; 14-18 use case; 10-15 bảng; 4 quy trình; tích hợp ngoài/realtime hoặc xử lý nâng cao; 3 báo cáo; &gt;=45 test case; logging, backup và deploy.</v>
      </c>
      <c r="L1486" t="str">
        <f>'Huong dan giao do an'!$B$31</f>
        <v>Bắt buộc: Charter/PMP; SRS + scope/WBS; Gantt/baseline; effort-cost budget; RACI/timesheet; quality-test-defect; communication/minutes; risk register; procurement; change log; closure/lessons learned.</v>
      </c>
      <c r="M1486" t="str">
        <f>'Huong dan giao do an'!$B$33</f>
        <v>Tuần 1: 07.09–13.09.2026; Tuần 2: 14.09–20.09.2026; Tuần 3: 21.09–27.09.2026; Tuần 4: 28.09–04.10.2026; Tuần 5: 05.10–11.10.2026; Tuần 6: 12.10–18.10.2026; Tuần 7: 19.10–25.10.2026; Tuần 8: 26.10–01.11.2026.</v>
      </c>
      <c r="N14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6" s="17" t="str">
        <f t="shared" si="23"/>
        <v>Còn trống</v>
      </c>
    </row>
    <row r="1487" spans="1:16" x14ac:dyDescent="0.3">
      <c r="A1487">
        <v>1486</v>
      </c>
      <c r="B1487" t="s">
        <v>3231</v>
      </c>
      <c r="C1487" t="s">
        <v>3430</v>
      </c>
      <c r="D1487" t="s">
        <v>3431</v>
      </c>
      <c r="E1487" t="s">
        <v>45</v>
      </c>
      <c r="F1487" t="s">
        <v>3234</v>
      </c>
      <c r="G1487" t="s">
        <v>3257</v>
      </c>
      <c r="H1487" t="str">
        <f>'Huong dan giao do an'!$B$14</f>
        <v>5 SV (vai trò chính): 1 PM/Scrum Master kiêm Integration; 2 BA/PO; 3 UI-UX + Frontend; 4 Backend/API + DevOps; 5 Database + QA/Tester. Mỗi SV có nhiệm vụ phụ và minh chứng cá nhân.</v>
      </c>
      <c r="I1487" t="s">
        <v>36</v>
      </c>
      <c r="J1487" t="s">
        <v>3246</v>
      </c>
      <c r="K1487" t="str">
        <f>IF(I1487="Trung bình",'Huong dan giao do an'!$B$8,IF(I1487="Khá",'Huong dan giao do an'!$B$9,'Huong dan giao do an'!$B$10))</f>
        <v>Tối thiểu 3 actor; 8-10 use case; 6-8 bảng dữ liệu; 2 quy trình lõi; đăng nhập/RBAC; 1 dashboard; 1 báo cáo; &gt;=25 test case; triển khai bản demo.</v>
      </c>
      <c r="L1487" t="str">
        <f>'Huong dan giao do an'!$B$31</f>
        <v>Bắt buộc: Charter/PMP; SRS + scope/WBS; Gantt/baseline; effort-cost budget; RACI/timesheet; quality-test-defect; communication/minutes; risk register; procurement; change log; closure/lessons learned.</v>
      </c>
      <c r="M1487" t="str">
        <f>'Huong dan giao do an'!$B$33</f>
        <v>Tuần 1: 07.09–13.09.2026; Tuần 2: 14.09–20.09.2026; Tuần 3: 21.09–27.09.2026; Tuần 4: 28.09–04.10.2026; Tuần 5: 05.10–11.10.2026; Tuần 6: 12.10–18.10.2026; Tuần 7: 19.10–25.10.2026; Tuần 8: 26.10–01.11.2026.</v>
      </c>
      <c r="N14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7" s="17" t="str">
        <f t="shared" si="23"/>
        <v>Còn trống</v>
      </c>
    </row>
    <row r="1488" spans="1:16" x14ac:dyDescent="0.3">
      <c r="A1488">
        <v>1487</v>
      </c>
      <c r="B1488" t="s">
        <v>3231</v>
      </c>
      <c r="C1488" t="s">
        <v>3432</v>
      </c>
      <c r="D1488" t="s">
        <v>3433</v>
      </c>
      <c r="E1488" t="s">
        <v>19</v>
      </c>
      <c r="F1488" t="s">
        <v>3239</v>
      </c>
      <c r="G1488" t="s">
        <v>3260</v>
      </c>
      <c r="H1488" t="str">
        <f>'Huong dan giao do an'!$B$14</f>
        <v>5 SV (vai trò chính): 1 PM/Scrum Master kiêm Integration; 2 BA/PO; 3 UI-UX + Frontend; 4 Backend/API + DevOps; 5 Database + QA/Tester. Mỗi SV có nhiệm vụ phụ và minh chứng cá nhân.</v>
      </c>
      <c r="I1488" t="s">
        <v>22</v>
      </c>
      <c r="J1488" t="s">
        <v>3236</v>
      </c>
      <c r="K1488" t="str">
        <f>IF(I1488="Trung bình",'Huong dan giao do an'!$B$8,IF(I1488="Khá",'Huong dan giao do an'!$B$9,'Huong dan giao do an'!$B$10))</f>
        <v>Tối thiểu 4 actor; 10-14 use case; 8-12 bảng; 3 quy trình lõi; phân quyền chi tiết; 2 báo cáo; tích hợp 1 dịch vụ; &gt;=35 test case; CI/CD hoặc deploy cloud.</v>
      </c>
      <c r="L1488" t="str">
        <f>'Huong dan giao do an'!$B$31</f>
        <v>Bắt buộc: Charter/PMP; SRS + scope/WBS; Gantt/baseline; effort-cost budget; RACI/timesheet; quality-test-defect; communication/minutes; risk register; procurement; change log; closure/lessons learned.</v>
      </c>
      <c r="M1488" t="str">
        <f>'Huong dan giao do an'!$B$33</f>
        <v>Tuần 1: 07.09–13.09.2026; Tuần 2: 14.09–20.09.2026; Tuần 3: 21.09–27.09.2026; Tuần 4: 28.09–04.10.2026; Tuần 5: 05.10–11.10.2026; Tuần 6: 12.10–18.10.2026; Tuần 7: 19.10–25.10.2026; Tuần 8: 26.10–01.11.2026.</v>
      </c>
      <c r="N14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8" s="17" t="str">
        <f t="shared" si="23"/>
        <v>Còn trống</v>
      </c>
    </row>
    <row r="1489" spans="1:16" x14ac:dyDescent="0.3">
      <c r="A1489">
        <v>1488</v>
      </c>
      <c r="B1489" t="s">
        <v>3231</v>
      </c>
      <c r="C1489" t="s">
        <v>3434</v>
      </c>
      <c r="D1489" t="s">
        <v>3435</v>
      </c>
      <c r="E1489" t="s">
        <v>26</v>
      </c>
      <c r="F1489" t="s">
        <v>3244</v>
      </c>
      <c r="G1489" t="s">
        <v>3263</v>
      </c>
      <c r="H1489" t="str">
        <f>'Huong dan giao do an'!$B$14</f>
        <v>5 SV (vai trò chính): 1 PM/Scrum Master kiêm Integration; 2 BA/PO; 3 UI-UX + Frontend; 4 Backend/API + DevOps; 5 Database + QA/Tester. Mỗi SV có nhiệm vụ phụ và minh chứng cá nhân.</v>
      </c>
      <c r="I1489" t="s">
        <v>29</v>
      </c>
      <c r="J1489" t="s">
        <v>3241</v>
      </c>
      <c r="K1489" t="str">
        <f>IF(I1489="Trung bình",'Huong dan giao do an'!$B$8,IF(I1489="Khá",'Huong dan giao do an'!$B$9,'Huong dan giao do an'!$B$10))</f>
        <v>Tối thiểu 5 actor; 14-18 use case; 10-15 bảng; 4 quy trình; tích hợp ngoài/realtime hoặc xử lý nâng cao; 3 báo cáo; &gt;=45 test case; logging, backup và deploy.</v>
      </c>
      <c r="L1489" t="str">
        <f>'Huong dan giao do an'!$B$31</f>
        <v>Bắt buộc: Charter/PMP; SRS + scope/WBS; Gantt/baseline; effort-cost budget; RACI/timesheet; quality-test-defect; communication/minutes; risk register; procurement; change log; closure/lessons learned.</v>
      </c>
      <c r="M1489" t="str">
        <f>'Huong dan giao do an'!$B$33</f>
        <v>Tuần 1: 07.09–13.09.2026; Tuần 2: 14.09–20.09.2026; Tuần 3: 21.09–27.09.2026; Tuần 4: 28.09–04.10.2026; Tuần 5: 05.10–11.10.2026; Tuần 6: 12.10–18.10.2026; Tuần 7: 19.10–25.10.2026; Tuần 8: 26.10–01.11.2026.</v>
      </c>
      <c r="N14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89" s="17" t="str">
        <f t="shared" si="23"/>
        <v>Còn trống</v>
      </c>
    </row>
    <row r="1490" spans="1:16" x14ac:dyDescent="0.3">
      <c r="A1490">
        <v>1489</v>
      </c>
      <c r="B1490" t="s">
        <v>3231</v>
      </c>
      <c r="C1490" t="s">
        <v>3436</v>
      </c>
      <c r="D1490" t="s">
        <v>3437</v>
      </c>
      <c r="E1490" t="s">
        <v>33</v>
      </c>
      <c r="F1490" t="s">
        <v>3249</v>
      </c>
      <c r="G1490" t="s">
        <v>3266</v>
      </c>
      <c r="H1490" t="str">
        <f>'Huong dan giao do an'!$B$14</f>
        <v>5 SV (vai trò chính): 1 PM/Scrum Master kiêm Integration; 2 BA/PO; 3 UI-UX + Frontend; 4 Backend/API + DevOps; 5 Database + QA/Tester. Mỗi SV có nhiệm vụ phụ và minh chứng cá nhân.</v>
      </c>
      <c r="I1490" t="s">
        <v>36</v>
      </c>
      <c r="J1490" t="s">
        <v>3246</v>
      </c>
      <c r="K1490" t="str">
        <f>IF(I1490="Trung bình",'Huong dan giao do an'!$B$8,IF(I1490="Khá",'Huong dan giao do an'!$B$9,'Huong dan giao do an'!$B$10))</f>
        <v>Tối thiểu 3 actor; 8-10 use case; 6-8 bảng dữ liệu; 2 quy trình lõi; đăng nhập/RBAC; 1 dashboard; 1 báo cáo; &gt;=25 test case; triển khai bản demo.</v>
      </c>
      <c r="L1490" t="str">
        <f>'Huong dan giao do an'!$B$31</f>
        <v>Bắt buộc: Charter/PMP; SRS + scope/WBS; Gantt/baseline; effort-cost budget; RACI/timesheet; quality-test-defect; communication/minutes; risk register; procurement; change log; closure/lessons learned.</v>
      </c>
      <c r="M1490" t="str">
        <f>'Huong dan giao do an'!$B$33</f>
        <v>Tuần 1: 07.09–13.09.2026; Tuần 2: 14.09–20.09.2026; Tuần 3: 21.09–27.09.2026; Tuần 4: 28.09–04.10.2026; Tuần 5: 05.10–11.10.2026; Tuần 6: 12.10–18.10.2026; Tuần 7: 19.10–25.10.2026; Tuần 8: 26.10–01.11.2026.</v>
      </c>
      <c r="N14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0" s="17" t="str">
        <f t="shared" si="23"/>
        <v>Còn trống</v>
      </c>
    </row>
    <row r="1491" spans="1:16" x14ac:dyDescent="0.3">
      <c r="A1491">
        <v>1490</v>
      </c>
      <c r="B1491" t="s">
        <v>3231</v>
      </c>
      <c r="C1491" t="s">
        <v>3438</v>
      </c>
      <c r="D1491" t="s">
        <v>3439</v>
      </c>
      <c r="E1491" t="s">
        <v>40</v>
      </c>
      <c r="F1491" t="s">
        <v>3253</v>
      </c>
      <c r="G1491" t="s">
        <v>3269</v>
      </c>
      <c r="H1491" t="str">
        <f>'Huong dan giao do an'!$B$14</f>
        <v>5 SV (vai trò chính): 1 PM/Scrum Master kiêm Integration; 2 BA/PO; 3 UI-UX + Frontend; 4 Backend/API + DevOps; 5 Database + QA/Tester. Mỗi SV có nhiệm vụ phụ và minh chứng cá nhân.</v>
      </c>
      <c r="I1491" t="s">
        <v>22</v>
      </c>
      <c r="J1491" t="s">
        <v>3236</v>
      </c>
      <c r="K1491" t="str">
        <f>IF(I1491="Trung bình",'Huong dan giao do an'!$B$8,IF(I1491="Khá",'Huong dan giao do an'!$B$9,'Huong dan giao do an'!$B$10))</f>
        <v>Tối thiểu 4 actor; 10-14 use case; 8-12 bảng; 3 quy trình lõi; phân quyền chi tiết; 2 báo cáo; tích hợp 1 dịch vụ; &gt;=35 test case; CI/CD hoặc deploy cloud.</v>
      </c>
      <c r="L1491" t="str">
        <f>'Huong dan giao do an'!$B$31</f>
        <v>Bắt buộc: Charter/PMP; SRS + scope/WBS; Gantt/baseline; effort-cost budget; RACI/timesheet; quality-test-defect; communication/minutes; risk register; procurement; change log; closure/lessons learned.</v>
      </c>
      <c r="M1491" t="str">
        <f>'Huong dan giao do an'!$B$33</f>
        <v>Tuần 1: 07.09–13.09.2026; Tuần 2: 14.09–20.09.2026; Tuần 3: 21.09–27.09.2026; Tuần 4: 28.09–04.10.2026; Tuần 5: 05.10–11.10.2026; Tuần 6: 12.10–18.10.2026; Tuần 7: 19.10–25.10.2026; Tuần 8: 26.10–01.11.2026.</v>
      </c>
      <c r="N14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1" s="17" t="str">
        <f t="shared" si="23"/>
        <v>Còn trống</v>
      </c>
    </row>
    <row r="1492" spans="1:16" x14ac:dyDescent="0.3">
      <c r="A1492">
        <v>1491</v>
      </c>
      <c r="B1492" t="s">
        <v>3231</v>
      </c>
      <c r="C1492" t="s">
        <v>3440</v>
      </c>
      <c r="D1492" t="s">
        <v>3441</v>
      </c>
      <c r="E1492" t="s">
        <v>45</v>
      </c>
      <c r="F1492" t="s">
        <v>3234</v>
      </c>
      <c r="G1492" t="s">
        <v>3272</v>
      </c>
      <c r="H1492" t="str">
        <f>'Huong dan giao do an'!$B$14</f>
        <v>5 SV (vai trò chính): 1 PM/Scrum Master kiêm Integration; 2 BA/PO; 3 UI-UX + Frontend; 4 Backend/API + DevOps; 5 Database + QA/Tester. Mỗi SV có nhiệm vụ phụ và minh chứng cá nhân.</v>
      </c>
      <c r="I1492" t="s">
        <v>29</v>
      </c>
      <c r="J1492" t="s">
        <v>3241</v>
      </c>
      <c r="K1492" t="str">
        <f>IF(I1492="Trung bình",'Huong dan giao do an'!$B$8,IF(I1492="Khá",'Huong dan giao do an'!$B$9,'Huong dan giao do an'!$B$10))</f>
        <v>Tối thiểu 5 actor; 14-18 use case; 10-15 bảng; 4 quy trình; tích hợp ngoài/realtime hoặc xử lý nâng cao; 3 báo cáo; &gt;=45 test case; logging, backup và deploy.</v>
      </c>
      <c r="L1492" t="str">
        <f>'Huong dan giao do an'!$B$31</f>
        <v>Bắt buộc: Charter/PMP; SRS + scope/WBS; Gantt/baseline; effort-cost budget; RACI/timesheet; quality-test-defect; communication/minutes; risk register; procurement; change log; closure/lessons learned.</v>
      </c>
      <c r="M1492" t="str">
        <f>'Huong dan giao do an'!$B$33</f>
        <v>Tuần 1: 07.09–13.09.2026; Tuần 2: 14.09–20.09.2026; Tuần 3: 21.09–27.09.2026; Tuần 4: 28.09–04.10.2026; Tuần 5: 05.10–11.10.2026; Tuần 6: 12.10–18.10.2026; Tuần 7: 19.10–25.10.2026; Tuần 8: 26.10–01.11.2026.</v>
      </c>
      <c r="N14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2" s="17" t="str">
        <f t="shared" si="23"/>
        <v>Còn trống</v>
      </c>
    </row>
    <row r="1493" spans="1:16" x14ac:dyDescent="0.3">
      <c r="A1493">
        <v>1492</v>
      </c>
      <c r="B1493" t="s">
        <v>3231</v>
      </c>
      <c r="C1493" t="s">
        <v>3442</v>
      </c>
      <c r="D1493" t="s">
        <v>3443</v>
      </c>
      <c r="E1493" t="s">
        <v>19</v>
      </c>
      <c r="F1493" t="s">
        <v>3239</v>
      </c>
      <c r="G1493" t="s">
        <v>3275</v>
      </c>
      <c r="H1493" t="str">
        <f>'Huong dan giao do an'!$B$14</f>
        <v>5 SV (vai trò chính): 1 PM/Scrum Master kiêm Integration; 2 BA/PO; 3 UI-UX + Frontend; 4 Backend/API + DevOps; 5 Database + QA/Tester. Mỗi SV có nhiệm vụ phụ và minh chứng cá nhân.</v>
      </c>
      <c r="I1493" t="s">
        <v>36</v>
      </c>
      <c r="J1493" t="s">
        <v>3246</v>
      </c>
      <c r="K1493" t="str">
        <f>IF(I1493="Trung bình",'Huong dan giao do an'!$B$8,IF(I1493="Khá",'Huong dan giao do an'!$B$9,'Huong dan giao do an'!$B$10))</f>
        <v>Tối thiểu 3 actor; 8-10 use case; 6-8 bảng dữ liệu; 2 quy trình lõi; đăng nhập/RBAC; 1 dashboard; 1 báo cáo; &gt;=25 test case; triển khai bản demo.</v>
      </c>
      <c r="L1493" t="str">
        <f>'Huong dan giao do an'!$B$31</f>
        <v>Bắt buộc: Charter/PMP; SRS + scope/WBS; Gantt/baseline; effort-cost budget; RACI/timesheet; quality-test-defect; communication/minutes; risk register; procurement; change log; closure/lessons learned.</v>
      </c>
      <c r="M1493" t="str">
        <f>'Huong dan giao do an'!$B$33</f>
        <v>Tuần 1: 07.09–13.09.2026; Tuần 2: 14.09–20.09.2026; Tuần 3: 21.09–27.09.2026; Tuần 4: 28.09–04.10.2026; Tuần 5: 05.10–11.10.2026; Tuần 6: 12.10–18.10.2026; Tuần 7: 19.10–25.10.2026; Tuần 8: 26.10–01.11.2026.</v>
      </c>
      <c r="N14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3" s="17" t="str">
        <f t="shared" si="23"/>
        <v>Còn trống</v>
      </c>
    </row>
    <row r="1494" spans="1:16" x14ac:dyDescent="0.3">
      <c r="A1494">
        <v>1493</v>
      </c>
      <c r="B1494" t="s">
        <v>3231</v>
      </c>
      <c r="C1494" t="s">
        <v>3444</v>
      </c>
      <c r="D1494" t="s">
        <v>3445</v>
      </c>
      <c r="E1494" t="s">
        <v>26</v>
      </c>
      <c r="F1494" t="s">
        <v>3244</v>
      </c>
      <c r="G1494" t="s">
        <v>3278</v>
      </c>
      <c r="H1494" t="str">
        <f>'Huong dan giao do an'!$B$14</f>
        <v>5 SV (vai trò chính): 1 PM/Scrum Master kiêm Integration; 2 BA/PO; 3 UI-UX + Frontend; 4 Backend/API + DevOps; 5 Database + QA/Tester. Mỗi SV có nhiệm vụ phụ và minh chứng cá nhân.</v>
      </c>
      <c r="I1494" t="s">
        <v>22</v>
      </c>
      <c r="J1494" t="s">
        <v>3236</v>
      </c>
      <c r="K1494" t="str">
        <f>IF(I1494="Trung bình",'Huong dan giao do an'!$B$8,IF(I1494="Khá",'Huong dan giao do an'!$B$9,'Huong dan giao do an'!$B$10))</f>
        <v>Tối thiểu 4 actor; 10-14 use case; 8-12 bảng; 3 quy trình lõi; phân quyền chi tiết; 2 báo cáo; tích hợp 1 dịch vụ; &gt;=35 test case; CI/CD hoặc deploy cloud.</v>
      </c>
      <c r="L1494" t="str">
        <f>'Huong dan giao do an'!$B$31</f>
        <v>Bắt buộc: Charter/PMP; SRS + scope/WBS; Gantt/baseline; effort-cost budget; RACI/timesheet; quality-test-defect; communication/minutes; risk register; procurement; change log; closure/lessons learned.</v>
      </c>
      <c r="M1494" t="str">
        <f>'Huong dan giao do an'!$B$33</f>
        <v>Tuần 1: 07.09–13.09.2026; Tuần 2: 14.09–20.09.2026; Tuần 3: 21.09–27.09.2026; Tuần 4: 28.09–04.10.2026; Tuần 5: 05.10–11.10.2026; Tuần 6: 12.10–18.10.2026; Tuần 7: 19.10–25.10.2026; Tuần 8: 26.10–01.11.2026.</v>
      </c>
      <c r="N14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4" s="17" t="str">
        <f t="shared" si="23"/>
        <v>Còn trống</v>
      </c>
    </row>
    <row r="1495" spans="1:16" x14ac:dyDescent="0.3">
      <c r="A1495">
        <v>1494</v>
      </c>
      <c r="B1495" t="s">
        <v>3231</v>
      </c>
      <c r="C1495" t="s">
        <v>3446</v>
      </c>
      <c r="D1495" t="s">
        <v>3447</v>
      </c>
      <c r="E1495" t="s">
        <v>33</v>
      </c>
      <c r="F1495" t="s">
        <v>3249</v>
      </c>
      <c r="G1495" t="s">
        <v>3281</v>
      </c>
      <c r="H1495" t="str">
        <f>'Huong dan giao do an'!$B$14</f>
        <v>5 SV (vai trò chính): 1 PM/Scrum Master kiêm Integration; 2 BA/PO; 3 UI-UX + Frontend; 4 Backend/API + DevOps; 5 Database + QA/Tester. Mỗi SV có nhiệm vụ phụ và minh chứng cá nhân.</v>
      </c>
      <c r="I1495" t="s">
        <v>29</v>
      </c>
      <c r="J1495" t="s">
        <v>3241</v>
      </c>
      <c r="K1495" t="str">
        <f>IF(I1495="Trung bình",'Huong dan giao do an'!$B$8,IF(I1495="Khá",'Huong dan giao do an'!$B$9,'Huong dan giao do an'!$B$10))</f>
        <v>Tối thiểu 5 actor; 14-18 use case; 10-15 bảng; 4 quy trình; tích hợp ngoài/realtime hoặc xử lý nâng cao; 3 báo cáo; &gt;=45 test case; logging, backup và deploy.</v>
      </c>
      <c r="L1495" t="str">
        <f>'Huong dan giao do an'!$B$31</f>
        <v>Bắt buộc: Charter/PMP; SRS + scope/WBS; Gantt/baseline; effort-cost budget; RACI/timesheet; quality-test-defect; communication/minutes; risk register; procurement; change log; closure/lessons learned.</v>
      </c>
      <c r="M1495" t="str">
        <f>'Huong dan giao do an'!$B$33</f>
        <v>Tuần 1: 07.09–13.09.2026; Tuần 2: 14.09–20.09.2026; Tuần 3: 21.09–27.09.2026; Tuần 4: 28.09–04.10.2026; Tuần 5: 05.10–11.10.2026; Tuần 6: 12.10–18.10.2026; Tuần 7: 19.10–25.10.2026; Tuần 8: 26.10–01.11.2026.</v>
      </c>
      <c r="N14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5" s="17" t="str">
        <f t="shared" si="23"/>
        <v>Còn trống</v>
      </c>
    </row>
    <row r="1496" spans="1:16" x14ac:dyDescent="0.3">
      <c r="A1496">
        <v>1495</v>
      </c>
      <c r="B1496" t="s">
        <v>3231</v>
      </c>
      <c r="C1496" t="s">
        <v>3448</v>
      </c>
      <c r="D1496" t="s">
        <v>3449</v>
      </c>
      <c r="E1496" t="s">
        <v>40</v>
      </c>
      <c r="F1496" t="s">
        <v>3253</v>
      </c>
      <c r="G1496" t="s">
        <v>3284</v>
      </c>
      <c r="H1496" t="str">
        <f>'Huong dan giao do an'!$B$14</f>
        <v>5 SV (vai trò chính): 1 PM/Scrum Master kiêm Integration; 2 BA/PO; 3 UI-UX + Frontend; 4 Backend/API + DevOps; 5 Database + QA/Tester. Mỗi SV có nhiệm vụ phụ và minh chứng cá nhân.</v>
      </c>
      <c r="I1496" t="s">
        <v>36</v>
      </c>
      <c r="J1496" t="s">
        <v>3246</v>
      </c>
      <c r="K1496" t="str">
        <f>IF(I1496="Trung bình",'Huong dan giao do an'!$B$8,IF(I1496="Khá",'Huong dan giao do an'!$B$9,'Huong dan giao do an'!$B$10))</f>
        <v>Tối thiểu 3 actor; 8-10 use case; 6-8 bảng dữ liệu; 2 quy trình lõi; đăng nhập/RBAC; 1 dashboard; 1 báo cáo; &gt;=25 test case; triển khai bản demo.</v>
      </c>
      <c r="L1496" t="str">
        <f>'Huong dan giao do an'!$B$31</f>
        <v>Bắt buộc: Charter/PMP; SRS + scope/WBS; Gantt/baseline; effort-cost budget; RACI/timesheet; quality-test-defect; communication/minutes; risk register; procurement; change log; closure/lessons learned.</v>
      </c>
      <c r="M1496" t="str">
        <f>'Huong dan giao do an'!$B$33</f>
        <v>Tuần 1: 07.09–13.09.2026; Tuần 2: 14.09–20.09.2026; Tuần 3: 21.09–27.09.2026; Tuần 4: 28.09–04.10.2026; Tuần 5: 05.10–11.10.2026; Tuần 6: 12.10–18.10.2026; Tuần 7: 19.10–25.10.2026; Tuần 8: 26.10–01.11.2026.</v>
      </c>
      <c r="N14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6" s="17" t="str">
        <f t="shared" si="23"/>
        <v>Còn trống</v>
      </c>
    </row>
    <row r="1497" spans="1:16" x14ac:dyDescent="0.3">
      <c r="A1497">
        <v>1496</v>
      </c>
      <c r="B1497" t="s">
        <v>3231</v>
      </c>
      <c r="C1497" t="s">
        <v>3450</v>
      </c>
      <c r="D1497" t="s">
        <v>3451</v>
      </c>
      <c r="E1497" t="s">
        <v>45</v>
      </c>
      <c r="F1497" t="s">
        <v>3234</v>
      </c>
      <c r="G1497" t="s">
        <v>3287</v>
      </c>
      <c r="H1497" t="str">
        <f>'Huong dan giao do an'!$B$14</f>
        <v>5 SV (vai trò chính): 1 PM/Scrum Master kiêm Integration; 2 BA/PO; 3 UI-UX + Frontend; 4 Backend/API + DevOps; 5 Database + QA/Tester. Mỗi SV có nhiệm vụ phụ và minh chứng cá nhân.</v>
      </c>
      <c r="I1497" t="s">
        <v>22</v>
      </c>
      <c r="J1497" t="s">
        <v>3236</v>
      </c>
      <c r="K1497" t="str">
        <f>IF(I1497="Trung bình",'Huong dan giao do an'!$B$8,IF(I1497="Khá",'Huong dan giao do an'!$B$9,'Huong dan giao do an'!$B$10))</f>
        <v>Tối thiểu 4 actor; 10-14 use case; 8-12 bảng; 3 quy trình lõi; phân quyền chi tiết; 2 báo cáo; tích hợp 1 dịch vụ; &gt;=35 test case; CI/CD hoặc deploy cloud.</v>
      </c>
      <c r="L1497" t="str">
        <f>'Huong dan giao do an'!$B$31</f>
        <v>Bắt buộc: Charter/PMP; SRS + scope/WBS; Gantt/baseline; effort-cost budget; RACI/timesheet; quality-test-defect; communication/minutes; risk register; procurement; change log; closure/lessons learned.</v>
      </c>
      <c r="M1497" t="str">
        <f>'Huong dan giao do an'!$B$33</f>
        <v>Tuần 1: 07.09–13.09.2026; Tuần 2: 14.09–20.09.2026; Tuần 3: 21.09–27.09.2026; Tuần 4: 28.09–04.10.2026; Tuần 5: 05.10–11.10.2026; Tuần 6: 12.10–18.10.2026; Tuần 7: 19.10–25.10.2026; Tuần 8: 26.10–01.11.2026.</v>
      </c>
      <c r="N14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7" s="17" t="str">
        <f t="shared" si="23"/>
        <v>Còn trống</v>
      </c>
    </row>
    <row r="1498" spans="1:16" x14ac:dyDescent="0.3">
      <c r="A1498">
        <v>1497</v>
      </c>
      <c r="B1498" t="s">
        <v>3231</v>
      </c>
      <c r="C1498" t="s">
        <v>3452</v>
      </c>
      <c r="D1498" t="s">
        <v>3453</v>
      </c>
      <c r="E1498" t="s">
        <v>19</v>
      </c>
      <c r="F1498" t="s">
        <v>3239</v>
      </c>
      <c r="G1498" t="s">
        <v>3290</v>
      </c>
      <c r="H1498" t="str">
        <f>'Huong dan giao do an'!$B$14</f>
        <v>5 SV (vai trò chính): 1 PM/Scrum Master kiêm Integration; 2 BA/PO; 3 UI-UX + Frontend; 4 Backend/API + DevOps; 5 Database + QA/Tester. Mỗi SV có nhiệm vụ phụ và minh chứng cá nhân.</v>
      </c>
      <c r="I1498" t="s">
        <v>29</v>
      </c>
      <c r="J1498" t="s">
        <v>3241</v>
      </c>
      <c r="K1498" t="str">
        <f>IF(I1498="Trung bình",'Huong dan giao do an'!$B$8,IF(I1498="Khá",'Huong dan giao do an'!$B$9,'Huong dan giao do an'!$B$10))</f>
        <v>Tối thiểu 5 actor; 14-18 use case; 10-15 bảng; 4 quy trình; tích hợp ngoài/realtime hoặc xử lý nâng cao; 3 báo cáo; &gt;=45 test case; logging, backup và deploy.</v>
      </c>
      <c r="L1498" t="str">
        <f>'Huong dan giao do an'!$B$31</f>
        <v>Bắt buộc: Charter/PMP; SRS + scope/WBS; Gantt/baseline; effort-cost budget; RACI/timesheet; quality-test-defect; communication/minutes; risk register; procurement; change log; closure/lessons learned.</v>
      </c>
      <c r="M1498" t="str">
        <f>'Huong dan giao do an'!$B$33</f>
        <v>Tuần 1: 07.09–13.09.2026; Tuần 2: 14.09–20.09.2026; Tuần 3: 21.09–27.09.2026; Tuần 4: 28.09–04.10.2026; Tuần 5: 05.10–11.10.2026; Tuần 6: 12.10–18.10.2026; Tuần 7: 19.10–25.10.2026; Tuần 8: 26.10–01.11.2026.</v>
      </c>
      <c r="N14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8" s="17" t="str">
        <f t="shared" si="23"/>
        <v>Còn trống</v>
      </c>
    </row>
    <row r="1499" spans="1:16" x14ac:dyDescent="0.3">
      <c r="A1499">
        <v>1498</v>
      </c>
      <c r="B1499" t="s">
        <v>3231</v>
      </c>
      <c r="C1499" t="s">
        <v>3454</v>
      </c>
      <c r="D1499" t="s">
        <v>3455</v>
      </c>
      <c r="E1499" t="s">
        <v>26</v>
      </c>
      <c r="F1499" t="s">
        <v>3244</v>
      </c>
      <c r="G1499" t="s">
        <v>3293</v>
      </c>
      <c r="H1499" t="str">
        <f>'Huong dan giao do an'!$B$14</f>
        <v>5 SV (vai trò chính): 1 PM/Scrum Master kiêm Integration; 2 BA/PO; 3 UI-UX + Frontend; 4 Backend/API + DevOps; 5 Database + QA/Tester. Mỗi SV có nhiệm vụ phụ và minh chứng cá nhân.</v>
      </c>
      <c r="I1499" t="s">
        <v>36</v>
      </c>
      <c r="J1499" t="s">
        <v>3246</v>
      </c>
      <c r="K1499" t="str">
        <f>IF(I1499="Trung bình",'Huong dan giao do an'!$B$8,IF(I1499="Khá",'Huong dan giao do an'!$B$9,'Huong dan giao do an'!$B$10))</f>
        <v>Tối thiểu 3 actor; 8-10 use case; 6-8 bảng dữ liệu; 2 quy trình lõi; đăng nhập/RBAC; 1 dashboard; 1 báo cáo; &gt;=25 test case; triển khai bản demo.</v>
      </c>
      <c r="L1499" t="str">
        <f>'Huong dan giao do an'!$B$31</f>
        <v>Bắt buộc: Charter/PMP; SRS + scope/WBS; Gantt/baseline; effort-cost budget; RACI/timesheet; quality-test-defect; communication/minutes; risk register; procurement; change log; closure/lessons learned.</v>
      </c>
      <c r="M1499" t="str">
        <f>'Huong dan giao do an'!$B$33</f>
        <v>Tuần 1: 07.09–13.09.2026; Tuần 2: 14.09–20.09.2026; Tuần 3: 21.09–27.09.2026; Tuần 4: 28.09–04.10.2026; Tuần 5: 05.10–11.10.2026; Tuần 6: 12.10–18.10.2026; Tuần 7: 19.10–25.10.2026; Tuần 8: 26.10–01.11.2026.</v>
      </c>
      <c r="N14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499" s="17" t="str">
        <f t="shared" si="23"/>
        <v>Còn trống</v>
      </c>
    </row>
    <row r="1500" spans="1:16" x14ac:dyDescent="0.3">
      <c r="A1500">
        <v>1499</v>
      </c>
      <c r="B1500" t="s">
        <v>3231</v>
      </c>
      <c r="C1500" t="s">
        <v>3456</v>
      </c>
      <c r="D1500" t="s">
        <v>3457</v>
      </c>
      <c r="E1500" t="s">
        <v>33</v>
      </c>
      <c r="F1500" t="s">
        <v>3249</v>
      </c>
      <c r="G1500" t="s">
        <v>3296</v>
      </c>
      <c r="H1500" t="str">
        <f>'Huong dan giao do an'!$B$14</f>
        <v>5 SV (vai trò chính): 1 PM/Scrum Master kiêm Integration; 2 BA/PO; 3 UI-UX + Frontend; 4 Backend/API + DevOps; 5 Database + QA/Tester. Mỗi SV có nhiệm vụ phụ và minh chứng cá nhân.</v>
      </c>
      <c r="I1500" t="s">
        <v>22</v>
      </c>
      <c r="J1500" t="s">
        <v>3236</v>
      </c>
      <c r="K1500" t="str">
        <f>IF(I1500="Trung bình",'Huong dan giao do an'!$B$8,IF(I1500="Khá",'Huong dan giao do an'!$B$9,'Huong dan giao do an'!$B$10))</f>
        <v>Tối thiểu 4 actor; 10-14 use case; 8-12 bảng; 3 quy trình lõi; phân quyền chi tiết; 2 báo cáo; tích hợp 1 dịch vụ; &gt;=35 test case; CI/CD hoặc deploy cloud.</v>
      </c>
      <c r="L1500" t="str">
        <f>'Huong dan giao do an'!$B$31</f>
        <v>Bắt buộc: Charter/PMP; SRS + scope/WBS; Gantt/baseline; effort-cost budget; RACI/timesheet; quality-test-defect; communication/minutes; risk register; procurement; change log; closure/lessons learned.</v>
      </c>
      <c r="M1500" t="str">
        <f>'Huong dan giao do an'!$B$33</f>
        <v>Tuần 1: 07.09–13.09.2026; Tuần 2: 14.09–20.09.2026; Tuần 3: 21.09–27.09.2026; Tuần 4: 28.09–04.10.2026; Tuần 5: 05.10–11.10.2026; Tuần 6: 12.10–18.10.2026; Tuần 7: 19.10–25.10.2026; Tuần 8: 26.10–01.11.2026.</v>
      </c>
      <c r="N15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0" s="17" t="str">
        <f t="shared" si="23"/>
        <v>Còn trống</v>
      </c>
    </row>
    <row r="1501" spans="1:16" x14ac:dyDescent="0.3">
      <c r="A1501">
        <v>1500</v>
      </c>
      <c r="B1501" t="s">
        <v>3231</v>
      </c>
      <c r="C1501" t="s">
        <v>3458</v>
      </c>
      <c r="D1501" t="s">
        <v>3459</v>
      </c>
      <c r="E1501" t="s">
        <v>40</v>
      </c>
      <c r="F1501" t="s">
        <v>3253</v>
      </c>
      <c r="G1501" t="s">
        <v>3299</v>
      </c>
      <c r="H1501" t="str">
        <f>'Huong dan giao do an'!$B$14</f>
        <v>5 SV (vai trò chính): 1 PM/Scrum Master kiêm Integration; 2 BA/PO; 3 UI-UX + Frontend; 4 Backend/API + DevOps; 5 Database + QA/Tester. Mỗi SV có nhiệm vụ phụ và minh chứng cá nhân.</v>
      </c>
      <c r="I1501" t="s">
        <v>29</v>
      </c>
      <c r="J1501" t="s">
        <v>3241</v>
      </c>
      <c r="K1501" t="str">
        <f>IF(I1501="Trung bình",'Huong dan giao do an'!$B$8,IF(I1501="Khá",'Huong dan giao do an'!$B$9,'Huong dan giao do an'!$B$10))</f>
        <v>Tối thiểu 5 actor; 14-18 use case; 10-15 bảng; 4 quy trình; tích hợp ngoài/realtime hoặc xử lý nâng cao; 3 báo cáo; &gt;=45 test case; logging, backup và deploy.</v>
      </c>
      <c r="L1501" t="str">
        <f>'Huong dan giao do an'!$B$31</f>
        <v>Bắt buộc: Charter/PMP; SRS + scope/WBS; Gantt/baseline; effort-cost budget; RACI/timesheet; quality-test-defect; communication/minutes; risk register; procurement; change log; closure/lessons learned.</v>
      </c>
      <c r="M1501" t="str">
        <f>'Huong dan giao do an'!$B$33</f>
        <v>Tuần 1: 07.09–13.09.2026; Tuần 2: 14.09–20.09.2026; Tuần 3: 21.09–27.09.2026; Tuần 4: 28.09–04.10.2026; Tuần 5: 05.10–11.10.2026; Tuần 6: 12.10–18.10.2026; Tuần 7: 19.10–25.10.2026; Tuần 8: 26.10–01.11.2026.</v>
      </c>
      <c r="N15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1" s="17" t="str">
        <f t="shared" si="23"/>
        <v>Còn trống</v>
      </c>
    </row>
    <row r="1502" spans="1:16" x14ac:dyDescent="0.3">
      <c r="A1502">
        <v>1501</v>
      </c>
      <c r="B1502" t="s">
        <v>3460</v>
      </c>
      <c r="C1502" t="s">
        <v>3461</v>
      </c>
      <c r="D1502" t="s">
        <v>3462</v>
      </c>
      <c r="E1502" t="s">
        <v>19</v>
      </c>
      <c r="F1502" t="s">
        <v>3463</v>
      </c>
      <c r="G1502" t="s">
        <v>3464</v>
      </c>
      <c r="H1502" t="str">
        <f>'Huong dan giao do an'!$B$14</f>
        <v>5 SV (vai trò chính): 1 PM/Scrum Master kiêm Integration; 2 BA/PO; 3 UI-UX + Frontend; 4 Backend/API + DevOps; 5 Database + QA/Tester. Mỗi SV có nhiệm vụ phụ và minh chứng cá nhân.</v>
      </c>
      <c r="I1502" t="s">
        <v>22</v>
      </c>
      <c r="J1502" t="s">
        <v>3465</v>
      </c>
      <c r="K1502" t="str">
        <f>IF(I1502="Trung bình",'Huong dan giao do an'!$B$8,IF(I1502="Khá",'Huong dan giao do an'!$B$9,'Huong dan giao do an'!$B$10))</f>
        <v>Tối thiểu 4 actor; 10-14 use case; 8-12 bảng; 3 quy trình lõi; phân quyền chi tiết; 2 báo cáo; tích hợp 1 dịch vụ; &gt;=35 test case; CI/CD hoặc deploy cloud.</v>
      </c>
      <c r="L1502" t="str">
        <f>'Huong dan giao do an'!$B$31</f>
        <v>Bắt buộc: Charter/PMP; SRS + scope/WBS; Gantt/baseline; effort-cost budget; RACI/timesheet; quality-test-defect; communication/minutes; risk register; procurement; change log; closure/lessons learned.</v>
      </c>
      <c r="M1502" t="str">
        <f>'Huong dan giao do an'!$B$33</f>
        <v>Tuần 1: 07.09–13.09.2026; Tuần 2: 14.09–20.09.2026; Tuần 3: 21.09–27.09.2026; Tuần 4: 28.09–04.10.2026; Tuần 5: 05.10–11.10.2026; Tuần 6: 12.10–18.10.2026; Tuần 7: 19.10–25.10.2026; Tuần 8: 26.10–01.11.2026.</v>
      </c>
      <c r="N15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2" s="17" t="str">
        <f t="shared" si="23"/>
        <v>Còn trống</v>
      </c>
    </row>
    <row r="1503" spans="1:16" x14ac:dyDescent="0.3">
      <c r="A1503">
        <v>1502</v>
      </c>
      <c r="B1503" t="s">
        <v>3460</v>
      </c>
      <c r="C1503" t="s">
        <v>3466</v>
      </c>
      <c r="D1503" t="s">
        <v>3467</v>
      </c>
      <c r="E1503" t="s">
        <v>26</v>
      </c>
      <c r="F1503" t="s">
        <v>3468</v>
      </c>
      <c r="G1503" t="s">
        <v>3469</v>
      </c>
      <c r="H1503" t="str">
        <f>'Huong dan giao do an'!$B$14</f>
        <v>5 SV (vai trò chính): 1 PM/Scrum Master kiêm Integration; 2 BA/PO; 3 UI-UX + Frontend; 4 Backend/API + DevOps; 5 Database + QA/Tester. Mỗi SV có nhiệm vụ phụ và minh chứng cá nhân.</v>
      </c>
      <c r="I1503" t="s">
        <v>29</v>
      </c>
      <c r="J1503" t="s">
        <v>3470</v>
      </c>
      <c r="K1503" t="str">
        <f>IF(I1503="Trung bình",'Huong dan giao do an'!$B$8,IF(I1503="Khá",'Huong dan giao do an'!$B$9,'Huong dan giao do an'!$B$10))</f>
        <v>Tối thiểu 5 actor; 14-18 use case; 10-15 bảng; 4 quy trình; tích hợp ngoài/realtime hoặc xử lý nâng cao; 3 báo cáo; &gt;=45 test case; logging, backup và deploy.</v>
      </c>
      <c r="L1503" t="str">
        <f>'Huong dan giao do an'!$B$31</f>
        <v>Bắt buộc: Charter/PMP; SRS + scope/WBS; Gantt/baseline; effort-cost budget; RACI/timesheet; quality-test-defect; communication/minutes; risk register; procurement; change log; closure/lessons learned.</v>
      </c>
      <c r="M1503" t="str">
        <f>'Huong dan giao do an'!$B$33</f>
        <v>Tuần 1: 07.09–13.09.2026; Tuần 2: 14.09–20.09.2026; Tuần 3: 21.09–27.09.2026; Tuần 4: 28.09–04.10.2026; Tuần 5: 05.10–11.10.2026; Tuần 6: 12.10–18.10.2026; Tuần 7: 19.10–25.10.2026; Tuần 8: 26.10–01.11.2026.</v>
      </c>
      <c r="N15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3" s="17" t="str">
        <f t="shared" si="23"/>
        <v>Còn trống</v>
      </c>
    </row>
    <row r="1504" spans="1:16" x14ac:dyDescent="0.3">
      <c r="A1504">
        <v>1503</v>
      </c>
      <c r="B1504" t="s">
        <v>3460</v>
      </c>
      <c r="C1504" t="s">
        <v>3471</v>
      </c>
      <c r="D1504" t="s">
        <v>3472</v>
      </c>
      <c r="E1504" t="s">
        <v>33</v>
      </c>
      <c r="F1504" t="s">
        <v>3473</v>
      </c>
      <c r="G1504" t="s">
        <v>3474</v>
      </c>
      <c r="H1504" t="str">
        <f>'Huong dan giao do an'!$B$14</f>
        <v>5 SV (vai trò chính): 1 PM/Scrum Master kiêm Integration; 2 BA/PO; 3 UI-UX + Frontend; 4 Backend/API + DevOps; 5 Database + QA/Tester. Mỗi SV có nhiệm vụ phụ và minh chứng cá nhân.</v>
      </c>
      <c r="I1504" t="s">
        <v>36</v>
      </c>
      <c r="J1504" t="s">
        <v>3475</v>
      </c>
      <c r="K1504" t="str">
        <f>IF(I1504="Trung bình",'Huong dan giao do an'!$B$8,IF(I1504="Khá",'Huong dan giao do an'!$B$9,'Huong dan giao do an'!$B$10))</f>
        <v>Tối thiểu 3 actor; 8-10 use case; 6-8 bảng dữ liệu; 2 quy trình lõi; đăng nhập/RBAC; 1 dashboard; 1 báo cáo; &gt;=25 test case; triển khai bản demo.</v>
      </c>
      <c r="L1504" t="str">
        <f>'Huong dan giao do an'!$B$31</f>
        <v>Bắt buộc: Charter/PMP; SRS + scope/WBS; Gantt/baseline; effort-cost budget; RACI/timesheet; quality-test-defect; communication/minutes; risk register; procurement; change log; closure/lessons learned.</v>
      </c>
      <c r="M1504" t="str">
        <f>'Huong dan giao do an'!$B$33</f>
        <v>Tuần 1: 07.09–13.09.2026; Tuần 2: 14.09–20.09.2026; Tuần 3: 21.09–27.09.2026; Tuần 4: 28.09–04.10.2026; Tuần 5: 05.10–11.10.2026; Tuần 6: 12.10–18.10.2026; Tuần 7: 19.10–25.10.2026; Tuần 8: 26.10–01.11.2026.</v>
      </c>
      <c r="N15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4" s="17" t="str">
        <f t="shared" si="23"/>
        <v>Còn trống</v>
      </c>
    </row>
    <row r="1505" spans="1:16" x14ac:dyDescent="0.3">
      <c r="A1505">
        <v>1504</v>
      </c>
      <c r="B1505" t="s">
        <v>3460</v>
      </c>
      <c r="C1505" t="s">
        <v>3476</v>
      </c>
      <c r="D1505" t="s">
        <v>3477</v>
      </c>
      <c r="E1505" t="s">
        <v>40</v>
      </c>
      <c r="F1505" t="s">
        <v>3478</v>
      </c>
      <c r="G1505" t="s">
        <v>3479</v>
      </c>
      <c r="H1505" t="str">
        <f>'Huong dan giao do an'!$B$14</f>
        <v>5 SV (vai trò chính): 1 PM/Scrum Master kiêm Integration; 2 BA/PO; 3 UI-UX + Frontend; 4 Backend/API + DevOps; 5 Database + QA/Tester. Mỗi SV có nhiệm vụ phụ và minh chứng cá nhân.</v>
      </c>
      <c r="I1505" t="s">
        <v>22</v>
      </c>
      <c r="J1505" t="s">
        <v>3465</v>
      </c>
      <c r="K1505" t="str">
        <f>IF(I1505="Trung bình",'Huong dan giao do an'!$B$8,IF(I1505="Khá",'Huong dan giao do an'!$B$9,'Huong dan giao do an'!$B$10))</f>
        <v>Tối thiểu 4 actor; 10-14 use case; 8-12 bảng; 3 quy trình lõi; phân quyền chi tiết; 2 báo cáo; tích hợp 1 dịch vụ; &gt;=35 test case; CI/CD hoặc deploy cloud.</v>
      </c>
      <c r="L1505" t="str">
        <f>'Huong dan giao do an'!$B$31</f>
        <v>Bắt buộc: Charter/PMP; SRS + scope/WBS; Gantt/baseline; effort-cost budget; RACI/timesheet; quality-test-defect; communication/minutes; risk register; procurement; change log; closure/lessons learned.</v>
      </c>
      <c r="M1505" t="str">
        <f>'Huong dan giao do an'!$B$33</f>
        <v>Tuần 1: 07.09–13.09.2026; Tuần 2: 14.09–20.09.2026; Tuần 3: 21.09–27.09.2026; Tuần 4: 28.09–04.10.2026; Tuần 5: 05.10–11.10.2026; Tuần 6: 12.10–18.10.2026; Tuần 7: 19.10–25.10.2026; Tuần 8: 26.10–01.11.2026.</v>
      </c>
      <c r="N15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5" s="17" t="str">
        <f t="shared" si="23"/>
        <v>Còn trống</v>
      </c>
    </row>
    <row r="1506" spans="1:16" x14ac:dyDescent="0.3">
      <c r="A1506">
        <v>1505</v>
      </c>
      <c r="B1506" t="s">
        <v>3460</v>
      </c>
      <c r="C1506" t="s">
        <v>3480</v>
      </c>
      <c r="D1506" t="s">
        <v>3481</v>
      </c>
      <c r="E1506" t="s">
        <v>45</v>
      </c>
      <c r="F1506" t="s">
        <v>3482</v>
      </c>
      <c r="G1506" t="s">
        <v>3483</v>
      </c>
      <c r="H1506" t="str">
        <f>'Huong dan giao do an'!$B$14</f>
        <v>5 SV (vai trò chính): 1 PM/Scrum Master kiêm Integration; 2 BA/PO; 3 UI-UX + Frontend; 4 Backend/API + DevOps; 5 Database + QA/Tester. Mỗi SV có nhiệm vụ phụ và minh chứng cá nhân.</v>
      </c>
      <c r="I1506" t="s">
        <v>29</v>
      </c>
      <c r="J1506" t="s">
        <v>3470</v>
      </c>
      <c r="K1506" t="str">
        <f>IF(I1506="Trung bình",'Huong dan giao do an'!$B$8,IF(I1506="Khá",'Huong dan giao do an'!$B$9,'Huong dan giao do an'!$B$10))</f>
        <v>Tối thiểu 5 actor; 14-18 use case; 10-15 bảng; 4 quy trình; tích hợp ngoài/realtime hoặc xử lý nâng cao; 3 báo cáo; &gt;=45 test case; logging, backup và deploy.</v>
      </c>
      <c r="L1506" t="str">
        <f>'Huong dan giao do an'!$B$31</f>
        <v>Bắt buộc: Charter/PMP; SRS + scope/WBS; Gantt/baseline; effort-cost budget; RACI/timesheet; quality-test-defect; communication/minutes; risk register; procurement; change log; closure/lessons learned.</v>
      </c>
      <c r="M1506" t="str">
        <f>'Huong dan giao do an'!$B$33</f>
        <v>Tuần 1: 07.09–13.09.2026; Tuần 2: 14.09–20.09.2026; Tuần 3: 21.09–27.09.2026; Tuần 4: 28.09–04.10.2026; Tuần 5: 05.10–11.10.2026; Tuần 6: 12.10–18.10.2026; Tuần 7: 19.10–25.10.2026; Tuần 8: 26.10–01.11.2026.</v>
      </c>
      <c r="N15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6" s="17" t="str">
        <f t="shared" si="23"/>
        <v>Còn trống</v>
      </c>
    </row>
    <row r="1507" spans="1:16" x14ac:dyDescent="0.3">
      <c r="A1507">
        <v>1506</v>
      </c>
      <c r="B1507" t="s">
        <v>3460</v>
      </c>
      <c r="C1507" t="s">
        <v>3484</v>
      </c>
      <c r="D1507" t="s">
        <v>3485</v>
      </c>
      <c r="E1507" t="s">
        <v>19</v>
      </c>
      <c r="F1507" t="s">
        <v>3463</v>
      </c>
      <c r="G1507" t="s">
        <v>3486</v>
      </c>
      <c r="H1507" t="str">
        <f>'Huong dan giao do an'!$B$14</f>
        <v>5 SV (vai trò chính): 1 PM/Scrum Master kiêm Integration; 2 BA/PO; 3 UI-UX + Frontend; 4 Backend/API + DevOps; 5 Database + QA/Tester. Mỗi SV có nhiệm vụ phụ và minh chứng cá nhân.</v>
      </c>
      <c r="I1507" t="s">
        <v>36</v>
      </c>
      <c r="J1507" t="s">
        <v>3475</v>
      </c>
      <c r="K1507" t="str">
        <f>IF(I1507="Trung bình",'Huong dan giao do an'!$B$8,IF(I1507="Khá",'Huong dan giao do an'!$B$9,'Huong dan giao do an'!$B$10))</f>
        <v>Tối thiểu 3 actor; 8-10 use case; 6-8 bảng dữ liệu; 2 quy trình lõi; đăng nhập/RBAC; 1 dashboard; 1 báo cáo; &gt;=25 test case; triển khai bản demo.</v>
      </c>
      <c r="L1507" t="str">
        <f>'Huong dan giao do an'!$B$31</f>
        <v>Bắt buộc: Charter/PMP; SRS + scope/WBS; Gantt/baseline; effort-cost budget; RACI/timesheet; quality-test-defect; communication/minutes; risk register; procurement; change log; closure/lessons learned.</v>
      </c>
      <c r="M1507" t="str">
        <f>'Huong dan giao do an'!$B$33</f>
        <v>Tuần 1: 07.09–13.09.2026; Tuần 2: 14.09–20.09.2026; Tuần 3: 21.09–27.09.2026; Tuần 4: 28.09–04.10.2026; Tuần 5: 05.10–11.10.2026; Tuần 6: 12.10–18.10.2026; Tuần 7: 19.10–25.10.2026; Tuần 8: 26.10–01.11.2026.</v>
      </c>
      <c r="N15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7" s="17" t="str">
        <f t="shared" si="23"/>
        <v>Còn trống</v>
      </c>
    </row>
    <row r="1508" spans="1:16" x14ac:dyDescent="0.3">
      <c r="A1508">
        <v>1507</v>
      </c>
      <c r="B1508" t="s">
        <v>3460</v>
      </c>
      <c r="C1508" t="s">
        <v>3487</v>
      </c>
      <c r="D1508" t="s">
        <v>3488</v>
      </c>
      <c r="E1508" t="s">
        <v>26</v>
      </c>
      <c r="F1508" t="s">
        <v>3468</v>
      </c>
      <c r="G1508" t="s">
        <v>3489</v>
      </c>
      <c r="H1508" t="str">
        <f>'Huong dan giao do an'!$B$14</f>
        <v>5 SV (vai trò chính): 1 PM/Scrum Master kiêm Integration; 2 BA/PO; 3 UI-UX + Frontend; 4 Backend/API + DevOps; 5 Database + QA/Tester. Mỗi SV có nhiệm vụ phụ và minh chứng cá nhân.</v>
      </c>
      <c r="I1508" t="s">
        <v>22</v>
      </c>
      <c r="J1508" t="s">
        <v>3465</v>
      </c>
      <c r="K1508" t="str">
        <f>IF(I1508="Trung bình",'Huong dan giao do an'!$B$8,IF(I1508="Khá",'Huong dan giao do an'!$B$9,'Huong dan giao do an'!$B$10))</f>
        <v>Tối thiểu 4 actor; 10-14 use case; 8-12 bảng; 3 quy trình lõi; phân quyền chi tiết; 2 báo cáo; tích hợp 1 dịch vụ; &gt;=35 test case; CI/CD hoặc deploy cloud.</v>
      </c>
      <c r="L1508" t="str">
        <f>'Huong dan giao do an'!$B$31</f>
        <v>Bắt buộc: Charter/PMP; SRS + scope/WBS; Gantt/baseline; effort-cost budget; RACI/timesheet; quality-test-defect; communication/minutes; risk register; procurement; change log; closure/lessons learned.</v>
      </c>
      <c r="M1508" t="str">
        <f>'Huong dan giao do an'!$B$33</f>
        <v>Tuần 1: 07.09–13.09.2026; Tuần 2: 14.09–20.09.2026; Tuần 3: 21.09–27.09.2026; Tuần 4: 28.09–04.10.2026; Tuần 5: 05.10–11.10.2026; Tuần 6: 12.10–18.10.2026; Tuần 7: 19.10–25.10.2026; Tuần 8: 26.10–01.11.2026.</v>
      </c>
      <c r="N15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8" s="17" t="str">
        <f t="shared" si="23"/>
        <v>Còn trống</v>
      </c>
    </row>
    <row r="1509" spans="1:16" x14ac:dyDescent="0.3">
      <c r="A1509">
        <v>1508</v>
      </c>
      <c r="B1509" t="s">
        <v>3460</v>
      </c>
      <c r="C1509" t="s">
        <v>3490</v>
      </c>
      <c r="D1509" t="s">
        <v>3491</v>
      </c>
      <c r="E1509" t="s">
        <v>33</v>
      </c>
      <c r="F1509" t="s">
        <v>3473</v>
      </c>
      <c r="G1509" t="s">
        <v>3492</v>
      </c>
      <c r="H1509" t="str">
        <f>'Huong dan giao do an'!$B$14</f>
        <v>5 SV (vai trò chính): 1 PM/Scrum Master kiêm Integration; 2 BA/PO; 3 UI-UX + Frontend; 4 Backend/API + DevOps; 5 Database + QA/Tester. Mỗi SV có nhiệm vụ phụ và minh chứng cá nhân.</v>
      </c>
      <c r="I1509" t="s">
        <v>29</v>
      </c>
      <c r="J1509" t="s">
        <v>3470</v>
      </c>
      <c r="K1509" t="str">
        <f>IF(I1509="Trung bình",'Huong dan giao do an'!$B$8,IF(I1509="Khá",'Huong dan giao do an'!$B$9,'Huong dan giao do an'!$B$10))</f>
        <v>Tối thiểu 5 actor; 14-18 use case; 10-15 bảng; 4 quy trình; tích hợp ngoài/realtime hoặc xử lý nâng cao; 3 báo cáo; &gt;=45 test case; logging, backup và deploy.</v>
      </c>
      <c r="L1509" t="str">
        <f>'Huong dan giao do an'!$B$31</f>
        <v>Bắt buộc: Charter/PMP; SRS + scope/WBS; Gantt/baseline; effort-cost budget; RACI/timesheet; quality-test-defect; communication/minutes; risk register; procurement; change log; closure/lessons learned.</v>
      </c>
      <c r="M1509" t="str">
        <f>'Huong dan giao do an'!$B$33</f>
        <v>Tuần 1: 07.09–13.09.2026; Tuần 2: 14.09–20.09.2026; Tuần 3: 21.09–27.09.2026; Tuần 4: 28.09–04.10.2026; Tuần 5: 05.10–11.10.2026; Tuần 6: 12.10–18.10.2026; Tuần 7: 19.10–25.10.2026; Tuần 8: 26.10–01.11.2026.</v>
      </c>
      <c r="N15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09" s="17" t="str">
        <f t="shared" si="23"/>
        <v>Còn trống</v>
      </c>
    </row>
    <row r="1510" spans="1:16" x14ac:dyDescent="0.3">
      <c r="A1510">
        <v>1509</v>
      </c>
      <c r="B1510" t="s">
        <v>3460</v>
      </c>
      <c r="C1510" t="s">
        <v>3493</v>
      </c>
      <c r="D1510" t="s">
        <v>3494</v>
      </c>
      <c r="E1510" t="s">
        <v>40</v>
      </c>
      <c r="F1510" t="s">
        <v>3478</v>
      </c>
      <c r="G1510" t="s">
        <v>3495</v>
      </c>
      <c r="H1510" t="str">
        <f>'Huong dan giao do an'!$B$14</f>
        <v>5 SV (vai trò chính): 1 PM/Scrum Master kiêm Integration; 2 BA/PO; 3 UI-UX + Frontend; 4 Backend/API + DevOps; 5 Database + QA/Tester. Mỗi SV có nhiệm vụ phụ và minh chứng cá nhân.</v>
      </c>
      <c r="I1510" t="s">
        <v>36</v>
      </c>
      <c r="J1510" t="s">
        <v>3475</v>
      </c>
      <c r="K1510" t="str">
        <f>IF(I1510="Trung bình",'Huong dan giao do an'!$B$8,IF(I1510="Khá",'Huong dan giao do an'!$B$9,'Huong dan giao do an'!$B$10))</f>
        <v>Tối thiểu 3 actor; 8-10 use case; 6-8 bảng dữ liệu; 2 quy trình lõi; đăng nhập/RBAC; 1 dashboard; 1 báo cáo; &gt;=25 test case; triển khai bản demo.</v>
      </c>
      <c r="L1510" t="str">
        <f>'Huong dan giao do an'!$B$31</f>
        <v>Bắt buộc: Charter/PMP; SRS + scope/WBS; Gantt/baseline; effort-cost budget; RACI/timesheet; quality-test-defect; communication/minutes; risk register; procurement; change log; closure/lessons learned.</v>
      </c>
      <c r="M1510" t="str">
        <f>'Huong dan giao do an'!$B$33</f>
        <v>Tuần 1: 07.09–13.09.2026; Tuần 2: 14.09–20.09.2026; Tuần 3: 21.09–27.09.2026; Tuần 4: 28.09–04.10.2026; Tuần 5: 05.10–11.10.2026; Tuần 6: 12.10–18.10.2026; Tuần 7: 19.10–25.10.2026; Tuần 8: 26.10–01.11.2026.</v>
      </c>
      <c r="N15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0" s="17" t="str">
        <f t="shared" si="23"/>
        <v>Còn trống</v>
      </c>
    </row>
    <row r="1511" spans="1:16" x14ac:dyDescent="0.3">
      <c r="A1511">
        <v>1510</v>
      </c>
      <c r="B1511" t="s">
        <v>3460</v>
      </c>
      <c r="C1511" t="s">
        <v>3496</v>
      </c>
      <c r="D1511" t="s">
        <v>3497</v>
      </c>
      <c r="E1511" t="s">
        <v>45</v>
      </c>
      <c r="F1511" t="s">
        <v>3482</v>
      </c>
      <c r="G1511" t="s">
        <v>3498</v>
      </c>
      <c r="H1511" t="str">
        <f>'Huong dan giao do an'!$B$14</f>
        <v>5 SV (vai trò chính): 1 PM/Scrum Master kiêm Integration; 2 BA/PO; 3 UI-UX + Frontend; 4 Backend/API + DevOps; 5 Database + QA/Tester. Mỗi SV có nhiệm vụ phụ và minh chứng cá nhân.</v>
      </c>
      <c r="I1511" t="s">
        <v>22</v>
      </c>
      <c r="J1511" t="s">
        <v>3465</v>
      </c>
      <c r="K1511" t="str">
        <f>IF(I1511="Trung bình",'Huong dan giao do an'!$B$8,IF(I1511="Khá",'Huong dan giao do an'!$B$9,'Huong dan giao do an'!$B$10))</f>
        <v>Tối thiểu 4 actor; 10-14 use case; 8-12 bảng; 3 quy trình lõi; phân quyền chi tiết; 2 báo cáo; tích hợp 1 dịch vụ; &gt;=35 test case; CI/CD hoặc deploy cloud.</v>
      </c>
      <c r="L1511" t="str">
        <f>'Huong dan giao do an'!$B$31</f>
        <v>Bắt buộc: Charter/PMP; SRS + scope/WBS; Gantt/baseline; effort-cost budget; RACI/timesheet; quality-test-defect; communication/minutes; risk register; procurement; change log; closure/lessons learned.</v>
      </c>
      <c r="M1511" t="str">
        <f>'Huong dan giao do an'!$B$33</f>
        <v>Tuần 1: 07.09–13.09.2026; Tuần 2: 14.09–20.09.2026; Tuần 3: 21.09–27.09.2026; Tuần 4: 28.09–04.10.2026; Tuần 5: 05.10–11.10.2026; Tuần 6: 12.10–18.10.2026; Tuần 7: 19.10–25.10.2026; Tuần 8: 26.10–01.11.2026.</v>
      </c>
      <c r="N15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1" s="17" t="str">
        <f t="shared" si="23"/>
        <v>Còn trống</v>
      </c>
    </row>
    <row r="1512" spans="1:16" x14ac:dyDescent="0.3">
      <c r="A1512">
        <v>1511</v>
      </c>
      <c r="B1512" t="s">
        <v>3460</v>
      </c>
      <c r="C1512" t="s">
        <v>3499</v>
      </c>
      <c r="D1512" t="s">
        <v>3500</v>
      </c>
      <c r="E1512" t="s">
        <v>19</v>
      </c>
      <c r="F1512" t="s">
        <v>3463</v>
      </c>
      <c r="G1512" t="s">
        <v>3501</v>
      </c>
      <c r="H1512" t="str">
        <f>'Huong dan giao do an'!$B$14</f>
        <v>5 SV (vai trò chính): 1 PM/Scrum Master kiêm Integration; 2 BA/PO; 3 UI-UX + Frontend; 4 Backend/API + DevOps; 5 Database + QA/Tester. Mỗi SV có nhiệm vụ phụ và minh chứng cá nhân.</v>
      </c>
      <c r="I1512" t="s">
        <v>29</v>
      </c>
      <c r="J1512" t="s">
        <v>3470</v>
      </c>
      <c r="K1512" t="str">
        <f>IF(I1512="Trung bình",'Huong dan giao do an'!$B$8,IF(I1512="Khá",'Huong dan giao do an'!$B$9,'Huong dan giao do an'!$B$10))</f>
        <v>Tối thiểu 5 actor; 14-18 use case; 10-15 bảng; 4 quy trình; tích hợp ngoài/realtime hoặc xử lý nâng cao; 3 báo cáo; &gt;=45 test case; logging, backup và deploy.</v>
      </c>
      <c r="L1512" t="str">
        <f>'Huong dan giao do an'!$B$31</f>
        <v>Bắt buộc: Charter/PMP; SRS + scope/WBS; Gantt/baseline; effort-cost budget; RACI/timesheet; quality-test-defect; communication/minutes; risk register; procurement; change log; closure/lessons learned.</v>
      </c>
      <c r="M1512" t="str">
        <f>'Huong dan giao do an'!$B$33</f>
        <v>Tuần 1: 07.09–13.09.2026; Tuần 2: 14.09–20.09.2026; Tuần 3: 21.09–27.09.2026; Tuần 4: 28.09–04.10.2026; Tuần 5: 05.10–11.10.2026; Tuần 6: 12.10–18.10.2026; Tuần 7: 19.10–25.10.2026; Tuần 8: 26.10–01.11.2026.</v>
      </c>
      <c r="N15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2" s="17" t="str">
        <f t="shared" si="23"/>
        <v>Còn trống</v>
      </c>
    </row>
    <row r="1513" spans="1:16" x14ac:dyDescent="0.3">
      <c r="A1513">
        <v>1512</v>
      </c>
      <c r="B1513" t="s">
        <v>3460</v>
      </c>
      <c r="C1513" t="s">
        <v>3502</v>
      </c>
      <c r="D1513" t="s">
        <v>3503</v>
      </c>
      <c r="E1513" t="s">
        <v>26</v>
      </c>
      <c r="F1513" t="s">
        <v>3468</v>
      </c>
      <c r="G1513" t="s">
        <v>3504</v>
      </c>
      <c r="H1513" t="str">
        <f>'Huong dan giao do an'!$B$14</f>
        <v>5 SV (vai trò chính): 1 PM/Scrum Master kiêm Integration; 2 BA/PO; 3 UI-UX + Frontend; 4 Backend/API + DevOps; 5 Database + QA/Tester. Mỗi SV có nhiệm vụ phụ và minh chứng cá nhân.</v>
      </c>
      <c r="I1513" t="s">
        <v>36</v>
      </c>
      <c r="J1513" t="s">
        <v>3475</v>
      </c>
      <c r="K1513" t="str">
        <f>IF(I1513="Trung bình",'Huong dan giao do an'!$B$8,IF(I1513="Khá",'Huong dan giao do an'!$B$9,'Huong dan giao do an'!$B$10))</f>
        <v>Tối thiểu 3 actor; 8-10 use case; 6-8 bảng dữ liệu; 2 quy trình lõi; đăng nhập/RBAC; 1 dashboard; 1 báo cáo; &gt;=25 test case; triển khai bản demo.</v>
      </c>
      <c r="L1513" t="str">
        <f>'Huong dan giao do an'!$B$31</f>
        <v>Bắt buộc: Charter/PMP; SRS + scope/WBS; Gantt/baseline; effort-cost budget; RACI/timesheet; quality-test-defect; communication/minutes; risk register; procurement; change log; closure/lessons learned.</v>
      </c>
      <c r="M1513" t="str">
        <f>'Huong dan giao do an'!$B$33</f>
        <v>Tuần 1: 07.09–13.09.2026; Tuần 2: 14.09–20.09.2026; Tuần 3: 21.09–27.09.2026; Tuần 4: 28.09–04.10.2026; Tuần 5: 05.10–11.10.2026; Tuần 6: 12.10–18.10.2026; Tuần 7: 19.10–25.10.2026; Tuần 8: 26.10–01.11.2026.</v>
      </c>
      <c r="N15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3" s="17" t="str">
        <f t="shared" si="23"/>
        <v>Còn trống</v>
      </c>
    </row>
    <row r="1514" spans="1:16" x14ac:dyDescent="0.3">
      <c r="A1514">
        <v>1513</v>
      </c>
      <c r="B1514" t="s">
        <v>3460</v>
      </c>
      <c r="C1514" t="s">
        <v>3505</v>
      </c>
      <c r="D1514" t="s">
        <v>3506</v>
      </c>
      <c r="E1514" t="s">
        <v>33</v>
      </c>
      <c r="F1514" t="s">
        <v>3473</v>
      </c>
      <c r="G1514" t="s">
        <v>3507</v>
      </c>
      <c r="H1514" t="str">
        <f>'Huong dan giao do an'!$B$14</f>
        <v>5 SV (vai trò chính): 1 PM/Scrum Master kiêm Integration; 2 BA/PO; 3 UI-UX + Frontend; 4 Backend/API + DevOps; 5 Database + QA/Tester. Mỗi SV có nhiệm vụ phụ và minh chứng cá nhân.</v>
      </c>
      <c r="I1514" t="s">
        <v>22</v>
      </c>
      <c r="J1514" t="s">
        <v>3465</v>
      </c>
      <c r="K1514" t="str">
        <f>IF(I1514="Trung bình",'Huong dan giao do an'!$B$8,IF(I1514="Khá",'Huong dan giao do an'!$B$9,'Huong dan giao do an'!$B$10))</f>
        <v>Tối thiểu 4 actor; 10-14 use case; 8-12 bảng; 3 quy trình lõi; phân quyền chi tiết; 2 báo cáo; tích hợp 1 dịch vụ; &gt;=35 test case; CI/CD hoặc deploy cloud.</v>
      </c>
      <c r="L1514" t="str">
        <f>'Huong dan giao do an'!$B$31</f>
        <v>Bắt buộc: Charter/PMP; SRS + scope/WBS; Gantt/baseline; effort-cost budget; RACI/timesheet; quality-test-defect; communication/minutes; risk register; procurement; change log; closure/lessons learned.</v>
      </c>
      <c r="M1514" t="str">
        <f>'Huong dan giao do an'!$B$33</f>
        <v>Tuần 1: 07.09–13.09.2026; Tuần 2: 14.09–20.09.2026; Tuần 3: 21.09–27.09.2026; Tuần 4: 28.09–04.10.2026; Tuần 5: 05.10–11.10.2026; Tuần 6: 12.10–18.10.2026; Tuần 7: 19.10–25.10.2026; Tuần 8: 26.10–01.11.2026.</v>
      </c>
      <c r="N15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4" s="17" t="str">
        <f t="shared" si="23"/>
        <v>Còn trống</v>
      </c>
    </row>
    <row r="1515" spans="1:16" x14ac:dyDescent="0.3">
      <c r="A1515">
        <v>1514</v>
      </c>
      <c r="B1515" t="s">
        <v>3460</v>
      </c>
      <c r="C1515" t="s">
        <v>3508</v>
      </c>
      <c r="D1515" t="s">
        <v>3509</v>
      </c>
      <c r="E1515" t="s">
        <v>40</v>
      </c>
      <c r="F1515" t="s">
        <v>3478</v>
      </c>
      <c r="G1515" t="s">
        <v>3510</v>
      </c>
      <c r="H1515" t="str">
        <f>'Huong dan giao do an'!$B$14</f>
        <v>5 SV (vai trò chính): 1 PM/Scrum Master kiêm Integration; 2 BA/PO; 3 UI-UX + Frontend; 4 Backend/API + DevOps; 5 Database + QA/Tester. Mỗi SV có nhiệm vụ phụ và minh chứng cá nhân.</v>
      </c>
      <c r="I1515" t="s">
        <v>29</v>
      </c>
      <c r="J1515" t="s">
        <v>3470</v>
      </c>
      <c r="K1515" t="str">
        <f>IF(I1515="Trung bình",'Huong dan giao do an'!$B$8,IF(I1515="Khá",'Huong dan giao do an'!$B$9,'Huong dan giao do an'!$B$10))</f>
        <v>Tối thiểu 5 actor; 14-18 use case; 10-15 bảng; 4 quy trình; tích hợp ngoài/realtime hoặc xử lý nâng cao; 3 báo cáo; &gt;=45 test case; logging, backup và deploy.</v>
      </c>
      <c r="L1515" t="str">
        <f>'Huong dan giao do an'!$B$31</f>
        <v>Bắt buộc: Charter/PMP; SRS + scope/WBS; Gantt/baseline; effort-cost budget; RACI/timesheet; quality-test-defect; communication/minutes; risk register; procurement; change log; closure/lessons learned.</v>
      </c>
      <c r="M1515" t="str">
        <f>'Huong dan giao do an'!$B$33</f>
        <v>Tuần 1: 07.09–13.09.2026; Tuần 2: 14.09–20.09.2026; Tuần 3: 21.09–27.09.2026; Tuần 4: 28.09–04.10.2026; Tuần 5: 05.10–11.10.2026; Tuần 6: 12.10–18.10.2026; Tuần 7: 19.10–25.10.2026; Tuần 8: 26.10–01.11.2026.</v>
      </c>
      <c r="N15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5" s="17" t="str">
        <f t="shared" si="23"/>
        <v>Còn trống</v>
      </c>
    </row>
    <row r="1516" spans="1:16" x14ac:dyDescent="0.3">
      <c r="A1516">
        <v>1515</v>
      </c>
      <c r="B1516" t="s">
        <v>3460</v>
      </c>
      <c r="C1516" t="s">
        <v>3511</v>
      </c>
      <c r="D1516" t="s">
        <v>3512</v>
      </c>
      <c r="E1516" t="s">
        <v>45</v>
      </c>
      <c r="F1516" t="s">
        <v>3482</v>
      </c>
      <c r="G1516" t="s">
        <v>3513</v>
      </c>
      <c r="H1516" t="str">
        <f>'Huong dan giao do an'!$B$14</f>
        <v>5 SV (vai trò chính): 1 PM/Scrum Master kiêm Integration; 2 BA/PO; 3 UI-UX + Frontend; 4 Backend/API + DevOps; 5 Database + QA/Tester. Mỗi SV có nhiệm vụ phụ và minh chứng cá nhân.</v>
      </c>
      <c r="I1516" t="s">
        <v>36</v>
      </c>
      <c r="J1516" t="s">
        <v>3475</v>
      </c>
      <c r="K1516" t="str">
        <f>IF(I1516="Trung bình",'Huong dan giao do an'!$B$8,IF(I1516="Khá",'Huong dan giao do an'!$B$9,'Huong dan giao do an'!$B$10))</f>
        <v>Tối thiểu 3 actor; 8-10 use case; 6-8 bảng dữ liệu; 2 quy trình lõi; đăng nhập/RBAC; 1 dashboard; 1 báo cáo; &gt;=25 test case; triển khai bản demo.</v>
      </c>
      <c r="L1516" t="str">
        <f>'Huong dan giao do an'!$B$31</f>
        <v>Bắt buộc: Charter/PMP; SRS + scope/WBS; Gantt/baseline; effort-cost budget; RACI/timesheet; quality-test-defect; communication/minutes; risk register; procurement; change log; closure/lessons learned.</v>
      </c>
      <c r="M1516" t="str">
        <f>'Huong dan giao do an'!$B$33</f>
        <v>Tuần 1: 07.09–13.09.2026; Tuần 2: 14.09–20.09.2026; Tuần 3: 21.09–27.09.2026; Tuần 4: 28.09–04.10.2026; Tuần 5: 05.10–11.10.2026; Tuần 6: 12.10–18.10.2026; Tuần 7: 19.10–25.10.2026; Tuần 8: 26.10–01.11.2026.</v>
      </c>
      <c r="N15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6" s="17" t="str">
        <f t="shared" si="23"/>
        <v>Còn trống</v>
      </c>
    </row>
    <row r="1517" spans="1:16" x14ac:dyDescent="0.3">
      <c r="A1517">
        <v>1516</v>
      </c>
      <c r="B1517" t="s">
        <v>3460</v>
      </c>
      <c r="C1517" t="s">
        <v>3514</v>
      </c>
      <c r="D1517" t="s">
        <v>3515</v>
      </c>
      <c r="E1517" t="s">
        <v>19</v>
      </c>
      <c r="F1517" t="s">
        <v>3463</v>
      </c>
      <c r="G1517" t="s">
        <v>3516</v>
      </c>
      <c r="H1517" t="str">
        <f>'Huong dan giao do an'!$B$14</f>
        <v>5 SV (vai trò chính): 1 PM/Scrum Master kiêm Integration; 2 BA/PO; 3 UI-UX + Frontend; 4 Backend/API + DevOps; 5 Database + QA/Tester. Mỗi SV có nhiệm vụ phụ và minh chứng cá nhân.</v>
      </c>
      <c r="I1517" t="s">
        <v>22</v>
      </c>
      <c r="J1517" t="s">
        <v>3465</v>
      </c>
      <c r="K1517" t="str">
        <f>IF(I1517="Trung bình",'Huong dan giao do an'!$B$8,IF(I1517="Khá",'Huong dan giao do an'!$B$9,'Huong dan giao do an'!$B$10))</f>
        <v>Tối thiểu 4 actor; 10-14 use case; 8-12 bảng; 3 quy trình lõi; phân quyền chi tiết; 2 báo cáo; tích hợp 1 dịch vụ; &gt;=35 test case; CI/CD hoặc deploy cloud.</v>
      </c>
      <c r="L1517" t="str">
        <f>'Huong dan giao do an'!$B$31</f>
        <v>Bắt buộc: Charter/PMP; SRS + scope/WBS; Gantt/baseline; effort-cost budget; RACI/timesheet; quality-test-defect; communication/minutes; risk register; procurement; change log; closure/lessons learned.</v>
      </c>
      <c r="M1517" t="str">
        <f>'Huong dan giao do an'!$B$33</f>
        <v>Tuần 1: 07.09–13.09.2026; Tuần 2: 14.09–20.09.2026; Tuần 3: 21.09–27.09.2026; Tuần 4: 28.09–04.10.2026; Tuần 5: 05.10–11.10.2026; Tuần 6: 12.10–18.10.2026; Tuần 7: 19.10–25.10.2026; Tuần 8: 26.10–01.11.2026.</v>
      </c>
      <c r="N15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7" s="17" t="str">
        <f t="shared" si="23"/>
        <v>Còn trống</v>
      </c>
    </row>
    <row r="1518" spans="1:16" x14ac:dyDescent="0.3">
      <c r="A1518">
        <v>1517</v>
      </c>
      <c r="B1518" t="s">
        <v>3460</v>
      </c>
      <c r="C1518" t="s">
        <v>3517</v>
      </c>
      <c r="D1518" t="s">
        <v>3518</v>
      </c>
      <c r="E1518" t="s">
        <v>26</v>
      </c>
      <c r="F1518" t="s">
        <v>3468</v>
      </c>
      <c r="G1518" t="s">
        <v>3519</v>
      </c>
      <c r="H1518" t="str">
        <f>'Huong dan giao do an'!$B$14</f>
        <v>5 SV (vai trò chính): 1 PM/Scrum Master kiêm Integration; 2 BA/PO; 3 UI-UX + Frontend; 4 Backend/API + DevOps; 5 Database + QA/Tester. Mỗi SV có nhiệm vụ phụ và minh chứng cá nhân.</v>
      </c>
      <c r="I1518" t="s">
        <v>29</v>
      </c>
      <c r="J1518" t="s">
        <v>3470</v>
      </c>
      <c r="K1518" t="str">
        <f>IF(I1518="Trung bình",'Huong dan giao do an'!$B$8,IF(I1518="Khá",'Huong dan giao do an'!$B$9,'Huong dan giao do an'!$B$10))</f>
        <v>Tối thiểu 5 actor; 14-18 use case; 10-15 bảng; 4 quy trình; tích hợp ngoài/realtime hoặc xử lý nâng cao; 3 báo cáo; &gt;=45 test case; logging, backup và deploy.</v>
      </c>
      <c r="L1518" t="str">
        <f>'Huong dan giao do an'!$B$31</f>
        <v>Bắt buộc: Charter/PMP; SRS + scope/WBS; Gantt/baseline; effort-cost budget; RACI/timesheet; quality-test-defect; communication/minutes; risk register; procurement; change log; closure/lessons learned.</v>
      </c>
      <c r="M1518" t="str">
        <f>'Huong dan giao do an'!$B$33</f>
        <v>Tuần 1: 07.09–13.09.2026; Tuần 2: 14.09–20.09.2026; Tuần 3: 21.09–27.09.2026; Tuần 4: 28.09–04.10.2026; Tuần 5: 05.10–11.10.2026; Tuần 6: 12.10–18.10.2026; Tuần 7: 19.10–25.10.2026; Tuần 8: 26.10–01.11.2026.</v>
      </c>
      <c r="N15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8" s="17" t="str">
        <f t="shared" si="23"/>
        <v>Còn trống</v>
      </c>
    </row>
    <row r="1519" spans="1:16" x14ac:dyDescent="0.3">
      <c r="A1519">
        <v>1518</v>
      </c>
      <c r="B1519" t="s">
        <v>3460</v>
      </c>
      <c r="C1519" t="s">
        <v>3520</v>
      </c>
      <c r="D1519" t="s">
        <v>3521</v>
      </c>
      <c r="E1519" t="s">
        <v>33</v>
      </c>
      <c r="F1519" t="s">
        <v>3473</v>
      </c>
      <c r="G1519" t="s">
        <v>3522</v>
      </c>
      <c r="H1519" t="str">
        <f>'Huong dan giao do an'!$B$14</f>
        <v>5 SV (vai trò chính): 1 PM/Scrum Master kiêm Integration; 2 BA/PO; 3 UI-UX + Frontend; 4 Backend/API + DevOps; 5 Database + QA/Tester. Mỗi SV có nhiệm vụ phụ và minh chứng cá nhân.</v>
      </c>
      <c r="I1519" t="s">
        <v>36</v>
      </c>
      <c r="J1519" t="s">
        <v>3475</v>
      </c>
      <c r="K1519" t="str">
        <f>IF(I1519="Trung bình",'Huong dan giao do an'!$B$8,IF(I1519="Khá",'Huong dan giao do an'!$B$9,'Huong dan giao do an'!$B$10))</f>
        <v>Tối thiểu 3 actor; 8-10 use case; 6-8 bảng dữ liệu; 2 quy trình lõi; đăng nhập/RBAC; 1 dashboard; 1 báo cáo; &gt;=25 test case; triển khai bản demo.</v>
      </c>
      <c r="L1519" t="str">
        <f>'Huong dan giao do an'!$B$31</f>
        <v>Bắt buộc: Charter/PMP; SRS + scope/WBS; Gantt/baseline; effort-cost budget; RACI/timesheet; quality-test-defect; communication/minutes; risk register; procurement; change log; closure/lessons learned.</v>
      </c>
      <c r="M1519" t="str">
        <f>'Huong dan giao do an'!$B$33</f>
        <v>Tuần 1: 07.09–13.09.2026; Tuần 2: 14.09–20.09.2026; Tuần 3: 21.09–27.09.2026; Tuần 4: 28.09–04.10.2026; Tuần 5: 05.10–11.10.2026; Tuần 6: 12.10–18.10.2026; Tuần 7: 19.10–25.10.2026; Tuần 8: 26.10–01.11.2026.</v>
      </c>
      <c r="N15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19" s="17" t="str">
        <f t="shared" si="23"/>
        <v>Còn trống</v>
      </c>
    </row>
    <row r="1520" spans="1:16" x14ac:dyDescent="0.3">
      <c r="A1520">
        <v>1519</v>
      </c>
      <c r="B1520" t="s">
        <v>3460</v>
      </c>
      <c r="C1520" t="s">
        <v>3523</v>
      </c>
      <c r="D1520" t="s">
        <v>3524</v>
      </c>
      <c r="E1520" t="s">
        <v>40</v>
      </c>
      <c r="F1520" t="s">
        <v>3478</v>
      </c>
      <c r="G1520" t="s">
        <v>3525</v>
      </c>
      <c r="H1520" t="str">
        <f>'Huong dan giao do an'!$B$14</f>
        <v>5 SV (vai trò chính): 1 PM/Scrum Master kiêm Integration; 2 BA/PO; 3 UI-UX + Frontend; 4 Backend/API + DevOps; 5 Database + QA/Tester. Mỗi SV có nhiệm vụ phụ và minh chứng cá nhân.</v>
      </c>
      <c r="I1520" t="s">
        <v>22</v>
      </c>
      <c r="J1520" t="s">
        <v>3465</v>
      </c>
      <c r="K1520" t="str">
        <f>IF(I1520="Trung bình",'Huong dan giao do an'!$B$8,IF(I1520="Khá",'Huong dan giao do an'!$B$9,'Huong dan giao do an'!$B$10))</f>
        <v>Tối thiểu 4 actor; 10-14 use case; 8-12 bảng; 3 quy trình lõi; phân quyền chi tiết; 2 báo cáo; tích hợp 1 dịch vụ; &gt;=35 test case; CI/CD hoặc deploy cloud.</v>
      </c>
      <c r="L1520" t="str">
        <f>'Huong dan giao do an'!$B$31</f>
        <v>Bắt buộc: Charter/PMP; SRS + scope/WBS; Gantt/baseline; effort-cost budget; RACI/timesheet; quality-test-defect; communication/minutes; risk register; procurement; change log; closure/lessons learned.</v>
      </c>
      <c r="M1520" t="str">
        <f>'Huong dan giao do an'!$B$33</f>
        <v>Tuần 1: 07.09–13.09.2026; Tuần 2: 14.09–20.09.2026; Tuần 3: 21.09–27.09.2026; Tuần 4: 28.09–04.10.2026; Tuần 5: 05.10–11.10.2026; Tuần 6: 12.10–18.10.2026; Tuần 7: 19.10–25.10.2026; Tuần 8: 26.10–01.11.2026.</v>
      </c>
      <c r="N15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0" s="17" t="str">
        <f t="shared" si="23"/>
        <v>Còn trống</v>
      </c>
    </row>
    <row r="1521" spans="1:16" x14ac:dyDescent="0.3">
      <c r="A1521">
        <v>1520</v>
      </c>
      <c r="B1521" t="s">
        <v>3460</v>
      </c>
      <c r="C1521" t="s">
        <v>3526</v>
      </c>
      <c r="D1521" t="s">
        <v>3527</v>
      </c>
      <c r="E1521" t="s">
        <v>45</v>
      </c>
      <c r="F1521" t="s">
        <v>3482</v>
      </c>
      <c r="G1521" t="s">
        <v>3528</v>
      </c>
      <c r="H1521" t="str">
        <f>'Huong dan giao do an'!$B$14</f>
        <v>5 SV (vai trò chính): 1 PM/Scrum Master kiêm Integration; 2 BA/PO; 3 UI-UX + Frontend; 4 Backend/API + DevOps; 5 Database + QA/Tester. Mỗi SV có nhiệm vụ phụ và minh chứng cá nhân.</v>
      </c>
      <c r="I1521" t="s">
        <v>29</v>
      </c>
      <c r="J1521" t="s">
        <v>3470</v>
      </c>
      <c r="K1521" t="str">
        <f>IF(I1521="Trung bình",'Huong dan giao do an'!$B$8,IF(I1521="Khá",'Huong dan giao do an'!$B$9,'Huong dan giao do an'!$B$10))</f>
        <v>Tối thiểu 5 actor; 14-18 use case; 10-15 bảng; 4 quy trình; tích hợp ngoài/realtime hoặc xử lý nâng cao; 3 báo cáo; &gt;=45 test case; logging, backup và deploy.</v>
      </c>
      <c r="L1521" t="str">
        <f>'Huong dan giao do an'!$B$31</f>
        <v>Bắt buộc: Charter/PMP; SRS + scope/WBS; Gantt/baseline; effort-cost budget; RACI/timesheet; quality-test-defect; communication/minutes; risk register; procurement; change log; closure/lessons learned.</v>
      </c>
      <c r="M1521" t="str">
        <f>'Huong dan giao do an'!$B$33</f>
        <v>Tuần 1: 07.09–13.09.2026; Tuần 2: 14.09–20.09.2026; Tuần 3: 21.09–27.09.2026; Tuần 4: 28.09–04.10.2026; Tuần 5: 05.10–11.10.2026; Tuần 6: 12.10–18.10.2026; Tuần 7: 19.10–25.10.2026; Tuần 8: 26.10–01.11.2026.</v>
      </c>
      <c r="N15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1" s="17" t="str">
        <f t="shared" si="23"/>
        <v>Còn trống</v>
      </c>
    </row>
    <row r="1522" spans="1:16" x14ac:dyDescent="0.3">
      <c r="A1522">
        <v>1521</v>
      </c>
      <c r="B1522" t="s">
        <v>3460</v>
      </c>
      <c r="C1522" t="s">
        <v>3529</v>
      </c>
      <c r="D1522" t="s">
        <v>3530</v>
      </c>
      <c r="E1522" t="s">
        <v>19</v>
      </c>
      <c r="F1522" t="s">
        <v>3463</v>
      </c>
      <c r="G1522" t="s">
        <v>3464</v>
      </c>
      <c r="H1522" t="str">
        <f>'Huong dan giao do an'!$B$14</f>
        <v>5 SV (vai trò chính): 1 PM/Scrum Master kiêm Integration; 2 BA/PO; 3 UI-UX + Frontend; 4 Backend/API + DevOps; 5 Database + QA/Tester. Mỗi SV có nhiệm vụ phụ và minh chứng cá nhân.</v>
      </c>
      <c r="I1522" t="s">
        <v>22</v>
      </c>
      <c r="J1522" t="s">
        <v>3465</v>
      </c>
      <c r="K1522" t="str">
        <f>IF(I1522="Trung bình",'Huong dan giao do an'!$B$8,IF(I1522="Khá",'Huong dan giao do an'!$B$9,'Huong dan giao do an'!$B$10))</f>
        <v>Tối thiểu 4 actor; 10-14 use case; 8-12 bảng; 3 quy trình lõi; phân quyền chi tiết; 2 báo cáo; tích hợp 1 dịch vụ; &gt;=35 test case; CI/CD hoặc deploy cloud.</v>
      </c>
      <c r="L1522" t="str">
        <f>'Huong dan giao do an'!$B$31</f>
        <v>Bắt buộc: Charter/PMP; SRS + scope/WBS; Gantt/baseline; effort-cost budget; RACI/timesheet; quality-test-defect; communication/minutes; risk register; procurement; change log; closure/lessons learned.</v>
      </c>
      <c r="M1522" t="str">
        <f>'Huong dan giao do an'!$B$33</f>
        <v>Tuần 1: 07.09–13.09.2026; Tuần 2: 14.09–20.09.2026; Tuần 3: 21.09–27.09.2026; Tuần 4: 28.09–04.10.2026; Tuần 5: 05.10–11.10.2026; Tuần 6: 12.10–18.10.2026; Tuần 7: 19.10–25.10.2026; Tuần 8: 26.10–01.11.2026.</v>
      </c>
      <c r="N15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2" s="17" t="str">
        <f t="shared" si="23"/>
        <v>Còn trống</v>
      </c>
    </row>
    <row r="1523" spans="1:16" x14ac:dyDescent="0.3">
      <c r="A1523">
        <v>1522</v>
      </c>
      <c r="B1523" t="s">
        <v>3460</v>
      </c>
      <c r="C1523" t="s">
        <v>3531</v>
      </c>
      <c r="D1523" t="s">
        <v>3532</v>
      </c>
      <c r="E1523" t="s">
        <v>26</v>
      </c>
      <c r="F1523" t="s">
        <v>3468</v>
      </c>
      <c r="G1523" t="s">
        <v>3469</v>
      </c>
      <c r="H1523" t="str">
        <f>'Huong dan giao do an'!$B$14</f>
        <v>5 SV (vai trò chính): 1 PM/Scrum Master kiêm Integration; 2 BA/PO; 3 UI-UX + Frontend; 4 Backend/API + DevOps; 5 Database + QA/Tester. Mỗi SV có nhiệm vụ phụ và minh chứng cá nhân.</v>
      </c>
      <c r="I1523" t="s">
        <v>29</v>
      </c>
      <c r="J1523" t="s">
        <v>3470</v>
      </c>
      <c r="K1523" t="str">
        <f>IF(I1523="Trung bình",'Huong dan giao do an'!$B$8,IF(I1523="Khá",'Huong dan giao do an'!$B$9,'Huong dan giao do an'!$B$10))</f>
        <v>Tối thiểu 5 actor; 14-18 use case; 10-15 bảng; 4 quy trình; tích hợp ngoài/realtime hoặc xử lý nâng cao; 3 báo cáo; &gt;=45 test case; logging, backup và deploy.</v>
      </c>
      <c r="L1523" t="str">
        <f>'Huong dan giao do an'!$B$31</f>
        <v>Bắt buộc: Charter/PMP; SRS + scope/WBS; Gantt/baseline; effort-cost budget; RACI/timesheet; quality-test-defect; communication/minutes; risk register; procurement; change log; closure/lessons learned.</v>
      </c>
      <c r="M1523" t="str">
        <f>'Huong dan giao do an'!$B$33</f>
        <v>Tuần 1: 07.09–13.09.2026; Tuần 2: 14.09–20.09.2026; Tuần 3: 21.09–27.09.2026; Tuần 4: 28.09–04.10.2026; Tuần 5: 05.10–11.10.2026; Tuần 6: 12.10–18.10.2026; Tuần 7: 19.10–25.10.2026; Tuần 8: 26.10–01.11.2026.</v>
      </c>
      <c r="N15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3" s="17" t="str">
        <f t="shared" si="23"/>
        <v>Còn trống</v>
      </c>
    </row>
    <row r="1524" spans="1:16" x14ac:dyDescent="0.3">
      <c r="A1524">
        <v>1523</v>
      </c>
      <c r="B1524" t="s">
        <v>3460</v>
      </c>
      <c r="C1524" t="s">
        <v>3533</v>
      </c>
      <c r="D1524" t="s">
        <v>3534</v>
      </c>
      <c r="E1524" t="s">
        <v>33</v>
      </c>
      <c r="F1524" t="s">
        <v>3473</v>
      </c>
      <c r="G1524" t="s">
        <v>3474</v>
      </c>
      <c r="H1524" t="str">
        <f>'Huong dan giao do an'!$B$14</f>
        <v>5 SV (vai trò chính): 1 PM/Scrum Master kiêm Integration; 2 BA/PO; 3 UI-UX + Frontend; 4 Backend/API + DevOps; 5 Database + QA/Tester. Mỗi SV có nhiệm vụ phụ và minh chứng cá nhân.</v>
      </c>
      <c r="I1524" t="s">
        <v>36</v>
      </c>
      <c r="J1524" t="s">
        <v>3475</v>
      </c>
      <c r="K1524" t="str">
        <f>IF(I1524="Trung bình",'Huong dan giao do an'!$B$8,IF(I1524="Khá",'Huong dan giao do an'!$B$9,'Huong dan giao do an'!$B$10))</f>
        <v>Tối thiểu 3 actor; 8-10 use case; 6-8 bảng dữ liệu; 2 quy trình lõi; đăng nhập/RBAC; 1 dashboard; 1 báo cáo; &gt;=25 test case; triển khai bản demo.</v>
      </c>
      <c r="L1524" t="str">
        <f>'Huong dan giao do an'!$B$31</f>
        <v>Bắt buộc: Charter/PMP; SRS + scope/WBS; Gantt/baseline; effort-cost budget; RACI/timesheet; quality-test-defect; communication/minutes; risk register; procurement; change log; closure/lessons learned.</v>
      </c>
      <c r="M1524" t="str">
        <f>'Huong dan giao do an'!$B$33</f>
        <v>Tuần 1: 07.09–13.09.2026; Tuần 2: 14.09–20.09.2026; Tuần 3: 21.09–27.09.2026; Tuần 4: 28.09–04.10.2026; Tuần 5: 05.10–11.10.2026; Tuần 6: 12.10–18.10.2026; Tuần 7: 19.10–25.10.2026; Tuần 8: 26.10–01.11.2026.</v>
      </c>
      <c r="N15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4" s="17" t="str">
        <f t="shared" si="23"/>
        <v>Còn trống</v>
      </c>
    </row>
    <row r="1525" spans="1:16" x14ac:dyDescent="0.3">
      <c r="A1525">
        <v>1524</v>
      </c>
      <c r="B1525" t="s">
        <v>3460</v>
      </c>
      <c r="C1525" t="s">
        <v>3535</v>
      </c>
      <c r="D1525" t="s">
        <v>3536</v>
      </c>
      <c r="E1525" t="s">
        <v>40</v>
      </c>
      <c r="F1525" t="s">
        <v>3478</v>
      </c>
      <c r="G1525" t="s">
        <v>3479</v>
      </c>
      <c r="H1525" t="str">
        <f>'Huong dan giao do an'!$B$14</f>
        <v>5 SV (vai trò chính): 1 PM/Scrum Master kiêm Integration; 2 BA/PO; 3 UI-UX + Frontend; 4 Backend/API + DevOps; 5 Database + QA/Tester. Mỗi SV có nhiệm vụ phụ và minh chứng cá nhân.</v>
      </c>
      <c r="I1525" t="s">
        <v>22</v>
      </c>
      <c r="J1525" t="s">
        <v>3465</v>
      </c>
      <c r="K1525" t="str">
        <f>IF(I1525="Trung bình",'Huong dan giao do an'!$B$8,IF(I1525="Khá",'Huong dan giao do an'!$B$9,'Huong dan giao do an'!$B$10))</f>
        <v>Tối thiểu 4 actor; 10-14 use case; 8-12 bảng; 3 quy trình lõi; phân quyền chi tiết; 2 báo cáo; tích hợp 1 dịch vụ; &gt;=35 test case; CI/CD hoặc deploy cloud.</v>
      </c>
      <c r="L1525" t="str">
        <f>'Huong dan giao do an'!$B$31</f>
        <v>Bắt buộc: Charter/PMP; SRS + scope/WBS; Gantt/baseline; effort-cost budget; RACI/timesheet; quality-test-defect; communication/minutes; risk register; procurement; change log; closure/lessons learned.</v>
      </c>
      <c r="M1525" t="str">
        <f>'Huong dan giao do an'!$B$33</f>
        <v>Tuần 1: 07.09–13.09.2026; Tuần 2: 14.09–20.09.2026; Tuần 3: 21.09–27.09.2026; Tuần 4: 28.09–04.10.2026; Tuần 5: 05.10–11.10.2026; Tuần 6: 12.10–18.10.2026; Tuần 7: 19.10–25.10.2026; Tuần 8: 26.10–01.11.2026.</v>
      </c>
      <c r="N15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5" s="17" t="str">
        <f t="shared" si="23"/>
        <v>Còn trống</v>
      </c>
    </row>
    <row r="1526" spans="1:16" x14ac:dyDescent="0.3">
      <c r="A1526">
        <v>1525</v>
      </c>
      <c r="B1526" t="s">
        <v>3460</v>
      </c>
      <c r="C1526" t="s">
        <v>3537</v>
      </c>
      <c r="D1526" t="s">
        <v>3538</v>
      </c>
      <c r="E1526" t="s">
        <v>45</v>
      </c>
      <c r="F1526" t="s">
        <v>3482</v>
      </c>
      <c r="G1526" t="s">
        <v>3483</v>
      </c>
      <c r="H1526" t="str">
        <f>'Huong dan giao do an'!$B$14</f>
        <v>5 SV (vai trò chính): 1 PM/Scrum Master kiêm Integration; 2 BA/PO; 3 UI-UX + Frontend; 4 Backend/API + DevOps; 5 Database + QA/Tester. Mỗi SV có nhiệm vụ phụ và minh chứng cá nhân.</v>
      </c>
      <c r="I1526" t="s">
        <v>29</v>
      </c>
      <c r="J1526" t="s">
        <v>3470</v>
      </c>
      <c r="K1526" t="str">
        <f>IF(I1526="Trung bình",'Huong dan giao do an'!$B$8,IF(I1526="Khá",'Huong dan giao do an'!$B$9,'Huong dan giao do an'!$B$10))</f>
        <v>Tối thiểu 5 actor; 14-18 use case; 10-15 bảng; 4 quy trình; tích hợp ngoài/realtime hoặc xử lý nâng cao; 3 báo cáo; &gt;=45 test case; logging, backup và deploy.</v>
      </c>
      <c r="L1526" t="str">
        <f>'Huong dan giao do an'!$B$31</f>
        <v>Bắt buộc: Charter/PMP; SRS + scope/WBS; Gantt/baseline; effort-cost budget; RACI/timesheet; quality-test-defect; communication/minutes; risk register; procurement; change log; closure/lessons learned.</v>
      </c>
      <c r="M1526" t="str">
        <f>'Huong dan giao do an'!$B$33</f>
        <v>Tuần 1: 07.09–13.09.2026; Tuần 2: 14.09–20.09.2026; Tuần 3: 21.09–27.09.2026; Tuần 4: 28.09–04.10.2026; Tuần 5: 05.10–11.10.2026; Tuần 6: 12.10–18.10.2026; Tuần 7: 19.10–25.10.2026; Tuần 8: 26.10–01.11.2026.</v>
      </c>
      <c r="N15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6" s="17" t="str">
        <f t="shared" si="23"/>
        <v>Còn trống</v>
      </c>
    </row>
    <row r="1527" spans="1:16" x14ac:dyDescent="0.3">
      <c r="A1527">
        <v>1526</v>
      </c>
      <c r="B1527" t="s">
        <v>3460</v>
      </c>
      <c r="C1527" t="s">
        <v>3539</v>
      </c>
      <c r="D1527" t="s">
        <v>3540</v>
      </c>
      <c r="E1527" t="s">
        <v>19</v>
      </c>
      <c r="F1527" t="s">
        <v>3463</v>
      </c>
      <c r="G1527" t="s">
        <v>3486</v>
      </c>
      <c r="H1527" t="str">
        <f>'Huong dan giao do an'!$B$14</f>
        <v>5 SV (vai trò chính): 1 PM/Scrum Master kiêm Integration; 2 BA/PO; 3 UI-UX + Frontend; 4 Backend/API + DevOps; 5 Database + QA/Tester. Mỗi SV có nhiệm vụ phụ và minh chứng cá nhân.</v>
      </c>
      <c r="I1527" t="s">
        <v>36</v>
      </c>
      <c r="J1527" t="s">
        <v>3475</v>
      </c>
      <c r="K1527" t="str">
        <f>IF(I1527="Trung bình",'Huong dan giao do an'!$B$8,IF(I1527="Khá",'Huong dan giao do an'!$B$9,'Huong dan giao do an'!$B$10))</f>
        <v>Tối thiểu 3 actor; 8-10 use case; 6-8 bảng dữ liệu; 2 quy trình lõi; đăng nhập/RBAC; 1 dashboard; 1 báo cáo; &gt;=25 test case; triển khai bản demo.</v>
      </c>
      <c r="L1527" t="str">
        <f>'Huong dan giao do an'!$B$31</f>
        <v>Bắt buộc: Charter/PMP; SRS + scope/WBS; Gantt/baseline; effort-cost budget; RACI/timesheet; quality-test-defect; communication/minutes; risk register; procurement; change log; closure/lessons learned.</v>
      </c>
      <c r="M1527" t="str">
        <f>'Huong dan giao do an'!$B$33</f>
        <v>Tuần 1: 07.09–13.09.2026; Tuần 2: 14.09–20.09.2026; Tuần 3: 21.09–27.09.2026; Tuần 4: 28.09–04.10.2026; Tuần 5: 05.10–11.10.2026; Tuần 6: 12.10–18.10.2026; Tuần 7: 19.10–25.10.2026; Tuần 8: 26.10–01.11.2026.</v>
      </c>
      <c r="N15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7" s="17" t="str">
        <f t="shared" si="23"/>
        <v>Còn trống</v>
      </c>
    </row>
    <row r="1528" spans="1:16" x14ac:dyDescent="0.3">
      <c r="A1528">
        <v>1527</v>
      </c>
      <c r="B1528" t="s">
        <v>3460</v>
      </c>
      <c r="C1528" t="s">
        <v>3541</v>
      </c>
      <c r="D1528" t="s">
        <v>3542</v>
      </c>
      <c r="E1528" t="s">
        <v>26</v>
      </c>
      <c r="F1528" t="s">
        <v>3468</v>
      </c>
      <c r="G1528" t="s">
        <v>3489</v>
      </c>
      <c r="H1528" t="str">
        <f>'Huong dan giao do an'!$B$14</f>
        <v>5 SV (vai trò chính): 1 PM/Scrum Master kiêm Integration; 2 BA/PO; 3 UI-UX + Frontend; 4 Backend/API + DevOps; 5 Database + QA/Tester. Mỗi SV có nhiệm vụ phụ và minh chứng cá nhân.</v>
      </c>
      <c r="I1528" t="s">
        <v>22</v>
      </c>
      <c r="J1528" t="s">
        <v>3465</v>
      </c>
      <c r="K1528" t="str">
        <f>IF(I1528="Trung bình",'Huong dan giao do an'!$B$8,IF(I1528="Khá",'Huong dan giao do an'!$B$9,'Huong dan giao do an'!$B$10))</f>
        <v>Tối thiểu 4 actor; 10-14 use case; 8-12 bảng; 3 quy trình lõi; phân quyền chi tiết; 2 báo cáo; tích hợp 1 dịch vụ; &gt;=35 test case; CI/CD hoặc deploy cloud.</v>
      </c>
      <c r="L1528" t="str">
        <f>'Huong dan giao do an'!$B$31</f>
        <v>Bắt buộc: Charter/PMP; SRS + scope/WBS; Gantt/baseline; effort-cost budget; RACI/timesheet; quality-test-defect; communication/minutes; risk register; procurement; change log; closure/lessons learned.</v>
      </c>
      <c r="M1528" t="str">
        <f>'Huong dan giao do an'!$B$33</f>
        <v>Tuần 1: 07.09–13.09.2026; Tuần 2: 14.09–20.09.2026; Tuần 3: 21.09–27.09.2026; Tuần 4: 28.09–04.10.2026; Tuần 5: 05.10–11.10.2026; Tuần 6: 12.10–18.10.2026; Tuần 7: 19.10–25.10.2026; Tuần 8: 26.10–01.11.2026.</v>
      </c>
      <c r="N15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8" s="17" t="str">
        <f t="shared" si="23"/>
        <v>Còn trống</v>
      </c>
    </row>
    <row r="1529" spans="1:16" x14ac:dyDescent="0.3">
      <c r="A1529">
        <v>1528</v>
      </c>
      <c r="B1529" t="s">
        <v>3460</v>
      </c>
      <c r="C1529" t="s">
        <v>3543</v>
      </c>
      <c r="D1529" t="s">
        <v>3544</v>
      </c>
      <c r="E1529" t="s">
        <v>33</v>
      </c>
      <c r="F1529" t="s">
        <v>3473</v>
      </c>
      <c r="G1529" t="s">
        <v>3492</v>
      </c>
      <c r="H1529" t="str">
        <f>'Huong dan giao do an'!$B$14</f>
        <v>5 SV (vai trò chính): 1 PM/Scrum Master kiêm Integration; 2 BA/PO; 3 UI-UX + Frontend; 4 Backend/API + DevOps; 5 Database + QA/Tester. Mỗi SV có nhiệm vụ phụ và minh chứng cá nhân.</v>
      </c>
      <c r="I1529" t="s">
        <v>29</v>
      </c>
      <c r="J1529" t="s">
        <v>3470</v>
      </c>
      <c r="K1529" t="str">
        <f>IF(I1529="Trung bình",'Huong dan giao do an'!$B$8,IF(I1529="Khá",'Huong dan giao do an'!$B$9,'Huong dan giao do an'!$B$10))</f>
        <v>Tối thiểu 5 actor; 14-18 use case; 10-15 bảng; 4 quy trình; tích hợp ngoài/realtime hoặc xử lý nâng cao; 3 báo cáo; &gt;=45 test case; logging, backup và deploy.</v>
      </c>
      <c r="L1529" t="str">
        <f>'Huong dan giao do an'!$B$31</f>
        <v>Bắt buộc: Charter/PMP; SRS + scope/WBS; Gantt/baseline; effort-cost budget; RACI/timesheet; quality-test-defect; communication/minutes; risk register; procurement; change log; closure/lessons learned.</v>
      </c>
      <c r="M1529" t="str">
        <f>'Huong dan giao do an'!$B$33</f>
        <v>Tuần 1: 07.09–13.09.2026; Tuần 2: 14.09–20.09.2026; Tuần 3: 21.09–27.09.2026; Tuần 4: 28.09–04.10.2026; Tuần 5: 05.10–11.10.2026; Tuần 6: 12.10–18.10.2026; Tuần 7: 19.10–25.10.2026; Tuần 8: 26.10–01.11.2026.</v>
      </c>
      <c r="N15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29" s="17" t="str">
        <f t="shared" si="23"/>
        <v>Còn trống</v>
      </c>
    </row>
    <row r="1530" spans="1:16" x14ac:dyDescent="0.3">
      <c r="A1530">
        <v>1529</v>
      </c>
      <c r="B1530" t="s">
        <v>3460</v>
      </c>
      <c r="C1530" t="s">
        <v>3545</v>
      </c>
      <c r="D1530" t="s">
        <v>3546</v>
      </c>
      <c r="E1530" t="s">
        <v>40</v>
      </c>
      <c r="F1530" t="s">
        <v>3478</v>
      </c>
      <c r="G1530" t="s">
        <v>3495</v>
      </c>
      <c r="H1530" t="str">
        <f>'Huong dan giao do an'!$B$14</f>
        <v>5 SV (vai trò chính): 1 PM/Scrum Master kiêm Integration; 2 BA/PO; 3 UI-UX + Frontend; 4 Backend/API + DevOps; 5 Database + QA/Tester. Mỗi SV có nhiệm vụ phụ và minh chứng cá nhân.</v>
      </c>
      <c r="I1530" t="s">
        <v>36</v>
      </c>
      <c r="J1530" t="s">
        <v>3475</v>
      </c>
      <c r="K1530" t="str">
        <f>IF(I1530="Trung bình",'Huong dan giao do an'!$B$8,IF(I1530="Khá",'Huong dan giao do an'!$B$9,'Huong dan giao do an'!$B$10))</f>
        <v>Tối thiểu 3 actor; 8-10 use case; 6-8 bảng dữ liệu; 2 quy trình lõi; đăng nhập/RBAC; 1 dashboard; 1 báo cáo; &gt;=25 test case; triển khai bản demo.</v>
      </c>
      <c r="L1530" t="str">
        <f>'Huong dan giao do an'!$B$31</f>
        <v>Bắt buộc: Charter/PMP; SRS + scope/WBS; Gantt/baseline; effort-cost budget; RACI/timesheet; quality-test-defect; communication/minutes; risk register; procurement; change log; closure/lessons learned.</v>
      </c>
      <c r="M1530" t="str">
        <f>'Huong dan giao do an'!$B$33</f>
        <v>Tuần 1: 07.09–13.09.2026; Tuần 2: 14.09–20.09.2026; Tuần 3: 21.09–27.09.2026; Tuần 4: 28.09–04.10.2026; Tuần 5: 05.10–11.10.2026; Tuần 6: 12.10–18.10.2026; Tuần 7: 19.10–25.10.2026; Tuần 8: 26.10–01.11.2026.</v>
      </c>
      <c r="N15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0" s="17" t="str">
        <f t="shared" si="23"/>
        <v>Còn trống</v>
      </c>
    </row>
    <row r="1531" spans="1:16" x14ac:dyDescent="0.3">
      <c r="A1531">
        <v>1530</v>
      </c>
      <c r="B1531" t="s">
        <v>3460</v>
      </c>
      <c r="C1531" t="s">
        <v>3547</v>
      </c>
      <c r="D1531" t="s">
        <v>3548</v>
      </c>
      <c r="E1531" t="s">
        <v>45</v>
      </c>
      <c r="F1531" t="s">
        <v>3482</v>
      </c>
      <c r="G1531" t="s">
        <v>3498</v>
      </c>
      <c r="H1531" t="str">
        <f>'Huong dan giao do an'!$B$14</f>
        <v>5 SV (vai trò chính): 1 PM/Scrum Master kiêm Integration; 2 BA/PO; 3 UI-UX + Frontend; 4 Backend/API + DevOps; 5 Database + QA/Tester. Mỗi SV có nhiệm vụ phụ và minh chứng cá nhân.</v>
      </c>
      <c r="I1531" t="s">
        <v>22</v>
      </c>
      <c r="J1531" t="s">
        <v>3465</v>
      </c>
      <c r="K1531" t="str">
        <f>IF(I1531="Trung bình",'Huong dan giao do an'!$B$8,IF(I1531="Khá",'Huong dan giao do an'!$B$9,'Huong dan giao do an'!$B$10))</f>
        <v>Tối thiểu 4 actor; 10-14 use case; 8-12 bảng; 3 quy trình lõi; phân quyền chi tiết; 2 báo cáo; tích hợp 1 dịch vụ; &gt;=35 test case; CI/CD hoặc deploy cloud.</v>
      </c>
      <c r="L1531" t="str">
        <f>'Huong dan giao do an'!$B$31</f>
        <v>Bắt buộc: Charter/PMP; SRS + scope/WBS; Gantt/baseline; effort-cost budget; RACI/timesheet; quality-test-defect; communication/minutes; risk register; procurement; change log; closure/lessons learned.</v>
      </c>
      <c r="M1531" t="str">
        <f>'Huong dan giao do an'!$B$33</f>
        <v>Tuần 1: 07.09–13.09.2026; Tuần 2: 14.09–20.09.2026; Tuần 3: 21.09–27.09.2026; Tuần 4: 28.09–04.10.2026; Tuần 5: 05.10–11.10.2026; Tuần 6: 12.10–18.10.2026; Tuần 7: 19.10–25.10.2026; Tuần 8: 26.10–01.11.2026.</v>
      </c>
      <c r="N15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1" s="17" t="str">
        <f t="shared" si="23"/>
        <v>Còn trống</v>
      </c>
    </row>
    <row r="1532" spans="1:16" x14ac:dyDescent="0.3">
      <c r="A1532">
        <v>1531</v>
      </c>
      <c r="B1532" t="s">
        <v>3460</v>
      </c>
      <c r="C1532" t="s">
        <v>3549</v>
      </c>
      <c r="D1532" t="s">
        <v>3550</v>
      </c>
      <c r="E1532" t="s">
        <v>19</v>
      </c>
      <c r="F1532" t="s">
        <v>3463</v>
      </c>
      <c r="G1532" t="s">
        <v>3501</v>
      </c>
      <c r="H1532" t="str">
        <f>'Huong dan giao do an'!$B$14</f>
        <v>5 SV (vai trò chính): 1 PM/Scrum Master kiêm Integration; 2 BA/PO; 3 UI-UX + Frontend; 4 Backend/API + DevOps; 5 Database + QA/Tester. Mỗi SV có nhiệm vụ phụ và minh chứng cá nhân.</v>
      </c>
      <c r="I1532" t="s">
        <v>29</v>
      </c>
      <c r="J1532" t="s">
        <v>3470</v>
      </c>
      <c r="K1532" t="str">
        <f>IF(I1532="Trung bình",'Huong dan giao do an'!$B$8,IF(I1532="Khá",'Huong dan giao do an'!$B$9,'Huong dan giao do an'!$B$10))</f>
        <v>Tối thiểu 5 actor; 14-18 use case; 10-15 bảng; 4 quy trình; tích hợp ngoài/realtime hoặc xử lý nâng cao; 3 báo cáo; &gt;=45 test case; logging, backup và deploy.</v>
      </c>
      <c r="L1532" t="str">
        <f>'Huong dan giao do an'!$B$31</f>
        <v>Bắt buộc: Charter/PMP; SRS + scope/WBS; Gantt/baseline; effort-cost budget; RACI/timesheet; quality-test-defect; communication/minutes; risk register; procurement; change log; closure/lessons learned.</v>
      </c>
      <c r="M1532" t="str">
        <f>'Huong dan giao do an'!$B$33</f>
        <v>Tuần 1: 07.09–13.09.2026; Tuần 2: 14.09–20.09.2026; Tuần 3: 21.09–27.09.2026; Tuần 4: 28.09–04.10.2026; Tuần 5: 05.10–11.10.2026; Tuần 6: 12.10–18.10.2026; Tuần 7: 19.10–25.10.2026; Tuần 8: 26.10–01.11.2026.</v>
      </c>
      <c r="N15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2" s="17" t="str">
        <f t="shared" si="23"/>
        <v>Còn trống</v>
      </c>
    </row>
    <row r="1533" spans="1:16" x14ac:dyDescent="0.3">
      <c r="A1533">
        <v>1532</v>
      </c>
      <c r="B1533" t="s">
        <v>3460</v>
      </c>
      <c r="C1533" t="s">
        <v>3551</v>
      </c>
      <c r="D1533" t="s">
        <v>3552</v>
      </c>
      <c r="E1533" t="s">
        <v>26</v>
      </c>
      <c r="F1533" t="s">
        <v>3468</v>
      </c>
      <c r="G1533" t="s">
        <v>3504</v>
      </c>
      <c r="H1533" t="str">
        <f>'Huong dan giao do an'!$B$14</f>
        <v>5 SV (vai trò chính): 1 PM/Scrum Master kiêm Integration; 2 BA/PO; 3 UI-UX + Frontend; 4 Backend/API + DevOps; 5 Database + QA/Tester. Mỗi SV có nhiệm vụ phụ và minh chứng cá nhân.</v>
      </c>
      <c r="I1533" t="s">
        <v>36</v>
      </c>
      <c r="J1533" t="s">
        <v>3475</v>
      </c>
      <c r="K1533" t="str">
        <f>IF(I1533="Trung bình",'Huong dan giao do an'!$B$8,IF(I1533="Khá",'Huong dan giao do an'!$B$9,'Huong dan giao do an'!$B$10))</f>
        <v>Tối thiểu 3 actor; 8-10 use case; 6-8 bảng dữ liệu; 2 quy trình lõi; đăng nhập/RBAC; 1 dashboard; 1 báo cáo; &gt;=25 test case; triển khai bản demo.</v>
      </c>
      <c r="L1533" t="str">
        <f>'Huong dan giao do an'!$B$31</f>
        <v>Bắt buộc: Charter/PMP; SRS + scope/WBS; Gantt/baseline; effort-cost budget; RACI/timesheet; quality-test-defect; communication/minutes; risk register; procurement; change log; closure/lessons learned.</v>
      </c>
      <c r="M1533" t="str">
        <f>'Huong dan giao do an'!$B$33</f>
        <v>Tuần 1: 07.09–13.09.2026; Tuần 2: 14.09–20.09.2026; Tuần 3: 21.09–27.09.2026; Tuần 4: 28.09–04.10.2026; Tuần 5: 05.10–11.10.2026; Tuần 6: 12.10–18.10.2026; Tuần 7: 19.10–25.10.2026; Tuần 8: 26.10–01.11.2026.</v>
      </c>
      <c r="N15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3" s="17" t="str">
        <f t="shared" si="23"/>
        <v>Còn trống</v>
      </c>
    </row>
    <row r="1534" spans="1:16" x14ac:dyDescent="0.3">
      <c r="A1534">
        <v>1533</v>
      </c>
      <c r="B1534" t="s">
        <v>3460</v>
      </c>
      <c r="C1534" t="s">
        <v>3553</v>
      </c>
      <c r="D1534" t="s">
        <v>3554</v>
      </c>
      <c r="E1534" t="s">
        <v>33</v>
      </c>
      <c r="F1534" t="s">
        <v>3473</v>
      </c>
      <c r="G1534" t="s">
        <v>3507</v>
      </c>
      <c r="H1534" t="str">
        <f>'Huong dan giao do an'!$B$14</f>
        <v>5 SV (vai trò chính): 1 PM/Scrum Master kiêm Integration; 2 BA/PO; 3 UI-UX + Frontend; 4 Backend/API + DevOps; 5 Database + QA/Tester. Mỗi SV có nhiệm vụ phụ và minh chứng cá nhân.</v>
      </c>
      <c r="I1534" t="s">
        <v>22</v>
      </c>
      <c r="J1534" t="s">
        <v>3465</v>
      </c>
      <c r="K1534" t="str">
        <f>IF(I1534="Trung bình",'Huong dan giao do an'!$B$8,IF(I1534="Khá",'Huong dan giao do an'!$B$9,'Huong dan giao do an'!$B$10))</f>
        <v>Tối thiểu 4 actor; 10-14 use case; 8-12 bảng; 3 quy trình lõi; phân quyền chi tiết; 2 báo cáo; tích hợp 1 dịch vụ; &gt;=35 test case; CI/CD hoặc deploy cloud.</v>
      </c>
      <c r="L1534" t="str">
        <f>'Huong dan giao do an'!$B$31</f>
        <v>Bắt buộc: Charter/PMP; SRS + scope/WBS; Gantt/baseline; effort-cost budget; RACI/timesheet; quality-test-defect; communication/minutes; risk register; procurement; change log; closure/lessons learned.</v>
      </c>
      <c r="M1534" t="str">
        <f>'Huong dan giao do an'!$B$33</f>
        <v>Tuần 1: 07.09–13.09.2026; Tuần 2: 14.09–20.09.2026; Tuần 3: 21.09–27.09.2026; Tuần 4: 28.09–04.10.2026; Tuần 5: 05.10–11.10.2026; Tuần 6: 12.10–18.10.2026; Tuần 7: 19.10–25.10.2026; Tuần 8: 26.10–01.11.2026.</v>
      </c>
      <c r="N15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4" s="17" t="str">
        <f t="shared" si="23"/>
        <v>Còn trống</v>
      </c>
    </row>
    <row r="1535" spans="1:16" x14ac:dyDescent="0.3">
      <c r="A1535">
        <v>1534</v>
      </c>
      <c r="B1535" t="s">
        <v>3460</v>
      </c>
      <c r="C1535" t="s">
        <v>3555</v>
      </c>
      <c r="D1535" t="s">
        <v>3556</v>
      </c>
      <c r="E1535" t="s">
        <v>40</v>
      </c>
      <c r="F1535" t="s">
        <v>3478</v>
      </c>
      <c r="G1535" t="s">
        <v>3510</v>
      </c>
      <c r="H1535" t="str">
        <f>'Huong dan giao do an'!$B$14</f>
        <v>5 SV (vai trò chính): 1 PM/Scrum Master kiêm Integration; 2 BA/PO; 3 UI-UX + Frontend; 4 Backend/API + DevOps; 5 Database + QA/Tester. Mỗi SV có nhiệm vụ phụ và minh chứng cá nhân.</v>
      </c>
      <c r="I1535" t="s">
        <v>29</v>
      </c>
      <c r="J1535" t="s">
        <v>3470</v>
      </c>
      <c r="K1535" t="str">
        <f>IF(I1535="Trung bình",'Huong dan giao do an'!$B$8,IF(I1535="Khá",'Huong dan giao do an'!$B$9,'Huong dan giao do an'!$B$10))</f>
        <v>Tối thiểu 5 actor; 14-18 use case; 10-15 bảng; 4 quy trình; tích hợp ngoài/realtime hoặc xử lý nâng cao; 3 báo cáo; &gt;=45 test case; logging, backup và deploy.</v>
      </c>
      <c r="L1535" t="str">
        <f>'Huong dan giao do an'!$B$31</f>
        <v>Bắt buộc: Charter/PMP; SRS + scope/WBS; Gantt/baseline; effort-cost budget; RACI/timesheet; quality-test-defect; communication/minutes; risk register; procurement; change log; closure/lessons learned.</v>
      </c>
      <c r="M1535" t="str">
        <f>'Huong dan giao do an'!$B$33</f>
        <v>Tuần 1: 07.09–13.09.2026; Tuần 2: 14.09–20.09.2026; Tuần 3: 21.09–27.09.2026; Tuần 4: 28.09–04.10.2026; Tuần 5: 05.10–11.10.2026; Tuần 6: 12.10–18.10.2026; Tuần 7: 19.10–25.10.2026; Tuần 8: 26.10–01.11.2026.</v>
      </c>
      <c r="N15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5" s="17" t="str">
        <f t="shared" si="23"/>
        <v>Còn trống</v>
      </c>
    </row>
    <row r="1536" spans="1:16" x14ac:dyDescent="0.3">
      <c r="A1536">
        <v>1535</v>
      </c>
      <c r="B1536" t="s">
        <v>3460</v>
      </c>
      <c r="C1536" t="s">
        <v>3557</v>
      </c>
      <c r="D1536" t="s">
        <v>3558</v>
      </c>
      <c r="E1536" t="s">
        <v>45</v>
      </c>
      <c r="F1536" t="s">
        <v>3482</v>
      </c>
      <c r="G1536" t="s">
        <v>3513</v>
      </c>
      <c r="H1536" t="str">
        <f>'Huong dan giao do an'!$B$14</f>
        <v>5 SV (vai trò chính): 1 PM/Scrum Master kiêm Integration; 2 BA/PO; 3 UI-UX + Frontend; 4 Backend/API + DevOps; 5 Database + QA/Tester. Mỗi SV có nhiệm vụ phụ và minh chứng cá nhân.</v>
      </c>
      <c r="I1536" t="s">
        <v>36</v>
      </c>
      <c r="J1536" t="s">
        <v>3475</v>
      </c>
      <c r="K1536" t="str">
        <f>IF(I1536="Trung bình",'Huong dan giao do an'!$B$8,IF(I1536="Khá",'Huong dan giao do an'!$B$9,'Huong dan giao do an'!$B$10))</f>
        <v>Tối thiểu 3 actor; 8-10 use case; 6-8 bảng dữ liệu; 2 quy trình lõi; đăng nhập/RBAC; 1 dashboard; 1 báo cáo; &gt;=25 test case; triển khai bản demo.</v>
      </c>
      <c r="L1536" t="str">
        <f>'Huong dan giao do an'!$B$31</f>
        <v>Bắt buộc: Charter/PMP; SRS + scope/WBS; Gantt/baseline; effort-cost budget; RACI/timesheet; quality-test-defect; communication/minutes; risk register; procurement; change log; closure/lessons learned.</v>
      </c>
      <c r="M1536" t="str">
        <f>'Huong dan giao do an'!$B$33</f>
        <v>Tuần 1: 07.09–13.09.2026; Tuần 2: 14.09–20.09.2026; Tuần 3: 21.09–27.09.2026; Tuần 4: 28.09–04.10.2026; Tuần 5: 05.10–11.10.2026; Tuần 6: 12.10–18.10.2026; Tuần 7: 19.10–25.10.2026; Tuần 8: 26.10–01.11.2026.</v>
      </c>
      <c r="N15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6" s="17" t="str">
        <f t="shared" si="23"/>
        <v>Còn trống</v>
      </c>
    </row>
    <row r="1537" spans="1:16" x14ac:dyDescent="0.3">
      <c r="A1537">
        <v>1536</v>
      </c>
      <c r="B1537" t="s">
        <v>3460</v>
      </c>
      <c r="C1537" t="s">
        <v>3559</v>
      </c>
      <c r="D1537" t="s">
        <v>3560</v>
      </c>
      <c r="E1537" t="s">
        <v>19</v>
      </c>
      <c r="F1537" t="s">
        <v>3463</v>
      </c>
      <c r="G1537" t="s">
        <v>3516</v>
      </c>
      <c r="H1537" t="str">
        <f>'Huong dan giao do an'!$B$14</f>
        <v>5 SV (vai trò chính): 1 PM/Scrum Master kiêm Integration; 2 BA/PO; 3 UI-UX + Frontend; 4 Backend/API + DevOps; 5 Database + QA/Tester. Mỗi SV có nhiệm vụ phụ và minh chứng cá nhân.</v>
      </c>
      <c r="I1537" t="s">
        <v>22</v>
      </c>
      <c r="J1537" t="s">
        <v>3465</v>
      </c>
      <c r="K1537" t="str">
        <f>IF(I1537="Trung bình",'Huong dan giao do an'!$B$8,IF(I1537="Khá",'Huong dan giao do an'!$B$9,'Huong dan giao do an'!$B$10))</f>
        <v>Tối thiểu 4 actor; 10-14 use case; 8-12 bảng; 3 quy trình lõi; phân quyền chi tiết; 2 báo cáo; tích hợp 1 dịch vụ; &gt;=35 test case; CI/CD hoặc deploy cloud.</v>
      </c>
      <c r="L1537" t="str">
        <f>'Huong dan giao do an'!$B$31</f>
        <v>Bắt buộc: Charter/PMP; SRS + scope/WBS; Gantt/baseline; effort-cost budget; RACI/timesheet; quality-test-defect; communication/minutes; risk register; procurement; change log; closure/lessons learned.</v>
      </c>
      <c r="M1537" t="str">
        <f>'Huong dan giao do an'!$B$33</f>
        <v>Tuần 1: 07.09–13.09.2026; Tuần 2: 14.09–20.09.2026; Tuần 3: 21.09–27.09.2026; Tuần 4: 28.09–04.10.2026; Tuần 5: 05.10–11.10.2026; Tuần 6: 12.10–18.10.2026; Tuần 7: 19.10–25.10.2026; Tuần 8: 26.10–01.11.2026.</v>
      </c>
      <c r="N15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7" s="17" t="str">
        <f t="shared" si="23"/>
        <v>Còn trống</v>
      </c>
    </row>
    <row r="1538" spans="1:16" x14ac:dyDescent="0.3">
      <c r="A1538">
        <v>1537</v>
      </c>
      <c r="B1538" t="s">
        <v>3460</v>
      </c>
      <c r="C1538" t="s">
        <v>3561</v>
      </c>
      <c r="D1538" t="s">
        <v>3562</v>
      </c>
      <c r="E1538" t="s">
        <v>26</v>
      </c>
      <c r="F1538" t="s">
        <v>3468</v>
      </c>
      <c r="G1538" t="s">
        <v>3519</v>
      </c>
      <c r="H1538" t="str">
        <f>'Huong dan giao do an'!$B$14</f>
        <v>5 SV (vai trò chính): 1 PM/Scrum Master kiêm Integration; 2 BA/PO; 3 UI-UX + Frontend; 4 Backend/API + DevOps; 5 Database + QA/Tester. Mỗi SV có nhiệm vụ phụ và minh chứng cá nhân.</v>
      </c>
      <c r="I1538" t="s">
        <v>29</v>
      </c>
      <c r="J1538" t="s">
        <v>3470</v>
      </c>
      <c r="K1538" t="str">
        <f>IF(I1538="Trung bình",'Huong dan giao do an'!$B$8,IF(I1538="Khá",'Huong dan giao do an'!$B$9,'Huong dan giao do an'!$B$10))</f>
        <v>Tối thiểu 5 actor; 14-18 use case; 10-15 bảng; 4 quy trình; tích hợp ngoài/realtime hoặc xử lý nâng cao; 3 báo cáo; &gt;=45 test case; logging, backup và deploy.</v>
      </c>
      <c r="L1538" t="str">
        <f>'Huong dan giao do an'!$B$31</f>
        <v>Bắt buộc: Charter/PMP; SRS + scope/WBS; Gantt/baseline; effort-cost budget; RACI/timesheet; quality-test-defect; communication/minutes; risk register; procurement; change log; closure/lessons learned.</v>
      </c>
      <c r="M1538" t="str">
        <f>'Huong dan giao do an'!$B$33</f>
        <v>Tuần 1: 07.09–13.09.2026; Tuần 2: 14.09–20.09.2026; Tuần 3: 21.09–27.09.2026; Tuần 4: 28.09–04.10.2026; Tuần 5: 05.10–11.10.2026; Tuần 6: 12.10–18.10.2026; Tuần 7: 19.10–25.10.2026; Tuần 8: 26.10–01.11.2026.</v>
      </c>
      <c r="N15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8" s="17" t="str">
        <f t="shared" si="23"/>
        <v>Còn trống</v>
      </c>
    </row>
    <row r="1539" spans="1:16" x14ac:dyDescent="0.3">
      <c r="A1539">
        <v>1538</v>
      </c>
      <c r="B1539" t="s">
        <v>3460</v>
      </c>
      <c r="C1539" t="s">
        <v>3563</v>
      </c>
      <c r="D1539" t="s">
        <v>3564</v>
      </c>
      <c r="E1539" t="s">
        <v>33</v>
      </c>
      <c r="F1539" t="s">
        <v>3473</v>
      </c>
      <c r="G1539" t="s">
        <v>3522</v>
      </c>
      <c r="H1539" t="str">
        <f>'Huong dan giao do an'!$B$14</f>
        <v>5 SV (vai trò chính): 1 PM/Scrum Master kiêm Integration; 2 BA/PO; 3 UI-UX + Frontend; 4 Backend/API + DevOps; 5 Database + QA/Tester. Mỗi SV có nhiệm vụ phụ và minh chứng cá nhân.</v>
      </c>
      <c r="I1539" t="s">
        <v>36</v>
      </c>
      <c r="J1539" t="s">
        <v>3475</v>
      </c>
      <c r="K1539" t="str">
        <f>IF(I1539="Trung bình",'Huong dan giao do an'!$B$8,IF(I1539="Khá",'Huong dan giao do an'!$B$9,'Huong dan giao do an'!$B$10))</f>
        <v>Tối thiểu 3 actor; 8-10 use case; 6-8 bảng dữ liệu; 2 quy trình lõi; đăng nhập/RBAC; 1 dashboard; 1 báo cáo; &gt;=25 test case; triển khai bản demo.</v>
      </c>
      <c r="L1539" t="str">
        <f>'Huong dan giao do an'!$B$31</f>
        <v>Bắt buộc: Charter/PMP; SRS + scope/WBS; Gantt/baseline; effort-cost budget; RACI/timesheet; quality-test-defect; communication/minutes; risk register; procurement; change log; closure/lessons learned.</v>
      </c>
      <c r="M1539" t="str">
        <f>'Huong dan giao do an'!$B$33</f>
        <v>Tuần 1: 07.09–13.09.2026; Tuần 2: 14.09–20.09.2026; Tuần 3: 21.09–27.09.2026; Tuần 4: 28.09–04.10.2026; Tuần 5: 05.10–11.10.2026; Tuần 6: 12.10–18.10.2026; Tuần 7: 19.10–25.10.2026; Tuần 8: 26.10–01.11.2026.</v>
      </c>
      <c r="N15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39" s="17" t="str">
        <f t="shared" ref="P1539:P1602" si="24">IF(O1539="","Còn trống","Đã đăng ký")</f>
        <v>Còn trống</v>
      </c>
    </row>
    <row r="1540" spans="1:16" x14ac:dyDescent="0.3">
      <c r="A1540">
        <v>1539</v>
      </c>
      <c r="B1540" t="s">
        <v>3460</v>
      </c>
      <c r="C1540" t="s">
        <v>3565</v>
      </c>
      <c r="D1540" t="s">
        <v>3566</v>
      </c>
      <c r="E1540" t="s">
        <v>40</v>
      </c>
      <c r="F1540" t="s">
        <v>3478</v>
      </c>
      <c r="G1540" t="s">
        <v>3525</v>
      </c>
      <c r="H1540" t="str">
        <f>'Huong dan giao do an'!$B$14</f>
        <v>5 SV (vai trò chính): 1 PM/Scrum Master kiêm Integration; 2 BA/PO; 3 UI-UX + Frontend; 4 Backend/API + DevOps; 5 Database + QA/Tester. Mỗi SV có nhiệm vụ phụ và minh chứng cá nhân.</v>
      </c>
      <c r="I1540" t="s">
        <v>22</v>
      </c>
      <c r="J1540" t="s">
        <v>3465</v>
      </c>
      <c r="K1540" t="str">
        <f>IF(I1540="Trung bình",'Huong dan giao do an'!$B$8,IF(I1540="Khá",'Huong dan giao do an'!$B$9,'Huong dan giao do an'!$B$10))</f>
        <v>Tối thiểu 4 actor; 10-14 use case; 8-12 bảng; 3 quy trình lõi; phân quyền chi tiết; 2 báo cáo; tích hợp 1 dịch vụ; &gt;=35 test case; CI/CD hoặc deploy cloud.</v>
      </c>
      <c r="L1540" t="str">
        <f>'Huong dan giao do an'!$B$31</f>
        <v>Bắt buộc: Charter/PMP; SRS + scope/WBS; Gantt/baseline; effort-cost budget; RACI/timesheet; quality-test-defect; communication/minutes; risk register; procurement; change log; closure/lessons learned.</v>
      </c>
      <c r="M1540" t="str">
        <f>'Huong dan giao do an'!$B$33</f>
        <v>Tuần 1: 07.09–13.09.2026; Tuần 2: 14.09–20.09.2026; Tuần 3: 21.09–27.09.2026; Tuần 4: 28.09–04.10.2026; Tuần 5: 05.10–11.10.2026; Tuần 6: 12.10–18.10.2026; Tuần 7: 19.10–25.10.2026; Tuần 8: 26.10–01.11.2026.</v>
      </c>
      <c r="N15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0" s="17" t="str">
        <f t="shared" si="24"/>
        <v>Còn trống</v>
      </c>
    </row>
    <row r="1541" spans="1:16" x14ac:dyDescent="0.3">
      <c r="A1541">
        <v>1540</v>
      </c>
      <c r="B1541" t="s">
        <v>3460</v>
      </c>
      <c r="C1541" t="s">
        <v>3567</v>
      </c>
      <c r="D1541" t="s">
        <v>3568</v>
      </c>
      <c r="E1541" t="s">
        <v>45</v>
      </c>
      <c r="F1541" t="s">
        <v>3482</v>
      </c>
      <c r="G1541" t="s">
        <v>3528</v>
      </c>
      <c r="H1541" t="str">
        <f>'Huong dan giao do an'!$B$14</f>
        <v>5 SV (vai trò chính): 1 PM/Scrum Master kiêm Integration; 2 BA/PO; 3 UI-UX + Frontend; 4 Backend/API + DevOps; 5 Database + QA/Tester. Mỗi SV có nhiệm vụ phụ và minh chứng cá nhân.</v>
      </c>
      <c r="I1541" t="s">
        <v>29</v>
      </c>
      <c r="J1541" t="s">
        <v>3470</v>
      </c>
      <c r="K1541" t="str">
        <f>IF(I1541="Trung bình",'Huong dan giao do an'!$B$8,IF(I1541="Khá",'Huong dan giao do an'!$B$9,'Huong dan giao do an'!$B$10))</f>
        <v>Tối thiểu 5 actor; 14-18 use case; 10-15 bảng; 4 quy trình; tích hợp ngoài/realtime hoặc xử lý nâng cao; 3 báo cáo; &gt;=45 test case; logging, backup và deploy.</v>
      </c>
      <c r="L1541" t="str">
        <f>'Huong dan giao do an'!$B$31</f>
        <v>Bắt buộc: Charter/PMP; SRS + scope/WBS; Gantt/baseline; effort-cost budget; RACI/timesheet; quality-test-defect; communication/minutes; risk register; procurement; change log; closure/lessons learned.</v>
      </c>
      <c r="M1541" t="str">
        <f>'Huong dan giao do an'!$B$33</f>
        <v>Tuần 1: 07.09–13.09.2026; Tuần 2: 14.09–20.09.2026; Tuần 3: 21.09–27.09.2026; Tuần 4: 28.09–04.10.2026; Tuần 5: 05.10–11.10.2026; Tuần 6: 12.10–18.10.2026; Tuần 7: 19.10–25.10.2026; Tuần 8: 26.10–01.11.2026.</v>
      </c>
      <c r="N15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1" s="17" t="str">
        <f t="shared" si="24"/>
        <v>Còn trống</v>
      </c>
    </row>
    <row r="1542" spans="1:16" x14ac:dyDescent="0.3">
      <c r="A1542">
        <v>1541</v>
      </c>
      <c r="B1542" t="s">
        <v>3460</v>
      </c>
      <c r="C1542" t="s">
        <v>3569</v>
      </c>
      <c r="D1542" t="s">
        <v>3570</v>
      </c>
      <c r="E1542" t="s">
        <v>19</v>
      </c>
      <c r="F1542" t="s">
        <v>3463</v>
      </c>
      <c r="G1542" t="s">
        <v>3464</v>
      </c>
      <c r="H1542" t="str">
        <f>'Huong dan giao do an'!$B$14</f>
        <v>5 SV (vai trò chính): 1 PM/Scrum Master kiêm Integration; 2 BA/PO; 3 UI-UX + Frontend; 4 Backend/API + DevOps; 5 Database + QA/Tester. Mỗi SV có nhiệm vụ phụ và minh chứng cá nhân.</v>
      </c>
      <c r="I1542" t="s">
        <v>22</v>
      </c>
      <c r="J1542" t="s">
        <v>3465</v>
      </c>
      <c r="K1542" t="str">
        <f>IF(I1542="Trung bình",'Huong dan giao do an'!$B$8,IF(I1542="Khá",'Huong dan giao do an'!$B$9,'Huong dan giao do an'!$B$10))</f>
        <v>Tối thiểu 4 actor; 10-14 use case; 8-12 bảng; 3 quy trình lõi; phân quyền chi tiết; 2 báo cáo; tích hợp 1 dịch vụ; &gt;=35 test case; CI/CD hoặc deploy cloud.</v>
      </c>
      <c r="L1542" t="str">
        <f>'Huong dan giao do an'!$B$31</f>
        <v>Bắt buộc: Charter/PMP; SRS + scope/WBS; Gantt/baseline; effort-cost budget; RACI/timesheet; quality-test-defect; communication/minutes; risk register; procurement; change log; closure/lessons learned.</v>
      </c>
      <c r="M1542" t="str">
        <f>'Huong dan giao do an'!$B$33</f>
        <v>Tuần 1: 07.09–13.09.2026; Tuần 2: 14.09–20.09.2026; Tuần 3: 21.09–27.09.2026; Tuần 4: 28.09–04.10.2026; Tuần 5: 05.10–11.10.2026; Tuần 6: 12.10–18.10.2026; Tuần 7: 19.10–25.10.2026; Tuần 8: 26.10–01.11.2026.</v>
      </c>
      <c r="N15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2" s="17" t="str">
        <f t="shared" si="24"/>
        <v>Còn trống</v>
      </c>
    </row>
    <row r="1543" spans="1:16" x14ac:dyDescent="0.3">
      <c r="A1543">
        <v>1542</v>
      </c>
      <c r="B1543" t="s">
        <v>3460</v>
      </c>
      <c r="C1543" t="s">
        <v>3571</v>
      </c>
      <c r="D1543" t="s">
        <v>3572</v>
      </c>
      <c r="E1543" t="s">
        <v>26</v>
      </c>
      <c r="F1543" t="s">
        <v>3468</v>
      </c>
      <c r="G1543" t="s">
        <v>3469</v>
      </c>
      <c r="H1543" t="str">
        <f>'Huong dan giao do an'!$B$14</f>
        <v>5 SV (vai trò chính): 1 PM/Scrum Master kiêm Integration; 2 BA/PO; 3 UI-UX + Frontend; 4 Backend/API + DevOps; 5 Database + QA/Tester. Mỗi SV có nhiệm vụ phụ và minh chứng cá nhân.</v>
      </c>
      <c r="I1543" t="s">
        <v>29</v>
      </c>
      <c r="J1543" t="s">
        <v>3470</v>
      </c>
      <c r="K1543" t="str">
        <f>IF(I1543="Trung bình",'Huong dan giao do an'!$B$8,IF(I1543="Khá",'Huong dan giao do an'!$B$9,'Huong dan giao do an'!$B$10))</f>
        <v>Tối thiểu 5 actor; 14-18 use case; 10-15 bảng; 4 quy trình; tích hợp ngoài/realtime hoặc xử lý nâng cao; 3 báo cáo; &gt;=45 test case; logging, backup và deploy.</v>
      </c>
      <c r="L1543" t="str">
        <f>'Huong dan giao do an'!$B$31</f>
        <v>Bắt buộc: Charter/PMP; SRS + scope/WBS; Gantt/baseline; effort-cost budget; RACI/timesheet; quality-test-defect; communication/minutes; risk register; procurement; change log; closure/lessons learned.</v>
      </c>
      <c r="M1543" t="str">
        <f>'Huong dan giao do an'!$B$33</f>
        <v>Tuần 1: 07.09–13.09.2026; Tuần 2: 14.09–20.09.2026; Tuần 3: 21.09–27.09.2026; Tuần 4: 28.09–04.10.2026; Tuần 5: 05.10–11.10.2026; Tuần 6: 12.10–18.10.2026; Tuần 7: 19.10–25.10.2026; Tuần 8: 26.10–01.11.2026.</v>
      </c>
      <c r="N15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3" s="17" t="str">
        <f t="shared" si="24"/>
        <v>Còn trống</v>
      </c>
    </row>
    <row r="1544" spans="1:16" x14ac:dyDescent="0.3">
      <c r="A1544">
        <v>1543</v>
      </c>
      <c r="B1544" t="s">
        <v>3460</v>
      </c>
      <c r="C1544" t="s">
        <v>3573</v>
      </c>
      <c r="D1544" t="s">
        <v>3574</v>
      </c>
      <c r="E1544" t="s">
        <v>33</v>
      </c>
      <c r="F1544" t="s">
        <v>3473</v>
      </c>
      <c r="G1544" t="s">
        <v>3474</v>
      </c>
      <c r="H1544" t="str">
        <f>'Huong dan giao do an'!$B$14</f>
        <v>5 SV (vai trò chính): 1 PM/Scrum Master kiêm Integration; 2 BA/PO; 3 UI-UX + Frontend; 4 Backend/API + DevOps; 5 Database + QA/Tester. Mỗi SV có nhiệm vụ phụ và minh chứng cá nhân.</v>
      </c>
      <c r="I1544" t="s">
        <v>36</v>
      </c>
      <c r="J1544" t="s">
        <v>3475</v>
      </c>
      <c r="K1544" t="str">
        <f>IF(I1544="Trung bình",'Huong dan giao do an'!$B$8,IF(I1544="Khá",'Huong dan giao do an'!$B$9,'Huong dan giao do an'!$B$10))</f>
        <v>Tối thiểu 3 actor; 8-10 use case; 6-8 bảng dữ liệu; 2 quy trình lõi; đăng nhập/RBAC; 1 dashboard; 1 báo cáo; &gt;=25 test case; triển khai bản demo.</v>
      </c>
      <c r="L1544" t="str">
        <f>'Huong dan giao do an'!$B$31</f>
        <v>Bắt buộc: Charter/PMP; SRS + scope/WBS; Gantt/baseline; effort-cost budget; RACI/timesheet; quality-test-defect; communication/minutes; risk register; procurement; change log; closure/lessons learned.</v>
      </c>
      <c r="M1544" t="str">
        <f>'Huong dan giao do an'!$B$33</f>
        <v>Tuần 1: 07.09–13.09.2026; Tuần 2: 14.09–20.09.2026; Tuần 3: 21.09–27.09.2026; Tuần 4: 28.09–04.10.2026; Tuần 5: 05.10–11.10.2026; Tuần 6: 12.10–18.10.2026; Tuần 7: 19.10–25.10.2026; Tuần 8: 26.10–01.11.2026.</v>
      </c>
      <c r="N15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4" s="17" t="str">
        <f t="shared" si="24"/>
        <v>Còn trống</v>
      </c>
    </row>
    <row r="1545" spans="1:16" x14ac:dyDescent="0.3">
      <c r="A1545">
        <v>1544</v>
      </c>
      <c r="B1545" t="s">
        <v>3460</v>
      </c>
      <c r="C1545" t="s">
        <v>3575</v>
      </c>
      <c r="D1545" t="s">
        <v>3576</v>
      </c>
      <c r="E1545" t="s">
        <v>40</v>
      </c>
      <c r="F1545" t="s">
        <v>3478</v>
      </c>
      <c r="G1545" t="s">
        <v>3479</v>
      </c>
      <c r="H1545" t="str">
        <f>'Huong dan giao do an'!$B$14</f>
        <v>5 SV (vai trò chính): 1 PM/Scrum Master kiêm Integration; 2 BA/PO; 3 UI-UX + Frontend; 4 Backend/API + DevOps; 5 Database + QA/Tester. Mỗi SV có nhiệm vụ phụ và minh chứng cá nhân.</v>
      </c>
      <c r="I1545" t="s">
        <v>22</v>
      </c>
      <c r="J1545" t="s">
        <v>3465</v>
      </c>
      <c r="K1545" t="str">
        <f>IF(I1545="Trung bình",'Huong dan giao do an'!$B$8,IF(I1545="Khá",'Huong dan giao do an'!$B$9,'Huong dan giao do an'!$B$10))</f>
        <v>Tối thiểu 4 actor; 10-14 use case; 8-12 bảng; 3 quy trình lõi; phân quyền chi tiết; 2 báo cáo; tích hợp 1 dịch vụ; &gt;=35 test case; CI/CD hoặc deploy cloud.</v>
      </c>
      <c r="L1545" t="str">
        <f>'Huong dan giao do an'!$B$31</f>
        <v>Bắt buộc: Charter/PMP; SRS + scope/WBS; Gantt/baseline; effort-cost budget; RACI/timesheet; quality-test-defect; communication/minutes; risk register; procurement; change log; closure/lessons learned.</v>
      </c>
      <c r="M1545" t="str">
        <f>'Huong dan giao do an'!$B$33</f>
        <v>Tuần 1: 07.09–13.09.2026; Tuần 2: 14.09–20.09.2026; Tuần 3: 21.09–27.09.2026; Tuần 4: 28.09–04.10.2026; Tuần 5: 05.10–11.10.2026; Tuần 6: 12.10–18.10.2026; Tuần 7: 19.10–25.10.2026; Tuần 8: 26.10–01.11.2026.</v>
      </c>
      <c r="N15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5" s="17" t="str">
        <f t="shared" si="24"/>
        <v>Còn trống</v>
      </c>
    </row>
    <row r="1546" spans="1:16" x14ac:dyDescent="0.3">
      <c r="A1546">
        <v>1545</v>
      </c>
      <c r="B1546" t="s">
        <v>3460</v>
      </c>
      <c r="C1546" t="s">
        <v>3577</v>
      </c>
      <c r="D1546" t="s">
        <v>3578</v>
      </c>
      <c r="E1546" t="s">
        <v>45</v>
      </c>
      <c r="F1546" t="s">
        <v>3482</v>
      </c>
      <c r="G1546" t="s">
        <v>3483</v>
      </c>
      <c r="H1546" t="str">
        <f>'Huong dan giao do an'!$B$14</f>
        <v>5 SV (vai trò chính): 1 PM/Scrum Master kiêm Integration; 2 BA/PO; 3 UI-UX + Frontend; 4 Backend/API + DevOps; 5 Database + QA/Tester. Mỗi SV có nhiệm vụ phụ và minh chứng cá nhân.</v>
      </c>
      <c r="I1546" t="s">
        <v>29</v>
      </c>
      <c r="J1546" t="s">
        <v>3470</v>
      </c>
      <c r="K1546" t="str">
        <f>IF(I1546="Trung bình",'Huong dan giao do an'!$B$8,IF(I1546="Khá",'Huong dan giao do an'!$B$9,'Huong dan giao do an'!$B$10))</f>
        <v>Tối thiểu 5 actor; 14-18 use case; 10-15 bảng; 4 quy trình; tích hợp ngoài/realtime hoặc xử lý nâng cao; 3 báo cáo; &gt;=45 test case; logging, backup và deploy.</v>
      </c>
      <c r="L1546" t="str">
        <f>'Huong dan giao do an'!$B$31</f>
        <v>Bắt buộc: Charter/PMP; SRS + scope/WBS; Gantt/baseline; effort-cost budget; RACI/timesheet; quality-test-defect; communication/minutes; risk register; procurement; change log; closure/lessons learned.</v>
      </c>
      <c r="M1546" t="str">
        <f>'Huong dan giao do an'!$B$33</f>
        <v>Tuần 1: 07.09–13.09.2026; Tuần 2: 14.09–20.09.2026; Tuần 3: 21.09–27.09.2026; Tuần 4: 28.09–04.10.2026; Tuần 5: 05.10–11.10.2026; Tuần 6: 12.10–18.10.2026; Tuần 7: 19.10–25.10.2026; Tuần 8: 26.10–01.11.2026.</v>
      </c>
      <c r="N15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6" s="17" t="str">
        <f t="shared" si="24"/>
        <v>Còn trống</v>
      </c>
    </row>
    <row r="1547" spans="1:16" x14ac:dyDescent="0.3">
      <c r="A1547">
        <v>1546</v>
      </c>
      <c r="B1547" t="s">
        <v>3460</v>
      </c>
      <c r="C1547" t="s">
        <v>3579</v>
      </c>
      <c r="D1547" t="s">
        <v>3580</v>
      </c>
      <c r="E1547" t="s">
        <v>19</v>
      </c>
      <c r="F1547" t="s">
        <v>3463</v>
      </c>
      <c r="G1547" t="s">
        <v>3486</v>
      </c>
      <c r="H1547" t="str">
        <f>'Huong dan giao do an'!$B$14</f>
        <v>5 SV (vai trò chính): 1 PM/Scrum Master kiêm Integration; 2 BA/PO; 3 UI-UX + Frontend; 4 Backend/API + DevOps; 5 Database + QA/Tester. Mỗi SV có nhiệm vụ phụ và minh chứng cá nhân.</v>
      </c>
      <c r="I1547" t="s">
        <v>36</v>
      </c>
      <c r="J1547" t="s">
        <v>3475</v>
      </c>
      <c r="K1547" t="str">
        <f>IF(I1547="Trung bình",'Huong dan giao do an'!$B$8,IF(I1547="Khá",'Huong dan giao do an'!$B$9,'Huong dan giao do an'!$B$10))</f>
        <v>Tối thiểu 3 actor; 8-10 use case; 6-8 bảng dữ liệu; 2 quy trình lõi; đăng nhập/RBAC; 1 dashboard; 1 báo cáo; &gt;=25 test case; triển khai bản demo.</v>
      </c>
      <c r="L1547" t="str">
        <f>'Huong dan giao do an'!$B$31</f>
        <v>Bắt buộc: Charter/PMP; SRS + scope/WBS; Gantt/baseline; effort-cost budget; RACI/timesheet; quality-test-defect; communication/minutes; risk register; procurement; change log; closure/lessons learned.</v>
      </c>
      <c r="M1547" t="str">
        <f>'Huong dan giao do an'!$B$33</f>
        <v>Tuần 1: 07.09–13.09.2026; Tuần 2: 14.09–20.09.2026; Tuần 3: 21.09–27.09.2026; Tuần 4: 28.09–04.10.2026; Tuần 5: 05.10–11.10.2026; Tuần 6: 12.10–18.10.2026; Tuần 7: 19.10–25.10.2026; Tuần 8: 26.10–01.11.2026.</v>
      </c>
      <c r="N15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7" s="17" t="str">
        <f t="shared" si="24"/>
        <v>Còn trống</v>
      </c>
    </row>
    <row r="1548" spans="1:16" x14ac:dyDescent="0.3">
      <c r="A1548">
        <v>1547</v>
      </c>
      <c r="B1548" t="s">
        <v>3460</v>
      </c>
      <c r="C1548" t="s">
        <v>3581</v>
      </c>
      <c r="D1548" t="s">
        <v>3582</v>
      </c>
      <c r="E1548" t="s">
        <v>26</v>
      </c>
      <c r="F1548" t="s">
        <v>3468</v>
      </c>
      <c r="G1548" t="s">
        <v>3489</v>
      </c>
      <c r="H1548" t="str">
        <f>'Huong dan giao do an'!$B$14</f>
        <v>5 SV (vai trò chính): 1 PM/Scrum Master kiêm Integration; 2 BA/PO; 3 UI-UX + Frontend; 4 Backend/API + DevOps; 5 Database + QA/Tester. Mỗi SV có nhiệm vụ phụ và minh chứng cá nhân.</v>
      </c>
      <c r="I1548" t="s">
        <v>22</v>
      </c>
      <c r="J1548" t="s">
        <v>3465</v>
      </c>
      <c r="K1548" t="str">
        <f>IF(I1548="Trung bình",'Huong dan giao do an'!$B$8,IF(I1548="Khá",'Huong dan giao do an'!$B$9,'Huong dan giao do an'!$B$10))</f>
        <v>Tối thiểu 4 actor; 10-14 use case; 8-12 bảng; 3 quy trình lõi; phân quyền chi tiết; 2 báo cáo; tích hợp 1 dịch vụ; &gt;=35 test case; CI/CD hoặc deploy cloud.</v>
      </c>
      <c r="L1548" t="str">
        <f>'Huong dan giao do an'!$B$31</f>
        <v>Bắt buộc: Charter/PMP; SRS + scope/WBS; Gantt/baseline; effort-cost budget; RACI/timesheet; quality-test-defect; communication/minutes; risk register; procurement; change log; closure/lessons learned.</v>
      </c>
      <c r="M1548" t="str">
        <f>'Huong dan giao do an'!$B$33</f>
        <v>Tuần 1: 07.09–13.09.2026; Tuần 2: 14.09–20.09.2026; Tuần 3: 21.09–27.09.2026; Tuần 4: 28.09–04.10.2026; Tuần 5: 05.10–11.10.2026; Tuần 6: 12.10–18.10.2026; Tuần 7: 19.10–25.10.2026; Tuần 8: 26.10–01.11.2026.</v>
      </c>
      <c r="N15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8" s="17" t="str">
        <f t="shared" si="24"/>
        <v>Còn trống</v>
      </c>
    </row>
    <row r="1549" spans="1:16" x14ac:dyDescent="0.3">
      <c r="A1549">
        <v>1548</v>
      </c>
      <c r="B1549" t="s">
        <v>3460</v>
      </c>
      <c r="C1549" t="s">
        <v>3583</v>
      </c>
      <c r="D1549" t="s">
        <v>3584</v>
      </c>
      <c r="E1549" t="s">
        <v>33</v>
      </c>
      <c r="F1549" t="s">
        <v>3473</v>
      </c>
      <c r="G1549" t="s">
        <v>3492</v>
      </c>
      <c r="H1549" t="str">
        <f>'Huong dan giao do an'!$B$14</f>
        <v>5 SV (vai trò chính): 1 PM/Scrum Master kiêm Integration; 2 BA/PO; 3 UI-UX + Frontend; 4 Backend/API + DevOps; 5 Database + QA/Tester. Mỗi SV có nhiệm vụ phụ và minh chứng cá nhân.</v>
      </c>
      <c r="I1549" t="s">
        <v>29</v>
      </c>
      <c r="J1549" t="s">
        <v>3470</v>
      </c>
      <c r="K1549" t="str">
        <f>IF(I1549="Trung bình",'Huong dan giao do an'!$B$8,IF(I1549="Khá",'Huong dan giao do an'!$B$9,'Huong dan giao do an'!$B$10))</f>
        <v>Tối thiểu 5 actor; 14-18 use case; 10-15 bảng; 4 quy trình; tích hợp ngoài/realtime hoặc xử lý nâng cao; 3 báo cáo; &gt;=45 test case; logging, backup và deploy.</v>
      </c>
      <c r="L1549" t="str">
        <f>'Huong dan giao do an'!$B$31</f>
        <v>Bắt buộc: Charter/PMP; SRS + scope/WBS; Gantt/baseline; effort-cost budget; RACI/timesheet; quality-test-defect; communication/minutes; risk register; procurement; change log; closure/lessons learned.</v>
      </c>
      <c r="M1549" t="str">
        <f>'Huong dan giao do an'!$B$33</f>
        <v>Tuần 1: 07.09–13.09.2026; Tuần 2: 14.09–20.09.2026; Tuần 3: 21.09–27.09.2026; Tuần 4: 28.09–04.10.2026; Tuần 5: 05.10–11.10.2026; Tuần 6: 12.10–18.10.2026; Tuần 7: 19.10–25.10.2026; Tuần 8: 26.10–01.11.2026.</v>
      </c>
      <c r="N15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49" s="17" t="str">
        <f t="shared" si="24"/>
        <v>Còn trống</v>
      </c>
    </row>
    <row r="1550" spans="1:16" x14ac:dyDescent="0.3">
      <c r="A1550">
        <v>1549</v>
      </c>
      <c r="B1550" t="s">
        <v>3460</v>
      </c>
      <c r="C1550" t="s">
        <v>3585</v>
      </c>
      <c r="D1550" t="s">
        <v>3586</v>
      </c>
      <c r="E1550" t="s">
        <v>40</v>
      </c>
      <c r="F1550" t="s">
        <v>3478</v>
      </c>
      <c r="G1550" t="s">
        <v>3495</v>
      </c>
      <c r="H1550" t="str">
        <f>'Huong dan giao do an'!$B$14</f>
        <v>5 SV (vai trò chính): 1 PM/Scrum Master kiêm Integration; 2 BA/PO; 3 UI-UX + Frontend; 4 Backend/API + DevOps; 5 Database + QA/Tester. Mỗi SV có nhiệm vụ phụ và minh chứng cá nhân.</v>
      </c>
      <c r="I1550" t="s">
        <v>36</v>
      </c>
      <c r="J1550" t="s">
        <v>3475</v>
      </c>
      <c r="K1550" t="str">
        <f>IF(I1550="Trung bình",'Huong dan giao do an'!$B$8,IF(I1550="Khá",'Huong dan giao do an'!$B$9,'Huong dan giao do an'!$B$10))</f>
        <v>Tối thiểu 3 actor; 8-10 use case; 6-8 bảng dữ liệu; 2 quy trình lõi; đăng nhập/RBAC; 1 dashboard; 1 báo cáo; &gt;=25 test case; triển khai bản demo.</v>
      </c>
      <c r="L1550" t="str">
        <f>'Huong dan giao do an'!$B$31</f>
        <v>Bắt buộc: Charter/PMP; SRS + scope/WBS; Gantt/baseline; effort-cost budget; RACI/timesheet; quality-test-defect; communication/minutes; risk register; procurement; change log; closure/lessons learned.</v>
      </c>
      <c r="M1550" t="str">
        <f>'Huong dan giao do an'!$B$33</f>
        <v>Tuần 1: 07.09–13.09.2026; Tuần 2: 14.09–20.09.2026; Tuần 3: 21.09–27.09.2026; Tuần 4: 28.09–04.10.2026; Tuần 5: 05.10–11.10.2026; Tuần 6: 12.10–18.10.2026; Tuần 7: 19.10–25.10.2026; Tuần 8: 26.10–01.11.2026.</v>
      </c>
      <c r="N15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0" s="17" t="str">
        <f t="shared" si="24"/>
        <v>Còn trống</v>
      </c>
    </row>
    <row r="1551" spans="1:16" x14ac:dyDescent="0.3">
      <c r="A1551">
        <v>1550</v>
      </c>
      <c r="B1551" t="s">
        <v>3460</v>
      </c>
      <c r="C1551" t="s">
        <v>3587</v>
      </c>
      <c r="D1551" t="s">
        <v>3588</v>
      </c>
      <c r="E1551" t="s">
        <v>45</v>
      </c>
      <c r="F1551" t="s">
        <v>3482</v>
      </c>
      <c r="G1551" t="s">
        <v>3498</v>
      </c>
      <c r="H1551" t="str">
        <f>'Huong dan giao do an'!$B$14</f>
        <v>5 SV (vai trò chính): 1 PM/Scrum Master kiêm Integration; 2 BA/PO; 3 UI-UX + Frontend; 4 Backend/API + DevOps; 5 Database + QA/Tester. Mỗi SV có nhiệm vụ phụ và minh chứng cá nhân.</v>
      </c>
      <c r="I1551" t="s">
        <v>22</v>
      </c>
      <c r="J1551" t="s">
        <v>3465</v>
      </c>
      <c r="K1551" t="str">
        <f>IF(I1551="Trung bình",'Huong dan giao do an'!$B$8,IF(I1551="Khá",'Huong dan giao do an'!$B$9,'Huong dan giao do an'!$B$10))</f>
        <v>Tối thiểu 4 actor; 10-14 use case; 8-12 bảng; 3 quy trình lõi; phân quyền chi tiết; 2 báo cáo; tích hợp 1 dịch vụ; &gt;=35 test case; CI/CD hoặc deploy cloud.</v>
      </c>
      <c r="L1551" t="str">
        <f>'Huong dan giao do an'!$B$31</f>
        <v>Bắt buộc: Charter/PMP; SRS + scope/WBS; Gantt/baseline; effort-cost budget; RACI/timesheet; quality-test-defect; communication/minutes; risk register; procurement; change log; closure/lessons learned.</v>
      </c>
      <c r="M1551" t="str">
        <f>'Huong dan giao do an'!$B$33</f>
        <v>Tuần 1: 07.09–13.09.2026; Tuần 2: 14.09–20.09.2026; Tuần 3: 21.09–27.09.2026; Tuần 4: 28.09–04.10.2026; Tuần 5: 05.10–11.10.2026; Tuần 6: 12.10–18.10.2026; Tuần 7: 19.10–25.10.2026; Tuần 8: 26.10–01.11.2026.</v>
      </c>
      <c r="N15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1" s="17" t="str">
        <f t="shared" si="24"/>
        <v>Còn trống</v>
      </c>
    </row>
    <row r="1552" spans="1:16" x14ac:dyDescent="0.3">
      <c r="A1552">
        <v>1551</v>
      </c>
      <c r="B1552" t="s">
        <v>3460</v>
      </c>
      <c r="C1552" t="s">
        <v>3589</v>
      </c>
      <c r="D1552" t="s">
        <v>3590</v>
      </c>
      <c r="E1552" t="s">
        <v>19</v>
      </c>
      <c r="F1552" t="s">
        <v>3463</v>
      </c>
      <c r="G1552" t="s">
        <v>3501</v>
      </c>
      <c r="H1552" t="str">
        <f>'Huong dan giao do an'!$B$14</f>
        <v>5 SV (vai trò chính): 1 PM/Scrum Master kiêm Integration; 2 BA/PO; 3 UI-UX + Frontend; 4 Backend/API + DevOps; 5 Database + QA/Tester. Mỗi SV có nhiệm vụ phụ và minh chứng cá nhân.</v>
      </c>
      <c r="I1552" t="s">
        <v>29</v>
      </c>
      <c r="J1552" t="s">
        <v>3470</v>
      </c>
      <c r="K1552" t="str">
        <f>IF(I1552="Trung bình",'Huong dan giao do an'!$B$8,IF(I1552="Khá",'Huong dan giao do an'!$B$9,'Huong dan giao do an'!$B$10))</f>
        <v>Tối thiểu 5 actor; 14-18 use case; 10-15 bảng; 4 quy trình; tích hợp ngoài/realtime hoặc xử lý nâng cao; 3 báo cáo; &gt;=45 test case; logging, backup và deploy.</v>
      </c>
      <c r="L1552" t="str">
        <f>'Huong dan giao do an'!$B$31</f>
        <v>Bắt buộc: Charter/PMP; SRS + scope/WBS; Gantt/baseline; effort-cost budget; RACI/timesheet; quality-test-defect; communication/minutes; risk register; procurement; change log; closure/lessons learned.</v>
      </c>
      <c r="M1552" t="str">
        <f>'Huong dan giao do an'!$B$33</f>
        <v>Tuần 1: 07.09–13.09.2026; Tuần 2: 14.09–20.09.2026; Tuần 3: 21.09–27.09.2026; Tuần 4: 28.09–04.10.2026; Tuần 5: 05.10–11.10.2026; Tuần 6: 12.10–18.10.2026; Tuần 7: 19.10–25.10.2026; Tuần 8: 26.10–01.11.2026.</v>
      </c>
      <c r="N15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2" s="17" t="str">
        <f t="shared" si="24"/>
        <v>Còn trống</v>
      </c>
    </row>
    <row r="1553" spans="1:16" x14ac:dyDescent="0.3">
      <c r="A1553">
        <v>1552</v>
      </c>
      <c r="B1553" t="s">
        <v>3460</v>
      </c>
      <c r="C1553" t="s">
        <v>3591</v>
      </c>
      <c r="D1553" t="s">
        <v>3592</v>
      </c>
      <c r="E1553" t="s">
        <v>26</v>
      </c>
      <c r="F1553" t="s">
        <v>3468</v>
      </c>
      <c r="G1553" t="s">
        <v>3504</v>
      </c>
      <c r="H1553" t="str">
        <f>'Huong dan giao do an'!$B$14</f>
        <v>5 SV (vai trò chính): 1 PM/Scrum Master kiêm Integration; 2 BA/PO; 3 UI-UX + Frontend; 4 Backend/API + DevOps; 5 Database + QA/Tester. Mỗi SV có nhiệm vụ phụ và minh chứng cá nhân.</v>
      </c>
      <c r="I1553" t="s">
        <v>36</v>
      </c>
      <c r="J1553" t="s">
        <v>3475</v>
      </c>
      <c r="K1553" t="str">
        <f>IF(I1553="Trung bình",'Huong dan giao do an'!$B$8,IF(I1553="Khá",'Huong dan giao do an'!$B$9,'Huong dan giao do an'!$B$10))</f>
        <v>Tối thiểu 3 actor; 8-10 use case; 6-8 bảng dữ liệu; 2 quy trình lõi; đăng nhập/RBAC; 1 dashboard; 1 báo cáo; &gt;=25 test case; triển khai bản demo.</v>
      </c>
      <c r="L1553" t="str">
        <f>'Huong dan giao do an'!$B$31</f>
        <v>Bắt buộc: Charter/PMP; SRS + scope/WBS; Gantt/baseline; effort-cost budget; RACI/timesheet; quality-test-defect; communication/minutes; risk register; procurement; change log; closure/lessons learned.</v>
      </c>
      <c r="M1553" t="str">
        <f>'Huong dan giao do an'!$B$33</f>
        <v>Tuần 1: 07.09–13.09.2026; Tuần 2: 14.09–20.09.2026; Tuần 3: 21.09–27.09.2026; Tuần 4: 28.09–04.10.2026; Tuần 5: 05.10–11.10.2026; Tuần 6: 12.10–18.10.2026; Tuần 7: 19.10–25.10.2026; Tuần 8: 26.10–01.11.2026.</v>
      </c>
      <c r="N15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3" s="17" t="str">
        <f t="shared" si="24"/>
        <v>Còn trống</v>
      </c>
    </row>
    <row r="1554" spans="1:16" x14ac:dyDescent="0.3">
      <c r="A1554">
        <v>1553</v>
      </c>
      <c r="B1554" t="s">
        <v>3460</v>
      </c>
      <c r="C1554" t="s">
        <v>3593</v>
      </c>
      <c r="D1554" t="s">
        <v>3594</v>
      </c>
      <c r="E1554" t="s">
        <v>33</v>
      </c>
      <c r="F1554" t="s">
        <v>3473</v>
      </c>
      <c r="G1554" t="s">
        <v>3507</v>
      </c>
      <c r="H1554" t="str">
        <f>'Huong dan giao do an'!$B$14</f>
        <v>5 SV (vai trò chính): 1 PM/Scrum Master kiêm Integration; 2 BA/PO; 3 UI-UX + Frontend; 4 Backend/API + DevOps; 5 Database + QA/Tester. Mỗi SV có nhiệm vụ phụ và minh chứng cá nhân.</v>
      </c>
      <c r="I1554" t="s">
        <v>22</v>
      </c>
      <c r="J1554" t="s">
        <v>3465</v>
      </c>
      <c r="K1554" t="str">
        <f>IF(I1554="Trung bình",'Huong dan giao do an'!$B$8,IF(I1554="Khá",'Huong dan giao do an'!$B$9,'Huong dan giao do an'!$B$10))</f>
        <v>Tối thiểu 4 actor; 10-14 use case; 8-12 bảng; 3 quy trình lõi; phân quyền chi tiết; 2 báo cáo; tích hợp 1 dịch vụ; &gt;=35 test case; CI/CD hoặc deploy cloud.</v>
      </c>
      <c r="L1554" t="str">
        <f>'Huong dan giao do an'!$B$31</f>
        <v>Bắt buộc: Charter/PMP; SRS + scope/WBS; Gantt/baseline; effort-cost budget; RACI/timesheet; quality-test-defect; communication/minutes; risk register; procurement; change log; closure/lessons learned.</v>
      </c>
      <c r="M1554" t="str">
        <f>'Huong dan giao do an'!$B$33</f>
        <v>Tuần 1: 07.09–13.09.2026; Tuần 2: 14.09–20.09.2026; Tuần 3: 21.09–27.09.2026; Tuần 4: 28.09–04.10.2026; Tuần 5: 05.10–11.10.2026; Tuần 6: 12.10–18.10.2026; Tuần 7: 19.10–25.10.2026; Tuần 8: 26.10–01.11.2026.</v>
      </c>
      <c r="N15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4" s="17" t="str">
        <f t="shared" si="24"/>
        <v>Còn trống</v>
      </c>
    </row>
    <row r="1555" spans="1:16" x14ac:dyDescent="0.3">
      <c r="A1555">
        <v>1554</v>
      </c>
      <c r="B1555" t="s">
        <v>3460</v>
      </c>
      <c r="C1555" t="s">
        <v>3595</v>
      </c>
      <c r="D1555" t="s">
        <v>3596</v>
      </c>
      <c r="E1555" t="s">
        <v>40</v>
      </c>
      <c r="F1555" t="s">
        <v>3478</v>
      </c>
      <c r="G1555" t="s">
        <v>3510</v>
      </c>
      <c r="H1555" t="str">
        <f>'Huong dan giao do an'!$B$14</f>
        <v>5 SV (vai trò chính): 1 PM/Scrum Master kiêm Integration; 2 BA/PO; 3 UI-UX + Frontend; 4 Backend/API + DevOps; 5 Database + QA/Tester. Mỗi SV có nhiệm vụ phụ và minh chứng cá nhân.</v>
      </c>
      <c r="I1555" t="s">
        <v>29</v>
      </c>
      <c r="J1555" t="s">
        <v>3470</v>
      </c>
      <c r="K1555" t="str">
        <f>IF(I1555="Trung bình",'Huong dan giao do an'!$B$8,IF(I1555="Khá",'Huong dan giao do an'!$B$9,'Huong dan giao do an'!$B$10))</f>
        <v>Tối thiểu 5 actor; 14-18 use case; 10-15 bảng; 4 quy trình; tích hợp ngoài/realtime hoặc xử lý nâng cao; 3 báo cáo; &gt;=45 test case; logging, backup và deploy.</v>
      </c>
      <c r="L1555" t="str">
        <f>'Huong dan giao do an'!$B$31</f>
        <v>Bắt buộc: Charter/PMP; SRS + scope/WBS; Gantt/baseline; effort-cost budget; RACI/timesheet; quality-test-defect; communication/minutes; risk register; procurement; change log; closure/lessons learned.</v>
      </c>
      <c r="M1555" t="str">
        <f>'Huong dan giao do an'!$B$33</f>
        <v>Tuần 1: 07.09–13.09.2026; Tuần 2: 14.09–20.09.2026; Tuần 3: 21.09–27.09.2026; Tuần 4: 28.09–04.10.2026; Tuần 5: 05.10–11.10.2026; Tuần 6: 12.10–18.10.2026; Tuần 7: 19.10–25.10.2026; Tuần 8: 26.10–01.11.2026.</v>
      </c>
      <c r="N15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5" s="17" t="str">
        <f t="shared" si="24"/>
        <v>Còn trống</v>
      </c>
    </row>
    <row r="1556" spans="1:16" x14ac:dyDescent="0.3">
      <c r="A1556">
        <v>1555</v>
      </c>
      <c r="B1556" t="s">
        <v>3460</v>
      </c>
      <c r="C1556" t="s">
        <v>3597</v>
      </c>
      <c r="D1556" t="s">
        <v>3598</v>
      </c>
      <c r="E1556" t="s">
        <v>45</v>
      </c>
      <c r="F1556" t="s">
        <v>3482</v>
      </c>
      <c r="G1556" t="s">
        <v>3513</v>
      </c>
      <c r="H1556" t="str">
        <f>'Huong dan giao do an'!$B$14</f>
        <v>5 SV (vai trò chính): 1 PM/Scrum Master kiêm Integration; 2 BA/PO; 3 UI-UX + Frontend; 4 Backend/API + DevOps; 5 Database + QA/Tester. Mỗi SV có nhiệm vụ phụ và minh chứng cá nhân.</v>
      </c>
      <c r="I1556" t="s">
        <v>36</v>
      </c>
      <c r="J1556" t="s">
        <v>3475</v>
      </c>
      <c r="K1556" t="str">
        <f>IF(I1556="Trung bình",'Huong dan giao do an'!$B$8,IF(I1556="Khá",'Huong dan giao do an'!$B$9,'Huong dan giao do an'!$B$10))</f>
        <v>Tối thiểu 3 actor; 8-10 use case; 6-8 bảng dữ liệu; 2 quy trình lõi; đăng nhập/RBAC; 1 dashboard; 1 báo cáo; &gt;=25 test case; triển khai bản demo.</v>
      </c>
      <c r="L1556" t="str">
        <f>'Huong dan giao do an'!$B$31</f>
        <v>Bắt buộc: Charter/PMP; SRS + scope/WBS; Gantt/baseline; effort-cost budget; RACI/timesheet; quality-test-defect; communication/minutes; risk register; procurement; change log; closure/lessons learned.</v>
      </c>
      <c r="M1556" t="str">
        <f>'Huong dan giao do an'!$B$33</f>
        <v>Tuần 1: 07.09–13.09.2026; Tuần 2: 14.09–20.09.2026; Tuần 3: 21.09–27.09.2026; Tuần 4: 28.09–04.10.2026; Tuần 5: 05.10–11.10.2026; Tuần 6: 12.10–18.10.2026; Tuần 7: 19.10–25.10.2026; Tuần 8: 26.10–01.11.2026.</v>
      </c>
      <c r="N15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6" s="17" t="str">
        <f t="shared" si="24"/>
        <v>Còn trống</v>
      </c>
    </row>
    <row r="1557" spans="1:16" x14ac:dyDescent="0.3">
      <c r="A1557">
        <v>1556</v>
      </c>
      <c r="B1557" t="s">
        <v>3460</v>
      </c>
      <c r="C1557" t="s">
        <v>3599</v>
      </c>
      <c r="D1557" t="s">
        <v>3600</v>
      </c>
      <c r="E1557" t="s">
        <v>19</v>
      </c>
      <c r="F1557" t="s">
        <v>3463</v>
      </c>
      <c r="G1557" t="s">
        <v>3516</v>
      </c>
      <c r="H1557" t="str">
        <f>'Huong dan giao do an'!$B$14</f>
        <v>5 SV (vai trò chính): 1 PM/Scrum Master kiêm Integration; 2 BA/PO; 3 UI-UX + Frontend; 4 Backend/API + DevOps; 5 Database + QA/Tester. Mỗi SV có nhiệm vụ phụ và minh chứng cá nhân.</v>
      </c>
      <c r="I1557" t="s">
        <v>22</v>
      </c>
      <c r="J1557" t="s">
        <v>3465</v>
      </c>
      <c r="K1557" t="str">
        <f>IF(I1557="Trung bình",'Huong dan giao do an'!$B$8,IF(I1557="Khá",'Huong dan giao do an'!$B$9,'Huong dan giao do an'!$B$10))</f>
        <v>Tối thiểu 4 actor; 10-14 use case; 8-12 bảng; 3 quy trình lõi; phân quyền chi tiết; 2 báo cáo; tích hợp 1 dịch vụ; &gt;=35 test case; CI/CD hoặc deploy cloud.</v>
      </c>
      <c r="L1557" t="str">
        <f>'Huong dan giao do an'!$B$31</f>
        <v>Bắt buộc: Charter/PMP; SRS + scope/WBS; Gantt/baseline; effort-cost budget; RACI/timesheet; quality-test-defect; communication/minutes; risk register; procurement; change log; closure/lessons learned.</v>
      </c>
      <c r="M1557" t="str">
        <f>'Huong dan giao do an'!$B$33</f>
        <v>Tuần 1: 07.09–13.09.2026; Tuần 2: 14.09–20.09.2026; Tuần 3: 21.09–27.09.2026; Tuần 4: 28.09–04.10.2026; Tuần 5: 05.10–11.10.2026; Tuần 6: 12.10–18.10.2026; Tuần 7: 19.10–25.10.2026; Tuần 8: 26.10–01.11.2026.</v>
      </c>
      <c r="N15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7" s="17" t="str">
        <f t="shared" si="24"/>
        <v>Còn trống</v>
      </c>
    </row>
    <row r="1558" spans="1:16" x14ac:dyDescent="0.3">
      <c r="A1558">
        <v>1557</v>
      </c>
      <c r="B1558" t="s">
        <v>3460</v>
      </c>
      <c r="C1558" t="s">
        <v>3601</v>
      </c>
      <c r="D1558" t="s">
        <v>3602</v>
      </c>
      <c r="E1558" t="s">
        <v>26</v>
      </c>
      <c r="F1558" t="s">
        <v>3468</v>
      </c>
      <c r="G1558" t="s">
        <v>3519</v>
      </c>
      <c r="H1558" t="str">
        <f>'Huong dan giao do an'!$B$14</f>
        <v>5 SV (vai trò chính): 1 PM/Scrum Master kiêm Integration; 2 BA/PO; 3 UI-UX + Frontend; 4 Backend/API + DevOps; 5 Database + QA/Tester. Mỗi SV có nhiệm vụ phụ và minh chứng cá nhân.</v>
      </c>
      <c r="I1558" t="s">
        <v>29</v>
      </c>
      <c r="J1558" t="s">
        <v>3470</v>
      </c>
      <c r="K1558" t="str">
        <f>IF(I1558="Trung bình",'Huong dan giao do an'!$B$8,IF(I1558="Khá",'Huong dan giao do an'!$B$9,'Huong dan giao do an'!$B$10))</f>
        <v>Tối thiểu 5 actor; 14-18 use case; 10-15 bảng; 4 quy trình; tích hợp ngoài/realtime hoặc xử lý nâng cao; 3 báo cáo; &gt;=45 test case; logging, backup và deploy.</v>
      </c>
      <c r="L1558" t="str">
        <f>'Huong dan giao do an'!$B$31</f>
        <v>Bắt buộc: Charter/PMP; SRS + scope/WBS; Gantt/baseline; effort-cost budget; RACI/timesheet; quality-test-defect; communication/minutes; risk register; procurement; change log; closure/lessons learned.</v>
      </c>
      <c r="M1558" t="str">
        <f>'Huong dan giao do an'!$B$33</f>
        <v>Tuần 1: 07.09–13.09.2026; Tuần 2: 14.09–20.09.2026; Tuần 3: 21.09–27.09.2026; Tuần 4: 28.09–04.10.2026; Tuần 5: 05.10–11.10.2026; Tuần 6: 12.10–18.10.2026; Tuần 7: 19.10–25.10.2026; Tuần 8: 26.10–01.11.2026.</v>
      </c>
      <c r="N15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8" s="17" t="str">
        <f t="shared" si="24"/>
        <v>Còn trống</v>
      </c>
    </row>
    <row r="1559" spans="1:16" x14ac:dyDescent="0.3">
      <c r="A1559">
        <v>1558</v>
      </c>
      <c r="B1559" t="s">
        <v>3460</v>
      </c>
      <c r="C1559" t="s">
        <v>3603</v>
      </c>
      <c r="D1559" t="s">
        <v>3604</v>
      </c>
      <c r="E1559" t="s">
        <v>33</v>
      </c>
      <c r="F1559" t="s">
        <v>3473</v>
      </c>
      <c r="G1559" t="s">
        <v>3522</v>
      </c>
      <c r="H1559" t="str">
        <f>'Huong dan giao do an'!$B$14</f>
        <v>5 SV (vai trò chính): 1 PM/Scrum Master kiêm Integration; 2 BA/PO; 3 UI-UX + Frontend; 4 Backend/API + DevOps; 5 Database + QA/Tester. Mỗi SV có nhiệm vụ phụ và minh chứng cá nhân.</v>
      </c>
      <c r="I1559" t="s">
        <v>36</v>
      </c>
      <c r="J1559" t="s">
        <v>3475</v>
      </c>
      <c r="K1559" t="str">
        <f>IF(I1559="Trung bình",'Huong dan giao do an'!$B$8,IF(I1559="Khá",'Huong dan giao do an'!$B$9,'Huong dan giao do an'!$B$10))</f>
        <v>Tối thiểu 3 actor; 8-10 use case; 6-8 bảng dữ liệu; 2 quy trình lõi; đăng nhập/RBAC; 1 dashboard; 1 báo cáo; &gt;=25 test case; triển khai bản demo.</v>
      </c>
      <c r="L1559" t="str">
        <f>'Huong dan giao do an'!$B$31</f>
        <v>Bắt buộc: Charter/PMP; SRS + scope/WBS; Gantt/baseline; effort-cost budget; RACI/timesheet; quality-test-defect; communication/minutes; risk register; procurement; change log; closure/lessons learned.</v>
      </c>
      <c r="M1559" t="str">
        <f>'Huong dan giao do an'!$B$33</f>
        <v>Tuần 1: 07.09–13.09.2026; Tuần 2: 14.09–20.09.2026; Tuần 3: 21.09–27.09.2026; Tuần 4: 28.09–04.10.2026; Tuần 5: 05.10–11.10.2026; Tuần 6: 12.10–18.10.2026; Tuần 7: 19.10–25.10.2026; Tuần 8: 26.10–01.11.2026.</v>
      </c>
      <c r="N15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59" s="17" t="str">
        <f t="shared" si="24"/>
        <v>Còn trống</v>
      </c>
    </row>
    <row r="1560" spans="1:16" x14ac:dyDescent="0.3">
      <c r="A1560">
        <v>1559</v>
      </c>
      <c r="B1560" t="s">
        <v>3460</v>
      </c>
      <c r="C1560" t="s">
        <v>3605</v>
      </c>
      <c r="D1560" t="s">
        <v>3606</v>
      </c>
      <c r="E1560" t="s">
        <v>40</v>
      </c>
      <c r="F1560" t="s">
        <v>3478</v>
      </c>
      <c r="G1560" t="s">
        <v>3525</v>
      </c>
      <c r="H1560" t="str">
        <f>'Huong dan giao do an'!$B$14</f>
        <v>5 SV (vai trò chính): 1 PM/Scrum Master kiêm Integration; 2 BA/PO; 3 UI-UX + Frontend; 4 Backend/API + DevOps; 5 Database + QA/Tester. Mỗi SV có nhiệm vụ phụ và minh chứng cá nhân.</v>
      </c>
      <c r="I1560" t="s">
        <v>22</v>
      </c>
      <c r="J1560" t="s">
        <v>3465</v>
      </c>
      <c r="K1560" t="str">
        <f>IF(I1560="Trung bình",'Huong dan giao do an'!$B$8,IF(I1560="Khá",'Huong dan giao do an'!$B$9,'Huong dan giao do an'!$B$10))</f>
        <v>Tối thiểu 4 actor; 10-14 use case; 8-12 bảng; 3 quy trình lõi; phân quyền chi tiết; 2 báo cáo; tích hợp 1 dịch vụ; &gt;=35 test case; CI/CD hoặc deploy cloud.</v>
      </c>
      <c r="L1560" t="str">
        <f>'Huong dan giao do an'!$B$31</f>
        <v>Bắt buộc: Charter/PMP; SRS + scope/WBS; Gantt/baseline; effort-cost budget; RACI/timesheet; quality-test-defect; communication/minutes; risk register; procurement; change log; closure/lessons learned.</v>
      </c>
      <c r="M1560" t="str">
        <f>'Huong dan giao do an'!$B$33</f>
        <v>Tuần 1: 07.09–13.09.2026; Tuần 2: 14.09–20.09.2026; Tuần 3: 21.09–27.09.2026; Tuần 4: 28.09–04.10.2026; Tuần 5: 05.10–11.10.2026; Tuần 6: 12.10–18.10.2026; Tuần 7: 19.10–25.10.2026; Tuần 8: 26.10–01.11.2026.</v>
      </c>
      <c r="N15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0" s="17" t="str">
        <f t="shared" si="24"/>
        <v>Còn trống</v>
      </c>
    </row>
    <row r="1561" spans="1:16" x14ac:dyDescent="0.3">
      <c r="A1561">
        <v>1560</v>
      </c>
      <c r="B1561" t="s">
        <v>3460</v>
      </c>
      <c r="C1561" t="s">
        <v>3607</v>
      </c>
      <c r="D1561" t="s">
        <v>3608</v>
      </c>
      <c r="E1561" t="s">
        <v>45</v>
      </c>
      <c r="F1561" t="s">
        <v>3482</v>
      </c>
      <c r="G1561" t="s">
        <v>3528</v>
      </c>
      <c r="H1561" t="str">
        <f>'Huong dan giao do an'!$B$14</f>
        <v>5 SV (vai trò chính): 1 PM/Scrum Master kiêm Integration; 2 BA/PO; 3 UI-UX + Frontend; 4 Backend/API + DevOps; 5 Database + QA/Tester. Mỗi SV có nhiệm vụ phụ và minh chứng cá nhân.</v>
      </c>
      <c r="I1561" t="s">
        <v>29</v>
      </c>
      <c r="J1561" t="s">
        <v>3470</v>
      </c>
      <c r="K1561" t="str">
        <f>IF(I1561="Trung bình",'Huong dan giao do an'!$B$8,IF(I1561="Khá",'Huong dan giao do an'!$B$9,'Huong dan giao do an'!$B$10))</f>
        <v>Tối thiểu 5 actor; 14-18 use case; 10-15 bảng; 4 quy trình; tích hợp ngoài/realtime hoặc xử lý nâng cao; 3 báo cáo; &gt;=45 test case; logging, backup và deploy.</v>
      </c>
      <c r="L1561" t="str">
        <f>'Huong dan giao do an'!$B$31</f>
        <v>Bắt buộc: Charter/PMP; SRS + scope/WBS; Gantt/baseline; effort-cost budget; RACI/timesheet; quality-test-defect; communication/minutes; risk register; procurement; change log; closure/lessons learned.</v>
      </c>
      <c r="M1561" t="str">
        <f>'Huong dan giao do an'!$B$33</f>
        <v>Tuần 1: 07.09–13.09.2026; Tuần 2: 14.09–20.09.2026; Tuần 3: 21.09–27.09.2026; Tuần 4: 28.09–04.10.2026; Tuần 5: 05.10–11.10.2026; Tuần 6: 12.10–18.10.2026; Tuần 7: 19.10–25.10.2026; Tuần 8: 26.10–01.11.2026.</v>
      </c>
      <c r="N15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1" s="17" t="str">
        <f t="shared" si="24"/>
        <v>Còn trống</v>
      </c>
    </row>
    <row r="1562" spans="1:16" x14ac:dyDescent="0.3">
      <c r="A1562">
        <v>1561</v>
      </c>
      <c r="B1562" t="s">
        <v>3460</v>
      </c>
      <c r="C1562" t="s">
        <v>3609</v>
      </c>
      <c r="D1562" t="s">
        <v>3610</v>
      </c>
      <c r="E1562" t="s">
        <v>19</v>
      </c>
      <c r="F1562" t="s">
        <v>3463</v>
      </c>
      <c r="G1562" t="s">
        <v>3464</v>
      </c>
      <c r="H1562" t="str">
        <f>'Huong dan giao do an'!$B$14</f>
        <v>5 SV (vai trò chính): 1 PM/Scrum Master kiêm Integration; 2 BA/PO; 3 UI-UX + Frontend; 4 Backend/API + DevOps; 5 Database + QA/Tester. Mỗi SV có nhiệm vụ phụ và minh chứng cá nhân.</v>
      </c>
      <c r="I1562" t="s">
        <v>22</v>
      </c>
      <c r="J1562" t="s">
        <v>3465</v>
      </c>
      <c r="K1562" t="str">
        <f>IF(I1562="Trung bình",'Huong dan giao do an'!$B$8,IF(I1562="Khá",'Huong dan giao do an'!$B$9,'Huong dan giao do an'!$B$10))</f>
        <v>Tối thiểu 4 actor; 10-14 use case; 8-12 bảng; 3 quy trình lõi; phân quyền chi tiết; 2 báo cáo; tích hợp 1 dịch vụ; &gt;=35 test case; CI/CD hoặc deploy cloud.</v>
      </c>
      <c r="L1562" t="str">
        <f>'Huong dan giao do an'!$B$31</f>
        <v>Bắt buộc: Charter/PMP; SRS + scope/WBS; Gantt/baseline; effort-cost budget; RACI/timesheet; quality-test-defect; communication/minutes; risk register; procurement; change log; closure/lessons learned.</v>
      </c>
      <c r="M1562" t="str">
        <f>'Huong dan giao do an'!$B$33</f>
        <v>Tuần 1: 07.09–13.09.2026; Tuần 2: 14.09–20.09.2026; Tuần 3: 21.09–27.09.2026; Tuần 4: 28.09–04.10.2026; Tuần 5: 05.10–11.10.2026; Tuần 6: 12.10–18.10.2026; Tuần 7: 19.10–25.10.2026; Tuần 8: 26.10–01.11.2026.</v>
      </c>
      <c r="N15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2" s="17" t="str">
        <f t="shared" si="24"/>
        <v>Còn trống</v>
      </c>
    </row>
    <row r="1563" spans="1:16" x14ac:dyDescent="0.3">
      <c r="A1563">
        <v>1562</v>
      </c>
      <c r="B1563" t="s">
        <v>3460</v>
      </c>
      <c r="C1563" t="s">
        <v>3611</v>
      </c>
      <c r="D1563" t="s">
        <v>3612</v>
      </c>
      <c r="E1563" t="s">
        <v>26</v>
      </c>
      <c r="F1563" t="s">
        <v>3468</v>
      </c>
      <c r="G1563" t="s">
        <v>3469</v>
      </c>
      <c r="H1563" t="str">
        <f>'Huong dan giao do an'!$B$14</f>
        <v>5 SV (vai trò chính): 1 PM/Scrum Master kiêm Integration; 2 BA/PO; 3 UI-UX + Frontend; 4 Backend/API + DevOps; 5 Database + QA/Tester. Mỗi SV có nhiệm vụ phụ và minh chứng cá nhân.</v>
      </c>
      <c r="I1563" t="s">
        <v>29</v>
      </c>
      <c r="J1563" t="s">
        <v>3470</v>
      </c>
      <c r="K1563" t="str">
        <f>IF(I1563="Trung bình",'Huong dan giao do an'!$B$8,IF(I1563="Khá",'Huong dan giao do an'!$B$9,'Huong dan giao do an'!$B$10))</f>
        <v>Tối thiểu 5 actor; 14-18 use case; 10-15 bảng; 4 quy trình; tích hợp ngoài/realtime hoặc xử lý nâng cao; 3 báo cáo; &gt;=45 test case; logging, backup và deploy.</v>
      </c>
      <c r="L1563" t="str">
        <f>'Huong dan giao do an'!$B$31</f>
        <v>Bắt buộc: Charter/PMP; SRS + scope/WBS; Gantt/baseline; effort-cost budget; RACI/timesheet; quality-test-defect; communication/minutes; risk register; procurement; change log; closure/lessons learned.</v>
      </c>
      <c r="M1563" t="str">
        <f>'Huong dan giao do an'!$B$33</f>
        <v>Tuần 1: 07.09–13.09.2026; Tuần 2: 14.09–20.09.2026; Tuần 3: 21.09–27.09.2026; Tuần 4: 28.09–04.10.2026; Tuần 5: 05.10–11.10.2026; Tuần 6: 12.10–18.10.2026; Tuần 7: 19.10–25.10.2026; Tuần 8: 26.10–01.11.2026.</v>
      </c>
      <c r="N15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3" s="17" t="str">
        <f t="shared" si="24"/>
        <v>Còn trống</v>
      </c>
    </row>
    <row r="1564" spans="1:16" x14ac:dyDescent="0.3">
      <c r="A1564">
        <v>1563</v>
      </c>
      <c r="B1564" t="s">
        <v>3460</v>
      </c>
      <c r="C1564" t="s">
        <v>3613</v>
      </c>
      <c r="D1564" t="s">
        <v>3614</v>
      </c>
      <c r="E1564" t="s">
        <v>33</v>
      </c>
      <c r="F1564" t="s">
        <v>3473</v>
      </c>
      <c r="G1564" t="s">
        <v>3474</v>
      </c>
      <c r="H1564" t="str">
        <f>'Huong dan giao do an'!$B$14</f>
        <v>5 SV (vai trò chính): 1 PM/Scrum Master kiêm Integration; 2 BA/PO; 3 UI-UX + Frontend; 4 Backend/API + DevOps; 5 Database + QA/Tester. Mỗi SV có nhiệm vụ phụ và minh chứng cá nhân.</v>
      </c>
      <c r="I1564" t="s">
        <v>36</v>
      </c>
      <c r="J1564" t="s">
        <v>3475</v>
      </c>
      <c r="K1564" t="str">
        <f>IF(I1564="Trung bình",'Huong dan giao do an'!$B$8,IF(I1564="Khá",'Huong dan giao do an'!$B$9,'Huong dan giao do an'!$B$10))</f>
        <v>Tối thiểu 3 actor; 8-10 use case; 6-8 bảng dữ liệu; 2 quy trình lõi; đăng nhập/RBAC; 1 dashboard; 1 báo cáo; &gt;=25 test case; triển khai bản demo.</v>
      </c>
      <c r="L1564" t="str">
        <f>'Huong dan giao do an'!$B$31</f>
        <v>Bắt buộc: Charter/PMP; SRS + scope/WBS; Gantt/baseline; effort-cost budget; RACI/timesheet; quality-test-defect; communication/minutes; risk register; procurement; change log; closure/lessons learned.</v>
      </c>
      <c r="M1564" t="str">
        <f>'Huong dan giao do an'!$B$33</f>
        <v>Tuần 1: 07.09–13.09.2026; Tuần 2: 14.09–20.09.2026; Tuần 3: 21.09–27.09.2026; Tuần 4: 28.09–04.10.2026; Tuần 5: 05.10–11.10.2026; Tuần 6: 12.10–18.10.2026; Tuần 7: 19.10–25.10.2026; Tuần 8: 26.10–01.11.2026.</v>
      </c>
      <c r="N15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4" s="17" t="str">
        <f t="shared" si="24"/>
        <v>Còn trống</v>
      </c>
    </row>
    <row r="1565" spans="1:16" x14ac:dyDescent="0.3">
      <c r="A1565">
        <v>1564</v>
      </c>
      <c r="B1565" t="s">
        <v>3460</v>
      </c>
      <c r="C1565" t="s">
        <v>3615</v>
      </c>
      <c r="D1565" t="s">
        <v>3616</v>
      </c>
      <c r="E1565" t="s">
        <v>40</v>
      </c>
      <c r="F1565" t="s">
        <v>3478</v>
      </c>
      <c r="G1565" t="s">
        <v>3479</v>
      </c>
      <c r="H1565" t="str">
        <f>'Huong dan giao do an'!$B$14</f>
        <v>5 SV (vai trò chính): 1 PM/Scrum Master kiêm Integration; 2 BA/PO; 3 UI-UX + Frontend; 4 Backend/API + DevOps; 5 Database + QA/Tester. Mỗi SV có nhiệm vụ phụ và minh chứng cá nhân.</v>
      </c>
      <c r="I1565" t="s">
        <v>22</v>
      </c>
      <c r="J1565" t="s">
        <v>3465</v>
      </c>
      <c r="K1565" t="str">
        <f>IF(I1565="Trung bình",'Huong dan giao do an'!$B$8,IF(I1565="Khá",'Huong dan giao do an'!$B$9,'Huong dan giao do an'!$B$10))</f>
        <v>Tối thiểu 4 actor; 10-14 use case; 8-12 bảng; 3 quy trình lõi; phân quyền chi tiết; 2 báo cáo; tích hợp 1 dịch vụ; &gt;=35 test case; CI/CD hoặc deploy cloud.</v>
      </c>
      <c r="L1565" t="str">
        <f>'Huong dan giao do an'!$B$31</f>
        <v>Bắt buộc: Charter/PMP; SRS + scope/WBS; Gantt/baseline; effort-cost budget; RACI/timesheet; quality-test-defect; communication/minutes; risk register; procurement; change log; closure/lessons learned.</v>
      </c>
      <c r="M1565" t="str">
        <f>'Huong dan giao do an'!$B$33</f>
        <v>Tuần 1: 07.09–13.09.2026; Tuần 2: 14.09–20.09.2026; Tuần 3: 21.09–27.09.2026; Tuần 4: 28.09–04.10.2026; Tuần 5: 05.10–11.10.2026; Tuần 6: 12.10–18.10.2026; Tuần 7: 19.10–25.10.2026; Tuần 8: 26.10–01.11.2026.</v>
      </c>
      <c r="N15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5" s="17" t="str">
        <f t="shared" si="24"/>
        <v>Còn trống</v>
      </c>
    </row>
    <row r="1566" spans="1:16" x14ac:dyDescent="0.3">
      <c r="A1566">
        <v>1565</v>
      </c>
      <c r="B1566" t="s">
        <v>3460</v>
      </c>
      <c r="C1566" t="s">
        <v>3617</v>
      </c>
      <c r="D1566" t="s">
        <v>3618</v>
      </c>
      <c r="E1566" t="s">
        <v>45</v>
      </c>
      <c r="F1566" t="s">
        <v>3482</v>
      </c>
      <c r="G1566" t="s">
        <v>3483</v>
      </c>
      <c r="H1566" t="str">
        <f>'Huong dan giao do an'!$B$14</f>
        <v>5 SV (vai trò chính): 1 PM/Scrum Master kiêm Integration; 2 BA/PO; 3 UI-UX + Frontend; 4 Backend/API + DevOps; 5 Database + QA/Tester. Mỗi SV có nhiệm vụ phụ và minh chứng cá nhân.</v>
      </c>
      <c r="I1566" t="s">
        <v>29</v>
      </c>
      <c r="J1566" t="s">
        <v>3470</v>
      </c>
      <c r="K1566" t="str">
        <f>IF(I1566="Trung bình",'Huong dan giao do an'!$B$8,IF(I1566="Khá",'Huong dan giao do an'!$B$9,'Huong dan giao do an'!$B$10))</f>
        <v>Tối thiểu 5 actor; 14-18 use case; 10-15 bảng; 4 quy trình; tích hợp ngoài/realtime hoặc xử lý nâng cao; 3 báo cáo; &gt;=45 test case; logging, backup và deploy.</v>
      </c>
      <c r="L1566" t="str">
        <f>'Huong dan giao do an'!$B$31</f>
        <v>Bắt buộc: Charter/PMP; SRS + scope/WBS; Gantt/baseline; effort-cost budget; RACI/timesheet; quality-test-defect; communication/minutes; risk register; procurement; change log; closure/lessons learned.</v>
      </c>
      <c r="M1566" t="str">
        <f>'Huong dan giao do an'!$B$33</f>
        <v>Tuần 1: 07.09–13.09.2026; Tuần 2: 14.09–20.09.2026; Tuần 3: 21.09–27.09.2026; Tuần 4: 28.09–04.10.2026; Tuần 5: 05.10–11.10.2026; Tuần 6: 12.10–18.10.2026; Tuần 7: 19.10–25.10.2026; Tuần 8: 26.10–01.11.2026.</v>
      </c>
      <c r="N15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6" s="17" t="str">
        <f t="shared" si="24"/>
        <v>Còn trống</v>
      </c>
    </row>
    <row r="1567" spans="1:16" x14ac:dyDescent="0.3">
      <c r="A1567">
        <v>1566</v>
      </c>
      <c r="B1567" t="s">
        <v>3460</v>
      </c>
      <c r="C1567" t="s">
        <v>3619</v>
      </c>
      <c r="D1567" t="s">
        <v>3620</v>
      </c>
      <c r="E1567" t="s">
        <v>19</v>
      </c>
      <c r="F1567" t="s">
        <v>3463</v>
      </c>
      <c r="G1567" t="s">
        <v>3486</v>
      </c>
      <c r="H1567" t="str">
        <f>'Huong dan giao do an'!$B$14</f>
        <v>5 SV (vai trò chính): 1 PM/Scrum Master kiêm Integration; 2 BA/PO; 3 UI-UX + Frontend; 4 Backend/API + DevOps; 5 Database + QA/Tester. Mỗi SV có nhiệm vụ phụ và minh chứng cá nhân.</v>
      </c>
      <c r="I1567" t="s">
        <v>36</v>
      </c>
      <c r="J1567" t="s">
        <v>3475</v>
      </c>
      <c r="K1567" t="str">
        <f>IF(I1567="Trung bình",'Huong dan giao do an'!$B$8,IF(I1567="Khá",'Huong dan giao do an'!$B$9,'Huong dan giao do an'!$B$10))</f>
        <v>Tối thiểu 3 actor; 8-10 use case; 6-8 bảng dữ liệu; 2 quy trình lõi; đăng nhập/RBAC; 1 dashboard; 1 báo cáo; &gt;=25 test case; triển khai bản demo.</v>
      </c>
      <c r="L1567" t="str">
        <f>'Huong dan giao do an'!$B$31</f>
        <v>Bắt buộc: Charter/PMP; SRS + scope/WBS; Gantt/baseline; effort-cost budget; RACI/timesheet; quality-test-defect; communication/minutes; risk register; procurement; change log; closure/lessons learned.</v>
      </c>
      <c r="M1567" t="str">
        <f>'Huong dan giao do an'!$B$33</f>
        <v>Tuần 1: 07.09–13.09.2026; Tuần 2: 14.09–20.09.2026; Tuần 3: 21.09–27.09.2026; Tuần 4: 28.09–04.10.2026; Tuần 5: 05.10–11.10.2026; Tuần 6: 12.10–18.10.2026; Tuần 7: 19.10–25.10.2026; Tuần 8: 26.10–01.11.2026.</v>
      </c>
      <c r="N15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7" s="17" t="str">
        <f t="shared" si="24"/>
        <v>Còn trống</v>
      </c>
    </row>
    <row r="1568" spans="1:16" x14ac:dyDescent="0.3">
      <c r="A1568">
        <v>1567</v>
      </c>
      <c r="B1568" t="s">
        <v>3460</v>
      </c>
      <c r="C1568" t="s">
        <v>3621</v>
      </c>
      <c r="D1568" t="s">
        <v>3622</v>
      </c>
      <c r="E1568" t="s">
        <v>26</v>
      </c>
      <c r="F1568" t="s">
        <v>3468</v>
      </c>
      <c r="G1568" t="s">
        <v>3489</v>
      </c>
      <c r="H1568" t="str">
        <f>'Huong dan giao do an'!$B$14</f>
        <v>5 SV (vai trò chính): 1 PM/Scrum Master kiêm Integration; 2 BA/PO; 3 UI-UX + Frontend; 4 Backend/API + DevOps; 5 Database + QA/Tester. Mỗi SV có nhiệm vụ phụ và minh chứng cá nhân.</v>
      </c>
      <c r="I1568" t="s">
        <v>22</v>
      </c>
      <c r="J1568" t="s">
        <v>3465</v>
      </c>
      <c r="K1568" t="str">
        <f>IF(I1568="Trung bình",'Huong dan giao do an'!$B$8,IF(I1568="Khá",'Huong dan giao do an'!$B$9,'Huong dan giao do an'!$B$10))</f>
        <v>Tối thiểu 4 actor; 10-14 use case; 8-12 bảng; 3 quy trình lõi; phân quyền chi tiết; 2 báo cáo; tích hợp 1 dịch vụ; &gt;=35 test case; CI/CD hoặc deploy cloud.</v>
      </c>
      <c r="L1568" t="str">
        <f>'Huong dan giao do an'!$B$31</f>
        <v>Bắt buộc: Charter/PMP; SRS + scope/WBS; Gantt/baseline; effort-cost budget; RACI/timesheet; quality-test-defect; communication/minutes; risk register; procurement; change log; closure/lessons learned.</v>
      </c>
      <c r="M1568" t="str">
        <f>'Huong dan giao do an'!$B$33</f>
        <v>Tuần 1: 07.09–13.09.2026; Tuần 2: 14.09–20.09.2026; Tuần 3: 21.09–27.09.2026; Tuần 4: 28.09–04.10.2026; Tuần 5: 05.10–11.10.2026; Tuần 6: 12.10–18.10.2026; Tuần 7: 19.10–25.10.2026; Tuần 8: 26.10–01.11.2026.</v>
      </c>
      <c r="N15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8" s="17" t="str">
        <f t="shared" si="24"/>
        <v>Còn trống</v>
      </c>
    </row>
    <row r="1569" spans="1:16" x14ac:dyDescent="0.3">
      <c r="A1569">
        <v>1568</v>
      </c>
      <c r="B1569" t="s">
        <v>3460</v>
      </c>
      <c r="C1569" t="s">
        <v>3623</v>
      </c>
      <c r="D1569" t="s">
        <v>3624</v>
      </c>
      <c r="E1569" t="s">
        <v>33</v>
      </c>
      <c r="F1569" t="s">
        <v>3473</v>
      </c>
      <c r="G1569" t="s">
        <v>3492</v>
      </c>
      <c r="H1569" t="str">
        <f>'Huong dan giao do an'!$B$14</f>
        <v>5 SV (vai trò chính): 1 PM/Scrum Master kiêm Integration; 2 BA/PO; 3 UI-UX + Frontend; 4 Backend/API + DevOps; 5 Database + QA/Tester. Mỗi SV có nhiệm vụ phụ và minh chứng cá nhân.</v>
      </c>
      <c r="I1569" t="s">
        <v>29</v>
      </c>
      <c r="J1569" t="s">
        <v>3470</v>
      </c>
      <c r="K1569" t="str">
        <f>IF(I1569="Trung bình",'Huong dan giao do an'!$B$8,IF(I1569="Khá",'Huong dan giao do an'!$B$9,'Huong dan giao do an'!$B$10))</f>
        <v>Tối thiểu 5 actor; 14-18 use case; 10-15 bảng; 4 quy trình; tích hợp ngoài/realtime hoặc xử lý nâng cao; 3 báo cáo; &gt;=45 test case; logging, backup và deploy.</v>
      </c>
      <c r="L1569" t="str">
        <f>'Huong dan giao do an'!$B$31</f>
        <v>Bắt buộc: Charter/PMP; SRS + scope/WBS; Gantt/baseline; effort-cost budget; RACI/timesheet; quality-test-defect; communication/minutes; risk register; procurement; change log; closure/lessons learned.</v>
      </c>
      <c r="M1569" t="str">
        <f>'Huong dan giao do an'!$B$33</f>
        <v>Tuần 1: 07.09–13.09.2026; Tuần 2: 14.09–20.09.2026; Tuần 3: 21.09–27.09.2026; Tuần 4: 28.09–04.10.2026; Tuần 5: 05.10–11.10.2026; Tuần 6: 12.10–18.10.2026; Tuần 7: 19.10–25.10.2026; Tuần 8: 26.10–01.11.2026.</v>
      </c>
      <c r="N15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69" s="17" t="str">
        <f t="shared" si="24"/>
        <v>Còn trống</v>
      </c>
    </row>
    <row r="1570" spans="1:16" x14ac:dyDescent="0.3">
      <c r="A1570">
        <v>1569</v>
      </c>
      <c r="B1570" t="s">
        <v>3460</v>
      </c>
      <c r="C1570" t="s">
        <v>3625</v>
      </c>
      <c r="D1570" t="s">
        <v>3626</v>
      </c>
      <c r="E1570" t="s">
        <v>40</v>
      </c>
      <c r="F1570" t="s">
        <v>3478</v>
      </c>
      <c r="G1570" t="s">
        <v>3495</v>
      </c>
      <c r="H1570" t="str">
        <f>'Huong dan giao do an'!$B$14</f>
        <v>5 SV (vai trò chính): 1 PM/Scrum Master kiêm Integration; 2 BA/PO; 3 UI-UX + Frontend; 4 Backend/API + DevOps; 5 Database + QA/Tester. Mỗi SV có nhiệm vụ phụ và minh chứng cá nhân.</v>
      </c>
      <c r="I1570" t="s">
        <v>36</v>
      </c>
      <c r="J1570" t="s">
        <v>3475</v>
      </c>
      <c r="K1570" t="str">
        <f>IF(I1570="Trung bình",'Huong dan giao do an'!$B$8,IF(I1570="Khá",'Huong dan giao do an'!$B$9,'Huong dan giao do an'!$B$10))</f>
        <v>Tối thiểu 3 actor; 8-10 use case; 6-8 bảng dữ liệu; 2 quy trình lõi; đăng nhập/RBAC; 1 dashboard; 1 báo cáo; &gt;=25 test case; triển khai bản demo.</v>
      </c>
      <c r="L1570" t="str">
        <f>'Huong dan giao do an'!$B$31</f>
        <v>Bắt buộc: Charter/PMP; SRS + scope/WBS; Gantt/baseline; effort-cost budget; RACI/timesheet; quality-test-defect; communication/minutes; risk register; procurement; change log; closure/lessons learned.</v>
      </c>
      <c r="M1570" t="str">
        <f>'Huong dan giao do an'!$B$33</f>
        <v>Tuần 1: 07.09–13.09.2026; Tuần 2: 14.09–20.09.2026; Tuần 3: 21.09–27.09.2026; Tuần 4: 28.09–04.10.2026; Tuần 5: 05.10–11.10.2026; Tuần 6: 12.10–18.10.2026; Tuần 7: 19.10–25.10.2026; Tuần 8: 26.10–01.11.2026.</v>
      </c>
      <c r="N15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0" s="17" t="str">
        <f t="shared" si="24"/>
        <v>Còn trống</v>
      </c>
    </row>
    <row r="1571" spans="1:16" x14ac:dyDescent="0.3">
      <c r="A1571">
        <v>1570</v>
      </c>
      <c r="B1571" t="s">
        <v>3460</v>
      </c>
      <c r="C1571" t="s">
        <v>3627</v>
      </c>
      <c r="D1571" t="s">
        <v>3628</v>
      </c>
      <c r="E1571" t="s">
        <v>45</v>
      </c>
      <c r="F1571" t="s">
        <v>3482</v>
      </c>
      <c r="G1571" t="s">
        <v>3498</v>
      </c>
      <c r="H1571" t="str">
        <f>'Huong dan giao do an'!$B$14</f>
        <v>5 SV (vai trò chính): 1 PM/Scrum Master kiêm Integration; 2 BA/PO; 3 UI-UX + Frontend; 4 Backend/API + DevOps; 5 Database + QA/Tester. Mỗi SV có nhiệm vụ phụ và minh chứng cá nhân.</v>
      </c>
      <c r="I1571" t="s">
        <v>22</v>
      </c>
      <c r="J1571" t="s">
        <v>3465</v>
      </c>
      <c r="K1571" t="str">
        <f>IF(I1571="Trung bình",'Huong dan giao do an'!$B$8,IF(I1571="Khá",'Huong dan giao do an'!$B$9,'Huong dan giao do an'!$B$10))</f>
        <v>Tối thiểu 4 actor; 10-14 use case; 8-12 bảng; 3 quy trình lõi; phân quyền chi tiết; 2 báo cáo; tích hợp 1 dịch vụ; &gt;=35 test case; CI/CD hoặc deploy cloud.</v>
      </c>
      <c r="L1571" t="str">
        <f>'Huong dan giao do an'!$B$31</f>
        <v>Bắt buộc: Charter/PMP; SRS + scope/WBS; Gantt/baseline; effort-cost budget; RACI/timesheet; quality-test-defect; communication/minutes; risk register; procurement; change log; closure/lessons learned.</v>
      </c>
      <c r="M1571" t="str">
        <f>'Huong dan giao do an'!$B$33</f>
        <v>Tuần 1: 07.09–13.09.2026; Tuần 2: 14.09–20.09.2026; Tuần 3: 21.09–27.09.2026; Tuần 4: 28.09–04.10.2026; Tuần 5: 05.10–11.10.2026; Tuần 6: 12.10–18.10.2026; Tuần 7: 19.10–25.10.2026; Tuần 8: 26.10–01.11.2026.</v>
      </c>
      <c r="N15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1" s="17" t="str">
        <f t="shared" si="24"/>
        <v>Còn trống</v>
      </c>
    </row>
    <row r="1572" spans="1:16" x14ac:dyDescent="0.3">
      <c r="A1572">
        <v>1571</v>
      </c>
      <c r="B1572" t="s">
        <v>3460</v>
      </c>
      <c r="C1572" t="s">
        <v>3629</v>
      </c>
      <c r="D1572" t="s">
        <v>3630</v>
      </c>
      <c r="E1572" t="s">
        <v>19</v>
      </c>
      <c r="F1572" t="s">
        <v>3463</v>
      </c>
      <c r="G1572" t="s">
        <v>3501</v>
      </c>
      <c r="H1572" t="str">
        <f>'Huong dan giao do an'!$B$14</f>
        <v>5 SV (vai trò chính): 1 PM/Scrum Master kiêm Integration; 2 BA/PO; 3 UI-UX + Frontend; 4 Backend/API + DevOps; 5 Database + QA/Tester. Mỗi SV có nhiệm vụ phụ và minh chứng cá nhân.</v>
      </c>
      <c r="I1572" t="s">
        <v>29</v>
      </c>
      <c r="J1572" t="s">
        <v>3470</v>
      </c>
      <c r="K1572" t="str">
        <f>IF(I1572="Trung bình",'Huong dan giao do an'!$B$8,IF(I1572="Khá",'Huong dan giao do an'!$B$9,'Huong dan giao do an'!$B$10))</f>
        <v>Tối thiểu 5 actor; 14-18 use case; 10-15 bảng; 4 quy trình; tích hợp ngoài/realtime hoặc xử lý nâng cao; 3 báo cáo; &gt;=45 test case; logging, backup và deploy.</v>
      </c>
      <c r="L1572" t="str">
        <f>'Huong dan giao do an'!$B$31</f>
        <v>Bắt buộc: Charter/PMP; SRS + scope/WBS; Gantt/baseline; effort-cost budget; RACI/timesheet; quality-test-defect; communication/minutes; risk register; procurement; change log; closure/lessons learned.</v>
      </c>
      <c r="M1572" t="str">
        <f>'Huong dan giao do an'!$B$33</f>
        <v>Tuần 1: 07.09–13.09.2026; Tuần 2: 14.09–20.09.2026; Tuần 3: 21.09–27.09.2026; Tuần 4: 28.09–04.10.2026; Tuần 5: 05.10–11.10.2026; Tuần 6: 12.10–18.10.2026; Tuần 7: 19.10–25.10.2026; Tuần 8: 26.10–01.11.2026.</v>
      </c>
      <c r="N15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2" s="17" t="str">
        <f t="shared" si="24"/>
        <v>Còn trống</v>
      </c>
    </row>
    <row r="1573" spans="1:16" x14ac:dyDescent="0.3">
      <c r="A1573">
        <v>1572</v>
      </c>
      <c r="B1573" t="s">
        <v>3460</v>
      </c>
      <c r="C1573" t="s">
        <v>3631</v>
      </c>
      <c r="D1573" t="s">
        <v>3632</v>
      </c>
      <c r="E1573" t="s">
        <v>26</v>
      </c>
      <c r="F1573" t="s">
        <v>3468</v>
      </c>
      <c r="G1573" t="s">
        <v>3504</v>
      </c>
      <c r="H1573" t="str">
        <f>'Huong dan giao do an'!$B$14</f>
        <v>5 SV (vai trò chính): 1 PM/Scrum Master kiêm Integration; 2 BA/PO; 3 UI-UX + Frontend; 4 Backend/API + DevOps; 5 Database + QA/Tester. Mỗi SV có nhiệm vụ phụ và minh chứng cá nhân.</v>
      </c>
      <c r="I1573" t="s">
        <v>36</v>
      </c>
      <c r="J1573" t="s">
        <v>3475</v>
      </c>
      <c r="K1573" t="str">
        <f>IF(I1573="Trung bình",'Huong dan giao do an'!$B$8,IF(I1573="Khá",'Huong dan giao do an'!$B$9,'Huong dan giao do an'!$B$10))</f>
        <v>Tối thiểu 3 actor; 8-10 use case; 6-8 bảng dữ liệu; 2 quy trình lõi; đăng nhập/RBAC; 1 dashboard; 1 báo cáo; &gt;=25 test case; triển khai bản demo.</v>
      </c>
      <c r="L1573" t="str">
        <f>'Huong dan giao do an'!$B$31</f>
        <v>Bắt buộc: Charter/PMP; SRS + scope/WBS; Gantt/baseline; effort-cost budget; RACI/timesheet; quality-test-defect; communication/minutes; risk register; procurement; change log; closure/lessons learned.</v>
      </c>
      <c r="M1573" t="str">
        <f>'Huong dan giao do an'!$B$33</f>
        <v>Tuần 1: 07.09–13.09.2026; Tuần 2: 14.09–20.09.2026; Tuần 3: 21.09–27.09.2026; Tuần 4: 28.09–04.10.2026; Tuần 5: 05.10–11.10.2026; Tuần 6: 12.10–18.10.2026; Tuần 7: 19.10–25.10.2026; Tuần 8: 26.10–01.11.2026.</v>
      </c>
      <c r="N15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3" s="17" t="str">
        <f t="shared" si="24"/>
        <v>Còn trống</v>
      </c>
    </row>
    <row r="1574" spans="1:16" x14ac:dyDescent="0.3">
      <c r="A1574">
        <v>1573</v>
      </c>
      <c r="B1574" t="s">
        <v>3460</v>
      </c>
      <c r="C1574" t="s">
        <v>3633</v>
      </c>
      <c r="D1574" t="s">
        <v>3634</v>
      </c>
      <c r="E1574" t="s">
        <v>33</v>
      </c>
      <c r="F1574" t="s">
        <v>3473</v>
      </c>
      <c r="G1574" t="s">
        <v>3507</v>
      </c>
      <c r="H1574" t="str">
        <f>'Huong dan giao do an'!$B$14</f>
        <v>5 SV (vai trò chính): 1 PM/Scrum Master kiêm Integration; 2 BA/PO; 3 UI-UX + Frontend; 4 Backend/API + DevOps; 5 Database + QA/Tester. Mỗi SV có nhiệm vụ phụ và minh chứng cá nhân.</v>
      </c>
      <c r="I1574" t="s">
        <v>22</v>
      </c>
      <c r="J1574" t="s">
        <v>3465</v>
      </c>
      <c r="K1574" t="str">
        <f>IF(I1574="Trung bình",'Huong dan giao do an'!$B$8,IF(I1574="Khá",'Huong dan giao do an'!$B$9,'Huong dan giao do an'!$B$10))</f>
        <v>Tối thiểu 4 actor; 10-14 use case; 8-12 bảng; 3 quy trình lõi; phân quyền chi tiết; 2 báo cáo; tích hợp 1 dịch vụ; &gt;=35 test case; CI/CD hoặc deploy cloud.</v>
      </c>
      <c r="L1574" t="str">
        <f>'Huong dan giao do an'!$B$31</f>
        <v>Bắt buộc: Charter/PMP; SRS + scope/WBS; Gantt/baseline; effort-cost budget; RACI/timesheet; quality-test-defect; communication/minutes; risk register; procurement; change log; closure/lessons learned.</v>
      </c>
      <c r="M1574" t="str">
        <f>'Huong dan giao do an'!$B$33</f>
        <v>Tuần 1: 07.09–13.09.2026; Tuần 2: 14.09–20.09.2026; Tuần 3: 21.09–27.09.2026; Tuần 4: 28.09–04.10.2026; Tuần 5: 05.10–11.10.2026; Tuần 6: 12.10–18.10.2026; Tuần 7: 19.10–25.10.2026; Tuần 8: 26.10–01.11.2026.</v>
      </c>
      <c r="N15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4" s="17" t="str">
        <f t="shared" si="24"/>
        <v>Còn trống</v>
      </c>
    </row>
    <row r="1575" spans="1:16" x14ac:dyDescent="0.3">
      <c r="A1575">
        <v>1574</v>
      </c>
      <c r="B1575" t="s">
        <v>3460</v>
      </c>
      <c r="C1575" t="s">
        <v>3635</v>
      </c>
      <c r="D1575" t="s">
        <v>3636</v>
      </c>
      <c r="E1575" t="s">
        <v>40</v>
      </c>
      <c r="F1575" t="s">
        <v>3478</v>
      </c>
      <c r="G1575" t="s">
        <v>3510</v>
      </c>
      <c r="H1575" t="str">
        <f>'Huong dan giao do an'!$B$14</f>
        <v>5 SV (vai trò chính): 1 PM/Scrum Master kiêm Integration; 2 BA/PO; 3 UI-UX + Frontend; 4 Backend/API + DevOps; 5 Database + QA/Tester. Mỗi SV có nhiệm vụ phụ và minh chứng cá nhân.</v>
      </c>
      <c r="I1575" t="s">
        <v>29</v>
      </c>
      <c r="J1575" t="s">
        <v>3470</v>
      </c>
      <c r="K1575" t="str">
        <f>IF(I1575="Trung bình",'Huong dan giao do an'!$B$8,IF(I1575="Khá",'Huong dan giao do an'!$B$9,'Huong dan giao do an'!$B$10))</f>
        <v>Tối thiểu 5 actor; 14-18 use case; 10-15 bảng; 4 quy trình; tích hợp ngoài/realtime hoặc xử lý nâng cao; 3 báo cáo; &gt;=45 test case; logging, backup và deploy.</v>
      </c>
      <c r="L1575" t="str">
        <f>'Huong dan giao do an'!$B$31</f>
        <v>Bắt buộc: Charter/PMP; SRS + scope/WBS; Gantt/baseline; effort-cost budget; RACI/timesheet; quality-test-defect; communication/minutes; risk register; procurement; change log; closure/lessons learned.</v>
      </c>
      <c r="M1575" t="str">
        <f>'Huong dan giao do an'!$B$33</f>
        <v>Tuần 1: 07.09–13.09.2026; Tuần 2: 14.09–20.09.2026; Tuần 3: 21.09–27.09.2026; Tuần 4: 28.09–04.10.2026; Tuần 5: 05.10–11.10.2026; Tuần 6: 12.10–18.10.2026; Tuần 7: 19.10–25.10.2026; Tuần 8: 26.10–01.11.2026.</v>
      </c>
      <c r="N15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5" s="17" t="str">
        <f t="shared" si="24"/>
        <v>Còn trống</v>
      </c>
    </row>
    <row r="1576" spans="1:16" x14ac:dyDescent="0.3">
      <c r="A1576">
        <v>1575</v>
      </c>
      <c r="B1576" t="s">
        <v>3460</v>
      </c>
      <c r="C1576" t="s">
        <v>3637</v>
      </c>
      <c r="D1576" t="s">
        <v>3638</v>
      </c>
      <c r="E1576" t="s">
        <v>45</v>
      </c>
      <c r="F1576" t="s">
        <v>3482</v>
      </c>
      <c r="G1576" t="s">
        <v>3513</v>
      </c>
      <c r="H1576" t="str">
        <f>'Huong dan giao do an'!$B$14</f>
        <v>5 SV (vai trò chính): 1 PM/Scrum Master kiêm Integration; 2 BA/PO; 3 UI-UX + Frontend; 4 Backend/API + DevOps; 5 Database + QA/Tester. Mỗi SV có nhiệm vụ phụ và minh chứng cá nhân.</v>
      </c>
      <c r="I1576" t="s">
        <v>36</v>
      </c>
      <c r="J1576" t="s">
        <v>3475</v>
      </c>
      <c r="K1576" t="str">
        <f>IF(I1576="Trung bình",'Huong dan giao do an'!$B$8,IF(I1576="Khá",'Huong dan giao do an'!$B$9,'Huong dan giao do an'!$B$10))</f>
        <v>Tối thiểu 3 actor; 8-10 use case; 6-8 bảng dữ liệu; 2 quy trình lõi; đăng nhập/RBAC; 1 dashboard; 1 báo cáo; &gt;=25 test case; triển khai bản demo.</v>
      </c>
      <c r="L1576" t="str">
        <f>'Huong dan giao do an'!$B$31</f>
        <v>Bắt buộc: Charter/PMP; SRS + scope/WBS; Gantt/baseline; effort-cost budget; RACI/timesheet; quality-test-defect; communication/minutes; risk register; procurement; change log; closure/lessons learned.</v>
      </c>
      <c r="M1576" t="str">
        <f>'Huong dan giao do an'!$B$33</f>
        <v>Tuần 1: 07.09–13.09.2026; Tuần 2: 14.09–20.09.2026; Tuần 3: 21.09–27.09.2026; Tuần 4: 28.09–04.10.2026; Tuần 5: 05.10–11.10.2026; Tuần 6: 12.10–18.10.2026; Tuần 7: 19.10–25.10.2026; Tuần 8: 26.10–01.11.2026.</v>
      </c>
      <c r="N15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6" s="17" t="str">
        <f t="shared" si="24"/>
        <v>Còn trống</v>
      </c>
    </row>
    <row r="1577" spans="1:16" x14ac:dyDescent="0.3">
      <c r="A1577">
        <v>1576</v>
      </c>
      <c r="B1577" t="s">
        <v>3460</v>
      </c>
      <c r="C1577" t="s">
        <v>3639</v>
      </c>
      <c r="D1577" t="s">
        <v>3640</v>
      </c>
      <c r="E1577" t="s">
        <v>19</v>
      </c>
      <c r="F1577" t="s">
        <v>3463</v>
      </c>
      <c r="G1577" t="s">
        <v>3516</v>
      </c>
      <c r="H1577" t="str">
        <f>'Huong dan giao do an'!$B$14</f>
        <v>5 SV (vai trò chính): 1 PM/Scrum Master kiêm Integration; 2 BA/PO; 3 UI-UX + Frontend; 4 Backend/API + DevOps; 5 Database + QA/Tester. Mỗi SV có nhiệm vụ phụ và minh chứng cá nhân.</v>
      </c>
      <c r="I1577" t="s">
        <v>22</v>
      </c>
      <c r="J1577" t="s">
        <v>3465</v>
      </c>
      <c r="K1577" t="str">
        <f>IF(I1577="Trung bình",'Huong dan giao do an'!$B$8,IF(I1577="Khá",'Huong dan giao do an'!$B$9,'Huong dan giao do an'!$B$10))</f>
        <v>Tối thiểu 4 actor; 10-14 use case; 8-12 bảng; 3 quy trình lõi; phân quyền chi tiết; 2 báo cáo; tích hợp 1 dịch vụ; &gt;=35 test case; CI/CD hoặc deploy cloud.</v>
      </c>
      <c r="L1577" t="str">
        <f>'Huong dan giao do an'!$B$31</f>
        <v>Bắt buộc: Charter/PMP; SRS + scope/WBS; Gantt/baseline; effort-cost budget; RACI/timesheet; quality-test-defect; communication/minutes; risk register; procurement; change log; closure/lessons learned.</v>
      </c>
      <c r="M1577" t="str">
        <f>'Huong dan giao do an'!$B$33</f>
        <v>Tuần 1: 07.09–13.09.2026; Tuần 2: 14.09–20.09.2026; Tuần 3: 21.09–27.09.2026; Tuần 4: 28.09–04.10.2026; Tuần 5: 05.10–11.10.2026; Tuần 6: 12.10–18.10.2026; Tuần 7: 19.10–25.10.2026; Tuần 8: 26.10–01.11.2026.</v>
      </c>
      <c r="N15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7" s="17" t="str">
        <f t="shared" si="24"/>
        <v>Còn trống</v>
      </c>
    </row>
    <row r="1578" spans="1:16" x14ac:dyDescent="0.3">
      <c r="A1578">
        <v>1577</v>
      </c>
      <c r="B1578" t="s">
        <v>3460</v>
      </c>
      <c r="C1578" t="s">
        <v>3641</v>
      </c>
      <c r="D1578" t="s">
        <v>3642</v>
      </c>
      <c r="E1578" t="s">
        <v>26</v>
      </c>
      <c r="F1578" t="s">
        <v>3468</v>
      </c>
      <c r="G1578" t="s">
        <v>3519</v>
      </c>
      <c r="H1578" t="str">
        <f>'Huong dan giao do an'!$B$14</f>
        <v>5 SV (vai trò chính): 1 PM/Scrum Master kiêm Integration; 2 BA/PO; 3 UI-UX + Frontend; 4 Backend/API + DevOps; 5 Database + QA/Tester. Mỗi SV có nhiệm vụ phụ và minh chứng cá nhân.</v>
      </c>
      <c r="I1578" t="s">
        <v>29</v>
      </c>
      <c r="J1578" t="s">
        <v>3470</v>
      </c>
      <c r="K1578" t="str">
        <f>IF(I1578="Trung bình",'Huong dan giao do an'!$B$8,IF(I1578="Khá",'Huong dan giao do an'!$B$9,'Huong dan giao do an'!$B$10))</f>
        <v>Tối thiểu 5 actor; 14-18 use case; 10-15 bảng; 4 quy trình; tích hợp ngoài/realtime hoặc xử lý nâng cao; 3 báo cáo; &gt;=45 test case; logging, backup và deploy.</v>
      </c>
      <c r="L1578" t="str">
        <f>'Huong dan giao do an'!$B$31</f>
        <v>Bắt buộc: Charter/PMP; SRS + scope/WBS; Gantt/baseline; effort-cost budget; RACI/timesheet; quality-test-defect; communication/minutes; risk register; procurement; change log; closure/lessons learned.</v>
      </c>
      <c r="M1578" t="str">
        <f>'Huong dan giao do an'!$B$33</f>
        <v>Tuần 1: 07.09–13.09.2026; Tuần 2: 14.09–20.09.2026; Tuần 3: 21.09–27.09.2026; Tuần 4: 28.09–04.10.2026; Tuần 5: 05.10–11.10.2026; Tuần 6: 12.10–18.10.2026; Tuần 7: 19.10–25.10.2026; Tuần 8: 26.10–01.11.2026.</v>
      </c>
      <c r="N15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8" s="17" t="str">
        <f t="shared" si="24"/>
        <v>Còn trống</v>
      </c>
    </row>
    <row r="1579" spans="1:16" x14ac:dyDescent="0.3">
      <c r="A1579">
        <v>1578</v>
      </c>
      <c r="B1579" t="s">
        <v>3460</v>
      </c>
      <c r="C1579" t="s">
        <v>3643</v>
      </c>
      <c r="D1579" t="s">
        <v>3644</v>
      </c>
      <c r="E1579" t="s">
        <v>33</v>
      </c>
      <c r="F1579" t="s">
        <v>3473</v>
      </c>
      <c r="G1579" t="s">
        <v>3522</v>
      </c>
      <c r="H1579" t="str">
        <f>'Huong dan giao do an'!$B$14</f>
        <v>5 SV (vai trò chính): 1 PM/Scrum Master kiêm Integration; 2 BA/PO; 3 UI-UX + Frontend; 4 Backend/API + DevOps; 5 Database + QA/Tester. Mỗi SV có nhiệm vụ phụ và minh chứng cá nhân.</v>
      </c>
      <c r="I1579" t="s">
        <v>36</v>
      </c>
      <c r="J1579" t="s">
        <v>3475</v>
      </c>
      <c r="K1579" t="str">
        <f>IF(I1579="Trung bình",'Huong dan giao do an'!$B$8,IF(I1579="Khá",'Huong dan giao do an'!$B$9,'Huong dan giao do an'!$B$10))</f>
        <v>Tối thiểu 3 actor; 8-10 use case; 6-8 bảng dữ liệu; 2 quy trình lõi; đăng nhập/RBAC; 1 dashboard; 1 báo cáo; &gt;=25 test case; triển khai bản demo.</v>
      </c>
      <c r="L1579" t="str">
        <f>'Huong dan giao do an'!$B$31</f>
        <v>Bắt buộc: Charter/PMP; SRS + scope/WBS; Gantt/baseline; effort-cost budget; RACI/timesheet; quality-test-defect; communication/minutes; risk register; procurement; change log; closure/lessons learned.</v>
      </c>
      <c r="M1579" t="str">
        <f>'Huong dan giao do an'!$B$33</f>
        <v>Tuần 1: 07.09–13.09.2026; Tuần 2: 14.09–20.09.2026; Tuần 3: 21.09–27.09.2026; Tuần 4: 28.09–04.10.2026; Tuần 5: 05.10–11.10.2026; Tuần 6: 12.10–18.10.2026; Tuần 7: 19.10–25.10.2026; Tuần 8: 26.10–01.11.2026.</v>
      </c>
      <c r="N15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79" s="17" t="str">
        <f t="shared" si="24"/>
        <v>Còn trống</v>
      </c>
    </row>
    <row r="1580" spans="1:16" x14ac:dyDescent="0.3">
      <c r="A1580">
        <v>1579</v>
      </c>
      <c r="B1580" t="s">
        <v>3460</v>
      </c>
      <c r="C1580" t="s">
        <v>3645</v>
      </c>
      <c r="D1580" t="s">
        <v>3646</v>
      </c>
      <c r="E1580" t="s">
        <v>40</v>
      </c>
      <c r="F1580" t="s">
        <v>3478</v>
      </c>
      <c r="G1580" t="s">
        <v>3525</v>
      </c>
      <c r="H1580" t="str">
        <f>'Huong dan giao do an'!$B$14</f>
        <v>5 SV (vai trò chính): 1 PM/Scrum Master kiêm Integration; 2 BA/PO; 3 UI-UX + Frontend; 4 Backend/API + DevOps; 5 Database + QA/Tester. Mỗi SV có nhiệm vụ phụ và minh chứng cá nhân.</v>
      </c>
      <c r="I1580" t="s">
        <v>22</v>
      </c>
      <c r="J1580" t="s">
        <v>3465</v>
      </c>
      <c r="K1580" t="str">
        <f>IF(I1580="Trung bình",'Huong dan giao do an'!$B$8,IF(I1580="Khá",'Huong dan giao do an'!$B$9,'Huong dan giao do an'!$B$10))</f>
        <v>Tối thiểu 4 actor; 10-14 use case; 8-12 bảng; 3 quy trình lõi; phân quyền chi tiết; 2 báo cáo; tích hợp 1 dịch vụ; &gt;=35 test case; CI/CD hoặc deploy cloud.</v>
      </c>
      <c r="L1580" t="str">
        <f>'Huong dan giao do an'!$B$31</f>
        <v>Bắt buộc: Charter/PMP; SRS + scope/WBS; Gantt/baseline; effort-cost budget; RACI/timesheet; quality-test-defect; communication/minutes; risk register; procurement; change log; closure/lessons learned.</v>
      </c>
      <c r="M1580" t="str">
        <f>'Huong dan giao do an'!$B$33</f>
        <v>Tuần 1: 07.09–13.09.2026; Tuần 2: 14.09–20.09.2026; Tuần 3: 21.09–27.09.2026; Tuần 4: 28.09–04.10.2026; Tuần 5: 05.10–11.10.2026; Tuần 6: 12.10–18.10.2026; Tuần 7: 19.10–25.10.2026; Tuần 8: 26.10–01.11.2026.</v>
      </c>
      <c r="N15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0" s="17" t="str">
        <f t="shared" si="24"/>
        <v>Còn trống</v>
      </c>
    </row>
    <row r="1581" spans="1:16" x14ac:dyDescent="0.3">
      <c r="A1581">
        <v>1580</v>
      </c>
      <c r="B1581" t="s">
        <v>3460</v>
      </c>
      <c r="C1581" t="s">
        <v>3647</v>
      </c>
      <c r="D1581" t="s">
        <v>3648</v>
      </c>
      <c r="E1581" t="s">
        <v>45</v>
      </c>
      <c r="F1581" t="s">
        <v>3482</v>
      </c>
      <c r="G1581" t="s">
        <v>3528</v>
      </c>
      <c r="H1581" t="str">
        <f>'Huong dan giao do an'!$B$14</f>
        <v>5 SV (vai trò chính): 1 PM/Scrum Master kiêm Integration; 2 BA/PO; 3 UI-UX + Frontend; 4 Backend/API + DevOps; 5 Database + QA/Tester. Mỗi SV có nhiệm vụ phụ và minh chứng cá nhân.</v>
      </c>
      <c r="I1581" t="s">
        <v>29</v>
      </c>
      <c r="J1581" t="s">
        <v>3470</v>
      </c>
      <c r="K1581" t="str">
        <f>IF(I1581="Trung bình",'Huong dan giao do an'!$B$8,IF(I1581="Khá",'Huong dan giao do an'!$B$9,'Huong dan giao do an'!$B$10))</f>
        <v>Tối thiểu 5 actor; 14-18 use case; 10-15 bảng; 4 quy trình; tích hợp ngoài/realtime hoặc xử lý nâng cao; 3 báo cáo; &gt;=45 test case; logging, backup và deploy.</v>
      </c>
      <c r="L1581" t="str">
        <f>'Huong dan giao do an'!$B$31</f>
        <v>Bắt buộc: Charter/PMP; SRS + scope/WBS; Gantt/baseline; effort-cost budget; RACI/timesheet; quality-test-defect; communication/minutes; risk register; procurement; change log; closure/lessons learned.</v>
      </c>
      <c r="M1581" t="str">
        <f>'Huong dan giao do an'!$B$33</f>
        <v>Tuần 1: 07.09–13.09.2026; Tuần 2: 14.09–20.09.2026; Tuần 3: 21.09–27.09.2026; Tuần 4: 28.09–04.10.2026; Tuần 5: 05.10–11.10.2026; Tuần 6: 12.10–18.10.2026; Tuần 7: 19.10–25.10.2026; Tuần 8: 26.10–01.11.2026.</v>
      </c>
      <c r="N15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1" s="17" t="str">
        <f t="shared" si="24"/>
        <v>Còn trống</v>
      </c>
    </row>
    <row r="1582" spans="1:16" x14ac:dyDescent="0.3">
      <c r="A1582">
        <v>1581</v>
      </c>
      <c r="B1582" t="s">
        <v>3460</v>
      </c>
      <c r="C1582" t="s">
        <v>3649</v>
      </c>
      <c r="D1582" t="s">
        <v>3650</v>
      </c>
      <c r="E1582" t="s">
        <v>19</v>
      </c>
      <c r="F1582" t="s">
        <v>3463</v>
      </c>
      <c r="G1582" t="s">
        <v>3464</v>
      </c>
      <c r="H1582" t="str">
        <f>'Huong dan giao do an'!$B$14</f>
        <v>5 SV (vai trò chính): 1 PM/Scrum Master kiêm Integration; 2 BA/PO; 3 UI-UX + Frontend; 4 Backend/API + DevOps; 5 Database + QA/Tester. Mỗi SV có nhiệm vụ phụ và minh chứng cá nhân.</v>
      </c>
      <c r="I1582" t="s">
        <v>22</v>
      </c>
      <c r="J1582" t="s">
        <v>3465</v>
      </c>
      <c r="K1582" t="str">
        <f>IF(I1582="Trung bình",'Huong dan giao do an'!$B$8,IF(I1582="Khá",'Huong dan giao do an'!$B$9,'Huong dan giao do an'!$B$10))</f>
        <v>Tối thiểu 4 actor; 10-14 use case; 8-12 bảng; 3 quy trình lõi; phân quyền chi tiết; 2 báo cáo; tích hợp 1 dịch vụ; &gt;=35 test case; CI/CD hoặc deploy cloud.</v>
      </c>
      <c r="L1582" t="str">
        <f>'Huong dan giao do an'!$B$31</f>
        <v>Bắt buộc: Charter/PMP; SRS + scope/WBS; Gantt/baseline; effort-cost budget; RACI/timesheet; quality-test-defect; communication/minutes; risk register; procurement; change log; closure/lessons learned.</v>
      </c>
      <c r="M1582" t="str">
        <f>'Huong dan giao do an'!$B$33</f>
        <v>Tuần 1: 07.09–13.09.2026; Tuần 2: 14.09–20.09.2026; Tuần 3: 21.09–27.09.2026; Tuần 4: 28.09–04.10.2026; Tuần 5: 05.10–11.10.2026; Tuần 6: 12.10–18.10.2026; Tuần 7: 19.10–25.10.2026; Tuần 8: 26.10–01.11.2026.</v>
      </c>
      <c r="N15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2" s="17" t="str">
        <f t="shared" si="24"/>
        <v>Còn trống</v>
      </c>
    </row>
    <row r="1583" spans="1:16" x14ac:dyDescent="0.3">
      <c r="A1583">
        <v>1582</v>
      </c>
      <c r="B1583" t="s">
        <v>3460</v>
      </c>
      <c r="C1583" t="s">
        <v>3651</v>
      </c>
      <c r="D1583" t="s">
        <v>3652</v>
      </c>
      <c r="E1583" t="s">
        <v>26</v>
      </c>
      <c r="F1583" t="s">
        <v>3468</v>
      </c>
      <c r="G1583" t="s">
        <v>3469</v>
      </c>
      <c r="H1583" t="str">
        <f>'Huong dan giao do an'!$B$14</f>
        <v>5 SV (vai trò chính): 1 PM/Scrum Master kiêm Integration; 2 BA/PO; 3 UI-UX + Frontend; 4 Backend/API + DevOps; 5 Database + QA/Tester. Mỗi SV có nhiệm vụ phụ và minh chứng cá nhân.</v>
      </c>
      <c r="I1583" t="s">
        <v>29</v>
      </c>
      <c r="J1583" t="s">
        <v>3470</v>
      </c>
      <c r="K1583" t="str">
        <f>IF(I1583="Trung bình",'Huong dan giao do an'!$B$8,IF(I1583="Khá",'Huong dan giao do an'!$B$9,'Huong dan giao do an'!$B$10))</f>
        <v>Tối thiểu 5 actor; 14-18 use case; 10-15 bảng; 4 quy trình; tích hợp ngoài/realtime hoặc xử lý nâng cao; 3 báo cáo; &gt;=45 test case; logging, backup và deploy.</v>
      </c>
      <c r="L1583" t="str">
        <f>'Huong dan giao do an'!$B$31</f>
        <v>Bắt buộc: Charter/PMP; SRS + scope/WBS; Gantt/baseline; effort-cost budget; RACI/timesheet; quality-test-defect; communication/minutes; risk register; procurement; change log; closure/lessons learned.</v>
      </c>
      <c r="M1583" t="str">
        <f>'Huong dan giao do an'!$B$33</f>
        <v>Tuần 1: 07.09–13.09.2026; Tuần 2: 14.09–20.09.2026; Tuần 3: 21.09–27.09.2026; Tuần 4: 28.09–04.10.2026; Tuần 5: 05.10–11.10.2026; Tuần 6: 12.10–18.10.2026; Tuần 7: 19.10–25.10.2026; Tuần 8: 26.10–01.11.2026.</v>
      </c>
      <c r="N15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3" s="17" t="str">
        <f t="shared" si="24"/>
        <v>Còn trống</v>
      </c>
    </row>
    <row r="1584" spans="1:16" x14ac:dyDescent="0.3">
      <c r="A1584">
        <v>1583</v>
      </c>
      <c r="B1584" t="s">
        <v>3460</v>
      </c>
      <c r="C1584" t="s">
        <v>3653</v>
      </c>
      <c r="D1584" t="s">
        <v>3654</v>
      </c>
      <c r="E1584" t="s">
        <v>33</v>
      </c>
      <c r="F1584" t="s">
        <v>3473</v>
      </c>
      <c r="G1584" t="s">
        <v>3474</v>
      </c>
      <c r="H1584" t="str">
        <f>'Huong dan giao do an'!$B$14</f>
        <v>5 SV (vai trò chính): 1 PM/Scrum Master kiêm Integration; 2 BA/PO; 3 UI-UX + Frontend; 4 Backend/API + DevOps; 5 Database + QA/Tester. Mỗi SV có nhiệm vụ phụ và minh chứng cá nhân.</v>
      </c>
      <c r="I1584" t="s">
        <v>36</v>
      </c>
      <c r="J1584" t="s">
        <v>3475</v>
      </c>
      <c r="K1584" t="str">
        <f>IF(I1584="Trung bình",'Huong dan giao do an'!$B$8,IF(I1584="Khá",'Huong dan giao do an'!$B$9,'Huong dan giao do an'!$B$10))</f>
        <v>Tối thiểu 3 actor; 8-10 use case; 6-8 bảng dữ liệu; 2 quy trình lõi; đăng nhập/RBAC; 1 dashboard; 1 báo cáo; &gt;=25 test case; triển khai bản demo.</v>
      </c>
      <c r="L1584" t="str">
        <f>'Huong dan giao do an'!$B$31</f>
        <v>Bắt buộc: Charter/PMP; SRS + scope/WBS; Gantt/baseline; effort-cost budget; RACI/timesheet; quality-test-defect; communication/minutes; risk register; procurement; change log; closure/lessons learned.</v>
      </c>
      <c r="M1584" t="str">
        <f>'Huong dan giao do an'!$B$33</f>
        <v>Tuần 1: 07.09–13.09.2026; Tuần 2: 14.09–20.09.2026; Tuần 3: 21.09–27.09.2026; Tuần 4: 28.09–04.10.2026; Tuần 5: 05.10–11.10.2026; Tuần 6: 12.10–18.10.2026; Tuần 7: 19.10–25.10.2026; Tuần 8: 26.10–01.11.2026.</v>
      </c>
      <c r="N15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4" s="17" t="str">
        <f t="shared" si="24"/>
        <v>Còn trống</v>
      </c>
    </row>
    <row r="1585" spans="1:16" x14ac:dyDescent="0.3">
      <c r="A1585">
        <v>1584</v>
      </c>
      <c r="B1585" t="s">
        <v>3460</v>
      </c>
      <c r="C1585" t="s">
        <v>3655</v>
      </c>
      <c r="D1585" t="s">
        <v>3656</v>
      </c>
      <c r="E1585" t="s">
        <v>40</v>
      </c>
      <c r="F1585" t="s">
        <v>3478</v>
      </c>
      <c r="G1585" t="s">
        <v>3479</v>
      </c>
      <c r="H1585" t="str">
        <f>'Huong dan giao do an'!$B$14</f>
        <v>5 SV (vai trò chính): 1 PM/Scrum Master kiêm Integration; 2 BA/PO; 3 UI-UX + Frontend; 4 Backend/API + DevOps; 5 Database + QA/Tester. Mỗi SV có nhiệm vụ phụ và minh chứng cá nhân.</v>
      </c>
      <c r="I1585" t="s">
        <v>22</v>
      </c>
      <c r="J1585" t="s">
        <v>3465</v>
      </c>
      <c r="K1585" t="str">
        <f>IF(I1585="Trung bình",'Huong dan giao do an'!$B$8,IF(I1585="Khá",'Huong dan giao do an'!$B$9,'Huong dan giao do an'!$B$10))</f>
        <v>Tối thiểu 4 actor; 10-14 use case; 8-12 bảng; 3 quy trình lõi; phân quyền chi tiết; 2 báo cáo; tích hợp 1 dịch vụ; &gt;=35 test case; CI/CD hoặc deploy cloud.</v>
      </c>
      <c r="L1585" t="str">
        <f>'Huong dan giao do an'!$B$31</f>
        <v>Bắt buộc: Charter/PMP; SRS + scope/WBS; Gantt/baseline; effort-cost budget; RACI/timesheet; quality-test-defect; communication/minutes; risk register; procurement; change log; closure/lessons learned.</v>
      </c>
      <c r="M1585" t="str">
        <f>'Huong dan giao do an'!$B$33</f>
        <v>Tuần 1: 07.09–13.09.2026; Tuần 2: 14.09–20.09.2026; Tuần 3: 21.09–27.09.2026; Tuần 4: 28.09–04.10.2026; Tuần 5: 05.10–11.10.2026; Tuần 6: 12.10–18.10.2026; Tuần 7: 19.10–25.10.2026; Tuần 8: 26.10–01.11.2026.</v>
      </c>
      <c r="N15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5" s="17" t="str">
        <f t="shared" si="24"/>
        <v>Còn trống</v>
      </c>
    </row>
    <row r="1586" spans="1:16" x14ac:dyDescent="0.3">
      <c r="A1586">
        <v>1585</v>
      </c>
      <c r="B1586" t="s">
        <v>3460</v>
      </c>
      <c r="C1586" t="s">
        <v>3657</v>
      </c>
      <c r="D1586" t="s">
        <v>3658</v>
      </c>
      <c r="E1586" t="s">
        <v>45</v>
      </c>
      <c r="F1586" t="s">
        <v>3482</v>
      </c>
      <c r="G1586" t="s">
        <v>3483</v>
      </c>
      <c r="H1586" t="str">
        <f>'Huong dan giao do an'!$B$14</f>
        <v>5 SV (vai trò chính): 1 PM/Scrum Master kiêm Integration; 2 BA/PO; 3 UI-UX + Frontend; 4 Backend/API + DevOps; 5 Database + QA/Tester. Mỗi SV có nhiệm vụ phụ và minh chứng cá nhân.</v>
      </c>
      <c r="I1586" t="s">
        <v>29</v>
      </c>
      <c r="J1586" t="s">
        <v>3470</v>
      </c>
      <c r="K1586" t="str">
        <f>IF(I1586="Trung bình",'Huong dan giao do an'!$B$8,IF(I1586="Khá",'Huong dan giao do an'!$B$9,'Huong dan giao do an'!$B$10))</f>
        <v>Tối thiểu 5 actor; 14-18 use case; 10-15 bảng; 4 quy trình; tích hợp ngoài/realtime hoặc xử lý nâng cao; 3 báo cáo; &gt;=45 test case; logging, backup và deploy.</v>
      </c>
      <c r="L1586" t="str">
        <f>'Huong dan giao do an'!$B$31</f>
        <v>Bắt buộc: Charter/PMP; SRS + scope/WBS; Gantt/baseline; effort-cost budget; RACI/timesheet; quality-test-defect; communication/minutes; risk register; procurement; change log; closure/lessons learned.</v>
      </c>
      <c r="M1586" t="str">
        <f>'Huong dan giao do an'!$B$33</f>
        <v>Tuần 1: 07.09–13.09.2026; Tuần 2: 14.09–20.09.2026; Tuần 3: 21.09–27.09.2026; Tuần 4: 28.09–04.10.2026; Tuần 5: 05.10–11.10.2026; Tuần 6: 12.10–18.10.2026; Tuần 7: 19.10–25.10.2026; Tuần 8: 26.10–01.11.2026.</v>
      </c>
      <c r="N15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6" s="17" t="str">
        <f t="shared" si="24"/>
        <v>Còn trống</v>
      </c>
    </row>
    <row r="1587" spans="1:16" x14ac:dyDescent="0.3">
      <c r="A1587">
        <v>1586</v>
      </c>
      <c r="B1587" t="s">
        <v>3460</v>
      </c>
      <c r="C1587" t="s">
        <v>3659</v>
      </c>
      <c r="D1587" t="s">
        <v>3660</v>
      </c>
      <c r="E1587" t="s">
        <v>19</v>
      </c>
      <c r="F1587" t="s">
        <v>3463</v>
      </c>
      <c r="G1587" t="s">
        <v>3486</v>
      </c>
      <c r="H1587" t="str">
        <f>'Huong dan giao do an'!$B$14</f>
        <v>5 SV (vai trò chính): 1 PM/Scrum Master kiêm Integration; 2 BA/PO; 3 UI-UX + Frontend; 4 Backend/API + DevOps; 5 Database + QA/Tester. Mỗi SV có nhiệm vụ phụ và minh chứng cá nhân.</v>
      </c>
      <c r="I1587" t="s">
        <v>36</v>
      </c>
      <c r="J1587" t="s">
        <v>3475</v>
      </c>
      <c r="K1587" t="str">
        <f>IF(I1587="Trung bình",'Huong dan giao do an'!$B$8,IF(I1587="Khá",'Huong dan giao do an'!$B$9,'Huong dan giao do an'!$B$10))</f>
        <v>Tối thiểu 3 actor; 8-10 use case; 6-8 bảng dữ liệu; 2 quy trình lõi; đăng nhập/RBAC; 1 dashboard; 1 báo cáo; &gt;=25 test case; triển khai bản demo.</v>
      </c>
      <c r="L1587" t="str">
        <f>'Huong dan giao do an'!$B$31</f>
        <v>Bắt buộc: Charter/PMP; SRS + scope/WBS; Gantt/baseline; effort-cost budget; RACI/timesheet; quality-test-defect; communication/minutes; risk register; procurement; change log; closure/lessons learned.</v>
      </c>
      <c r="M1587" t="str">
        <f>'Huong dan giao do an'!$B$33</f>
        <v>Tuần 1: 07.09–13.09.2026; Tuần 2: 14.09–20.09.2026; Tuần 3: 21.09–27.09.2026; Tuần 4: 28.09–04.10.2026; Tuần 5: 05.10–11.10.2026; Tuần 6: 12.10–18.10.2026; Tuần 7: 19.10–25.10.2026; Tuần 8: 26.10–01.11.2026.</v>
      </c>
      <c r="N15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7" s="17" t="str">
        <f t="shared" si="24"/>
        <v>Còn trống</v>
      </c>
    </row>
    <row r="1588" spans="1:16" x14ac:dyDescent="0.3">
      <c r="A1588">
        <v>1587</v>
      </c>
      <c r="B1588" t="s">
        <v>3460</v>
      </c>
      <c r="C1588" t="s">
        <v>3661</v>
      </c>
      <c r="D1588" t="s">
        <v>3662</v>
      </c>
      <c r="E1588" t="s">
        <v>26</v>
      </c>
      <c r="F1588" t="s">
        <v>3468</v>
      </c>
      <c r="G1588" t="s">
        <v>3489</v>
      </c>
      <c r="H1588" t="str">
        <f>'Huong dan giao do an'!$B$14</f>
        <v>5 SV (vai trò chính): 1 PM/Scrum Master kiêm Integration; 2 BA/PO; 3 UI-UX + Frontend; 4 Backend/API + DevOps; 5 Database + QA/Tester. Mỗi SV có nhiệm vụ phụ và minh chứng cá nhân.</v>
      </c>
      <c r="I1588" t="s">
        <v>22</v>
      </c>
      <c r="J1588" t="s">
        <v>3465</v>
      </c>
      <c r="K1588" t="str">
        <f>IF(I1588="Trung bình",'Huong dan giao do an'!$B$8,IF(I1588="Khá",'Huong dan giao do an'!$B$9,'Huong dan giao do an'!$B$10))</f>
        <v>Tối thiểu 4 actor; 10-14 use case; 8-12 bảng; 3 quy trình lõi; phân quyền chi tiết; 2 báo cáo; tích hợp 1 dịch vụ; &gt;=35 test case; CI/CD hoặc deploy cloud.</v>
      </c>
      <c r="L1588" t="str">
        <f>'Huong dan giao do an'!$B$31</f>
        <v>Bắt buộc: Charter/PMP; SRS + scope/WBS; Gantt/baseline; effort-cost budget; RACI/timesheet; quality-test-defect; communication/minutes; risk register; procurement; change log; closure/lessons learned.</v>
      </c>
      <c r="M1588" t="str">
        <f>'Huong dan giao do an'!$B$33</f>
        <v>Tuần 1: 07.09–13.09.2026; Tuần 2: 14.09–20.09.2026; Tuần 3: 21.09–27.09.2026; Tuần 4: 28.09–04.10.2026; Tuần 5: 05.10–11.10.2026; Tuần 6: 12.10–18.10.2026; Tuần 7: 19.10–25.10.2026; Tuần 8: 26.10–01.11.2026.</v>
      </c>
      <c r="N15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8" s="17" t="str">
        <f t="shared" si="24"/>
        <v>Còn trống</v>
      </c>
    </row>
    <row r="1589" spans="1:16" x14ac:dyDescent="0.3">
      <c r="A1589">
        <v>1588</v>
      </c>
      <c r="B1589" t="s">
        <v>3460</v>
      </c>
      <c r="C1589" t="s">
        <v>3663</v>
      </c>
      <c r="D1589" t="s">
        <v>3664</v>
      </c>
      <c r="E1589" t="s">
        <v>33</v>
      </c>
      <c r="F1589" t="s">
        <v>3473</v>
      </c>
      <c r="G1589" t="s">
        <v>3492</v>
      </c>
      <c r="H1589" t="str">
        <f>'Huong dan giao do an'!$B$14</f>
        <v>5 SV (vai trò chính): 1 PM/Scrum Master kiêm Integration; 2 BA/PO; 3 UI-UX + Frontend; 4 Backend/API + DevOps; 5 Database + QA/Tester. Mỗi SV có nhiệm vụ phụ và minh chứng cá nhân.</v>
      </c>
      <c r="I1589" t="s">
        <v>29</v>
      </c>
      <c r="J1589" t="s">
        <v>3470</v>
      </c>
      <c r="K1589" t="str">
        <f>IF(I1589="Trung bình",'Huong dan giao do an'!$B$8,IF(I1589="Khá",'Huong dan giao do an'!$B$9,'Huong dan giao do an'!$B$10))</f>
        <v>Tối thiểu 5 actor; 14-18 use case; 10-15 bảng; 4 quy trình; tích hợp ngoài/realtime hoặc xử lý nâng cao; 3 báo cáo; &gt;=45 test case; logging, backup và deploy.</v>
      </c>
      <c r="L1589" t="str">
        <f>'Huong dan giao do an'!$B$31</f>
        <v>Bắt buộc: Charter/PMP; SRS + scope/WBS; Gantt/baseline; effort-cost budget; RACI/timesheet; quality-test-defect; communication/minutes; risk register; procurement; change log; closure/lessons learned.</v>
      </c>
      <c r="M1589" t="str">
        <f>'Huong dan giao do an'!$B$33</f>
        <v>Tuần 1: 07.09–13.09.2026; Tuần 2: 14.09–20.09.2026; Tuần 3: 21.09–27.09.2026; Tuần 4: 28.09–04.10.2026; Tuần 5: 05.10–11.10.2026; Tuần 6: 12.10–18.10.2026; Tuần 7: 19.10–25.10.2026; Tuần 8: 26.10–01.11.2026.</v>
      </c>
      <c r="N15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89" s="17" t="str">
        <f t="shared" si="24"/>
        <v>Còn trống</v>
      </c>
    </row>
    <row r="1590" spans="1:16" x14ac:dyDescent="0.3">
      <c r="A1590">
        <v>1589</v>
      </c>
      <c r="B1590" t="s">
        <v>3460</v>
      </c>
      <c r="C1590" t="s">
        <v>3665</v>
      </c>
      <c r="D1590" t="s">
        <v>3666</v>
      </c>
      <c r="E1590" t="s">
        <v>40</v>
      </c>
      <c r="F1590" t="s">
        <v>3478</v>
      </c>
      <c r="G1590" t="s">
        <v>3495</v>
      </c>
      <c r="H1590" t="str">
        <f>'Huong dan giao do an'!$B$14</f>
        <v>5 SV (vai trò chính): 1 PM/Scrum Master kiêm Integration; 2 BA/PO; 3 UI-UX + Frontend; 4 Backend/API + DevOps; 5 Database + QA/Tester. Mỗi SV có nhiệm vụ phụ và minh chứng cá nhân.</v>
      </c>
      <c r="I1590" t="s">
        <v>36</v>
      </c>
      <c r="J1590" t="s">
        <v>3475</v>
      </c>
      <c r="K1590" t="str">
        <f>IF(I1590="Trung bình",'Huong dan giao do an'!$B$8,IF(I1590="Khá",'Huong dan giao do an'!$B$9,'Huong dan giao do an'!$B$10))</f>
        <v>Tối thiểu 3 actor; 8-10 use case; 6-8 bảng dữ liệu; 2 quy trình lõi; đăng nhập/RBAC; 1 dashboard; 1 báo cáo; &gt;=25 test case; triển khai bản demo.</v>
      </c>
      <c r="L1590" t="str">
        <f>'Huong dan giao do an'!$B$31</f>
        <v>Bắt buộc: Charter/PMP; SRS + scope/WBS; Gantt/baseline; effort-cost budget; RACI/timesheet; quality-test-defect; communication/minutes; risk register; procurement; change log; closure/lessons learned.</v>
      </c>
      <c r="M1590" t="str">
        <f>'Huong dan giao do an'!$B$33</f>
        <v>Tuần 1: 07.09–13.09.2026; Tuần 2: 14.09–20.09.2026; Tuần 3: 21.09–27.09.2026; Tuần 4: 28.09–04.10.2026; Tuần 5: 05.10–11.10.2026; Tuần 6: 12.10–18.10.2026; Tuần 7: 19.10–25.10.2026; Tuần 8: 26.10–01.11.2026.</v>
      </c>
      <c r="N15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0" s="17" t="str">
        <f t="shared" si="24"/>
        <v>Còn trống</v>
      </c>
    </row>
    <row r="1591" spans="1:16" x14ac:dyDescent="0.3">
      <c r="A1591">
        <v>1590</v>
      </c>
      <c r="B1591" t="s">
        <v>3460</v>
      </c>
      <c r="C1591" t="s">
        <v>3667</v>
      </c>
      <c r="D1591" t="s">
        <v>3668</v>
      </c>
      <c r="E1591" t="s">
        <v>45</v>
      </c>
      <c r="F1591" t="s">
        <v>3482</v>
      </c>
      <c r="G1591" t="s">
        <v>3498</v>
      </c>
      <c r="H1591" t="str">
        <f>'Huong dan giao do an'!$B$14</f>
        <v>5 SV (vai trò chính): 1 PM/Scrum Master kiêm Integration; 2 BA/PO; 3 UI-UX + Frontend; 4 Backend/API + DevOps; 5 Database + QA/Tester. Mỗi SV có nhiệm vụ phụ và minh chứng cá nhân.</v>
      </c>
      <c r="I1591" t="s">
        <v>22</v>
      </c>
      <c r="J1591" t="s">
        <v>3465</v>
      </c>
      <c r="K1591" t="str">
        <f>IF(I1591="Trung bình",'Huong dan giao do an'!$B$8,IF(I1591="Khá",'Huong dan giao do an'!$B$9,'Huong dan giao do an'!$B$10))</f>
        <v>Tối thiểu 4 actor; 10-14 use case; 8-12 bảng; 3 quy trình lõi; phân quyền chi tiết; 2 báo cáo; tích hợp 1 dịch vụ; &gt;=35 test case; CI/CD hoặc deploy cloud.</v>
      </c>
      <c r="L1591" t="str">
        <f>'Huong dan giao do an'!$B$31</f>
        <v>Bắt buộc: Charter/PMP; SRS + scope/WBS; Gantt/baseline; effort-cost budget; RACI/timesheet; quality-test-defect; communication/minutes; risk register; procurement; change log; closure/lessons learned.</v>
      </c>
      <c r="M1591" t="str">
        <f>'Huong dan giao do an'!$B$33</f>
        <v>Tuần 1: 07.09–13.09.2026; Tuần 2: 14.09–20.09.2026; Tuần 3: 21.09–27.09.2026; Tuần 4: 28.09–04.10.2026; Tuần 5: 05.10–11.10.2026; Tuần 6: 12.10–18.10.2026; Tuần 7: 19.10–25.10.2026; Tuần 8: 26.10–01.11.2026.</v>
      </c>
      <c r="N15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1" s="17" t="str">
        <f t="shared" si="24"/>
        <v>Còn trống</v>
      </c>
    </row>
    <row r="1592" spans="1:16" x14ac:dyDescent="0.3">
      <c r="A1592">
        <v>1591</v>
      </c>
      <c r="B1592" t="s">
        <v>3460</v>
      </c>
      <c r="C1592" t="s">
        <v>3669</v>
      </c>
      <c r="D1592" t="s">
        <v>3670</v>
      </c>
      <c r="E1592" t="s">
        <v>19</v>
      </c>
      <c r="F1592" t="s">
        <v>3463</v>
      </c>
      <c r="G1592" t="s">
        <v>3501</v>
      </c>
      <c r="H1592" t="str">
        <f>'Huong dan giao do an'!$B$14</f>
        <v>5 SV (vai trò chính): 1 PM/Scrum Master kiêm Integration; 2 BA/PO; 3 UI-UX + Frontend; 4 Backend/API + DevOps; 5 Database + QA/Tester. Mỗi SV có nhiệm vụ phụ và minh chứng cá nhân.</v>
      </c>
      <c r="I1592" t="s">
        <v>29</v>
      </c>
      <c r="J1592" t="s">
        <v>3470</v>
      </c>
      <c r="K1592" t="str">
        <f>IF(I1592="Trung bình",'Huong dan giao do an'!$B$8,IF(I1592="Khá",'Huong dan giao do an'!$B$9,'Huong dan giao do an'!$B$10))</f>
        <v>Tối thiểu 5 actor; 14-18 use case; 10-15 bảng; 4 quy trình; tích hợp ngoài/realtime hoặc xử lý nâng cao; 3 báo cáo; &gt;=45 test case; logging, backup và deploy.</v>
      </c>
      <c r="L1592" t="str">
        <f>'Huong dan giao do an'!$B$31</f>
        <v>Bắt buộc: Charter/PMP; SRS + scope/WBS; Gantt/baseline; effort-cost budget; RACI/timesheet; quality-test-defect; communication/minutes; risk register; procurement; change log; closure/lessons learned.</v>
      </c>
      <c r="M1592" t="str">
        <f>'Huong dan giao do an'!$B$33</f>
        <v>Tuần 1: 07.09–13.09.2026; Tuần 2: 14.09–20.09.2026; Tuần 3: 21.09–27.09.2026; Tuần 4: 28.09–04.10.2026; Tuần 5: 05.10–11.10.2026; Tuần 6: 12.10–18.10.2026; Tuần 7: 19.10–25.10.2026; Tuần 8: 26.10–01.11.2026.</v>
      </c>
      <c r="N15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2" s="17" t="str">
        <f t="shared" si="24"/>
        <v>Còn trống</v>
      </c>
    </row>
    <row r="1593" spans="1:16" x14ac:dyDescent="0.3">
      <c r="A1593">
        <v>1592</v>
      </c>
      <c r="B1593" t="s">
        <v>3460</v>
      </c>
      <c r="C1593" t="s">
        <v>3671</v>
      </c>
      <c r="D1593" t="s">
        <v>3672</v>
      </c>
      <c r="E1593" t="s">
        <v>26</v>
      </c>
      <c r="F1593" t="s">
        <v>3468</v>
      </c>
      <c r="G1593" t="s">
        <v>3504</v>
      </c>
      <c r="H1593" t="str">
        <f>'Huong dan giao do an'!$B$14</f>
        <v>5 SV (vai trò chính): 1 PM/Scrum Master kiêm Integration; 2 BA/PO; 3 UI-UX + Frontend; 4 Backend/API + DevOps; 5 Database + QA/Tester. Mỗi SV có nhiệm vụ phụ và minh chứng cá nhân.</v>
      </c>
      <c r="I1593" t="s">
        <v>36</v>
      </c>
      <c r="J1593" t="s">
        <v>3475</v>
      </c>
      <c r="K1593" t="str">
        <f>IF(I1593="Trung bình",'Huong dan giao do an'!$B$8,IF(I1593="Khá",'Huong dan giao do an'!$B$9,'Huong dan giao do an'!$B$10))</f>
        <v>Tối thiểu 3 actor; 8-10 use case; 6-8 bảng dữ liệu; 2 quy trình lõi; đăng nhập/RBAC; 1 dashboard; 1 báo cáo; &gt;=25 test case; triển khai bản demo.</v>
      </c>
      <c r="L1593" t="str">
        <f>'Huong dan giao do an'!$B$31</f>
        <v>Bắt buộc: Charter/PMP; SRS + scope/WBS; Gantt/baseline; effort-cost budget; RACI/timesheet; quality-test-defect; communication/minutes; risk register; procurement; change log; closure/lessons learned.</v>
      </c>
      <c r="M1593" t="str">
        <f>'Huong dan giao do an'!$B$33</f>
        <v>Tuần 1: 07.09–13.09.2026; Tuần 2: 14.09–20.09.2026; Tuần 3: 21.09–27.09.2026; Tuần 4: 28.09–04.10.2026; Tuần 5: 05.10–11.10.2026; Tuần 6: 12.10–18.10.2026; Tuần 7: 19.10–25.10.2026; Tuần 8: 26.10–01.11.2026.</v>
      </c>
      <c r="N15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3" s="17" t="str">
        <f t="shared" si="24"/>
        <v>Còn trống</v>
      </c>
    </row>
    <row r="1594" spans="1:16" x14ac:dyDescent="0.3">
      <c r="A1594">
        <v>1593</v>
      </c>
      <c r="B1594" t="s">
        <v>3460</v>
      </c>
      <c r="C1594" t="s">
        <v>3673</v>
      </c>
      <c r="D1594" t="s">
        <v>3674</v>
      </c>
      <c r="E1594" t="s">
        <v>33</v>
      </c>
      <c r="F1594" t="s">
        <v>3473</v>
      </c>
      <c r="G1594" t="s">
        <v>3507</v>
      </c>
      <c r="H1594" t="str">
        <f>'Huong dan giao do an'!$B$14</f>
        <v>5 SV (vai trò chính): 1 PM/Scrum Master kiêm Integration; 2 BA/PO; 3 UI-UX + Frontend; 4 Backend/API + DevOps; 5 Database + QA/Tester. Mỗi SV có nhiệm vụ phụ và minh chứng cá nhân.</v>
      </c>
      <c r="I1594" t="s">
        <v>22</v>
      </c>
      <c r="J1594" t="s">
        <v>3465</v>
      </c>
      <c r="K1594" t="str">
        <f>IF(I1594="Trung bình",'Huong dan giao do an'!$B$8,IF(I1594="Khá",'Huong dan giao do an'!$B$9,'Huong dan giao do an'!$B$10))</f>
        <v>Tối thiểu 4 actor; 10-14 use case; 8-12 bảng; 3 quy trình lõi; phân quyền chi tiết; 2 báo cáo; tích hợp 1 dịch vụ; &gt;=35 test case; CI/CD hoặc deploy cloud.</v>
      </c>
      <c r="L1594" t="str">
        <f>'Huong dan giao do an'!$B$31</f>
        <v>Bắt buộc: Charter/PMP; SRS + scope/WBS; Gantt/baseline; effort-cost budget; RACI/timesheet; quality-test-defect; communication/minutes; risk register; procurement; change log; closure/lessons learned.</v>
      </c>
      <c r="M1594" t="str">
        <f>'Huong dan giao do an'!$B$33</f>
        <v>Tuần 1: 07.09–13.09.2026; Tuần 2: 14.09–20.09.2026; Tuần 3: 21.09–27.09.2026; Tuần 4: 28.09–04.10.2026; Tuần 5: 05.10–11.10.2026; Tuần 6: 12.10–18.10.2026; Tuần 7: 19.10–25.10.2026; Tuần 8: 26.10–01.11.2026.</v>
      </c>
      <c r="N15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4" s="17" t="str">
        <f t="shared" si="24"/>
        <v>Còn trống</v>
      </c>
    </row>
    <row r="1595" spans="1:16" x14ac:dyDescent="0.3">
      <c r="A1595">
        <v>1594</v>
      </c>
      <c r="B1595" t="s">
        <v>3460</v>
      </c>
      <c r="C1595" t="s">
        <v>3675</v>
      </c>
      <c r="D1595" t="s">
        <v>3676</v>
      </c>
      <c r="E1595" t="s">
        <v>40</v>
      </c>
      <c r="F1595" t="s">
        <v>3478</v>
      </c>
      <c r="G1595" t="s">
        <v>3510</v>
      </c>
      <c r="H1595" t="str">
        <f>'Huong dan giao do an'!$B$14</f>
        <v>5 SV (vai trò chính): 1 PM/Scrum Master kiêm Integration; 2 BA/PO; 3 UI-UX + Frontend; 4 Backend/API + DevOps; 5 Database + QA/Tester. Mỗi SV có nhiệm vụ phụ và minh chứng cá nhân.</v>
      </c>
      <c r="I1595" t="s">
        <v>29</v>
      </c>
      <c r="J1595" t="s">
        <v>3470</v>
      </c>
      <c r="K1595" t="str">
        <f>IF(I1595="Trung bình",'Huong dan giao do an'!$B$8,IF(I1595="Khá",'Huong dan giao do an'!$B$9,'Huong dan giao do an'!$B$10))</f>
        <v>Tối thiểu 5 actor; 14-18 use case; 10-15 bảng; 4 quy trình; tích hợp ngoài/realtime hoặc xử lý nâng cao; 3 báo cáo; &gt;=45 test case; logging, backup và deploy.</v>
      </c>
      <c r="L1595" t="str">
        <f>'Huong dan giao do an'!$B$31</f>
        <v>Bắt buộc: Charter/PMP; SRS + scope/WBS; Gantt/baseline; effort-cost budget; RACI/timesheet; quality-test-defect; communication/minutes; risk register; procurement; change log; closure/lessons learned.</v>
      </c>
      <c r="M1595" t="str">
        <f>'Huong dan giao do an'!$B$33</f>
        <v>Tuần 1: 07.09–13.09.2026; Tuần 2: 14.09–20.09.2026; Tuần 3: 21.09–27.09.2026; Tuần 4: 28.09–04.10.2026; Tuần 5: 05.10–11.10.2026; Tuần 6: 12.10–18.10.2026; Tuần 7: 19.10–25.10.2026; Tuần 8: 26.10–01.11.2026.</v>
      </c>
      <c r="N15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5" s="17" t="str">
        <f t="shared" si="24"/>
        <v>Còn trống</v>
      </c>
    </row>
    <row r="1596" spans="1:16" x14ac:dyDescent="0.3">
      <c r="A1596">
        <v>1595</v>
      </c>
      <c r="B1596" t="s">
        <v>3460</v>
      </c>
      <c r="C1596" t="s">
        <v>3677</v>
      </c>
      <c r="D1596" t="s">
        <v>3678</v>
      </c>
      <c r="E1596" t="s">
        <v>45</v>
      </c>
      <c r="F1596" t="s">
        <v>3482</v>
      </c>
      <c r="G1596" t="s">
        <v>3513</v>
      </c>
      <c r="H1596" t="str">
        <f>'Huong dan giao do an'!$B$14</f>
        <v>5 SV (vai trò chính): 1 PM/Scrum Master kiêm Integration; 2 BA/PO; 3 UI-UX + Frontend; 4 Backend/API + DevOps; 5 Database + QA/Tester. Mỗi SV có nhiệm vụ phụ và minh chứng cá nhân.</v>
      </c>
      <c r="I1596" t="s">
        <v>36</v>
      </c>
      <c r="J1596" t="s">
        <v>3475</v>
      </c>
      <c r="K1596" t="str">
        <f>IF(I1596="Trung bình",'Huong dan giao do an'!$B$8,IF(I1596="Khá",'Huong dan giao do an'!$B$9,'Huong dan giao do an'!$B$10))</f>
        <v>Tối thiểu 3 actor; 8-10 use case; 6-8 bảng dữ liệu; 2 quy trình lõi; đăng nhập/RBAC; 1 dashboard; 1 báo cáo; &gt;=25 test case; triển khai bản demo.</v>
      </c>
      <c r="L1596" t="str">
        <f>'Huong dan giao do an'!$B$31</f>
        <v>Bắt buộc: Charter/PMP; SRS + scope/WBS; Gantt/baseline; effort-cost budget; RACI/timesheet; quality-test-defect; communication/minutes; risk register; procurement; change log; closure/lessons learned.</v>
      </c>
      <c r="M1596" t="str">
        <f>'Huong dan giao do an'!$B$33</f>
        <v>Tuần 1: 07.09–13.09.2026; Tuần 2: 14.09–20.09.2026; Tuần 3: 21.09–27.09.2026; Tuần 4: 28.09–04.10.2026; Tuần 5: 05.10–11.10.2026; Tuần 6: 12.10–18.10.2026; Tuần 7: 19.10–25.10.2026; Tuần 8: 26.10–01.11.2026.</v>
      </c>
      <c r="N15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6" s="17" t="str">
        <f t="shared" si="24"/>
        <v>Còn trống</v>
      </c>
    </row>
    <row r="1597" spans="1:16" x14ac:dyDescent="0.3">
      <c r="A1597">
        <v>1596</v>
      </c>
      <c r="B1597" t="s">
        <v>3460</v>
      </c>
      <c r="C1597" t="s">
        <v>3679</v>
      </c>
      <c r="D1597" t="s">
        <v>3680</v>
      </c>
      <c r="E1597" t="s">
        <v>19</v>
      </c>
      <c r="F1597" t="s">
        <v>3463</v>
      </c>
      <c r="G1597" t="s">
        <v>3516</v>
      </c>
      <c r="H1597" t="str">
        <f>'Huong dan giao do an'!$B$14</f>
        <v>5 SV (vai trò chính): 1 PM/Scrum Master kiêm Integration; 2 BA/PO; 3 UI-UX + Frontend; 4 Backend/API + DevOps; 5 Database + QA/Tester. Mỗi SV có nhiệm vụ phụ và minh chứng cá nhân.</v>
      </c>
      <c r="I1597" t="s">
        <v>22</v>
      </c>
      <c r="J1597" t="s">
        <v>3465</v>
      </c>
      <c r="K1597" t="str">
        <f>IF(I1597="Trung bình",'Huong dan giao do an'!$B$8,IF(I1597="Khá",'Huong dan giao do an'!$B$9,'Huong dan giao do an'!$B$10))</f>
        <v>Tối thiểu 4 actor; 10-14 use case; 8-12 bảng; 3 quy trình lõi; phân quyền chi tiết; 2 báo cáo; tích hợp 1 dịch vụ; &gt;=35 test case; CI/CD hoặc deploy cloud.</v>
      </c>
      <c r="L1597" t="str">
        <f>'Huong dan giao do an'!$B$31</f>
        <v>Bắt buộc: Charter/PMP; SRS + scope/WBS; Gantt/baseline; effort-cost budget; RACI/timesheet; quality-test-defect; communication/minutes; risk register; procurement; change log; closure/lessons learned.</v>
      </c>
      <c r="M1597" t="str">
        <f>'Huong dan giao do an'!$B$33</f>
        <v>Tuần 1: 07.09–13.09.2026; Tuần 2: 14.09–20.09.2026; Tuần 3: 21.09–27.09.2026; Tuần 4: 28.09–04.10.2026; Tuần 5: 05.10–11.10.2026; Tuần 6: 12.10–18.10.2026; Tuần 7: 19.10–25.10.2026; Tuần 8: 26.10–01.11.2026.</v>
      </c>
      <c r="N15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7" s="17" t="str">
        <f t="shared" si="24"/>
        <v>Còn trống</v>
      </c>
    </row>
    <row r="1598" spans="1:16" x14ac:dyDescent="0.3">
      <c r="A1598">
        <v>1597</v>
      </c>
      <c r="B1598" t="s">
        <v>3460</v>
      </c>
      <c r="C1598" t="s">
        <v>3681</v>
      </c>
      <c r="D1598" t="s">
        <v>3682</v>
      </c>
      <c r="E1598" t="s">
        <v>26</v>
      </c>
      <c r="F1598" t="s">
        <v>3468</v>
      </c>
      <c r="G1598" t="s">
        <v>3519</v>
      </c>
      <c r="H1598" t="str">
        <f>'Huong dan giao do an'!$B$14</f>
        <v>5 SV (vai trò chính): 1 PM/Scrum Master kiêm Integration; 2 BA/PO; 3 UI-UX + Frontend; 4 Backend/API + DevOps; 5 Database + QA/Tester. Mỗi SV có nhiệm vụ phụ và minh chứng cá nhân.</v>
      </c>
      <c r="I1598" t="s">
        <v>29</v>
      </c>
      <c r="J1598" t="s">
        <v>3470</v>
      </c>
      <c r="K1598" t="str">
        <f>IF(I1598="Trung bình",'Huong dan giao do an'!$B$8,IF(I1598="Khá",'Huong dan giao do an'!$B$9,'Huong dan giao do an'!$B$10))</f>
        <v>Tối thiểu 5 actor; 14-18 use case; 10-15 bảng; 4 quy trình; tích hợp ngoài/realtime hoặc xử lý nâng cao; 3 báo cáo; &gt;=45 test case; logging, backup và deploy.</v>
      </c>
      <c r="L1598" t="str">
        <f>'Huong dan giao do an'!$B$31</f>
        <v>Bắt buộc: Charter/PMP; SRS + scope/WBS; Gantt/baseline; effort-cost budget; RACI/timesheet; quality-test-defect; communication/minutes; risk register; procurement; change log; closure/lessons learned.</v>
      </c>
      <c r="M1598" t="str">
        <f>'Huong dan giao do an'!$B$33</f>
        <v>Tuần 1: 07.09–13.09.2026; Tuần 2: 14.09–20.09.2026; Tuần 3: 21.09–27.09.2026; Tuần 4: 28.09–04.10.2026; Tuần 5: 05.10–11.10.2026; Tuần 6: 12.10–18.10.2026; Tuần 7: 19.10–25.10.2026; Tuần 8: 26.10–01.11.2026.</v>
      </c>
      <c r="N15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8" s="17" t="str">
        <f t="shared" si="24"/>
        <v>Còn trống</v>
      </c>
    </row>
    <row r="1599" spans="1:16" x14ac:dyDescent="0.3">
      <c r="A1599">
        <v>1598</v>
      </c>
      <c r="B1599" t="s">
        <v>3460</v>
      </c>
      <c r="C1599" t="s">
        <v>3683</v>
      </c>
      <c r="D1599" t="s">
        <v>3684</v>
      </c>
      <c r="E1599" t="s">
        <v>33</v>
      </c>
      <c r="F1599" t="s">
        <v>3473</v>
      </c>
      <c r="G1599" t="s">
        <v>3522</v>
      </c>
      <c r="H1599" t="str">
        <f>'Huong dan giao do an'!$B$14</f>
        <v>5 SV (vai trò chính): 1 PM/Scrum Master kiêm Integration; 2 BA/PO; 3 UI-UX + Frontend; 4 Backend/API + DevOps; 5 Database + QA/Tester. Mỗi SV có nhiệm vụ phụ và minh chứng cá nhân.</v>
      </c>
      <c r="I1599" t="s">
        <v>36</v>
      </c>
      <c r="J1599" t="s">
        <v>3475</v>
      </c>
      <c r="K1599" t="str">
        <f>IF(I1599="Trung bình",'Huong dan giao do an'!$B$8,IF(I1599="Khá",'Huong dan giao do an'!$B$9,'Huong dan giao do an'!$B$10))</f>
        <v>Tối thiểu 3 actor; 8-10 use case; 6-8 bảng dữ liệu; 2 quy trình lõi; đăng nhập/RBAC; 1 dashboard; 1 báo cáo; &gt;=25 test case; triển khai bản demo.</v>
      </c>
      <c r="L1599" t="str">
        <f>'Huong dan giao do an'!$B$31</f>
        <v>Bắt buộc: Charter/PMP; SRS + scope/WBS; Gantt/baseline; effort-cost budget; RACI/timesheet; quality-test-defect; communication/minutes; risk register; procurement; change log; closure/lessons learned.</v>
      </c>
      <c r="M1599" t="str">
        <f>'Huong dan giao do an'!$B$33</f>
        <v>Tuần 1: 07.09–13.09.2026; Tuần 2: 14.09–20.09.2026; Tuần 3: 21.09–27.09.2026; Tuần 4: 28.09–04.10.2026; Tuần 5: 05.10–11.10.2026; Tuần 6: 12.10–18.10.2026; Tuần 7: 19.10–25.10.2026; Tuần 8: 26.10–01.11.2026.</v>
      </c>
      <c r="N15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599" s="17" t="str">
        <f t="shared" si="24"/>
        <v>Còn trống</v>
      </c>
    </row>
    <row r="1600" spans="1:16" x14ac:dyDescent="0.3">
      <c r="A1600">
        <v>1599</v>
      </c>
      <c r="B1600" t="s">
        <v>3460</v>
      </c>
      <c r="C1600" t="s">
        <v>3685</v>
      </c>
      <c r="D1600" t="s">
        <v>3686</v>
      </c>
      <c r="E1600" t="s">
        <v>40</v>
      </c>
      <c r="F1600" t="s">
        <v>3478</v>
      </c>
      <c r="G1600" t="s">
        <v>3525</v>
      </c>
      <c r="H1600" t="str">
        <f>'Huong dan giao do an'!$B$14</f>
        <v>5 SV (vai trò chính): 1 PM/Scrum Master kiêm Integration; 2 BA/PO; 3 UI-UX + Frontend; 4 Backend/API + DevOps; 5 Database + QA/Tester. Mỗi SV có nhiệm vụ phụ và minh chứng cá nhân.</v>
      </c>
      <c r="I1600" t="s">
        <v>22</v>
      </c>
      <c r="J1600" t="s">
        <v>3465</v>
      </c>
      <c r="K1600" t="str">
        <f>IF(I1600="Trung bình",'Huong dan giao do an'!$B$8,IF(I1600="Khá",'Huong dan giao do an'!$B$9,'Huong dan giao do an'!$B$10))</f>
        <v>Tối thiểu 4 actor; 10-14 use case; 8-12 bảng; 3 quy trình lõi; phân quyền chi tiết; 2 báo cáo; tích hợp 1 dịch vụ; &gt;=35 test case; CI/CD hoặc deploy cloud.</v>
      </c>
      <c r="L1600" t="str">
        <f>'Huong dan giao do an'!$B$31</f>
        <v>Bắt buộc: Charter/PMP; SRS + scope/WBS; Gantt/baseline; effort-cost budget; RACI/timesheet; quality-test-defect; communication/minutes; risk register; procurement; change log; closure/lessons learned.</v>
      </c>
      <c r="M1600" t="str">
        <f>'Huong dan giao do an'!$B$33</f>
        <v>Tuần 1: 07.09–13.09.2026; Tuần 2: 14.09–20.09.2026; Tuần 3: 21.09–27.09.2026; Tuần 4: 28.09–04.10.2026; Tuần 5: 05.10–11.10.2026; Tuần 6: 12.10–18.10.2026; Tuần 7: 19.10–25.10.2026; Tuần 8: 26.10–01.11.2026.</v>
      </c>
      <c r="N16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0" s="17" t="str">
        <f t="shared" si="24"/>
        <v>Còn trống</v>
      </c>
    </row>
    <row r="1601" spans="1:16" x14ac:dyDescent="0.3">
      <c r="A1601">
        <v>1600</v>
      </c>
      <c r="B1601" t="s">
        <v>3460</v>
      </c>
      <c r="C1601" t="s">
        <v>3687</v>
      </c>
      <c r="D1601" t="s">
        <v>3688</v>
      </c>
      <c r="E1601" t="s">
        <v>45</v>
      </c>
      <c r="F1601" t="s">
        <v>3482</v>
      </c>
      <c r="G1601" t="s">
        <v>3528</v>
      </c>
      <c r="H1601" t="str">
        <f>'Huong dan giao do an'!$B$14</f>
        <v>5 SV (vai trò chính): 1 PM/Scrum Master kiêm Integration; 2 BA/PO; 3 UI-UX + Frontend; 4 Backend/API + DevOps; 5 Database + QA/Tester. Mỗi SV có nhiệm vụ phụ và minh chứng cá nhân.</v>
      </c>
      <c r="I1601" t="s">
        <v>29</v>
      </c>
      <c r="J1601" t="s">
        <v>3470</v>
      </c>
      <c r="K1601" t="str">
        <f>IF(I1601="Trung bình",'Huong dan giao do an'!$B$8,IF(I1601="Khá",'Huong dan giao do an'!$B$9,'Huong dan giao do an'!$B$10))</f>
        <v>Tối thiểu 5 actor; 14-18 use case; 10-15 bảng; 4 quy trình; tích hợp ngoài/realtime hoặc xử lý nâng cao; 3 báo cáo; &gt;=45 test case; logging, backup và deploy.</v>
      </c>
      <c r="L1601" t="str">
        <f>'Huong dan giao do an'!$B$31</f>
        <v>Bắt buộc: Charter/PMP; SRS + scope/WBS; Gantt/baseline; effort-cost budget; RACI/timesheet; quality-test-defect; communication/minutes; risk register; procurement; change log; closure/lessons learned.</v>
      </c>
      <c r="M1601" t="str">
        <f>'Huong dan giao do an'!$B$33</f>
        <v>Tuần 1: 07.09–13.09.2026; Tuần 2: 14.09–20.09.2026; Tuần 3: 21.09–27.09.2026; Tuần 4: 28.09–04.10.2026; Tuần 5: 05.10–11.10.2026; Tuần 6: 12.10–18.10.2026; Tuần 7: 19.10–25.10.2026; Tuần 8: 26.10–01.11.2026.</v>
      </c>
      <c r="N16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1" s="17" t="str">
        <f t="shared" si="24"/>
        <v>Còn trống</v>
      </c>
    </row>
    <row r="1602" spans="1:16" x14ac:dyDescent="0.3">
      <c r="A1602">
        <v>1601</v>
      </c>
      <c r="B1602" t="s">
        <v>3689</v>
      </c>
      <c r="C1602" t="s">
        <v>3690</v>
      </c>
      <c r="D1602" t="s">
        <v>3691</v>
      </c>
      <c r="E1602" t="s">
        <v>26</v>
      </c>
      <c r="F1602" t="s">
        <v>3692</v>
      </c>
      <c r="G1602" t="s">
        <v>3693</v>
      </c>
      <c r="H1602" t="str">
        <f>'Huong dan giao do an'!$B$14</f>
        <v>5 SV (vai trò chính): 1 PM/Scrum Master kiêm Integration; 2 BA/PO; 3 UI-UX + Frontend; 4 Backend/API + DevOps; 5 Database + QA/Tester. Mỗi SV có nhiệm vụ phụ và minh chứng cá nhân.</v>
      </c>
      <c r="I1602" t="s">
        <v>22</v>
      </c>
      <c r="J1602" t="s">
        <v>3694</v>
      </c>
      <c r="K1602" t="str">
        <f>IF(I1602="Trung bình",'Huong dan giao do an'!$B$8,IF(I1602="Khá",'Huong dan giao do an'!$B$9,'Huong dan giao do an'!$B$10))</f>
        <v>Tối thiểu 4 actor; 10-14 use case; 8-12 bảng; 3 quy trình lõi; phân quyền chi tiết; 2 báo cáo; tích hợp 1 dịch vụ; &gt;=35 test case; CI/CD hoặc deploy cloud.</v>
      </c>
      <c r="L1602" t="str">
        <f>'Huong dan giao do an'!$B$31</f>
        <v>Bắt buộc: Charter/PMP; SRS + scope/WBS; Gantt/baseline; effort-cost budget; RACI/timesheet; quality-test-defect; communication/minutes; risk register; procurement; change log; closure/lessons learned.</v>
      </c>
      <c r="M1602" t="str">
        <f>'Huong dan giao do an'!$B$33</f>
        <v>Tuần 1: 07.09–13.09.2026; Tuần 2: 14.09–20.09.2026; Tuần 3: 21.09–27.09.2026; Tuần 4: 28.09–04.10.2026; Tuần 5: 05.10–11.10.2026; Tuần 6: 12.10–18.10.2026; Tuần 7: 19.10–25.10.2026; Tuần 8: 26.10–01.11.2026.</v>
      </c>
      <c r="N16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2" s="17" t="str">
        <f t="shared" si="24"/>
        <v>Còn trống</v>
      </c>
    </row>
    <row r="1603" spans="1:16" x14ac:dyDescent="0.3">
      <c r="A1603">
        <v>1602</v>
      </c>
      <c r="B1603" t="s">
        <v>3689</v>
      </c>
      <c r="C1603" t="s">
        <v>3695</v>
      </c>
      <c r="D1603" t="s">
        <v>3696</v>
      </c>
      <c r="E1603" t="s">
        <v>33</v>
      </c>
      <c r="F1603" t="s">
        <v>3697</v>
      </c>
      <c r="G1603" t="s">
        <v>3698</v>
      </c>
      <c r="H1603" t="str">
        <f>'Huong dan giao do an'!$B$14</f>
        <v>5 SV (vai trò chính): 1 PM/Scrum Master kiêm Integration; 2 BA/PO; 3 UI-UX + Frontend; 4 Backend/API + DevOps; 5 Database + QA/Tester. Mỗi SV có nhiệm vụ phụ và minh chứng cá nhân.</v>
      </c>
      <c r="I1603" t="s">
        <v>29</v>
      </c>
      <c r="J1603" t="s">
        <v>3699</v>
      </c>
      <c r="K1603" t="str">
        <f>IF(I1603="Trung bình",'Huong dan giao do an'!$B$8,IF(I1603="Khá",'Huong dan giao do an'!$B$9,'Huong dan giao do an'!$B$10))</f>
        <v>Tối thiểu 5 actor; 14-18 use case; 10-15 bảng; 4 quy trình; tích hợp ngoài/realtime hoặc xử lý nâng cao; 3 báo cáo; &gt;=45 test case; logging, backup và deploy.</v>
      </c>
      <c r="L1603" t="str">
        <f>'Huong dan giao do an'!$B$31</f>
        <v>Bắt buộc: Charter/PMP; SRS + scope/WBS; Gantt/baseline; effort-cost budget; RACI/timesheet; quality-test-defect; communication/minutes; risk register; procurement; change log; closure/lessons learned.</v>
      </c>
      <c r="M1603" t="str">
        <f>'Huong dan giao do an'!$B$33</f>
        <v>Tuần 1: 07.09–13.09.2026; Tuần 2: 14.09–20.09.2026; Tuần 3: 21.09–27.09.2026; Tuần 4: 28.09–04.10.2026; Tuần 5: 05.10–11.10.2026; Tuần 6: 12.10–18.10.2026; Tuần 7: 19.10–25.10.2026; Tuần 8: 26.10–01.11.2026.</v>
      </c>
      <c r="N16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3" s="17" t="str">
        <f t="shared" ref="P1603:P1666" si="25">IF(O1603="","Còn trống","Đã đăng ký")</f>
        <v>Còn trống</v>
      </c>
    </row>
    <row r="1604" spans="1:16" x14ac:dyDescent="0.3">
      <c r="A1604">
        <v>1603</v>
      </c>
      <c r="B1604" t="s">
        <v>3689</v>
      </c>
      <c r="C1604" t="s">
        <v>3700</v>
      </c>
      <c r="D1604" t="s">
        <v>3701</v>
      </c>
      <c r="E1604" t="s">
        <v>40</v>
      </c>
      <c r="F1604" t="s">
        <v>3702</v>
      </c>
      <c r="G1604" t="s">
        <v>3703</v>
      </c>
      <c r="H1604" t="str">
        <f>'Huong dan giao do an'!$B$14</f>
        <v>5 SV (vai trò chính): 1 PM/Scrum Master kiêm Integration; 2 BA/PO; 3 UI-UX + Frontend; 4 Backend/API + DevOps; 5 Database + QA/Tester. Mỗi SV có nhiệm vụ phụ và minh chứng cá nhân.</v>
      </c>
      <c r="I1604" t="s">
        <v>36</v>
      </c>
      <c r="J1604" t="s">
        <v>23</v>
      </c>
      <c r="K1604" t="str">
        <f>IF(I1604="Trung bình",'Huong dan giao do an'!$B$8,IF(I1604="Khá",'Huong dan giao do an'!$B$9,'Huong dan giao do an'!$B$10))</f>
        <v>Tối thiểu 3 actor; 8-10 use case; 6-8 bảng dữ liệu; 2 quy trình lõi; đăng nhập/RBAC; 1 dashboard; 1 báo cáo; &gt;=25 test case; triển khai bản demo.</v>
      </c>
      <c r="L1604" t="str">
        <f>'Huong dan giao do an'!$B$31</f>
        <v>Bắt buộc: Charter/PMP; SRS + scope/WBS; Gantt/baseline; effort-cost budget; RACI/timesheet; quality-test-defect; communication/minutes; risk register; procurement; change log; closure/lessons learned.</v>
      </c>
      <c r="M1604" t="str">
        <f>'Huong dan giao do an'!$B$33</f>
        <v>Tuần 1: 07.09–13.09.2026; Tuần 2: 14.09–20.09.2026; Tuần 3: 21.09–27.09.2026; Tuần 4: 28.09–04.10.2026; Tuần 5: 05.10–11.10.2026; Tuần 6: 12.10–18.10.2026; Tuần 7: 19.10–25.10.2026; Tuần 8: 26.10–01.11.2026.</v>
      </c>
      <c r="N16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4" s="17" t="str">
        <f t="shared" si="25"/>
        <v>Còn trống</v>
      </c>
    </row>
    <row r="1605" spans="1:16" x14ac:dyDescent="0.3">
      <c r="A1605">
        <v>1604</v>
      </c>
      <c r="B1605" t="s">
        <v>3689</v>
      </c>
      <c r="C1605" t="s">
        <v>3704</v>
      </c>
      <c r="D1605" t="s">
        <v>3705</v>
      </c>
      <c r="E1605" t="s">
        <v>45</v>
      </c>
      <c r="F1605" t="s">
        <v>3706</v>
      </c>
      <c r="G1605" t="s">
        <v>3707</v>
      </c>
      <c r="H1605" t="str">
        <f>'Huong dan giao do an'!$B$14</f>
        <v>5 SV (vai trò chính): 1 PM/Scrum Master kiêm Integration; 2 BA/PO; 3 UI-UX + Frontend; 4 Backend/API + DevOps; 5 Database + QA/Tester. Mỗi SV có nhiệm vụ phụ và minh chứng cá nhân.</v>
      </c>
      <c r="I1605" t="s">
        <v>22</v>
      </c>
      <c r="J1605" t="s">
        <v>3694</v>
      </c>
      <c r="K1605" t="str">
        <f>IF(I1605="Trung bình",'Huong dan giao do an'!$B$8,IF(I1605="Khá",'Huong dan giao do an'!$B$9,'Huong dan giao do an'!$B$10))</f>
        <v>Tối thiểu 4 actor; 10-14 use case; 8-12 bảng; 3 quy trình lõi; phân quyền chi tiết; 2 báo cáo; tích hợp 1 dịch vụ; &gt;=35 test case; CI/CD hoặc deploy cloud.</v>
      </c>
      <c r="L1605" t="str">
        <f>'Huong dan giao do an'!$B$31</f>
        <v>Bắt buộc: Charter/PMP; SRS + scope/WBS; Gantt/baseline; effort-cost budget; RACI/timesheet; quality-test-defect; communication/minutes; risk register; procurement; change log; closure/lessons learned.</v>
      </c>
      <c r="M1605" t="str">
        <f>'Huong dan giao do an'!$B$33</f>
        <v>Tuần 1: 07.09–13.09.2026; Tuần 2: 14.09–20.09.2026; Tuần 3: 21.09–27.09.2026; Tuần 4: 28.09–04.10.2026; Tuần 5: 05.10–11.10.2026; Tuần 6: 12.10–18.10.2026; Tuần 7: 19.10–25.10.2026; Tuần 8: 26.10–01.11.2026.</v>
      </c>
      <c r="N16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5" s="17" t="str">
        <f t="shared" si="25"/>
        <v>Còn trống</v>
      </c>
    </row>
    <row r="1606" spans="1:16" x14ac:dyDescent="0.3">
      <c r="A1606">
        <v>1605</v>
      </c>
      <c r="B1606" t="s">
        <v>3689</v>
      </c>
      <c r="C1606" t="s">
        <v>3708</v>
      </c>
      <c r="D1606" t="s">
        <v>3709</v>
      </c>
      <c r="E1606" t="s">
        <v>19</v>
      </c>
      <c r="F1606" t="s">
        <v>3710</v>
      </c>
      <c r="G1606" t="s">
        <v>3711</v>
      </c>
      <c r="H1606" t="str">
        <f>'Huong dan giao do an'!$B$14</f>
        <v>5 SV (vai trò chính): 1 PM/Scrum Master kiêm Integration; 2 BA/PO; 3 UI-UX + Frontend; 4 Backend/API + DevOps; 5 Database + QA/Tester. Mỗi SV có nhiệm vụ phụ và minh chứng cá nhân.</v>
      </c>
      <c r="I1606" t="s">
        <v>29</v>
      </c>
      <c r="J1606" t="s">
        <v>3699</v>
      </c>
      <c r="K1606" t="str">
        <f>IF(I1606="Trung bình",'Huong dan giao do an'!$B$8,IF(I1606="Khá",'Huong dan giao do an'!$B$9,'Huong dan giao do an'!$B$10))</f>
        <v>Tối thiểu 5 actor; 14-18 use case; 10-15 bảng; 4 quy trình; tích hợp ngoài/realtime hoặc xử lý nâng cao; 3 báo cáo; &gt;=45 test case; logging, backup và deploy.</v>
      </c>
      <c r="L1606" t="str">
        <f>'Huong dan giao do an'!$B$31</f>
        <v>Bắt buộc: Charter/PMP; SRS + scope/WBS; Gantt/baseline; effort-cost budget; RACI/timesheet; quality-test-defect; communication/minutes; risk register; procurement; change log; closure/lessons learned.</v>
      </c>
      <c r="M1606" t="str">
        <f>'Huong dan giao do an'!$B$33</f>
        <v>Tuần 1: 07.09–13.09.2026; Tuần 2: 14.09–20.09.2026; Tuần 3: 21.09–27.09.2026; Tuần 4: 28.09–04.10.2026; Tuần 5: 05.10–11.10.2026; Tuần 6: 12.10–18.10.2026; Tuần 7: 19.10–25.10.2026; Tuần 8: 26.10–01.11.2026.</v>
      </c>
      <c r="N16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6" s="17" t="str">
        <f t="shared" si="25"/>
        <v>Còn trống</v>
      </c>
    </row>
    <row r="1607" spans="1:16" x14ac:dyDescent="0.3">
      <c r="A1607">
        <v>1606</v>
      </c>
      <c r="B1607" t="s">
        <v>3689</v>
      </c>
      <c r="C1607" t="s">
        <v>3712</v>
      </c>
      <c r="D1607" t="s">
        <v>3713</v>
      </c>
      <c r="E1607" t="s">
        <v>26</v>
      </c>
      <c r="F1607" t="s">
        <v>3692</v>
      </c>
      <c r="G1607" t="s">
        <v>3714</v>
      </c>
      <c r="H1607" t="str">
        <f>'Huong dan giao do an'!$B$14</f>
        <v>5 SV (vai trò chính): 1 PM/Scrum Master kiêm Integration; 2 BA/PO; 3 UI-UX + Frontend; 4 Backend/API + DevOps; 5 Database + QA/Tester. Mỗi SV có nhiệm vụ phụ và minh chứng cá nhân.</v>
      </c>
      <c r="I1607" t="s">
        <v>36</v>
      </c>
      <c r="J1607" t="s">
        <v>23</v>
      </c>
      <c r="K1607" t="str">
        <f>IF(I1607="Trung bình",'Huong dan giao do an'!$B$8,IF(I1607="Khá",'Huong dan giao do an'!$B$9,'Huong dan giao do an'!$B$10))</f>
        <v>Tối thiểu 3 actor; 8-10 use case; 6-8 bảng dữ liệu; 2 quy trình lõi; đăng nhập/RBAC; 1 dashboard; 1 báo cáo; &gt;=25 test case; triển khai bản demo.</v>
      </c>
      <c r="L1607" t="str">
        <f>'Huong dan giao do an'!$B$31</f>
        <v>Bắt buộc: Charter/PMP; SRS + scope/WBS; Gantt/baseline; effort-cost budget; RACI/timesheet; quality-test-defect; communication/minutes; risk register; procurement; change log; closure/lessons learned.</v>
      </c>
      <c r="M1607" t="str">
        <f>'Huong dan giao do an'!$B$33</f>
        <v>Tuần 1: 07.09–13.09.2026; Tuần 2: 14.09–20.09.2026; Tuần 3: 21.09–27.09.2026; Tuần 4: 28.09–04.10.2026; Tuần 5: 05.10–11.10.2026; Tuần 6: 12.10–18.10.2026; Tuần 7: 19.10–25.10.2026; Tuần 8: 26.10–01.11.2026.</v>
      </c>
      <c r="N16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7" s="17" t="str">
        <f t="shared" si="25"/>
        <v>Còn trống</v>
      </c>
    </row>
    <row r="1608" spans="1:16" x14ac:dyDescent="0.3">
      <c r="A1608">
        <v>1607</v>
      </c>
      <c r="B1608" t="s">
        <v>3689</v>
      </c>
      <c r="C1608" t="s">
        <v>3715</v>
      </c>
      <c r="D1608" t="s">
        <v>3716</v>
      </c>
      <c r="E1608" t="s">
        <v>33</v>
      </c>
      <c r="F1608" t="s">
        <v>3697</v>
      </c>
      <c r="G1608" t="s">
        <v>3717</v>
      </c>
      <c r="H1608" t="str">
        <f>'Huong dan giao do an'!$B$14</f>
        <v>5 SV (vai trò chính): 1 PM/Scrum Master kiêm Integration; 2 BA/PO; 3 UI-UX + Frontend; 4 Backend/API + DevOps; 5 Database + QA/Tester. Mỗi SV có nhiệm vụ phụ và minh chứng cá nhân.</v>
      </c>
      <c r="I1608" t="s">
        <v>22</v>
      </c>
      <c r="J1608" t="s">
        <v>3694</v>
      </c>
      <c r="K1608" t="str">
        <f>IF(I1608="Trung bình",'Huong dan giao do an'!$B$8,IF(I1608="Khá",'Huong dan giao do an'!$B$9,'Huong dan giao do an'!$B$10))</f>
        <v>Tối thiểu 4 actor; 10-14 use case; 8-12 bảng; 3 quy trình lõi; phân quyền chi tiết; 2 báo cáo; tích hợp 1 dịch vụ; &gt;=35 test case; CI/CD hoặc deploy cloud.</v>
      </c>
      <c r="L1608" t="str">
        <f>'Huong dan giao do an'!$B$31</f>
        <v>Bắt buộc: Charter/PMP; SRS + scope/WBS; Gantt/baseline; effort-cost budget; RACI/timesheet; quality-test-defect; communication/minutes; risk register; procurement; change log; closure/lessons learned.</v>
      </c>
      <c r="M1608" t="str">
        <f>'Huong dan giao do an'!$B$33</f>
        <v>Tuần 1: 07.09–13.09.2026; Tuần 2: 14.09–20.09.2026; Tuần 3: 21.09–27.09.2026; Tuần 4: 28.09–04.10.2026; Tuần 5: 05.10–11.10.2026; Tuần 6: 12.10–18.10.2026; Tuần 7: 19.10–25.10.2026; Tuần 8: 26.10–01.11.2026.</v>
      </c>
      <c r="N16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8" s="17" t="str">
        <f t="shared" si="25"/>
        <v>Còn trống</v>
      </c>
    </row>
    <row r="1609" spans="1:16" x14ac:dyDescent="0.3">
      <c r="A1609">
        <v>1608</v>
      </c>
      <c r="B1609" t="s">
        <v>3689</v>
      </c>
      <c r="C1609" t="s">
        <v>3718</v>
      </c>
      <c r="D1609" t="s">
        <v>3719</v>
      </c>
      <c r="E1609" t="s">
        <v>40</v>
      </c>
      <c r="F1609" t="s">
        <v>3702</v>
      </c>
      <c r="G1609" t="s">
        <v>3720</v>
      </c>
      <c r="H1609" t="str">
        <f>'Huong dan giao do an'!$B$14</f>
        <v>5 SV (vai trò chính): 1 PM/Scrum Master kiêm Integration; 2 BA/PO; 3 UI-UX + Frontend; 4 Backend/API + DevOps; 5 Database + QA/Tester. Mỗi SV có nhiệm vụ phụ và minh chứng cá nhân.</v>
      </c>
      <c r="I1609" t="s">
        <v>29</v>
      </c>
      <c r="J1609" t="s">
        <v>3699</v>
      </c>
      <c r="K1609" t="str">
        <f>IF(I1609="Trung bình",'Huong dan giao do an'!$B$8,IF(I1609="Khá",'Huong dan giao do an'!$B$9,'Huong dan giao do an'!$B$10))</f>
        <v>Tối thiểu 5 actor; 14-18 use case; 10-15 bảng; 4 quy trình; tích hợp ngoài/realtime hoặc xử lý nâng cao; 3 báo cáo; &gt;=45 test case; logging, backup và deploy.</v>
      </c>
      <c r="L1609" t="str">
        <f>'Huong dan giao do an'!$B$31</f>
        <v>Bắt buộc: Charter/PMP; SRS + scope/WBS; Gantt/baseline; effort-cost budget; RACI/timesheet; quality-test-defect; communication/minutes; risk register; procurement; change log; closure/lessons learned.</v>
      </c>
      <c r="M1609" t="str">
        <f>'Huong dan giao do an'!$B$33</f>
        <v>Tuần 1: 07.09–13.09.2026; Tuần 2: 14.09–20.09.2026; Tuần 3: 21.09–27.09.2026; Tuần 4: 28.09–04.10.2026; Tuần 5: 05.10–11.10.2026; Tuần 6: 12.10–18.10.2026; Tuần 7: 19.10–25.10.2026; Tuần 8: 26.10–01.11.2026.</v>
      </c>
      <c r="N16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09" s="17" t="str">
        <f t="shared" si="25"/>
        <v>Còn trống</v>
      </c>
    </row>
    <row r="1610" spans="1:16" x14ac:dyDescent="0.3">
      <c r="A1610">
        <v>1609</v>
      </c>
      <c r="B1610" t="s">
        <v>3689</v>
      </c>
      <c r="C1610" t="s">
        <v>3721</v>
      </c>
      <c r="D1610" t="s">
        <v>3722</v>
      </c>
      <c r="E1610" t="s">
        <v>45</v>
      </c>
      <c r="F1610" t="s">
        <v>3706</v>
      </c>
      <c r="G1610" t="s">
        <v>3723</v>
      </c>
      <c r="H1610" t="str">
        <f>'Huong dan giao do an'!$B$14</f>
        <v>5 SV (vai trò chính): 1 PM/Scrum Master kiêm Integration; 2 BA/PO; 3 UI-UX + Frontend; 4 Backend/API + DevOps; 5 Database + QA/Tester. Mỗi SV có nhiệm vụ phụ và minh chứng cá nhân.</v>
      </c>
      <c r="I1610" t="s">
        <v>36</v>
      </c>
      <c r="J1610" t="s">
        <v>23</v>
      </c>
      <c r="K1610" t="str">
        <f>IF(I1610="Trung bình",'Huong dan giao do an'!$B$8,IF(I1610="Khá",'Huong dan giao do an'!$B$9,'Huong dan giao do an'!$B$10))</f>
        <v>Tối thiểu 3 actor; 8-10 use case; 6-8 bảng dữ liệu; 2 quy trình lõi; đăng nhập/RBAC; 1 dashboard; 1 báo cáo; &gt;=25 test case; triển khai bản demo.</v>
      </c>
      <c r="L1610" t="str">
        <f>'Huong dan giao do an'!$B$31</f>
        <v>Bắt buộc: Charter/PMP; SRS + scope/WBS; Gantt/baseline; effort-cost budget; RACI/timesheet; quality-test-defect; communication/minutes; risk register; procurement; change log; closure/lessons learned.</v>
      </c>
      <c r="M1610" t="str">
        <f>'Huong dan giao do an'!$B$33</f>
        <v>Tuần 1: 07.09–13.09.2026; Tuần 2: 14.09–20.09.2026; Tuần 3: 21.09–27.09.2026; Tuần 4: 28.09–04.10.2026; Tuần 5: 05.10–11.10.2026; Tuần 6: 12.10–18.10.2026; Tuần 7: 19.10–25.10.2026; Tuần 8: 26.10–01.11.2026.</v>
      </c>
      <c r="N16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0" s="17" t="str">
        <f t="shared" si="25"/>
        <v>Còn trống</v>
      </c>
    </row>
    <row r="1611" spans="1:16" x14ac:dyDescent="0.3">
      <c r="A1611">
        <v>1610</v>
      </c>
      <c r="B1611" t="s">
        <v>3689</v>
      </c>
      <c r="C1611" t="s">
        <v>3724</v>
      </c>
      <c r="D1611" t="s">
        <v>3725</v>
      </c>
      <c r="E1611" t="s">
        <v>19</v>
      </c>
      <c r="F1611" t="s">
        <v>3710</v>
      </c>
      <c r="G1611" t="s">
        <v>3726</v>
      </c>
      <c r="H1611" t="str">
        <f>'Huong dan giao do an'!$B$14</f>
        <v>5 SV (vai trò chính): 1 PM/Scrum Master kiêm Integration; 2 BA/PO; 3 UI-UX + Frontend; 4 Backend/API + DevOps; 5 Database + QA/Tester. Mỗi SV có nhiệm vụ phụ và minh chứng cá nhân.</v>
      </c>
      <c r="I1611" t="s">
        <v>22</v>
      </c>
      <c r="J1611" t="s">
        <v>3694</v>
      </c>
      <c r="K1611" t="str">
        <f>IF(I1611="Trung bình",'Huong dan giao do an'!$B$8,IF(I1611="Khá",'Huong dan giao do an'!$B$9,'Huong dan giao do an'!$B$10))</f>
        <v>Tối thiểu 4 actor; 10-14 use case; 8-12 bảng; 3 quy trình lõi; phân quyền chi tiết; 2 báo cáo; tích hợp 1 dịch vụ; &gt;=35 test case; CI/CD hoặc deploy cloud.</v>
      </c>
      <c r="L1611" t="str">
        <f>'Huong dan giao do an'!$B$31</f>
        <v>Bắt buộc: Charter/PMP; SRS + scope/WBS; Gantt/baseline; effort-cost budget; RACI/timesheet; quality-test-defect; communication/minutes; risk register; procurement; change log; closure/lessons learned.</v>
      </c>
      <c r="M1611" t="str">
        <f>'Huong dan giao do an'!$B$33</f>
        <v>Tuần 1: 07.09–13.09.2026; Tuần 2: 14.09–20.09.2026; Tuần 3: 21.09–27.09.2026; Tuần 4: 28.09–04.10.2026; Tuần 5: 05.10–11.10.2026; Tuần 6: 12.10–18.10.2026; Tuần 7: 19.10–25.10.2026; Tuần 8: 26.10–01.11.2026.</v>
      </c>
      <c r="N16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1" s="17" t="str">
        <f t="shared" si="25"/>
        <v>Còn trống</v>
      </c>
    </row>
    <row r="1612" spans="1:16" x14ac:dyDescent="0.3">
      <c r="A1612">
        <v>1611</v>
      </c>
      <c r="B1612" t="s">
        <v>3689</v>
      </c>
      <c r="C1612" t="s">
        <v>3727</v>
      </c>
      <c r="D1612" t="s">
        <v>3728</v>
      </c>
      <c r="E1612" t="s">
        <v>26</v>
      </c>
      <c r="F1612" t="s">
        <v>3692</v>
      </c>
      <c r="G1612" t="s">
        <v>3729</v>
      </c>
      <c r="H1612" t="str">
        <f>'Huong dan giao do an'!$B$14</f>
        <v>5 SV (vai trò chính): 1 PM/Scrum Master kiêm Integration; 2 BA/PO; 3 UI-UX + Frontend; 4 Backend/API + DevOps; 5 Database + QA/Tester. Mỗi SV có nhiệm vụ phụ và minh chứng cá nhân.</v>
      </c>
      <c r="I1612" t="s">
        <v>29</v>
      </c>
      <c r="J1612" t="s">
        <v>3699</v>
      </c>
      <c r="K1612" t="str">
        <f>IF(I1612="Trung bình",'Huong dan giao do an'!$B$8,IF(I1612="Khá",'Huong dan giao do an'!$B$9,'Huong dan giao do an'!$B$10))</f>
        <v>Tối thiểu 5 actor; 14-18 use case; 10-15 bảng; 4 quy trình; tích hợp ngoài/realtime hoặc xử lý nâng cao; 3 báo cáo; &gt;=45 test case; logging, backup và deploy.</v>
      </c>
      <c r="L1612" t="str">
        <f>'Huong dan giao do an'!$B$31</f>
        <v>Bắt buộc: Charter/PMP; SRS + scope/WBS; Gantt/baseline; effort-cost budget; RACI/timesheet; quality-test-defect; communication/minutes; risk register; procurement; change log; closure/lessons learned.</v>
      </c>
      <c r="M1612" t="str">
        <f>'Huong dan giao do an'!$B$33</f>
        <v>Tuần 1: 07.09–13.09.2026; Tuần 2: 14.09–20.09.2026; Tuần 3: 21.09–27.09.2026; Tuần 4: 28.09–04.10.2026; Tuần 5: 05.10–11.10.2026; Tuần 6: 12.10–18.10.2026; Tuần 7: 19.10–25.10.2026; Tuần 8: 26.10–01.11.2026.</v>
      </c>
      <c r="N16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2" s="17" t="str">
        <f t="shared" si="25"/>
        <v>Còn trống</v>
      </c>
    </row>
    <row r="1613" spans="1:16" x14ac:dyDescent="0.3">
      <c r="A1613">
        <v>1612</v>
      </c>
      <c r="B1613" t="s">
        <v>3689</v>
      </c>
      <c r="C1613" t="s">
        <v>3730</v>
      </c>
      <c r="D1613" t="s">
        <v>3731</v>
      </c>
      <c r="E1613" t="s">
        <v>33</v>
      </c>
      <c r="F1613" t="s">
        <v>3697</v>
      </c>
      <c r="G1613" t="s">
        <v>3732</v>
      </c>
      <c r="H1613" t="str">
        <f>'Huong dan giao do an'!$B$14</f>
        <v>5 SV (vai trò chính): 1 PM/Scrum Master kiêm Integration; 2 BA/PO; 3 UI-UX + Frontend; 4 Backend/API + DevOps; 5 Database + QA/Tester. Mỗi SV có nhiệm vụ phụ và minh chứng cá nhân.</v>
      </c>
      <c r="I1613" t="s">
        <v>36</v>
      </c>
      <c r="J1613" t="s">
        <v>23</v>
      </c>
      <c r="K1613" t="str">
        <f>IF(I1613="Trung bình",'Huong dan giao do an'!$B$8,IF(I1613="Khá",'Huong dan giao do an'!$B$9,'Huong dan giao do an'!$B$10))</f>
        <v>Tối thiểu 3 actor; 8-10 use case; 6-8 bảng dữ liệu; 2 quy trình lõi; đăng nhập/RBAC; 1 dashboard; 1 báo cáo; &gt;=25 test case; triển khai bản demo.</v>
      </c>
      <c r="L1613" t="str">
        <f>'Huong dan giao do an'!$B$31</f>
        <v>Bắt buộc: Charter/PMP; SRS + scope/WBS; Gantt/baseline; effort-cost budget; RACI/timesheet; quality-test-defect; communication/minutes; risk register; procurement; change log; closure/lessons learned.</v>
      </c>
      <c r="M1613" t="str">
        <f>'Huong dan giao do an'!$B$33</f>
        <v>Tuần 1: 07.09–13.09.2026; Tuần 2: 14.09–20.09.2026; Tuần 3: 21.09–27.09.2026; Tuần 4: 28.09–04.10.2026; Tuần 5: 05.10–11.10.2026; Tuần 6: 12.10–18.10.2026; Tuần 7: 19.10–25.10.2026; Tuần 8: 26.10–01.11.2026.</v>
      </c>
      <c r="N16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3" s="17" t="str">
        <f t="shared" si="25"/>
        <v>Còn trống</v>
      </c>
    </row>
    <row r="1614" spans="1:16" x14ac:dyDescent="0.3">
      <c r="A1614">
        <v>1613</v>
      </c>
      <c r="B1614" t="s">
        <v>3689</v>
      </c>
      <c r="C1614" t="s">
        <v>3733</v>
      </c>
      <c r="D1614" t="s">
        <v>3734</v>
      </c>
      <c r="E1614" t="s">
        <v>40</v>
      </c>
      <c r="F1614" t="s">
        <v>3702</v>
      </c>
      <c r="G1614" t="s">
        <v>3735</v>
      </c>
      <c r="H1614" t="str">
        <f>'Huong dan giao do an'!$B$14</f>
        <v>5 SV (vai trò chính): 1 PM/Scrum Master kiêm Integration; 2 BA/PO; 3 UI-UX + Frontend; 4 Backend/API + DevOps; 5 Database + QA/Tester. Mỗi SV có nhiệm vụ phụ và minh chứng cá nhân.</v>
      </c>
      <c r="I1614" t="s">
        <v>22</v>
      </c>
      <c r="J1614" t="s">
        <v>3694</v>
      </c>
      <c r="K1614" t="str">
        <f>IF(I1614="Trung bình",'Huong dan giao do an'!$B$8,IF(I1614="Khá",'Huong dan giao do an'!$B$9,'Huong dan giao do an'!$B$10))</f>
        <v>Tối thiểu 4 actor; 10-14 use case; 8-12 bảng; 3 quy trình lõi; phân quyền chi tiết; 2 báo cáo; tích hợp 1 dịch vụ; &gt;=35 test case; CI/CD hoặc deploy cloud.</v>
      </c>
      <c r="L1614" t="str">
        <f>'Huong dan giao do an'!$B$31</f>
        <v>Bắt buộc: Charter/PMP; SRS + scope/WBS; Gantt/baseline; effort-cost budget; RACI/timesheet; quality-test-defect; communication/minutes; risk register; procurement; change log; closure/lessons learned.</v>
      </c>
      <c r="M1614" t="str">
        <f>'Huong dan giao do an'!$B$33</f>
        <v>Tuần 1: 07.09–13.09.2026; Tuần 2: 14.09–20.09.2026; Tuần 3: 21.09–27.09.2026; Tuần 4: 28.09–04.10.2026; Tuần 5: 05.10–11.10.2026; Tuần 6: 12.10–18.10.2026; Tuần 7: 19.10–25.10.2026; Tuần 8: 26.10–01.11.2026.</v>
      </c>
      <c r="N16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4" s="17" t="str">
        <f t="shared" si="25"/>
        <v>Còn trống</v>
      </c>
    </row>
    <row r="1615" spans="1:16" x14ac:dyDescent="0.3">
      <c r="A1615">
        <v>1614</v>
      </c>
      <c r="B1615" t="s">
        <v>3689</v>
      </c>
      <c r="C1615" t="s">
        <v>3736</v>
      </c>
      <c r="D1615" t="s">
        <v>3737</v>
      </c>
      <c r="E1615" t="s">
        <v>45</v>
      </c>
      <c r="F1615" t="s">
        <v>3706</v>
      </c>
      <c r="G1615" t="s">
        <v>3738</v>
      </c>
      <c r="H1615" t="str">
        <f>'Huong dan giao do an'!$B$14</f>
        <v>5 SV (vai trò chính): 1 PM/Scrum Master kiêm Integration; 2 BA/PO; 3 UI-UX + Frontend; 4 Backend/API + DevOps; 5 Database + QA/Tester. Mỗi SV có nhiệm vụ phụ và minh chứng cá nhân.</v>
      </c>
      <c r="I1615" t="s">
        <v>29</v>
      </c>
      <c r="J1615" t="s">
        <v>3699</v>
      </c>
      <c r="K1615" t="str">
        <f>IF(I1615="Trung bình",'Huong dan giao do an'!$B$8,IF(I1615="Khá",'Huong dan giao do an'!$B$9,'Huong dan giao do an'!$B$10))</f>
        <v>Tối thiểu 5 actor; 14-18 use case; 10-15 bảng; 4 quy trình; tích hợp ngoài/realtime hoặc xử lý nâng cao; 3 báo cáo; &gt;=45 test case; logging, backup và deploy.</v>
      </c>
      <c r="L1615" t="str">
        <f>'Huong dan giao do an'!$B$31</f>
        <v>Bắt buộc: Charter/PMP; SRS + scope/WBS; Gantt/baseline; effort-cost budget; RACI/timesheet; quality-test-defect; communication/minutes; risk register; procurement; change log; closure/lessons learned.</v>
      </c>
      <c r="M1615" t="str">
        <f>'Huong dan giao do an'!$B$33</f>
        <v>Tuần 1: 07.09–13.09.2026; Tuần 2: 14.09–20.09.2026; Tuần 3: 21.09–27.09.2026; Tuần 4: 28.09–04.10.2026; Tuần 5: 05.10–11.10.2026; Tuần 6: 12.10–18.10.2026; Tuần 7: 19.10–25.10.2026; Tuần 8: 26.10–01.11.2026.</v>
      </c>
      <c r="N16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5" s="17" t="str">
        <f t="shared" si="25"/>
        <v>Còn trống</v>
      </c>
    </row>
    <row r="1616" spans="1:16" x14ac:dyDescent="0.3">
      <c r="A1616">
        <v>1615</v>
      </c>
      <c r="B1616" t="s">
        <v>3689</v>
      </c>
      <c r="C1616" t="s">
        <v>3739</v>
      </c>
      <c r="D1616" t="s">
        <v>3740</v>
      </c>
      <c r="E1616" t="s">
        <v>19</v>
      </c>
      <c r="F1616" t="s">
        <v>3710</v>
      </c>
      <c r="G1616" t="s">
        <v>3741</v>
      </c>
      <c r="H1616" t="str">
        <f>'Huong dan giao do an'!$B$14</f>
        <v>5 SV (vai trò chính): 1 PM/Scrum Master kiêm Integration; 2 BA/PO; 3 UI-UX + Frontend; 4 Backend/API + DevOps; 5 Database + QA/Tester. Mỗi SV có nhiệm vụ phụ và minh chứng cá nhân.</v>
      </c>
      <c r="I1616" t="s">
        <v>36</v>
      </c>
      <c r="J1616" t="s">
        <v>23</v>
      </c>
      <c r="K1616" t="str">
        <f>IF(I1616="Trung bình",'Huong dan giao do an'!$B$8,IF(I1616="Khá",'Huong dan giao do an'!$B$9,'Huong dan giao do an'!$B$10))</f>
        <v>Tối thiểu 3 actor; 8-10 use case; 6-8 bảng dữ liệu; 2 quy trình lõi; đăng nhập/RBAC; 1 dashboard; 1 báo cáo; &gt;=25 test case; triển khai bản demo.</v>
      </c>
      <c r="L1616" t="str">
        <f>'Huong dan giao do an'!$B$31</f>
        <v>Bắt buộc: Charter/PMP; SRS + scope/WBS; Gantt/baseline; effort-cost budget; RACI/timesheet; quality-test-defect; communication/minutes; risk register; procurement; change log; closure/lessons learned.</v>
      </c>
      <c r="M1616" t="str">
        <f>'Huong dan giao do an'!$B$33</f>
        <v>Tuần 1: 07.09–13.09.2026; Tuần 2: 14.09–20.09.2026; Tuần 3: 21.09–27.09.2026; Tuần 4: 28.09–04.10.2026; Tuần 5: 05.10–11.10.2026; Tuần 6: 12.10–18.10.2026; Tuần 7: 19.10–25.10.2026; Tuần 8: 26.10–01.11.2026.</v>
      </c>
      <c r="N16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6" s="17" t="str">
        <f t="shared" si="25"/>
        <v>Còn trống</v>
      </c>
    </row>
    <row r="1617" spans="1:16" x14ac:dyDescent="0.3">
      <c r="A1617">
        <v>1616</v>
      </c>
      <c r="B1617" t="s">
        <v>3689</v>
      </c>
      <c r="C1617" t="s">
        <v>3742</v>
      </c>
      <c r="D1617" t="s">
        <v>3743</v>
      </c>
      <c r="E1617" t="s">
        <v>26</v>
      </c>
      <c r="F1617" t="s">
        <v>3692</v>
      </c>
      <c r="G1617" t="s">
        <v>3744</v>
      </c>
      <c r="H1617" t="str">
        <f>'Huong dan giao do an'!$B$14</f>
        <v>5 SV (vai trò chính): 1 PM/Scrum Master kiêm Integration; 2 BA/PO; 3 UI-UX + Frontend; 4 Backend/API + DevOps; 5 Database + QA/Tester. Mỗi SV có nhiệm vụ phụ và minh chứng cá nhân.</v>
      </c>
      <c r="I1617" t="s">
        <v>22</v>
      </c>
      <c r="J1617" t="s">
        <v>3694</v>
      </c>
      <c r="K1617" t="str">
        <f>IF(I1617="Trung bình",'Huong dan giao do an'!$B$8,IF(I1617="Khá",'Huong dan giao do an'!$B$9,'Huong dan giao do an'!$B$10))</f>
        <v>Tối thiểu 4 actor; 10-14 use case; 8-12 bảng; 3 quy trình lõi; phân quyền chi tiết; 2 báo cáo; tích hợp 1 dịch vụ; &gt;=35 test case; CI/CD hoặc deploy cloud.</v>
      </c>
      <c r="L1617" t="str">
        <f>'Huong dan giao do an'!$B$31</f>
        <v>Bắt buộc: Charter/PMP; SRS + scope/WBS; Gantt/baseline; effort-cost budget; RACI/timesheet; quality-test-defect; communication/minutes; risk register; procurement; change log; closure/lessons learned.</v>
      </c>
      <c r="M1617" t="str">
        <f>'Huong dan giao do an'!$B$33</f>
        <v>Tuần 1: 07.09–13.09.2026; Tuần 2: 14.09–20.09.2026; Tuần 3: 21.09–27.09.2026; Tuần 4: 28.09–04.10.2026; Tuần 5: 05.10–11.10.2026; Tuần 6: 12.10–18.10.2026; Tuần 7: 19.10–25.10.2026; Tuần 8: 26.10–01.11.2026.</v>
      </c>
      <c r="N16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7" s="17" t="str">
        <f t="shared" si="25"/>
        <v>Còn trống</v>
      </c>
    </row>
    <row r="1618" spans="1:16" x14ac:dyDescent="0.3">
      <c r="A1618">
        <v>1617</v>
      </c>
      <c r="B1618" t="s">
        <v>3689</v>
      </c>
      <c r="C1618" t="s">
        <v>3745</v>
      </c>
      <c r="D1618" t="s">
        <v>3746</v>
      </c>
      <c r="E1618" t="s">
        <v>33</v>
      </c>
      <c r="F1618" t="s">
        <v>3697</v>
      </c>
      <c r="G1618" t="s">
        <v>3747</v>
      </c>
      <c r="H1618" t="str">
        <f>'Huong dan giao do an'!$B$14</f>
        <v>5 SV (vai trò chính): 1 PM/Scrum Master kiêm Integration; 2 BA/PO; 3 UI-UX + Frontend; 4 Backend/API + DevOps; 5 Database + QA/Tester. Mỗi SV có nhiệm vụ phụ và minh chứng cá nhân.</v>
      </c>
      <c r="I1618" t="s">
        <v>29</v>
      </c>
      <c r="J1618" t="s">
        <v>3699</v>
      </c>
      <c r="K1618" t="str">
        <f>IF(I1618="Trung bình",'Huong dan giao do an'!$B$8,IF(I1618="Khá",'Huong dan giao do an'!$B$9,'Huong dan giao do an'!$B$10))</f>
        <v>Tối thiểu 5 actor; 14-18 use case; 10-15 bảng; 4 quy trình; tích hợp ngoài/realtime hoặc xử lý nâng cao; 3 báo cáo; &gt;=45 test case; logging, backup và deploy.</v>
      </c>
      <c r="L1618" t="str">
        <f>'Huong dan giao do an'!$B$31</f>
        <v>Bắt buộc: Charter/PMP; SRS + scope/WBS; Gantt/baseline; effort-cost budget; RACI/timesheet; quality-test-defect; communication/minutes; risk register; procurement; change log; closure/lessons learned.</v>
      </c>
      <c r="M1618" t="str">
        <f>'Huong dan giao do an'!$B$33</f>
        <v>Tuần 1: 07.09–13.09.2026; Tuần 2: 14.09–20.09.2026; Tuần 3: 21.09–27.09.2026; Tuần 4: 28.09–04.10.2026; Tuần 5: 05.10–11.10.2026; Tuần 6: 12.10–18.10.2026; Tuần 7: 19.10–25.10.2026; Tuần 8: 26.10–01.11.2026.</v>
      </c>
      <c r="N16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8" s="17" t="str">
        <f t="shared" si="25"/>
        <v>Còn trống</v>
      </c>
    </row>
    <row r="1619" spans="1:16" x14ac:dyDescent="0.3">
      <c r="A1619">
        <v>1618</v>
      </c>
      <c r="B1619" t="s">
        <v>3689</v>
      </c>
      <c r="C1619" t="s">
        <v>3748</v>
      </c>
      <c r="D1619" t="s">
        <v>3749</v>
      </c>
      <c r="E1619" t="s">
        <v>40</v>
      </c>
      <c r="F1619" t="s">
        <v>3702</v>
      </c>
      <c r="G1619" t="s">
        <v>3750</v>
      </c>
      <c r="H1619" t="str">
        <f>'Huong dan giao do an'!$B$14</f>
        <v>5 SV (vai trò chính): 1 PM/Scrum Master kiêm Integration; 2 BA/PO; 3 UI-UX + Frontend; 4 Backend/API + DevOps; 5 Database + QA/Tester. Mỗi SV có nhiệm vụ phụ và minh chứng cá nhân.</v>
      </c>
      <c r="I1619" t="s">
        <v>36</v>
      </c>
      <c r="J1619" t="s">
        <v>23</v>
      </c>
      <c r="K1619" t="str">
        <f>IF(I1619="Trung bình",'Huong dan giao do an'!$B$8,IF(I1619="Khá",'Huong dan giao do an'!$B$9,'Huong dan giao do an'!$B$10))</f>
        <v>Tối thiểu 3 actor; 8-10 use case; 6-8 bảng dữ liệu; 2 quy trình lõi; đăng nhập/RBAC; 1 dashboard; 1 báo cáo; &gt;=25 test case; triển khai bản demo.</v>
      </c>
      <c r="L1619" t="str">
        <f>'Huong dan giao do an'!$B$31</f>
        <v>Bắt buộc: Charter/PMP; SRS + scope/WBS; Gantt/baseline; effort-cost budget; RACI/timesheet; quality-test-defect; communication/minutes; risk register; procurement; change log; closure/lessons learned.</v>
      </c>
      <c r="M1619" t="str">
        <f>'Huong dan giao do an'!$B$33</f>
        <v>Tuần 1: 07.09–13.09.2026; Tuần 2: 14.09–20.09.2026; Tuần 3: 21.09–27.09.2026; Tuần 4: 28.09–04.10.2026; Tuần 5: 05.10–11.10.2026; Tuần 6: 12.10–18.10.2026; Tuần 7: 19.10–25.10.2026; Tuần 8: 26.10–01.11.2026.</v>
      </c>
      <c r="N16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19" s="17" t="str">
        <f t="shared" si="25"/>
        <v>Còn trống</v>
      </c>
    </row>
    <row r="1620" spans="1:16" x14ac:dyDescent="0.3">
      <c r="A1620">
        <v>1619</v>
      </c>
      <c r="B1620" t="s">
        <v>3689</v>
      </c>
      <c r="C1620" t="s">
        <v>3751</v>
      </c>
      <c r="D1620" t="s">
        <v>3752</v>
      </c>
      <c r="E1620" t="s">
        <v>45</v>
      </c>
      <c r="F1620" t="s">
        <v>3706</v>
      </c>
      <c r="G1620" t="s">
        <v>3753</v>
      </c>
      <c r="H1620" t="str">
        <f>'Huong dan giao do an'!$B$14</f>
        <v>5 SV (vai trò chính): 1 PM/Scrum Master kiêm Integration; 2 BA/PO; 3 UI-UX + Frontend; 4 Backend/API + DevOps; 5 Database + QA/Tester. Mỗi SV có nhiệm vụ phụ và minh chứng cá nhân.</v>
      </c>
      <c r="I1620" t="s">
        <v>22</v>
      </c>
      <c r="J1620" t="s">
        <v>3694</v>
      </c>
      <c r="K1620" t="str">
        <f>IF(I1620="Trung bình",'Huong dan giao do an'!$B$8,IF(I1620="Khá",'Huong dan giao do an'!$B$9,'Huong dan giao do an'!$B$10))</f>
        <v>Tối thiểu 4 actor; 10-14 use case; 8-12 bảng; 3 quy trình lõi; phân quyền chi tiết; 2 báo cáo; tích hợp 1 dịch vụ; &gt;=35 test case; CI/CD hoặc deploy cloud.</v>
      </c>
      <c r="L1620" t="str">
        <f>'Huong dan giao do an'!$B$31</f>
        <v>Bắt buộc: Charter/PMP; SRS + scope/WBS; Gantt/baseline; effort-cost budget; RACI/timesheet; quality-test-defect; communication/minutes; risk register; procurement; change log; closure/lessons learned.</v>
      </c>
      <c r="M1620" t="str">
        <f>'Huong dan giao do an'!$B$33</f>
        <v>Tuần 1: 07.09–13.09.2026; Tuần 2: 14.09–20.09.2026; Tuần 3: 21.09–27.09.2026; Tuần 4: 28.09–04.10.2026; Tuần 5: 05.10–11.10.2026; Tuần 6: 12.10–18.10.2026; Tuần 7: 19.10–25.10.2026; Tuần 8: 26.10–01.11.2026.</v>
      </c>
      <c r="N16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0" s="17" t="str">
        <f t="shared" si="25"/>
        <v>Còn trống</v>
      </c>
    </row>
    <row r="1621" spans="1:16" x14ac:dyDescent="0.3">
      <c r="A1621">
        <v>1620</v>
      </c>
      <c r="B1621" t="s">
        <v>3689</v>
      </c>
      <c r="C1621" t="s">
        <v>3754</v>
      </c>
      <c r="D1621" t="s">
        <v>3755</v>
      </c>
      <c r="E1621" t="s">
        <v>19</v>
      </c>
      <c r="F1621" t="s">
        <v>3710</v>
      </c>
      <c r="G1621" t="s">
        <v>3756</v>
      </c>
      <c r="H1621" t="str">
        <f>'Huong dan giao do an'!$B$14</f>
        <v>5 SV (vai trò chính): 1 PM/Scrum Master kiêm Integration; 2 BA/PO; 3 UI-UX + Frontend; 4 Backend/API + DevOps; 5 Database + QA/Tester. Mỗi SV có nhiệm vụ phụ và minh chứng cá nhân.</v>
      </c>
      <c r="I1621" t="s">
        <v>29</v>
      </c>
      <c r="J1621" t="s">
        <v>3699</v>
      </c>
      <c r="K1621" t="str">
        <f>IF(I1621="Trung bình",'Huong dan giao do an'!$B$8,IF(I1621="Khá",'Huong dan giao do an'!$B$9,'Huong dan giao do an'!$B$10))</f>
        <v>Tối thiểu 5 actor; 14-18 use case; 10-15 bảng; 4 quy trình; tích hợp ngoài/realtime hoặc xử lý nâng cao; 3 báo cáo; &gt;=45 test case; logging, backup và deploy.</v>
      </c>
      <c r="L1621" t="str">
        <f>'Huong dan giao do an'!$B$31</f>
        <v>Bắt buộc: Charter/PMP; SRS + scope/WBS; Gantt/baseline; effort-cost budget; RACI/timesheet; quality-test-defect; communication/minutes; risk register; procurement; change log; closure/lessons learned.</v>
      </c>
      <c r="M1621" t="str">
        <f>'Huong dan giao do an'!$B$33</f>
        <v>Tuần 1: 07.09–13.09.2026; Tuần 2: 14.09–20.09.2026; Tuần 3: 21.09–27.09.2026; Tuần 4: 28.09–04.10.2026; Tuần 5: 05.10–11.10.2026; Tuần 6: 12.10–18.10.2026; Tuần 7: 19.10–25.10.2026; Tuần 8: 26.10–01.11.2026.</v>
      </c>
      <c r="N16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1" s="17" t="str">
        <f t="shared" si="25"/>
        <v>Còn trống</v>
      </c>
    </row>
    <row r="1622" spans="1:16" x14ac:dyDescent="0.3">
      <c r="A1622">
        <v>1621</v>
      </c>
      <c r="B1622" t="s">
        <v>3689</v>
      </c>
      <c r="C1622" t="s">
        <v>3757</v>
      </c>
      <c r="D1622" t="s">
        <v>3758</v>
      </c>
      <c r="E1622" t="s">
        <v>26</v>
      </c>
      <c r="F1622" t="s">
        <v>3692</v>
      </c>
      <c r="G1622" t="s">
        <v>3693</v>
      </c>
      <c r="H1622" t="str">
        <f>'Huong dan giao do an'!$B$14</f>
        <v>5 SV (vai trò chính): 1 PM/Scrum Master kiêm Integration; 2 BA/PO; 3 UI-UX + Frontend; 4 Backend/API + DevOps; 5 Database + QA/Tester. Mỗi SV có nhiệm vụ phụ và minh chứng cá nhân.</v>
      </c>
      <c r="I1622" t="s">
        <v>22</v>
      </c>
      <c r="J1622" t="s">
        <v>3694</v>
      </c>
      <c r="K1622" t="str">
        <f>IF(I1622="Trung bình",'Huong dan giao do an'!$B$8,IF(I1622="Khá",'Huong dan giao do an'!$B$9,'Huong dan giao do an'!$B$10))</f>
        <v>Tối thiểu 4 actor; 10-14 use case; 8-12 bảng; 3 quy trình lõi; phân quyền chi tiết; 2 báo cáo; tích hợp 1 dịch vụ; &gt;=35 test case; CI/CD hoặc deploy cloud.</v>
      </c>
      <c r="L1622" t="str">
        <f>'Huong dan giao do an'!$B$31</f>
        <v>Bắt buộc: Charter/PMP; SRS + scope/WBS; Gantt/baseline; effort-cost budget; RACI/timesheet; quality-test-defect; communication/minutes; risk register; procurement; change log; closure/lessons learned.</v>
      </c>
      <c r="M1622" t="str">
        <f>'Huong dan giao do an'!$B$33</f>
        <v>Tuần 1: 07.09–13.09.2026; Tuần 2: 14.09–20.09.2026; Tuần 3: 21.09–27.09.2026; Tuần 4: 28.09–04.10.2026; Tuần 5: 05.10–11.10.2026; Tuần 6: 12.10–18.10.2026; Tuần 7: 19.10–25.10.2026; Tuần 8: 26.10–01.11.2026.</v>
      </c>
      <c r="N16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2" s="17" t="str">
        <f t="shared" si="25"/>
        <v>Còn trống</v>
      </c>
    </row>
    <row r="1623" spans="1:16" x14ac:dyDescent="0.3">
      <c r="A1623">
        <v>1622</v>
      </c>
      <c r="B1623" t="s">
        <v>3689</v>
      </c>
      <c r="C1623" t="s">
        <v>3759</v>
      </c>
      <c r="D1623" t="s">
        <v>3760</v>
      </c>
      <c r="E1623" t="s">
        <v>33</v>
      </c>
      <c r="F1623" t="s">
        <v>3697</v>
      </c>
      <c r="G1623" t="s">
        <v>3698</v>
      </c>
      <c r="H1623" t="str">
        <f>'Huong dan giao do an'!$B$14</f>
        <v>5 SV (vai trò chính): 1 PM/Scrum Master kiêm Integration; 2 BA/PO; 3 UI-UX + Frontend; 4 Backend/API + DevOps; 5 Database + QA/Tester. Mỗi SV có nhiệm vụ phụ và minh chứng cá nhân.</v>
      </c>
      <c r="I1623" t="s">
        <v>29</v>
      </c>
      <c r="J1623" t="s">
        <v>3699</v>
      </c>
      <c r="K1623" t="str">
        <f>IF(I1623="Trung bình",'Huong dan giao do an'!$B$8,IF(I1623="Khá",'Huong dan giao do an'!$B$9,'Huong dan giao do an'!$B$10))</f>
        <v>Tối thiểu 5 actor; 14-18 use case; 10-15 bảng; 4 quy trình; tích hợp ngoài/realtime hoặc xử lý nâng cao; 3 báo cáo; &gt;=45 test case; logging, backup và deploy.</v>
      </c>
      <c r="L1623" t="str">
        <f>'Huong dan giao do an'!$B$31</f>
        <v>Bắt buộc: Charter/PMP; SRS + scope/WBS; Gantt/baseline; effort-cost budget; RACI/timesheet; quality-test-defect; communication/minutes; risk register; procurement; change log; closure/lessons learned.</v>
      </c>
      <c r="M1623" t="str">
        <f>'Huong dan giao do an'!$B$33</f>
        <v>Tuần 1: 07.09–13.09.2026; Tuần 2: 14.09–20.09.2026; Tuần 3: 21.09–27.09.2026; Tuần 4: 28.09–04.10.2026; Tuần 5: 05.10–11.10.2026; Tuần 6: 12.10–18.10.2026; Tuần 7: 19.10–25.10.2026; Tuần 8: 26.10–01.11.2026.</v>
      </c>
      <c r="N16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3" s="17" t="str">
        <f t="shared" si="25"/>
        <v>Còn trống</v>
      </c>
    </row>
    <row r="1624" spans="1:16" x14ac:dyDescent="0.3">
      <c r="A1624">
        <v>1623</v>
      </c>
      <c r="B1624" t="s">
        <v>3689</v>
      </c>
      <c r="C1624" t="s">
        <v>3761</v>
      </c>
      <c r="D1624" t="s">
        <v>3762</v>
      </c>
      <c r="E1624" t="s">
        <v>40</v>
      </c>
      <c r="F1624" t="s">
        <v>3702</v>
      </c>
      <c r="G1624" t="s">
        <v>3703</v>
      </c>
      <c r="H1624" t="str">
        <f>'Huong dan giao do an'!$B$14</f>
        <v>5 SV (vai trò chính): 1 PM/Scrum Master kiêm Integration; 2 BA/PO; 3 UI-UX + Frontend; 4 Backend/API + DevOps; 5 Database + QA/Tester. Mỗi SV có nhiệm vụ phụ và minh chứng cá nhân.</v>
      </c>
      <c r="I1624" t="s">
        <v>36</v>
      </c>
      <c r="J1624" t="s">
        <v>23</v>
      </c>
      <c r="K1624" t="str">
        <f>IF(I1624="Trung bình",'Huong dan giao do an'!$B$8,IF(I1624="Khá",'Huong dan giao do an'!$B$9,'Huong dan giao do an'!$B$10))</f>
        <v>Tối thiểu 3 actor; 8-10 use case; 6-8 bảng dữ liệu; 2 quy trình lõi; đăng nhập/RBAC; 1 dashboard; 1 báo cáo; &gt;=25 test case; triển khai bản demo.</v>
      </c>
      <c r="L1624" t="str">
        <f>'Huong dan giao do an'!$B$31</f>
        <v>Bắt buộc: Charter/PMP; SRS + scope/WBS; Gantt/baseline; effort-cost budget; RACI/timesheet; quality-test-defect; communication/minutes; risk register; procurement; change log; closure/lessons learned.</v>
      </c>
      <c r="M1624" t="str">
        <f>'Huong dan giao do an'!$B$33</f>
        <v>Tuần 1: 07.09–13.09.2026; Tuần 2: 14.09–20.09.2026; Tuần 3: 21.09–27.09.2026; Tuần 4: 28.09–04.10.2026; Tuần 5: 05.10–11.10.2026; Tuần 6: 12.10–18.10.2026; Tuần 7: 19.10–25.10.2026; Tuần 8: 26.10–01.11.2026.</v>
      </c>
      <c r="N16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4" s="17" t="str">
        <f t="shared" si="25"/>
        <v>Còn trống</v>
      </c>
    </row>
    <row r="1625" spans="1:16" x14ac:dyDescent="0.3">
      <c r="A1625">
        <v>1624</v>
      </c>
      <c r="B1625" t="s">
        <v>3689</v>
      </c>
      <c r="C1625" t="s">
        <v>3763</v>
      </c>
      <c r="D1625" t="s">
        <v>3764</v>
      </c>
      <c r="E1625" t="s">
        <v>45</v>
      </c>
      <c r="F1625" t="s">
        <v>3706</v>
      </c>
      <c r="G1625" t="s">
        <v>3707</v>
      </c>
      <c r="H1625" t="str">
        <f>'Huong dan giao do an'!$B$14</f>
        <v>5 SV (vai trò chính): 1 PM/Scrum Master kiêm Integration; 2 BA/PO; 3 UI-UX + Frontend; 4 Backend/API + DevOps; 5 Database + QA/Tester. Mỗi SV có nhiệm vụ phụ và minh chứng cá nhân.</v>
      </c>
      <c r="I1625" t="s">
        <v>22</v>
      </c>
      <c r="J1625" t="s">
        <v>3694</v>
      </c>
      <c r="K1625" t="str">
        <f>IF(I1625="Trung bình",'Huong dan giao do an'!$B$8,IF(I1625="Khá",'Huong dan giao do an'!$B$9,'Huong dan giao do an'!$B$10))</f>
        <v>Tối thiểu 4 actor; 10-14 use case; 8-12 bảng; 3 quy trình lõi; phân quyền chi tiết; 2 báo cáo; tích hợp 1 dịch vụ; &gt;=35 test case; CI/CD hoặc deploy cloud.</v>
      </c>
      <c r="L1625" t="str">
        <f>'Huong dan giao do an'!$B$31</f>
        <v>Bắt buộc: Charter/PMP; SRS + scope/WBS; Gantt/baseline; effort-cost budget; RACI/timesheet; quality-test-defect; communication/minutes; risk register; procurement; change log; closure/lessons learned.</v>
      </c>
      <c r="M1625" t="str">
        <f>'Huong dan giao do an'!$B$33</f>
        <v>Tuần 1: 07.09–13.09.2026; Tuần 2: 14.09–20.09.2026; Tuần 3: 21.09–27.09.2026; Tuần 4: 28.09–04.10.2026; Tuần 5: 05.10–11.10.2026; Tuần 6: 12.10–18.10.2026; Tuần 7: 19.10–25.10.2026; Tuần 8: 26.10–01.11.2026.</v>
      </c>
      <c r="N16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5" s="17" t="str">
        <f t="shared" si="25"/>
        <v>Còn trống</v>
      </c>
    </row>
    <row r="1626" spans="1:16" x14ac:dyDescent="0.3">
      <c r="A1626">
        <v>1625</v>
      </c>
      <c r="B1626" t="s">
        <v>3689</v>
      </c>
      <c r="C1626" t="s">
        <v>3765</v>
      </c>
      <c r="D1626" t="s">
        <v>3766</v>
      </c>
      <c r="E1626" t="s">
        <v>19</v>
      </c>
      <c r="F1626" t="s">
        <v>3710</v>
      </c>
      <c r="G1626" t="s">
        <v>3711</v>
      </c>
      <c r="H1626" t="str">
        <f>'Huong dan giao do an'!$B$14</f>
        <v>5 SV (vai trò chính): 1 PM/Scrum Master kiêm Integration; 2 BA/PO; 3 UI-UX + Frontend; 4 Backend/API + DevOps; 5 Database + QA/Tester. Mỗi SV có nhiệm vụ phụ và minh chứng cá nhân.</v>
      </c>
      <c r="I1626" t="s">
        <v>29</v>
      </c>
      <c r="J1626" t="s">
        <v>3699</v>
      </c>
      <c r="K1626" t="str">
        <f>IF(I1626="Trung bình",'Huong dan giao do an'!$B$8,IF(I1626="Khá",'Huong dan giao do an'!$B$9,'Huong dan giao do an'!$B$10))</f>
        <v>Tối thiểu 5 actor; 14-18 use case; 10-15 bảng; 4 quy trình; tích hợp ngoài/realtime hoặc xử lý nâng cao; 3 báo cáo; &gt;=45 test case; logging, backup và deploy.</v>
      </c>
      <c r="L1626" t="str">
        <f>'Huong dan giao do an'!$B$31</f>
        <v>Bắt buộc: Charter/PMP; SRS + scope/WBS; Gantt/baseline; effort-cost budget; RACI/timesheet; quality-test-defect; communication/minutes; risk register; procurement; change log; closure/lessons learned.</v>
      </c>
      <c r="M1626" t="str">
        <f>'Huong dan giao do an'!$B$33</f>
        <v>Tuần 1: 07.09–13.09.2026; Tuần 2: 14.09–20.09.2026; Tuần 3: 21.09–27.09.2026; Tuần 4: 28.09–04.10.2026; Tuần 5: 05.10–11.10.2026; Tuần 6: 12.10–18.10.2026; Tuần 7: 19.10–25.10.2026; Tuần 8: 26.10–01.11.2026.</v>
      </c>
      <c r="N16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6" s="17" t="str">
        <f t="shared" si="25"/>
        <v>Còn trống</v>
      </c>
    </row>
    <row r="1627" spans="1:16" x14ac:dyDescent="0.3">
      <c r="A1627">
        <v>1626</v>
      </c>
      <c r="B1627" t="s">
        <v>3689</v>
      </c>
      <c r="C1627" t="s">
        <v>3767</v>
      </c>
      <c r="D1627" t="s">
        <v>3768</v>
      </c>
      <c r="E1627" t="s">
        <v>26</v>
      </c>
      <c r="F1627" t="s">
        <v>3692</v>
      </c>
      <c r="G1627" t="s">
        <v>3714</v>
      </c>
      <c r="H1627" t="str">
        <f>'Huong dan giao do an'!$B$14</f>
        <v>5 SV (vai trò chính): 1 PM/Scrum Master kiêm Integration; 2 BA/PO; 3 UI-UX + Frontend; 4 Backend/API + DevOps; 5 Database + QA/Tester. Mỗi SV có nhiệm vụ phụ và minh chứng cá nhân.</v>
      </c>
      <c r="I1627" t="s">
        <v>36</v>
      </c>
      <c r="J1627" t="s">
        <v>23</v>
      </c>
      <c r="K1627" t="str">
        <f>IF(I1627="Trung bình",'Huong dan giao do an'!$B$8,IF(I1627="Khá",'Huong dan giao do an'!$B$9,'Huong dan giao do an'!$B$10))</f>
        <v>Tối thiểu 3 actor; 8-10 use case; 6-8 bảng dữ liệu; 2 quy trình lõi; đăng nhập/RBAC; 1 dashboard; 1 báo cáo; &gt;=25 test case; triển khai bản demo.</v>
      </c>
      <c r="L1627" t="str">
        <f>'Huong dan giao do an'!$B$31</f>
        <v>Bắt buộc: Charter/PMP; SRS + scope/WBS; Gantt/baseline; effort-cost budget; RACI/timesheet; quality-test-defect; communication/minutes; risk register; procurement; change log; closure/lessons learned.</v>
      </c>
      <c r="M1627" t="str">
        <f>'Huong dan giao do an'!$B$33</f>
        <v>Tuần 1: 07.09–13.09.2026; Tuần 2: 14.09–20.09.2026; Tuần 3: 21.09–27.09.2026; Tuần 4: 28.09–04.10.2026; Tuần 5: 05.10–11.10.2026; Tuần 6: 12.10–18.10.2026; Tuần 7: 19.10–25.10.2026; Tuần 8: 26.10–01.11.2026.</v>
      </c>
      <c r="N16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7" s="17" t="str">
        <f t="shared" si="25"/>
        <v>Còn trống</v>
      </c>
    </row>
    <row r="1628" spans="1:16" x14ac:dyDescent="0.3">
      <c r="A1628">
        <v>1627</v>
      </c>
      <c r="B1628" t="s">
        <v>3689</v>
      </c>
      <c r="C1628" t="s">
        <v>3769</v>
      </c>
      <c r="D1628" t="s">
        <v>3770</v>
      </c>
      <c r="E1628" t="s">
        <v>33</v>
      </c>
      <c r="F1628" t="s">
        <v>3697</v>
      </c>
      <c r="G1628" t="s">
        <v>3717</v>
      </c>
      <c r="H1628" t="str">
        <f>'Huong dan giao do an'!$B$14</f>
        <v>5 SV (vai trò chính): 1 PM/Scrum Master kiêm Integration; 2 BA/PO; 3 UI-UX + Frontend; 4 Backend/API + DevOps; 5 Database + QA/Tester. Mỗi SV có nhiệm vụ phụ và minh chứng cá nhân.</v>
      </c>
      <c r="I1628" t="s">
        <v>22</v>
      </c>
      <c r="J1628" t="s">
        <v>3694</v>
      </c>
      <c r="K1628" t="str">
        <f>IF(I1628="Trung bình",'Huong dan giao do an'!$B$8,IF(I1628="Khá",'Huong dan giao do an'!$B$9,'Huong dan giao do an'!$B$10))</f>
        <v>Tối thiểu 4 actor; 10-14 use case; 8-12 bảng; 3 quy trình lõi; phân quyền chi tiết; 2 báo cáo; tích hợp 1 dịch vụ; &gt;=35 test case; CI/CD hoặc deploy cloud.</v>
      </c>
      <c r="L1628" t="str">
        <f>'Huong dan giao do an'!$B$31</f>
        <v>Bắt buộc: Charter/PMP; SRS + scope/WBS; Gantt/baseline; effort-cost budget; RACI/timesheet; quality-test-defect; communication/minutes; risk register; procurement; change log; closure/lessons learned.</v>
      </c>
      <c r="M1628" t="str">
        <f>'Huong dan giao do an'!$B$33</f>
        <v>Tuần 1: 07.09–13.09.2026; Tuần 2: 14.09–20.09.2026; Tuần 3: 21.09–27.09.2026; Tuần 4: 28.09–04.10.2026; Tuần 5: 05.10–11.10.2026; Tuần 6: 12.10–18.10.2026; Tuần 7: 19.10–25.10.2026; Tuần 8: 26.10–01.11.2026.</v>
      </c>
      <c r="N16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8" s="17" t="str">
        <f t="shared" si="25"/>
        <v>Còn trống</v>
      </c>
    </row>
    <row r="1629" spans="1:16" x14ac:dyDescent="0.3">
      <c r="A1629">
        <v>1628</v>
      </c>
      <c r="B1629" t="s">
        <v>3689</v>
      </c>
      <c r="C1629" t="s">
        <v>3771</v>
      </c>
      <c r="D1629" t="s">
        <v>3772</v>
      </c>
      <c r="E1629" t="s">
        <v>40</v>
      </c>
      <c r="F1629" t="s">
        <v>3702</v>
      </c>
      <c r="G1629" t="s">
        <v>3720</v>
      </c>
      <c r="H1629" t="str">
        <f>'Huong dan giao do an'!$B$14</f>
        <v>5 SV (vai trò chính): 1 PM/Scrum Master kiêm Integration; 2 BA/PO; 3 UI-UX + Frontend; 4 Backend/API + DevOps; 5 Database + QA/Tester. Mỗi SV có nhiệm vụ phụ và minh chứng cá nhân.</v>
      </c>
      <c r="I1629" t="s">
        <v>29</v>
      </c>
      <c r="J1629" t="s">
        <v>3699</v>
      </c>
      <c r="K1629" t="str">
        <f>IF(I1629="Trung bình",'Huong dan giao do an'!$B$8,IF(I1629="Khá",'Huong dan giao do an'!$B$9,'Huong dan giao do an'!$B$10))</f>
        <v>Tối thiểu 5 actor; 14-18 use case; 10-15 bảng; 4 quy trình; tích hợp ngoài/realtime hoặc xử lý nâng cao; 3 báo cáo; &gt;=45 test case; logging, backup và deploy.</v>
      </c>
      <c r="L1629" t="str">
        <f>'Huong dan giao do an'!$B$31</f>
        <v>Bắt buộc: Charter/PMP; SRS + scope/WBS; Gantt/baseline; effort-cost budget; RACI/timesheet; quality-test-defect; communication/minutes; risk register; procurement; change log; closure/lessons learned.</v>
      </c>
      <c r="M1629" t="str">
        <f>'Huong dan giao do an'!$B$33</f>
        <v>Tuần 1: 07.09–13.09.2026; Tuần 2: 14.09–20.09.2026; Tuần 3: 21.09–27.09.2026; Tuần 4: 28.09–04.10.2026; Tuần 5: 05.10–11.10.2026; Tuần 6: 12.10–18.10.2026; Tuần 7: 19.10–25.10.2026; Tuần 8: 26.10–01.11.2026.</v>
      </c>
      <c r="N16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29" s="17" t="str">
        <f t="shared" si="25"/>
        <v>Còn trống</v>
      </c>
    </row>
    <row r="1630" spans="1:16" x14ac:dyDescent="0.3">
      <c r="A1630">
        <v>1629</v>
      </c>
      <c r="B1630" t="s">
        <v>3689</v>
      </c>
      <c r="C1630" t="s">
        <v>3773</v>
      </c>
      <c r="D1630" t="s">
        <v>3774</v>
      </c>
      <c r="E1630" t="s">
        <v>45</v>
      </c>
      <c r="F1630" t="s">
        <v>3706</v>
      </c>
      <c r="G1630" t="s">
        <v>3723</v>
      </c>
      <c r="H1630" t="str">
        <f>'Huong dan giao do an'!$B$14</f>
        <v>5 SV (vai trò chính): 1 PM/Scrum Master kiêm Integration; 2 BA/PO; 3 UI-UX + Frontend; 4 Backend/API + DevOps; 5 Database + QA/Tester. Mỗi SV có nhiệm vụ phụ và minh chứng cá nhân.</v>
      </c>
      <c r="I1630" t="s">
        <v>36</v>
      </c>
      <c r="J1630" t="s">
        <v>23</v>
      </c>
      <c r="K1630" t="str">
        <f>IF(I1630="Trung bình",'Huong dan giao do an'!$B$8,IF(I1630="Khá",'Huong dan giao do an'!$B$9,'Huong dan giao do an'!$B$10))</f>
        <v>Tối thiểu 3 actor; 8-10 use case; 6-8 bảng dữ liệu; 2 quy trình lõi; đăng nhập/RBAC; 1 dashboard; 1 báo cáo; &gt;=25 test case; triển khai bản demo.</v>
      </c>
      <c r="L1630" t="str">
        <f>'Huong dan giao do an'!$B$31</f>
        <v>Bắt buộc: Charter/PMP; SRS + scope/WBS; Gantt/baseline; effort-cost budget; RACI/timesheet; quality-test-defect; communication/minutes; risk register; procurement; change log; closure/lessons learned.</v>
      </c>
      <c r="M1630" t="str">
        <f>'Huong dan giao do an'!$B$33</f>
        <v>Tuần 1: 07.09–13.09.2026; Tuần 2: 14.09–20.09.2026; Tuần 3: 21.09–27.09.2026; Tuần 4: 28.09–04.10.2026; Tuần 5: 05.10–11.10.2026; Tuần 6: 12.10–18.10.2026; Tuần 7: 19.10–25.10.2026; Tuần 8: 26.10–01.11.2026.</v>
      </c>
      <c r="N16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0" s="17" t="str">
        <f t="shared" si="25"/>
        <v>Còn trống</v>
      </c>
    </row>
    <row r="1631" spans="1:16" x14ac:dyDescent="0.3">
      <c r="A1631">
        <v>1630</v>
      </c>
      <c r="B1631" t="s">
        <v>3689</v>
      </c>
      <c r="C1631" t="s">
        <v>3775</v>
      </c>
      <c r="D1631" t="s">
        <v>3776</v>
      </c>
      <c r="E1631" t="s">
        <v>19</v>
      </c>
      <c r="F1631" t="s">
        <v>3710</v>
      </c>
      <c r="G1631" t="s">
        <v>3726</v>
      </c>
      <c r="H1631" t="str">
        <f>'Huong dan giao do an'!$B$14</f>
        <v>5 SV (vai trò chính): 1 PM/Scrum Master kiêm Integration; 2 BA/PO; 3 UI-UX + Frontend; 4 Backend/API + DevOps; 5 Database + QA/Tester. Mỗi SV có nhiệm vụ phụ và minh chứng cá nhân.</v>
      </c>
      <c r="I1631" t="s">
        <v>22</v>
      </c>
      <c r="J1631" t="s">
        <v>3694</v>
      </c>
      <c r="K1631" t="str">
        <f>IF(I1631="Trung bình",'Huong dan giao do an'!$B$8,IF(I1631="Khá",'Huong dan giao do an'!$B$9,'Huong dan giao do an'!$B$10))</f>
        <v>Tối thiểu 4 actor; 10-14 use case; 8-12 bảng; 3 quy trình lõi; phân quyền chi tiết; 2 báo cáo; tích hợp 1 dịch vụ; &gt;=35 test case; CI/CD hoặc deploy cloud.</v>
      </c>
      <c r="L1631" t="str">
        <f>'Huong dan giao do an'!$B$31</f>
        <v>Bắt buộc: Charter/PMP; SRS + scope/WBS; Gantt/baseline; effort-cost budget; RACI/timesheet; quality-test-defect; communication/minutes; risk register; procurement; change log; closure/lessons learned.</v>
      </c>
      <c r="M1631" t="str">
        <f>'Huong dan giao do an'!$B$33</f>
        <v>Tuần 1: 07.09–13.09.2026; Tuần 2: 14.09–20.09.2026; Tuần 3: 21.09–27.09.2026; Tuần 4: 28.09–04.10.2026; Tuần 5: 05.10–11.10.2026; Tuần 6: 12.10–18.10.2026; Tuần 7: 19.10–25.10.2026; Tuần 8: 26.10–01.11.2026.</v>
      </c>
      <c r="N16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1" s="17" t="str">
        <f t="shared" si="25"/>
        <v>Còn trống</v>
      </c>
    </row>
    <row r="1632" spans="1:16" x14ac:dyDescent="0.3">
      <c r="A1632">
        <v>1631</v>
      </c>
      <c r="B1632" t="s">
        <v>3689</v>
      </c>
      <c r="C1632" t="s">
        <v>3777</v>
      </c>
      <c r="D1632" t="s">
        <v>3778</v>
      </c>
      <c r="E1632" t="s">
        <v>26</v>
      </c>
      <c r="F1632" t="s">
        <v>3692</v>
      </c>
      <c r="G1632" t="s">
        <v>3729</v>
      </c>
      <c r="H1632" t="str">
        <f>'Huong dan giao do an'!$B$14</f>
        <v>5 SV (vai trò chính): 1 PM/Scrum Master kiêm Integration; 2 BA/PO; 3 UI-UX + Frontend; 4 Backend/API + DevOps; 5 Database + QA/Tester. Mỗi SV có nhiệm vụ phụ và minh chứng cá nhân.</v>
      </c>
      <c r="I1632" t="s">
        <v>29</v>
      </c>
      <c r="J1632" t="s">
        <v>3699</v>
      </c>
      <c r="K1632" t="str">
        <f>IF(I1632="Trung bình",'Huong dan giao do an'!$B$8,IF(I1632="Khá",'Huong dan giao do an'!$B$9,'Huong dan giao do an'!$B$10))</f>
        <v>Tối thiểu 5 actor; 14-18 use case; 10-15 bảng; 4 quy trình; tích hợp ngoài/realtime hoặc xử lý nâng cao; 3 báo cáo; &gt;=45 test case; logging, backup và deploy.</v>
      </c>
      <c r="L1632" t="str">
        <f>'Huong dan giao do an'!$B$31</f>
        <v>Bắt buộc: Charter/PMP; SRS + scope/WBS; Gantt/baseline; effort-cost budget; RACI/timesheet; quality-test-defect; communication/minutes; risk register; procurement; change log; closure/lessons learned.</v>
      </c>
      <c r="M1632" t="str">
        <f>'Huong dan giao do an'!$B$33</f>
        <v>Tuần 1: 07.09–13.09.2026; Tuần 2: 14.09–20.09.2026; Tuần 3: 21.09–27.09.2026; Tuần 4: 28.09–04.10.2026; Tuần 5: 05.10–11.10.2026; Tuần 6: 12.10–18.10.2026; Tuần 7: 19.10–25.10.2026; Tuần 8: 26.10–01.11.2026.</v>
      </c>
      <c r="N16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2" s="17" t="str">
        <f t="shared" si="25"/>
        <v>Còn trống</v>
      </c>
    </row>
    <row r="1633" spans="1:16" x14ac:dyDescent="0.3">
      <c r="A1633">
        <v>1632</v>
      </c>
      <c r="B1633" t="s">
        <v>3689</v>
      </c>
      <c r="C1633" t="s">
        <v>3779</v>
      </c>
      <c r="D1633" t="s">
        <v>3780</v>
      </c>
      <c r="E1633" t="s">
        <v>33</v>
      </c>
      <c r="F1633" t="s">
        <v>3697</v>
      </c>
      <c r="G1633" t="s">
        <v>3732</v>
      </c>
      <c r="H1633" t="str">
        <f>'Huong dan giao do an'!$B$14</f>
        <v>5 SV (vai trò chính): 1 PM/Scrum Master kiêm Integration; 2 BA/PO; 3 UI-UX + Frontend; 4 Backend/API + DevOps; 5 Database + QA/Tester. Mỗi SV có nhiệm vụ phụ và minh chứng cá nhân.</v>
      </c>
      <c r="I1633" t="s">
        <v>36</v>
      </c>
      <c r="J1633" t="s">
        <v>23</v>
      </c>
      <c r="K1633" t="str">
        <f>IF(I1633="Trung bình",'Huong dan giao do an'!$B$8,IF(I1633="Khá",'Huong dan giao do an'!$B$9,'Huong dan giao do an'!$B$10))</f>
        <v>Tối thiểu 3 actor; 8-10 use case; 6-8 bảng dữ liệu; 2 quy trình lõi; đăng nhập/RBAC; 1 dashboard; 1 báo cáo; &gt;=25 test case; triển khai bản demo.</v>
      </c>
      <c r="L1633" t="str">
        <f>'Huong dan giao do an'!$B$31</f>
        <v>Bắt buộc: Charter/PMP; SRS + scope/WBS; Gantt/baseline; effort-cost budget; RACI/timesheet; quality-test-defect; communication/minutes; risk register; procurement; change log; closure/lessons learned.</v>
      </c>
      <c r="M1633" t="str">
        <f>'Huong dan giao do an'!$B$33</f>
        <v>Tuần 1: 07.09–13.09.2026; Tuần 2: 14.09–20.09.2026; Tuần 3: 21.09–27.09.2026; Tuần 4: 28.09–04.10.2026; Tuần 5: 05.10–11.10.2026; Tuần 6: 12.10–18.10.2026; Tuần 7: 19.10–25.10.2026; Tuần 8: 26.10–01.11.2026.</v>
      </c>
      <c r="N16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3" s="17" t="str">
        <f t="shared" si="25"/>
        <v>Còn trống</v>
      </c>
    </row>
    <row r="1634" spans="1:16" x14ac:dyDescent="0.3">
      <c r="A1634">
        <v>1633</v>
      </c>
      <c r="B1634" t="s">
        <v>3689</v>
      </c>
      <c r="C1634" t="s">
        <v>3781</v>
      </c>
      <c r="D1634" t="s">
        <v>3782</v>
      </c>
      <c r="E1634" t="s">
        <v>40</v>
      </c>
      <c r="F1634" t="s">
        <v>3702</v>
      </c>
      <c r="G1634" t="s">
        <v>3735</v>
      </c>
      <c r="H1634" t="str">
        <f>'Huong dan giao do an'!$B$14</f>
        <v>5 SV (vai trò chính): 1 PM/Scrum Master kiêm Integration; 2 BA/PO; 3 UI-UX + Frontend; 4 Backend/API + DevOps; 5 Database + QA/Tester. Mỗi SV có nhiệm vụ phụ và minh chứng cá nhân.</v>
      </c>
      <c r="I1634" t="s">
        <v>22</v>
      </c>
      <c r="J1634" t="s">
        <v>3694</v>
      </c>
      <c r="K1634" t="str">
        <f>IF(I1634="Trung bình",'Huong dan giao do an'!$B$8,IF(I1634="Khá",'Huong dan giao do an'!$B$9,'Huong dan giao do an'!$B$10))</f>
        <v>Tối thiểu 4 actor; 10-14 use case; 8-12 bảng; 3 quy trình lõi; phân quyền chi tiết; 2 báo cáo; tích hợp 1 dịch vụ; &gt;=35 test case; CI/CD hoặc deploy cloud.</v>
      </c>
      <c r="L1634" t="str">
        <f>'Huong dan giao do an'!$B$31</f>
        <v>Bắt buộc: Charter/PMP; SRS + scope/WBS; Gantt/baseline; effort-cost budget; RACI/timesheet; quality-test-defect; communication/minutes; risk register; procurement; change log; closure/lessons learned.</v>
      </c>
      <c r="M1634" t="str">
        <f>'Huong dan giao do an'!$B$33</f>
        <v>Tuần 1: 07.09–13.09.2026; Tuần 2: 14.09–20.09.2026; Tuần 3: 21.09–27.09.2026; Tuần 4: 28.09–04.10.2026; Tuần 5: 05.10–11.10.2026; Tuần 6: 12.10–18.10.2026; Tuần 7: 19.10–25.10.2026; Tuần 8: 26.10–01.11.2026.</v>
      </c>
      <c r="N16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4" s="17" t="str">
        <f t="shared" si="25"/>
        <v>Còn trống</v>
      </c>
    </row>
    <row r="1635" spans="1:16" x14ac:dyDescent="0.3">
      <c r="A1635">
        <v>1634</v>
      </c>
      <c r="B1635" t="s">
        <v>3689</v>
      </c>
      <c r="C1635" t="s">
        <v>3783</v>
      </c>
      <c r="D1635" t="s">
        <v>3784</v>
      </c>
      <c r="E1635" t="s">
        <v>45</v>
      </c>
      <c r="F1635" t="s">
        <v>3706</v>
      </c>
      <c r="G1635" t="s">
        <v>3738</v>
      </c>
      <c r="H1635" t="str">
        <f>'Huong dan giao do an'!$B$14</f>
        <v>5 SV (vai trò chính): 1 PM/Scrum Master kiêm Integration; 2 BA/PO; 3 UI-UX + Frontend; 4 Backend/API + DevOps; 5 Database + QA/Tester. Mỗi SV có nhiệm vụ phụ và minh chứng cá nhân.</v>
      </c>
      <c r="I1635" t="s">
        <v>29</v>
      </c>
      <c r="J1635" t="s">
        <v>3699</v>
      </c>
      <c r="K1635" t="str">
        <f>IF(I1635="Trung bình",'Huong dan giao do an'!$B$8,IF(I1635="Khá",'Huong dan giao do an'!$B$9,'Huong dan giao do an'!$B$10))</f>
        <v>Tối thiểu 5 actor; 14-18 use case; 10-15 bảng; 4 quy trình; tích hợp ngoài/realtime hoặc xử lý nâng cao; 3 báo cáo; &gt;=45 test case; logging, backup và deploy.</v>
      </c>
      <c r="L1635" t="str">
        <f>'Huong dan giao do an'!$B$31</f>
        <v>Bắt buộc: Charter/PMP; SRS + scope/WBS; Gantt/baseline; effort-cost budget; RACI/timesheet; quality-test-defect; communication/minutes; risk register; procurement; change log; closure/lessons learned.</v>
      </c>
      <c r="M1635" t="str">
        <f>'Huong dan giao do an'!$B$33</f>
        <v>Tuần 1: 07.09–13.09.2026; Tuần 2: 14.09–20.09.2026; Tuần 3: 21.09–27.09.2026; Tuần 4: 28.09–04.10.2026; Tuần 5: 05.10–11.10.2026; Tuần 6: 12.10–18.10.2026; Tuần 7: 19.10–25.10.2026; Tuần 8: 26.10–01.11.2026.</v>
      </c>
      <c r="N16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5" s="17" t="str">
        <f t="shared" si="25"/>
        <v>Còn trống</v>
      </c>
    </row>
    <row r="1636" spans="1:16" x14ac:dyDescent="0.3">
      <c r="A1636">
        <v>1635</v>
      </c>
      <c r="B1636" t="s">
        <v>3689</v>
      </c>
      <c r="C1636" t="s">
        <v>3785</v>
      </c>
      <c r="D1636" t="s">
        <v>3786</v>
      </c>
      <c r="E1636" t="s">
        <v>19</v>
      </c>
      <c r="F1636" t="s">
        <v>3710</v>
      </c>
      <c r="G1636" t="s">
        <v>3741</v>
      </c>
      <c r="H1636" t="str">
        <f>'Huong dan giao do an'!$B$14</f>
        <v>5 SV (vai trò chính): 1 PM/Scrum Master kiêm Integration; 2 BA/PO; 3 UI-UX + Frontend; 4 Backend/API + DevOps; 5 Database + QA/Tester. Mỗi SV có nhiệm vụ phụ và minh chứng cá nhân.</v>
      </c>
      <c r="I1636" t="s">
        <v>36</v>
      </c>
      <c r="J1636" t="s">
        <v>23</v>
      </c>
      <c r="K1636" t="str">
        <f>IF(I1636="Trung bình",'Huong dan giao do an'!$B$8,IF(I1636="Khá",'Huong dan giao do an'!$B$9,'Huong dan giao do an'!$B$10))</f>
        <v>Tối thiểu 3 actor; 8-10 use case; 6-8 bảng dữ liệu; 2 quy trình lõi; đăng nhập/RBAC; 1 dashboard; 1 báo cáo; &gt;=25 test case; triển khai bản demo.</v>
      </c>
      <c r="L1636" t="str">
        <f>'Huong dan giao do an'!$B$31</f>
        <v>Bắt buộc: Charter/PMP; SRS + scope/WBS; Gantt/baseline; effort-cost budget; RACI/timesheet; quality-test-defect; communication/minutes; risk register; procurement; change log; closure/lessons learned.</v>
      </c>
      <c r="M1636" t="str">
        <f>'Huong dan giao do an'!$B$33</f>
        <v>Tuần 1: 07.09–13.09.2026; Tuần 2: 14.09–20.09.2026; Tuần 3: 21.09–27.09.2026; Tuần 4: 28.09–04.10.2026; Tuần 5: 05.10–11.10.2026; Tuần 6: 12.10–18.10.2026; Tuần 7: 19.10–25.10.2026; Tuần 8: 26.10–01.11.2026.</v>
      </c>
      <c r="N16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6" s="17" t="str">
        <f t="shared" si="25"/>
        <v>Còn trống</v>
      </c>
    </row>
    <row r="1637" spans="1:16" x14ac:dyDescent="0.3">
      <c r="A1637">
        <v>1636</v>
      </c>
      <c r="B1637" t="s">
        <v>3689</v>
      </c>
      <c r="C1637" t="s">
        <v>3787</v>
      </c>
      <c r="D1637" t="s">
        <v>3788</v>
      </c>
      <c r="E1637" t="s">
        <v>26</v>
      </c>
      <c r="F1637" t="s">
        <v>3692</v>
      </c>
      <c r="G1637" t="s">
        <v>3744</v>
      </c>
      <c r="H1637" t="str">
        <f>'Huong dan giao do an'!$B$14</f>
        <v>5 SV (vai trò chính): 1 PM/Scrum Master kiêm Integration; 2 BA/PO; 3 UI-UX + Frontend; 4 Backend/API + DevOps; 5 Database + QA/Tester. Mỗi SV có nhiệm vụ phụ và minh chứng cá nhân.</v>
      </c>
      <c r="I1637" t="s">
        <v>22</v>
      </c>
      <c r="J1637" t="s">
        <v>3694</v>
      </c>
      <c r="K1637" t="str">
        <f>IF(I1637="Trung bình",'Huong dan giao do an'!$B$8,IF(I1637="Khá",'Huong dan giao do an'!$B$9,'Huong dan giao do an'!$B$10))</f>
        <v>Tối thiểu 4 actor; 10-14 use case; 8-12 bảng; 3 quy trình lõi; phân quyền chi tiết; 2 báo cáo; tích hợp 1 dịch vụ; &gt;=35 test case; CI/CD hoặc deploy cloud.</v>
      </c>
      <c r="L1637" t="str">
        <f>'Huong dan giao do an'!$B$31</f>
        <v>Bắt buộc: Charter/PMP; SRS + scope/WBS; Gantt/baseline; effort-cost budget; RACI/timesheet; quality-test-defect; communication/minutes; risk register; procurement; change log; closure/lessons learned.</v>
      </c>
      <c r="M1637" t="str">
        <f>'Huong dan giao do an'!$B$33</f>
        <v>Tuần 1: 07.09–13.09.2026; Tuần 2: 14.09–20.09.2026; Tuần 3: 21.09–27.09.2026; Tuần 4: 28.09–04.10.2026; Tuần 5: 05.10–11.10.2026; Tuần 6: 12.10–18.10.2026; Tuần 7: 19.10–25.10.2026; Tuần 8: 26.10–01.11.2026.</v>
      </c>
      <c r="N16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7" s="17" t="str">
        <f t="shared" si="25"/>
        <v>Còn trống</v>
      </c>
    </row>
    <row r="1638" spans="1:16" x14ac:dyDescent="0.3">
      <c r="A1638">
        <v>1637</v>
      </c>
      <c r="B1638" t="s">
        <v>3689</v>
      </c>
      <c r="C1638" t="s">
        <v>3789</v>
      </c>
      <c r="D1638" t="s">
        <v>3790</v>
      </c>
      <c r="E1638" t="s">
        <v>33</v>
      </c>
      <c r="F1638" t="s">
        <v>3697</v>
      </c>
      <c r="G1638" t="s">
        <v>3747</v>
      </c>
      <c r="H1638" t="str">
        <f>'Huong dan giao do an'!$B$14</f>
        <v>5 SV (vai trò chính): 1 PM/Scrum Master kiêm Integration; 2 BA/PO; 3 UI-UX + Frontend; 4 Backend/API + DevOps; 5 Database + QA/Tester. Mỗi SV có nhiệm vụ phụ và minh chứng cá nhân.</v>
      </c>
      <c r="I1638" t="s">
        <v>29</v>
      </c>
      <c r="J1638" t="s">
        <v>3699</v>
      </c>
      <c r="K1638" t="str">
        <f>IF(I1638="Trung bình",'Huong dan giao do an'!$B$8,IF(I1638="Khá",'Huong dan giao do an'!$B$9,'Huong dan giao do an'!$B$10))</f>
        <v>Tối thiểu 5 actor; 14-18 use case; 10-15 bảng; 4 quy trình; tích hợp ngoài/realtime hoặc xử lý nâng cao; 3 báo cáo; &gt;=45 test case; logging, backup và deploy.</v>
      </c>
      <c r="L1638" t="str">
        <f>'Huong dan giao do an'!$B$31</f>
        <v>Bắt buộc: Charter/PMP; SRS + scope/WBS; Gantt/baseline; effort-cost budget; RACI/timesheet; quality-test-defect; communication/minutes; risk register; procurement; change log; closure/lessons learned.</v>
      </c>
      <c r="M1638" t="str">
        <f>'Huong dan giao do an'!$B$33</f>
        <v>Tuần 1: 07.09–13.09.2026; Tuần 2: 14.09–20.09.2026; Tuần 3: 21.09–27.09.2026; Tuần 4: 28.09–04.10.2026; Tuần 5: 05.10–11.10.2026; Tuần 6: 12.10–18.10.2026; Tuần 7: 19.10–25.10.2026; Tuần 8: 26.10–01.11.2026.</v>
      </c>
      <c r="N16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8" s="17" t="str">
        <f t="shared" si="25"/>
        <v>Còn trống</v>
      </c>
    </row>
    <row r="1639" spans="1:16" x14ac:dyDescent="0.3">
      <c r="A1639">
        <v>1638</v>
      </c>
      <c r="B1639" t="s">
        <v>3689</v>
      </c>
      <c r="C1639" t="s">
        <v>3791</v>
      </c>
      <c r="D1639" t="s">
        <v>3792</v>
      </c>
      <c r="E1639" t="s">
        <v>40</v>
      </c>
      <c r="F1639" t="s">
        <v>3702</v>
      </c>
      <c r="G1639" t="s">
        <v>3750</v>
      </c>
      <c r="H1639" t="str">
        <f>'Huong dan giao do an'!$B$14</f>
        <v>5 SV (vai trò chính): 1 PM/Scrum Master kiêm Integration; 2 BA/PO; 3 UI-UX + Frontend; 4 Backend/API + DevOps; 5 Database + QA/Tester. Mỗi SV có nhiệm vụ phụ và minh chứng cá nhân.</v>
      </c>
      <c r="I1639" t="s">
        <v>36</v>
      </c>
      <c r="J1639" t="s">
        <v>23</v>
      </c>
      <c r="K1639" t="str">
        <f>IF(I1639="Trung bình",'Huong dan giao do an'!$B$8,IF(I1639="Khá",'Huong dan giao do an'!$B$9,'Huong dan giao do an'!$B$10))</f>
        <v>Tối thiểu 3 actor; 8-10 use case; 6-8 bảng dữ liệu; 2 quy trình lõi; đăng nhập/RBAC; 1 dashboard; 1 báo cáo; &gt;=25 test case; triển khai bản demo.</v>
      </c>
      <c r="L1639" t="str">
        <f>'Huong dan giao do an'!$B$31</f>
        <v>Bắt buộc: Charter/PMP; SRS + scope/WBS; Gantt/baseline; effort-cost budget; RACI/timesheet; quality-test-defect; communication/minutes; risk register; procurement; change log; closure/lessons learned.</v>
      </c>
      <c r="M1639" t="str">
        <f>'Huong dan giao do an'!$B$33</f>
        <v>Tuần 1: 07.09–13.09.2026; Tuần 2: 14.09–20.09.2026; Tuần 3: 21.09–27.09.2026; Tuần 4: 28.09–04.10.2026; Tuần 5: 05.10–11.10.2026; Tuần 6: 12.10–18.10.2026; Tuần 7: 19.10–25.10.2026; Tuần 8: 26.10–01.11.2026.</v>
      </c>
      <c r="N16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39" s="17" t="str">
        <f t="shared" si="25"/>
        <v>Còn trống</v>
      </c>
    </row>
    <row r="1640" spans="1:16" x14ac:dyDescent="0.3">
      <c r="A1640">
        <v>1639</v>
      </c>
      <c r="B1640" t="s">
        <v>3689</v>
      </c>
      <c r="C1640" t="s">
        <v>3793</v>
      </c>
      <c r="D1640" t="s">
        <v>3794</v>
      </c>
      <c r="E1640" t="s">
        <v>45</v>
      </c>
      <c r="F1640" t="s">
        <v>3706</v>
      </c>
      <c r="G1640" t="s">
        <v>3753</v>
      </c>
      <c r="H1640" t="str">
        <f>'Huong dan giao do an'!$B$14</f>
        <v>5 SV (vai trò chính): 1 PM/Scrum Master kiêm Integration; 2 BA/PO; 3 UI-UX + Frontend; 4 Backend/API + DevOps; 5 Database + QA/Tester. Mỗi SV có nhiệm vụ phụ và minh chứng cá nhân.</v>
      </c>
      <c r="I1640" t="s">
        <v>22</v>
      </c>
      <c r="J1640" t="s">
        <v>3694</v>
      </c>
      <c r="K1640" t="str">
        <f>IF(I1640="Trung bình",'Huong dan giao do an'!$B$8,IF(I1640="Khá",'Huong dan giao do an'!$B$9,'Huong dan giao do an'!$B$10))</f>
        <v>Tối thiểu 4 actor; 10-14 use case; 8-12 bảng; 3 quy trình lõi; phân quyền chi tiết; 2 báo cáo; tích hợp 1 dịch vụ; &gt;=35 test case; CI/CD hoặc deploy cloud.</v>
      </c>
      <c r="L1640" t="str">
        <f>'Huong dan giao do an'!$B$31</f>
        <v>Bắt buộc: Charter/PMP; SRS + scope/WBS; Gantt/baseline; effort-cost budget; RACI/timesheet; quality-test-defect; communication/minutes; risk register; procurement; change log; closure/lessons learned.</v>
      </c>
      <c r="M1640" t="str">
        <f>'Huong dan giao do an'!$B$33</f>
        <v>Tuần 1: 07.09–13.09.2026; Tuần 2: 14.09–20.09.2026; Tuần 3: 21.09–27.09.2026; Tuần 4: 28.09–04.10.2026; Tuần 5: 05.10–11.10.2026; Tuần 6: 12.10–18.10.2026; Tuần 7: 19.10–25.10.2026; Tuần 8: 26.10–01.11.2026.</v>
      </c>
      <c r="N16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0" s="17" t="str">
        <f t="shared" si="25"/>
        <v>Còn trống</v>
      </c>
    </row>
    <row r="1641" spans="1:16" x14ac:dyDescent="0.3">
      <c r="A1641">
        <v>1640</v>
      </c>
      <c r="B1641" t="s">
        <v>3689</v>
      </c>
      <c r="C1641" t="s">
        <v>3795</v>
      </c>
      <c r="D1641" t="s">
        <v>3796</v>
      </c>
      <c r="E1641" t="s">
        <v>19</v>
      </c>
      <c r="F1641" t="s">
        <v>3710</v>
      </c>
      <c r="G1641" t="s">
        <v>3756</v>
      </c>
      <c r="H1641" t="str">
        <f>'Huong dan giao do an'!$B$14</f>
        <v>5 SV (vai trò chính): 1 PM/Scrum Master kiêm Integration; 2 BA/PO; 3 UI-UX + Frontend; 4 Backend/API + DevOps; 5 Database + QA/Tester. Mỗi SV có nhiệm vụ phụ và minh chứng cá nhân.</v>
      </c>
      <c r="I1641" t="s">
        <v>29</v>
      </c>
      <c r="J1641" t="s">
        <v>3699</v>
      </c>
      <c r="K1641" t="str">
        <f>IF(I1641="Trung bình",'Huong dan giao do an'!$B$8,IF(I1641="Khá",'Huong dan giao do an'!$B$9,'Huong dan giao do an'!$B$10))</f>
        <v>Tối thiểu 5 actor; 14-18 use case; 10-15 bảng; 4 quy trình; tích hợp ngoài/realtime hoặc xử lý nâng cao; 3 báo cáo; &gt;=45 test case; logging, backup và deploy.</v>
      </c>
      <c r="L1641" t="str">
        <f>'Huong dan giao do an'!$B$31</f>
        <v>Bắt buộc: Charter/PMP; SRS + scope/WBS; Gantt/baseline; effort-cost budget; RACI/timesheet; quality-test-defect; communication/minutes; risk register; procurement; change log; closure/lessons learned.</v>
      </c>
      <c r="M1641" t="str">
        <f>'Huong dan giao do an'!$B$33</f>
        <v>Tuần 1: 07.09–13.09.2026; Tuần 2: 14.09–20.09.2026; Tuần 3: 21.09–27.09.2026; Tuần 4: 28.09–04.10.2026; Tuần 5: 05.10–11.10.2026; Tuần 6: 12.10–18.10.2026; Tuần 7: 19.10–25.10.2026; Tuần 8: 26.10–01.11.2026.</v>
      </c>
      <c r="N16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1" s="17" t="str">
        <f t="shared" si="25"/>
        <v>Còn trống</v>
      </c>
    </row>
    <row r="1642" spans="1:16" x14ac:dyDescent="0.3">
      <c r="A1642">
        <v>1641</v>
      </c>
      <c r="B1642" t="s">
        <v>3689</v>
      </c>
      <c r="C1642" t="s">
        <v>3797</v>
      </c>
      <c r="D1642" t="s">
        <v>3798</v>
      </c>
      <c r="E1642" t="s">
        <v>26</v>
      </c>
      <c r="F1642" t="s">
        <v>3692</v>
      </c>
      <c r="G1642" t="s">
        <v>3693</v>
      </c>
      <c r="H1642" t="str">
        <f>'Huong dan giao do an'!$B$14</f>
        <v>5 SV (vai trò chính): 1 PM/Scrum Master kiêm Integration; 2 BA/PO; 3 UI-UX + Frontend; 4 Backend/API + DevOps; 5 Database + QA/Tester. Mỗi SV có nhiệm vụ phụ và minh chứng cá nhân.</v>
      </c>
      <c r="I1642" t="s">
        <v>22</v>
      </c>
      <c r="J1642" t="s">
        <v>3694</v>
      </c>
      <c r="K1642" t="str">
        <f>IF(I1642="Trung bình",'Huong dan giao do an'!$B$8,IF(I1642="Khá",'Huong dan giao do an'!$B$9,'Huong dan giao do an'!$B$10))</f>
        <v>Tối thiểu 4 actor; 10-14 use case; 8-12 bảng; 3 quy trình lõi; phân quyền chi tiết; 2 báo cáo; tích hợp 1 dịch vụ; &gt;=35 test case; CI/CD hoặc deploy cloud.</v>
      </c>
      <c r="L1642" t="str">
        <f>'Huong dan giao do an'!$B$31</f>
        <v>Bắt buộc: Charter/PMP; SRS + scope/WBS; Gantt/baseline; effort-cost budget; RACI/timesheet; quality-test-defect; communication/minutes; risk register; procurement; change log; closure/lessons learned.</v>
      </c>
      <c r="M1642" t="str">
        <f>'Huong dan giao do an'!$B$33</f>
        <v>Tuần 1: 07.09–13.09.2026; Tuần 2: 14.09–20.09.2026; Tuần 3: 21.09–27.09.2026; Tuần 4: 28.09–04.10.2026; Tuần 5: 05.10–11.10.2026; Tuần 6: 12.10–18.10.2026; Tuần 7: 19.10–25.10.2026; Tuần 8: 26.10–01.11.2026.</v>
      </c>
      <c r="N16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2" s="17" t="str">
        <f t="shared" si="25"/>
        <v>Còn trống</v>
      </c>
    </row>
    <row r="1643" spans="1:16" x14ac:dyDescent="0.3">
      <c r="A1643">
        <v>1642</v>
      </c>
      <c r="B1643" t="s">
        <v>3689</v>
      </c>
      <c r="C1643" t="s">
        <v>3799</v>
      </c>
      <c r="D1643" t="s">
        <v>3800</v>
      </c>
      <c r="E1643" t="s">
        <v>33</v>
      </c>
      <c r="F1643" t="s">
        <v>3697</v>
      </c>
      <c r="G1643" t="s">
        <v>3698</v>
      </c>
      <c r="H1643" t="str">
        <f>'Huong dan giao do an'!$B$14</f>
        <v>5 SV (vai trò chính): 1 PM/Scrum Master kiêm Integration; 2 BA/PO; 3 UI-UX + Frontend; 4 Backend/API + DevOps; 5 Database + QA/Tester. Mỗi SV có nhiệm vụ phụ và minh chứng cá nhân.</v>
      </c>
      <c r="I1643" t="s">
        <v>29</v>
      </c>
      <c r="J1643" t="s">
        <v>3699</v>
      </c>
      <c r="K1643" t="str">
        <f>IF(I1643="Trung bình",'Huong dan giao do an'!$B$8,IF(I1643="Khá",'Huong dan giao do an'!$B$9,'Huong dan giao do an'!$B$10))</f>
        <v>Tối thiểu 5 actor; 14-18 use case; 10-15 bảng; 4 quy trình; tích hợp ngoài/realtime hoặc xử lý nâng cao; 3 báo cáo; &gt;=45 test case; logging, backup và deploy.</v>
      </c>
      <c r="L1643" t="str">
        <f>'Huong dan giao do an'!$B$31</f>
        <v>Bắt buộc: Charter/PMP; SRS + scope/WBS; Gantt/baseline; effort-cost budget; RACI/timesheet; quality-test-defect; communication/minutes; risk register; procurement; change log; closure/lessons learned.</v>
      </c>
      <c r="M1643" t="str">
        <f>'Huong dan giao do an'!$B$33</f>
        <v>Tuần 1: 07.09–13.09.2026; Tuần 2: 14.09–20.09.2026; Tuần 3: 21.09–27.09.2026; Tuần 4: 28.09–04.10.2026; Tuần 5: 05.10–11.10.2026; Tuần 6: 12.10–18.10.2026; Tuần 7: 19.10–25.10.2026; Tuần 8: 26.10–01.11.2026.</v>
      </c>
      <c r="N16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3" s="17" t="str">
        <f t="shared" si="25"/>
        <v>Còn trống</v>
      </c>
    </row>
    <row r="1644" spans="1:16" x14ac:dyDescent="0.3">
      <c r="A1644">
        <v>1643</v>
      </c>
      <c r="B1644" t="s">
        <v>3689</v>
      </c>
      <c r="C1644" t="s">
        <v>3801</v>
      </c>
      <c r="D1644" t="s">
        <v>3802</v>
      </c>
      <c r="E1644" t="s">
        <v>40</v>
      </c>
      <c r="F1644" t="s">
        <v>3702</v>
      </c>
      <c r="G1644" t="s">
        <v>3703</v>
      </c>
      <c r="H1644" t="str">
        <f>'Huong dan giao do an'!$B$14</f>
        <v>5 SV (vai trò chính): 1 PM/Scrum Master kiêm Integration; 2 BA/PO; 3 UI-UX + Frontend; 4 Backend/API + DevOps; 5 Database + QA/Tester. Mỗi SV có nhiệm vụ phụ và minh chứng cá nhân.</v>
      </c>
      <c r="I1644" t="s">
        <v>36</v>
      </c>
      <c r="J1644" t="s">
        <v>23</v>
      </c>
      <c r="K1644" t="str">
        <f>IF(I1644="Trung bình",'Huong dan giao do an'!$B$8,IF(I1644="Khá",'Huong dan giao do an'!$B$9,'Huong dan giao do an'!$B$10))</f>
        <v>Tối thiểu 3 actor; 8-10 use case; 6-8 bảng dữ liệu; 2 quy trình lõi; đăng nhập/RBAC; 1 dashboard; 1 báo cáo; &gt;=25 test case; triển khai bản demo.</v>
      </c>
      <c r="L1644" t="str">
        <f>'Huong dan giao do an'!$B$31</f>
        <v>Bắt buộc: Charter/PMP; SRS + scope/WBS; Gantt/baseline; effort-cost budget; RACI/timesheet; quality-test-defect; communication/minutes; risk register; procurement; change log; closure/lessons learned.</v>
      </c>
      <c r="M1644" t="str">
        <f>'Huong dan giao do an'!$B$33</f>
        <v>Tuần 1: 07.09–13.09.2026; Tuần 2: 14.09–20.09.2026; Tuần 3: 21.09–27.09.2026; Tuần 4: 28.09–04.10.2026; Tuần 5: 05.10–11.10.2026; Tuần 6: 12.10–18.10.2026; Tuần 7: 19.10–25.10.2026; Tuần 8: 26.10–01.11.2026.</v>
      </c>
      <c r="N16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4" s="17" t="str">
        <f t="shared" si="25"/>
        <v>Còn trống</v>
      </c>
    </row>
    <row r="1645" spans="1:16" x14ac:dyDescent="0.3">
      <c r="A1645">
        <v>1644</v>
      </c>
      <c r="B1645" t="s">
        <v>3689</v>
      </c>
      <c r="C1645" t="s">
        <v>3803</v>
      </c>
      <c r="D1645" t="s">
        <v>3804</v>
      </c>
      <c r="E1645" t="s">
        <v>45</v>
      </c>
      <c r="F1645" t="s">
        <v>3706</v>
      </c>
      <c r="G1645" t="s">
        <v>3707</v>
      </c>
      <c r="H1645" t="str">
        <f>'Huong dan giao do an'!$B$14</f>
        <v>5 SV (vai trò chính): 1 PM/Scrum Master kiêm Integration; 2 BA/PO; 3 UI-UX + Frontend; 4 Backend/API + DevOps; 5 Database + QA/Tester. Mỗi SV có nhiệm vụ phụ và minh chứng cá nhân.</v>
      </c>
      <c r="I1645" t="s">
        <v>22</v>
      </c>
      <c r="J1645" t="s">
        <v>3694</v>
      </c>
      <c r="K1645" t="str">
        <f>IF(I1645="Trung bình",'Huong dan giao do an'!$B$8,IF(I1645="Khá",'Huong dan giao do an'!$B$9,'Huong dan giao do an'!$B$10))</f>
        <v>Tối thiểu 4 actor; 10-14 use case; 8-12 bảng; 3 quy trình lõi; phân quyền chi tiết; 2 báo cáo; tích hợp 1 dịch vụ; &gt;=35 test case; CI/CD hoặc deploy cloud.</v>
      </c>
      <c r="L1645" t="str">
        <f>'Huong dan giao do an'!$B$31</f>
        <v>Bắt buộc: Charter/PMP; SRS + scope/WBS; Gantt/baseline; effort-cost budget; RACI/timesheet; quality-test-defect; communication/minutes; risk register; procurement; change log; closure/lessons learned.</v>
      </c>
      <c r="M1645" t="str">
        <f>'Huong dan giao do an'!$B$33</f>
        <v>Tuần 1: 07.09–13.09.2026; Tuần 2: 14.09–20.09.2026; Tuần 3: 21.09–27.09.2026; Tuần 4: 28.09–04.10.2026; Tuần 5: 05.10–11.10.2026; Tuần 6: 12.10–18.10.2026; Tuần 7: 19.10–25.10.2026; Tuần 8: 26.10–01.11.2026.</v>
      </c>
      <c r="N16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5" s="17" t="str">
        <f t="shared" si="25"/>
        <v>Còn trống</v>
      </c>
    </row>
    <row r="1646" spans="1:16" x14ac:dyDescent="0.3">
      <c r="A1646">
        <v>1645</v>
      </c>
      <c r="B1646" t="s">
        <v>3689</v>
      </c>
      <c r="C1646" t="s">
        <v>3805</v>
      </c>
      <c r="D1646" t="s">
        <v>3806</v>
      </c>
      <c r="E1646" t="s">
        <v>19</v>
      </c>
      <c r="F1646" t="s">
        <v>3710</v>
      </c>
      <c r="G1646" t="s">
        <v>3711</v>
      </c>
      <c r="H1646" t="str">
        <f>'Huong dan giao do an'!$B$14</f>
        <v>5 SV (vai trò chính): 1 PM/Scrum Master kiêm Integration; 2 BA/PO; 3 UI-UX + Frontend; 4 Backend/API + DevOps; 5 Database + QA/Tester. Mỗi SV có nhiệm vụ phụ và minh chứng cá nhân.</v>
      </c>
      <c r="I1646" t="s">
        <v>29</v>
      </c>
      <c r="J1646" t="s">
        <v>3699</v>
      </c>
      <c r="K1646" t="str">
        <f>IF(I1646="Trung bình",'Huong dan giao do an'!$B$8,IF(I1646="Khá",'Huong dan giao do an'!$B$9,'Huong dan giao do an'!$B$10))</f>
        <v>Tối thiểu 5 actor; 14-18 use case; 10-15 bảng; 4 quy trình; tích hợp ngoài/realtime hoặc xử lý nâng cao; 3 báo cáo; &gt;=45 test case; logging, backup và deploy.</v>
      </c>
      <c r="L1646" t="str">
        <f>'Huong dan giao do an'!$B$31</f>
        <v>Bắt buộc: Charter/PMP; SRS + scope/WBS; Gantt/baseline; effort-cost budget; RACI/timesheet; quality-test-defect; communication/minutes; risk register; procurement; change log; closure/lessons learned.</v>
      </c>
      <c r="M1646" t="str">
        <f>'Huong dan giao do an'!$B$33</f>
        <v>Tuần 1: 07.09–13.09.2026; Tuần 2: 14.09–20.09.2026; Tuần 3: 21.09–27.09.2026; Tuần 4: 28.09–04.10.2026; Tuần 5: 05.10–11.10.2026; Tuần 6: 12.10–18.10.2026; Tuần 7: 19.10–25.10.2026; Tuần 8: 26.10–01.11.2026.</v>
      </c>
      <c r="N16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6" s="17" t="str">
        <f t="shared" si="25"/>
        <v>Còn trống</v>
      </c>
    </row>
    <row r="1647" spans="1:16" x14ac:dyDescent="0.3">
      <c r="A1647">
        <v>1646</v>
      </c>
      <c r="B1647" t="s">
        <v>3689</v>
      </c>
      <c r="C1647" t="s">
        <v>3807</v>
      </c>
      <c r="D1647" t="s">
        <v>3808</v>
      </c>
      <c r="E1647" t="s">
        <v>26</v>
      </c>
      <c r="F1647" t="s">
        <v>3692</v>
      </c>
      <c r="G1647" t="s">
        <v>3714</v>
      </c>
      <c r="H1647" t="str">
        <f>'Huong dan giao do an'!$B$14</f>
        <v>5 SV (vai trò chính): 1 PM/Scrum Master kiêm Integration; 2 BA/PO; 3 UI-UX + Frontend; 4 Backend/API + DevOps; 5 Database + QA/Tester. Mỗi SV có nhiệm vụ phụ và minh chứng cá nhân.</v>
      </c>
      <c r="I1647" t="s">
        <v>36</v>
      </c>
      <c r="J1647" t="s">
        <v>23</v>
      </c>
      <c r="K1647" t="str">
        <f>IF(I1647="Trung bình",'Huong dan giao do an'!$B$8,IF(I1647="Khá",'Huong dan giao do an'!$B$9,'Huong dan giao do an'!$B$10))</f>
        <v>Tối thiểu 3 actor; 8-10 use case; 6-8 bảng dữ liệu; 2 quy trình lõi; đăng nhập/RBAC; 1 dashboard; 1 báo cáo; &gt;=25 test case; triển khai bản demo.</v>
      </c>
      <c r="L1647" t="str">
        <f>'Huong dan giao do an'!$B$31</f>
        <v>Bắt buộc: Charter/PMP; SRS + scope/WBS; Gantt/baseline; effort-cost budget; RACI/timesheet; quality-test-defect; communication/minutes; risk register; procurement; change log; closure/lessons learned.</v>
      </c>
      <c r="M1647" t="str">
        <f>'Huong dan giao do an'!$B$33</f>
        <v>Tuần 1: 07.09–13.09.2026; Tuần 2: 14.09–20.09.2026; Tuần 3: 21.09–27.09.2026; Tuần 4: 28.09–04.10.2026; Tuần 5: 05.10–11.10.2026; Tuần 6: 12.10–18.10.2026; Tuần 7: 19.10–25.10.2026; Tuần 8: 26.10–01.11.2026.</v>
      </c>
      <c r="N16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7" s="17" t="str">
        <f t="shared" si="25"/>
        <v>Còn trống</v>
      </c>
    </row>
    <row r="1648" spans="1:16" x14ac:dyDescent="0.3">
      <c r="A1648">
        <v>1647</v>
      </c>
      <c r="B1648" t="s">
        <v>3689</v>
      </c>
      <c r="C1648" t="s">
        <v>3809</v>
      </c>
      <c r="D1648" t="s">
        <v>3810</v>
      </c>
      <c r="E1648" t="s">
        <v>33</v>
      </c>
      <c r="F1648" t="s">
        <v>3697</v>
      </c>
      <c r="G1648" t="s">
        <v>3717</v>
      </c>
      <c r="H1648" t="str">
        <f>'Huong dan giao do an'!$B$14</f>
        <v>5 SV (vai trò chính): 1 PM/Scrum Master kiêm Integration; 2 BA/PO; 3 UI-UX + Frontend; 4 Backend/API + DevOps; 5 Database + QA/Tester. Mỗi SV có nhiệm vụ phụ và minh chứng cá nhân.</v>
      </c>
      <c r="I1648" t="s">
        <v>22</v>
      </c>
      <c r="J1648" t="s">
        <v>3694</v>
      </c>
      <c r="K1648" t="str">
        <f>IF(I1648="Trung bình",'Huong dan giao do an'!$B$8,IF(I1648="Khá",'Huong dan giao do an'!$B$9,'Huong dan giao do an'!$B$10))</f>
        <v>Tối thiểu 4 actor; 10-14 use case; 8-12 bảng; 3 quy trình lõi; phân quyền chi tiết; 2 báo cáo; tích hợp 1 dịch vụ; &gt;=35 test case; CI/CD hoặc deploy cloud.</v>
      </c>
      <c r="L1648" t="str">
        <f>'Huong dan giao do an'!$B$31</f>
        <v>Bắt buộc: Charter/PMP; SRS + scope/WBS; Gantt/baseline; effort-cost budget; RACI/timesheet; quality-test-defect; communication/minutes; risk register; procurement; change log; closure/lessons learned.</v>
      </c>
      <c r="M1648" t="str">
        <f>'Huong dan giao do an'!$B$33</f>
        <v>Tuần 1: 07.09–13.09.2026; Tuần 2: 14.09–20.09.2026; Tuần 3: 21.09–27.09.2026; Tuần 4: 28.09–04.10.2026; Tuần 5: 05.10–11.10.2026; Tuần 6: 12.10–18.10.2026; Tuần 7: 19.10–25.10.2026; Tuần 8: 26.10–01.11.2026.</v>
      </c>
      <c r="N16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8" s="17" t="str">
        <f t="shared" si="25"/>
        <v>Còn trống</v>
      </c>
    </row>
    <row r="1649" spans="1:16" x14ac:dyDescent="0.3">
      <c r="A1649">
        <v>1648</v>
      </c>
      <c r="B1649" t="s">
        <v>3689</v>
      </c>
      <c r="C1649" t="s">
        <v>3811</v>
      </c>
      <c r="D1649" t="s">
        <v>3812</v>
      </c>
      <c r="E1649" t="s">
        <v>40</v>
      </c>
      <c r="F1649" t="s">
        <v>3702</v>
      </c>
      <c r="G1649" t="s">
        <v>3720</v>
      </c>
      <c r="H1649" t="str">
        <f>'Huong dan giao do an'!$B$14</f>
        <v>5 SV (vai trò chính): 1 PM/Scrum Master kiêm Integration; 2 BA/PO; 3 UI-UX + Frontend; 4 Backend/API + DevOps; 5 Database + QA/Tester. Mỗi SV có nhiệm vụ phụ và minh chứng cá nhân.</v>
      </c>
      <c r="I1649" t="s">
        <v>29</v>
      </c>
      <c r="J1649" t="s">
        <v>3699</v>
      </c>
      <c r="K1649" t="str">
        <f>IF(I1649="Trung bình",'Huong dan giao do an'!$B$8,IF(I1649="Khá",'Huong dan giao do an'!$B$9,'Huong dan giao do an'!$B$10))</f>
        <v>Tối thiểu 5 actor; 14-18 use case; 10-15 bảng; 4 quy trình; tích hợp ngoài/realtime hoặc xử lý nâng cao; 3 báo cáo; &gt;=45 test case; logging, backup và deploy.</v>
      </c>
      <c r="L1649" t="str">
        <f>'Huong dan giao do an'!$B$31</f>
        <v>Bắt buộc: Charter/PMP; SRS + scope/WBS; Gantt/baseline; effort-cost budget; RACI/timesheet; quality-test-defect; communication/minutes; risk register; procurement; change log; closure/lessons learned.</v>
      </c>
      <c r="M1649" t="str">
        <f>'Huong dan giao do an'!$B$33</f>
        <v>Tuần 1: 07.09–13.09.2026; Tuần 2: 14.09–20.09.2026; Tuần 3: 21.09–27.09.2026; Tuần 4: 28.09–04.10.2026; Tuần 5: 05.10–11.10.2026; Tuần 6: 12.10–18.10.2026; Tuần 7: 19.10–25.10.2026; Tuần 8: 26.10–01.11.2026.</v>
      </c>
      <c r="N16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49" s="17" t="str">
        <f t="shared" si="25"/>
        <v>Còn trống</v>
      </c>
    </row>
    <row r="1650" spans="1:16" x14ac:dyDescent="0.3">
      <c r="A1650">
        <v>1649</v>
      </c>
      <c r="B1650" t="s">
        <v>3689</v>
      </c>
      <c r="C1650" t="s">
        <v>3813</v>
      </c>
      <c r="D1650" t="s">
        <v>3814</v>
      </c>
      <c r="E1650" t="s">
        <v>45</v>
      </c>
      <c r="F1650" t="s">
        <v>3706</v>
      </c>
      <c r="G1650" t="s">
        <v>3723</v>
      </c>
      <c r="H1650" t="str">
        <f>'Huong dan giao do an'!$B$14</f>
        <v>5 SV (vai trò chính): 1 PM/Scrum Master kiêm Integration; 2 BA/PO; 3 UI-UX + Frontend; 4 Backend/API + DevOps; 5 Database + QA/Tester. Mỗi SV có nhiệm vụ phụ và minh chứng cá nhân.</v>
      </c>
      <c r="I1650" t="s">
        <v>36</v>
      </c>
      <c r="J1650" t="s">
        <v>23</v>
      </c>
      <c r="K1650" t="str">
        <f>IF(I1650="Trung bình",'Huong dan giao do an'!$B$8,IF(I1650="Khá",'Huong dan giao do an'!$B$9,'Huong dan giao do an'!$B$10))</f>
        <v>Tối thiểu 3 actor; 8-10 use case; 6-8 bảng dữ liệu; 2 quy trình lõi; đăng nhập/RBAC; 1 dashboard; 1 báo cáo; &gt;=25 test case; triển khai bản demo.</v>
      </c>
      <c r="L1650" t="str">
        <f>'Huong dan giao do an'!$B$31</f>
        <v>Bắt buộc: Charter/PMP; SRS + scope/WBS; Gantt/baseline; effort-cost budget; RACI/timesheet; quality-test-defect; communication/minutes; risk register; procurement; change log; closure/lessons learned.</v>
      </c>
      <c r="M1650" t="str">
        <f>'Huong dan giao do an'!$B$33</f>
        <v>Tuần 1: 07.09–13.09.2026; Tuần 2: 14.09–20.09.2026; Tuần 3: 21.09–27.09.2026; Tuần 4: 28.09–04.10.2026; Tuần 5: 05.10–11.10.2026; Tuần 6: 12.10–18.10.2026; Tuần 7: 19.10–25.10.2026; Tuần 8: 26.10–01.11.2026.</v>
      </c>
      <c r="N16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0" s="17" t="str">
        <f t="shared" si="25"/>
        <v>Còn trống</v>
      </c>
    </row>
    <row r="1651" spans="1:16" x14ac:dyDescent="0.3">
      <c r="A1651">
        <v>1650</v>
      </c>
      <c r="B1651" t="s">
        <v>3689</v>
      </c>
      <c r="C1651" t="s">
        <v>3815</v>
      </c>
      <c r="D1651" t="s">
        <v>3816</v>
      </c>
      <c r="E1651" t="s">
        <v>19</v>
      </c>
      <c r="F1651" t="s">
        <v>3710</v>
      </c>
      <c r="G1651" t="s">
        <v>3726</v>
      </c>
      <c r="H1651" t="str">
        <f>'Huong dan giao do an'!$B$14</f>
        <v>5 SV (vai trò chính): 1 PM/Scrum Master kiêm Integration; 2 BA/PO; 3 UI-UX + Frontend; 4 Backend/API + DevOps; 5 Database + QA/Tester. Mỗi SV có nhiệm vụ phụ và minh chứng cá nhân.</v>
      </c>
      <c r="I1651" t="s">
        <v>22</v>
      </c>
      <c r="J1651" t="s">
        <v>3694</v>
      </c>
      <c r="K1651" t="str">
        <f>IF(I1651="Trung bình",'Huong dan giao do an'!$B$8,IF(I1651="Khá",'Huong dan giao do an'!$B$9,'Huong dan giao do an'!$B$10))</f>
        <v>Tối thiểu 4 actor; 10-14 use case; 8-12 bảng; 3 quy trình lõi; phân quyền chi tiết; 2 báo cáo; tích hợp 1 dịch vụ; &gt;=35 test case; CI/CD hoặc deploy cloud.</v>
      </c>
      <c r="L1651" t="str">
        <f>'Huong dan giao do an'!$B$31</f>
        <v>Bắt buộc: Charter/PMP; SRS + scope/WBS; Gantt/baseline; effort-cost budget; RACI/timesheet; quality-test-defect; communication/minutes; risk register; procurement; change log; closure/lessons learned.</v>
      </c>
      <c r="M1651" t="str">
        <f>'Huong dan giao do an'!$B$33</f>
        <v>Tuần 1: 07.09–13.09.2026; Tuần 2: 14.09–20.09.2026; Tuần 3: 21.09–27.09.2026; Tuần 4: 28.09–04.10.2026; Tuần 5: 05.10–11.10.2026; Tuần 6: 12.10–18.10.2026; Tuần 7: 19.10–25.10.2026; Tuần 8: 26.10–01.11.2026.</v>
      </c>
      <c r="N16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1" s="17" t="str">
        <f t="shared" si="25"/>
        <v>Còn trống</v>
      </c>
    </row>
    <row r="1652" spans="1:16" x14ac:dyDescent="0.3">
      <c r="A1652">
        <v>1651</v>
      </c>
      <c r="B1652" t="s">
        <v>3689</v>
      </c>
      <c r="C1652" t="s">
        <v>3817</v>
      </c>
      <c r="D1652" t="s">
        <v>3818</v>
      </c>
      <c r="E1652" t="s">
        <v>26</v>
      </c>
      <c r="F1652" t="s">
        <v>3692</v>
      </c>
      <c r="G1652" t="s">
        <v>3729</v>
      </c>
      <c r="H1652" t="str">
        <f>'Huong dan giao do an'!$B$14</f>
        <v>5 SV (vai trò chính): 1 PM/Scrum Master kiêm Integration; 2 BA/PO; 3 UI-UX + Frontend; 4 Backend/API + DevOps; 5 Database + QA/Tester. Mỗi SV có nhiệm vụ phụ và minh chứng cá nhân.</v>
      </c>
      <c r="I1652" t="s">
        <v>29</v>
      </c>
      <c r="J1652" t="s">
        <v>3699</v>
      </c>
      <c r="K1652" t="str">
        <f>IF(I1652="Trung bình",'Huong dan giao do an'!$B$8,IF(I1652="Khá",'Huong dan giao do an'!$B$9,'Huong dan giao do an'!$B$10))</f>
        <v>Tối thiểu 5 actor; 14-18 use case; 10-15 bảng; 4 quy trình; tích hợp ngoài/realtime hoặc xử lý nâng cao; 3 báo cáo; &gt;=45 test case; logging, backup và deploy.</v>
      </c>
      <c r="L1652" t="str">
        <f>'Huong dan giao do an'!$B$31</f>
        <v>Bắt buộc: Charter/PMP; SRS + scope/WBS; Gantt/baseline; effort-cost budget; RACI/timesheet; quality-test-defect; communication/minutes; risk register; procurement; change log; closure/lessons learned.</v>
      </c>
      <c r="M1652" t="str">
        <f>'Huong dan giao do an'!$B$33</f>
        <v>Tuần 1: 07.09–13.09.2026; Tuần 2: 14.09–20.09.2026; Tuần 3: 21.09–27.09.2026; Tuần 4: 28.09–04.10.2026; Tuần 5: 05.10–11.10.2026; Tuần 6: 12.10–18.10.2026; Tuần 7: 19.10–25.10.2026; Tuần 8: 26.10–01.11.2026.</v>
      </c>
      <c r="N16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2" s="17" t="str">
        <f t="shared" si="25"/>
        <v>Còn trống</v>
      </c>
    </row>
    <row r="1653" spans="1:16" x14ac:dyDescent="0.3">
      <c r="A1653">
        <v>1652</v>
      </c>
      <c r="B1653" t="s">
        <v>3689</v>
      </c>
      <c r="C1653" t="s">
        <v>3819</v>
      </c>
      <c r="D1653" t="s">
        <v>3820</v>
      </c>
      <c r="E1653" t="s">
        <v>33</v>
      </c>
      <c r="F1653" t="s">
        <v>3697</v>
      </c>
      <c r="G1653" t="s">
        <v>3732</v>
      </c>
      <c r="H1653" t="str">
        <f>'Huong dan giao do an'!$B$14</f>
        <v>5 SV (vai trò chính): 1 PM/Scrum Master kiêm Integration; 2 BA/PO; 3 UI-UX + Frontend; 4 Backend/API + DevOps; 5 Database + QA/Tester. Mỗi SV có nhiệm vụ phụ và minh chứng cá nhân.</v>
      </c>
      <c r="I1653" t="s">
        <v>36</v>
      </c>
      <c r="J1653" t="s">
        <v>23</v>
      </c>
      <c r="K1653" t="str">
        <f>IF(I1653="Trung bình",'Huong dan giao do an'!$B$8,IF(I1653="Khá",'Huong dan giao do an'!$B$9,'Huong dan giao do an'!$B$10))</f>
        <v>Tối thiểu 3 actor; 8-10 use case; 6-8 bảng dữ liệu; 2 quy trình lõi; đăng nhập/RBAC; 1 dashboard; 1 báo cáo; &gt;=25 test case; triển khai bản demo.</v>
      </c>
      <c r="L1653" t="str">
        <f>'Huong dan giao do an'!$B$31</f>
        <v>Bắt buộc: Charter/PMP; SRS + scope/WBS; Gantt/baseline; effort-cost budget; RACI/timesheet; quality-test-defect; communication/minutes; risk register; procurement; change log; closure/lessons learned.</v>
      </c>
      <c r="M1653" t="str">
        <f>'Huong dan giao do an'!$B$33</f>
        <v>Tuần 1: 07.09–13.09.2026; Tuần 2: 14.09–20.09.2026; Tuần 3: 21.09–27.09.2026; Tuần 4: 28.09–04.10.2026; Tuần 5: 05.10–11.10.2026; Tuần 6: 12.10–18.10.2026; Tuần 7: 19.10–25.10.2026; Tuần 8: 26.10–01.11.2026.</v>
      </c>
      <c r="N16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3" s="17" t="str">
        <f t="shared" si="25"/>
        <v>Còn trống</v>
      </c>
    </row>
    <row r="1654" spans="1:16" x14ac:dyDescent="0.3">
      <c r="A1654">
        <v>1653</v>
      </c>
      <c r="B1654" t="s">
        <v>3689</v>
      </c>
      <c r="C1654" t="s">
        <v>3821</v>
      </c>
      <c r="D1654" t="s">
        <v>3822</v>
      </c>
      <c r="E1654" t="s">
        <v>40</v>
      </c>
      <c r="F1654" t="s">
        <v>3702</v>
      </c>
      <c r="G1654" t="s">
        <v>3735</v>
      </c>
      <c r="H1654" t="str">
        <f>'Huong dan giao do an'!$B$14</f>
        <v>5 SV (vai trò chính): 1 PM/Scrum Master kiêm Integration; 2 BA/PO; 3 UI-UX + Frontend; 4 Backend/API + DevOps; 5 Database + QA/Tester. Mỗi SV có nhiệm vụ phụ và minh chứng cá nhân.</v>
      </c>
      <c r="I1654" t="s">
        <v>22</v>
      </c>
      <c r="J1654" t="s">
        <v>3694</v>
      </c>
      <c r="K1654" t="str">
        <f>IF(I1654="Trung bình",'Huong dan giao do an'!$B$8,IF(I1654="Khá",'Huong dan giao do an'!$B$9,'Huong dan giao do an'!$B$10))</f>
        <v>Tối thiểu 4 actor; 10-14 use case; 8-12 bảng; 3 quy trình lõi; phân quyền chi tiết; 2 báo cáo; tích hợp 1 dịch vụ; &gt;=35 test case; CI/CD hoặc deploy cloud.</v>
      </c>
      <c r="L1654" t="str">
        <f>'Huong dan giao do an'!$B$31</f>
        <v>Bắt buộc: Charter/PMP; SRS + scope/WBS; Gantt/baseline; effort-cost budget; RACI/timesheet; quality-test-defect; communication/minutes; risk register; procurement; change log; closure/lessons learned.</v>
      </c>
      <c r="M1654" t="str">
        <f>'Huong dan giao do an'!$B$33</f>
        <v>Tuần 1: 07.09–13.09.2026; Tuần 2: 14.09–20.09.2026; Tuần 3: 21.09–27.09.2026; Tuần 4: 28.09–04.10.2026; Tuần 5: 05.10–11.10.2026; Tuần 6: 12.10–18.10.2026; Tuần 7: 19.10–25.10.2026; Tuần 8: 26.10–01.11.2026.</v>
      </c>
      <c r="N16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4" s="17" t="str">
        <f t="shared" si="25"/>
        <v>Còn trống</v>
      </c>
    </row>
    <row r="1655" spans="1:16" x14ac:dyDescent="0.3">
      <c r="A1655">
        <v>1654</v>
      </c>
      <c r="B1655" t="s">
        <v>3689</v>
      </c>
      <c r="C1655" t="s">
        <v>3823</v>
      </c>
      <c r="D1655" t="s">
        <v>3824</v>
      </c>
      <c r="E1655" t="s">
        <v>45</v>
      </c>
      <c r="F1655" t="s">
        <v>3706</v>
      </c>
      <c r="G1655" t="s">
        <v>3738</v>
      </c>
      <c r="H1655" t="str">
        <f>'Huong dan giao do an'!$B$14</f>
        <v>5 SV (vai trò chính): 1 PM/Scrum Master kiêm Integration; 2 BA/PO; 3 UI-UX + Frontend; 4 Backend/API + DevOps; 5 Database + QA/Tester. Mỗi SV có nhiệm vụ phụ và minh chứng cá nhân.</v>
      </c>
      <c r="I1655" t="s">
        <v>29</v>
      </c>
      <c r="J1655" t="s">
        <v>3699</v>
      </c>
      <c r="K1655" t="str">
        <f>IF(I1655="Trung bình",'Huong dan giao do an'!$B$8,IF(I1655="Khá",'Huong dan giao do an'!$B$9,'Huong dan giao do an'!$B$10))</f>
        <v>Tối thiểu 5 actor; 14-18 use case; 10-15 bảng; 4 quy trình; tích hợp ngoài/realtime hoặc xử lý nâng cao; 3 báo cáo; &gt;=45 test case; logging, backup và deploy.</v>
      </c>
      <c r="L1655" t="str">
        <f>'Huong dan giao do an'!$B$31</f>
        <v>Bắt buộc: Charter/PMP; SRS + scope/WBS; Gantt/baseline; effort-cost budget; RACI/timesheet; quality-test-defect; communication/minutes; risk register; procurement; change log; closure/lessons learned.</v>
      </c>
      <c r="M1655" t="str">
        <f>'Huong dan giao do an'!$B$33</f>
        <v>Tuần 1: 07.09–13.09.2026; Tuần 2: 14.09–20.09.2026; Tuần 3: 21.09–27.09.2026; Tuần 4: 28.09–04.10.2026; Tuần 5: 05.10–11.10.2026; Tuần 6: 12.10–18.10.2026; Tuần 7: 19.10–25.10.2026; Tuần 8: 26.10–01.11.2026.</v>
      </c>
      <c r="N16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5" s="17" t="str">
        <f t="shared" si="25"/>
        <v>Còn trống</v>
      </c>
    </row>
    <row r="1656" spans="1:16" x14ac:dyDescent="0.3">
      <c r="A1656">
        <v>1655</v>
      </c>
      <c r="B1656" t="s">
        <v>3689</v>
      </c>
      <c r="C1656" t="s">
        <v>3825</v>
      </c>
      <c r="D1656" t="s">
        <v>3826</v>
      </c>
      <c r="E1656" t="s">
        <v>19</v>
      </c>
      <c r="F1656" t="s">
        <v>3710</v>
      </c>
      <c r="G1656" t="s">
        <v>3741</v>
      </c>
      <c r="H1656" t="str">
        <f>'Huong dan giao do an'!$B$14</f>
        <v>5 SV (vai trò chính): 1 PM/Scrum Master kiêm Integration; 2 BA/PO; 3 UI-UX + Frontend; 4 Backend/API + DevOps; 5 Database + QA/Tester. Mỗi SV có nhiệm vụ phụ và minh chứng cá nhân.</v>
      </c>
      <c r="I1656" t="s">
        <v>36</v>
      </c>
      <c r="J1656" t="s">
        <v>23</v>
      </c>
      <c r="K1656" t="str">
        <f>IF(I1656="Trung bình",'Huong dan giao do an'!$B$8,IF(I1656="Khá",'Huong dan giao do an'!$B$9,'Huong dan giao do an'!$B$10))</f>
        <v>Tối thiểu 3 actor; 8-10 use case; 6-8 bảng dữ liệu; 2 quy trình lõi; đăng nhập/RBAC; 1 dashboard; 1 báo cáo; &gt;=25 test case; triển khai bản demo.</v>
      </c>
      <c r="L1656" t="str">
        <f>'Huong dan giao do an'!$B$31</f>
        <v>Bắt buộc: Charter/PMP; SRS + scope/WBS; Gantt/baseline; effort-cost budget; RACI/timesheet; quality-test-defect; communication/minutes; risk register; procurement; change log; closure/lessons learned.</v>
      </c>
      <c r="M1656" t="str">
        <f>'Huong dan giao do an'!$B$33</f>
        <v>Tuần 1: 07.09–13.09.2026; Tuần 2: 14.09–20.09.2026; Tuần 3: 21.09–27.09.2026; Tuần 4: 28.09–04.10.2026; Tuần 5: 05.10–11.10.2026; Tuần 6: 12.10–18.10.2026; Tuần 7: 19.10–25.10.2026; Tuần 8: 26.10–01.11.2026.</v>
      </c>
      <c r="N16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6" s="17" t="str">
        <f t="shared" si="25"/>
        <v>Còn trống</v>
      </c>
    </row>
    <row r="1657" spans="1:16" x14ac:dyDescent="0.3">
      <c r="A1657">
        <v>1656</v>
      </c>
      <c r="B1657" t="s">
        <v>3689</v>
      </c>
      <c r="C1657" t="s">
        <v>3827</v>
      </c>
      <c r="D1657" t="s">
        <v>3828</v>
      </c>
      <c r="E1657" t="s">
        <v>26</v>
      </c>
      <c r="F1657" t="s">
        <v>3692</v>
      </c>
      <c r="G1657" t="s">
        <v>3744</v>
      </c>
      <c r="H1657" t="str">
        <f>'Huong dan giao do an'!$B$14</f>
        <v>5 SV (vai trò chính): 1 PM/Scrum Master kiêm Integration; 2 BA/PO; 3 UI-UX + Frontend; 4 Backend/API + DevOps; 5 Database + QA/Tester. Mỗi SV có nhiệm vụ phụ và minh chứng cá nhân.</v>
      </c>
      <c r="I1657" t="s">
        <v>22</v>
      </c>
      <c r="J1657" t="s">
        <v>3694</v>
      </c>
      <c r="K1657" t="str">
        <f>IF(I1657="Trung bình",'Huong dan giao do an'!$B$8,IF(I1657="Khá",'Huong dan giao do an'!$B$9,'Huong dan giao do an'!$B$10))</f>
        <v>Tối thiểu 4 actor; 10-14 use case; 8-12 bảng; 3 quy trình lõi; phân quyền chi tiết; 2 báo cáo; tích hợp 1 dịch vụ; &gt;=35 test case; CI/CD hoặc deploy cloud.</v>
      </c>
      <c r="L1657" t="str">
        <f>'Huong dan giao do an'!$B$31</f>
        <v>Bắt buộc: Charter/PMP; SRS + scope/WBS; Gantt/baseline; effort-cost budget; RACI/timesheet; quality-test-defect; communication/minutes; risk register; procurement; change log; closure/lessons learned.</v>
      </c>
      <c r="M1657" t="str">
        <f>'Huong dan giao do an'!$B$33</f>
        <v>Tuần 1: 07.09–13.09.2026; Tuần 2: 14.09–20.09.2026; Tuần 3: 21.09–27.09.2026; Tuần 4: 28.09–04.10.2026; Tuần 5: 05.10–11.10.2026; Tuần 6: 12.10–18.10.2026; Tuần 7: 19.10–25.10.2026; Tuần 8: 26.10–01.11.2026.</v>
      </c>
      <c r="N16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7" s="17" t="str">
        <f t="shared" si="25"/>
        <v>Còn trống</v>
      </c>
    </row>
    <row r="1658" spans="1:16" x14ac:dyDescent="0.3">
      <c r="A1658">
        <v>1657</v>
      </c>
      <c r="B1658" t="s">
        <v>3689</v>
      </c>
      <c r="C1658" t="s">
        <v>3829</v>
      </c>
      <c r="D1658" t="s">
        <v>3830</v>
      </c>
      <c r="E1658" t="s">
        <v>33</v>
      </c>
      <c r="F1658" t="s">
        <v>3697</v>
      </c>
      <c r="G1658" t="s">
        <v>3747</v>
      </c>
      <c r="H1658" t="str">
        <f>'Huong dan giao do an'!$B$14</f>
        <v>5 SV (vai trò chính): 1 PM/Scrum Master kiêm Integration; 2 BA/PO; 3 UI-UX + Frontend; 4 Backend/API + DevOps; 5 Database + QA/Tester. Mỗi SV có nhiệm vụ phụ và minh chứng cá nhân.</v>
      </c>
      <c r="I1658" t="s">
        <v>29</v>
      </c>
      <c r="J1658" t="s">
        <v>3699</v>
      </c>
      <c r="K1658" t="str">
        <f>IF(I1658="Trung bình",'Huong dan giao do an'!$B$8,IF(I1658="Khá",'Huong dan giao do an'!$B$9,'Huong dan giao do an'!$B$10))</f>
        <v>Tối thiểu 5 actor; 14-18 use case; 10-15 bảng; 4 quy trình; tích hợp ngoài/realtime hoặc xử lý nâng cao; 3 báo cáo; &gt;=45 test case; logging, backup và deploy.</v>
      </c>
      <c r="L1658" t="str">
        <f>'Huong dan giao do an'!$B$31</f>
        <v>Bắt buộc: Charter/PMP; SRS + scope/WBS; Gantt/baseline; effort-cost budget; RACI/timesheet; quality-test-defect; communication/minutes; risk register; procurement; change log; closure/lessons learned.</v>
      </c>
      <c r="M1658" t="str">
        <f>'Huong dan giao do an'!$B$33</f>
        <v>Tuần 1: 07.09–13.09.2026; Tuần 2: 14.09–20.09.2026; Tuần 3: 21.09–27.09.2026; Tuần 4: 28.09–04.10.2026; Tuần 5: 05.10–11.10.2026; Tuần 6: 12.10–18.10.2026; Tuần 7: 19.10–25.10.2026; Tuần 8: 26.10–01.11.2026.</v>
      </c>
      <c r="N16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8" s="17" t="str">
        <f t="shared" si="25"/>
        <v>Còn trống</v>
      </c>
    </row>
    <row r="1659" spans="1:16" x14ac:dyDescent="0.3">
      <c r="A1659">
        <v>1658</v>
      </c>
      <c r="B1659" t="s">
        <v>3689</v>
      </c>
      <c r="C1659" t="s">
        <v>3831</v>
      </c>
      <c r="D1659" t="s">
        <v>3832</v>
      </c>
      <c r="E1659" t="s">
        <v>40</v>
      </c>
      <c r="F1659" t="s">
        <v>3702</v>
      </c>
      <c r="G1659" t="s">
        <v>3750</v>
      </c>
      <c r="H1659" t="str">
        <f>'Huong dan giao do an'!$B$14</f>
        <v>5 SV (vai trò chính): 1 PM/Scrum Master kiêm Integration; 2 BA/PO; 3 UI-UX + Frontend; 4 Backend/API + DevOps; 5 Database + QA/Tester. Mỗi SV có nhiệm vụ phụ và minh chứng cá nhân.</v>
      </c>
      <c r="I1659" t="s">
        <v>36</v>
      </c>
      <c r="J1659" t="s">
        <v>23</v>
      </c>
      <c r="K1659" t="str">
        <f>IF(I1659="Trung bình",'Huong dan giao do an'!$B$8,IF(I1659="Khá",'Huong dan giao do an'!$B$9,'Huong dan giao do an'!$B$10))</f>
        <v>Tối thiểu 3 actor; 8-10 use case; 6-8 bảng dữ liệu; 2 quy trình lõi; đăng nhập/RBAC; 1 dashboard; 1 báo cáo; &gt;=25 test case; triển khai bản demo.</v>
      </c>
      <c r="L1659" t="str">
        <f>'Huong dan giao do an'!$B$31</f>
        <v>Bắt buộc: Charter/PMP; SRS + scope/WBS; Gantt/baseline; effort-cost budget; RACI/timesheet; quality-test-defect; communication/minutes; risk register; procurement; change log; closure/lessons learned.</v>
      </c>
      <c r="M1659" t="str">
        <f>'Huong dan giao do an'!$B$33</f>
        <v>Tuần 1: 07.09–13.09.2026; Tuần 2: 14.09–20.09.2026; Tuần 3: 21.09–27.09.2026; Tuần 4: 28.09–04.10.2026; Tuần 5: 05.10–11.10.2026; Tuần 6: 12.10–18.10.2026; Tuần 7: 19.10–25.10.2026; Tuần 8: 26.10–01.11.2026.</v>
      </c>
      <c r="N16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59" s="17" t="str">
        <f t="shared" si="25"/>
        <v>Còn trống</v>
      </c>
    </row>
    <row r="1660" spans="1:16" x14ac:dyDescent="0.3">
      <c r="A1660">
        <v>1659</v>
      </c>
      <c r="B1660" t="s">
        <v>3689</v>
      </c>
      <c r="C1660" t="s">
        <v>3833</v>
      </c>
      <c r="D1660" t="s">
        <v>3834</v>
      </c>
      <c r="E1660" t="s">
        <v>45</v>
      </c>
      <c r="F1660" t="s">
        <v>3706</v>
      </c>
      <c r="G1660" t="s">
        <v>3753</v>
      </c>
      <c r="H1660" t="str">
        <f>'Huong dan giao do an'!$B$14</f>
        <v>5 SV (vai trò chính): 1 PM/Scrum Master kiêm Integration; 2 BA/PO; 3 UI-UX + Frontend; 4 Backend/API + DevOps; 5 Database + QA/Tester. Mỗi SV có nhiệm vụ phụ và minh chứng cá nhân.</v>
      </c>
      <c r="I1660" t="s">
        <v>22</v>
      </c>
      <c r="J1660" t="s">
        <v>3694</v>
      </c>
      <c r="K1660" t="str">
        <f>IF(I1660="Trung bình",'Huong dan giao do an'!$B$8,IF(I1660="Khá",'Huong dan giao do an'!$B$9,'Huong dan giao do an'!$B$10))</f>
        <v>Tối thiểu 4 actor; 10-14 use case; 8-12 bảng; 3 quy trình lõi; phân quyền chi tiết; 2 báo cáo; tích hợp 1 dịch vụ; &gt;=35 test case; CI/CD hoặc deploy cloud.</v>
      </c>
      <c r="L1660" t="str">
        <f>'Huong dan giao do an'!$B$31</f>
        <v>Bắt buộc: Charter/PMP; SRS + scope/WBS; Gantt/baseline; effort-cost budget; RACI/timesheet; quality-test-defect; communication/minutes; risk register; procurement; change log; closure/lessons learned.</v>
      </c>
      <c r="M1660" t="str">
        <f>'Huong dan giao do an'!$B$33</f>
        <v>Tuần 1: 07.09–13.09.2026; Tuần 2: 14.09–20.09.2026; Tuần 3: 21.09–27.09.2026; Tuần 4: 28.09–04.10.2026; Tuần 5: 05.10–11.10.2026; Tuần 6: 12.10–18.10.2026; Tuần 7: 19.10–25.10.2026; Tuần 8: 26.10–01.11.2026.</v>
      </c>
      <c r="N16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0" s="17" t="str">
        <f t="shared" si="25"/>
        <v>Còn trống</v>
      </c>
    </row>
    <row r="1661" spans="1:16" x14ac:dyDescent="0.3">
      <c r="A1661">
        <v>1660</v>
      </c>
      <c r="B1661" t="s">
        <v>3689</v>
      </c>
      <c r="C1661" t="s">
        <v>3835</v>
      </c>
      <c r="D1661" t="s">
        <v>3836</v>
      </c>
      <c r="E1661" t="s">
        <v>19</v>
      </c>
      <c r="F1661" t="s">
        <v>3710</v>
      </c>
      <c r="G1661" t="s">
        <v>3756</v>
      </c>
      <c r="H1661" t="str">
        <f>'Huong dan giao do an'!$B$14</f>
        <v>5 SV (vai trò chính): 1 PM/Scrum Master kiêm Integration; 2 BA/PO; 3 UI-UX + Frontend; 4 Backend/API + DevOps; 5 Database + QA/Tester. Mỗi SV có nhiệm vụ phụ và minh chứng cá nhân.</v>
      </c>
      <c r="I1661" t="s">
        <v>29</v>
      </c>
      <c r="J1661" t="s">
        <v>3699</v>
      </c>
      <c r="K1661" t="str">
        <f>IF(I1661="Trung bình",'Huong dan giao do an'!$B$8,IF(I1661="Khá",'Huong dan giao do an'!$B$9,'Huong dan giao do an'!$B$10))</f>
        <v>Tối thiểu 5 actor; 14-18 use case; 10-15 bảng; 4 quy trình; tích hợp ngoài/realtime hoặc xử lý nâng cao; 3 báo cáo; &gt;=45 test case; logging, backup và deploy.</v>
      </c>
      <c r="L1661" t="str">
        <f>'Huong dan giao do an'!$B$31</f>
        <v>Bắt buộc: Charter/PMP; SRS + scope/WBS; Gantt/baseline; effort-cost budget; RACI/timesheet; quality-test-defect; communication/minutes; risk register; procurement; change log; closure/lessons learned.</v>
      </c>
      <c r="M1661" t="str">
        <f>'Huong dan giao do an'!$B$33</f>
        <v>Tuần 1: 07.09–13.09.2026; Tuần 2: 14.09–20.09.2026; Tuần 3: 21.09–27.09.2026; Tuần 4: 28.09–04.10.2026; Tuần 5: 05.10–11.10.2026; Tuần 6: 12.10–18.10.2026; Tuần 7: 19.10–25.10.2026; Tuần 8: 26.10–01.11.2026.</v>
      </c>
      <c r="N16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1" s="17" t="str">
        <f t="shared" si="25"/>
        <v>Còn trống</v>
      </c>
    </row>
    <row r="1662" spans="1:16" x14ac:dyDescent="0.3">
      <c r="A1662">
        <v>1661</v>
      </c>
      <c r="B1662" t="s">
        <v>3689</v>
      </c>
      <c r="C1662" t="s">
        <v>3837</v>
      </c>
      <c r="D1662" t="s">
        <v>3838</v>
      </c>
      <c r="E1662" t="s">
        <v>26</v>
      </c>
      <c r="F1662" t="s">
        <v>3692</v>
      </c>
      <c r="G1662" t="s">
        <v>3693</v>
      </c>
      <c r="H1662" t="str">
        <f>'Huong dan giao do an'!$B$14</f>
        <v>5 SV (vai trò chính): 1 PM/Scrum Master kiêm Integration; 2 BA/PO; 3 UI-UX + Frontend; 4 Backend/API + DevOps; 5 Database + QA/Tester. Mỗi SV có nhiệm vụ phụ và minh chứng cá nhân.</v>
      </c>
      <c r="I1662" t="s">
        <v>22</v>
      </c>
      <c r="J1662" t="s">
        <v>3694</v>
      </c>
      <c r="K1662" t="str">
        <f>IF(I1662="Trung bình",'Huong dan giao do an'!$B$8,IF(I1662="Khá",'Huong dan giao do an'!$B$9,'Huong dan giao do an'!$B$10))</f>
        <v>Tối thiểu 4 actor; 10-14 use case; 8-12 bảng; 3 quy trình lõi; phân quyền chi tiết; 2 báo cáo; tích hợp 1 dịch vụ; &gt;=35 test case; CI/CD hoặc deploy cloud.</v>
      </c>
      <c r="L1662" t="str">
        <f>'Huong dan giao do an'!$B$31</f>
        <v>Bắt buộc: Charter/PMP; SRS + scope/WBS; Gantt/baseline; effort-cost budget; RACI/timesheet; quality-test-defect; communication/minutes; risk register; procurement; change log; closure/lessons learned.</v>
      </c>
      <c r="M1662" t="str">
        <f>'Huong dan giao do an'!$B$33</f>
        <v>Tuần 1: 07.09–13.09.2026; Tuần 2: 14.09–20.09.2026; Tuần 3: 21.09–27.09.2026; Tuần 4: 28.09–04.10.2026; Tuần 5: 05.10–11.10.2026; Tuần 6: 12.10–18.10.2026; Tuần 7: 19.10–25.10.2026; Tuần 8: 26.10–01.11.2026.</v>
      </c>
      <c r="N16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2" s="17" t="str">
        <f t="shared" si="25"/>
        <v>Còn trống</v>
      </c>
    </row>
    <row r="1663" spans="1:16" x14ac:dyDescent="0.3">
      <c r="A1663">
        <v>1662</v>
      </c>
      <c r="B1663" t="s">
        <v>3689</v>
      </c>
      <c r="C1663" t="s">
        <v>3839</v>
      </c>
      <c r="D1663" t="s">
        <v>3840</v>
      </c>
      <c r="E1663" t="s">
        <v>33</v>
      </c>
      <c r="F1663" t="s">
        <v>3697</v>
      </c>
      <c r="G1663" t="s">
        <v>3698</v>
      </c>
      <c r="H1663" t="str">
        <f>'Huong dan giao do an'!$B$14</f>
        <v>5 SV (vai trò chính): 1 PM/Scrum Master kiêm Integration; 2 BA/PO; 3 UI-UX + Frontend; 4 Backend/API + DevOps; 5 Database + QA/Tester. Mỗi SV có nhiệm vụ phụ và minh chứng cá nhân.</v>
      </c>
      <c r="I1663" t="s">
        <v>29</v>
      </c>
      <c r="J1663" t="s">
        <v>3699</v>
      </c>
      <c r="K1663" t="str">
        <f>IF(I1663="Trung bình",'Huong dan giao do an'!$B$8,IF(I1663="Khá",'Huong dan giao do an'!$B$9,'Huong dan giao do an'!$B$10))</f>
        <v>Tối thiểu 5 actor; 14-18 use case; 10-15 bảng; 4 quy trình; tích hợp ngoài/realtime hoặc xử lý nâng cao; 3 báo cáo; &gt;=45 test case; logging, backup và deploy.</v>
      </c>
      <c r="L1663" t="str">
        <f>'Huong dan giao do an'!$B$31</f>
        <v>Bắt buộc: Charter/PMP; SRS + scope/WBS; Gantt/baseline; effort-cost budget; RACI/timesheet; quality-test-defect; communication/minutes; risk register; procurement; change log; closure/lessons learned.</v>
      </c>
      <c r="M1663" t="str">
        <f>'Huong dan giao do an'!$B$33</f>
        <v>Tuần 1: 07.09–13.09.2026; Tuần 2: 14.09–20.09.2026; Tuần 3: 21.09–27.09.2026; Tuần 4: 28.09–04.10.2026; Tuần 5: 05.10–11.10.2026; Tuần 6: 12.10–18.10.2026; Tuần 7: 19.10–25.10.2026; Tuần 8: 26.10–01.11.2026.</v>
      </c>
      <c r="N16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3" s="17" t="str">
        <f t="shared" si="25"/>
        <v>Còn trống</v>
      </c>
    </row>
    <row r="1664" spans="1:16" x14ac:dyDescent="0.3">
      <c r="A1664">
        <v>1663</v>
      </c>
      <c r="B1664" t="s">
        <v>3689</v>
      </c>
      <c r="C1664" t="s">
        <v>3841</v>
      </c>
      <c r="D1664" t="s">
        <v>3842</v>
      </c>
      <c r="E1664" t="s">
        <v>40</v>
      </c>
      <c r="F1664" t="s">
        <v>3702</v>
      </c>
      <c r="G1664" t="s">
        <v>3703</v>
      </c>
      <c r="H1664" t="str">
        <f>'Huong dan giao do an'!$B$14</f>
        <v>5 SV (vai trò chính): 1 PM/Scrum Master kiêm Integration; 2 BA/PO; 3 UI-UX + Frontend; 4 Backend/API + DevOps; 5 Database + QA/Tester. Mỗi SV có nhiệm vụ phụ và minh chứng cá nhân.</v>
      </c>
      <c r="I1664" t="s">
        <v>36</v>
      </c>
      <c r="J1664" t="s">
        <v>23</v>
      </c>
      <c r="K1664" t="str">
        <f>IF(I1664="Trung bình",'Huong dan giao do an'!$B$8,IF(I1664="Khá",'Huong dan giao do an'!$B$9,'Huong dan giao do an'!$B$10))</f>
        <v>Tối thiểu 3 actor; 8-10 use case; 6-8 bảng dữ liệu; 2 quy trình lõi; đăng nhập/RBAC; 1 dashboard; 1 báo cáo; &gt;=25 test case; triển khai bản demo.</v>
      </c>
      <c r="L1664" t="str">
        <f>'Huong dan giao do an'!$B$31</f>
        <v>Bắt buộc: Charter/PMP; SRS + scope/WBS; Gantt/baseline; effort-cost budget; RACI/timesheet; quality-test-defect; communication/minutes; risk register; procurement; change log; closure/lessons learned.</v>
      </c>
      <c r="M1664" t="str">
        <f>'Huong dan giao do an'!$B$33</f>
        <v>Tuần 1: 07.09–13.09.2026; Tuần 2: 14.09–20.09.2026; Tuần 3: 21.09–27.09.2026; Tuần 4: 28.09–04.10.2026; Tuần 5: 05.10–11.10.2026; Tuần 6: 12.10–18.10.2026; Tuần 7: 19.10–25.10.2026; Tuần 8: 26.10–01.11.2026.</v>
      </c>
      <c r="N16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4" s="17" t="str">
        <f t="shared" si="25"/>
        <v>Còn trống</v>
      </c>
    </row>
    <row r="1665" spans="1:16" x14ac:dyDescent="0.3">
      <c r="A1665">
        <v>1664</v>
      </c>
      <c r="B1665" t="s">
        <v>3689</v>
      </c>
      <c r="C1665" t="s">
        <v>3843</v>
      </c>
      <c r="D1665" t="s">
        <v>3844</v>
      </c>
      <c r="E1665" t="s">
        <v>45</v>
      </c>
      <c r="F1665" t="s">
        <v>3706</v>
      </c>
      <c r="G1665" t="s">
        <v>3707</v>
      </c>
      <c r="H1665" t="str">
        <f>'Huong dan giao do an'!$B$14</f>
        <v>5 SV (vai trò chính): 1 PM/Scrum Master kiêm Integration; 2 BA/PO; 3 UI-UX + Frontend; 4 Backend/API + DevOps; 5 Database + QA/Tester. Mỗi SV có nhiệm vụ phụ và minh chứng cá nhân.</v>
      </c>
      <c r="I1665" t="s">
        <v>22</v>
      </c>
      <c r="J1665" t="s">
        <v>3694</v>
      </c>
      <c r="K1665" t="str">
        <f>IF(I1665="Trung bình",'Huong dan giao do an'!$B$8,IF(I1665="Khá",'Huong dan giao do an'!$B$9,'Huong dan giao do an'!$B$10))</f>
        <v>Tối thiểu 4 actor; 10-14 use case; 8-12 bảng; 3 quy trình lõi; phân quyền chi tiết; 2 báo cáo; tích hợp 1 dịch vụ; &gt;=35 test case; CI/CD hoặc deploy cloud.</v>
      </c>
      <c r="L1665" t="str">
        <f>'Huong dan giao do an'!$B$31</f>
        <v>Bắt buộc: Charter/PMP; SRS + scope/WBS; Gantt/baseline; effort-cost budget; RACI/timesheet; quality-test-defect; communication/minutes; risk register; procurement; change log; closure/lessons learned.</v>
      </c>
      <c r="M1665" t="str">
        <f>'Huong dan giao do an'!$B$33</f>
        <v>Tuần 1: 07.09–13.09.2026; Tuần 2: 14.09–20.09.2026; Tuần 3: 21.09–27.09.2026; Tuần 4: 28.09–04.10.2026; Tuần 5: 05.10–11.10.2026; Tuần 6: 12.10–18.10.2026; Tuần 7: 19.10–25.10.2026; Tuần 8: 26.10–01.11.2026.</v>
      </c>
      <c r="N16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5" s="17" t="str">
        <f t="shared" si="25"/>
        <v>Còn trống</v>
      </c>
    </row>
    <row r="1666" spans="1:16" x14ac:dyDescent="0.3">
      <c r="A1666">
        <v>1665</v>
      </c>
      <c r="B1666" t="s">
        <v>3689</v>
      </c>
      <c r="C1666" t="s">
        <v>3845</v>
      </c>
      <c r="D1666" t="s">
        <v>3846</v>
      </c>
      <c r="E1666" t="s">
        <v>19</v>
      </c>
      <c r="F1666" t="s">
        <v>3710</v>
      </c>
      <c r="G1666" t="s">
        <v>3711</v>
      </c>
      <c r="H1666" t="str">
        <f>'Huong dan giao do an'!$B$14</f>
        <v>5 SV (vai trò chính): 1 PM/Scrum Master kiêm Integration; 2 BA/PO; 3 UI-UX + Frontend; 4 Backend/API + DevOps; 5 Database + QA/Tester. Mỗi SV có nhiệm vụ phụ và minh chứng cá nhân.</v>
      </c>
      <c r="I1666" t="s">
        <v>29</v>
      </c>
      <c r="J1666" t="s">
        <v>3699</v>
      </c>
      <c r="K1666" t="str">
        <f>IF(I1666="Trung bình",'Huong dan giao do an'!$B$8,IF(I1666="Khá",'Huong dan giao do an'!$B$9,'Huong dan giao do an'!$B$10))</f>
        <v>Tối thiểu 5 actor; 14-18 use case; 10-15 bảng; 4 quy trình; tích hợp ngoài/realtime hoặc xử lý nâng cao; 3 báo cáo; &gt;=45 test case; logging, backup và deploy.</v>
      </c>
      <c r="L1666" t="str">
        <f>'Huong dan giao do an'!$B$31</f>
        <v>Bắt buộc: Charter/PMP; SRS + scope/WBS; Gantt/baseline; effort-cost budget; RACI/timesheet; quality-test-defect; communication/minutes; risk register; procurement; change log; closure/lessons learned.</v>
      </c>
      <c r="M1666" t="str">
        <f>'Huong dan giao do an'!$B$33</f>
        <v>Tuần 1: 07.09–13.09.2026; Tuần 2: 14.09–20.09.2026; Tuần 3: 21.09–27.09.2026; Tuần 4: 28.09–04.10.2026; Tuần 5: 05.10–11.10.2026; Tuần 6: 12.10–18.10.2026; Tuần 7: 19.10–25.10.2026; Tuần 8: 26.10–01.11.2026.</v>
      </c>
      <c r="N16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6" s="17" t="str">
        <f t="shared" si="25"/>
        <v>Còn trống</v>
      </c>
    </row>
    <row r="1667" spans="1:16" x14ac:dyDescent="0.3">
      <c r="A1667">
        <v>1666</v>
      </c>
      <c r="B1667" t="s">
        <v>3689</v>
      </c>
      <c r="C1667" t="s">
        <v>3847</v>
      </c>
      <c r="D1667" t="s">
        <v>3848</v>
      </c>
      <c r="E1667" t="s">
        <v>26</v>
      </c>
      <c r="F1667" t="s">
        <v>3692</v>
      </c>
      <c r="G1667" t="s">
        <v>3714</v>
      </c>
      <c r="H1667" t="str">
        <f>'Huong dan giao do an'!$B$14</f>
        <v>5 SV (vai trò chính): 1 PM/Scrum Master kiêm Integration; 2 BA/PO; 3 UI-UX + Frontend; 4 Backend/API + DevOps; 5 Database + QA/Tester. Mỗi SV có nhiệm vụ phụ và minh chứng cá nhân.</v>
      </c>
      <c r="I1667" t="s">
        <v>36</v>
      </c>
      <c r="J1667" t="s">
        <v>23</v>
      </c>
      <c r="K1667" t="str">
        <f>IF(I1667="Trung bình",'Huong dan giao do an'!$B$8,IF(I1667="Khá",'Huong dan giao do an'!$B$9,'Huong dan giao do an'!$B$10))</f>
        <v>Tối thiểu 3 actor; 8-10 use case; 6-8 bảng dữ liệu; 2 quy trình lõi; đăng nhập/RBAC; 1 dashboard; 1 báo cáo; &gt;=25 test case; triển khai bản demo.</v>
      </c>
      <c r="L1667" t="str">
        <f>'Huong dan giao do an'!$B$31</f>
        <v>Bắt buộc: Charter/PMP; SRS + scope/WBS; Gantt/baseline; effort-cost budget; RACI/timesheet; quality-test-defect; communication/minutes; risk register; procurement; change log; closure/lessons learned.</v>
      </c>
      <c r="M1667" t="str">
        <f>'Huong dan giao do an'!$B$33</f>
        <v>Tuần 1: 07.09–13.09.2026; Tuần 2: 14.09–20.09.2026; Tuần 3: 21.09–27.09.2026; Tuần 4: 28.09–04.10.2026; Tuần 5: 05.10–11.10.2026; Tuần 6: 12.10–18.10.2026; Tuần 7: 19.10–25.10.2026; Tuần 8: 26.10–01.11.2026.</v>
      </c>
      <c r="N16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7" s="17" t="str">
        <f t="shared" ref="P1667:P1730" si="26">IF(O1667="","Còn trống","Đã đăng ký")</f>
        <v>Còn trống</v>
      </c>
    </row>
    <row r="1668" spans="1:16" x14ac:dyDescent="0.3">
      <c r="A1668">
        <v>1667</v>
      </c>
      <c r="B1668" t="s">
        <v>3689</v>
      </c>
      <c r="C1668" t="s">
        <v>3849</v>
      </c>
      <c r="D1668" t="s">
        <v>3850</v>
      </c>
      <c r="E1668" t="s">
        <v>33</v>
      </c>
      <c r="F1668" t="s">
        <v>3697</v>
      </c>
      <c r="G1668" t="s">
        <v>3717</v>
      </c>
      <c r="H1668" t="str">
        <f>'Huong dan giao do an'!$B$14</f>
        <v>5 SV (vai trò chính): 1 PM/Scrum Master kiêm Integration; 2 BA/PO; 3 UI-UX + Frontend; 4 Backend/API + DevOps; 5 Database + QA/Tester. Mỗi SV có nhiệm vụ phụ và minh chứng cá nhân.</v>
      </c>
      <c r="I1668" t="s">
        <v>22</v>
      </c>
      <c r="J1668" t="s">
        <v>3694</v>
      </c>
      <c r="K1668" t="str">
        <f>IF(I1668="Trung bình",'Huong dan giao do an'!$B$8,IF(I1668="Khá",'Huong dan giao do an'!$B$9,'Huong dan giao do an'!$B$10))</f>
        <v>Tối thiểu 4 actor; 10-14 use case; 8-12 bảng; 3 quy trình lõi; phân quyền chi tiết; 2 báo cáo; tích hợp 1 dịch vụ; &gt;=35 test case; CI/CD hoặc deploy cloud.</v>
      </c>
      <c r="L1668" t="str">
        <f>'Huong dan giao do an'!$B$31</f>
        <v>Bắt buộc: Charter/PMP; SRS + scope/WBS; Gantt/baseline; effort-cost budget; RACI/timesheet; quality-test-defect; communication/minutes; risk register; procurement; change log; closure/lessons learned.</v>
      </c>
      <c r="M1668" t="str">
        <f>'Huong dan giao do an'!$B$33</f>
        <v>Tuần 1: 07.09–13.09.2026; Tuần 2: 14.09–20.09.2026; Tuần 3: 21.09–27.09.2026; Tuần 4: 28.09–04.10.2026; Tuần 5: 05.10–11.10.2026; Tuần 6: 12.10–18.10.2026; Tuần 7: 19.10–25.10.2026; Tuần 8: 26.10–01.11.2026.</v>
      </c>
      <c r="N16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8" s="17" t="str">
        <f t="shared" si="26"/>
        <v>Còn trống</v>
      </c>
    </row>
    <row r="1669" spans="1:16" x14ac:dyDescent="0.3">
      <c r="A1669">
        <v>1668</v>
      </c>
      <c r="B1669" t="s">
        <v>3689</v>
      </c>
      <c r="C1669" t="s">
        <v>3851</v>
      </c>
      <c r="D1669" t="s">
        <v>3852</v>
      </c>
      <c r="E1669" t="s">
        <v>40</v>
      </c>
      <c r="F1669" t="s">
        <v>3702</v>
      </c>
      <c r="G1669" t="s">
        <v>3720</v>
      </c>
      <c r="H1669" t="str">
        <f>'Huong dan giao do an'!$B$14</f>
        <v>5 SV (vai trò chính): 1 PM/Scrum Master kiêm Integration; 2 BA/PO; 3 UI-UX + Frontend; 4 Backend/API + DevOps; 5 Database + QA/Tester. Mỗi SV có nhiệm vụ phụ và minh chứng cá nhân.</v>
      </c>
      <c r="I1669" t="s">
        <v>29</v>
      </c>
      <c r="J1669" t="s">
        <v>3699</v>
      </c>
      <c r="K1669" t="str">
        <f>IF(I1669="Trung bình",'Huong dan giao do an'!$B$8,IF(I1669="Khá",'Huong dan giao do an'!$B$9,'Huong dan giao do an'!$B$10))</f>
        <v>Tối thiểu 5 actor; 14-18 use case; 10-15 bảng; 4 quy trình; tích hợp ngoài/realtime hoặc xử lý nâng cao; 3 báo cáo; &gt;=45 test case; logging, backup và deploy.</v>
      </c>
      <c r="L1669" t="str">
        <f>'Huong dan giao do an'!$B$31</f>
        <v>Bắt buộc: Charter/PMP; SRS + scope/WBS; Gantt/baseline; effort-cost budget; RACI/timesheet; quality-test-defect; communication/minutes; risk register; procurement; change log; closure/lessons learned.</v>
      </c>
      <c r="M1669" t="str">
        <f>'Huong dan giao do an'!$B$33</f>
        <v>Tuần 1: 07.09–13.09.2026; Tuần 2: 14.09–20.09.2026; Tuần 3: 21.09–27.09.2026; Tuần 4: 28.09–04.10.2026; Tuần 5: 05.10–11.10.2026; Tuần 6: 12.10–18.10.2026; Tuần 7: 19.10–25.10.2026; Tuần 8: 26.10–01.11.2026.</v>
      </c>
      <c r="N16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69" s="17" t="str">
        <f t="shared" si="26"/>
        <v>Còn trống</v>
      </c>
    </row>
    <row r="1670" spans="1:16" x14ac:dyDescent="0.3">
      <c r="A1670">
        <v>1669</v>
      </c>
      <c r="B1670" t="s">
        <v>3689</v>
      </c>
      <c r="C1670" t="s">
        <v>3853</v>
      </c>
      <c r="D1670" t="s">
        <v>3854</v>
      </c>
      <c r="E1670" t="s">
        <v>45</v>
      </c>
      <c r="F1670" t="s">
        <v>3706</v>
      </c>
      <c r="G1670" t="s">
        <v>3723</v>
      </c>
      <c r="H1670" t="str">
        <f>'Huong dan giao do an'!$B$14</f>
        <v>5 SV (vai trò chính): 1 PM/Scrum Master kiêm Integration; 2 BA/PO; 3 UI-UX + Frontend; 4 Backend/API + DevOps; 5 Database + QA/Tester. Mỗi SV có nhiệm vụ phụ và minh chứng cá nhân.</v>
      </c>
      <c r="I1670" t="s">
        <v>36</v>
      </c>
      <c r="J1670" t="s">
        <v>23</v>
      </c>
      <c r="K1670" t="str">
        <f>IF(I1670="Trung bình",'Huong dan giao do an'!$B$8,IF(I1670="Khá",'Huong dan giao do an'!$B$9,'Huong dan giao do an'!$B$10))</f>
        <v>Tối thiểu 3 actor; 8-10 use case; 6-8 bảng dữ liệu; 2 quy trình lõi; đăng nhập/RBAC; 1 dashboard; 1 báo cáo; &gt;=25 test case; triển khai bản demo.</v>
      </c>
      <c r="L1670" t="str">
        <f>'Huong dan giao do an'!$B$31</f>
        <v>Bắt buộc: Charter/PMP; SRS + scope/WBS; Gantt/baseline; effort-cost budget; RACI/timesheet; quality-test-defect; communication/minutes; risk register; procurement; change log; closure/lessons learned.</v>
      </c>
      <c r="M1670" t="str">
        <f>'Huong dan giao do an'!$B$33</f>
        <v>Tuần 1: 07.09–13.09.2026; Tuần 2: 14.09–20.09.2026; Tuần 3: 21.09–27.09.2026; Tuần 4: 28.09–04.10.2026; Tuần 5: 05.10–11.10.2026; Tuần 6: 12.10–18.10.2026; Tuần 7: 19.10–25.10.2026; Tuần 8: 26.10–01.11.2026.</v>
      </c>
      <c r="N16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0" s="17" t="str">
        <f t="shared" si="26"/>
        <v>Còn trống</v>
      </c>
    </row>
    <row r="1671" spans="1:16" x14ac:dyDescent="0.3">
      <c r="A1671">
        <v>1670</v>
      </c>
      <c r="B1671" t="s">
        <v>3689</v>
      </c>
      <c r="C1671" t="s">
        <v>3855</v>
      </c>
      <c r="D1671" t="s">
        <v>3856</v>
      </c>
      <c r="E1671" t="s">
        <v>19</v>
      </c>
      <c r="F1671" t="s">
        <v>3710</v>
      </c>
      <c r="G1671" t="s">
        <v>3726</v>
      </c>
      <c r="H1671" t="str">
        <f>'Huong dan giao do an'!$B$14</f>
        <v>5 SV (vai trò chính): 1 PM/Scrum Master kiêm Integration; 2 BA/PO; 3 UI-UX + Frontend; 4 Backend/API + DevOps; 5 Database + QA/Tester. Mỗi SV có nhiệm vụ phụ và minh chứng cá nhân.</v>
      </c>
      <c r="I1671" t="s">
        <v>22</v>
      </c>
      <c r="J1671" t="s">
        <v>3694</v>
      </c>
      <c r="K1671" t="str">
        <f>IF(I1671="Trung bình",'Huong dan giao do an'!$B$8,IF(I1671="Khá",'Huong dan giao do an'!$B$9,'Huong dan giao do an'!$B$10))</f>
        <v>Tối thiểu 4 actor; 10-14 use case; 8-12 bảng; 3 quy trình lõi; phân quyền chi tiết; 2 báo cáo; tích hợp 1 dịch vụ; &gt;=35 test case; CI/CD hoặc deploy cloud.</v>
      </c>
      <c r="L1671" t="str">
        <f>'Huong dan giao do an'!$B$31</f>
        <v>Bắt buộc: Charter/PMP; SRS + scope/WBS; Gantt/baseline; effort-cost budget; RACI/timesheet; quality-test-defect; communication/minutes; risk register; procurement; change log; closure/lessons learned.</v>
      </c>
      <c r="M1671" t="str">
        <f>'Huong dan giao do an'!$B$33</f>
        <v>Tuần 1: 07.09–13.09.2026; Tuần 2: 14.09–20.09.2026; Tuần 3: 21.09–27.09.2026; Tuần 4: 28.09–04.10.2026; Tuần 5: 05.10–11.10.2026; Tuần 6: 12.10–18.10.2026; Tuần 7: 19.10–25.10.2026; Tuần 8: 26.10–01.11.2026.</v>
      </c>
      <c r="N16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1" s="17" t="str">
        <f t="shared" si="26"/>
        <v>Còn trống</v>
      </c>
    </row>
    <row r="1672" spans="1:16" x14ac:dyDescent="0.3">
      <c r="A1672">
        <v>1671</v>
      </c>
      <c r="B1672" t="s">
        <v>3689</v>
      </c>
      <c r="C1672" t="s">
        <v>3857</v>
      </c>
      <c r="D1672" t="s">
        <v>3858</v>
      </c>
      <c r="E1672" t="s">
        <v>26</v>
      </c>
      <c r="F1672" t="s">
        <v>3692</v>
      </c>
      <c r="G1672" t="s">
        <v>3729</v>
      </c>
      <c r="H1672" t="str">
        <f>'Huong dan giao do an'!$B$14</f>
        <v>5 SV (vai trò chính): 1 PM/Scrum Master kiêm Integration; 2 BA/PO; 3 UI-UX + Frontend; 4 Backend/API + DevOps; 5 Database + QA/Tester. Mỗi SV có nhiệm vụ phụ và minh chứng cá nhân.</v>
      </c>
      <c r="I1672" t="s">
        <v>29</v>
      </c>
      <c r="J1672" t="s">
        <v>3699</v>
      </c>
      <c r="K1672" t="str">
        <f>IF(I1672="Trung bình",'Huong dan giao do an'!$B$8,IF(I1672="Khá",'Huong dan giao do an'!$B$9,'Huong dan giao do an'!$B$10))</f>
        <v>Tối thiểu 5 actor; 14-18 use case; 10-15 bảng; 4 quy trình; tích hợp ngoài/realtime hoặc xử lý nâng cao; 3 báo cáo; &gt;=45 test case; logging, backup và deploy.</v>
      </c>
      <c r="L1672" t="str">
        <f>'Huong dan giao do an'!$B$31</f>
        <v>Bắt buộc: Charter/PMP; SRS + scope/WBS; Gantt/baseline; effort-cost budget; RACI/timesheet; quality-test-defect; communication/minutes; risk register; procurement; change log; closure/lessons learned.</v>
      </c>
      <c r="M1672" t="str">
        <f>'Huong dan giao do an'!$B$33</f>
        <v>Tuần 1: 07.09–13.09.2026; Tuần 2: 14.09–20.09.2026; Tuần 3: 21.09–27.09.2026; Tuần 4: 28.09–04.10.2026; Tuần 5: 05.10–11.10.2026; Tuần 6: 12.10–18.10.2026; Tuần 7: 19.10–25.10.2026; Tuần 8: 26.10–01.11.2026.</v>
      </c>
      <c r="N16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2" s="17" t="str">
        <f t="shared" si="26"/>
        <v>Còn trống</v>
      </c>
    </row>
    <row r="1673" spans="1:16" x14ac:dyDescent="0.3">
      <c r="A1673">
        <v>1672</v>
      </c>
      <c r="B1673" t="s">
        <v>3689</v>
      </c>
      <c r="C1673" t="s">
        <v>3859</v>
      </c>
      <c r="D1673" t="s">
        <v>3860</v>
      </c>
      <c r="E1673" t="s">
        <v>33</v>
      </c>
      <c r="F1673" t="s">
        <v>3697</v>
      </c>
      <c r="G1673" t="s">
        <v>3732</v>
      </c>
      <c r="H1673" t="str">
        <f>'Huong dan giao do an'!$B$14</f>
        <v>5 SV (vai trò chính): 1 PM/Scrum Master kiêm Integration; 2 BA/PO; 3 UI-UX + Frontend; 4 Backend/API + DevOps; 5 Database + QA/Tester. Mỗi SV có nhiệm vụ phụ và minh chứng cá nhân.</v>
      </c>
      <c r="I1673" t="s">
        <v>36</v>
      </c>
      <c r="J1673" t="s">
        <v>23</v>
      </c>
      <c r="K1673" t="str">
        <f>IF(I1673="Trung bình",'Huong dan giao do an'!$B$8,IF(I1673="Khá",'Huong dan giao do an'!$B$9,'Huong dan giao do an'!$B$10))</f>
        <v>Tối thiểu 3 actor; 8-10 use case; 6-8 bảng dữ liệu; 2 quy trình lõi; đăng nhập/RBAC; 1 dashboard; 1 báo cáo; &gt;=25 test case; triển khai bản demo.</v>
      </c>
      <c r="L1673" t="str">
        <f>'Huong dan giao do an'!$B$31</f>
        <v>Bắt buộc: Charter/PMP; SRS + scope/WBS; Gantt/baseline; effort-cost budget; RACI/timesheet; quality-test-defect; communication/minutes; risk register; procurement; change log; closure/lessons learned.</v>
      </c>
      <c r="M1673" t="str">
        <f>'Huong dan giao do an'!$B$33</f>
        <v>Tuần 1: 07.09–13.09.2026; Tuần 2: 14.09–20.09.2026; Tuần 3: 21.09–27.09.2026; Tuần 4: 28.09–04.10.2026; Tuần 5: 05.10–11.10.2026; Tuần 6: 12.10–18.10.2026; Tuần 7: 19.10–25.10.2026; Tuần 8: 26.10–01.11.2026.</v>
      </c>
      <c r="N16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3" s="17" t="str">
        <f t="shared" si="26"/>
        <v>Còn trống</v>
      </c>
    </row>
    <row r="1674" spans="1:16" x14ac:dyDescent="0.3">
      <c r="A1674">
        <v>1673</v>
      </c>
      <c r="B1674" t="s">
        <v>3689</v>
      </c>
      <c r="C1674" t="s">
        <v>3861</v>
      </c>
      <c r="D1674" t="s">
        <v>3862</v>
      </c>
      <c r="E1674" t="s">
        <v>40</v>
      </c>
      <c r="F1674" t="s">
        <v>3702</v>
      </c>
      <c r="G1674" t="s">
        <v>3735</v>
      </c>
      <c r="H1674" t="str">
        <f>'Huong dan giao do an'!$B$14</f>
        <v>5 SV (vai trò chính): 1 PM/Scrum Master kiêm Integration; 2 BA/PO; 3 UI-UX + Frontend; 4 Backend/API + DevOps; 5 Database + QA/Tester. Mỗi SV có nhiệm vụ phụ và minh chứng cá nhân.</v>
      </c>
      <c r="I1674" t="s">
        <v>22</v>
      </c>
      <c r="J1674" t="s">
        <v>3694</v>
      </c>
      <c r="K1674" t="str">
        <f>IF(I1674="Trung bình",'Huong dan giao do an'!$B$8,IF(I1674="Khá",'Huong dan giao do an'!$B$9,'Huong dan giao do an'!$B$10))</f>
        <v>Tối thiểu 4 actor; 10-14 use case; 8-12 bảng; 3 quy trình lõi; phân quyền chi tiết; 2 báo cáo; tích hợp 1 dịch vụ; &gt;=35 test case; CI/CD hoặc deploy cloud.</v>
      </c>
      <c r="L1674" t="str">
        <f>'Huong dan giao do an'!$B$31</f>
        <v>Bắt buộc: Charter/PMP; SRS + scope/WBS; Gantt/baseline; effort-cost budget; RACI/timesheet; quality-test-defect; communication/minutes; risk register; procurement; change log; closure/lessons learned.</v>
      </c>
      <c r="M1674" t="str">
        <f>'Huong dan giao do an'!$B$33</f>
        <v>Tuần 1: 07.09–13.09.2026; Tuần 2: 14.09–20.09.2026; Tuần 3: 21.09–27.09.2026; Tuần 4: 28.09–04.10.2026; Tuần 5: 05.10–11.10.2026; Tuần 6: 12.10–18.10.2026; Tuần 7: 19.10–25.10.2026; Tuần 8: 26.10–01.11.2026.</v>
      </c>
      <c r="N16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4" s="17" t="str">
        <f t="shared" si="26"/>
        <v>Còn trống</v>
      </c>
    </row>
    <row r="1675" spans="1:16" x14ac:dyDescent="0.3">
      <c r="A1675">
        <v>1674</v>
      </c>
      <c r="B1675" t="s">
        <v>3689</v>
      </c>
      <c r="C1675" t="s">
        <v>3863</v>
      </c>
      <c r="D1675" t="s">
        <v>3864</v>
      </c>
      <c r="E1675" t="s">
        <v>45</v>
      </c>
      <c r="F1675" t="s">
        <v>3706</v>
      </c>
      <c r="G1675" t="s">
        <v>3738</v>
      </c>
      <c r="H1675" t="str">
        <f>'Huong dan giao do an'!$B$14</f>
        <v>5 SV (vai trò chính): 1 PM/Scrum Master kiêm Integration; 2 BA/PO; 3 UI-UX + Frontend; 4 Backend/API + DevOps; 5 Database + QA/Tester. Mỗi SV có nhiệm vụ phụ và minh chứng cá nhân.</v>
      </c>
      <c r="I1675" t="s">
        <v>29</v>
      </c>
      <c r="J1675" t="s">
        <v>3699</v>
      </c>
      <c r="K1675" t="str">
        <f>IF(I1675="Trung bình",'Huong dan giao do an'!$B$8,IF(I1675="Khá",'Huong dan giao do an'!$B$9,'Huong dan giao do an'!$B$10))</f>
        <v>Tối thiểu 5 actor; 14-18 use case; 10-15 bảng; 4 quy trình; tích hợp ngoài/realtime hoặc xử lý nâng cao; 3 báo cáo; &gt;=45 test case; logging, backup và deploy.</v>
      </c>
      <c r="L1675" t="str">
        <f>'Huong dan giao do an'!$B$31</f>
        <v>Bắt buộc: Charter/PMP; SRS + scope/WBS; Gantt/baseline; effort-cost budget; RACI/timesheet; quality-test-defect; communication/minutes; risk register; procurement; change log; closure/lessons learned.</v>
      </c>
      <c r="M1675" t="str">
        <f>'Huong dan giao do an'!$B$33</f>
        <v>Tuần 1: 07.09–13.09.2026; Tuần 2: 14.09–20.09.2026; Tuần 3: 21.09–27.09.2026; Tuần 4: 28.09–04.10.2026; Tuần 5: 05.10–11.10.2026; Tuần 6: 12.10–18.10.2026; Tuần 7: 19.10–25.10.2026; Tuần 8: 26.10–01.11.2026.</v>
      </c>
      <c r="N16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5" s="17" t="str">
        <f t="shared" si="26"/>
        <v>Còn trống</v>
      </c>
    </row>
    <row r="1676" spans="1:16" x14ac:dyDescent="0.3">
      <c r="A1676">
        <v>1675</v>
      </c>
      <c r="B1676" t="s">
        <v>3689</v>
      </c>
      <c r="C1676" t="s">
        <v>3865</v>
      </c>
      <c r="D1676" t="s">
        <v>3866</v>
      </c>
      <c r="E1676" t="s">
        <v>19</v>
      </c>
      <c r="F1676" t="s">
        <v>3710</v>
      </c>
      <c r="G1676" t="s">
        <v>3741</v>
      </c>
      <c r="H1676" t="str">
        <f>'Huong dan giao do an'!$B$14</f>
        <v>5 SV (vai trò chính): 1 PM/Scrum Master kiêm Integration; 2 BA/PO; 3 UI-UX + Frontend; 4 Backend/API + DevOps; 5 Database + QA/Tester. Mỗi SV có nhiệm vụ phụ và minh chứng cá nhân.</v>
      </c>
      <c r="I1676" t="s">
        <v>36</v>
      </c>
      <c r="J1676" t="s">
        <v>23</v>
      </c>
      <c r="K1676" t="str">
        <f>IF(I1676="Trung bình",'Huong dan giao do an'!$B$8,IF(I1676="Khá",'Huong dan giao do an'!$B$9,'Huong dan giao do an'!$B$10))</f>
        <v>Tối thiểu 3 actor; 8-10 use case; 6-8 bảng dữ liệu; 2 quy trình lõi; đăng nhập/RBAC; 1 dashboard; 1 báo cáo; &gt;=25 test case; triển khai bản demo.</v>
      </c>
      <c r="L1676" t="str">
        <f>'Huong dan giao do an'!$B$31</f>
        <v>Bắt buộc: Charter/PMP; SRS + scope/WBS; Gantt/baseline; effort-cost budget; RACI/timesheet; quality-test-defect; communication/minutes; risk register; procurement; change log; closure/lessons learned.</v>
      </c>
      <c r="M1676" t="str">
        <f>'Huong dan giao do an'!$B$33</f>
        <v>Tuần 1: 07.09–13.09.2026; Tuần 2: 14.09–20.09.2026; Tuần 3: 21.09–27.09.2026; Tuần 4: 28.09–04.10.2026; Tuần 5: 05.10–11.10.2026; Tuần 6: 12.10–18.10.2026; Tuần 7: 19.10–25.10.2026; Tuần 8: 26.10–01.11.2026.</v>
      </c>
      <c r="N16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6" s="17" t="str">
        <f t="shared" si="26"/>
        <v>Còn trống</v>
      </c>
    </row>
    <row r="1677" spans="1:16" x14ac:dyDescent="0.3">
      <c r="A1677">
        <v>1676</v>
      </c>
      <c r="B1677" t="s">
        <v>3689</v>
      </c>
      <c r="C1677" t="s">
        <v>3867</v>
      </c>
      <c r="D1677" t="s">
        <v>3868</v>
      </c>
      <c r="E1677" t="s">
        <v>26</v>
      </c>
      <c r="F1677" t="s">
        <v>3692</v>
      </c>
      <c r="G1677" t="s">
        <v>3744</v>
      </c>
      <c r="H1677" t="str">
        <f>'Huong dan giao do an'!$B$14</f>
        <v>5 SV (vai trò chính): 1 PM/Scrum Master kiêm Integration; 2 BA/PO; 3 UI-UX + Frontend; 4 Backend/API + DevOps; 5 Database + QA/Tester. Mỗi SV có nhiệm vụ phụ và minh chứng cá nhân.</v>
      </c>
      <c r="I1677" t="s">
        <v>22</v>
      </c>
      <c r="J1677" t="s">
        <v>3694</v>
      </c>
      <c r="K1677" t="str">
        <f>IF(I1677="Trung bình",'Huong dan giao do an'!$B$8,IF(I1677="Khá",'Huong dan giao do an'!$B$9,'Huong dan giao do an'!$B$10))</f>
        <v>Tối thiểu 4 actor; 10-14 use case; 8-12 bảng; 3 quy trình lõi; phân quyền chi tiết; 2 báo cáo; tích hợp 1 dịch vụ; &gt;=35 test case; CI/CD hoặc deploy cloud.</v>
      </c>
      <c r="L1677" t="str">
        <f>'Huong dan giao do an'!$B$31</f>
        <v>Bắt buộc: Charter/PMP; SRS + scope/WBS; Gantt/baseline; effort-cost budget; RACI/timesheet; quality-test-defect; communication/minutes; risk register; procurement; change log; closure/lessons learned.</v>
      </c>
      <c r="M1677" t="str">
        <f>'Huong dan giao do an'!$B$33</f>
        <v>Tuần 1: 07.09–13.09.2026; Tuần 2: 14.09–20.09.2026; Tuần 3: 21.09–27.09.2026; Tuần 4: 28.09–04.10.2026; Tuần 5: 05.10–11.10.2026; Tuần 6: 12.10–18.10.2026; Tuần 7: 19.10–25.10.2026; Tuần 8: 26.10–01.11.2026.</v>
      </c>
      <c r="N16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7" s="17" t="str">
        <f t="shared" si="26"/>
        <v>Còn trống</v>
      </c>
    </row>
    <row r="1678" spans="1:16" x14ac:dyDescent="0.3">
      <c r="A1678">
        <v>1677</v>
      </c>
      <c r="B1678" t="s">
        <v>3689</v>
      </c>
      <c r="C1678" t="s">
        <v>3869</v>
      </c>
      <c r="D1678" t="s">
        <v>3870</v>
      </c>
      <c r="E1678" t="s">
        <v>33</v>
      </c>
      <c r="F1678" t="s">
        <v>3697</v>
      </c>
      <c r="G1678" t="s">
        <v>3747</v>
      </c>
      <c r="H1678" t="str">
        <f>'Huong dan giao do an'!$B$14</f>
        <v>5 SV (vai trò chính): 1 PM/Scrum Master kiêm Integration; 2 BA/PO; 3 UI-UX + Frontend; 4 Backend/API + DevOps; 5 Database + QA/Tester. Mỗi SV có nhiệm vụ phụ và minh chứng cá nhân.</v>
      </c>
      <c r="I1678" t="s">
        <v>29</v>
      </c>
      <c r="J1678" t="s">
        <v>3699</v>
      </c>
      <c r="K1678" t="str">
        <f>IF(I1678="Trung bình",'Huong dan giao do an'!$B$8,IF(I1678="Khá",'Huong dan giao do an'!$B$9,'Huong dan giao do an'!$B$10))</f>
        <v>Tối thiểu 5 actor; 14-18 use case; 10-15 bảng; 4 quy trình; tích hợp ngoài/realtime hoặc xử lý nâng cao; 3 báo cáo; &gt;=45 test case; logging, backup và deploy.</v>
      </c>
      <c r="L1678" t="str">
        <f>'Huong dan giao do an'!$B$31</f>
        <v>Bắt buộc: Charter/PMP; SRS + scope/WBS; Gantt/baseline; effort-cost budget; RACI/timesheet; quality-test-defect; communication/minutes; risk register; procurement; change log; closure/lessons learned.</v>
      </c>
      <c r="M1678" t="str">
        <f>'Huong dan giao do an'!$B$33</f>
        <v>Tuần 1: 07.09–13.09.2026; Tuần 2: 14.09–20.09.2026; Tuần 3: 21.09–27.09.2026; Tuần 4: 28.09–04.10.2026; Tuần 5: 05.10–11.10.2026; Tuần 6: 12.10–18.10.2026; Tuần 7: 19.10–25.10.2026; Tuần 8: 26.10–01.11.2026.</v>
      </c>
      <c r="N16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8" s="17" t="str">
        <f t="shared" si="26"/>
        <v>Còn trống</v>
      </c>
    </row>
    <row r="1679" spans="1:16" x14ac:dyDescent="0.3">
      <c r="A1679">
        <v>1678</v>
      </c>
      <c r="B1679" t="s">
        <v>3689</v>
      </c>
      <c r="C1679" t="s">
        <v>3871</v>
      </c>
      <c r="D1679" t="s">
        <v>3872</v>
      </c>
      <c r="E1679" t="s">
        <v>40</v>
      </c>
      <c r="F1679" t="s">
        <v>3702</v>
      </c>
      <c r="G1679" t="s">
        <v>3750</v>
      </c>
      <c r="H1679" t="str">
        <f>'Huong dan giao do an'!$B$14</f>
        <v>5 SV (vai trò chính): 1 PM/Scrum Master kiêm Integration; 2 BA/PO; 3 UI-UX + Frontend; 4 Backend/API + DevOps; 5 Database + QA/Tester. Mỗi SV có nhiệm vụ phụ và minh chứng cá nhân.</v>
      </c>
      <c r="I1679" t="s">
        <v>36</v>
      </c>
      <c r="J1679" t="s">
        <v>23</v>
      </c>
      <c r="K1679" t="str">
        <f>IF(I1679="Trung bình",'Huong dan giao do an'!$B$8,IF(I1679="Khá",'Huong dan giao do an'!$B$9,'Huong dan giao do an'!$B$10))</f>
        <v>Tối thiểu 3 actor; 8-10 use case; 6-8 bảng dữ liệu; 2 quy trình lõi; đăng nhập/RBAC; 1 dashboard; 1 báo cáo; &gt;=25 test case; triển khai bản demo.</v>
      </c>
      <c r="L1679" t="str">
        <f>'Huong dan giao do an'!$B$31</f>
        <v>Bắt buộc: Charter/PMP; SRS + scope/WBS; Gantt/baseline; effort-cost budget; RACI/timesheet; quality-test-defect; communication/minutes; risk register; procurement; change log; closure/lessons learned.</v>
      </c>
      <c r="M1679" t="str">
        <f>'Huong dan giao do an'!$B$33</f>
        <v>Tuần 1: 07.09–13.09.2026; Tuần 2: 14.09–20.09.2026; Tuần 3: 21.09–27.09.2026; Tuần 4: 28.09–04.10.2026; Tuần 5: 05.10–11.10.2026; Tuần 6: 12.10–18.10.2026; Tuần 7: 19.10–25.10.2026; Tuần 8: 26.10–01.11.2026.</v>
      </c>
      <c r="N16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79" s="17" t="str">
        <f t="shared" si="26"/>
        <v>Còn trống</v>
      </c>
    </row>
    <row r="1680" spans="1:16" x14ac:dyDescent="0.3">
      <c r="A1680">
        <v>1679</v>
      </c>
      <c r="B1680" t="s">
        <v>3689</v>
      </c>
      <c r="C1680" t="s">
        <v>3873</v>
      </c>
      <c r="D1680" t="s">
        <v>3874</v>
      </c>
      <c r="E1680" t="s">
        <v>45</v>
      </c>
      <c r="F1680" t="s">
        <v>3706</v>
      </c>
      <c r="G1680" t="s">
        <v>3753</v>
      </c>
      <c r="H1680" t="str">
        <f>'Huong dan giao do an'!$B$14</f>
        <v>5 SV (vai trò chính): 1 PM/Scrum Master kiêm Integration; 2 BA/PO; 3 UI-UX + Frontend; 4 Backend/API + DevOps; 5 Database + QA/Tester. Mỗi SV có nhiệm vụ phụ và minh chứng cá nhân.</v>
      </c>
      <c r="I1680" t="s">
        <v>22</v>
      </c>
      <c r="J1680" t="s">
        <v>3694</v>
      </c>
      <c r="K1680" t="str">
        <f>IF(I1680="Trung bình",'Huong dan giao do an'!$B$8,IF(I1680="Khá",'Huong dan giao do an'!$B$9,'Huong dan giao do an'!$B$10))</f>
        <v>Tối thiểu 4 actor; 10-14 use case; 8-12 bảng; 3 quy trình lõi; phân quyền chi tiết; 2 báo cáo; tích hợp 1 dịch vụ; &gt;=35 test case; CI/CD hoặc deploy cloud.</v>
      </c>
      <c r="L1680" t="str">
        <f>'Huong dan giao do an'!$B$31</f>
        <v>Bắt buộc: Charter/PMP; SRS + scope/WBS; Gantt/baseline; effort-cost budget; RACI/timesheet; quality-test-defect; communication/minutes; risk register; procurement; change log; closure/lessons learned.</v>
      </c>
      <c r="M1680" t="str">
        <f>'Huong dan giao do an'!$B$33</f>
        <v>Tuần 1: 07.09–13.09.2026; Tuần 2: 14.09–20.09.2026; Tuần 3: 21.09–27.09.2026; Tuần 4: 28.09–04.10.2026; Tuần 5: 05.10–11.10.2026; Tuần 6: 12.10–18.10.2026; Tuần 7: 19.10–25.10.2026; Tuần 8: 26.10–01.11.2026.</v>
      </c>
      <c r="N16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0" s="17" t="str">
        <f t="shared" si="26"/>
        <v>Còn trống</v>
      </c>
    </row>
    <row r="1681" spans="1:16" x14ac:dyDescent="0.3">
      <c r="A1681">
        <v>1680</v>
      </c>
      <c r="B1681" t="s">
        <v>3689</v>
      </c>
      <c r="C1681" t="s">
        <v>3875</v>
      </c>
      <c r="D1681" t="s">
        <v>3876</v>
      </c>
      <c r="E1681" t="s">
        <v>19</v>
      </c>
      <c r="F1681" t="s">
        <v>3710</v>
      </c>
      <c r="G1681" t="s">
        <v>3756</v>
      </c>
      <c r="H1681" t="str">
        <f>'Huong dan giao do an'!$B$14</f>
        <v>5 SV (vai trò chính): 1 PM/Scrum Master kiêm Integration; 2 BA/PO; 3 UI-UX + Frontend; 4 Backend/API + DevOps; 5 Database + QA/Tester. Mỗi SV có nhiệm vụ phụ và minh chứng cá nhân.</v>
      </c>
      <c r="I1681" t="s">
        <v>29</v>
      </c>
      <c r="J1681" t="s">
        <v>3699</v>
      </c>
      <c r="K1681" t="str">
        <f>IF(I1681="Trung bình",'Huong dan giao do an'!$B$8,IF(I1681="Khá",'Huong dan giao do an'!$B$9,'Huong dan giao do an'!$B$10))</f>
        <v>Tối thiểu 5 actor; 14-18 use case; 10-15 bảng; 4 quy trình; tích hợp ngoài/realtime hoặc xử lý nâng cao; 3 báo cáo; &gt;=45 test case; logging, backup và deploy.</v>
      </c>
      <c r="L1681" t="str">
        <f>'Huong dan giao do an'!$B$31</f>
        <v>Bắt buộc: Charter/PMP; SRS + scope/WBS; Gantt/baseline; effort-cost budget; RACI/timesheet; quality-test-defect; communication/minutes; risk register; procurement; change log; closure/lessons learned.</v>
      </c>
      <c r="M1681" t="str">
        <f>'Huong dan giao do an'!$B$33</f>
        <v>Tuần 1: 07.09–13.09.2026; Tuần 2: 14.09–20.09.2026; Tuần 3: 21.09–27.09.2026; Tuần 4: 28.09–04.10.2026; Tuần 5: 05.10–11.10.2026; Tuần 6: 12.10–18.10.2026; Tuần 7: 19.10–25.10.2026; Tuần 8: 26.10–01.11.2026.</v>
      </c>
      <c r="N16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1" s="17" t="str">
        <f t="shared" si="26"/>
        <v>Còn trống</v>
      </c>
    </row>
    <row r="1682" spans="1:16" x14ac:dyDescent="0.3">
      <c r="A1682">
        <v>1681</v>
      </c>
      <c r="B1682" t="s">
        <v>3689</v>
      </c>
      <c r="C1682" t="s">
        <v>3877</v>
      </c>
      <c r="D1682" t="s">
        <v>3878</v>
      </c>
      <c r="E1682" t="s">
        <v>26</v>
      </c>
      <c r="F1682" t="s">
        <v>3692</v>
      </c>
      <c r="G1682" t="s">
        <v>3693</v>
      </c>
      <c r="H1682" t="str">
        <f>'Huong dan giao do an'!$B$14</f>
        <v>5 SV (vai trò chính): 1 PM/Scrum Master kiêm Integration; 2 BA/PO; 3 UI-UX + Frontend; 4 Backend/API + DevOps; 5 Database + QA/Tester. Mỗi SV có nhiệm vụ phụ và minh chứng cá nhân.</v>
      </c>
      <c r="I1682" t="s">
        <v>22</v>
      </c>
      <c r="J1682" t="s">
        <v>3694</v>
      </c>
      <c r="K1682" t="str">
        <f>IF(I1682="Trung bình",'Huong dan giao do an'!$B$8,IF(I1682="Khá",'Huong dan giao do an'!$B$9,'Huong dan giao do an'!$B$10))</f>
        <v>Tối thiểu 4 actor; 10-14 use case; 8-12 bảng; 3 quy trình lõi; phân quyền chi tiết; 2 báo cáo; tích hợp 1 dịch vụ; &gt;=35 test case; CI/CD hoặc deploy cloud.</v>
      </c>
      <c r="L1682" t="str">
        <f>'Huong dan giao do an'!$B$31</f>
        <v>Bắt buộc: Charter/PMP; SRS + scope/WBS; Gantt/baseline; effort-cost budget; RACI/timesheet; quality-test-defect; communication/minutes; risk register; procurement; change log; closure/lessons learned.</v>
      </c>
      <c r="M1682" t="str">
        <f>'Huong dan giao do an'!$B$33</f>
        <v>Tuần 1: 07.09–13.09.2026; Tuần 2: 14.09–20.09.2026; Tuần 3: 21.09–27.09.2026; Tuần 4: 28.09–04.10.2026; Tuần 5: 05.10–11.10.2026; Tuần 6: 12.10–18.10.2026; Tuần 7: 19.10–25.10.2026; Tuần 8: 26.10–01.11.2026.</v>
      </c>
      <c r="N16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2" s="17" t="str">
        <f t="shared" si="26"/>
        <v>Còn trống</v>
      </c>
    </row>
    <row r="1683" spans="1:16" x14ac:dyDescent="0.3">
      <c r="A1683">
        <v>1682</v>
      </c>
      <c r="B1683" t="s">
        <v>3689</v>
      </c>
      <c r="C1683" t="s">
        <v>3879</v>
      </c>
      <c r="D1683" t="s">
        <v>3880</v>
      </c>
      <c r="E1683" t="s">
        <v>33</v>
      </c>
      <c r="F1683" t="s">
        <v>3697</v>
      </c>
      <c r="G1683" t="s">
        <v>3698</v>
      </c>
      <c r="H1683" t="str">
        <f>'Huong dan giao do an'!$B$14</f>
        <v>5 SV (vai trò chính): 1 PM/Scrum Master kiêm Integration; 2 BA/PO; 3 UI-UX + Frontend; 4 Backend/API + DevOps; 5 Database + QA/Tester. Mỗi SV có nhiệm vụ phụ và minh chứng cá nhân.</v>
      </c>
      <c r="I1683" t="s">
        <v>29</v>
      </c>
      <c r="J1683" t="s">
        <v>3699</v>
      </c>
      <c r="K1683" t="str">
        <f>IF(I1683="Trung bình",'Huong dan giao do an'!$B$8,IF(I1683="Khá",'Huong dan giao do an'!$B$9,'Huong dan giao do an'!$B$10))</f>
        <v>Tối thiểu 5 actor; 14-18 use case; 10-15 bảng; 4 quy trình; tích hợp ngoài/realtime hoặc xử lý nâng cao; 3 báo cáo; &gt;=45 test case; logging, backup và deploy.</v>
      </c>
      <c r="L1683" t="str">
        <f>'Huong dan giao do an'!$B$31</f>
        <v>Bắt buộc: Charter/PMP; SRS + scope/WBS; Gantt/baseline; effort-cost budget; RACI/timesheet; quality-test-defect; communication/minutes; risk register; procurement; change log; closure/lessons learned.</v>
      </c>
      <c r="M1683" t="str">
        <f>'Huong dan giao do an'!$B$33</f>
        <v>Tuần 1: 07.09–13.09.2026; Tuần 2: 14.09–20.09.2026; Tuần 3: 21.09–27.09.2026; Tuần 4: 28.09–04.10.2026; Tuần 5: 05.10–11.10.2026; Tuần 6: 12.10–18.10.2026; Tuần 7: 19.10–25.10.2026; Tuần 8: 26.10–01.11.2026.</v>
      </c>
      <c r="N16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3" s="17" t="str">
        <f t="shared" si="26"/>
        <v>Còn trống</v>
      </c>
    </row>
    <row r="1684" spans="1:16" x14ac:dyDescent="0.3">
      <c r="A1684">
        <v>1683</v>
      </c>
      <c r="B1684" t="s">
        <v>3689</v>
      </c>
      <c r="C1684" t="s">
        <v>3881</v>
      </c>
      <c r="D1684" t="s">
        <v>3882</v>
      </c>
      <c r="E1684" t="s">
        <v>40</v>
      </c>
      <c r="F1684" t="s">
        <v>3702</v>
      </c>
      <c r="G1684" t="s">
        <v>3703</v>
      </c>
      <c r="H1684" t="str">
        <f>'Huong dan giao do an'!$B$14</f>
        <v>5 SV (vai trò chính): 1 PM/Scrum Master kiêm Integration; 2 BA/PO; 3 UI-UX + Frontend; 4 Backend/API + DevOps; 5 Database + QA/Tester. Mỗi SV có nhiệm vụ phụ và minh chứng cá nhân.</v>
      </c>
      <c r="I1684" t="s">
        <v>36</v>
      </c>
      <c r="J1684" t="s">
        <v>23</v>
      </c>
      <c r="K1684" t="str">
        <f>IF(I1684="Trung bình",'Huong dan giao do an'!$B$8,IF(I1684="Khá",'Huong dan giao do an'!$B$9,'Huong dan giao do an'!$B$10))</f>
        <v>Tối thiểu 3 actor; 8-10 use case; 6-8 bảng dữ liệu; 2 quy trình lõi; đăng nhập/RBAC; 1 dashboard; 1 báo cáo; &gt;=25 test case; triển khai bản demo.</v>
      </c>
      <c r="L1684" t="str">
        <f>'Huong dan giao do an'!$B$31</f>
        <v>Bắt buộc: Charter/PMP; SRS + scope/WBS; Gantt/baseline; effort-cost budget; RACI/timesheet; quality-test-defect; communication/minutes; risk register; procurement; change log; closure/lessons learned.</v>
      </c>
      <c r="M1684" t="str">
        <f>'Huong dan giao do an'!$B$33</f>
        <v>Tuần 1: 07.09–13.09.2026; Tuần 2: 14.09–20.09.2026; Tuần 3: 21.09–27.09.2026; Tuần 4: 28.09–04.10.2026; Tuần 5: 05.10–11.10.2026; Tuần 6: 12.10–18.10.2026; Tuần 7: 19.10–25.10.2026; Tuần 8: 26.10–01.11.2026.</v>
      </c>
      <c r="N16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4" s="17" t="str">
        <f t="shared" si="26"/>
        <v>Còn trống</v>
      </c>
    </row>
    <row r="1685" spans="1:16" x14ac:dyDescent="0.3">
      <c r="A1685">
        <v>1684</v>
      </c>
      <c r="B1685" t="s">
        <v>3689</v>
      </c>
      <c r="C1685" t="s">
        <v>3883</v>
      </c>
      <c r="D1685" t="s">
        <v>3884</v>
      </c>
      <c r="E1685" t="s">
        <v>45</v>
      </c>
      <c r="F1685" t="s">
        <v>3706</v>
      </c>
      <c r="G1685" t="s">
        <v>3707</v>
      </c>
      <c r="H1685" t="str">
        <f>'Huong dan giao do an'!$B$14</f>
        <v>5 SV (vai trò chính): 1 PM/Scrum Master kiêm Integration; 2 BA/PO; 3 UI-UX + Frontend; 4 Backend/API + DevOps; 5 Database + QA/Tester. Mỗi SV có nhiệm vụ phụ và minh chứng cá nhân.</v>
      </c>
      <c r="I1685" t="s">
        <v>22</v>
      </c>
      <c r="J1685" t="s">
        <v>3694</v>
      </c>
      <c r="K1685" t="str">
        <f>IF(I1685="Trung bình",'Huong dan giao do an'!$B$8,IF(I1685="Khá",'Huong dan giao do an'!$B$9,'Huong dan giao do an'!$B$10))</f>
        <v>Tối thiểu 4 actor; 10-14 use case; 8-12 bảng; 3 quy trình lõi; phân quyền chi tiết; 2 báo cáo; tích hợp 1 dịch vụ; &gt;=35 test case; CI/CD hoặc deploy cloud.</v>
      </c>
      <c r="L1685" t="str">
        <f>'Huong dan giao do an'!$B$31</f>
        <v>Bắt buộc: Charter/PMP; SRS + scope/WBS; Gantt/baseline; effort-cost budget; RACI/timesheet; quality-test-defect; communication/minutes; risk register; procurement; change log; closure/lessons learned.</v>
      </c>
      <c r="M1685" t="str">
        <f>'Huong dan giao do an'!$B$33</f>
        <v>Tuần 1: 07.09–13.09.2026; Tuần 2: 14.09–20.09.2026; Tuần 3: 21.09–27.09.2026; Tuần 4: 28.09–04.10.2026; Tuần 5: 05.10–11.10.2026; Tuần 6: 12.10–18.10.2026; Tuần 7: 19.10–25.10.2026; Tuần 8: 26.10–01.11.2026.</v>
      </c>
      <c r="N16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5" s="17" t="str">
        <f t="shared" si="26"/>
        <v>Còn trống</v>
      </c>
    </row>
    <row r="1686" spans="1:16" x14ac:dyDescent="0.3">
      <c r="A1686">
        <v>1685</v>
      </c>
      <c r="B1686" t="s">
        <v>3689</v>
      </c>
      <c r="C1686" t="s">
        <v>3885</v>
      </c>
      <c r="D1686" t="s">
        <v>3886</v>
      </c>
      <c r="E1686" t="s">
        <v>19</v>
      </c>
      <c r="F1686" t="s">
        <v>3710</v>
      </c>
      <c r="G1686" t="s">
        <v>3711</v>
      </c>
      <c r="H1686" t="str">
        <f>'Huong dan giao do an'!$B$14</f>
        <v>5 SV (vai trò chính): 1 PM/Scrum Master kiêm Integration; 2 BA/PO; 3 UI-UX + Frontend; 4 Backend/API + DevOps; 5 Database + QA/Tester. Mỗi SV có nhiệm vụ phụ và minh chứng cá nhân.</v>
      </c>
      <c r="I1686" t="s">
        <v>29</v>
      </c>
      <c r="J1686" t="s">
        <v>3699</v>
      </c>
      <c r="K1686" t="str">
        <f>IF(I1686="Trung bình",'Huong dan giao do an'!$B$8,IF(I1686="Khá",'Huong dan giao do an'!$B$9,'Huong dan giao do an'!$B$10))</f>
        <v>Tối thiểu 5 actor; 14-18 use case; 10-15 bảng; 4 quy trình; tích hợp ngoài/realtime hoặc xử lý nâng cao; 3 báo cáo; &gt;=45 test case; logging, backup và deploy.</v>
      </c>
      <c r="L1686" t="str">
        <f>'Huong dan giao do an'!$B$31</f>
        <v>Bắt buộc: Charter/PMP; SRS + scope/WBS; Gantt/baseline; effort-cost budget; RACI/timesheet; quality-test-defect; communication/minutes; risk register; procurement; change log; closure/lessons learned.</v>
      </c>
      <c r="M1686" t="str">
        <f>'Huong dan giao do an'!$B$33</f>
        <v>Tuần 1: 07.09–13.09.2026; Tuần 2: 14.09–20.09.2026; Tuần 3: 21.09–27.09.2026; Tuần 4: 28.09–04.10.2026; Tuần 5: 05.10–11.10.2026; Tuần 6: 12.10–18.10.2026; Tuần 7: 19.10–25.10.2026; Tuần 8: 26.10–01.11.2026.</v>
      </c>
      <c r="N16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6" s="17" t="str">
        <f t="shared" si="26"/>
        <v>Còn trống</v>
      </c>
    </row>
    <row r="1687" spans="1:16" x14ac:dyDescent="0.3">
      <c r="A1687">
        <v>1686</v>
      </c>
      <c r="B1687" t="s">
        <v>3689</v>
      </c>
      <c r="C1687" t="s">
        <v>3887</v>
      </c>
      <c r="D1687" t="s">
        <v>3888</v>
      </c>
      <c r="E1687" t="s">
        <v>26</v>
      </c>
      <c r="F1687" t="s">
        <v>3692</v>
      </c>
      <c r="G1687" t="s">
        <v>3714</v>
      </c>
      <c r="H1687" t="str">
        <f>'Huong dan giao do an'!$B$14</f>
        <v>5 SV (vai trò chính): 1 PM/Scrum Master kiêm Integration; 2 BA/PO; 3 UI-UX + Frontend; 4 Backend/API + DevOps; 5 Database + QA/Tester. Mỗi SV có nhiệm vụ phụ và minh chứng cá nhân.</v>
      </c>
      <c r="I1687" t="s">
        <v>36</v>
      </c>
      <c r="J1687" t="s">
        <v>23</v>
      </c>
      <c r="K1687" t="str">
        <f>IF(I1687="Trung bình",'Huong dan giao do an'!$B$8,IF(I1687="Khá",'Huong dan giao do an'!$B$9,'Huong dan giao do an'!$B$10))</f>
        <v>Tối thiểu 3 actor; 8-10 use case; 6-8 bảng dữ liệu; 2 quy trình lõi; đăng nhập/RBAC; 1 dashboard; 1 báo cáo; &gt;=25 test case; triển khai bản demo.</v>
      </c>
      <c r="L1687" t="str">
        <f>'Huong dan giao do an'!$B$31</f>
        <v>Bắt buộc: Charter/PMP; SRS + scope/WBS; Gantt/baseline; effort-cost budget; RACI/timesheet; quality-test-defect; communication/minutes; risk register; procurement; change log; closure/lessons learned.</v>
      </c>
      <c r="M1687" t="str">
        <f>'Huong dan giao do an'!$B$33</f>
        <v>Tuần 1: 07.09–13.09.2026; Tuần 2: 14.09–20.09.2026; Tuần 3: 21.09–27.09.2026; Tuần 4: 28.09–04.10.2026; Tuần 5: 05.10–11.10.2026; Tuần 6: 12.10–18.10.2026; Tuần 7: 19.10–25.10.2026; Tuần 8: 26.10–01.11.2026.</v>
      </c>
      <c r="N16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7" s="17" t="str">
        <f t="shared" si="26"/>
        <v>Còn trống</v>
      </c>
    </row>
    <row r="1688" spans="1:16" x14ac:dyDescent="0.3">
      <c r="A1688">
        <v>1687</v>
      </c>
      <c r="B1688" t="s">
        <v>3689</v>
      </c>
      <c r="C1688" t="s">
        <v>3889</v>
      </c>
      <c r="D1688" t="s">
        <v>3890</v>
      </c>
      <c r="E1688" t="s">
        <v>33</v>
      </c>
      <c r="F1688" t="s">
        <v>3697</v>
      </c>
      <c r="G1688" t="s">
        <v>3717</v>
      </c>
      <c r="H1688" t="str">
        <f>'Huong dan giao do an'!$B$14</f>
        <v>5 SV (vai trò chính): 1 PM/Scrum Master kiêm Integration; 2 BA/PO; 3 UI-UX + Frontend; 4 Backend/API + DevOps; 5 Database + QA/Tester. Mỗi SV có nhiệm vụ phụ và minh chứng cá nhân.</v>
      </c>
      <c r="I1688" t="s">
        <v>22</v>
      </c>
      <c r="J1688" t="s">
        <v>3694</v>
      </c>
      <c r="K1688" t="str">
        <f>IF(I1688="Trung bình",'Huong dan giao do an'!$B$8,IF(I1688="Khá",'Huong dan giao do an'!$B$9,'Huong dan giao do an'!$B$10))</f>
        <v>Tối thiểu 4 actor; 10-14 use case; 8-12 bảng; 3 quy trình lõi; phân quyền chi tiết; 2 báo cáo; tích hợp 1 dịch vụ; &gt;=35 test case; CI/CD hoặc deploy cloud.</v>
      </c>
      <c r="L1688" t="str">
        <f>'Huong dan giao do an'!$B$31</f>
        <v>Bắt buộc: Charter/PMP; SRS + scope/WBS; Gantt/baseline; effort-cost budget; RACI/timesheet; quality-test-defect; communication/minutes; risk register; procurement; change log; closure/lessons learned.</v>
      </c>
      <c r="M1688" t="str">
        <f>'Huong dan giao do an'!$B$33</f>
        <v>Tuần 1: 07.09–13.09.2026; Tuần 2: 14.09–20.09.2026; Tuần 3: 21.09–27.09.2026; Tuần 4: 28.09–04.10.2026; Tuần 5: 05.10–11.10.2026; Tuần 6: 12.10–18.10.2026; Tuần 7: 19.10–25.10.2026; Tuần 8: 26.10–01.11.2026.</v>
      </c>
      <c r="N16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8" s="17" t="str">
        <f t="shared" si="26"/>
        <v>Còn trống</v>
      </c>
    </row>
    <row r="1689" spans="1:16" x14ac:dyDescent="0.3">
      <c r="A1689">
        <v>1688</v>
      </c>
      <c r="B1689" t="s">
        <v>3689</v>
      </c>
      <c r="C1689" t="s">
        <v>3891</v>
      </c>
      <c r="D1689" t="s">
        <v>3892</v>
      </c>
      <c r="E1689" t="s">
        <v>40</v>
      </c>
      <c r="F1689" t="s">
        <v>3702</v>
      </c>
      <c r="G1689" t="s">
        <v>3720</v>
      </c>
      <c r="H1689" t="str">
        <f>'Huong dan giao do an'!$B$14</f>
        <v>5 SV (vai trò chính): 1 PM/Scrum Master kiêm Integration; 2 BA/PO; 3 UI-UX + Frontend; 4 Backend/API + DevOps; 5 Database + QA/Tester. Mỗi SV có nhiệm vụ phụ và minh chứng cá nhân.</v>
      </c>
      <c r="I1689" t="s">
        <v>29</v>
      </c>
      <c r="J1689" t="s">
        <v>3699</v>
      </c>
      <c r="K1689" t="str">
        <f>IF(I1689="Trung bình",'Huong dan giao do an'!$B$8,IF(I1689="Khá",'Huong dan giao do an'!$B$9,'Huong dan giao do an'!$B$10))</f>
        <v>Tối thiểu 5 actor; 14-18 use case; 10-15 bảng; 4 quy trình; tích hợp ngoài/realtime hoặc xử lý nâng cao; 3 báo cáo; &gt;=45 test case; logging, backup và deploy.</v>
      </c>
      <c r="L1689" t="str">
        <f>'Huong dan giao do an'!$B$31</f>
        <v>Bắt buộc: Charter/PMP; SRS + scope/WBS; Gantt/baseline; effort-cost budget; RACI/timesheet; quality-test-defect; communication/minutes; risk register; procurement; change log; closure/lessons learned.</v>
      </c>
      <c r="M1689" t="str">
        <f>'Huong dan giao do an'!$B$33</f>
        <v>Tuần 1: 07.09–13.09.2026; Tuần 2: 14.09–20.09.2026; Tuần 3: 21.09–27.09.2026; Tuần 4: 28.09–04.10.2026; Tuần 5: 05.10–11.10.2026; Tuần 6: 12.10–18.10.2026; Tuần 7: 19.10–25.10.2026; Tuần 8: 26.10–01.11.2026.</v>
      </c>
      <c r="N16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89" s="17" t="str">
        <f t="shared" si="26"/>
        <v>Còn trống</v>
      </c>
    </row>
    <row r="1690" spans="1:16" x14ac:dyDescent="0.3">
      <c r="A1690">
        <v>1689</v>
      </c>
      <c r="B1690" t="s">
        <v>3689</v>
      </c>
      <c r="C1690" t="s">
        <v>3893</v>
      </c>
      <c r="D1690" t="s">
        <v>3894</v>
      </c>
      <c r="E1690" t="s">
        <v>45</v>
      </c>
      <c r="F1690" t="s">
        <v>3706</v>
      </c>
      <c r="G1690" t="s">
        <v>3723</v>
      </c>
      <c r="H1690" t="str">
        <f>'Huong dan giao do an'!$B$14</f>
        <v>5 SV (vai trò chính): 1 PM/Scrum Master kiêm Integration; 2 BA/PO; 3 UI-UX + Frontend; 4 Backend/API + DevOps; 5 Database + QA/Tester. Mỗi SV có nhiệm vụ phụ và minh chứng cá nhân.</v>
      </c>
      <c r="I1690" t="s">
        <v>36</v>
      </c>
      <c r="J1690" t="s">
        <v>23</v>
      </c>
      <c r="K1690" t="str">
        <f>IF(I1690="Trung bình",'Huong dan giao do an'!$B$8,IF(I1690="Khá",'Huong dan giao do an'!$B$9,'Huong dan giao do an'!$B$10))</f>
        <v>Tối thiểu 3 actor; 8-10 use case; 6-8 bảng dữ liệu; 2 quy trình lõi; đăng nhập/RBAC; 1 dashboard; 1 báo cáo; &gt;=25 test case; triển khai bản demo.</v>
      </c>
      <c r="L1690" t="str">
        <f>'Huong dan giao do an'!$B$31</f>
        <v>Bắt buộc: Charter/PMP; SRS + scope/WBS; Gantt/baseline; effort-cost budget; RACI/timesheet; quality-test-defect; communication/minutes; risk register; procurement; change log; closure/lessons learned.</v>
      </c>
      <c r="M1690" t="str">
        <f>'Huong dan giao do an'!$B$33</f>
        <v>Tuần 1: 07.09–13.09.2026; Tuần 2: 14.09–20.09.2026; Tuần 3: 21.09–27.09.2026; Tuần 4: 28.09–04.10.2026; Tuần 5: 05.10–11.10.2026; Tuần 6: 12.10–18.10.2026; Tuần 7: 19.10–25.10.2026; Tuần 8: 26.10–01.11.2026.</v>
      </c>
      <c r="N16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0" s="17" t="str">
        <f t="shared" si="26"/>
        <v>Còn trống</v>
      </c>
    </row>
    <row r="1691" spans="1:16" x14ac:dyDescent="0.3">
      <c r="A1691">
        <v>1690</v>
      </c>
      <c r="B1691" t="s">
        <v>3689</v>
      </c>
      <c r="C1691" t="s">
        <v>3895</v>
      </c>
      <c r="D1691" t="s">
        <v>3896</v>
      </c>
      <c r="E1691" t="s">
        <v>19</v>
      </c>
      <c r="F1691" t="s">
        <v>3710</v>
      </c>
      <c r="G1691" t="s">
        <v>3726</v>
      </c>
      <c r="H1691" t="str">
        <f>'Huong dan giao do an'!$B$14</f>
        <v>5 SV (vai trò chính): 1 PM/Scrum Master kiêm Integration; 2 BA/PO; 3 UI-UX + Frontend; 4 Backend/API + DevOps; 5 Database + QA/Tester. Mỗi SV có nhiệm vụ phụ và minh chứng cá nhân.</v>
      </c>
      <c r="I1691" t="s">
        <v>22</v>
      </c>
      <c r="J1691" t="s">
        <v>3694</v>
      </c>
      <c r="K1691" t="str">
        <f>IF(I1691="Trung bình",'Huong dan giao do an'!$B$8,IF(I1691="Khá",'Huong dan giao do an'!$B$9,'Huong dan giao do an'!$B$10))</f>
        <v>Tối thiểu 4 actor; 10-14 use case; 8-12 bảng; 3 quy trình lõi; phân quyền chi tiết; 2 báo cáo; tích hợp 1 dịch vụ; &gt;=35 test case; CI/CD hoặc deploy cloud.</v>
      </c>
      <c r="L1691" t="str">
        <f>'Huong dan giao do an'!$B$31</f>
        <v>Bắt buộc: Charter/PMP; SRS + scope/WBS; Gantt/baseline; effort-cost budget; RACI/timesheet; quality-test-defect; communication/minutes; risk register; procurement; change log; closure/lessons learned.</v>
      </c>
      <c r="M1691" t="str">
        <f>'Huong dan giao do an'!$B$33</f>
        <v>Tuần 1: 07.09–13.09.2026; Tuần 2: 14.09–20.09.2026; Tuần 3: 21.09–27.09.2026; Tuần 4: 28.09–04.10.2026; Tuần 5: 05.10–11.10.2026; Tuần 6: 12.10–18.10.2026; Tuần 7: 19.10–25.10.2026; Tuần 8: 26.10–01.11.2026.</v>
      </c>
      <c r="N16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1" s="17" t="str">
        <f t="shared" si="26"/>
        <v>Còn trống</v>
      </c>
    </row>
    <row r="1692" spans="1:16" x14ac:dyDescent="0.3">
      <c r="A1692">
        <v>1691</v>
      </c>
      <c r="B1692" t="s">
        <v>3689</v>
      </c>
      <c r="C1692" t="s">
        <v>3897</v>
      </c>
      <c r="D1692" t="s">
        <v>3898</v>
      </c>
      <c r="E1692" t="s">
        <v>26</v>
      </c>
      <c r="F1692" t="s">
        <v>3692</v>
      </c>
      <c r="G1692" t="s">
        <v>3729</v>
      </c>
      <c r="H1692" t="str">
        <f>'Huong dan giao do an'!$B$14</f>
        <v>5 SV (vai trò chính): 1 PM/Scrum Master kiêm Integration; 2 BA/PO; 3 UI-UX + Frontend; 4 Backend/API + DevOps; 5 Database + QA/Tester. Mỗi SV có nhiệm vụ phụ và minh chứng cá nhân.</v>
      </c>
      <c r="I1692" t="s">
        <v>29</v>
      </c>
      <c r="J1692" t="s">
        <v>3699</v>
      </c>
      <c r="K1692" t="str">
        <f>IF(I1692="Trung bình",'Huong dan giao do an'!$B$8,IF(I1692="Khá",'Huong dan giao do an'!$B$9,'Huong dan giao do an'!$B$10))</f>
        <v>Tối thiểu 5 actor; 14-18 use case; 10-15 bảng; 4 quy trình; tích hợp ngoài/realtime hoặc xử lý nâng cao; 3 báo cáo; &gt;=45 test case; logging, backup và deploy.</v>
      </c>
      <c r="L1692" t="str">
        <f>'Huong dan giao do an'!$B$31</f>
        <v>Bắt buộc: Charter/PMP; SRS + scope/WBS; Gantt/baseline; effort-cost budget; RACI/timesheet; quality-test-defect; communication/minutes; risk register; procurement; change log; closure/lessons learned.</v>
      </c>
      <c r="M1692" t="str">
        <f>'Huong dan giao do an'!$B$33</f>
        <v>Tuần 1: 07.09–13.09.2026; Tuần 2: 14.09–20.09.2026; Tuần 3: 21.09–27.09.2026; Tuần 4: 28.09–04.10.2026; Tuần 5: 05.10–11.10.2026; Tuần 6: 12.10–18.10.2026; Tuần 7: 19.10–25.10.2026; Tuần 8: 26.10–01.11.2026.</v>
      </c>
      <c r="N16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2" s="17" t="str">
        <f t="shared" si="26"/>
        <v>Còn trống</v>
      </c>
    </row>
    <row r="1693" spans="1:16" x14ac:dyDescent="0.3">
      <c r="A1693">
        <v>1692</v>
      </c>
      <c r="B1693" t="s">
        <v>3689</v>
      </c>
      <c r="C1693" t="s">
        <v>3899</v>
      </c>
      <c r="D1693" t="s">
        <v>3900</v>
      </c>
      <c r="E1693" t="s">
        <v>33</v>
      </c>
      <c r="F1693" t="s">
        <v>3697</v>
      </c>
      <c r="G1693" t="s">
        <v>3732</v>
      </c>
      <c r="H1693" t="str">
        <f>'Huong dan giao do an'!$B$14</f>
        <v>5 SV (vai trò chính): 1 PM/Scrum Master kiêm Integration; 2 BA/PO; 3 UI-UX + Frontend; 4 Backend/API + DevOps; 5 Database + QA/Tester. Mỗi SV có nhiệm vụ phụ và minh chứng cá nhân.</v>
      </c>
      <c r="I1693" t="s">
        <v>36</v>
      </c>
      <c r="J1693" t="s">
        <v>23</v>
      </c>
      <c r="K1693" t="str">
        <f>IF(I1693="Trung bình",'Huong dan giao do an'!$B$8,IF(I1693="Khá",'Huong dan giao do an'!$B$9,'Huong dan giao do an'!$B$10))</f>
        <v>Tối thiểu 3 actor; 8-10 use case; 6-8 bảng dữ liệu; 2 quy trình lõi; đăng nhập/RBAC; 1 dashboard; 1 báo cáo; &gt;=25 test case; triển khai bản demo.</v>
      </c>
      <c r="L1693" t="str">
        <f>'Huong dan giao do an'!$B$31</f>
        <v>Bắt buộc: Charter/PMP; SRS + scope/WBS; Gantt/baseline; effort-cost budget; RACI/timesheet; quality-test-defect; communication/minutes; risk register; procurement; change log; closure/lessons learned.</v>
      </c>
      <c r="M1693" t="str">
        <f>'Huong dan giao do an'!$B$33</f>
        <v>Tuần 1: 07.09–13.09.2026; Tuần 2: 14.09–20.09.2026; Tuần 3: 21.09–27.09.2026; Tuần 4: 28.09–04.10.2026; Tuần 5: 05.10–11.10.2026; Tuần 6: 12.10–18.10.2026; Tuần 7: 19.10–25.10.2026; Tuần 8: 26.10–01.11.2026.</v>
      </c>
      <c r="N16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3" s="17" t="str">
        <f t="shared" si="26"/>
        <v>Còn trống</v>
      </c>
    </row>
    <row r="1694" spans="1:16" x14ac:dyDescent="0.3">
      <c r="A1694">
        <v>1693</v>
      </c>
      <c r="B1694" t="s">
        <v>3689</v>
      </c>
      <c r="C1694" t="s">
        <v>3901</v>
      </c>
      <c r="D1694" t="s">
        <v>3902</v>
      </c>
      <c r="E1694" t="s">
        <v>40</v>
      </c>
      <c r="F1694" t="s">
        <v>3702</v>
      </c>
      <c r="G1694" t="s">
        <v>3735</v>
      </c>
      <c r="H1694" t="str">
        <f>'Huong dan giao do an'!$B$14</f>
        <v>5 SV (vai trò chính): 1 PM/Scrum Master kiêm Integration; 2 BA/PO; 3 UI-UX + Frontend; 4 Backend/API + DevOps; 5 Database + QA/Tester. Mỗi SV có nhiệm vụ phụ và minh chứng cá nhân.</v>
      </c>
      <c r="I1694" t="s">
        <v>22</v>
      </c>
      <c r="J1694" t="s">
        <v>3694</v>
      </c>
      <c r="K1694" t="str">
        <f>IF(I1694="Trung bình",'Huong dan giao do an'!$B$8,IF(I1694="Khá",'Huong dan giao do an'!$B$9,'Huong dan giao do an'!$B$10))</f>
        <v>Tối thiểu 4 actor; 10-14 use case; 8-12 bảng; 3 quy trình lõi; phân quyền chi tiết; 2 báo cáo; tích hợp 1 dịch vụ; &gt;=35 test case; CI/CD hoặc deploy cloud.</v>
      </c>
      <c r="L1694" t="str">
        <f>'Huong dan giao do an'!$B$31</f>
        <v>Bắt buộc: Charter/PMP; SRS + scope/WBS; Gantt/baseline; effort-cost budget; RACI/timesheet; quality-test-defect; communication/minutes; risk register; procurement; change log; closure/lessons learned.</v>
      </c>
      <c r="M1694" t="str">
        <f>'Huong dan giao do an'!$B$33</f>
        <v>Tuần 1: 07.09–13.09.2026; Tuần 2: 14.09–20.09.2026; Tuần 3: 21.09–27.09.2026; Tuần 4: 28.09–04.10.2026; Tuần 5: 05.10–11.10.2026; Tuần 6: 12.10–18.10.2026; Tuần 7: 19.10–25.10.2026; Tuần 8: 26.10–01.11.2026.</v>
      </c>
      <c r="N16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4" s="17" t="str">
        <f t="shared" si="26"/>
        <v>Còn trống</v>
      </c>
    </row>
    <row r="1695" spans="1:16" x14ac:dyDescent="0.3">
      <c r="A1695">
        <v>1694</v>
      </c>
      <c r="B1695" t="s">
        <v>3689</v>
      </c>
      <c r="C1695" t="s">
        <v>3903</v>
      </c>
      <c r="D1695" t="s">
        <v>3904</v>
      </c>
      <c r="E1695" t="s">
        <v>45</v>
      </c>
      <c r="F1695" t="s">
        <v>3706</v>
      </c>
      <c r="G1695" t="s">
        <v>3738</v>
      </c>
      <c r="H1695" t="str">
        <f>'Huong dan giao do an'!$B$14</f>
        <v>5 SV (vai trò chính): 1 PM/Scrum Master kiêm Integration; 2 BA/PO; 3 UI-UX + Frontend; 4 Backend/API + DevOps; 5 Database + QA/Tester. Mỗi SV có nhiệm vụ phụ và minh chứng cá nhân.</v>
      </c>
      <c r="I1695" t="s">
        <v>29</v>
      </c>
      <c r="J1695" t="s">
        <v>3699</v>
      </c>
      <c r="K1695" t="str">
        <f>IF(I1695="Trung bình",'Huong dan giao do an'!$B$8,IF(I1695="Khá",'Huong dan giao do an'!$B$9,'Huong dan giao do an'!$B$10))</f>
        <v>Tối thiểu 5 actor; 14-18 use case; 10-15 bảng; 4 quy trình; tích hợp ngoài/realtime hoặc xử lý nâng cao; 3 báo cáo; &gt;=45 test case; logging, backup và deploy.</v>
      </c>
      <c r="L1695" t="str">
        <f>'Huong dan giao do an'!$B$31</f>
        <v>Bắt buộc: Charter/PMP; SRS + scope/WBS; Gantt/baseline; effort-cost budget; RACI/timesheet; quality-test-defect; communication/minutes; risk register; procurement; change log; closure/lessons learned.</v>
      </c>
      <c r="M1695" t="str">
        <f>'Huong dan giao do an'!$B$33</f>
        <v>Tuần 1: 07.09–13.09.2026; Tuần 2: 14.09–20.09.2026; Tuần 3: 21.09–27.09.2026; Tuần 4: 28.09–04.10.2026; Tuần 5: 05.10–11.10.2026; Tuần 6: 12.10–18.10.2026; Tuần 7: 19.10–25.10.2026; Tuần 8: 26.10–01.11.2026.</v>
      </c>
      <c r="N16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5" s="17" t="str">
        <f t="shared" si="26"/>
        <v>Còn trống</v>
      </c>
    </row>
    <row r="1696" spans="1:16" x14ac:dyDescent="0.3">
      <c r="A1696">
        <v>1695</v>
      </c>
      <c r="B1696" t="s">
        <v>3689</v>
      </c>
      <c r="C1696" t="s">
        <v>3905</v>
      </c>
      <c r="D1696" t="s">
        <v>3906</v>
      </c>
      <c r="E1696" t="s">
        <v>19</v>
      </c>
      <c r="F1696" t="s">
        <v>3710</v>
      </c>
      <c r="G1696" t="s">
        <v>3741</v>
      </c>
      <c r="H1696" t="str">
        <f>'Huong dan giao do an'!$B$14</f>
        <v>5 SV (vai trò chính): 1 PM/Scrum Master kiêm Integration; 2 BA/PO; 3 UI-UX + Frontend; 4 Backend/API + DevOps; 5 Database + QA/Tester. Mỗi SV có nhiệm vụ phụ và minh chứng cá nhân.</v>
      </c>
      <c r="I1696" t="s">
        <v>36</v>
      </c>
      <c r="J1696" t="s">
        <v>23</v>
      </c>
      <c r="K1696" t="str">
        <f>IF(I1696="Trung bình",'Huong dan giao do an'!$B$8,IF(I1696="Khá",'Huong dan giao do an'!$B$9,'Huong dan giao do an'!$B$10))</f>
        <v>Tối thiểu 3 actor; 8-10 use case; 6-8 bảng dữ liệu; 2 quy trình lõi; đăng nhập/RBAC; 1 dashboard; 1 báo cáo; &gt;=25 test case; triển khai bản demo.</v>
      </c>
      <c r="L1696" t="str">
        <f>'Huong dan giao do an'!$B$31</f>
        <v>Bắt buộc: Charter/PMP; SRS + scope/WBS; Gantt/baseline; effort-cost budget; RACI/timesheet; quality-test-defect; communication/minutes; risk register; procurement; change log; closure/lessons learned.</v>
      </c>
      <c r="M1696" t="str">
        <f>'Huong dan giao do an'!$B$33</f>
        <v>Tuần 1: 07.09–13.09.2026; Tuần 2: 14.09–20.09.2026; Tuần 3: 21.09–27.09.2026; Tuần 4: 28.09–04.10.2026; Tuần 5: 05.10–11.10.2026; Tuần 6: 12.10–18.10.2026; Tuần 7: 19.10–25.10.2026; Tuần 8: 26.10–01.11.2026.</v>
      </c>
      <c r="N16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6" s="17" t="str">
        <f t="shared" si="26"/>
        <v>Còn trống</v>
      </c>
    </row>
    <row r="1697" spans="1:16" x14ac:dyDescent="0.3">
      <c r="A1697">
        <v>1696</v>
      </c>
      <c r="B1697" t="s">
        <v>3689</v>
      </c>
      <c r="C1697" t="s">
        <v>3907</v>
      </c>
      <c r="D1697" t="s">
        <v>3908</v>
      </c>
      <c r="E1697" t="s">
        <v>26</v>
      </c>
      <c r="F1697" t="s">
        <v>3692</v>
      </c>
      <c r="G1697" t="s">
        <v>3744</v>
      </c>
      <c r="H1697" t="str">
        <f>'Huong dan giao do an'!$B$14</f>
        <v>5 SV (vai trò chính): 1 PM/Scrum Master kiêm Integration; 2 BA/PO; 3 UI-UX + Frontend; 4 Backend/API + DevOps; 5 Database + QA/Tester. Mỗi SV có nhiệm vụ phụ và minh chứng cá nhân.</v>
      </c>
      <c r="I1697" t="s">
        <v>22</v>
      </c>
      <c r="J1697" t="s">
        <v>3694</v>
      </c>
      <c r="K1697" t="str">
        <f>IF(I1697="Trung bình",'Huong dan giao do an'!$B$8,IF(I1697="Khá",'Huong dan giao do an'!$B$9,'Huong dan giao do an'!$B$10))</f>
        <v>Tối thiểu 4 actor; 10-14 use case; 8-12 bảng; 3 quy trình lõi; phân quyền chi tiết; 2 báo cáo; tích hợp 1 dịch vụ; &gt;=35 test case; CI/CD hoặc deploy cloud.</v>
      </c>
      <c r="L1697" t="str">
        <f>'Huong dan giao do an'!$B$31</f>
        <v>Bắt buộc: Charter/PMP; SRS + scope/WBS; Gantt/baseline; effort-cost budget; RACI/timesheet; quality-test-defect; communication/minutes; risk register; procurement; change log; closure/lessons learned.</v>
      </c>
      <c r="M1697" t="str">
        <f>'Huong dan giao do an'!$B$33</f>
        <v>Tuần 1: 07.09–13.09.2026; Tuần 2: 14.09–20.09.2026; Tuần 3: 21.09–27.09.2026; Tuần 4: 28.09–04.10.2026; Tuần 5: 05.10–11.10.2026; Tuần 6: 12.10–18.10.2026; Tuần 7: 19.10–25.10.2026; Tuần 8: 26.10–01.11.2026.</v>
      </c>
      <c r="N16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7" s="17" t="str">
        <f t="shared" si="26"/>
        <v>Còn trống</v>
      </c>
    </row>
    <row r="1698" spans="1:16" x14ac:dyDescent="0.3">
      <c r="A1698">
        <v>1697</v>
      </c>
      <c r="B1698" t="s">
        <v>3689</v>
      </c>
      <c r="C1698" t="s">
        <v>3909</v>
      </c>
      <c r="D1698" t="s">
        <v>3910</v>
      </c>
      <c r="E1698" t="s">
        <v>33</v>
      </c>
      <c r="F1698" t="s">
        <v>3697</v>
      </c>
      <c r="G1698" t="s">
        <v>3747</v>
      </c>
      <c r="H1698" t="str">
        <f>'Huong dan giao do an'!$B$14</f>
        <v>5 SV (vai trò chính): 1 PM/Scrum Master kiêm Integration; 2 BA/PO; 3 UI-UX + Frontend; 4 Backend/API + DevOps; 5 Database + QA/Tester. Mỗi SV có nhiệm vụ phụ và minh chứng cá nhân.</v>
      </c>
      <c r="I1698" t="s">
        <v>29</v>
      </c>
      <c r="J1698" t="s">
        <v>3699</v>
      </c>
      <c r="K1698" t="str">
        <f>IF(I1698="Trung bình",'Huong dan giao do an'!$B$8,IF(I1698="Khá",'Huong dan giao do an'!$B$9,'Huong dan giao do an'!$B$10))</f>
        <v>Tối thiểu 5 actor; 14-18 use case; 10-15 bảng; 4 quy trình; tích hợp ngoài/realtime hoặc xử lý nâng cao; 3 báo cáo; &gt;=45 test case; logging, backup và deploy.</v>
      </c>
      <c r="L1698" t="str">
        <f>'Huong dan giao do an'!$B$31</f>
        <v>Bắt buộc: Charter/PMP; SRS + scope/WBS; Gantt/baseline; effort-cost budget; RACI/timesheet; quality-test-defect; communication/minutes; risk register; procurement; change log; closure/lessons learned.</v>
      </c>
      <c r="M1698" t="str">
        <f>'Huong dan giao do an'!$B$33</f>
        <v>Tuần 1: 07.09–13.09.2026; Tuần 2: 14.09–20.09.2026; Tuần 3: 21.09–27.09.2026; Tuần 4: 28.09–04.10.2026; Tuần 5: 05.10–11.10.2026; Tuần 6: 12.10–18.10.2026; Tuần 7: 19.10–25.10.2026; Tuần 8: 26.10–01.11.2026.</v>
      </c>
      <c r="N16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8" s="17" t="str">
        <f t="shared" si="26"/>
        <v>Còn trống</v>
      </c>
    </row>
    <row r="1699" spans="1:16" x14ac:dyDescent="0.3">
      <c r="A1699">
        <v>1698</v>
      </c>
      <c r="B1699" t="s">
        <v>3689</v>
      </c>
      <c r="C1699" t="s">
        <v>3911</v>
      </c>
      <c r="D1699" t="s">
        <v>3912</v>
      </c>
      <c r="E1699" t="s">
        <v>40</v>
      </c>
      <c r="F1699" t="s">
        <v>3702</v>
      </c>
      <c r="G1699" t="s">
        <v>3750</v>
      </c>
      <c r="H1699" t="str">
        <f>'Huong dan giao do an'!$B$14</f>
        <v>5 SV (vai trò chính): 1 PM/Scrum Master kiêm Integration; 2 BA/PO; 3 UI-UX + Frontend; 4 Backend/API + DevOps; 5 Database + QA/Tester. Mỗi SV có nhiệm vụ phụ và minh chứng cá nhân.</v>
      </c>
      <c r="I1699" t="s">
        <v>36</v>
      </c>
      <c r="J1699" t="s">
        <v>23</v>
      </c>
      <c r="K1699" t="str">
        <f>IF(I1699="Trung bình",'Huong dan giao do an'!$B$8,IF(I1699="Khá",'Huong dan giao do an'!$B$9,'Huong dan giao do an'!$B$10))</f>
        <v>Tối thiểu 3 actor; 8-10 use case; 6-8 bảng dữ liệu; 2 quy trình lõi; đăng nhập/RBAC; 1 dashboard; 1 báo cáo; &gt;=25 test case; triển khai bản demo.</v>
      </c>
      <c r="L1699" t="str">
        <f>'Huong dan giao do an'!$B$31</f>
        <v>Bắt buộc: Charter/PMP; SRS + scope/WBS; Gantt/baseline; effort-cost budget; RACI/timesheet; quality-test-defect; communication/minutes; risk register; procurement; change log; closure/lessons learned.</v>
      </c>
      <c r="M1699" t="str">
        <f>'Huong dan giao do an'!$B$33</f>
        <v>Tuần 1: 07.09–13.09.2026; Tuần 2: 14.09–20.09.2026; Tuần 3: 21.09–27.09.2026; Tuần 4: 28.09–04.10.2026; Tuần 5: 05.10–11.10.2026; Tuần 6: 12.10–18.10.2026; Tuần 7: 19.10–25.10.2026; Tuần 8: 26.10–01.11.2026.</v>
      </c>
      <c r="N16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699" s="17" t="str">
        <f t="shared" si="26"/>
        <v>Còn trống</v>
      </c>
    </row>
    <row r="1700" spans="1:16" x14ac:dyDescent="0.3">
      <c r="A1700">
        <v>1699</v>
      </c>
      <c r="B1700" t="s">
        <v>3689</v>
      </c>
      <c r="C1700" t="s">
        <v>3913</v>
      </c>
      <c r="D1700" t="s">
        <v>3914</v>
      </c>
      <c r="E1700" t="s">
        <v>45</v>
      </c>
      <c r="F1700" t="s">
        <v>3706</v>
      </c>
      <c r="G1700" t="s">
        <v>3753</v>
      </c>
      <c r="H1700" t="str">
        <f>'Huong dan giao do an'!$B$14</f>
        <v>5 SV (vai trò chính): 1 PM/Scrum Master kiêm Integration; 2 BA/PO; 3 UI-UX + Frontend; 4 Backend/API + DevOps; 5 Database + QA/Tester. Mỗi SV có nhiệm vụ phụ và minh chứng cá nhân.</v>
      </c>
      <c r="I1700" t="s">
        <v>22</v>
      </c>
      <c r="J1700" t="s">
        <v>3694</v>
      </c>
      <c r="K1700" t="str">
        <f>IF(I1700="Trung bình",'Huong dan giao do an'!$B$8,IF(I1700="Khá",'Huong dan giao do an'!$B$9,'Huong dan giao do an'!$B$10))</f>
        <v>Tối thiểu 4 actor; 10-14 use case; 8-12 bảng; 3 quy trình lõi; phân quyền chi tiết; 2 báo cáo; tích hợp 1 dịch vụ; &gt;=35 test case; CI/CD hoặc deploy cloud.</v>
      </c>
      <c r="L1700" t="str">
        <f>'Huong dan giao do an'!$B$31</f>
        <v>Bắt buộc: Charter/PMP; SRS + scope/WBS; Gantt/baseline; effort-cost budget; RACI/timesheet; quality-test-defect; communication/minutes; risk register; procurement; change log; closure/lessons learned.</v>
      </c>
      <c r="M1700" t="str">
        <f>'Huong dan giao do an'!$B$33</f>
        <v>Tuần 1: 07.09–13.09.2026; Tuần 2: 14.09–20.09.2026; Tuần 3: 21.09–27.09.2026; Tuần 4: 28.09–04.10.2026; Tuần 5: 05.10–11.10.2026; Tuần 6: 12.10–18.10.2026; Tuần 7: 19.10–25.10.2026; Tuần 8: 26.10–01.11.2026.</v>
      </c>
      <c r="N17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0" s="17" t="str">
        <f t="shared" si="26"/>
        <v>Còn trống</v>
      </c>
    </row>
    <row r="1701" spans="1:16" x14ac:dyDescent="0.3">
      <c r="A1701">
        <v>1700</v>
      </c>
      <c r="B1701" t="s">
        <v>3689</v>
      </c>
      <c r="C1701" t="s">
        <v>3915</v>
      </c>
      <c r="D1701" t="s">
        <v>3916</v>
      </c>
      <c r="E1701" t="s">
        <v>19</v>
      </c>
      <c r="F1701" t="s">
        <v>3710</v>
      </c>
      <c r="G1701" t="s">
        <v>3756</v>
      </c>
      <c r="H1701" t="str">
        <f>'Huong dan giao do an'!$B$14</f>
        <v>5 SV (vai trò chính): 1 PM/Scrum Master kiêm Integration; 2 BA/PO; 3 UI-UX + Frontend; 4 Backend/API + DevOps; 5 Database + QA/Tester. Mỗi SV có nhiệm vụ phụ và minh chứng cá nhân.</v>
      </c>
      <c r="I1701" t="s">
        <v>29</v>
      </c>
      <c r="J1701" t="s">
        <v>3699</v>
      </c>
      <c r="K1701" t="str">
        <f>IF(I1701="Trung bình",'Huong dan giao do an'!$B$8,IF(I1701="Khá",'Huong dan giao do an'!$B$9,'Huong dan giao do an'!$B$10))</f>
        <v>Tối thiểu 5 actor; 14-18 use case; 10-15 bảng; 4 quy trình; tích hợp ngoài/realtime hoặc xử lý nâng cao; 3 báo cáo; &gt;=45 test case; logging, backup và deploy.</v>
      </c>
      <c r="L1701" t="str">
        <f>'Huong dan giao do an'!$B$31</f>
        <v>Bắt buộc: Charter/PMP; SRS + scope/WBS; Gantt/baseline; effort-cost budget; RACI/timesheet; quality-test-defect; communication/minutes; risk register; procurement; change log; closure/lessons learned.</v>
      </c>
      <c r="M1701" t="str">
        <f>'Huong dan giao do an'!$B$33</f>
        <v>Tuần 1: 07.09–13.09.2026; Tuần 2: 14.09–20.09.2026; Tuần 3: 21.09–27.09.2026; Tuần 4: 28.09–04.10.2026; Tuần 5: 05.10–11.10.2026; Tuần 6: 12.10–18.10.2026; Tuần 7: 19.10–25.10.2026; Tuần 8: 26.10–01.11.2026.</v>
      </c>
      <c r="N17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1" s="17" t="str">
        <f t="shared" si="26"/>
        <v>Còn trống</v>
      </c>
    </row>
    <row r="1702" spans="1:16" x14ac:dyDescent="0.3">
      <c r="A1702">
        <v>1701</v>
      </c>
      <c r="B1702" t="s">
        <v>3917</v>
      </c>
      <c r="C1702" t="s">
        <v>3918</v>
      </c>
      <c r="D1702" t="s">
        <v>3919</v>
      </c>
      <c r="E1702" t="s">
        <v>33</v>
      </c>
      <c r="F1702" t="s">
        <v>3920</v>
      </c>
      <c r="G1702" t="s">
        <v>3921</v>
      </c>
      <c r="H1702" t="str">
        <f>'Huong dan giao do an'!$B$14</f>
        <v>5 SV (vai trò chính): 1 PM/Scrum Master kiêm Integration; 2 BA/PO; 3 UI-UX + Frontend; 4 Backend/API + DevOps; 5 Database + QA/Tester. Mỗi SV có nhiệm vụ phụ và minh chứng cá nhân.</v>
      </c>
      <c r="I1702" t="s">
        <v>22</v>
      </c>
      <c r="J1702" t="s">
        <v>3922</v>
      </c>
      <c r="K1702" t="str">
        <f>IF(I1702="Trung bình",'Huong dan giao do an'!$B$8,IF(I1702="Khá",'Huong dan giao do an'!$B$9,'Huong dan giao do an'!$B$10))</f>
        <v>Tối thiểu 4 actor; 10-14 use case; 8-12 bảng; 3 quy trình lõi; phân quyền chi tiết; 2 báo cáo; tích hợp 1 dịch vụ; &gt;=35 test case; CI/CD hoặc deploy cloud.</v>
      </c>
      <c r="L1702" t="str">
        <f>'Huong dan giao do an'!$B$31</f>
        <v>Bắt buộc: Charter/PMP; SRS + scope/WBS; Gantt/baseline; effort-cost budget; RACI/timesheet; quality-test-defect; communication/minutes; risk register; procurement; change log; closure/lessons learned.</v>
      </c>
      <c r="M1702" t="str">
        <f>'Huong dan giao do an'!$B$33</f>
        <v>Tuần 1: 07.09–13.09.2026; Tuần 2: 14.09–20.09.2026; Tuần 3: 21.09–27.09.2026; Tuần 4: 28.09–04.10.2026; Tuần 5: 05.10–11.10.2026; Tuần 6: 12.10–18.10.2026; Tuần 7: 19.10–25.10.2026; Tuần 8: 26.10–01.11.2026.</v>
      </c>
      <c r="N17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2" s="17" t="str">
        <f t="shared" si="26"/>
        <v>Còn trống</v>
      </c>
    </row>
    <row r="1703" spans="1:16" x14ac:dyDescent="0.3">
      <c r="A1703">
        <v>1702</v>
      </c>
      <c r="B1703" t="s">
        <v>3917</v>
      </c>
      <c r="C1703" t="s">
        <v>3923</v>
      </c>
      <c r="D1703" t="s">
        <v>3924</v>
      </c>
      <c r="E1703" t="s">
        <v>40</v>
      </c>
      <c r="F1703" t="s">
        <v>3925</v>
      </c>
      <c r="G1703" t="s">
        <v>3926</v>
      </c>
      <c r="H1703" t="str">
        <f>'Huong dan giao do an'!$B$14</f>
        <v>5 SV (vai trò chính): 1 PM/Scrum Master kiêm Integration; 2 BA/PO; 3 UI-UX + Frontend; 4 Backend/API + DevOps; 5 Database + QA/Tester. Mỗi SV có nhiệm vụ phụ và minh chứng cá nhân.</v>
      </c>
      <c r="I1703" t="s">
        <v>29</v>
      </c>
      <c r="J1703" t="s">
        <v>3927</v>
      </c>
      <c r="K1703" t="str">
        <f>IF(I1703="Trung bình",'Huong dan giao do an'!$B$8,IF(I1703="Khá",'Huong dan giao do an'!$B$9,'Huong dan giao do an'!$B$10))</f>
        <v>Tối thiểu 5 actor; 14-18 use case; 10-15 bảng; 4 quy trình; tích hợp ngoài/realtime hoặc xử lý nâng cao; 3 báo cáo; &gt;=45 test case; logging, backup và deploy.</v>
      </c>
      <c r="L1703" t="str">
        <f>'Huong dan giao do an'!$B$31</f>
        <v>Bắt buộc: Charter/PMP; SRS + scope/WBS; Gantt/baseline; effort-cost budget; RACI/timesheet; quality-test-defect; communication/minutes; risk register; procurement; change log; closure/lessons learned.</v>
      </c>
      <c r="M1703" t="str">
        <f>'Huong dan giao do an'!$B$33</f>
        <v>Tuần 1: 07.09–13.09.2026; Tuần 2: 14.09–20.09.2026; Tuần 3: 21.09–27.09.2026; Tuần 4: 28.09–04.10.2026; Tuần 5: 05.10–11.10.2026; Tuần 6: 12.10–18.10.2026; Tuần 7: 19.10–25.10.2026; Tuần 8: 26.10–01.11.2026.</v>
      </c>
      <c r="N17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3" s="17" t="str">
        <f t="shared" si="26"/>
        <v>Còn trống</v>
      </c>
    </row>
    <row r="1704" spans="1:16" x14ac:dyDescent="0.3">
      <c r="A1704">
        <v>1703</v>
      </c>
      <c r="B1704" t="s">
        <v>3917</v>
      </c>
      <c r="C1704" t="s">
        <v>3928</v>
      </c>
      <c r="D1704" t="s">
        <v>3929</v>
      </c>
      <c r="E1704" t="s">
        <v>45</v>
      </c>
      <c r="F1704" t="s">
        <v>3930</v>
      </c>
      <c r="G1704" t="s">
        <v>3931</v>
      </c>
      <c r="H1704" t="str">
        <f>'Huong dan giao do an'!$B$14</f>
        <v>5 SV (vai trò chính): 1 PM/Scrum Master kiêm Integration; 2 BA/PO; 3 UI-UX + Frontend; 4 Backend/API + DevOps; 5 Database + QA/Tester. Mỗi SV có nhiệm vụ phụ và minh chứng cá nhân.</v>
      </c>
      <c r="I1704" t="s">
        <v>36</v>
      </c>
      <c r="J1704" t="s">
        <v>3932</v>
      </c>
      <c r="K1704" t="str">
        <f>IF(I1704="Trung bình",'Huong dan giao do an'!$B$8,IF(I1704="Khá",'Huong dan giao do an'!$B$9,'Huong dan giao do an'!$B$10))</f>
        <v>Tối thiểu 3 actor; 8-10 use case; 6-8 bảng dữ liệu; 2 quy trình lõi; đăng nhập/RBAC; 1 dashboard; 1 báo cáo; &gt;=25 test case; triển khai bản demo.</v>
      </c>
      <c r="L1704" t="str">
        <f>'Huong dan giao do an'!$B$31</f>
        <v>Bắt buộc: Charter/PMP; SRS + scope/WBS; Gantt/baseline; effort-cost budget; RACI/timesheet; quality-test-defect; communication/minutes; risk register; procurement; change log; closure/lessons learned.</v>
      </c>
      <c r="M1704" t="str">
        <f>'Huong dan giao do an'!$B$33</f>
        <v>Tuần 1: 07.09–13.09.2026; Tuần 2: 14.09–20.09.2026; Tuần 3: 21.09–27.09.2026; Tuần 4: 28.09–04.10.2026; Tuần 5: 05.10–11.10.2026; Tuần 6: 12.10–18.10.2026; Tuần 7: 19.10–25.10.2026; Tuần 8: 26.10–01.11.2026.</v>
      </c>
      <c r="N17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4" s="17" t="str">
        <f t="shared" si="26"/>
        <v>Còn trống</v>
      </c>
    </row>
    <row r="1705" spans="1:16" x14ac:dyDescent="0.3">
      <c r="A1705">
        <v>1704</v>
      </c>
      <c r="B1705" t="s">
        <v>3917</v>
      </c>
      <c r="C1705" t="s">
        <v>3933</v>
      </c>
      <c r="D1705" t="s">
        <v>3934</v>
      </c>
      <c r="E1705" t="s">
        <v>19</v>
      </c>
      <c r="F1705" t="s">
        <v>3935</v>
      </c>
      <c r="G1705" t="s">
        <v>3936</v>
      </c>
      <c r="H1705" t="str">
        <f>'Huong dan giao do an'!$B$14</f>
        <v>5 SV (vai trò chính): 1 PM/Scrum Master kiêm Integration; 2 BA/PO; 3 UI-UX + Frontend; 4 Backend/API + DevOps; 5 Database + QA/Tester. Mỗi SV có nhiệm vụ phụ và minh chứng cá nhân.</v>
      </c>
      <c r="I1705" t="s">
        <v>22</v>
      </c>
      <c r="J1705" t="s">
        <v>3922</v>
      </c>
      <c r="K1705" t="str">
        <f>IF(I1705="Trung bình",'Huong dan giao do an'!$B$8,IF(I1705="Khá",'Huong dan giao do an'!$B$9,'Huong dan giao do an'!$B$10))</f>
        <v>Tối thiểu 4 actor; 10-14 use case; 8-12 bảng; 3 quy trình lõi; phân quyền chi tiết; 2 báo cáo; tích hợp 1 dịch vụ; &gt;=35 test case; CI/CD hoặc deploy cloud.</v>
      </c>
      <c r="L1705" t="str">
        <f>'Huong dan giao do an'!$B$31</f>
        <v>Bắt buộc: Charter/PMP; SRS + scope/WBS; Gantt/baseline; effort-cost budget; RACI/timesheet; quality-test-defect; communication/minutes; risk register; procurement; change log; closure/lessons learned.</v>
      </c>
      <c r="M1705" t="str">
        <f>'Huong dan giao do an'!$B$33</f>
        <v>Tuần 1: 07.09–13.09.2026; Tuần 2: 14.09–20.09.2026; Tuần 3: 21.09–27.09.2026; Tuần 4: 28.09–04.10.2026; Tuần 5: 05.10–11.10.2026; Tuần 6: 12.10–18.10.2026; Tuần 7: 19.10–25.10.2026; Tuần 8: 26.10–01.11.2026.</v>
      </c>
      <c r="N17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5" s="17" t="str">
        <f t="shared" si="26"/>
        <v>Còn trống</v>
      </c>
    </row>
    <row r="1706" spans="1:16" x14ac:dyDescent="0.3">
      <c r="A1706">
        <v>1705</v>
      </c>
      <c r="B1706" t="s">
        <v>3917</v>
      </c>
      <c r="C1706" t="s">
        <v>3937</v>
      </c>
      <c r="D1706" t="s">
        <v>3938</v>
      </c>
      <c r="E1706" t="s">
        <v>26</v>
      </c>
      <c r="F1706" t="s">
        <v>3939</v>
      </c>
      <c r="G1706" t="s">
        <v>3940</v>
      </c>
      <c r="H1706" t="str">
        <f>'Huong dan giao do an'!$B$14</f>
        <v>5 SV (vai trò chính): 1 PM/Scrum Master kiêm Integration; 2 BA/PO; 3 UI-UX + Frontend; 4 Backend/API + DevOps; 5 Database + QA/Tester. Mỗi SV có nhiệm vụ phụ và minh chứng cá nhân.</v>
      </c>
      <c r="I1706" t="s">
        <v>29</v>
      </c>
      <c r="J1706" t="s">
        <v>3927</v>
      </c>
      <c r="K1706" t="str">
        <f>IF(I1706="Trung bình",'Huong dan giao do an'!$B$8,IF(I1706="Khá",'Huong dan giao do an'!$B$9,'Huong dan giao do an'!$B$10))</f>
        <v>Tối thiểu 5 actor; 14-18 use case; 10-15 bảng; 4 quy trình; tích hợp ngoài/realtime hoặc xử lý nâng cao; 3 báo cáo; &gt;=45 test case; logging, backup và deploy.</v>
      </c>
      <c r="L1706" t="str">
        <f>'Huong dan giao do an'!$B$31</f>
        <v>Bắt buộc: Charter/PMP; SRS + scope/WBS; Gantt/baseline; effort-cost budget; RACI/timesheet; quality-test-defect; communication/minutes; risk register; procurement; change log; closure/lessons learned.</v>
      </c>
      <c r="M1706" t="str">
        <f>'Huong dan giao do an'!$B$33</f>
        <v>Tuần 1: 07.09–13.09.2026; Tuần 2: 14.09–20.09.2026; Tuần 3: 21.09–27.09.2026; Tuần 4: 28.09–04.10.2026; Tuần 5: 05.10–11.10.2026; Tuần 6: 12.10–18.10.2026; Tuần 7: 19.10–25.10.2026; Tuần 8: 26.10–01.11.2026.</v>
      </c>
      <c r="N17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6" s="17" t="str">
        <f t="shared" si="26"/>
        <v>Còn trống</v>
      </c>
    </row>
    <row r="1707" spans="1:16" x14ac:dyDescent="0.3">
      <c r="A1707">
        <v>1706</v>
      </c>
      <c r="B1707" t="s">
        <v>3917</v>
      </c>
      <c r="C1707" t="s">
        <v>3941</v>
      </c>
      <c r="D1707" t="s">
        <v>3942</v>
      </c>
      <c r="E1707" t="s">
        <v>33</v>
      </c>
      <c r="F1707" t="s">
        <v>3920</v>
      </c>
      <c r="G1707" t="s">
        <v>3943</v>
      </c>
      <c r="H1707" t="str">
        <f>'Huong dan giao do an'!$B$14</f>
        <v>5 SV (vai trò chính): 1 PM/Scrum Master kiêm Integration; 2 BA/PO; 3 UI-UX + Frontend; 4 Backend/API + DevOps; 5 Database + QA/Tester. Mỗi SV có nhiệm vụ phụ và minh chứng cá nhân.</v>
      </c>
      <c r="I1707" t="s">
        <v>36</v>
      </c>
      <c r="J1707" t="s">
        <v>3932</v>
      </c>
      <c r="K1707" t="str">
        <f>IF(I1707="Trung bình",'Huong dan giao do an'!$B$8,IF(I1707="Khá",'Huong dan giao do an'!$B$9,'Huong dan giao do an'!$B$10))</f>
        <v>Tối thiểu 3 actor; 8-10 use case; 6-8 bảng dữ liệu; 2 quy trình lõi; đăng nhập/RBAC; 1 dashboard; 1 báo cáo; &gt;=25 test case; triển khai bản demo.</v>
      </c>
      <c r="L1707" t="str">
        <f>'Huong dan giao do an'!$B$31</f>
        <v>Bắt buộc: Charter/PMP; SRS + scope/WBS; Gantt/baseline; effort-cost budget; RACI/timesheet; quality-test-defect; communication/minutes; risk register; procurement; change log; closure/lessons learned.</v>
      </c>
      <c r="M1707" t="str">
        <f>'Huong dan giao do an'!$B$33</f>
        <v>Tuần 1: 07.09–13.09.2026; Tuần 2: 14.09–20.09.2026; Tuần 3: 21.09–27.09.2026; Tuần 4: 28.09–04.10.2026; Tuần 5: 05.10–11.10.2026; Tuần 6: 12.10–18.10.2026; Tuần 7: 19.10–25.10.2026; Tuần 8: 26.10–01.11.2026.</v>
      </c>
      <c r="N17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7" s="17" t="str">
        <f t="shared" si="26"/>
        <v>Còn trống</v>
      </c>
    </row>
    <row r="1708" spans="1:16" x14ac:dyDescent="0.3">
      <c r="A1708">
        <v>1707</v>
      </c>
      <c r="B1708" t="s">
        <v>3917</v>
      </c>
      <c r="C1708" t="s">
        <v>3944</v>
      </c>
      <c r="D1708" t="s">
        <v>3945</v>
      </c>
      <c r="E1708" t="s">
        <v>40</v>
      </c>
      <c r="F1708" t="s">
        <v>3925</v>
      </c>
      <c r="G1708" t="s">
        <v>3946</v>
      </c>
      <c r="H1708" t="str">
        <f>'Huong dan giao do an'!$B$14</f>
        <v>5 SV (vai trò chính): 1 PM/Scrum Master kiêm Integration; 2 BA/PO; 3 UI-UX + Frontend; 4 Backend/API + DevOps; 5 Database + QA/Tester. Mỗi SV có nhiệm vụ phụ và minh chứng cá nhân.</v>
      </c>
      <c r="I1708" t="s">
        <v>22</v>
      </c>
      <c r="J1708" t="s">
        <v>3922</v>
      </c>
      <c r="K1708" t="str">
        <f>IF(I1708="Trung bình",'Huong dan giao do an'!$B$8,IF(I1708="Khá",'Huong dan giao do an'!$B$9,'Huong dan giao do an'!$B$10))</f>
        <v>Tối thiểu 4 actor; 10-14 use case; 8-12 bảng; 3 quy trình lõi; phân quyền chi tiết; 2 báo cáo; tích hợp 1 dịch vụ; &gt;=35 test case; CI/CD hoặc deploy cloud.</v>
      </c>
      <c r="L1708" t="str">
        <f>'Huong dan giao do an'!$B$31</f>
        <v>Bắt buộc: Charter/PMP; SRS + scope/WBS; Gantt/baseline; effort-cost budget; RACI/timesheet; quality-test-defect; communication/minutes; risk register; procurement; change log; closure/lessons learned.</v>
      </c>
      <c r="M1708" t="str">
        <f>'Huong dan giao do an'!$B$33</f>
        <v>Tuần 1: 07.09–13.09.2026; Tuần 2: 14.09–20.09.2026; Tuần 3: 21.09–27.09.2026; Tuần 4: 28.09–04.10.2026; Tuần 5: 05.10–11.10.2026; Tuần 6: 12.10–18.10.2026; Tuần 7: 19.10–25.10.2026; Tuần 8: 26.10–01.11.2026.</v>
      </c>
      <c r="N17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8" s="17" t="str">
        <f t="shared" si="26"/>
        <v>Còn trống</v>
      </c>
    </row>
    <row r="1709" spans="1:16" x14ac:dyDescent="0.3">
      <c r="A1709">
        <v>1708</v>
      </c>
      <c r="B1709" t="s">
        <v>3917</v>
      </c>
      <c r="C1709" t="s">
        <v>3947</v>
      </c>
      <c r="D1709" t="s">
        <v>3948</v>
      </c>
      <c r="E1709" t="s">
        <v>45</v>
      </c>
      <c r="F1709" t="s">
        <v>3930</v>
      </c>
      <c r="G1709" t="s">
        <v>3949</v>
      </c>
      <c r="H1709" t="str">
        <f>'Huong dan giao do an'!$B$14</f>
        <v>5 SV (vai trò chính): 1 PM/Scrum Master kiêm Integration; 2 BA/PO; 3 UI-UX + Frontend; 4 Backend/API + DevOps; 5 Database + QA/Tester. Mỗi SV có nhiệm vụ phụ và minh chứng cá nhân.</v>
      </c>
      <c r="I1709" t="s">
        <v>29</v>
      </c>
      <c r="J1709" t="s">
        <v>3927</v>
      </c>
      <c r="K1709" t="str">
        <f>IF(I1709="Trung bình",'Huong dan giao do an'!$B$8,IF(I1709="Khá",'Huong dan giao do an'!$B$9,'Huong dan giao do an'!$B$10))</f>
        <v>Tối thiểu 5 actor; 14-18 use case; 10-15 bảng; 4 quy trình; tích hợp ngoài/realtime hoặc xử lý nâng cao; 3 báo cáo; &gt;=45 test case; logging, backup và deploy.</v>
      </c>
      <c r="L1709" t="str">
        <f>'Huong dan giao do an'!$B$31</f>
        <v>Bắt buộc: Charter/PMP; SRS + scope/WBS; Gantt/baseline; effort-cost budget; RACI/timesheet; quality-test-defect; communication/minutes; risk register; procurement; change log; closure/lessons learned.</v>
      </c>
      <c r="M1709" t="str">
        <f>'Huong dan giao do an'!$B$33</f>
        <v>Tuần 1: 07.09–13.09.2026; Tuần 2: 14.09–20.09.2026; Tuần 3: 21.09–27.09.2026; Tuần 4: 28.09–04.10.2026; Tuần 5: 05.10–11.10.2026; Tuần 6: 12.10–18.10.2026; Tuần 7: 19.10–25.10.2026; Tuần 8: 26.10–01.11.2026.</v>
      </c>
      <c r="N17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09" s="17" t="str">
        <f t="shared" si="26"/>
        <v>Còn trống</v>
      </c>
    </row>
    <row r="1710" spans="1:16" x14ac:dyDescent="0.3">
      <c r="A1710">
        <v>1709</v>
      </c>
      <c r="B1710" t="s">
        <v>3917</v>
      </c>
      <c r="C1710" t="s">
        <v>3950</v>
      </c>
      <c r="D1710" t="s">
        <v>3951</v>
      </c>
      <c r="E1710" t="s">
        <v>19</v>
      </c>
      <c r="F1710" t="s">
        <v>3935</v>
      </c>
      <c r="G1710" t="s">
        <v>3952</v>
      </c>
      <c r="H1710" t="str">
        <f>'Huong dan giao do an'!$B$14</f>
        <v>5 SV (vai trò chính): 1 PM/Scrum Master kiêm Integration; 2 BA/PO; 3 UI-UX + Frontend; 4 Backend/API + DevOps; 5 Database + QA/Tester. Mỗi SV có nhiệm vụ phụ và minh chứng cá nhân.</v>
      </c>
      <c r="I1710" t="s">
        <v>36</v>
      </c>
      <c r="J1710" t="s">
        <v>3932</v>
      </c>
      <c r="K1710" t="str">
        <f>IF(I1710="Trung bình",'Huong dan giao do an'!$B$8,IF(I1710="Khá",'Huong dan giao do an'!$B$9,'Huong dan giao do an'!$B$10))</f>
        <v>Tối thiểu 3 actor; 8-10 use case; 6-8 bảng dữ liệu; 2 quy trình lõi; đăng nhập/RBAC; 1 dashboard; 1 báo cáo; &gt;=25 test case; triển khai bản demo.</v>
      </c>
      <c r="L1710" t="str">
        <f>'Huong dan giao do an'!$B$31</f>
        <v>Bắt buộc: Charter/PMP; SRS + scope/WBS; Gantt/baseline; effort-cost budget; RACI/timesheet; quality-test-defect; communication/minutes; risk register; procurement; change log; closure/lessons learned.</v>
      </c>
      <c r="M1710" t="str">
        <f>'Huong dan giao do an'!$B$33</f>
        <v>Tuần 1: 07.09–13.09.2026; Tuần 2: 14.09–20.09.2026; Tuần 3: 21.09–27.09.2026; Tuần 4: 28.09–04.10.2026; Tuần 5: 05.10–11.10.2026; Tuần 6: 12.10–18.10.2026; Tuần 7: 19.10–25.10.2026; Tuần 8: 26.10–01.11.2026.</v>
      </c>
      <c r="N17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0" s="17" t="str">
        <f t="shared" si="26"/>
        <v>Còn trống</v>
      </c>
    </row>
    <row r="1711" spans="1:16" x14ac:dyDescent="0.3">
      <c r="A1711">
        <v>1710</v>
      </c>
      <c r="B1711" t="s">
        <v>3917</v>
      </c>
      <c r="C1711" t="s">
        <v>3953</v>
      </c>
      <c r="D1711" t="s">
        <v>3954</v>
      </c>
      <c r="E1711" t="s">
        <v>26</v>
      </c>
      <c r="F1711" t="s">
        <v>3939</v>
      </c>
      <c r="G1711" t="s">
        <v>3955</v>
      </c>
      <c r="H1711" t="str">
        <f>'Huong dan giao do an'!$B$14</f>
        <v>5 SV (vai trò chính): 1 PM/Scrum Master kiêm Integration; 2 BA/PO; 3 UI-UX + Frontend; 4 Backend/API + DevOps; 5 Database + QA/Tester. Mỗi SV có nhiệm vụ phụ và minh chứng cá nhân.</v>
      </c>
      <c r="I1711" t="s">
        <v>22</v>
      </c>
      <c r="J1711" t="s">
        <v>3922</v>
      </c>
      <c r="K1711" t="str">
        <f>IF(I1711="Trung bình",'Huong dan giao do an'!$B$8,IF(I1711="Khá",'Huong dan giao do an'!$B$9,'Huong dan giao do an'!$B$10))</f>
        <v>Tối thiểu 4 actor; 10-14 use case; 8-12 bảng; 3 quy trình lõi; phân quyền chi tiết; 2 báo cáo; tích hợp 1 dịch vụ; &gt;=35 test case; CI/CD hoặc deploy cloud.</v>
      </c>
      <c r="L1711" t="str">
        <f>'Huong dan giao do an'!$B$31</f>
        <v>Bắt buộc: Charter/PMP; SRS + scope/WBS; Gantt/baseline; effort-cost budget; RACI/timesheet; quality-test-defect; communication/minutes; risk register; procurement; change log; closure/lessons learned.</v>
      </c>
      <c r="M1711" t="str">
        <f>'Huong dan giao do an'!$B$33</f>
        <v>Tuần 1: 07.09–13.09.2026; Tuần 2: 14.09–20.09.2026; Tuần 3: 21.09–27.09.2026; Tuần 4: 28.09–04.10.2026; Tuần 5: 05.10–11.10.2026; Tuần 6: 12.10–18.10.2026; Tuần 7: 19.10–25.10.2026; Tuần 8: 26.10–01.11.2026.</v>
      </c>
      <c r="N17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1" s="17" t="str">
        <f t="shared" si="26"/>
        <v>Còn trống</v>
      </c>
    </row>
    <row r="1712" spans="1:16" x14ac:dyDescent="0.3">
      <c r="A1712">
        <v>1711</v>
      </c>
      <c r="B1712" t="s">
        <v>3917</v>
      </c>
      <c r="C1712" t="s">
        <v>3956</v>
      </c>
      <c r="D1712" t="s">
        <v>3957</v>
      </c>
      <c r="E1712" t="s">
        <v>33</v>
      </c>
      <c r="F1712" t="s">
        <v>3920</v>
      </c>
      <c r="G1712" t="s">
        <v>3958</v>
      </c>
      <c r="H1712" t="str">
        <f>'Huong dan giao do an'!$B$14</f>
        <v>5 SV (vai trò chính): 1 PM/Scrum Master kiêm Integration; 2 BA/PO; 3 UI-UX + Frontend; 4 Backend/API + DevOps; 5 Database + QA/Tester. Mỗi SV có nhiệm vụ phụ và minh chứng cá nhân.</v>
      </c>
      <c r="I1712" t="s">
        <v>29</v>
      </c>
      <c r="J1712" t="s">
        <v>3927</v>
      </c>
      <c r="K1712" t="str">
        <f>IF(I1712="Trung bình",'Huong dan giao do an'!$B$8,IF(I1712="Khá",'Huong dan giao do an'!$B$9,'Huong dan giao do an'!$B$10))</f>
        <v>Tối thiểu 5 actor; 14-18 use case; 10-15 bảng; 4 quy trình; tích hợp ngoài/realtime hoặc xử lý nâng cao; 3 báo cáo; &gt;=45 test case; logging, backup và deploy.</v>
      </c>
      <c r="L1712" t="str">
        <f>'Huong dan giao do an'!$B$31</f>
        <v>Bắt buộc: Charter/PMP; SRS + scope/WBS; Gantt/baseline; effort-cost budget; RACI/timesheet; quality-test-defect; communication/minutes; risk register; procurement; change log; closure/lessons learned.</v>
      </c>
      <c r="M1712" t="str">
        <f>'Huong dan giao do an'!$B$33</f>
        <v>Tuần 1: 07.09–13.09.2026; Tuần 2: 14.09–20.09.2026; Tuần 3: 21.09–27.09.2026; Tuần 4: 28.09–04.10.2026; Tuần 5: 05.10–11.10.2026; Tuần 6: 12.10–18.10.2026; Tuần 7: 19.10–25.10.2026; Tuần 8: 26.10–01.11.2026.</v>
      </c>
      <c r="N17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2" s="17" t="str">
        <f t="shared" si="26"/>
        <v>Còn trống</v>
      </c>
    </row>
    <row r="1713" spans="1:16" x14ac:dyDescent="0.3">
      <c r="A1713">
        <v>1712</v>
      </c>
      <c r="B1713" t="s">
        <v>3917</v>
      </c>
      <c r="C1713" t="s">
        <v>3959</v>
      </c>
      <c r="D1713" t="s">
        <v>3960</v>
      </c>
      <c r="E1713" t="s">
        <v>40</v>
      </c>
      <c r="F1713" t="s">
        <v>3925</v>
      </c>
      <c r="G1713" t="s">
        <v>3961</v>
      </c>
      <c r="H1713" t="str">
        <f>'Huong dan giao do an'!$B$14</f>
        <v>5 SV (vai trò chính): 1 PM/Scrum Master kiêm Integration; 2 BA/PO; 3 UI-UX + Frontend; 4 Backend/API + DevOps; 5 Database + QA/Tester. Mỗi SV có nhiệm vụ phụ và minh chứng cá nhân.</v>
      </c>
      <c r="I1713" t="s">
        <v>36</v>
      </c>
      <c r="J1713" t="s">
        <v>3932</v>
      </c>
      <c r="K1713" t="str">
        <f>IF(I1713="Trung bình",'Huong dan giao do an'!$B$8,IF(I1713="Khá",'Huong dan giao do an'!$B$9,'Huong dan giao do an'!$B$10))</f>
        <v>Tối thiểu 3 actor; 8-10 use case; 6-8 bảng dữ liệu; 2 quy trình lõi; đăng nhập/RBAC; 1 dashboard; 1 báo cáo; &gt;=25 test case; triển khai bản demo.</v>
      </c>
      <c r="L1713" t="str">
        <f>'Huong dan giao do an'!$B$31</f>
        <v>Bắt buộc: Charter/PMP; SRS + scope/WBS; Gantt/baseline; effort-cost budget; RACI/timesheet; quality-test-defect; communication/minutes; risk register; procurement; change log; closure/lessons learned.</v>
      </c>
      <c r="M1713" t="str">
        <f>'Huong dan giao do an'!$B$33</f>
        <v>Tuần 1: 07.09–13.09.2026; Tuần 2: 14.09–20.09.2026; Tuần 3: 21.09–27.09.2026; Tuần 4: 28.09–04.10.2026; Tuần 5: 05.10–11.10.2026; Tuần 6: 12.10–18.10.2026; Tuần 7: 19.10–25.10.2026; Tuần 8: 26.10–01.11.2026.</v>
      </c>
      <c r="N17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3" s="17" t="str">
        <f t="shared" si="26"/>
        <v>Còn trống</v>
      </c>
    </row>
    <row r="1714" spans="1:16" x14ac:dyDescent="0.3">
      <c r="A1714">
        <v>1713</v>
      </c>
      <c r="B1714" t="s">
        <v>3917</v>
      </c>
      <c r="C1714" t="s">
        <v>3962</v>
      </c>
      <c r="D1714" t="s">
        <v>3963</v>
      </c>
      <c r="E1714" t="s">
        <v>45</v>
      </c>
      <c r="F1714" t="s">
        <v>3930</v>
      </c>
      <c r="G1714" t="s">
        <v>3964</v>
      </c>
      <c r="H1714" t="str">
        <f>'Huong dan giao do an'!$B$14</f>
        <v>5 SV (vai trò chính): 1 PM/Scrum Master kiêm Integration; 2 BA/PO; 3 UI-UX + Frontend; 4 Backend/API + DevOps; 5 Database + QA/Tester. Mỗi SV có nhiệm vụ phụ và minh chứng cá nhân.</v>
      </c>
      <c r="I1714" t="s">
        <v>22</v>
      </c>
      <c r="J1714" t="s">
        <v>3922</v>
      </c>
      <c r="K1714" t="str">
        <f>IF(I1714="Trung bình",'Huong dan giao do an'!$B$8,IF(I1714="Khá",'Huong dan giao do an'!$B$9,'Huong dan giao do an'!$B$10))</f>
        <v>Tối thiểu 4 actor; 10-14 use case; 8-12 bảng; 3 quy trình lõi; phân quyền chi tiết; 2 báo cáo; tích hợp 1 dịch vụ; &gt;=35 test case; CI/CD hoặc deploy cloud.</v>
      </c>
      <c r="L1714" t="str">
        <f>'Huong dan giao do an'!$B$31</f>
        <v>Bắt buộc: Charter/PMP; SRS + scope/WBS; Gantt/baseline; effort-cost budget; RACI/timesheet; quality-test-defect; communication/minutes; risk register; procurement; change log; closure/lessons learned.</v>
      </c>
      <c r="M1714" t="str">
        <f>'Huong dan giao do an'!$B$33</f>
        <v>Tuần 1: 07.09–13.09.2026; Tuần 2: 14.09–20.09.2026; Tuần 3: 21.09–27.09.2026; Tuần 4: 28.09–04.10.2026; Tuần 5: 05.10–11.10.2026; Tuần 6: 12.10–18.10.2026; Tuần 7: 19.10–25.10.2026; Tuần 8: 26.10–01.11.2026.</v>
      </c>
      <c r="N17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4" s="17" t="str">
        <f t="shared" si="26"/>
        <v>Còn trống</v>
      </c>
    </row>
    <row r="1715" spans="1:16" x14ac:dyDescent="0.3">
      <c r="A1715">
        <v>1714</v>
      </c>
      <c r="B1715" t="s">
        <v>3917</v>
      </c>
      <c r="C1715" t="s">
        <v>3965</v>
      </c>
      <c r="D1715" t="s">
        <v>3966</v>
      </c>
      <c r="E1715" t="s">
        <v>19</v>
      </c>
      <c r="F1715" t="s">
        <v>3935</v>
      </c>
      <c r="G1715" t="s">
        <v>3967</v>
      </c>
      <c r="H1715" t="str">
        <f>'Huong dan giao do an'!$B$14</f>
        <v>5 SV (vai trò chính): 1 PM/Scrum Master kiêm Integration; 2 BA/PO; 3 UI-UX + Frontend; 4 Backend/API + DevOps; 5 Database + QA/Tester. Mỗi SV có nhiệm vụ phụ và minh chứng cá nhân.</v>
      </c>
      <c r="I1715" t="s">
        <v>29</v>
      </c>
      <c r="J1715" t="s">
        <v>3927</v>
      </c>
      <c r="K1715" t="str">
        <f>IF(I1715="Trung bình",'Huong dan giao do an'!$B$8,IF(I1715="Khá",'Huong dan giao do an'!$B$9,'Huong dan giao do an'!$B$10))</f>
        <v>Tối thiểu 5 actor; 14-18 use case; 10-15 bảng; 4 quy trình; tích hợp ngoài/realtime hoặc xử lý nâng cao; 3 báo cáo; &gt;=45 test case; logging, backup và deploy.</v>
      </c>
      <c r="L1715" t="str">
        <f>'Huong dan giao do an'!$B$31</f>
        <v>Bắt buộc: Charter/PMP; SRS + scope/WBS; Gantt/baseline; effort-cost budget; RACI/timesheet; quality-test-defect; communication/minutes; risk register; procurement; change log; closure/lessons learned.</v>
      </c>
      <c r="M1715" t="str">
        <f>'Huong dan giao do an'!$B$33</f>
        <v>Tuần 1: 07.09–13.09.2026; Tuần 2: 14.09–20.09.2026; Tuần 3: 21.09–27.09.2026; Tuần 4: 28.09–04.10.2026; Tuần 5: 05.10–11.10.2026; Tuần 6: 12.10–18.10.2026; Tuần 7: 19.10–25.10.2026; Tuần 8: 26.10–01.11.2026.</v>
      </c>
      <c r="N17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5" s="17" t="str">
        <f t="shared" si="26"/>
        <v>Còn trống</v>
      </c>
    </row>
    <row r="1716" spans="1:16" x14ac:dyDescent="0.3">
      <c r="A1716">
        <v>1715</v>
      </c>
      <c r="B1716" t="s">
        <v>3917</v>
      </c>
      <c r="C1716" t="s">
        <v>3968</v>
      </c>
      <c r="D1716" t="s">
        <v>3969</v>
      </c>
      <c r="E1716" t="s">
        <v>26</v>
      </c>
      <c r="F1716" t="s">
        <v>3939</v>
      </c>
      <c r="G1716" t="s">
        <v>3970</v>
      </c>
      <c r="H1716" t="str">
        <f>'Huong dan giao do an'!$B$14</f>
        <v>5 SV (vai trò chính): 1 PM/Scrum Master kiêm Integration; 2 BA/PO; 3 UI-UX + Frontend; 4 Backend/API + DevOps; 5 Database + QA/Tester. Mỗi SV có nhiệm vụ phụ và minh chứng cá nhân.</v>
      </c>
      <c r="I1716" t="s">
        <v>36</v>
      </c>
      <c r="J1716" t="s">
        <v>3932</v>
      </c>
      <c r="K1716" t="str">
        <f>IF(I1716="Trung bình",'Huong dan giao do an'!$B$8,IF(I1716="Khá",'Huong dan giao do an'!$B$9,'Huong dan giao do an'!$B$10))</f>
        <v>Tối thiểu 3 actor; 8-10 use case; 6-8 bảng dữ liệu; 2 quy trình lõi; đăng nhập/RBAC; 1 dashboard; 1 báo cáo; &gt;=25 test case; triển khai bản demo.</v>
      </c>
      <c r="L1716" t="str">
        <f>'Huong dan giao do an'!$B$31</f>
        <v>Bắt buộc: Charter/PMP; SRS + scope/WBS; Gantt/baseline; effort-cost budget; RACI/timesheet; quality-test-defect; communication/minutes; risk register; procurement; change log; closure/lessons learned.</v>
      </c>
      <c r="M1716" t="str">
        <f>'Huong dan giao do an'!$B$33</f>
        <v>Tuần 1: 07.09–13.09.2026; Tuần 2: 14.09–20.09.2026; Tuần 3: 21.09–27.09.2026; Tuần 4: 28.09–04.10.2026; Tuần 5: 05.10–11.10.2026; Tuần 6: 12.10–18.10.2026; Tuần 7: 19.10–25.10.2026; Tuần 8: 26.10–01.11.2026.</v>
      </c>
      <c r="N17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6" s="17" t="str">
        <f t="shared" si="26"/>
        <v>Còn trống</v>
      </c>
    </row>
    <row r="1717" spans="1:16" x14ac:dyDescent="0.3">
      <c r="A1717">
        <v>1716</v>
      </c>
      <c r="B1717" t="s">
        <v>3917</v>
      </c>
      <c r="C1717" t="s">
        <v>3971</v>
      </c>
      <c r="D1717" t="s">
        <v>3972</v>
      </c>
      <c r="E1717" t="s">
        <v>33</v>
      </c>
      <c r="F1717" t="s">
        <v>3920</v>
      </c>
      <c r="G1717" t="s">
        <v>3973</v>
      </c>
      <c r="H1717" t="str">
        <f>'Huong dan giao do an'!$B$14</f>
        <v>5 SV (vai trò chính): 1 PM/Scrum Master kiêm Integration; 2 BA/PO; 3 UI-UX + Frontend; 4 Backend/API + DevOps; 5 Database + QA/Tester. Mỗi SV có nhiệm vụ phụ và minh chứng cá nhân.</v>
      </c>
      <c r="I1717" t="s">
        <v>22</v>
      </c>
      <c r="J1717" t="s">
        <v>3922</v>
      </c>
      <c r="K1717" t="str">
        <f>IF(I1717="Trung bình",'Huong dan giao do an'!$B$8,IF(I1717="Khá",'Huong dan giao do an'!$B$9,'Huong dan giao do an'!$B$10))</f>
        <v>Tối thiểu 4 actor; 10-14 use case; 8-12 bảng; 3 quy trình lõi; phân quyền chi tiết; 2 báo cáo; tích hợp 1 dịch vụ; &gt;=35 test case; CI/CD hoặc deploy cloud.</v>
      </c>
      <c r="L1717" t="str">
        <f>'Huong dan giao do an'!$B$31</f>
        <v>Bắt buộc: Charter/PMP; SRS + scope/WBS; Gantt/baseline; effort-cost budget; RACI/timesheet; quality-test-defect; communication/minutes; risk register; procurement; change log; closure/lessons learned.</v>
      </c>
      <c r="M1717" t="str">
        <f>'Huong dan giao do an'!$B$33</f>
        <v>Tuần 1: 07.09–13.09.2026; Tuần 2: 14.09–20.09.2026; Tuần 3: 21.09–27.09.2026; Tuần 4: 28.09–04.10.2026; Tuần 5: 05.10–11.10.2026; Tuần 6: 12.10–18.10.2026; Tuần 7: 19.10–25.10.2026; Tuần 8: 26.10–01.11.2026.</v>
      </c>
      <c r="N17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7" s="17" t="str">
        <f t="shared" si="26"/>
        <v>Còn trống</v>
      </c>
    </row>
    <row r="1718" spans="1:16" x14ac:dyDescent="0.3">
      <c r="A1718">
        <v>1717</v>
      </c>
      <c r="B1718" t="s">
        <v>3917</v>
      </c>
      <c r="C1718" t="s">
        <v>3974</v>
      </c>
      <c r="D1718" t="s">
        <v>3975</v>
      </c>
      <c r="E1718" t="s">
        <v>40</v>
      </c>
      <c r="F1718" t="s">
        <v>3925</v>
      </c>
      <c r="G1718" t="s">
        <v>3976</v>
      </c>
      <c r="H1718" t="str">
        <f>'Huong dan giao do an'!$B$14</f>
        <v>5 SV (vai trò chính): 1 PM/Scrum Master kiêm Integration; 2 BA/PO; 3 UI-UX + Frontend; 4 Backend/API + DevOps; 5 Database + QA/Tester. Mỗi SV có nhiệm vụ phụ và minh chứng cá nhân.</v>
      </c>
      <c r="I1718" t="s">
        <v>29</v>
      </c>
      <c r="J1718" t="s">
        <v>3927</v>
      </c>
      <c r="K1718" t="str">
        <f>IF(I1718="Trung bình",'Huong dan giao do an'!$B$8,IF(I1718="Khá",'Huong dan giao do an'!$B$9,'Huong dan giao do an'!$B$10))</f>
        <v>Tối thiểu 5 actor; 14-18 use case; 10-15 bảng; 4 quy trình; tích hợp ngoài/realtime hoặc xử lý nâng cao; 3 báo cáo; &gt;=45 test case; logging, backup và deploy.</v>
      </c>
      <c r="L1718" t="str">
        <f>'Huong dan giao do an'!$B$31</f>
        <v>Bắt buộc: Charter/PMP; SRS + scope/WBS; Gantt/baseline; effort-cost budget; RACI/timesheet; quality-test-defect; communication/minutes; risk register; procurement; change log; closure/lessons learned.</v>
      </c>
      <c r="M1718" t="str">
        <f>'Huong dan giao do an'!$B$33</f>
        <v>Tuần 1: 07.09–13.09.2026; Tuần 2: 14.09–20.09.2026; Tuần 3: 21.09–27.09.2026; Tuần 4: 28.09–04.10.2026; Tuần 5: 05.10–11.10.2026; Tuần 6: 12.10–18.10.2026; Tuần 7: 19.10–25.10.2026; Tuần 8: 26.10–01.11.2026.</v>
      </c>
      <c r="N17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8" s="17" t="str">
        <f t="shared" si="26"/>
        <v>Còn trống</v>
      </c>
    </row>
    <row r="1719" spans="1:16" x14ac:dyDescent="0.3">
      <c r="A1719">
        <v>1718</v>
      </c>
      <c r="B1719" t="s">
        <v>3917</v>
      </c>
      <c r="C1719" t="s">
        <v>3977</v>
      </c>
      <c r="D1719" t="s">
        <v>3978</v>
      </c>
      <c r="E1719" t="s">
        <v>45</v>
      </c>
      <c r="F1719" t="s">
        <v>3930</v>
      </c>
      <c r="G1719" t="s">
        <v>3979</v>
      </c>
      <c r="H1719" t="str">
        <f>'Huong dan giao do an'!$B$14</f>
        <v>5 SV (vai trò chính): 1 PM/Scrum Master kiêm Integration; 2 BA/PO; 3 UI-UX + Frontend; 4 Backend/API + DevOps; 5 Database + QA/Tester. Mỗi SV có nhiệm vụ phụ và minh chứng cá nhân.</v>
      </c>
      <c r="I1719" t="s">
        <v>36</v>
      </c>
      <c r="J1719" t="s">
        <v>3932</v>
      </c>
      <c r="K1719" t="str">
        <f>IF(I1719="Trung bình",'Huong dan giao do an'!$B$8,IF(I1719="Khá",'Huong dan giao do an'!$B$9,'Huong dan giao do an'!$B$10))</f>
        <v>Tối thiểu 3 actor; 8-10 use case; 6-8 bảng dữ liệu; 2 quy trình lõi; đăng nhập/RBAC; 1 dashboard; 1 báo cáo; &gt;=25 test case; triển khai bản demo.</v>
      </c>
      <c r="L1719" t="str">
        <f>'Huong dan giao do an'!$B$31</f>
        <v>Bắt buộc: Charter/PMP; SRS + scope/WBS; Gantt/baseline; effort-cost budget; RACI/timesheet; quality-test-defect; communication/minutes; risk register; procurement; change log; closure/lessons learned.</v>
      </c>
      <c r="M1719" t="str">
        <f>'Huong dan giao do an'!$B$33</f>
        <v>Tuần 1: 07.09–13.09.2026; Tuần 2: 14.09–20.09.2026; Tuần 3: 21.09–27.09.2026; Tuần 4: 28.09–04.10.2026; Tuần 5: 05.10–11.10.2026; Tuần 6: 12.10–18.10.2026; Tuần 7: 19.10–25.10.2026; Tuần 8: 26.10–01.11.2026.</v>
      </c>
      <c r="N17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19" s="17" t="str">
        <f t="shared" si="26"/>
        <v>Còn trống</v>
      </c>
    </row>
    <row r="1720" spans="1:16" x14ac:dyDescent="0.3">
      <c r="A1720">
        <v>1719</v>
      </c>
      <c r="B1720" t="s">
        <v>3917</v>
      </c>
      <c r="C1720" t="s">
        <v>3980</v>
      </c>
      <c r="D1720" t="s">
        <v>3981</v>
      </c>
      <c r="E1720" t="s">
        <v>19</v>
      </c>
      <c r="F1720" t="s">
        <v>3935</v>
      </c>
      <c r="G1720" t="s">
        <v>3982</v>
      </c>
      <c r="H1720" t="str">
        <f>'Huong dan giao do an'!$B$14</f>
        <v>5 SV (vai trò chính): 1 PM/Scrum Master kiêm Integration; 2 BA/PO; 3 UI-UX + Frontend; 4 Backend/API + DevOps; 5 Database + QA/Tester. Mỗi SV có nhiệm vụ phụ và minh chứng cá nhân.</v>
      </c>
      <c r="I1720" t="s">
        <v>22</v>
      </c>
      <c r="J1720" t="s">
        <v>3922</v>
      </c>
      <c r="K1720" t="str">
        <f>IF(I1720="Trung bình",'Huong dan giao do an'!$B$8,IF(I1720="Khá",'Huong dan giao do an'!$B$9,'Huong dan giao do an'!$B$10))</f>
        <v>Tối thiểu 4 actor; 10-14 use case; 8-12 bảng; 3 quy trình lõi; phân quyền chi tiết; 2 báo cáo; tích hợp 1 dịch vụ; &gt;=35 test case; CI/CD hoặc deploy cloud.</v>
      </c>
      <c r="L1720" t="str">
        <f>'Huong dan giao do an'!$B$31</f>
        <v>Bắt buộc: Charter/PMP; SRS + scope/WBS; Gantt/baseline; effort-cost budget; RACI/timesheet; quality-test-defect; communication/minutes; risk register; procurement; change log; closure/lessons learned.</v>
      </c>
      <c r="M1720" t="str">
        <f>'Huong dan giao do an'!$B$33</f>
        <v>Tuần 1: 07.09–13.09.2026; Tuần 2: 14.09–20.09.2026; Tuần 3: 21.09–27.09.2026; Tuần 4: 28.09–04.10.2026; Tuần 5: 05.10–11.10.2026; Tuần 6: 12.10–18.10.2026; Tuần 7: 19.10–25.10.2026; Tuần 8: 26.10–01.11.2026.</v>
      </c>
      <c r="N17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0" s="17" t="str">
        <f t="shared" si="26"/>
        <v>Còn trống</v>
      </c>
    </row>
    <row r="1721" spans="1:16" x14ac:dyDescent="0.3">
      <c r="A1721">
        <v>1720</v>
      </c>
      <c r="B1721" t="s">
        <v>3917</v>
      </c>
      <c r="C1721" t="s">
        <v>3983</v>
      </c>
      <c r="D1721" t="s">
        <v>3984</v>
      </c>
      <c r="E1721" t="s">
        <v>26</v>
      </c>
      <c r="F1721" t="s">
        <v>3939</v>
      </c>
      <c r="G1721" t="s">
        <v>3985</v>
      </c>
      <c r="H1721" t="str">
        <f>'Huong dan giao do an'!$B$14</f>
        <v>5 SV (vai trò chính): 1 PM/Scrum Master kiêm Integration; 2 BA/PO; 3 UI-UX + Frontend; 4 Backend/API + DevOps; 5 Database + QA/Tester. Mỗi SV có nhiệm vụ phụ và minh chứng cá nhân.</v>
      </c>
      <c r="I1721" t="s">
        <v>29</v>
      </c>
      <c r="J1721" t="s">
        <v>3927</v>
      </c>
      <c r="K1721" t="str">
        <f>IF(I1721="Trung bình",'Huong dan giao do an'!$B$8,IF(I1721="Khá",'Huong dan giao do an'!$B$9,'Huong dan giao do an'!$B$10))</f>
        <v>Tối thiểu 5 actor; 14-18 use case; 10-15 bảng; 4 quy trình; tích hợp ngoài/realtime hoặc xử lý nâng cao; 3 báo cáo; &gt;=45 test case; logging, backup và deploy.</v>
      </c>
      <c r="L1721" t="str">
        <f>'Huong dan giao do an'!$B$31</f>
        <v>Bắt buộc: Charter/PMP; SRS + scope/WBS; Gantt/baseline; effort-cost budget; RACI/timesheet; quality-test-defect; communication/minutes; risk register; procurement; change log; closure/lessons learned.</v>
      </c>
      <c r="M1721" t="str">
        <f>'Huong dan giao do an'!$B$33</f>
        <v>Tuần 1: 07.09–13.09.2026; Tuần 2: 14.09–20.09.2026; Tuần 3: 21.09–27.09.2026; Tuần 4: 28.09–04.10.2026; Tuần 5: 05.10–11.10.2026; Tuần 6: 12.10–18.10.2026; Tuần 7: 19.10–25.10.2026; Tuần 8: 26.10–01.11.2026.</v>
      </c>
      <c r="N17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1" s="17" t="str">
        <f t="shared" si="26"/>
        <v>Còn trống</v>
      </c>
    </row>
    <row r="1722" spans="1:16" x14ac:dyDescent="0.3">
      <c r="A1722">
        <v>1721</v>
      </c>
      <c r="B1722" t="s">
        <v>3917</v>
      </c>
      <c r="C1722" t="s">
        <v>3986</v>
      </c>
      <c r="D1722" t="s">
        <v>3987</v>
      </c>
      <c r="E1722" t="s">
        <v>33</v>
      </c>
      <c r="F1722" t="s">
        <v>3920</v>
      </c>
      <c r="G1722" t="s">
        <v>3921</v>
      </c>
      <c r="H1722" t="str">
        <f>'Huong dan giao do an'!$B$14</f>
        <v>5 SV (vai trò chính): 1 PM/Scrum Master kiêm Integration; 2 BA/PO; 3 UI-UX + Frontend; 4 Backend/API + DevOps; 5 Database + QA/Tester. Mỗi SV có nhiệm vụ phụ và minh chứng cá nhân.</v>
      </c>
      <c r="I1722" t="s">
        <v>22</v>
      </c>
      <c r="J1722" t="s">
        <v>3922</v>
      </c>
      <c r="K1722" t="str">
        <f>IF(I1722="Trung bình",'Huong dan giao do an'!$B$8,IF(I1722="Khá",'Huong dan giao do an'!$B$9,'Huong dan giao do an'!$B$10))</f>
        <v>Tối thiểu 4 actor; 10-14 use case; 8-12 bảng; 3 quy trình lõi; phân quyền chi tiết; 2 báo cáo; tích hợp 1 dịch vụ; &gt;=35 test case; CI/CD hoặc deploy cloud.</v>
      </c>
      <c r="L1722" t="str">
        <f>'Huong dan giao do an'!$B$31</f>
        <v>Bắt buộc: Charter/PMP; SRS + scope/WBS; Gantt/baseline; effort-cost budget; RACI/timesheet; quality-test-defect; communication/minutes; risk register; procurement; change log; closure/lessons learned.</v>
      </c>
      <c r="M1722" t="str">
        <f>'Huong dan giao do an'!$B$33</f>
        <v>Tuần 1: 07.09–13.09.2026; Tuần 2: 14.09–20.09.2026; Tuần 3: 21.09–27.09.2026; Tuần 4: 28.09–04.10.2026; Tuần 5: 05.10–11.10.2026; Tuần 6: 12.10–18.10.2026; Tuần 7: 19.10–25.10.2026; Tuần 8: 26.10–01.11.2026.</v>
      </c>
      <c r="N17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2" s="17" t="str">
        <f t="shared" si="26"/>
        <v>Còn trống</v>
      </c>
    </row>
    <row r="1723" spans="1:16" x14ac:dyDescent="0.3">
      <c r="A1723">
        <v>1722</v>
      </c>
      <c r="B1723" t="s">
        <v>3917</v>
      </c>
      <c r="C1723" t="s">
        <v>3988</v>
      </c>
      <c r="D1723" t="s">
        <v>3989</v>
      </c>
      <c r="E1723" t="s">
        <v>40</v>
      </c>
      <c r="F1723" t="s">
        <v>3925</v>
      </c>
      <c r="G1723" t="s">
        <v>3926</v>
      </c>
      <c r="H1723" t="str">
        <f>'Huong dan giao do an'!$B$14</f>
        <v>5 SV (vai trò chính): 1 PM/Scrum Master kiêm Integration; 2 BA/PO; 3 UI-UX + Frontend; 4 Backend/API + DevOps; 5 Database + QA/Tester. Mỗi SV có nhiệm vụ phụ và minh chứng cá nhân.</v>
      </c>
      <c r="I1723" t="s">
        <v>29</v>
      </c>
      <c r="J1723" t="s">
        <v>3927</v>
      </c>
      <c r="K1723" t="str">
        <f>IF(I1723="Trung bình",'Huong dan giao do an'!$B$8,IF(I1723="Khá",'Huong dan giao do an'!$B$9,'Huong dan giao do an'!$B$10))</f>
        <v>Tối thiểu 5 actor; 14-18 use case; 10-15 bảng; 4 quy trình; tích hợp ngoài/realtime hoặc xử lý nâng cao; 3 báo cáo; &gt;=45 test case; logging, backup và deploy.</v>
      </c>
      <c r="L1723" t="str">
        <f>'Huong dan giao do an'!$B$31</f>
        <v>Bắt buộc: Charter/PMP; SRS + scope/WBS; Gantt/baseline; effort-cost budget; RACI/timesheet; quality-test-defect; communication/minutes; risk register; procurement; change log; closure/lessons learned.</v>
      </c>
      <c r="M1723" t="str">
        <f>'Huong dan giao do an'!$B$33</f>
        <v>Tuần 1: 07.09–13.09.2026; Tuần 2: 14.09–20.09.2026; Tuần 3: 21.09–27.09.2026; Tuần 4: 28.09–04.10.2026; Tuần 5: 05.10–11.10.2026; Tuần 6: 12.10–18.10.2026; Tuần 7: 19.10–25.10.2026; Tuần 8: 26.10–01.11.2026.</v>
      </c>
      <c r="N17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3" s="17" t="str">
        <f t="shared" si="26"/>
        <v>Còn trống</v>
      </c>
    </row>
    <row r="1724" spans="1:16" x14ac:dyDescent="0.3">
      <c r="A1724">
        <v>1723</v>
      </c>
      <c r="B1724" t="s">
        <v>3917</v>
      </c>
      <c r="C1724" t="s">
        <v>3990</v>
      </c>
      <c r="D1724" t="s">
        <v>3991</v>
      </c>
      <c r="E1724" t="s">
        <v>45</v>
      </c>
      <c r="F1724" t="s">
        <v>3930</v>
      </c>
      <c r="G1724" t="s">
        <v>3931</v>
      </c>
      <c r="H1724" t="str">
        <f>'Huong dan giao do an'!$B$14</f>
        <v>5 SV (vai trò chính): 1 PM/Scrum Master kiêm Integration; 2 BA/PO; 3 UI-UX + Frontend; 4 Backend/API + DevOps; 5 Database + QA/Tester. Mỗi SV có nhiệm vụ phụ và minh chứng cá nhân.</v>
      </c>
      <c r="I1724" t="s">
        <v>36</v>
      </c>
      <c r="J1724" t="s">
        <v>3932</v>
      </c>
      <c r="K1724" t="str">
        <f>IF(I1724="Trung bình",'Huong dan giao do an'!$B$8,IF(I1724="Khá",'Huong dan giao do an'!$B$9,'Huong dan giao do an'!$B$10))</f>
        <v>Tối thiểu 3 actor; 8-10 use case; 6-8 bảng dữ liệu; 2 quy trình lõi; đăng nhập/RBAC; 1 dashboard; 1 báo cáo; &gt;=25 test case; triển khai bản demo.</v>
      </c>
      <c r="L1724" t="str">
        <f>'Huong dan giao do an'!$B$31</f>
        <v>Bắt buộc: Charter/PMP; SRS + scope/WBS; Gantt/baseline; effort-cost budget; RACI/timesheet; quality-test-defect; communication/minutes; risk register; procurement; change log; closure/lessons learned.</v>
      </c>
      <c r="M1724" t="str">
        <f>'Huong dan giao do an'!$B$33</f>
        <v>Tuần 1: 07.09–13.09.2026; Tuần 2: 14.09–20.09.2026; Tuần 3: 21.09–27.09.2026; Tuần 4: 28.09–04.10.2026; Tuần 5: 05.10–11.10.2026; Tuần 6: 12.10–18.10.2026; Tuần 7: 19.10–25.10.2026; Tuần 8: 26.10–01.11.2026.</v>
      </c>
      <c r="N17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4" s="17" t="str">
        <f t="shared" si="26"/>
        <v>Còn trống</v>
      </c>
    </row>
    <row r="1725" spans="1:16" x14ac:dyDescent="0.3">
      <c r="A1725">
        <v>1724</v>
      </c>
      <c r="B1725" t="s">
        <v>3917</v>
      </c>
      <c r="C1725" t="s">
        <v>3992</v>
      </c>
      <c r="D1725" t="s">
        <v>3993</v>
      </c>
      <c r="E1725" t="s">
        <v>19</v>
      </c>
      <c r="F1725" t="s">
        <v>3935</v>
      </c>
      <c r="G1725" t="s">
        <v>3936</v>
      </c>
      <c r="H1725" t="str">
        <f>'Huong dan giao do an'!$B$14</f>
        <v>5 SV (vai trò chính): 1 PM/Scrum Master kiêm Integration; 2 BA/PO; 3 UI-UX + Frontend; 4 Backend/API + DevOps; 5 Database + QA/Tester. Mỗi SV có nhiệm vụ phụ và minh chứng cá nhân.</v>
      </c>
      <c r="I1725" t="s">
        <v>22</v>
      </c>
      <c r="J1725" t="s">
        <v>3922</v>
      </c>
      <c r="K1725" t="str">
        <f>IF(I1725="Trung bình",'Huong dan giao do an'!$B$8,IF(I1725="Khá",'Huong dan giao do an'!$B$9,'Huong dan giao do an'!$B$10))</f>
        <v>Tối thiểu 4 actor; 10-14 use case; 8-12 bảng; 3 quy trình lõi; phân quyền chi tiết; 2 báo cáo; tích hợp 1 dịch vụ; &gt;=35 test case; CI/CD hoặc deploy cloud.</v>
      </c>
      <c r="L1725" t="str">
        <f>'Huong dan giao do an'!$B$31</f>
        <v>Bắt buộc: Charter/PMP; SRS + scope/WBS; Gantt/baseline; effort-cost budget; RACI/timesheet; quality-test-defect; communication/minutes; risk register; procurement; change log; closure/lessons learned.</v>
      </c>
      <c r="M1725" t="str">
        <f>'Huong dan giao do an'!$B$33</f>
        <v>Tuần 1: 07.09–13.09.2026; Tuần 2: 14.09–20.09.2026; Tuần 3: 21.09–27.09.2026; Tuần 4: 28.09–04.10.2026; Tuần 5: 05.10–11.10.2026; Tuần 6: 12.10–18.10.2026; Tuần 7: 19.10–25.10.2026; Tuần 8: 26.10–01.11.2026.</v>
      </c>
      <c r="N17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5" s="17" t="str">
        <f t="shared" si="26"/>
        <v>Còn trống</v>
      </c>
    </row>
    <row r="1726" spans="1:16" x14ac:dyDescent="0.3">
      <c r="A1726">
        <v>1725</v>
      </c>
      <c r="B1726" t="s">
        <v>3917</v>
      </c>
      <c r="C1726" t="s">
        <v>3994</v>
      </c>
      <c r="D1726" t="s">
        <v>3995</v>
      </c>
      <c r="E1726" t="s">
        <v>26</v>
      </c>
      <c r="F1726" t="s">
        <v>3939</v>
      </c>
      <c r="G1726" t="s">
        <v>3940</v>
      </c>
      <c r="H1726" t="str">
        <f>'Huong dan giao do an'!$B$14</f>
        <v>5 SV (vai trò chính): 1 PM/Scrum Master kiêm Integration; 2 BA/PO; 3 UI-UX + Frontend; 4 Backend/API + DevOps; 5 Database + QA/Tester. Mỗi SV có nhiệm vụ phụ và minh chứng cá nhân.</v>
      </c>
      <c r="I1726" t="s">
        <v>29</v>
      </c>
      <c r="J1726" t="s">
        <v>3927</v>
      </c>
      <c r="K1726" t="str">
        <f>IF(I1726="Trung bình",'Huong dan giao do an'!$B$8,IF(I1726="Khá",'Huong dan giao do an'!$B$9,'Huong dan giao do an'!$B$10))</f>
        <v>Tối thiểu 5 actor; 14-18 use case; 10-15 bảng; 4 quy trình; tích hợp ngoài/realtime hoặc xử lý nâng cao; 3 báo cáo; &gt;=45 test case; logging, backup và deploy.</v>
      </c>
      <c r="L1726" t="str">
        <f>'Huong dan giao do an'!$B$31</f>
        <v>Bắt buộc: Charter/PMP; SRS + scope/WBS; Gantt/baseline; effort-cost budget; RACI/timesheet; quality-test-defect; communication/minutes; risk register; procurement; change log; closure/lessons learned.</v>
      </c>
      <c r="M1726" t="str">
        <f>'Huong dan giao do an'!$B$33</f>
        <v>Tuần 1: 07.09–13.09.2026; Tuần 2: 14.09–20.09.2026; Tuần 3: 21.09–27.09.2026; Tuần 4: 28.09–04.10.2026; Tuần 5: 05.10–11.10.2026; Tuần 6: 12.10–18.10.2026; Tuần 7: 19.10–25.10.2026; Tuần 8: 26.10–01.11.2026.</v>
      </c>
      <c r="N17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6" s="17" t="str">
        <f t="shared" si="26"/>
        <v>Còn trống</v>
      </c>
    </row>
    <row r="1727" spans="1:16" x14ac:dyDescent="0.3">
      <c r="A1727">
        <v>1726</v>
      </c>
      <c r="B1727" t="s">
        <v>3917</v>
      </c>
      <c r="C1727" t="s">
        <v>3996</v>
      </c>
      <c r="D1727" t="s">
        <v>3997</v>
      </c>
      <c r="E1727" t="s">
        <v>33</v>
      </c>
      <c r="F1727" t="s">
        <v>3920</v>
      </c>
      <c r="G1727" t="s">
        <v>3943</v>
      </c>
      <c r="H1727" t="str">
        <f>'Huong dan giao do an'!$B$14</f>
        <v>5 SV (vai trò chính): 1 PM/Scrum Master kiêm Integration; 2 BA/PO; 3 UI-UX + Frontend; 4 Backend/API + DevOps; 5 Database + QA/Tester. Mỗi SV có nhiệm vụ phụ và minh chứng cá nhân.</v>
      </c>
      <c r="I1727" t="s">
        <v>36</v>
      </c>
      <c r="J1727" t="s">
        <v>3932</v>
      </c>
      <c r="K1727" t="str">
        <f>IF(I1727="Trung bình",'Huong dan giao do an'!$B$8,IF(I1727="Khá",'Huong dan giao do an'!$B$9,'Huong dan giao do an'!$B$10))</f>
        <v>Tối thiểu 3 actor; 8-10 use case; 6-8 bảng dữ liệu; 2 quy trình lõi; đăng nhập/RBAC; 1 dashboard; 1 báo cáo; &gt;=25 test case; triển khai bản demo.</v>
      </c>
      <c r="L1727" t="str">
        <f>'Huong dan giao do an'!$B$31</f>
        <v>Bắt buộc: Charter/PMP; SRS + scope/WBS; Gantt/baseline; effort-cost budget; RACI/timesheet; quality-test-defect; communication/minutes; risk register; procurement; change log; closure/lessons learned.</v>
      </c>
      <c r="M1727" t="str">
        <f>'Huong dan giao do an'!$B$33</f>
        <v>Tuần 1: 07.09–13.09.2026; Tuần 2: 14.09–20.09.2026; Tuần 3: 21.09–27.09.2026; Tuần 4: 28.09–04.10.2026; Tuần 5: 05.10–11.10.2026; Tuần 6: 12.10–18.10.2026; Tuần 7: 19.10–25.10.2026; Tuần 8: 26.10–01.11.2026.</v>
      </c>
      <c r="N17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7" s="17" t="str">
        <f t="shared" si="26"/>
        <v>Còn trống</v>
      </c>
    </row>
    <row r="1728" spans="1:16" x14ac:dyDescent="0.3">
      <c r="A1728">
        <v>1727</v>
      </c>
      <c r="B1728" t="s">
        <v>3917</v>
      </c>
      <c r="C1728" t="s">
        <v>3998</v>
      </c>
      <c r="D1728" t="s">
        <v>3999</v>
      </c>
      <c r="E1728" t="s">
        <v>40</v>
      </c>
      <c r="F1728" t="s">
        <v>3925</v>
      </c>
      <c r="G1728" t="s">
        <v>3946</v>
      </c>
      <c r="H1728" t="str">
        <f>'Huong dan giao do an'!$B$14</f>
        <v>5 SV (vai trò chính): 1 PM/Scrum Master kiêm Integration; 2 BA/PO; 3 UI-UX + Frontend; 4 Backend/API + DevOps; 5 Database + QA/Tester. Mỗi SV có nhiệm vụ phụ và minh chứng cá nhân.</v>
      </c>
      <c r="I1728" t="s">
        <v>22</v>
      </c>
      <c r="J1728" t="s">
        <v>3922</v>
      </c>
      <c r="K1728" t="str">
        <f>IF(I1728="Trung bình",'Huong dan giao do an'!$B$8,IF(I1728="Khá",'Huong dan giao do an'!$B$9,'Huong dan giao do an'!$B$10))</f>
        <v>Tối thiểu 4 actor; 10-14 use case; 8-12 bảng; 3 quy trình lõi; phân quyền chi tiết; 2 báo cáo; tích hợp 1 dịch vụ; &gt;=35 test case; CI/CD hoặc deploy cloud.</v>
      </c>
      <c r="L1728" t="str">
        <f>'Huong dan giao do an'!$B$31</f>
        <v>Bắt buộc: Charter/PMP; SRS + scope/WBS; Gantt/baseline; effort-cost budget; RACI/timesheet; quality-test-defect; communication/minutes; risk register; procurement; change log; closure/lessons learned.</v>
      </c>
      <c r="M1728" t="str">
        <f>'Huong dan giao do an'!$B$33</f>
        <v>Tuần 1: 07.09–13.09.2026; Tuần 2: 14.09–20.09.2026; Tuần 3: 21.09–27.09.2026; Tuần 4: 28.09–04.10.2026; Tuần 5: 05.10–11.10.2026; Tuần 6: 12.10–18.10.2026; Tuần 7: 19.10–25.10.2026; Tuần 8: 26.10–01.11.2026.</v>
      </c>
      <c r="N17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8" s="17" t="str">
        <f t="shared" si="26"/>
        <v>Còn trống</v>
      </c>
    </row>
    <row r="1729" spans="1:16" x14ac:dyDescent="0.3">
      <c r="A1729">
        <v>1728</v>
      </c>
      <c r="B1729" t="s">
        <v>3917</v>
      </c>
      <c r="C1729" t="s">
        <v>4000</v>
      </c>
      <c r="D1729" t="s">
        <v>4001</v>
      </c>
      <c r="E1729" t="s">
        <v>45</v>
      </c>
      <c r="F1729" t="s">
        <v>3930</v>
      </c>
      <c r="G1729" t="s">
        <v>3949</v>
      </c>
      <c r="H1729" t="str">
        <f>'Huong dan giao do an'!$B$14</f>
        <v>5 SV (vai trò chính): 1 PM/Scrum Master kiêm Integration; 2 BA/PO; 3 UI-UX + Frontend; 4 Backend/API + DevOps; 5 Database + QA/Tester. Mỗi SV có nhiệm vụ phụ và minh chứng cá nhân.</v>
      </c>
      <c r="I1729" t="s">
        <v>29</v>
      </c>
      <c r="J1729" t="s">
        <v>3927</v>
      </c>
      <c r="K1729" t="str">
        <f>IF(I1729="Trung bình",'Huong dan giao do an'!$B$8,IF(I1729="Khá",'Huong dan giao do an'!$B$9,'Huong dan giao do an'!$B$10))</f>
        <v>Tối thiểu 5 actor; 14-18 use case; 10-15 bảng; 4 quy trình; tích hợp ngoài/realtime hoặc xử lý nâng cao; 3 báo cáo; &gt;=45 test case; logging, backup và deploy.</v>
      </c>
      <c r="L1729" t="str">
        <f>'Huong dan giao do an'!$B$31</f>
        <v>Bắt buộc: Charter/PMP; SRS + scope/WBS; Gantt/baseline; effort-cost budget; RACI/timesheet; quality-test-defect; communication/minutes; risk register; procurement; change log; closure/lessons learned.</v>
      </c>
      <c r="M1729" t="str">
        <f>'Huong dan giao do an'!$B$33</f>
        <v>Tuần 1: 07.09–13.09.2026; Tuần 2: 14.09–20.09.2026; Tuần 3: 21.09–27.09.2026; Tuần 4: 28.09–04.10.2026; Tuần 5: 05.10–11.10.2026; Tuần 6: 12.10–18.10.2026; Tuần 7: 19.10–25.10.2026; Tuần 8: 26.10–01.11.2026.</v>
      </c>
      <c r="N17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29" s="17" t="str">
        <f t="shared" si="26"/>
        <v>Còn trống</v>
      </c>
    </row>
    <row r="1730" spans="1:16" x14ac:dyDescent="0.3">
      <c r="A1730">
        <v>1729</v>
      </c>
      <c r="B1730" t="s">
        <v>3917</v>
      </c>
      <c r="C1730" t="s">
        <v>4002</v>
      </c>
      <c r="D1730" t="s">
        <v>4003</v>
      </c>
      <c r="E1730" t="s">
        <v>19</v>
      </c>
      <c r="F1730" t="s">
        <v>3935</v>
      </c>
      <c r="G1730" t="s">
        <v>3952</v>
      </c>
      <c r="H1730" t="str">
        <f>'Huong dan giao do an'!$B$14</f>
        <v>5 SV (vai trò chính): 1 PM/Scrum Master kiêm Integration; 2 BA/PO; 3 UI-UX + Frontend; 4 Backend/API + DevOps; 5 Database + QA/Tester. Mỗi SV có nhiệm vụ phụ và minh chứng cá nhân.</v>
      </c>
      <c r="I1730" t="s">
        <v>36</v>
      </c>
      <c r="J1730" t="s">
        <v>3932</v>
      </c>
      <c r="K1730" t="str">
        <f>IF(I1730="Trung bình",'Huong dan giao do an'!$B$8,IF(I1730="Khá",'Huong dan giao do an'!$B$9,'Huong dan giao do an'!$B$10))</f>
        <v>Tối thiểu 3 actor; 8-10 use case; 6-8 bảng dữ liệu; 2 quy trình lõi; đăng nhập/RBAC; 1 dashboard; 1 báo cáo; &gt;=25 test case; triển khai bản demo.</v>
      </c>
      <c r="L1730" t="str">
        <f>'Huong dan giao do an'!$B$31</f>
        <v>Bắt buộc: Charter/PMP; SRS + scope/WBS; Gantt/baseline; effort-cost budget; RACI/timesheet; quality-test-defect; communication/minutes; risk register; procurement; change log; closure/lessons learned.</v>
      </c>
      <c r="M1730" t="str">
        <f>'Huong dan giao do an'!$B$33</f>
        <v>Tuần 1: 07.09–13.09.2026; Tuần 2: 14.09–20.09.2026; Tuần 3: 21.09–27.09.2026; Tuần 4: 28.09–04.10.2026; Tuần 5: 05.10–11.10.2026; Tuần 6: 12.10–18.10.2026; Tuần 7: 19.10–25.10.2026; Tuần 8: 26.10–01.11.2026.</v>
      </c>
      <c r="N17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0" s="17" t="str">
        <f t="shared" si="26"/>
        <v>Còn trống</v>
      </c>
    </row>
    <row r="1731" spans="1:16" x14ac:dyDescent="0.3">
      <c r="A1731">
        <v>1730</v>
      </c>
      <c r="B1731" t="s">
        <v>3917</v>
      </c>
      <c r="C1731" t="s">
        <v>4004</v>
      </c>
      <c r="D1731" t="s">
        <v>4005</v>
      </c>
      <c r="E1731" t="s">
        <v>26</v>
      </c>
      <c r="F1731" t="s">
        <v>3939</v>
      </c>
      <c r="G1731" t="s">
        <v>3955</v>
      </c>
      <c r="H1731" t="str">
        <f>'Huong dan giao do an'!$B$14</f>
        <v>5 SV (vai trò chính): 1 PM/Scrum Master kiêm Integration; 2 BA/PO; 3 UI-UX + Frontend; 4 Backend/API + DevOps; 5 Database + QA/Tester. Mỗi SV có nhiệm vụ phụ và minh chứng cá nhân.</v>
      </c>
      <c r="I1731" t="s">
        <v>22</v>
      </c>
      <c r="J1731" t="s">
        <v>3922</v>
      </c>
      <c r="K1731" t="str">
        <f>IF(I1731="Trung bình",'Huong dan giao do an'!$B$8,IF(I1731="Khá",'Huong dan giao do an'!$B$9,'Huong dan giao do an'!$B$10))</f>
        <v>Tối thiểu 4 actor; 10-14 use case; 8-12 bảng; 3 quy trình lõi; phân quyền chi tiết; 2 báo cáo; tích hợp 1 dịch vụ; &gt;=35 test case; CI/CD hoặc deploy cloud.</v>
      </c>
      <c r="L1731" t="str">
        <f>'Huong dan giao do an'!$B$31</f>
        <v>Bắt buộc: Charter/PMP; SRS + scope/WBS; Gantt/baseline; effort-cost budget; RACI/timesheet; quality-test-defect; communication/minutes; risk register; procurement; change log; closure/lessons learned.</v>
      </c>
      <c r="M1731" t="str">
        <f>'Huong dan giao do an'!$B$33</f>
        <v>Tuần 1: 07.09–13.09.2026; Tuần 2: 14.09–20.09.2026; Tuần 3: 21.09–27.09.2026; Tuần 4: 28.09–04.10.2026; Tuần 5: 05.10–11.10.2026; Tuần 6: 12.10–18.10.2026; Tuần 7: 19.10–25.10.2026; Tuần 8: 26.10–01.11.2026.</v>
      </c>
      <c r="N17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1" s="17" t="str">
        <f t="shared" ref="P1731:P1794" si="27">IF(O1731="","Còn trống","Đã đăng ký")</f>
        <v>Còn trống</v>
      </c>
    </row>
    <row r="1732" spans="1:16" x14ac:dyDescent="0.3">
      <c r="A1732">
        <v>1731</v>
      </c>
      <c r="B1732" t="s">
        <v>3917</v>
      </c>
      <c r="C1732" t="s">
        <v>4006</v>
      </c>
      <c r="D1732" t="s">
        <v>4007</v>
      </c>
      <c r="E1732" t="s">
        <v>33</v>
      </c>
      <c r="F1732" t="s">
        <v>3920</v>
      </c>
      <c r="G1732" t="s">
        <v>3958</v>
      </c>
      <c r="H1732" t="str">
        <f>'Huong dan giao do an'!$B$14</f>
        <v>5 SV (vai trò chính): 1 PM/Scrum Master kiêm Integration; 2 BA/PO; 3 UI-UX + Frontend; 4 Backend/API + DevOps; 5 Database + QA/Tester. Mỗi SV có nhiệm vụ phụ và minh chứng cá nhân.</v>
      </c>
      <c r="I1732" t="s">
        <v>29</v>
      </c>
      <c r="J1732" t="s">
        <v>3927</v>
      </c>
      <c r="K1732" t="str">
        <f>IF(I1732="Trung bình",'Huong dan giao do an'!$B$8,IF(I1732="Khá",'Huong dan giao do an'!$B$9,'Huong dan giao do an'!$B$10))</f>
        <v>Tối thiểu 5 actor; 14-18 use case; 10-15 bảng; 4 quy trình; tích hợp ngoài/realtime hoặc xử lý nâng cao; 3 báo cáo; &gt;=45 test case; logging, backup và deploy.</v>
      </c>
      <c r="L1732" t="str">
        <f>'Huong dan giao do an'!$B$31</f>
        <v>Bắt buộc: Charter/PMP; SRS + scope/WBS; Gantt/baseline; effort-cost budget; RACI/timesheet; quality-test-defect; communication/minutes; risk register; procurement; change log; closure/lessons learned.</v>
      </c>
      <c r="M1732" t="str">
        <f>'Huong dan giao do an'!$B$33</f>
        <v>Tuần 1: 07.09–13.09.2026; Tuần 2: 14.09–20.09.2026; Tuần 3: 21.09–27.09.2026; Tuần 4: 28.09–04.10.2026; Tuần 5: 05.10–11.10.2026; Tuần 6: 12.10–18.10.2026; Tuần 7: 19.10–25.10.2026; Tuần 8: 26.10–01.11.2026.</v>
      </c>
      <c r="N17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2" s="17" t="str">
        <f t="shared" si="27"/>
        <v>Còn trống</v>
      </c>
    </row>
    <row r="1733" spans="1:16" x14ac:dyDescent="0.3">
      <c r="A1733">
        <v>1732</v>
      </c>
      <c r="B1733" t="s">
        <v>3917</v>
      </c>
      <c r="C1733" t="s">
        <v>4008</v>
      </c>
      <c r="D1733" t="s">
        <v>4009</v>
      </c>
      <c r="E1733" t="s">
        <v>40</v>
      </c>
      <c r="F1733" t="s">
        <v>3925</v>
      </c>
      <c r="G1733" t="s">
        <v>3961</v>
      </c>
      <c r="H1733" t="str">
        <f>'Huong dan giao do an'!$B$14</f>
        <v>5 SV (vai trò chính): 1 PM/Scrum Master kiêm Integration; 2 BA/PO; 3 UI-UX + Frontend; 4 Backend/API + DevOps; 5 Database + QA/Tester. Mỗi SV có nhiệm vụ phụ và minh chứng cá nhân.</v>
      </c>
      <c r="I1733" t="s">
        <v>36</v>
      </c>
      <c r="J1733" t="s">
        <v>3932</v>
      </c>
      <c r="K1733" t="str">
        <f>IF(I1733="Trung bình",'Huong dan giao do an'!$B$8,IF(I1733="Khá",'Huong dan giao do an'!$B$9,'Huong dan giao do an'!$B$10))</f>
        <v>Tối thiểu 3 actor; 8-10 use case; 6-8 bảng dữ liệu; 2 quy trình lõi; đăng nhập/RBAC; 1 dashboard; 1 báo cáo; &gt;=25 test case; triển khai bản demo.</v>
      </c>
      <c r="L1733" t="str">
        <f>'Huong dan giao do an'!$B$31</f>
        <v>Bắt buộc: Charter/PMP; SRS + scope/WBS; Gantt/baseline; effort-cost budget; RACI/timesheet; quality-test-defect; communication/minutes; risk register; procurement; change log; closure/lessons learned.</v>
      </c>
      <c r="M1733" t="str">
        <f>'Huong dan giao do an'!$B$33</f>
        <v>Tuần 1: 07.09–13.09.2026; Tuần 2: 14.09–20.09.2026; Tuần 3: 21.09–27.09.2026; Tuần 4: 28.09–04.10.2026; Tuần 5: 05.10–11.10.2026; Tuần 6: 12.10–18.10.2026; Tuần 7: 19.10–25.10.2026; Tuần 8: 26.10–01.11.2026.</v>
      </c>
      <c r="N17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3" s="17" t="str">
        <f t="shared" si="27"/>
        <v>Còn trống</v>
      </c>
    </row>
    <row r="1734" spans="1:16" x14ac:dyDescent="0.3">
      <c r="A1734">
        <v>1733</v>
      </c>
      <c r="B1734" t="s">
        <v>3917</v>
      </c>
      <c r="C1734" t="s">
        <v>4010</v>
      </c>
      <c r="D1734" t="s">
        <v>4011</v>
      </c>
      <c r="E1734" t="s">
        <v>45</v>
      </c>
      <c r="F1734" t="s">
        <v>3930</v>
      </c>
      <c r="G1734" t="s">
        <v>3964</v>
      </c>
      <c r="H1734" t="str">
        <f>'Huong dan giao do an'!$B$14</f>
        <v>5 SV (vai trò chính): 1 PM/Scrum Master kiêm Integration; 2 BA/PO; 3 UI-UX + Frontend; 4 Backend/API + DevOps; 5 Database + QA/Tester. Mỗi SV có nhiệm vụ phụ và minh chứng cá nhân.</v>
      </c>
      <c r="I1734" t="s">
        <v>22</v>
      </c>
      <c r="J1734" t="s">
        <v>3922</v>
      </c>
      <c r="K1734" t="str">
        <f>IF(I1734="Trung bình",'Huong dan giao do an'!$B$8,IF(I1734="Khá",'Huong dan giao do an'!$B$9,'Huong dan giao do an'!$B$10))</f>
        <v>Tối thiểu 4 actor; 10-14 use case; 8-12 bảng; 3 quy trình lõi; phân quyền chi tiết; 2 báo cáo; tích hợp 1 dịch vụ; &gt;=35 test case; CI/CD hoặc deploy cloud.</v>
      </c>
      <c r="L1734" t="str">
        <f>'Huong dan giao do an'!$B$31</f>
        <v>Bắt buộc: Charter/PMP; SRS + scope/WBS; Gantt/baseline; effort-cost budget; RACI/timesheet; quality-test-defect; communication/minutes; risk register; procurement; change log; closure/lessons learned.</v>
      </c>
      <c r="M1734" t="str">
        <f>'Huong dan giao do an'!$B$33</f>
        <v>Tuần 1: 07.09–13.09.2026; Tuần 2: 14.09–20.09.2026; Tuần 3: 21.09–27.09.2026; Tuần 4: 28.09–04.10.2026; Tuần 5: 05.10–11.10.2026; Tuần 6: 12.10–18.10.2026; Tuần 7: 19.10–25.10.2026; Tuần 8: 26.10–01.11.2026.</v>
      </c>
      <c r="N17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4" s="17" t="str">
        <f t="shared" si="27"/>
        <v>Còn trống</v>
      </c>
    </row>
    <row r="1735" spans="1:16" x14ac:dyDescent="0.3">
      <c r="A1735">
        <v>1734</v>
      </c>
      <c r="B1735" t="s">
        <v>3917</v>
      </c>
      <c r="C1735" t="s">
        <v>4012</v>
      </c>
      <c r="D1735" t="s">
        <v>4013</v>
      </c>
      <c r="E1735" t="s">
        <v>19</v>
      </c>
      <c r="F1735" t="s">
        <v>3935</v>
      </c>
      <c r="G1735" t="s">
        <v>3967</v>
      </c>
      <c r="H1735" t="str">
        <f>'Huong dan giao do an'!$B$14</f>
        <v>5 SV (vai trò chính): 1 PM/Scrum Master kiêm Integration; 2 BA/PO; 3 UI-UX + Frontend; 4 Backend/API + DevOps; 5 Database + QA/Tester. Mỗi SV có nhiệm vụ phụ và minh chứng cá nhân.</v>
      </c>
      <c r="I1735" t="s">
        <v>29</v>
      </c>
      <c r="J1735" t="s">
        <v>3927</v>
      </c>
      <c r="K1735" t="str">
        <f>IF(I1735="Trung bình",'Huong dan giao do an'!$B$8,IF(I1735="Khá",'Huong dan giao do an'!$B$9,'Huong dan giao do an'!$B$10))</f>
        <v>Tối thiểu 5 actor; 14-18 use case; 10-15 bảng; 4 quy trình; tích hợp ngoài/realtime hoặc xử lý nâng cao; 3 báo cáo; &gt;=45 test case; logging, backup và deploy.</v>
      </c>
      <c r="L1735" t="str">
        <f>'Huong dan giao do an'!$B$31</f>
        <v>Bắt buộc: Charter/PMP; SRS + scope/WBS; Gantt/baseline; effort-cost budget; RACI/timesheet; quality-test-defect; communication/minutes; risk register; procurement; change log; closure/lessons learned.</v>
      </c>
      <c r="M1735" t="str">
        <f>'Huong dan giao do an'!$B$33</f>
        <v>Tuần 1: 07.09–13.09.2026; Tuần 2: 14.09–20.09.2026; Tuần 3: 21.09–27.09.2026; Tuần 4: 28.09–04.10.2026; Tuần 5: 05.10–11.10.2026; Tuần 6: 12.10–18.10.2026; Tuần 7: 19.10–25.10.2026; Tuần 8: 26.10–01.11.2026.</v>
      </c>
      <c r="N17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5" s="17" t="str">
        <f t="shared" si="27"/>
        <v>Còn trống</v>
      </c>
    </row>
    <row r="1736" spans="1:16" x14ac:dyDescent="0.3">
      <c r="A1736">
        <v>1735</v>
      </c>
      <c r="B1736" t="s">
        <v>3917</v>
      </c>
      <c r="C1736" t="s">
        <v>4014</v>
      </c>
      <c r="D1736" t="s">
        <v>4015</v>
      </c>
      <c r="E1736" t="s">
        <v>26</v>
      </c>
      <c r="F1736" t="s">
        <v>3939</v>
      </c>
      <c r="G1736" t="s">
        <v>3970</v>
      </c>
      <c r="H1736" t="str">
        <f>'Huong dan giao do an'!$B$14</f>
        <v>5 SV (vai trò chính): 1 PM/Scrum Master kiêm Integration; 2 BA/PO; 3 UI-UX + Frontend; 4 Backend/API + DevOps; 5 Database + QA/Tester. Mỗi SV có nhiệm vụ phụ và minh chứng cá nhân.</v>
      </c>
      <c r="I1736" t="s">
        <v>36</v>
      </c>
      <c r="J1736" t="s">
        <v>3932</v>
      </c>
      <c r="K1736" t="str">
        <f>IF(I1736="Trung bình",'Huong dan giao do an'!$B$8,IF(I1736="Khá",'Huong dan giao do an'!$B$9,'Huong dan giao do an'!$B$10))</f>
        <v>Tối thiểu 3 actor; 8-10 use case; 6-8 bảng dữ liệu; 2 quy trình lõi; đăng nhập/RBAC; 1 dashboard; 1 báo cáo; &gt;=25 test case; triển khai bản demo.</v>
      </c>
      <c r="L1736" t="str">
        <f>'Huong dan giao do an'!$B$31</f>
        <v>Bắt buộc: Charter/PMP; SRS + scope/WBS; Gantt/baseline; effort-cost budget; RACI/timesheet; quality-test-defect; communication/minutes; risk register; procurement; change log; closure/lessons learned.</v>
      </c>
      <c r="M1736" t="str">
        <f>'Huong dan giao do an'!$B$33</f>
        <v>Tuần 1: 07.09–13.09.2026; Tuần 2: 14.09–20.09.2026; Tuần 3: 21.09–27.09.2026; Tuần 4: 28.09–04.10.2026; Tuần 5: 05.10–11.10.2026; Tuần 6: 12.10–18.10.2026; Tuần 7: 19.10–25.10.2026; Tuần 8: 26.10–01.11.2026.</v>
      </c>
      <c r="N17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6" s="17" t="str">
        <f t="shared" si="27"/>
        <v>Còn trống</v>
      </c>
    </row>
    <row r="1737" spans="1:16" x14ac:dyDescent="0.3">
      <c r="A1737">
        <v>1736</v>
      </c>
      <c r="B1737" t="s">
        <v>3917</v>
      </c>
      <c r="C1737" t="s">
        <v>4016</v>
      </c>
      <c r="D1737" t="s">
        <v>4017</v>
      </c>
      <c r="E1737" t="s">
        <v>33</v>
      </c>
      <c r="F1737" t="s">
        <v>3920</v>
      </c>
      <c r="G1737" t="s">
        <v>3973</v>
      </c>
      <c r="H1737" t="str">
        <f>'Huong dan giao do an'!$B$14</f>
        <v>5 SV (vai trò chính): 1 PM/Scrum Master kiêm Integration; 2 BA/PO; 3 UI-UX + Frontend; 4 Backend/API + DevOps; 5 Database + QA/Tester. Mỗi SV có nhiệm vụ phụ và minh chứng cá nhân.</v>
      </c>
      <c r="I1737" t="s">
        <v>22</v>
      </c>
      <c r="J1737" t="s">
        <v>3922</v>
      </c>
      <c r="K1737" t="str">
        <f>IF(I1737="Trung bình",'Huong dan giao do an'!$B$8,IF(I1737="Khá",'Huong dan giao do an'!$B$9,'Huong dan giao do an'!$B$10))</f>
        <v>Tối thiểu 4 actor; 10-14 use case; 8-12 bảng; 3 quy trình lõi; phân quyền chi tiết; 2 báo cáo; tích hợp 1 dịch vụ; &gt;=35 test case; CI/CD hoặc deploy cloud.</v>
      </c>
      <c r="L1737" t="str">
        <f>'Huong dan giao do an'!$B$31</f>
        <v>Bắt buộc: Charter/PMP; SRS + scope/WBS; Gantt/baseline; effort-cost budget; RACI/timesheet; quality-test-defect; communication/minutes; risk register; procurement; change log; closure/lessons learned.</v>
      </c>
      <c r="M1737" t="str">
        <f>'Huong dan giao do an'!$B$33</f>
        <v>Tuần 1: 07.09–13.09.2026; Tuần 2: 14.09–20.09.2026; Tuần 3: 21.09–27.09.2026; Tuần 4: 28.09–04.10.2026; Tuần 5: 05.10–11.10.2026; Tuần 6: 12.10–18.10.2026; Tuần 7: 19.10–25.10.2026; Tuần 8: 26.10–01.11.2026.</v>
      </c>
      <c r="N17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7" s="17" t="str">
        <f t="shared" si="27"/>
        <v>Còn trống</v>
      </c>
    </row>
    <row r="1738" spans="1:16" x14ac:dyDescent="0.3">
      <c r="A1738">
        <v>1737</v>
      </c>
      <c r="B1738" t="s">
        <v>3917</v>
      </c>
      <c r="C1738" t="s">
        <v>4018</v>
      </c>
      <c r="D1738" t="s">
        <v>4019</v>
      </c>
      <c r="E1738" t="s">
        <v>40</v>
      </c>
      <c r="F1738" t="s">
        <v>3925</v>
      </c>
      <c r="G1738" t="s">
        <v>3976</v>
      </c>
      <c r="H1738" t="str">
        <f>'Huong dan giao do an'!$B$14</f>
        <v>5 SV (vai trò chính): 1 PM/Scrum Master kiêm Integration; 2 BA/PO; 3 UI-UX + Frontend; 4 Backend/API + DevOps; 5 Database + QA/Tester. Mỗi SV có nhiệm vụ phụ và minh chứng cá nhân.</v>
      </c>
      <c r="I1738" t="s">
        <v>29</v>
      </c>
      <c r="J1738" t="s">
        <v>3927</v>
      </c>
      <c r="K1738" t="str">
        <f>IF(I1738="Trung bình",'Huong dan giao do an'!$B$8,IF(I1738="Khá",'Huong dan giao do an'!$B$9,'Huong dan giao do an'!$B$10))</f>
        <v>Tối thiểu 5 actor; 14-18 use case; 10-15 bảng; 4 quy trình; tích hợp ngoài/realtime hoặc xử lý nâng cao; 3 báo cáo; &gt;=45 test case; logging, backup và deploy.</v>
      </c>
      <c r="L1738" t="str">
        <f>'Huong dan giao do an'!$B$31</f>
        <v>Bắt buộc: Charter/PMP; SRS + scope/WBS; Gantt/baseline; effort-cost budget; RACI/timesheet; quality-test-defect; communication/minutes; risk register; procurement; change log; closure/lessons learned.</v>
      </c>
      <c r="M1738" t="str">
        <f>'Huong dan giao do an'!$B$33</f>
        <v>Tuần 1: 07.09–13.09.2026; Tuần 2: 14.09–20.09.2026; Tuần 3: 21.09–27.09.2026; Tuần 4: 28.09–04.10.2026; Tuần 5: 05.10–11.10.2026; Tuần 6: 12.10–18.10.2026; Tuần 7: 19.10–25.10.2026; Tuần 8: 26.10–01.11.2026.</v>
      </c>
      <c r="N17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8" s="17" t="str">
        <f t="shared" si="27"/>
        <v>Còn trống</v>
      </c>
    </row>
    <row r="1739" spans="1:16" x14ac:dyDescent="0.3">
      <c r="A1739">
        <v>1738</v>
      </c>
      <c r="B1739" t="s">
        <v>3917</v>
      </c>
      <c r="C1739" t="s">
        <v>4020</v>
      </c>
      <c r="D1739" t="s">
        <v>4021</v>
      </c>
      <c r="E1739" t="s">
        <v>45</v>
      </c>
      <c r="F1739" t="s">
        <v>3930</v>
      </c>
      <c r="G1739" t="s">
        <v>3979</v>
      </c>
      <c r="H1739" t="str">
        <f>'Huong dan giao do an'!$B$14</f>
        <v>5 SV (vai trò chính): 1 PM/Scrum Master kiêm Integration; 2 BA/PO; 3 UI-UX + Frontend; 4 Backend/API + DevOps; 5 Database + QA/Tester. Mỗi SV có nhiệm vụ phụ và minh chứng cá nhân.</v>
      </c>
      <c r="I1739" t="s">
        <v>36</v>
      </c>
      <c r="J1739" t="s">
        <v>3932</v>
      </c>
      <c r="K1739" t="str">
        <f>IF(I1739="Trung bình",'Huong dan giao do an'!$B$8,IF(I1739="Khá",'Huong dan giao do an'!$B$9,'Huong dan giao do an'!$B$10))</f>
        <v>Tối thiểu 3 actor; 8-10 use case; 6-8 bảng dữ liệu; 2 quy trình lõi; đăng nhập/RBAC; 1 dashboard; 1 báo cáo; &gt;=25 test case; triển khai bản demo.</v>
      </c>
      <c r="L1739" t="str">
        <f>'Huong dan giao do an'!$B$31</f>
        <v>Bắt buộc: Charter/PMP; SRS + scope/WBS; Gantt/baseline; effort-cost budget; RACI/timesheet; quality-test-defect; communication/minutes; risk register; procurement; change log; closure/lessons learned.</v>
      </c>
      <c r="M1739" t="str">
        <f>'Huong dan giao do an'!$B$33</f>
        <v>Tuần 1: 07.09–13.09.2026; Tuần 2: 14.09–20.09.2026; Tuần 3: 21.09–27.09.2026; Tuần 4: 28.09–04.10.2026; Tuần 5: 05.10–11.10.2026; Tuần 6: 12.10–18.10.2026; Tuần 7: 19.10–25.10.2026; Tuần 8: 26.10–01.11.2026.</v>
      </c>
      <c r="N17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39" s="17" t="str">
        <f t="shared" si="27"/>
        <v>Còn trống</v>
      </c>
    </row>
    <row r="1740" spans="1:16" x14ac:dyDescent="0.3">
      <c r="A1740">
        <v>1739</v>
      </c>
      <c r="B1740" t="s">
        <v>3917</v>
      </c>
      <c r="C1740" t="s">
        <v>4022</v>
      </c>
      <c r="D1740" t="s">
        <v>4023</v>
      </c>
      <c r="E1740" t="s">
        <v>19</v>
      </c>
      <c r="F1740" t="s">
        <v>3935</v>
      </c>
      <c r="G1740" t="s">
        <v>3982</v>
      </c>
      <c r="H1740" t="str">
        <f>'Huong dan giao do an'!$B$14</f>
        <v>5 SV (vai trò chính): 1 PM/Scrum Master kiêm Integration; 2 BA/PO; 3 UI-UX + Frontend; 4 Backend/API + DevOps; 5 Database + QA/Tester. Mỗi SV có nhiệm vụ phụ và minh chứng cá nhân.</v>
      </c>
      <c r="I1740" t="s">
        <v>22</v>
      </c>
      <c r="J1740" t="s">
        <v>3922</v>
      </c>
      <c r="K1740" t="str">
        <f>IF(I1740="Trung bình",'Huong dan giao do an'!$B$8,IF(I1740="Khá",'Huong dan giao do an'!$B$9,'Huong dan giao do an'!$B$10))</f>
        <v>Tối thiểu 4 actor; 10-14 use case; 8-12 bảng; 3 quy trình lõi; phân quyền chi tiết; 2 báo cáo; tích hợp 1 dịch vụ; &gt;=35 test case; CI/CD hoặc deploy cloud.</v>
      </c>
      <c r="L1740" t="str">
        <f>'Huong dan giao do an'!$B$31</f>
        <v>Bắt buộc: Charter/PMP; SRS + scope/WBS; Gantt/baseline; effort-cost budget; RACI/timesheet; quality-test-defect; communication/minutes; risk register; procurement; change log; closure/lessons learned.</v>
      </c>
      <c r="M1740" t="str">
        <f>'Huong dan giao do an'!$B$33</f>
        <v>Tuần 1: 07.09–13.09.2026; Tuần 2: 14.09–20.09.2026; Tuần 3: 21.09–27.09.2026; Tuần 4: 28.09–04.10.2026; Tuần 5: 05.10–11.10.2026; Tuần 6: 12.10–18.10.2026; Tuần 7: 19.10–25.10.2026; Tuần 8: 26.10–01.11.2026.</v>
      </c>
      <c r="N17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0" s="17" t="str">
        <f t="shared" si="27"/>
        <v>Còn trống</v>
      </c>
    </row>
    <row r="1741" spans="1:16" x14ac:dyDescent="0.3">
      <c r="A1741">
        <v>1740</v>
      </c>
      <c r="B1741" t="s">
        <v>3917</v>
      </c>
      <c r="C1741" t="s">
        <v>4024</v>
      </c>
      <c r="D1741" t="s">
        <v>4025</v>
      </c>
      <c r="E1741" t="s">
        <v>26</v>
      </c>
      <c r="F1741" t="s">
        <v>3939</v>
      </c>
      <c r="G1741" t="s">
        <v>3985</v>
      </c>
      <c r="H1741" t="str">
        <f>'Huong dan giao do an'!$B$14</f>
        <v>5 SV (vai trò chính): 1 PM/Scrum Master kiêm Integration; 2 BA/PO; 3 UI-UX + Frontend; 4 Backend/API + DevOps; 5 Database + QA/Tester. Mỗi SV có nhiệm vụ phụ và minh chứng cá nhân.</v>
      </c>
      <c r="I1741" t="s">
        <v>29</v>
      </c>
      <c r="J1741" t="s">
        <v>3927</v>
      </c>
      <c r="K1741" t="str">
        <f>IF(I1741="Trung bình",'Huong dan giao do an'!$B$8,IF(I1741="Khá",'Huong dan giao do an'!$B$9,'Huong dan giao do an'!$B$10))</f>
        <v>Tối thiểu 5 actor; 14-18 use case; 10-15 bảng; 4 quy trình; tích hợp ngoài/realtime hoặc xử lý nâng cao; 3 báo cáo; &gt;=45 test case; logging, backup và deploy.</v>
      </c>
      <c r="L1741" t="str">
        <f>'Huong dan giao do an'!$B$31</f>
        <v>Bắt buộc: Charter/PMP; SRS + scope/WBS; Gantt/baseline; effort-cost budget; RACI/timesheet; quality-test-defect; communication/minutes; risk register; procurement; change log; closure/lessons learned.</v>
      </c>
      <c r="M1741" t="str">
        <f>'Huong dan giao do an'!$B$33</f>
        <v>Tuần 1: 07.09–13.09.2026; Tuần 2: 14.09–20.09.2026; Tuần 3: 21.09–27.09.2026; Tuần 4: 28.09–04.10.2026; Tuần 5: 05.10–11.10.2026; Tuần 6: 12.10–18.10.2026; Tuần 7: 19.10–25.10.2026; Tuần 8: 26.10–01.11.2026.</v>
      </c>
      <c r="N17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1" s="17" t="str">
        <f t="shared" si="27"/>
        <v>Còn trống</v>
      </c>
    </row>
    <row r="1742" spans="1:16" x14ac:dyDescent="0.3">
      <c r="A1742">
        <v>1741</v>
      </c>
      <c r="B1742" t="s">
        <v>3917</v>
      </c>
      <c r="C1742" t="s">
        <v>4026</v>
      </c>
      <c r="D1742" t="s">
        <v>4027</v>
      </c>
      <c r="E1742" t="s">
        <v>33</v>
      </c>
      <c r="F1742" t="s">
        <v>3920</v>
      </c>
      <c r="G1742" t="s">
        <v>3921</v>
      </c>
      <c r="H1742" t="str">
        <f>'Huong dan giao do an'!$B$14</f>
        <v>5 SV (vai trò chính): 1 PM/Scrum Master kiêm Integration; 2 BA/PO; 3 UI-UX + Frontend; 4 Backend/API + DevOps; 5 Database + QA/Tester. Mỗi SV có nhiệm vụ phụ và minh chứng cá nhân.</v>
      </c>
      <c r="I1742" t="s">
        <v>22</v>
      </c>
      <c r="J1742" t="s">
        <v>3922</v>
      </c>
      <c r="K1742" t="str">
        <f>IF(I1742="Trung bình",'Huong dan giao do an'!$B$8,IF(I1742="Khá",'Huong dan giao do an'!$B$9,'Huong dan giao do an'!$B$10))</f>
        <v>Tối thiểu 4 actor; 10-14 use case; 8-12 bảng; 3 quy trình lõi; phân quyền chi tiết; 2 báo cáo; tích hợp 1 dịch vụ; &gt;=35 test case; CI/CD hoặc deploy cloud.</v>
      </c>
      <c r="L1742" t="str">
        <f>'Huong dan giao do an'!$B$31</f>
        <v>Bắt buộc: Charter/PMP; SRS + scope/WBS; Gantt/baseline; effort-cost budget; RACI/timesheet; quality-test-defect; communication/minutes; risk register; procurement; change log; closure/lessons learned.</v>
      </c>
      <c r="M1742" t="str">
        <f>'Huong dan giao do an'!$B$33</f>
        <v>Tuần 1: 07.09–13.09.2026; Tuần 2: 14.09–20.09.2026; Tuần 3: 21.09–27.09.2026; Tuần 4: 28.09–04.10.2026; Tuần 5: 05.10–11.10.2026; Tuần 6: 12.10–18.10.2026; Tuần 7: 19.10–25.10.2026; Tuần 8: 26.10–01.11.2026.</v>
      </c>
      <c r="N17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2" s="17" t="str">
        <f t="shared" si="27"/>
        <v>Còn trống</v>
      </c>
    </row>
    <row r="1743" spans="1:16" x14ac:dyDescent="0.3">
      <c r="A1743">
        <v>1742</v>
      </c>
      <c r="B1743" t="s">
        <v>3917</v>
      </c>
      <c r="C1743" t="s">
        <v>4028</v>
      </c>
      <c r="D1743" t="s">
        <v>4029</v>
      </c>
      <c r="E1743" t="s">
        <v>40</v>
      </c>
      <c r="F1743" t="s">
        <v>3925</v>
      </c>
      <c r="G1743" t="s">
        <v>3926</v>
      </c>
      <c r="H1743" t="str">
        <f>'Huong dan giao do an'!$B$14</f>
        <v>5 SV (vai trò chính): 1 PM/Scrum Master kiêm Integration; 2 BA/PO; 3 UI-UX + Frontend; 4 Backend/API + DevOps; 5 Database + QA/Tester. Mỗi SV có nhiệm vụ phụ và minh chứng cá nhân.</v>
      </c>
      <c r="I1743" t="s">
        <v>29</v>
      </c>
      <c r="J1743" t="s">
        <v>3927</v>
      </c>
      <c r="K1743" t="str">
        <f>IF(I1743="Trung bình",'Huong dan giao do an'!$B$8,IF(I1743="Khá",'Huong dan giao do an'!$B$9,'Huong dan giao do an'!$B$10))</f>
        <v>Tối thiểu 5 actor; 14-18 use case; 10-15 bảng; 4 quy trình; tích hợp ngoài/realtime hoặc xử lý nâng cao; 3 báo cáo; &gt;=45 test case; logging, backup và deploy.</v>
      </c>
      <c r="L1743" t="str">
        <f>'Huong dan giao do an'!$B$31</f>
        <v>Bắt buộc: Charter/PMP; SRS + scope/WBS; Gantt/baseline; effort-cost budget; RACI/timesheet; quality-test-defect; communication/minutes; risk register; procurement; change log; closure/lessons learned.</v>
      </c>
      <c r="M1743" t="str">
        <f>'Huong dan giao do an'!$B$33</f>
        <v>Tuần 1: 07.09–13.09.2026; Tuần 2: 14.09–20.09.2026; Tuần 3: 21.09–27.09.2026; Tuần 4: 28.09–04.10.2026; Tuần 5: 05.10–11.10.2026; Tuần 6: 12.10–18.10.2026; Tuần 7: 19.10–25.10.2026; Tuần 8: 26.10–01.11.2026.</v>
      </c>
      <c r="N17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3" s="17" t="str">
        <f t="shared" si="27"/>
        <v>Còn trống</v>
      </c>
    </row>
    <row r="1744" spans="1:16" x14ac:dyDescent="0.3">
      <c r="A1744">
        <v>1743</v>
      </c>
      <c r="B1744" t="s">
        <v>3917</v>
      </c>
      <c r="C1744" t="s">
        <v>4030</v>
      </c>
      <c r="D1744" t="s">
        <v>4031</v>
      </c>
      <c r="E1744" t="s">
        <v>45</v>
      </c>
      <c r="F1744" t="s">
        <v>3930</v>
      </c>
      <c r="G1744" t="s">
        <v>3931</v>
      </c>
      <c r="H1744" t="str">
        <f>'Huong dan giao do an'!$B$14</f>
        <v>5 SV (vai trò chính): 1 PM/Scrum Master kiêm Integration; 2 BA/PO; 3 UI-UX + Frontend; 4 Backend/API + DevOps; 5 Database + QA/Tester. Mỗi SV có nhiệm vụ phụ và minh chứng cá nhân.</v>
      </c>
      <c r="I1744" t="s">
        <v>36</v>
      </c>
      <c r="J1744" t="s">
        <v>3932</v>
      </c>
      <c r="K1744" t="str">
        <f>IF(I1744="Trung bình",'Huong dan giao do an'!$B$8,IF(I1744="Khá",'Huong dan giao do an'!$B$9,'Huong dan giao do an'!$B$10))</f>
        <v>Tối thiểu 3 actor; 8-10 use case; 6-8 bảng dữ liệu; 2 quy trình lõi; đăng nhập/RBAC; 1 dashboard; 1 báo cáo; &gt;=25 test case; triển khai bản demo.</v>
      </c>
      <c r="L1744" t="str">
        <f>'Huong dan giao do an'!$B$31</f>
        <v>Bắt buộc: Charter/PMP; SRS + scope/WBS; Gantt/baseline; effort-cost budget; RACI/timesheet; quality-test-defect; communication/minutes; risk register; procurement; change log; closure/lessons learned.</v>
      </c>
      <c r="M1744" t="str">
        <f>'Huong dan giao do an'!$B$33</f>
        <v>Tuần 1: 07.09–13.09.2026; Tuần 2: 14.09–20.09.2026; Tuần 3: 21.09–27.09.2026; Tuần 4: 28.09–04.10.2026; Tuần 5: 05.10–11.10.2026; Tuần 6: 12.10–18.10.2026; Tuần 7: 19.10–25.10.2026; Tuần 8: 26.10–01.11.2026.</v>
      </c>
      <c r="N17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4" s="17" t="str">
        <f t="shared" si="27"/>
        <v>Còn trống</v>
      </c>
    </row>
    <row r="1745" spans="1:16" x14ac:dyDescent="0.3">
      <c r="A1745">
        <v>1744</v>
      </c>
      <c r="B1745" t="s">
        <v>3917</v>
      </c>
      <c r="C1745" t="s">
        <v>4032</v>
      </c>
      <c r="D1745" t="s">
        <v>4033</v>
      </c>
      <c r="E1745" t="s">
        <v>19</v>
      </c>
      <c r="F1745" t="s">
        <v>3935</v>
      </c>
      <c r="G1745" t="s">
        <v>3936</v>
      </c>
      <c r="H1745" t="str">
        <f>'Huong dan giao do an'!$B$14</f>
        <v>5 SV (vai trò chính): 1 PM/Scrum Master kiêm Integration; 2 BA/PO; 3 UI-UX + Frontend; 4 Backend/API + DevOps; 5 Database + QA/Tester. Mỗi SV có nhiệm vụ phụ và minh chứng cá nhân.</v>
      </c>
      <c r="I1745" t="s">
        <v>22</v>
      </c>
      <c r="J1745" t="s">
        <v>3922</v>
      </c>
      <c r="K1745" t="str">
        <f>IF(I1745="Trung bình",'Huong dan giao do an'!$B$8,IF(I1745="Khá",'Huong dan giao do an'!$B$9,'Huong dan giao do an'!$B$10))</f>
        <v>Tối thiểu 4 actor; 10-14 use case; 8-12 bảng; 3 quy trình lõi; phân quyền chi tiết; 2 báo cáo; tích hợp 1 dịch vụ; &gt;=35 test case; CI/CD hoặc deploy cloud.</v>
      </c>
      <c r="L1745" t="str">
        <f>'Huong dan giao do an'!$B$31</f>
        <v>Bắt buộc: Charter/PMP; SRS + scope/WBS; Gantt/baseline; effort-cost budget; RACI/timesheet; quality-test-defect; communication/minutes; risk register; procurement; change log; closure/lessons learned.</v>
      </c>
      <c r="M1745" t="str">
        <f>'Huong dan giao do an'!$B$33</f>
        <v>Tuần 1: 07.09–13.09.2026; Tuần 2: 14.09–20.09.2026; Tuần 3: 21.09–27.09.2026; Tuần 4: 28.09–04.10.2026; Tuần 5: 05.10–11.10.2026; Tuần 6: 12.10–18.10.2026; Tuần 7: 19.10–25.10.2026; Tuần 8: 26.10–01.11.2026.</v>
      </c>
      <c r="N17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5" s="17" t="str">
        <f t="shared" si="27"/>
        <v>Còn trống</v>
      </c>
    </row>
    <row r="1746" spans="1:16" x14ac:dyDescent="0.3">
      <c r="A1746">
        <v>1745</v>
      </c>
      <c r="B1746" t="s">
        <v>3917</v>
      </c>
      <c r="C1746" t="s">
        <v>4034</v>
      </c>
      <c r="D1746" t="s">
        <v>4035</v>
      </c>
      <c r="E1746" t="s">
        <v>26</v>
      </c>
      <c r="F1746" t="s">
        <v>3939</v>
      </c>
      <c r="G1746" t="s">
        <v>3940</v>
      </c>
      <c r="H1746" t="str">
        <f>'Huong dan giao do an'!$B$14</f>
        <v>5 SV (vai trò chính): 1 PM/Scrum Master kiêm Integration; 2 BA/PO; 3 UI-UX + Frontend; 4 Backend/API + DevOps; 5 Database + QA/Tester. Mỗi SV có nhiệm vụ phụ và minh chứng cá nhân.</v>
      </c>
      <c r="I1746" t="s">
        <v>29</v>
      </c>
      <c r="J1746" t="s">
        <v>3927</v>
      </c>
      <c r="K1746" t="str">
        <f>IF(I1746="Trung bình",'Huong dan giao do an'!$B$8,IF(I1746="Khá",'Huong dan giao do an'!$B$9,'Huong dan giao do an'!$B$10))</f>
        <v>Tối thiểu 5 actor; 14-18 use case; 10-15 bảng; 4 quy trình; tích hợp ngoài/realtime hoặc xử lý nâng cao; 3 báo cáo; &gt;=45 test case; logging, backup và deploy.</v>
      </c>
      <c r="L1746" t="str">
        <f>'Huong dan giao do an'!$B$31</f>
        <v>Bắt buộc: Charter/PMP; SRS + scope/WBS; Gantt/baseline; effort-cost budget; RACI/timesheet; quality-test-defect; communication/minutes; risk register; procurement; change log; closure/lessons learned.</v>
      </c>
      <c r="M1746" t="str">
        <f>'Huong dan giao do an'!$B$33</f>
        <v>Tuần 1: 07.09–13.09.2026; Tuần 2: 14.09–20.09.2026; Tuần 3: 21.09–27.09.2026; Tuần 4: 28.09–04.10.2026; Tuần 5: 05.10–11.10.2026; Tuần 6: 12.10–18.10.2026; Tuần 7: 19.10–25.10.2026; Tuần 8: 26.10–01.11.2026.</v>
      </c>
      <c r="N17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6" s="17" t="str">
        <f t="shared" si="27"/>
        <v>Còn trống</v>
      </c>
    </row>
    <row r="1747" spans="1:16" x14ac:dyDescent="0.3">
      <c r="A1747">
        <v>1746</v>
      </c>
      <c r="B1747" t="s">
        <v>3917</v>
      </c>
      <c r="C1747" t="s">
        <v>4036</v>
      </c>
      <c r="D1747" t="s">
        <v>4037</v>
      </c>
      <c r="E1747" t="s">
        <v>33</v>
      </c>
      <c r="F1747" t="s">
        <v>3920</v>
      </c>
      <c r="G1747" t="s">
        <v>3943</v>
      </c>
      <c r="H1747" t="str">
        <f>'Huong dan giao do an'!$B$14</f>
        <v>5 SV (vai trò chính): 1 PM/Scrum Master kiêm Integration; 2 BA/PO; 3 UI-UX + Frontend; 4 Backend/API + DevOps; 5 Database + QA/Tester. Mỗi SV có nhiệm vụ phụ và minh chứng cá nhân.</v>
      </c>
      <c r="I1747" t="s">
        <v>36</v>
      </c>
      <c r="J1747" t="s">
        <v>3932</v>
      </c>
      <c r="K1747" t="str">
        <f>IF(I1747="Trung bình",'Huong dan giao do an'!$B$8,IF(I1747="Khá",'Huong dan giao do an'!$B$9,'Huong dan giao do an'!$B$10))</f>
        <v>Tối thiểu 3 actor; 8-10 use case; 6-8 bảng dữ liệu; 2 quy trình lõi; đăng nhập/RBAC; 1 dashboard; 1 báo cáo; &gt;=25 test case; triển khai bản demo.</v>
      </c>
      <c r="L1747" t="str">
        <f>'Huong dan giao do an'!$B$31</f>
        <v>Bắt buộc: Charter/PMP; SRS + scope/WBS; Gantt/baseline; effort-cost budget; RACI/timesheet; quality-test-defect; communication/minutes; risk register; procurement; change log; closure/lessons learned.</v>
      </c>
      <c r="M1747" t="str">
        <f>'Huong dan giao do an'!$B$33</f>
        <v>Tuần 1: 07.09–13.09.2026; Tuần 2: 14.09–20.09.2026; Tuần 3: 21.09–27.09.2026; Tuần 4: 28.09–04.10.2026; Tuần 5: 05.10–11.10.2026; Tuần 6: 12.10–18.10.2026; Tuần 7: 19.10–25.10.2026; Tuần 8: 26.10–01.11.2026.</v>
      </c>
      <c r="N17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7" s="17" t="str">
        <f t="shared" si="27"/>
        <v>Còn trống</v>
      </c>
    </row>
    <row r="1748" spans="1:16" x14ac:dyDescent="0.3">
      <c r="A1748">
        <v>1747</v>
      </c>
      <c r="B1748" t="s">
        <v>3917</v>
      </c>
      <c r="C1748" t="s">
        <v>4038</v>
      </c>
      <c r="D1748" t="s">
        <v>4039</v>
      </c>
      <c r="E1748" t="s">
        <v>40</v>
      </c>
      <c r="F1748" t="s">
        <v>3925</v>
      </c>
      <c r="G1748" t="s">
        <v>3946</v>
      </c>
      <c r="H1748" t="str">
        <f>'Huong dan giao do an'!$B$14</f>
        <v>5 SV (vai trò chính): 1 PM/Scrum Master kiêm Integration; 2 BA/PO; 3 UI-UX + Frontend; 4 Backend/API + DevOps; 5 Database + QA/Tester. Mỗi SV có nhiệm vụ phụ và minh chứng cá nhân.</v>
      </c>
      <c r="I1748" t="s">
        <v>22</v>
      </c>
      <c r="J1748" t="s">
        <v>3922</v>
      </c>
      <c r="K1748" t="str">
        <f>IF(I1748="Trung bình",'Huong dan giao do an'!$B$8,IF(I1748="Khá",'Huong dan giao do an'!$B$9,'Huong dan giao do an'!$B$10))</f>
        <v>Tối thiểu 4 actor; 10-14 use case; 8-12 bảng; 3 quy trình lõi; phân quyền chi tiết; 2 báo cáo; tích hợp 1 dịch vụ; &gt;=35 test case; CI/CD hoặc deploy cloud.</v>
      </c>
      <c r="L1748" t="str">
        <f>'Huong dan giao do an'!$B$31</f>
        <v>Bắt buộc: Charter/PMP; SRS + scope/WBS; Gantt/baseline; effort-cost budget; RACI/timesheet; quality-test-defect; communication/minutes; risk register; procurement; change log; closure/lessons learned.</v>
      </c>
      <c r="M1748" t="str">
        <f>'Huong dan giao do an'!$B$33</f>
        <v>Tuần 1: 07.09–13.09.2026; Tuần 2: 14.09–20.09.2026; Tuần 3: 21.09–27.09.2026; Tuần 4: 28.09–04.10.2026; Tuần 5: 05.10–11.10.2026; Tuần 6: 12.10–18.10.2026; Tuần 7: 19.10–25.10.2026; Tuần 8: 26.10–01.11.2026.</v>
      </c>
      <c r="N17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8" s="17" t="str">
        <f t="shared" si="27"/>
        <v>Còn trống</v>
      </c>
    </row>
    <row r="1749" spans="1:16" x14ac:dyDescent="0.3">
      <c r="A1749">
        <v>1748</v>
      </c>
      <c r="B1749" t="s">
        <v>3917</v>
      </c>
      <c r="C1749" t="s">
        <v>4040</v>
      </c>
      <c r="D1749" t="s">
        <v>4041</v>
      </c>
      <c r="E1749" t="s">
        <v>45</v>
      </c>
      <c r="F1749" t="s">
        <v>3930</v>
      </c>
      <c r="G1749" t="s">
        <v>3949</v>
      </c>
      <c r="H1749" t="str">
        <f>'Huong dan giao do an'!$B$14</f>
        <v>5 SV (vai trò chính): 1 PM/Scrum Master kiêm Integration; 2 BA/PO; 3 UI-UX + Frontend; 4 Backend/API + DevOps; 5 Database + QA/Tester. Mỗi SV có nhiệm vụ phụ và minh chứng cá nhân.</v>
      </c>
      <c r="I1749" t="s">
        <v>29</v>
      </c>
      <c r="J1749" t="s">
        <v>3927</v>
      </c>
      <c r="K1749" t="str">
        <f>IF(I1749="Trung bình",'Huong dan giao do an'!$B$8,IF(I1749="Khá",'Huong dan giao do an'!$B$9,'Huong dan giao do an'!$B$10))</f>
        <v>Tối thiểu 5 actor; 14-18 use case; 10-15 bảng; 4 quy trình; tích hợp ngoài/realtime hoặc xử lý nâng cao; 3 báo cáo; &gt;=45 test case; logging, backup và deploy.</v>
      </c>
      <c r="L1749" t="str">
        <f>'Huong dan giao do an'!$B$31</f>
        <v>Bắt buộc: Charter/PMP; SRS + scope/WBS; Gantt/baseline; effort-cost budget; RACI/timesheet; quality-test-defect; communication/minutes; risk register; procurement; change log; closure/lessons learned.</v>
      </c>
      <c r="M1749" t="str">
        <f>'Huong dan giao do an'!$B$33</f>
        <v>Tuần 1: 07.09–13.09.2026; Tuần 2: 14.09–20.09.2026; Tuần 3: 21.09–27.09.2026; Tuần 4: 28.09–04.10.2026; Tuần 5: 05.10–11.10.2026; Tuần 6: 12.10–18.10.2026; Tuần 7: 19.10–25.10.2026; Tuần 8: 26.10–01.11.2026.</v>
      </c>
      <c r="N17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49" s="17" t="str">
        <f t="shared" si="27"/>
        <v>Còn trống</v>
      </c>
    </row>
    <row r="1750" spans="1:16" x14ac:dyDescent="0.3">
      <c r="A1750">
        <v>1749</v>
      </c>
      <c r="B1750" t="s">
        <v>3917</v>
      </c>
      <c r="C1750" t="s">
        <v>4042</v>
      </c>
      <c r="D1750" t="s">
        <v>4043</v>
      </c>
      <c r="E1750" t="s">
        <v>19</v>
      </c>
      <c r="F1750" t="s">
        <v>3935</v>
      </c>
      <c r="G1750" t="s">
        <v>3952</v>
      </c>
      <c r="H1750" t="str">
        <f>'Huong dan giao do an'!$B$14</f>
        <v>5 SV (vai trò chính): 1 PM/Scrum Master kiêm Integration; 2 BA/PO; 3 UI-UX + Frontend; 4 Backend/API + DevOps; 5 Database + QA/Tester. Mỗi SV có nhiệm vụ phụ và minh chứng cá nhân.</v>
      </c>
      <c r="I1750" t="s">
        <v>36</v>
      </c>
      <c r="J1750" t="s">
        <v>3932</v>
      </c>
      <c r="K1750" t="str">
        <f>IF(I1750="Trung bình",'Huong dan giao do an'!$B$8,IF(I1750="Khá",'Huong dan giao do an'!$B$9,'Huong dan giao do an'!$B$10))</f>
        <v>Tối thiểu 3 actor; 8-10 use case; 6-8 bảng dữ liệu; 2 quy trình lõi; đăng nhập/RBAC; 1 dashboard; 1 báo cáo; &gt;=25 test case; triển khai bản demo.</v>
      </c>
      <c r="L1750" t="str">
        <f>'Huong dan giao do an'!$B$31</f>
        <v>Bắt buộc: Charter/PMP; SRS + scope/WBS; Gantt/baseline; effort-cost budget; RACI/timesheet; quality-test-defect; communication/minutes; risk register; procurement; change log; closure/lessons learned.</v>
      </c>
      <c r="M1750" t="str">
        <f>'Huong dan giao do an'!$B$33</f>
        <v>Tuần 1: 07.09–13.09.2026; Tuần 2: 14.09–20.09.2026; Tuần 3: 21.09–27.09.2026; Tuần 4: 28.09–04.10.2026; Tuần 5: 05.10–11.10.2026; Tuần 6: 12.10–18.10.2026; Tuần 7: 19.10–25.10.2026; Tuần 8: 26.10–01.11.2026.</v>
      </c>
      <c r="N17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0" s="17" t="str">
        <f t="shared" si="27"/>
        <v>Còn trống</v>
      </c>
    </row>
    <row r="1751" spans="1:16" x14ac:dyDescent="0.3">
      <c r="A1751">
        <v>1750</v>
      </c>
      <c r="B1751" t="s">
        <v>3917</v>
      </c>
      <c r="C1751" t="s">
        <v>4044</v>
      </c>
      <c r="D1751" t="s">
        <v>4045</v>
      </c>
      <c r="E1751" t="s">
        <v>26</v>
      </c>
      <c r="F1751" t="s">
        <v>3939</v>
      </c>
      <c r="G1751" t="s">
        <v>3955</v>
      </c>
      <c r="H1751" t="str">
        <f>'Huong dan giao do an'!$B$14</f>
        <v>5 SV (vai trò chính): 1 PM/Scrum Master kiêm Integration; 2 BA/PO; 3 UI-UX + Frontend; 4 Backend/API + DevOps; 5 Database + QA/Tester. Mỗi SV có nhiệm vụ phụ và minh chứng cá nhân.</v>
      </c>
      <c r="I1751" t="s">
        <v>22</v>
      </c>
      <c r="J1751" t="s">
        <v>3922</v>
      </c>
      <c r="K1751" t="str">
        <f>IF(I1751="Trung bình",'Huong dan giao do an'!$B$8,IF(I1751="Khá",'Huong dan giao do an'!$B$9,'Huong dan giao do an'!$B$10))</f>
        <v>Tối thiểu 4 actor; 10-14 use case; 8-12 bảng; 3 quy trình lõi; phân quyền chi tiết; 2 báo cáo; tích hợp 1 dịch vụ; &gt;=35 test case; CI/CD hoặc deploy cloud.</v>
      </c>
      <c r="L1751" t="str">
        <f>'Huong dan giao do an'!$B$31</f>
        <v>Bắt buộc: Charter/PMP; SRS + scope/WBS; Gantt/baseline; effort-cost budget; RACI/timesheet; quality-test-defect; communication/minutes; risk register; procurement; change log; closure/lessons learned.</v>
      </c>
      <c r="M1751" t="str">
        <f>'Huong dan giao do an'!$B$33</f>
        <v>Tuần 1: 07.09–13.09.2026; Tuần 2: 14.09–20.09.2026; Tuần 3: 21.09–27.09.2026; Tuần 4: 28.09–04.10.2026; Tuần 5: 05.10–11.10.2026; Tuần 6: 12.10–18.10.2026; Tuần 7: 19.10–25.10.2026; Tuần 8: 26.10–01.11.2026.</v>
      </c>
      <c r="N17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1" s="17" t="str">
        <f t="shared" si="27"/>
        <v>Còn trống</v>
      </c>
    </row>
    <row r="1752" spans="1:16" x14ac:dyDescent="0.3">
      <c r="A1752">
        <v>1751</v>
      </c>
      <c r="B1752" t="s">
        <v>3917</v>
      </c>
      <c r="C1752" t="s">
        <v>4046</v>
      </c>
      <c r="D1752" t="s">
        <v>4047</v>
      </c>
      <c r="E1752" t="s">
        <v>33</v>
      </c>
      <c r="F1752" t="s">
        <v>3920</v>
      </c>
      <c r="G1752" t="s">
        <v>3958</v>
      </c>
      <c r="H1752" t="str">
        <f>'Huong dan giao do an'!$B$14</f>
        <v>5 SV (vai trò chính): 1 PM/Scrum Master kiêm Integration; 2 BA/PO; 3 UI-UX + Frontend; 4 Backend/API + DevOps; 5 Database + QA/Tester. Mỗi SV có nhiệm vụ phụ và minh chứng cá nhân.</v>
      </c>
      <c r="I1752" t="s">
        <v>29</v>
      </c>
      <c r="J1752" t="s">
        <v>3927</v>
      </c>
      <c r="K1752" t="str">
        <f>IF(I1752="Trung bình",'Huong dan giao do an'!$B$8,IF(I1752="Khá",'Huong dan giao do an'!$B$9,'Huong dan giao do an'!$B$10))</f>
        <v>Tối thiểu 5 actor; 14-18 use case; 10-15 bảng; 4 quy trình; tích hợp ngoài/realtime hoặc xử lý nâng cao; 3 báo cáo; &gt;=45 test case; logging, backup và deploy.</v>
      </c>
      <c r="L1752" t="str">
        <f>'Huong dan giao do an'!$B$31</f>
        <v>Bắt buộc: Charter/PMP; SRS + scope/WBS; Gantt/baseline; effort-cost budget; RACI/timesheet; quality-test-defect; communication/minutes; risk register; procurement; change log; closure/lessons learned.</v>
      </c>
      <c r="M1752" t="str">
        <f>'Huong dan giao do an'!$B$33</f>
        <v>Tuần 1: 07.09–13.09.2026; Tuần 2: 14.09–20.09.2026; Tuần 3: 21.09–27.09.2026; Tuần 4: 28.09–04.10.2026; Tuần 5: 05.10–11.10.2026; Tuần 6: 12.10–18.10.2026; Tuần 7: 19.10–25.10.2026; Tuần 8: 26.10–01.11.2026.</v>
      </c>
      <c r="N17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2" s="17" t="str">
        <f t="shared" si="27"/>
        <v>Còn trống</v>
      </c>
    </row>
    <row r="1753" spans="1:16" x14ac:dyDescent="0.3">
      <c r="A1753">
        <v>1752</v>
      </c>
      <c r="B1753" t="s">
        <v>3917</v>
      </c>
      <c r="C1753" t="s">
        <v>4048</v>
      </c>
      <c r="D1753" t="s">
        <v>4049</v>
      </c>
      <c r="E1753" t="s">
        <v>40</v>
      </c>
      <c r="F1753" t="s">
        <v>3925</v>
      </c>
      <c r="G1753" t="s">
        <v>3961</v>
      </c>
      <c r="H1753" t="str">
        <f>'Huong dan giao do an'!$B$14</f>
        <v>5 SV (vai trò chính): 1 PM/Scrum Master kiêm Integration; 2 BA/PO; 3 UI-UX + Frontend; 4 Backend/API + DevOps; 5 Database + QA/Tester. Mỗi SV có nhiệm vụ phụ và minh chứng cá nhân.</v>
      </c>
      <c r="I1753" t="s">
        <v>36</v>
      </c>
      <c r="J1753" t="s">
        <v>3932</v>
      </c>
      <c r="K1753" t="str">
        <f>IF(I1753="Trung bình",'Huong dan giao do an'!$B$8,IF(I1753="Khá",'Huong dan giao do an'!$B$9,'Huong dan giao do an'!$B$10))</f>
        <v>Tối thiểu 3 actor; 8-10 use case; 6-8 bảng dữ liệu; 2 quy trình lõi; đăng nhập/RBAC; 1 dashboard; 1 báo cáo; &gt;=25 test case; triển khai bản demo.</v>
      </c>
      <c r="L1753" t="str">
        <f>'Huong dan giao do an'!$B$31</f>
        <v>Bắt buộc: Charter/PMP; SRS + scope/WBS; Gantt/baseline; effort-cost budget; RACI/timesheet; quality-test-defect; communication/minutes; risk register; procurement; change log; closure/lessons learned.</v>
      </c>
      <c r="M1753" t="str">
        <f>'Huong dan giao do an'!$B$33</f>
        <v>Tuần 1: 07.09–13.09.2026; Tuần 2: 14.09–20.09.2026; Tuần 3: 21.09–27.09.2026; Tuần 4: 28.09–04.10.2026; Tuần 5: 05.10–11.10.2026; Tuần 6: 12.10–18.10.2026; Tuần 7: 19.10–25.10.2026; Tuần 8: 26.10–01.11.2026.</v>
      </c>
      <c r="N17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3" s="17" t="str">
        <f t="shared" si="27"/>
        <v>Còn trống</v>
      </c>
    </row>
    <row r="1754" spans="1:16" x14ac:dyDescent="0.3">
      <c r="A1754">
        <v>1753</v>
      </c>
      <c r="B1754" t="s">
        <v>3917</v>
      </c>
      <c r="C1754" t="s">
        <v>4050</v>
      </c>
      <c r="D1754" t="s">
        <v>4051</v>
      </c>
      <c r="E1754" t="s">
        <v>45</v>
      </c>
      <c r="F1754" t="s">
        <v>3930</v>
      </c>
      <c r="G1754" t="s">
        <v>3964</v>
      </c>
      <c r="H1754" t="str">
        <f>'Huong dan giao do an'!$B$14</f>
        <v>5 SV (vai trò chính): 1 PM/Scrum Master kiêm Integration; 2 BA/PO; 3 UI-UX + Frontend; 4 Backend/API + DevOps; 5 Database + QA/Tester. Mỗi SV có nhiệm vụ phụ và minh chứng cá nhân.</v>
      </c>
      <c r="I1754" t="s">
        <v>22</v>
      </c>
      <c r="J1754" t="s">
        <v>3922</v>
      </c>
      <c r="K1754" t="str">
        <f>IF(I1754="Trung bình",'Huong dan giao do an'!$B$8,IF(I1754="Khá",'Huong dan giao do an'!$B$9,'Huong dan giao do an'!$B$10))</f>
        <v>Tối thiểu 4 actor; 10-14 use case; 8-12 bảng; 3 quy trình lõi; phân quyền chi tiết; 2 báo cáo; tích hợp 1 dịch vụ; &gt;=35 test case; CI/CD hoặc deploy cloud.</v>
      </c>
      <c r="L1754" t="str">
        <f>'Huong dan giao do an'!$B$31</f>
        <v>Bắt buộc: Charter/PMP; SRS + scope/WBS; Gantt/baseline; effort-cost budget; RACI/timesheet; quality-test-defect; communication/minutes; risk register; procurement; change log; closure/lessons learned.</v>
      </c>
      <c r="M1754" t="str">
        <f>'Huong dan giao do an'!$B$33</f>
        <v>Tuần 1: 07.09–13.09.2026; Tuần 2: 14.09–20.09.2026; Tuần 3: 21.09–27.09.2026; Tuần 4: 28.09–04.10.2026; Tuần 5: 05.10–11.10.2026; Tuần 6: 12.10–18.10.2026; Tuần 7: 19.10–25.10.2026; Tuần 8: 26.10–01.11.2026.</v>
      </c>
      <c r="N17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4" s="17" t="str">
        <f t="shared" si="27"/>
        <v>Còn trống</v>
      </c>
    </row>
    <row r="1755" spans="1:16" x14ac:dyDescent="0.3">
      <c r="A1755">
        <v>1754</v>
      </c>
      <c r="B1755" t="s">
        <v>3917</v>
      </c>
      <c r="C1755" t="s">
        <v>4052</v>
      </c>
      <c r="D1755" t="s">
        <v>4053</v>
      </c>
      <c r="E1755" t="s">
        <v>19</v>
      </c>
      <c r="F1755" t="s">
        <v>3935</v>
      </c>
      <c r="G1755" t="s">
        <v>3967</v>
      </c>
      <c r="H1755" t="str">
        <f>'Huong dan giao do an'!$B$14</f>
        <v>5 SV (vai trò chính): 1 PM/Scrum Master kiêm Integration; 2 BA/PO; 3 UI-UX + Frontend; 4 Backend/API + DevOps; 5 Database + QA/Tester. Mỗi SV có nhiệm vụ phụ và minh chứng cá nhân.</v>
      </c>
      <c r="I1755" t="s">
        <v>29</v>
      </c>
      <c r="J1755" t="s">
        <v>3927</v>
      </c>
      <c r="K1755" t="str">
        <f>IF(I1755="Trung bình",'Huong dan giao do an'!$B$8,IF(I1755="Khá",'Huong dan giao do an'!$B$9,'Huong dan giao do an'!$B$10))</f>
        <v>Tối thiểu 5 actor; 14-18 use case; 10-15 bảng; 4 quy trình; tích hợp ngoài/realtime hoặc xử lý nâng cao; 3 báo cáo; &gt;=45 test case; logging, backup và deploy.</v>
      </c>
      <c r="L1755" t="str">
        <f>'Huong dan giao do an'!$B$31</f>
        <v>Bắt buộc: Charter/PMP; SRS + scope/WBS; Gantt/baseline; effort-cost budget; RACI/timesheet; quality-test-defect; communication/minutes; risk register; procurement; change log; closure/lessons learned.</v>
      </c>
      <c r="M1755" t="str">
        <f>'Huong dan giao do an'!$B$33</f>
        <v>Tuần 1: 07.09–13.09.2026; Tuần 2: 14.09–20.09.2026; Tuần 3: 21.09–27.09.2026; Tuần 4: 28.09–04.10.2026; Tuần 5: 05.10–11.10.2026; Tuần 6: 12.10–18.10.2026; Tuần 7: 19.10–25.10.2026; Tuần 8: 26.10–01.11.2026.</v>
      </c>
      <c r="N17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5" s="17" t="str">
        <f t="shared" si="27"/>
        <v>Còn trống</v>
      </c>
    </row>
    <row r="1756" spans="1:16" x14ac:dyDescent="0.3">
      <c r="A1756">
        <v>1755</v>
      </c>
      <c r="B1756" t="s">
        <v>3917</v>
      </c>
      <c r="C1756" t="s">
        <v>4054</v>
      </c>
      <c r="D1756" t="s">
        <v>4055</v>
      </c>
      <c r="E1756" t="s">
        <v>26</v>
      </c>
      <c r="F1756" t="s">
        <v>3939</v>
      </c>
      <c r="G1756" t="s">
        <v>3970</v>
      </c>
      <c r="H1756" t="str">
        <f>'Huong dan giao do an'!$B$14</f>
        <v>5 SV (vai trò chính): 1 PM/Scrum Master kiêm Integration; 2 BA/PO; 3 UI-UX + Frontend; 4 Backend/API + DevOps; 5 Database + QA/Tester. Mỗi SV có nhiệm vụ phụ và minh chứng cá nhân.</v>
      </c>
      <c r="I1756" t="s">
        <v>36</v>
      </c>
      <c r="J1756" t="s">
        <v>3932</v>
      </c>
      <c r="K1756" t="str">
        <f>IF(I1756="Trung bình",'Huong dan giao do an'!$B$8,IF(I1756="Khá",'Huong dan giao do an'!$B$9,'Huong dan giao do an'!$B$10))</f>
        <v>Tối thiểu 3 actor; 8-10 use case; 6-8 bảng dữ liệu; 2 quy trình lõi; đăng nhập/RBAC; 1 dashboard; 1 báo cáo; &gt;=25 test case; triển khai bản demo.</v>
      </c>
      <c r="L1756" t="str">
        <f>'Huong dan giao do an'!$B$31</f>
        <v>Bắt buộc: Charter/PMP; SRS + scope/WBS; Gantt/baseline; effort-cost budget; RACI/timesheet; quality-test-defect; communication/minutes; risk register; procurement; change log; closure/lessons learned.</v>
      </c>
      <c r="M1756" t="str">
        <f>'Huong dan giao do an'!$B$33</f>
        <v>Tuần 1: 07.09–13.09.2026; Tuần 2: 14.09–20.09.2026; Tuần 3: 21.09–27.09.2026; Tuần 4: 28.09–04.10.2026; Tuần 5: 05.10–11.10.2026; Tuần 6: 12.10–18.10.2026; Tuần 7: 19.10–25.10.2026; Tuần 8: 26.10–01.11.2026.</v>
      </c>
      <c r="N17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6" s="17" t="str">
        <f t="shared" si="27"/>
        <v>Còn trống</v>
      </c>
    </row>
    <row r="1757" spans="1:16" x14ac:dyDescent="0.3">
      <c r="A1757">
        <v>1756</v>
      </c>
      <c r="B1757" t="s">
        <v>3917</v>
      </c>
      <c r="C1757" t="s">
        <v>4056</v>
      </c>
      <c r="D1757" t="s">
        <v>4057</v>
      </c>
      <c r="E1757" t="s">
        <v>33</v>
      </c>
      <c r="F1757" t="s">
        <v>3920</v>
      </c>
      <c r="G1757" t="s">
        <v>3973</v>
      </c>
      <c r="H1757" t="str">
        <f>'Huong dan giao do an'!$B$14</f>
        <v>5 SV (vai trò chính): 1 PM/Scrum Master kiêm Integration; 2 BA/PO; 3 UI-UX + Frontend; 4 Backend/API + DevOps; 5 Database + QA/Tester. Mỗi SV có nhiệm vụ phụ và minh chứng cá nhân.</v>
      </c>
      <c r="I1757" t="s">
        <v>22</v>
      </c>
      <c r="J1757" t="s">
        <v>3922</v>
      </c>
      <c r="K1757" t="str">
        <f>IF(I1757="Trung bình",'Huong dan giao do an'!$B$8,IF(I1757="Khá",'Huong dan giao do an'!$B$9,'Huong dan giao do an'!$B$10))</f>
        <v>Tối thiểu 4 actor; 10-14 use case; 8-12 bảng; 3 quy trình lõi; phân quyền chi tiết; 2 báo cáo; tích hợp 1 dịch vụ; &gt;=35 test case; CI/CD hoặc deploy cloud.</v>
      </c>
      <c r="L1757" t="str">
        <f>'Huong dan giao do an'!$B$31</f>
        <v>Bắt buộc: Charter/PMP; SRS + scope/WBS; Gantt/baseline; effort-cost budget; RACI/timesheet; quality-test-defect; communication/minutes; risk register; procurement; change log; closure/lessons learned.</v>
      </c>
      <c r="M1757" t="str">
        <f>'Huong dan giao do an'!$B$33</f>
        <v>Tuần 1: 07.09–13.09.2026; Tuần 2: 14.09–20.09.2026; Tuần 3: 21.09–27.09.2026; Tuần 4: 28.09–04.10.2026; Tuần 5: 05.10–11.10.2026; Tuần 6: 12.10–18.10.2026; Tuần 7: 19.10–25.10.2026; Tuần 8: 26.10–01.11.2026.</v>
      </c>
      <c r="N17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7" s="17" t="str">
        <f t="shared" si="27"/>
        <v>Còn trống</v>
      </c>
    </row>
    <row r="1758" spans="1:16" x14ac:dyDescent="0.3">
      <c r="A1758">
        <v>1757</v>
      </c>
      <c r="B1758" t="s">
        <v>3917</v>
      </c>
      <c r="C1758" t="s">
        <v>4058</v>
      </c>
      <c r="D1758" t="s">
        <v>4059</v>
      </c>
      <c r="E1758" t="s">
        <v>40</v>
      </c>
      <c r="F1758" t="s">
        <v>3925</v>
      </c>
      <c r="G1758" t="s">
        <v>3976</v>
      </c>
      <c r="H1758" t="str">
        <f>'Huong dan giao do an'!$B$14</f>
        <v>5 SV (vai trò chính): 1 PM/Scrum Master kiêm Integration; 2 BA/PO; 3 UI-UX + Frontend; 4 Backend/API + DevOps; 5 Database + QA/Tester. Mỗi SV có nhiệm vụ phụ và minh chứng cá nhân.</v>
      </c>
      <c r="I1758" t="s">
        <v>29</v>
      </c>
      <c r="J1758" t="s">
        <v>3927</v>
      </c>
      <c r="K1758" t="str">
        <f>IF(I1758="Trung bình",'Huong dan giao do an'!$B$8,IF(I1758="Khá",'Huong dan giao do an'!$B$9,'Huong dan giao do an'!$B$10))</f>
        <v>Tối thiểu 5 actor; 14-18 use case; 10-15 bảng; 4 quy trình; tích hợp ngoài/realtime hoặc xử lý nâng cao; 3 báo cáo; &gt;=45 test case; logging, backup và deploy.</v>
      </c>
      <c r="L1758" t="str">
        <f>'Huong dan giao do an'!$B$31</f>
        <v>Bắt buộc: Charter/PMP; SRS + scope/WBS; Gantt/baseline; effort-cost budget; RACI/timesheet; quality-test-defect; communication/minutes; risk register; procurement; change log; closure/lessons learned.</v>
      </c>
      <c r="M1758" t="str">
        <f>'Huong dan giao do an'!$B$33</f>
        <v>Tuần 1: 07.09–13.09.2026; Tuần 2: 14.09–20.09.2026; Tuần 3: 21.09–27.09.2026; Tuần 4: 28.09–04.10.2026; Tuần 5: 05.10–11.10.2026; Tuần 6: 12.10–18.10.2026; Tuần 7: 19.10–25.10.2026; Tuần 8: 26.10–01.11.2026.</v>
      </c>
      <c r="N17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8" s="17" t="str">
        <f t="shared" si="27"/>
        <v>Còn trống</v>
      </c>
    </row>
    <row r="1759" spans="1:16" x14ac:dyDescent="0.3">
      <c r="A1759">
        <v>1758</v>
      </c>
      <c r="B1759" t="s">
        <v>3917</v>
      </c>
      <c r="C1759" t="s">
        <v>4060</v>
      </c>
      <c r="D1759" t="s">
        <v>4061</v>
      </c>
      <c r="E1759" t="s">
        <v>45</v>
      </c>
      <c r="F1759" t="s">
        <v>3930</v>
      </c>
      <c r="G1759" t="s">
        <v>3979</v>
      </c>
      <c r="H1759" t="str">
        <f>'Huong dan giao do an'!$B$14</f>
        <v>5 SV (vai trò chính): 1 PM/Scrum Master kiêm Integration; 2 BA/PO; 3 UI-UX + Frontend; 4 Backend/API + DevOps; 5 Database + QA/Tester. Mỗi SV có nhiệm vụ phụ và minh chứng cá nhân.</v>
      </c>
      <c r="I1759" t="s">
        <v>36</v>
      </c>
      <c r="J1759" t="s">
        <v>3932</v>
      </c>
      <c r="K1759" t="str">
        <f>IF(I1759="Trung bình",'Huong dan giao do an'!$B$8,IF(I1759="Khá",'Huong dan giao do an'!$B$9,'Huong dan giao do an'!$B$10))</f>
        <v>Tối thiểu 3 actor; 8-10 use case; 6-8 bảng dữ liệu; 2 quy trình lõi; đăng nhập/RBAC; 1 dashboard; 1 báo cáo; &gt;=25 test case; triển khai bản demo.</v>
      </c>
      <c r="L1759" t="str">
        <f>'Huong dan giao do an'!$B$31</f>
        <v>Bắt buộc: Charter/PMP; SRS + scope/WBS; Gantt/baseline; effort-cost budget; RACI/timesheet; quality-test-defect; communication/minutes; risk register; procurement; change log; closure/lessons learned.</v>
      </c>
      <c r="M1759" t="str">
        <f>'Huong dan giao do an'!$B$33</f>
        <v>Tuần 1: 07.09–13.09.2026; Tuần 2: 14.09–20.09.2026; Tuần 3: 21.09–27.09.2026; Tuần 4: 28.09–04.10.2026; Tuần 5: 05.10–11.10.2026; Tuần 6: 12.10–18.10.2026; Tuần 7: 19.10–25.10.2026; Tuần 8: 26.10–01.11.2026.</v>
      </c>
      <c r="N17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59" s="17" t="str">
        <f t="shared" si="27"/>
        <v>Còn trống</v>
      </c>
    </row>
    <row r="1760" spans="1:16" x14ac:dyDescent="0.3">
      <c r="A1760">
        <v>1759</v>
      </c>
      <c r="B1760" t="s">
        <v>3917</v>
      </c>
      <c r="C1760" t="s">
        <v>4062</v>
      </c>
      <c r="D1760" t="s">
        <v>4063</v>
      </c>
      <c r="E1760" t="s">
        <v>19</v>
      </c>
      <c r="F1760" t="s">
        <v>3935</v>
      </c>
      <c r="G1760" t="s">
        <v>3982</v>
      </c>
      <c r="H1760" t="str">
        <f>'Huong dan giao do an'!$B$14</f>
        <v>5 SV (vai trò chính): 1 PM/Scrum Master kiêm Integration; 2 BA/PO; 3 UI-UX + Frontend; 4 Backend/API + DevOps; 5 Database + QA/Tester. Mỗi SV có nhiệm vụ phụ và minh chứng cá nhân.</v>
      </c>
      <c r="I1760" t="s">
        <v>22</v>
      </c>
      <c r="J1760" t="s">
        <v>3922</v>
      </c>
      <c r="K1760" t="str">
        <f>IF(I1760="Trung bình",'Huong dan giao do an'!$B$8,IF(I1760="Khá",'Huong dan giao do an'!$B$9,'Huong dan giao do an'!$B$10))</f>
        <v>Tối thiểu 4 actor; 10-14 use case; 8-12 bảng; 3 quy trình lõi; phân quyền chi tiết; 2 báo cáo; tích hợp 1 dịch vụ; &gt;=35 test case; CI/CD hoặc deploy cloud.</v>
      </c>
      <c r="L1760" t="str">
        <f>'Huong dan giao do an'!$B$31</f>
        <v>Bắt buộc: Charter/PMP; SRS + scope/WBS; Gantt/baseline; effort-cost budget; RACI/timesheet; quality-test-defect; communication/minutes; risk register; procurement; change log; closure/lessons learned.</v>
      </c>
      <c r="M1760" t="str">
        <f>'Huong dan giao do an'!$B$33</f>
        <v>Tuần 1: 07.09–13.09.2026; Tuần 2: 14.09–20.09.2026; Tuần 3: 21.09–27.09.2026; Tuần 4: 28.09–04.10.2026; Tuần 5: 05.10–11.10.2026; Tuần 6: 12.10–18.10.2026; Tuần 7: 19.10–25.10.2026; Tuần 8: 26.10–01.11.2026.</v>
      </c>
      <c r="N17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0" s="17" t="str">
        <f t="shared" si="27"/>
        <v>Còn trống</v>
      </c>
    </row>
    <row r="1761" spans="1:16" x14ac:dyDescent="0.3">
      <c r="A1761">
        <v>1760</v>
      </c>
      <c r="B1761" t="s">
        <v>3917</v>
      </c>
      <c r="C1761" t="s">
        <v>4064</v>
      </c>
      <c r="D1761" t="s">
        <v>4065</v>
      </c>
      <c r="E1761" t="s">
        <v>26</v>
      </c>
      <c r="F1761" t="s">
        <v>3939</v>
      </c>
      <c r="G1761" t="s">
        <v>3985</v>
      </c>
      <c r="H1761" t="str">
        <f>'Huong dan giao do an'!$B$14</f>
        <v>5 SV (vai trò chính): 1 PM/Scrum Master kiêm Integration; 2 BA/PO; 3 UI-UX + Frontend; 4 Backend/API + DevOps; 5 Database + QA/Tester. Mỗi SV có nhiệm vụ phụ và minh chứng cá nhân.</v>
      </c>
      <c r="I1761" t="s">
        <v>29</v>
      </c>
      <c r="J1761" t="s">
        <v>3927</v>
      </c>
      <c r="K1761" t="str">
        <f>IF(I1761="Trung bình",'Huong dan giao do an'!$B$8,IF(I1761="Khá",'Huong dan giao do an'!$B$9,'Huong dan giao do an'!$B$10))</f>
        <v>Tối thiểu 5 actor; 14-18 use case; 10-15 bảng; 4 quy trình; tích hợp ngoài/realtime hoặc xử lý nâng cao; 3 báo cáo; &gt;=45 test case; logging, backup và deploy.</v>
      </c>
      <c r="L1761" t="str">
        <f>'Huong dan giao do an'!$B$31</f>
        <v>Bắt buộc: Charter/PMP; SRS + scope/WBS; Gantt/baseline; effort-cost budget; RACI/timesheet; quality-test-defect; communication/minutes; risk register; procurement; change log; closure/lessons learned.</v>
      </c>
      <c r="M1761" t="str">
        <f>'Huong dan giao do an'!$B$33</f>
        <v>Tuần 1: 07.09–13.09.2026; Tuần 2: 14.09–20.09.2026; Tuần 3: 21.09–27.09.2026; Tuần 4: 28.09–04.10.2026; Tuần 5: 05.10–11.10.2026; Tuần 6: 12.10–18.10.2026; Tuần 7: 19.10–25.10.2026; Tuần 8: 26.10–01.11.2026.</v>
      </c>
      <c r="N17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1" s="17" t="str">
        <f t="shared" si="27"/>
        <v>Còn trống</v>
      </c>
    </row>
    <row r="1762" spans="1:16" x14ac:dyDescent="0.3">
      <c r="A1762">
        <v>1761</v>
      </c>
      <c r="B1762" t="s">
        <v>3917</v>
      </c>
      <c r="C1762" t="s">
        <v>4066</v>
      </c>
      <c r="D1762" t="s">
        <v>4067</v>
      </c>
      <c r="E1762" t="s">
        <v>33</v>
      </c>
      <c r="F1762" t="s">
        <v>3920</v>
      </c>
      <c r="G1762" t="s">
        <v>3921</v>
      </c>
      <c r="H1762" t="str">
        <f>'Huong dan giao do an'!$B$14</f>
        <v>5 SV (vai trò chính): 1 PM/Scrum Master kiêm Integration; 2 BA/PO; 3 UI-UX + Frontend; 4 Backend/API + DevOps; 5 Database + QA/Tester. Mỗi SV có nhiệm vụ phụ và minh chứng cá nhân.</v>
      </c>
      <c r="I1762" t="s">
        <v>22</v>
      </c>
      <c r="J1762" t="s">
        <v>3922</v>
      </c>
      <c r="K1762" t="str">
        <f>IF(I1762="Trung bình",'Huong dan giao do an'!$B$8,IF(I1762="Khá",'Huong dan giao do an'!$B$9,'Huong dan giao do an'!$B$10))</f>
        <v>Tối thiểu 4 actor; 10-14 use case; 8-12 bảng; 3 quy trình lõi; phân quyền chi tiết; 2 báo cáo; tích hợp 1 dịch vụ; &gt;=35 test case; CI/CD hoặc deploy cloud.</v>
      </c>
      <c r="L1762" t="str">
        <f>'Huong dan giao do an'!$B$31</f>
        <v>Bắt buộc: Charter/PMP; SRS + scope/WBS; Gantt/baseline; effort-cost budget; RACI/timesheet; quality-test-defect; communication/minutes; risk register; procurement; change log; closure/lessons learned.</v>
      </c>
      <c r="M1762" t="str">
        <f>'Huong dan giao do an'!$B$33</f>
        <v>Tuần 1: 07.09–13.09.2026; Tuần 2: 14.09–20.09.2026; Tuần 3: 21.09–27.09.2026; Tuần 4: 28.09–04.10.2026; Tuần 5: 05.10–11.10.2026; Tuần 6: 12.10–18.10.2026; Tuần 7: 19.10–25.10.2026; Tuần 8: 26.10–01.11.2026.</v>
      </c>
      <c r="N17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2" s="17" t="str">
        <f t="shared" si="27"/>
        <v>Còn trống</v>
      </c>
    </row>
    <row r="1763" spans="1:16" x14ac:dyDescent="0.3">
      <c r="A1763">
        <v>1762</v>
      </c>
      <c r="B1763" t="s">
        <v>3917</v>
      </c>
      <c r="C1763" t="s">
        <v>4068</v>
      </c>
      <c r="D1763" t="s">
        <v>4069</v>
      </c>
      <c r="E1763" t="s">
        <v>40</v>
      </c>
      <c r="F1763" t="s">
        <v>3925</v>
      </c>
      <c r="G1763" t="s">
        <v>3926</v>
      </c>
      <c r="H1763" t="str">
        <f>'Huong dan giao do an'!$B$14</f>
        <v>5 SV (vai trò chính): 1 PM/Scrum Master kiêm Integration; 2 BA/PO; 3 UI-UX + Frontend; 4 Backend/API + DevOps; 5 Database + QA/Tester. Mỗi SV có nhiệm vụ phụ và minh chứng cá nhân.</v>
      </c>
      <c r="I1763" t="s">
        <v>29</v>
      </c>
      <c r="J1763" t="s">
        <v>3927</v>
      </c>
      <c r="K1763" t="str">
        <f>IF(I1763="Trung bình",'Huong dan giao do an'!$B$8,IF(I1763="Khá",'Huong dan giao do an'!$B$9,'Huong dan giao do an'!$B$10))</f>
        <v>Tối thiểu 5 actor; 14-18 use case; 10-15 bảng; 4 quy trình; tích hợp ngoài/realtime hoặc xử lý nâng cao; 3 báo cáo; &gt;=45 test case; logging, backup và deploy.</v>
      </c>
      <c r="L1763" t="str">
        <f>'Huong dan giao do an'!$B$31</f>
        <v>Bắt buộc: Charter/PMP; SRS + scope/WBS; Gantt/baseline; effort-cost budget; RACI/timesheet; quality-test-defect; communication/minutes; risk register; procurement; change log; closure/lessons learned.</v>
      </c>
      <c r="M1763" t="str">
        <f>'Huong dan giao do an'!$B$33</f>
        <v>Tuần 1: 07.09–13.09.2026; Tuần 2: 14.09–20.09.2026; Tuần 3: 21.09–27.09.2026; Tuần 4: 28.09–04.10.2026; Tuần 5: 05.10–11.10.2026; Tuần 6: 12.10–18.10.2026; Tuần 7: 19.10–25.10.2026; Tuần 8: 26.10–01.11.2026.</v>
      </c>
      <c r="N17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3" s="17" t="str">
        <f t="shared" si="27"/>
        <v>Còn trống</v>
      </c>
    </row>
    <row r="1764" spans="1:16" x14ac:dyDescent="0.3">
      <c r="A1764">
        <v>1763</v>
      </c>
      <c r="B1764" t="s">
        <v>3917</v>
      </c>
      <c r="C1764" t="s">
        <v>4070</v>
      </c>
      <c r="D1764" t="s">
        <v>4071</v>
      </c>
      <c r="E1764" t="s">
        <v>45</v>
      </c>
      <c r="F1764" t="s">
        <v>3930</v>
      </c>
      <c r="G1764" t="s">
        <v>3931</v>
      </c>
      <c r="H1764" t="str">
        <f>'Huong dan giao do an'!$B$14</f>
        <v>5 SV (vai trò chính): 1 PM/Scrum Master kiêm Integration; 2 BA/PO; 3 UI-UX + Frontend; 4 Backend/API + DevOps; 5 Database + QA/Tester. Mỗi SV có nhiệm vụ phụ và minh chứng cá nhân.</v>
      </c>
      <c r="I1764" t="s">
        <v>36</v>
      </c>
      <c r="J1764" t="s">
        <v>3932</v>
      </c>
      <c r="K1764" t="str">
        <f>IF(I1764="Trung bình",'Huong dan giao do an'!$B$8,IF(I1764="Khá",'Huong dan giao do an'!$B$9,'Huong dan giao do an'!$B$10))</f>
        <v>Tối thiểu 3 actor; 8-10 use case; 6-8 bảng dữ liệu; 2 quy trình lõi; đăng nhập/RBAC; 1 dashboard; 1 báo cáo; &gt;=25 test case; triển khai bản demo.</v>
      </c>
      <c r="L1764" t="str">
        <f>'Huong dan giao do an'!$B$31</f>
        <v>Bắt buộc: Charter/PMP; SRS + scope/WBS; Gantt/baseline; effort-cost budget; RACI/timesheet; quality-test-defect; communication/minutes; risk register; procurement; change log; closure/lessons learned.</v>
      </c>
      <c r="M1764" t="str">
        <f>'Huong dan giao do an'!$B$33</f>
        <v>Tuần 1: 07.09–13.09.2026; Tuần 2: 14.09–20.09.2026; Tuần 3: 21.09–27.09.2026; Tuần 4: 28.09–04.10.2026; Tuần 5: 05.10–11.10.2026; Tuần 6: 12.10–18.10.2026; Tuần 7: 19.10–25.10.2026; Tuần 8: 26.10–01.11.2026.</v>
      </c>
      <c r="N17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4" s="17" t="str">
        <f t="shared" si="27"/>
        <v>Còn trống</v>
      </c>
    </row>
    <row r="1765" spans="1:16" x14ac:dyDescent="0.3">
      <c r="A1765">
        <v>1764</v>
      </c>
      <c r="B1765" t="s">
        <v>3917</v>
      </c>
      <c r="C1765" t="s">
        <v>4072</v>
      </c>
      <c r="D1765" t="s">
        <v>4073</v>
      </c>
      <c r="E1765" t="s">
        <v>19</v>
      </c>
      <c r="F1765" t="s">
        <v>3935</v>
      </c>
      <c r="G1765" t="s">
        <v>3936</v>
      </c>
      <c r="H1765" t="str">
        <f>'Huong dan giao do an'!$B$14</f>
        <v>5 SV (vai trò chính): 1 PM/Scrum Master kiêm Integration; 2 BA/PO; 3 UI-UX + Frontend; 4 Backend/API + DevOps; 5 Database + QA/Tester. Mỗi SV có nhiệm vụ phụ và minh chứng cá nhân.</v>
      </c>
      <c r="I1765" t="s">
        <v>22</v>
      </c>
      <c r="J1765" t="s">
        <v>3922</v>
      </c>
      <c r="K1765" t="str">
        <f>IF(I1765="Trung bình",'Huong dan giao do an'!$B$8,IF(I1765="Khá",'Huong dan giao do an'!$B$9,'Huong dan giao do an'!$B$10))</f>
        <v>Tối thiểu 4 actor; 10-14 use case; 8-12 bảng; 3 quy trình lõi; phân quyền chi tiết; 2 báo cáo; tích hợp 1 dịch vụ; &gt;=35 test case; CI/CD hoặc deploy cloud.</v>
      </c>
      <c r="L1765" t="str">
        <f>'Huong dan giao do an'!$B$31</f>
        <v>Bắt buộc: Charter/PMP; SRS + scope/WBS; Gantt/baseline; effort-cost budget; RACI/timesheet; quality-test-defect; communication/minutes; risk register; procurement; change log; closure/lessons learned.</v>
      </c>
      <c r="M1765" t="str">
        <f>'Huong dan giao do an'!$B$33</f>
        <v>Tuần 1: 07.09–13.09.2026; Tuần 2: 14.09–20.09.2026; Tuần 3: 21.09–27.09.2026; Tuần 4: 28.09–04.10.2026; Tuần 5: 05.10–11.10.2026; Tuần 6: 12.10–18.10.2026; Tuần 7: 19.10–25.10.2026; Tuần 8: 26.10–01.11.2026.</v>
      </c>
      <c r="N17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5" s="17" t="str">
        <f t="shared" si="27"/>
        <v>Còn trống</v>
      </c>
    </row>
    <row r="1766" spans="1:16" x14ac:dyDescent="0.3">
      <c r="A1766">
        <v>1765</v>
      </c>
      <c r="B1766" t="s">
        <v>3917</v>
      </c>
      <c r="C1766" t="s">
        <v>4074</v>
      </c>
      <c r="D1766" t="s">
        <v>4075</v>
      </c>
      <c r="E1766" t="s">
        <v>26</v>
      </c>
      <c r="F1766" t="s">
        <v>3939</v>
      </c>
      <c r="G1766" t="s">
        <v>3940</v>
      </c>
      <c r="H1766" t="str">
        <f>'Huong dan giao do an'!$B$14</f>
        <v>5 SV (vai trò chính): 1 PM/Scrum Master kiêm Integration; 2 BA/PO; 3 UI-UX + Frontend; 4 Backend/API + DevOps; 5 Database + QA/Tester. Mỗi SV có nhiệm vụ phụ và minh chứng cá nhân.</v>
      </c>
      <c r="I1766" t="s">
        <v>29</v>
      </c>
      <c r="J1766" t="s">
        <v>3927</v>
      </c>
      <c r="K1766" t="str">
        <f>IF(I1766="Trung bình",'Huong dan giao do an'!$B$8,IF(I1766="Khá",'Huong dan giao do an'!$B$9,'Huong dan giao do an'!$B$10))</f>
        <v>Tối thiểu 5 actor; 14-18 use case; 10-15 bảng; 4 quy trình; tích hợp ngoài/realtime hoặc xử lý nâng cao; 3 báo cáo; &gt;=45 test case; logging, backup và deploy.</v>
      </c>
      <c r="L1766" t="str">
        <f>'Huong dan giao do an'!$B$31</f>
        <v>Bắt buộc: Charter/PMP; SRS + scope/WBS; Gantt/baseline; effort-cost budget; RACI/timesheet; quality-test-defect; communication/minutes; risk register; procurement; change log; closure/lessons learned.</v>
      </c>
      <c r="M1766" t="str">
        <f>'Huong dan giao do an'!$B$33</f>
        <v>Tuần 1: 07.09–13.09.2026; Tuần 2: 14.09–20.09.2026; Tuần 3: 21.09–27.09.2026; Tuần 4: 28.09–04.10.2026; Tuần 5: 05.10–11.10.2026; Tuần 6: 12.10–18.10.2026; Tuần 7: 19.10–25.10.2026; Tuần 8: 26.10–01.11.2026.</v>
      </c>
      <c r="N17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6" s="17" t="str">
        <f t="shared" si="27"/>
        <v>Còn trống</v>
      </c>
    </row>
    <row r="1767" spans="1:16" x14ac:dyDescent="0.3">
      <c r="A1767">
        <v>1766</v>
      </c>
      <c r="B1767" t="s">
        <v>3917</v>
      </c>
      <c r="C1767" t="s">
        <v>4076</v>
      </c>
      <c r="D1767" t="s">
        <v>4077</v>
      </c>
      <c r="E1767" t="s">
        <v>33</v>
      </c>
      <c r="F1767" t="s">
        <v>3920</v>
      </c>
      <c r="G1767" t="s">
        <v>3943</v>
      </c>
      <c r="H1767" t="str">
        <f>'Huong dan giao do an'!$B$14</f>
        <v>5 SV (vai trò chính): 1 PM/Scrum Master kiêm Integration; 2 BA/PO; 3 UI-UX + Frontend; 4 Backend/API + DevOps; 5 Database + QA/Tester. Mỗi SV có nhiệm vụ phụ và minh chứng cá nhân.</v>
      </c>
      <c r="I1767" t="s">
        <v>36</v>
      </c>
      <c r="J1767" t="s">
        <v>3932</v>
      </c>
      <c r="K1767" t="str">
        <f>IF(I1767="Trung bình",'Huong dan giao do an'!$B$8,IF(I1767="Khá",'Huong dan giao do an'!$B$9,'Huong dan giao do an'!$B$10))</f>
        <v>Tối thiểu 3 actor; 8-10 use case; 6-8 bảng dữ liệu; 2 quy trình lõi; đăng nhập/RBAC; 1 dashboard; 1 báo cáo; &gt;=25 test case; triển khai bản demo.</v>
      </c>
      <c r="L1767" t="str">
        <f>'Huong dan giao do an'!$B$31</f>
        <v>Bắt buộc: Charter/PMP; SRS + scope/WBS; Gantt/baseline; effort-cost budget; RACI/timesheet; quality-test-defect; communication/minutes; risk register; procurement; change log; closure/lessons learned.</v>
      </c>
      <c r="M1767" t="str">
        <f>'Huong dan giao do an'!$B$33</f>
        <v>Tuần 1: 07.09–13.09.2026; Tuần 2: 14.09–20.09.2026; Tuần 3: 21.09–27.09.2026; Tuần 4: 28.09–04.10.2026; Tuần 5: 05.10–11.10.2026; Tuần 6: 12.10–18.10.2026; Tuần 7: 19.10–25.10.2026; Tuần 8: 26.10–01.11.2026.</v>
      </c>
      <c r="N17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7" s="17" t="str">
        <f t="shared" si="27"/>
        <v>Còn trống</v>
      </c>
    </row>
    <row r="1768" spans="1:16" x14ac:dyDescent="0.3">
      <c r="A1768">
        <v>1767</v>
      </c>
      <c r="B1768" t="s">
        <v>3917</v>
      </c>
      <c r="C1768" t="s">
        <v>4078</v>
      </c>
      <c r="D1768" t="s">
        <v>4079</v>
      </c>
      <c r="E1768" t="s">
        <v>40</v>
      </c>
      <c r="F1768" t="s">
        <v>3925</v>
      </c>
      <c r="G1768" t="s">
        <v>3946</v>
      </c>
      <c r="H1768" t="str">
        <f>'Huong dan giao do an'!$B$14</f>
        <v>5 SV (vai trò chính): 1 PM/Scrum Master kiêm Integration; 2 BA/PO; 3 UI-UX + Frontend; 4 Backend/API + DevOps; 5 Database + QA/Tester. Mỗi SV có nhiệm vụ phụ và minh chứng cá nhân.</v>
      </c>
      <c r="I1768" t="s">
        <v>22</v>
      </c>
      <c r="J1768" t="s">
        <v>3922</v>
      </c>
      <c r="K1768" t="str">
        <f>IF(I1768="Trung bình",'Huong dan giao do an'!$B$8,IF(I1768="Khá",'Huong dan giao do an'!$B$9,'Huong dan giao do an'!$B$10))</f>
        <v>Tối thiểu 4 actor; 10-14 use case; 8-12 bảng; 3 quy trình lõi; phân quyền chi tiết; 2 báo cáo; tích hợp 1 dịch vụ; &gt;=35 test case; CI/CD hoặc deploy cloud.</v>
      </c>
      <c r="L1768" t="str">
        <f>'Huong dan giao do an'!$B$31</f>
        <v>Bắt buộc: Charter/PMP; SRS + scope/WBS; Gantt/baseline; effort-cost budget; RACI/timesheet; quality-test-defect; communication/minutes; risk register; procurement; change log; closure/lessons learned.</v>
      </c>
      <c r="M1768" t="str">
        <f>'Huong dan giao do an'!$B$33</f>
        <v>Tuần 1: 07.09–13.09.2026; Tuần 2: 14.09–20.09.2026; Tuần 3: 21.09–27.09.2026; Tuần 4: 28.09–04.10.2026; Tuần 5: 05.10–11.10.2026; Tuần 6: 12.10–18.10.2026; Tuần 7: 19.10–25.10.2026; Tuần 8: 26.10–01.11.2026.</v>
      </c>
      <c r="N17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8" s="17" t="str">
        <f t="shared" si="27"/>
        <v>Còn trống</v>
      </c>
    </row>
    <row r="1769" spans="1:16" x14ac:dyDescent="0.3">
      <c r="A1769">
        <v>1768</v>
      </c>
      <c r="B1769" t="s">
        <v>3917</v>
      </c>
      <c r="C1769" t="s">
        <v>4080</v>
      </c>
      <c r="D1769" t="s">
        <v>4081</v>
      </c>
      <c r="E1769" t="s">
        <v>45</v>
      </c>
      <c r="F1769" t="s">
        <v>3930</v>
      </c>
      <c r="G1769" t="s">
        <v>3949</v>
      </c>
      <c r="H1769" t="str">
        <f>'Huong dan giao do an'!$B$14</f>
        <v>5 SV (vai trò chính): 1 PM/Scrum Master kiêm Integration; 2 BA/PO; 3 UI-UX + Frontend; 4 Backend/API + DevOps; 5 Database + QA/Tester. Mỗi SV có nhiệm vụ phụ và minh chứng cá nhân.</v>
      </c>
      <c r="I1769" t="s">
        <v>29</v>
      </c>
      <c r="J1769" t="s">
        <v>3927</v>
      </c>
      <c r="K1769" t="str">
        <f>IF(I1769="Trung bình",'Huong dan giao do an'!$B$8,IF(I1769="Khá",'Huong dan giao do an'!$B$9,'Huong dan giao do an'!$B$10))</f>
        <v>Tối thiểu 5 actor; 14-18 use case; 10-15 bảng; 4 quy trình; tích hợp ngoài/realtime hoặc xử lý nâng cao; 3 báo cáo; &gt;=45 test case; logging, backup và deploy.</v>
      </c>
      <c r="L1769" t="str">
        <f>'Huong dan giao do an'!$B$31</f>
        <v>Bắt buộc: Charter/PMP; SRS + scope/WBS; Gantt/baseline; effort-cost budget; RACI/timesheet; quality-test-defect; communication/minutes; risk register; procurement; change log; closure/lessons learned.</v>
      </c>
      <c r="M1769" t="str">
        <f>'Huong dan giao do an'!$B$33</f>
        <v>Tuần 1: 07.09–13.09.2026; Tuần 2: 14.09–20.09.2026; Tuần 3: 21.09–27.09.2026; Tuần 4: 28.09–04.10.2026; Tuần 5: 05.10–11.10.2026; Tuần 6: 12.10–18.10.2026; Tuần 7: 19.10–25.10.2026; Tuần 8: 26.10–01.11.2026.</v>
      </c>
      <c r="N17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69" s="17" t="str">
        <f t="shared" si="27"/>
        <v>Còn trống</v>
      </c>
    </row>
    <row r="1770" spans="1:16" x14ac:dyDescent="0.3">
      <c r="A1770">
        <v>1769</v>
      </c>
      <c r="B1770" t="s">
        <v>3917</v>
      </c>
      <c r="C1770" t="s">
        <v>4082</v>
      </c>
      <c r="D1770" t="s">
        <v>4083</v>
      </c>
      <c r="E1770" t="s">
        <v>19</v>
      </c>
      <c r="F1770" t="s">
        <v>3935</v>
      </c>
      <c r="G1770" t="s">
        <v>3952</v>
      </c>
      <c r="H1770" t="str">
        <f>'Huong dan giao do an'!$B$14</f>
        <v>5 SV (vai trò chính): 1 PM/Scrum Master kiêm Integration; 2 BA/PO; 3 UI-UX + Frontend; 4 Backend/API + DevOps; 5 Database + QA/Tester. Mỗi SV có nhiệm vụ phụ và minh chứng cá nhân.</v>
      </c>
      <c r="I1770" t="s">
        <v>36</v>
      </c>
      <c r="J1770" t="s">
        <v>3932</v>
      </c>
      <c r="K1770" t="str">
        <f>IF(I1770="Trung bình",'Huong dan giao do an'!$B$8,IF(I1770="Khá",'Huong dan giao do an'!$B$9,'Huong dan giao do an'!$B$10))</f>
        <v>Tối thiểu 3 actor; 8-10 use case; 6-8 bảng dữ liệu; 2 quy trình lõi; đăng nhập/RBAC; 1 dashboard; 1 báo cáo; &gt;=25 test case; triển khai bản demo.</v>
      </c>
      <c r="L1770" t="str">
        <f>'Huong dan giao do an'!$B$31</f>
        <v>Bắt buộc: Charter/PMP; SRS + scope/WBS; Gantt/baseline; effort-cost budget; RACI/timesheet; quality-test-defect; communication/minutes; risk register; procurement; change log; closure/lessons learned.</v>
      </c>
      <c r="M1770" t="str">
        <f>'Huong dan giao do an'!$B$33</f>
        <v>Tuần 1: 07.09–13.09.2026; Tuần 2: 14.09–20.09.2026; Tuần 3: 21.09–27.09.2026; Tuần 4: 28.09–04.10.2026; Tuần 5: 05.10–11.10.2026; Tuần 6: 12.10–18.10.2026; Tuần 7: 19.10–25.10.2026; Tuần 8: 26.10–01.11.2026.</v>
      </c>
      <c r="N17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0" s="17" t="str">
        <f t="shared" si="27"/>
        <v>Còn trống</v>
      </c>
    </row>
    <row r="1771" spans="1:16" x14ac:dyDescent="0.3">
      <c r="A1771">
        <v>1770</v>
      </c>
      <c r="B1771" t="s">
        <v>3917</v>
      </c>
      <c r="C1771" t="s">
        <v>4084</v>
      </c>
      <c r="D1771" t="s">
        <v>4085</v>
      </c>
      <c r="E1771" t="s">
        <v>26</v>
      </c>
      <c r="F1771" t="s">
        <v>3939</v>
      </c>
      <c r="G1771" t="s">
        <v>3955</v>
      </c>
      <c r="H1771" t="str">
        <f>'Huong dan giao do an'!$B$14</f>
        <v>5 SV (vai trò chính): 1 PM/Scrum Master kiêm Integration; 2 BA/PO; 3 UI-UX + Frontend; 4 Backend/API + DevOps; 5 Database + QA/Tester. Mỗi SV có nhiệm vụ phụ và minh chứng cá nhân.</v>
      </c>
      <c r="I1771" t="s">
        <v>22</v>
      </c>
      <c r="J1771" t="s">
        <v>3922</v>
      </c>
      <c r="K1771" t="str">
        <f>IF(I1771="Trung bình",'Huong dan giao do an'!$B$8,IF(I1771="Khá",'Huong dan giao do an'!$B$9,'Huong dan giao do an'!$B$10))</f>
        <v>Tối thiểu 4 actor; 10-14 use case; 8-12 bảng; 3 quy trình lõi; phân quyền chi tiết; 2 báo cáo; tích hợp 1 dịch vụ; &gt;=35 test case; CI/CD hoặc deploy cloud.</v>
      </c>
      <c r="L1771" t="str">
        <f>'Huong dan giao do an'!$B$31</f>
        <v>Bắt buộc: Charter/PMP; SRS + scope/WBS; Gantt/baseline; effort-cost budget; RACI/timesheet; quality-test-defect; communication/minutes; risk register; procurement; change log; closure/lessons learned.</v>
      </c>
      <c r="M1771" t="str">
        <f>'Huong dan giao do an'!$B$33</f>
        <v>Tuần 1: 07.09–13.09.2026; Tuần 2: 14.09–20.09.2026; Tuần 3: 21.09–27.09.2026; Tuần 4: 28.09–04.10.2026; Tuần 5: 05.10–11.10.2026; Tuần 6: 12.10–18.10.2026; Tuần 7: 19.10–25.10.2026; Tuần 8: 26.10–01.11.2026.</v>
      </c>
      <c r="N17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1" s="17" t="str">
        <f t="shared" si="27"/>
        <v>Còn trống</v>
      </c>
    </row>
    <row r="1772" spans="1:16" x14ac:dyDescent="0.3">
      <c r="A1772">
        <v>1771</v>
      </c>
      <c r="B1772" t="s">
        <v>3917</v>
      </c>
      <c r="C1772" t="s">
        <v>4086</v>
      </c>
      <c r="D1772" t="s">
        <v>4087</v>
      </c>
      <c r="E1772" t="s">
        <v>33</v>
      </c>
      <c r="F1772" t="s">
        <v>3920</v>
      </c>
      <c r="G1772" t="s">
        <v>3958</v>
      </c>
      <c r="H1772" t="str">
        <f>'Huong dan giao do an'!$B$14</f>
        <v>5 SV (vai trò chính): 1 PM/Scrum Master kiêm Integration; 2 BA/PO; 3 UI-UX + Frontend; 4 Backend/API + DevOps; 5 Database + QA/Tester. Mỗi SV có nhiệm vụ phụ và minh chứng cá nhân.</v>
      </c>
      <c r="I1772" t="s">
        <v>29</v>
      </c>
      <c r="J1772" t="s">
        <v>3927</v>
      </c>
      <c r="K1772" t="str">
        <f>IF(I1772="Trung bình",'Huong dan giao do an'!$B$8,IF(I1772="Khá",'Huong dan giao do an'!$B$9,'Huong dan giao do an'!$B$10))</f>
        <v>Tối thiểu 5 actor; 14-18 use case; 10-15 bảng; 4 quy trình; tích hợp ngoài/realtime hoặc xử lý nâng cao; 3 báo cáo; &gt;=45 test case; logging, backup và deploy.</v>
      </c>
      <c r="L1772" t="str">
        <f>'Huong dan giao do an'!$B$31</f>
        <v>Bắt buộc: Charter/PMP; SRS + scope/WBS; Gantt/baseline; effort-cost budget; RACI/timesheet; quality-test-defect; communication/minutes; risk register; procurement; change log; closure/lessons learned.</v>
      </c>
      <c r="M1772" t="str">
        <f>'Huong dan giao do an'!$B$33</f>
        <v>Tuần 1: 07.09–13.09.2026; Tuần 2: 14.09–20.09.2026; Tuần 3: 21.09–27.09.2026; Tuần 4: 28.09–04.10.2026; Tuần 5: 05.10–11.10.2026; Tuần 6: 12.10–18.10.2026; Tuần 7: 19.10–25.10.2026; Tuần 8: 26.10–01.11.2026.</v>
      </c>
      <c r="N17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2" s="17" t="str">
        <f t="shared" si="27"/>
        <v>Còn trống</v>
      </c>
    </row>
    <row r="1773" spans="1:16" x14ac:dyDescent="0.3">
      <c r="A1773">
        <v>1772</v>
      </c>
      <c r="B1773" t="s">
        <v>3917</v>
      </c>
      <c r="C1773" t="s">
        <v>4088</v>
      </c>
      <c r="D1773" t="s">
        <v>4089</v>
      </c>
      <c r="E1773" t="s">
        <v>40</v>
      </c>
      <c r="F1773" t="s">
        <v>3925</v>
      </c>
      <c r="G1773" t="s">
        <v>3961</v>
      </c>
      <c r="H1773" t="str">
        <f>'Huong dan giao do an'!$B$14</f>
        <v>5 SV (vai trò chính): 1 PM/Scrum Master kiêm Integration; 2 BA/PO; 3 UI-UX + Frontend; 4 Backend/API + DevOps; 5 Database + QA/Tester. Mỗi SV có nhiệm vụ phụ và minh chứng cá nhân.</v>
      </c>
      <c r="I1773" t="s">
        <v>36</v>
      </c>
      <c r="J1773" t="s">
        <v>3932</v>
      </c>
      <c r="K1773" t="str">
        <f>IF(I1773="Trung bình",'Huong dan giao do an'!$B$8,IF(I1773="Khá",'Huong dan giao do an'!$B$9,'Huong dan giao do an'!$B$10))</f>
        <v>Tối thiểu 3 actor; 8-10 use case; 6-8 bảng dữ liệu; 2 quy trình lõi; đăng nhập/RBAC; 1 dashboard; 1 báo cáo; &gt;=25 test case; triển khai bản demo.</v>
      </c>
      <c r="L1773" t="str">
        <f>'Huong dan giao do an'!$B$31</f>
        <v>Bắt buộc: Charter/PMP; SRS + scope/WBS; Gantt/baseline; effort-cost budget; RACI/timesheet; quality-test-defect; communication/minutes; risk register; procurement; change log; closure/lessons learned.</v>
      </c>
      <c r="M1773" t="str">
        <f>'Huong dan giao do an'!$B$33</f>
        <v>Tuần 1: 07.09–13.09.2026; Tuần 2: 14.09–20.09.2026; Tuần 3: 21.09–27.09.2026; Tuần 4: 28.09–04.10.2026; Tuần 5: 05.10–11.10.2026; Tuần 6: 12.10–18.10.2026; Tuần 7: 19.10–25.10.2026; Tuần 8: 26.10–01.11.2026.</v>
      </c>
      <c r="N17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3" s="17" t="str">
        <f t="shared" si="27"/>
        <v>Còn trống</v>
      </c>
    </row>
    <row r="1774" spans="1:16" x14ac:dyDescent="0.3">
      <c r="A1774">
        <v>1773</v>
      </c>
      <c r="B1774" t="s">
        <v>3917</v>
      </c>
      <c r="C1774" t="s">
        <v>4090</v>
      </c>
      <c r="D1774" t="s">
        <v>4091</v>
      </c>
      <c r="E1774" t="s">
        <v>45</v>
      </c>
      <c r="F1774" t="s">
        <v>3930</v>
      </c>
      <c r="G1774" t="s">
        <v>3964</v>
      </c>
      <c r="H1774" t="str">
        <f>'Huong dan giao do an'!$B$14</f>
        <v>5 SV (vai trò chính): 1 PM/Scrum Master kiêm Integration; 2 BA/PO; 3 UI-UX + Frontend; 4 Backend/API + DevOps; 5 Database + QA/Tester. Mỗi SV có nhiệm vụ phụ và minh chứng cá nhân.</v>
      </c>
      <c r="I1774" t="s">
        <v>22</v>
      </c>
      <c r="J1774" t="s">
        <v>3922</v>
      </c>
      <c r="K1774" t="str">
        <f>IF(I1774="Trung bình",'Huong dan giao do an'!$B$8,IF(I1774="Khá",'Huong dan giao do an'!$B$9,'Huong dan giao do an'!$B$10))</f>
        <v>Tối thiểu 4 actor; 10-14 use case; 8-12 bảng; 3 quy trình lõi; phân quyền chi tiết; 2 báo cáo; tích hợp 1 dịch vụ; &gt;=35 test case; CI/CD hoặc deploy cloud.</v>
      </c>
      <c r="L1774" t="str">
        <f>'Huong dan giao do an'!$B$31</f>
        <v>Bắt buộc: Charter/PMP; SRS + scope/WBS; Gantt/baseline; effort-cost budget; RACI/timesheet; quality-test-defect; communication/minutes; risk register; procurement; change log; closure/lessons learned.</v>
      </c>
      <c r="M1774" t="str">
        <f>'Huong dan giao do an'!$B$33</f>
        <v>Tuần 1: 07.09–13.09.2026; Tuần 2: 14.09–20.09.2026; Tuần 3: 21.09–27.09.2026; Tuần 4: 28.09–04.10.2026; Tuần 5: 05.10–11.10.2026; Tuần 6: 12.10–18.10.2026; Tuần 7: 19.10–25.10.2026; Tuần 8: 26.10–01.11.2026.</v>
      </c>
      <c r="N17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4" s="17" t="str">
        <f t="shared" si="27"/>
        <v>Còn trống</v>
      </c>
    </row>
    <row r="1775" spans="1:16" x14ac:dyDescent="0.3">
      <c r="A1775">
        <v>1774</v>
      </c>
      <c r="B1775" t="s">
        <v>3917</v>
      </c>
      <c r="C1775" t="s">
        <v>4092</v>
      </c>
      <c r="D1775" t="s">
        <v>4093</v>
      </c>
      <c r="E1775" t="s">
        <v>19</v>
      </c>
      <c r="F1775" t="s">
        <v>3935</v>
      </c>
      <c r="G1775" t="s">
        <v>3967</v>
      </c>
      <c r="H1775" t="str">
        <f>'Huong dan giao do an'!$B$14</f>
        <v>5 SV (vai trò chính): 1 PM/Scrum Master kiêm Integration; 2 BA/PO; 3 UI-UX + Frontend; 4 Backend/API + DevOps; 5 Database + QA/Tester. Mỗi SV có nhiệm vụ phụ và minh chứng cá nhân.</v>
      </c>
      <c r="I1775" t="s">
        <v>29</v>
      </c>
      <c r="J1775" t="s">
        <v>3927</v>
      </c>
      <c r="K1775" t="str">
        <f>IF(I1775="Trung bình",'Huong dan giao do an'!$B$8,IF(I1775="Khá",'Huong dan giao do an'!$B$9,'Huong dan giao do an'!$B$10))</f>
        <v>Tối thiểu 5 actor; 14-18 use case; 10-15 bảng; 4 quy trình; tích hợp ngoài/realtime hoặc xử lý nâng cao; 3 báo cáo; &gt;=45 test case; logging, backup và deploy.</v>
      </c>
      <c r="L1775" t="str">
        <f>'Huong dan giao do an'!$B$31</f>
        <v>Bắt buộc: Charter/PMP; SRS + scope/WBS; Gantt/baseline; effort-cost budget; RACI/timesheet; quality-test-defect; communication/minutes; risk register; procurement; change log; closure/lessons learned.</v>
      </c>
      <c r="M1775" t="str">
        <f>'Huong dan giao do an'!$B$33</f>
        <v>Tuần 1: 07.09–13.09.2026; Tuần 2: 14.09–20.09.2026; Tuần 3: 21.09–27.09.2026; Tuần 4: 28.09–04.10.2026; Tuần 5: 05.10–11.10.2026; Tuần 6: 12.10–18.10.2026; Tuần 7: 19.10–25.10.2026; Tuần 8: 26.10–01.11.2026.</v>
      </c>
      <c r="N17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5" s="17" t="str">
        <f t="shared" si="27"/>
        <v>Còn trống</v>
      </c>
    </row>
    <row r="1776" spans="1:16" x14ac:dyDescent="0.3">
      <c r="A1776">
        <v>1775</v>
      </c>
      <c r="B1776" t="s">
        <v>3917</v>
      </c>
      <c r="C1776" t="s">
        <v>4094</v>
      </c>
      <c r="D1776" t="s">
        <v>4095</v>
      </c>
      <c r="E1776" t="s">
        <v>26</v>
      </c>
      <c r="F1776" t="s">
        <v>3939</v>
      </c>
      <c r="G1776" t="s">
        <v>3970</v>
      </c>
      <c r="H1776" t="str">
        <f>'Huong dan giao do an'!$B$14</f>
        <v>5 SV (vai trò chính): 1 PM/Scrum Master kiêm Integration; 2 BA/PO; 3 UI-UX + Frontend; 4 Backend/API + DevOps; 5 Database + QA/Tester. Mỗi SV có nhiệm vụ phụ và minh chứng cá nhân.</v>
      </c>
      <c r="I1776" t="s">
        <v>36</v>
      </c>
      <c r="J1776" t="s">
        <v>3932</v>
      </c>
      <c r="K1776" t="str">
        <f>IF(I1776="Trung bình",'Huong dan giao do an'!$B$8,IF(I1776="Khá",'Huong dan giao do an'!$B$9,'Huong dan giao do an'!$B$10))</f>
        <v>Tối thiểu 3 actor; 8-10 use case; 6-8 bảng dữ liệu; 2 quy trình lõi; đăng nhập/RBAC; 1 dashboard; 1 báo cáo; &gt;=25 test case; triển khai bản demo.</v>
      </c>
      <c r="L1776" t="str">
        <f>'Huong dan giao do an'!$B$31</f>
        <v>Bắt buộc: Charter/PMP; SRS + scope/WBS; Gantt/baseline; effort-cost budget; RACI/timesheet; quality-test-defect; communication/minutes; risk register; procurement; change log; closure/lessons learned.</v>
      </c>
      <c r="M1776" t="str">
        <f>'Huong dan giao do an'!$B$33</f>
        <v>Tuần 1: 07.09–13.09.2026; Tuần 2: 14.09–20.09.2026; Tuần 3: 21.09–27.09.2026; Tuần 4: 28.09–04.10.2026; Tuần 5: 05.10–11.10.2026; Tuần 6: 12.10–18.10.2026; Tuần 7: 19.10–25.10.2026; Tuần 8: 26.10–01.11.2026.</v>
      </c>
      <c r="N17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6" s="17" t="str">
        <f t="shared" si="27"/>
        <v>Còn trống</v>
      </c>
    </row>
    <row r="1777" spans="1:16" x14ac:dyDescent="0.3">
      <c r="A1777">
        <v>1776</v>
      </c>
      <c r="B1777" t="s">
        <v>3917</v>
      </c>
      <c r="C1777" t="s">
        <v>4096</v>
      </c>
      <c r="D1777" t="s">
        <v>4097</v>
      </c>
      <c r="E1777" t="s">
        <v>33</v>
      </c>
      <c r="F1777" t="s">
        <v>3920</v>
      </c>
      <c r="G1777" t="s">
        <v>3973</v>
      </c>
      <c r="H1777" t="str">
        <f>'Huong dan giao do an'!$B$14</f>
        <v>5 SV (vai trò chính): 1 PM/Scrum Master kiêm Integration; 2 BA/PO; 3 UI-UX + Frontend; 4 Backend/API + DevOps; 5 Database + QA/Tester. Mỗi SV có nhiệm vụ phụ và minh chứng cá nhân.</v>
      </c>
      <c r="I1777" t="s">
        <v>22</v>
      </c>
      <c r="J1777" t="s">
        <v>3922</v>
      </c>
      <c r="K1777" t="str">
        <f>IF(I1777="Trung bình",'Huong dan giao do an'!$B$8,IF(I1777="Khá",'Huong dan giao do an'!$B$9,'Huong dan giao do an'!$B$10))</f>
        <v>Tối thiểu 4 actor; 10-14 use case; 8-12 bảng; 3 quy trình lõi; phân quyền chi tiết; 2 báo cáo; tích hợp 1 dịch vụ; &gt;=35 test case; CI/CD hoặc deploy cloud.</v>
      </c>
      <c r="L1777" t="str">
        <f>'Huong dan giao do an'!$B$31</f>
        <v>Bắt buộc: Charter/PMP; SRS + scope/WBS; Gantt/baseline; effort-cost budget; RACI/timesheet; quality-test-defect; communication/minutes; risk register; procurement; change log; closure/lessons learned.</v>
      </c>
      <c r="M1777" t="str">
        <f>'Huong dan giao do an'!$B$33</f>
        <v>Tuần 1: 07.09–13.09.2026; Tuần 2: 14.09–20.09.2026; Tuần 3: 21.09–27.09.2026; Tuần 4: 28.09–04.10.2026; Tuần 5: 05.10–11.10.2026; Tuần 6: 12.10–18.10.2026; Tuần 7: 19.10–25.10.2026; Tuần 8: 26.10–01.11.2026.</v>
      </c>
      <c r="N17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7" s="17" t="str">
        <f t="shared" si="27"/>
        <v>Còn trống</v>
      </c>
    </row>
    <row r="1778" spans="1:16" x14ac:dyDescent="0.3">
      <c r="A1778">
        <v>1777</v>
      </c>
      <c r="B1778" t="s">
        <v>3917</v>
      </c>
      <c r="C1778" t="s">
        <v>4098</v>
      </c>
      <c r="D1778" t="s">
        <v>4099</v>
      </c>
      <c r="E1778" t="s">
        <v>40</v>
      </c>
      <c r="F1778" t="s">
        <v>3925</v>
      </c>
      <c r="G1778" t="s">
        <v>3976</v>
      </c>
      <c r="H1778" t="str">
        <f>'Huong dan giao do an'!$B$14</f>
        <v>5 SV (vai trò chính): 1 PM/Scrum Master kiêm Integration; 2 BA/PO; 3 UI-UX + Frontend; 4 Backend/API + DevOps; 5 Database + QA/Tester. Mỗi SV có nhiệm vụ phụ và minh chứng cá nhân.</v>
      </c>
      <c r="I1778" t="s">
        <v>29</v>
      </c>
      <c r="J1778" t="s">
        <v>3927</v>
      </c>
      <c r="K1778" t="str">
        <f>IF(I1778="Trung bình",'Huong dan giao do an'!$B$8,IF(I1778="Khá",'Huong dan giao do an'!$B$9,'Huong dan giao do an'!$B$10))</f>
        <v>Tối thiểu 5 actor; 14-18 use case; 10-15 bảng; 4 quy trình; tích hợp ngoài/realtime hoặc xử lý nâng cao; 3 báo cáo; &gt;=45 test case; logging, backup và deploy.</v>
      </c>
      <c r="L1778" t="str">
        <f>'Huong dan giao do an'!$B$31</f>
        <v>Bắt buộc: Charter/PMP; SRS + scope/WBS; Gantt/baseline; effort-cost budget; RACI/timesheet; quality-test-defect; communication/minutes; risk register; procurement; change log; closure/lessons learned.</v>
      </c>
      <c r="M1778" t="str">
        <f>'Huong dan giao do an'!$B$33</f>
        <v>Tuần 1: 07.09–13.09.2026; Tuần 2: 14.09–20.09.2026; Tuần 3: 21.09–27.09.2026; Tuần 4: 28.09–04.10.2026; Tuần 5: 05.10–11.10.2026; Tuần 6: 12.10–18.10.2026; Tuần 7: 19.10–25.10.2026; Tuần 8: 26.10–01.11.2026.</v>
      </c>
      <c r="N17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8" s="17" t="str">
        <f t="shared" si="27"/>
        <v>Còn trống</v>
      </c>
    </row>
    <row r="1779" spans="1:16" x14ac:dyDescent="0.3">
      <c r="A1779">
        <v>1778</v>
      </c>
      <c r="B1779" t="s">
        <v>3917</v>
      </c>
      <c r="C1779" t="s">
        <v>4100</v>
      </c>
      <c r="D1779" t="s">
        <v>4101</v>
      </c>
      <c r="E1779" t="s">
        <v>45</v>
      </c>
      <c r="F1779" t="s">
        <v>3930</v>
      </c>
      <c r="G1779" t="s">
        <v>3979</v>
      </c>
      <c r="H1779" t="str">
        <f>'Huong dan giao do an'!$B$14</f>
        <v>5 SV (vai trò chính): 1 PM/Scrum Master kiêm Integration; 2 BA/PO; 3 UI-UX + Frontend; 4 Backend/API + DevOps; 5 Database + QA/Tester. Mỗi SV có nhiệm vụ phụ và minh chứng cá nhân.</v>
      </c>
      <c r="I1779" t="s">
        <v>36</v>
      </c>
      <c r="J1779" t="s">
        <v>3932</v>
      </c>
      <c r="K1779" t="str">
        <f>IF(I1779="Trung bình",'Huong dan giao do an'!$B$8,IF(I1779="Khá",'Huong dan giao do an'!$B$9,'Huong dan giao do an'!$B$10))</f>
        <v>Tối thiểu 3 actor; 8-10 use case; 6-8 bảng dữ liệu; 2 quy trình lõi; đăng nhập/RBAC; 1 dashboard; 1 báo cáo; &gt;=25 test case; triển khai bản demo.</v>
      </c>
      <c r="L1779" t="str">
        <f>'Huong dan giao do an'!$B$31</f>
        <v>Bắt buộc: Charter/PMP; SRS + scope/WBS; Gantt/baseline; effort-cost budget; RACI/timesheet; quality-test-defect; communication/minutes; risk register; procurement; change log; closure/lessons learned.</v>
      </c>
      <c r="M1779" t="str">
        <f>'Huong dan giao do an'!$B$33</f>
        <v>Tuần 1: 07.09–13.09.2026; Tuần 2: 14.09–20.09.2026; Tuần 3: 21.09–27.09.2026; Tuần 4: 28.09–04.10.2026; Tuần 5: 05.10–11.10.2026; Tuần 6: 12.10–18.10.2026; Tuần 7: 19.10–25.10.2026; Tuần 8: 26.10–01.11.2026.</v>
      </c>
      <c r="N17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79" s="17" t="str">
        <f t="shared" si="27"/>
        <v>Còn trống</v>
      </c>
    </row>
    <row r="1780" spans="1:16" x14ac:dyDescent="0.3">
      <c r="A1780">
        <v>1779</v>
      </c>
      <c r="B1780" t="s">
        <v>3917</v>
      </c>
      <c r="C1780" t="s">
        <v>4102</v>
      </c>
      <c r="D1780" t="s">
        <v>4103</v>
      </c>
      <c r="E1780" t="s">
        <v>19</v>
      </c>
      <c r="F1780" t="s">
        <v>3935</v>
      </c>
      <c r="G1780" t="s">
        <v>3982</v>
      </c>
      <c r="H1780" t="str">
        <f>'Huong dan giao do an'!$B$14</f>
        <v>5 SV (vai trò chính): 1 PM/Scrum Master kiêm Integration; 2 BA/PO; 3 UI-UX + Frontend; 4 Backend/API + DevOps; 5 Database + QA/Tester. Mỗi SV có nhiệm vụ phụ và minh chứng cá nhân.</v>
      </c>
      <c r="I1780" t="s">
        <v>22</v>
      </c>
      <c r="J1780" t="s">
        <v>3922</v>
      </c>
      <c r="K1780" t="str">
        <f>IF(I1780="Trung bình",'Huong dan giao do an'!$B$8,IF(I1780="Khá",'Huong dan giao do an'!$B$9,'Huong dan giao do an'!$B$10))</f>
        <v>Tối thiểu 4 actor; 10-14 use case; 8-12 bảng; 3 quy trình lõi; phân quyền chi tiết; 2 báo cáo; tích hợp 1 dịch vụ; &gt;=35 test case; CI/CD hoặc deploy cloud.</v>
      </c>
      <c r="L1780" t="str">
        <f>'Huong dan giao do an'!$B$31</f>
        <v>Bắt buộc: Charter/PMP; SRS + scope/WBS; Gantt/baseline; effort-cost budget; RACI/timesheet; quality-test-defect; communication/minutes; risk register; procurement; change log; closure/lessons learned.</v>
      </c>
      <c r="M1780" t="str">
        <f>'Huong dan giao do an'!$B$33</f>
        <v>Tuần 1: 07.09–13.09.2026; Tuần 2: 14.09–20.09.2026; Tuần 3: 21.09–27.09.2026; Tuần 4: 28.09–04.10.2026; Tuần 5: 05.10–11.10.2026; Tuần 6: 12.10–18.10.2026; Tuần 7: 19.10–25.10.2026; Tuần 8: 26.10–01.11.2026.</v>
      </c>
      <c r="N17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0" s="17" t="str">
        <f t="shared" si="27"/>
        <v>Còn trống</v>
      </c>
    </row>
    <row r="1781" spans="1:16" x14ac:dyDescent="0.3">
      <c r="A1781">
        <v>1780</v>
      </c>
      <c r="B1781" t="s">
        <v>3917</v>
      </c>
      <c r="C1781" t="s">
        <v>4104</v>
      </c>
      <c r="D1781" t="s">
        <v>4105</v>
      </c>
      <c r="E1781" t="s">
        <v>26</v>
      </c>
      <c r="F1781" t="s">
        <v>3939</v>
      </c>
      <c r="G1781" t="s">
        <v>3985</v>
      </c>
      <c r="H1781" t="str">
        <f>'Huong dan giao do an'!$B$14</f>
        <v>5 SV (vai trò chính): 1 PM/Scrum Master kiêm Integration; 2 BA/PO; 3 UI-UX + Frontend; 4 Backend/API + DevOps; 5 Database + QA/Tester. Mỗi SV có nhiệm vụ phụ và minh chứng cá nhân.</v>
      </c>
      <c r="I1781" t="s">
        <v>29</v>
      </c>
      <c r="J1781" t="s">
        <v>3927</v>
      </c>
      <c r="K1781" t="str">
        <f>IF(I1781="Trung bình",'Huong dan giao do an'!$B$8,IF(I1781="Khá",'Huong dan giao do an'!$B$9,'Huong dan giao do an'!$B$10))</f>
        <v>Tối thiểu 5 actor; 14-18 use case; 10-15 bảng; 4 quy trình; tích hợp ngoài/realtime hoặc xử lý nâng cao; 3 báo cáo; &gt;=45 test case; logging, backup và deploy.</v>
      </c>
      <c r="L1781" t="str">
        <f>'Huong dan giao do an'!$B$31</f>
        <v>Bắt buộc: Charter/PMP; SRS + scope/WBS; Gantt/baseline; effort-cost budget; RACI/timesheet; quality-test-defect; communication/minutes; risk register; procurement; change log; closure/lessons learned.</v>
      </c>
      <c r="M1781" t="str">
        <f>'Huong dan giao do an'!$B$33</f>
        <v>Tuần 1: 07.09–13.09.2026; Tuần 2: 14.09–20.09.2026; Tuần 3: 21.09–27.09.2026; Tuần 4: 28.09–04.10.2026; Tuần 5: 05.10–11.10.2026; Tuần 6: 12.10–18.10.2026; Tuần 7: 19.10–25.10.2026; Tuần 8: 26.10–01.11.2026.</v>
      </c>
      <c r="N17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1" s="17" t="str">
        <f t="shared" si="27"/>
        <v>Còn trống</v>
      </c>
    </row>
    <row r="1782" spans="1:16" x14ac:dyDescent="0.3">
      <c r="A1782">
        <v>1781</v>
      </c>
      <c r="B1782" t="s">
        <v>3917</v>
      </c>
      <c r="C1782" t="s">
        <v>4106</v>
      </c>
      <c r="D1782" t="s">
        <v>4107</v>
      </c>
      <c r="E1782" t="s">
        <v>33</v>
      </c>
      <c r="F1782" t="s">
        <v>3920</v>
      </c>
      <c r="G1782" t="s">
        <v>3921</v>
      </c>
      <c r="H1782" t="str">
        <f>'Huong dan giao do an'!$B$14</f>
        <v>5 SV (vai trò chính): 1 PM/Scrum Master kiêm Integration; 2 BA/PO; 3 UI-UX + Frontend; 4 Backend/API + DevOps; 5 Database + QA/Tester. Mỗi SV có nhiệm vụ phụ và minh chứng cá nhân.</v>
      </c>
      <c r="I1782" t="s">
        <v>22</v>
      </c>
      <c r="J1782" t="s">
        <v>3922</v>
      </c>
      <c r="K1782" t="str">
        <f>IF(I1782="Trung bình",'Huong dan giao do an'!$B$8,IF(I1782="Khá",'Huong dan giao do an'!$B$9,'Huong dan giao do an'!$B$10))</f>
        <v>Tối thiểu 4 actor; 10-14 use case; 8-12 bảng; 3 quy trình lõi; phân quyền chi tiết; 2 báo cáo; tích hợp 1 dịch vụ; &gt;=35 test case; CI/CD hoặc deploy cloud.</v>
      </c>
      <c r="L1782" t="str">
        <f>'Huong dan giao do an'!$B$31</f>
        <v>Bắt buộc: Charter/PMP; SRS + scope/WBS; Gantt/baseline; effort-cost budget; RACI/timesheet; quality-test-defect; communication/minutes; risk register; procurement; change log; closure/lessons learned.</v>
      </c>
      <c r="M1782" t="str">
        <f>'Huong dan giao do an'!$B$33</f>
        <v>Tuần 1: 07.09–13.09.2026; Tuần 2: 14.09–20.09.2026; Tuần 3: 21.09–27.09.2026; Tuần 4: 28.09–04.10.2026; Tuần 5: 05.10–11.10.2026; Tuần 6: 12.10–18.10.2026; Tuần 7: 19.10–25.10.2026; Tuần 8: 26.10–01.11.2026.</v>
      </c>
      <c r="N17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2" s="17" t="str">
        <f t="shared" si="27"/>
        <v>Còn trống</v>
      </c>
    </row>
    <row r="1783" spans="1:16" x14ac:dyDescent="0.3">
      <c r="A1783">
        <v>1782</v>
      </c>
      <c r="B1783" t="s">
        <v>3917</v>
      </c>
      <c r="C1783" t="s">
        <v>4108</v>
      </c>
      <c r="D1783" t="s">
        <v>4109</v>
      </c>
      <c r="E1783" t="s">
        <v>40</v>
      </c>
      <c r="F1783" t="s">
        <v>3925</v>
      </c>
      <c r="G1783" t="s">
        <v>3926</v>
      </c>
      <c r="H1783" t="str">
        <f>'Huong dan giao do an'!$B$14</f>
        <v>5 SV (vai trò chính): 1 PM/Scrum Master kiêm Integration; 2 BA/PO; 3 UI-UX + Frontend; 4 Backend/API + DevOps; 5 Database + QA/Tester. Mỗi SV có nhiệm vụ phụ và minh chứng cá nhân.</v>
      </c>
      <c r="I1783" t="s">
        <v>29</v>
      </c>
      <c r="J1783" t="s">
        <v>3927</v>
      </c>
      <c r="K1783" t="str">
        <f>IF(I1783="Trung bình",'Huong dan giao do an'!$B$8,IF(I1783="Khá",'Huong dan giao do an'!$B$9,'Huong dan giao do an'!$B$10))</f>
        <v>Tối thiểu 5 actor; 14-18 use case; 10-15 bảng; 4 quy trình; tích hợp ngoài/realtime hoặc xử lý nâng cao; 3 báo cáo; &gt;=45 test case; logging, backup và deploy.</v>
      </c>
      <c r="L1783" t="str">
        <f>'Huong dan giao do an'!$B$31</f>
        <v>Bắt buộc: Charter/PMP; SRS + scope/WBS; Gantt/baseline; effort-cost budget; RACI/timesheet; quality-test-defect; communication/minutes; risk register; procurement; change log; closure/lessons learned.</v>
      </c>
      <c r="M1783" t="str">
        <f>'Huong dan giao do an'!$B$33</f>
        <v>Tuần 1: 07.09–13.09.2026; Tuần 2: 14.09–20.09.2026; Tuần 3: 21.09–27.09.2026; Tuần 4: 28.09–04.10.2026; Tuần 5: 05.10–11.10.2026; Tuần 6: 12.10–18.10.2026; Tuần 7: 19.10–25.10.2026; Tuần 8: 26.10–01.11.2026.</v>
      </c>
      <c r="N17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3" s="17" t="str">
        <f t="shared" si="27"/>
        <v>Còn trống</v>
      </c>
    </row>
    <row r="1784" spans="1:16" x14ac:dyDescent="0.3">
      <c r="A1784">
        <v>1783</v>
      </c>
      <c r="B1784" t="s">
        <v>3917</v>
      </c>
      <c r="C1784" t="s">
        <v>4110</v>
      </c>
      <c r="D1784" t="s">
        <v>4111</v>
      </c>
      <c r="E1784" t="s">
        <v>45</v>
      </c>
      <c r="F1784" t="s">
        <v>3930</v>
      </c>
      <c r="G1784" t="s">
        <v>3931</v>
      </c>
      <c r="H1784" t="str">
        <f>'Huong dan giao do an'!$B$14</f>
        <v>5 SV (vai trò chính): 1 PM/Scrum Master kiêm Integration; 2 BA/PO; 3 UI-UX + Frontend; 4 Backend/API + DevOps; 5 Database + QA/Tester. Mỗi SV có nhiệm vụ phụ và minh chứng cá nhân.</v>
      </c>
      <c r="I1784" t="s">
        <v>36</v>
      </c>
      <c r="J1784" t="s">
        <v>3932</v>
      </c>
      <c r="K1784" t="str">
        <f>IF(I1784="Trung bình",'Huong dan giao do an'!$B$8,IF(I1784="Khá",'Huong dan giao do an'!$B$9,'Huong dan giao do an'!$B$10))</f>
        <v>Tối thiểu 3 actor; 8-10 use case; 6-8 bảng dữ liệu; 2 quy trình lõi; đăng nhập/RBAC; 1 dashboard; 1 báo cáo; &gt;=25 test case; triển khai bản demo.</v>
      </c>
      <c r="L1784" t="str">
        <f>'Huong dan giao do an'!$B$31</f>
        <v>Bắt buộc: Charter/PMP; SRS + scope/WBS; Gantt/baseline; effort-cost budget; RACI/timesheet; quality-test-defect; communication/minutes; risk register; procurement; change log; closure/lessons learned.</v>
      </c>
      <c r="M1784" t="str">
        <f>'Huong dan giao do an'!$B$33</f>
        <v>Tuần 1: 07.09–13.09.2026; Tuần 2: 14.09–20.09.2026; Tuần 3: 21.09–27.09.2026; Tuần 4: 28.09–04.10.2026; Tuần 5: 05.10–11.10.2026; Tuần 6: 12.10–18.10.2026; Tuần 7: 19.10–25.10.2026; Tuần 8: 26.10–01.11.2026.</v>
      </c>
      <c r="N17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4" s="17" t="str">
        <f t="shared" si="27"/>
        <v>Còn trống</v>
      </c>
    </row>
    <row r="1785" spans="1:16" x14ac:dyDescent="0.3">
      <c r="A1785">
        <v>1784</v>
      </c>
      <c r="B1785" t="s">
        <v>3917</v>
      </c>
      <c r="C1785" t="s">
        <v>4112</v>
      </c>
      <c r="D1785" t="s">
        <v>4113</v>
      </c>
      <c r="E1785" t="s">
        <v>19</v>
      </c>
      <c r="F1785" t="s">
        <v>3935</v>
      </c>
      <c r="G1785" t="s">
        <v>3936</v>
      </c>
      <c r="H1785" t="str">
        <f>'Huong dan giao do an'!$B$14</f>
        <v>5 SV (vai trò chính): 1 PM/Scrum Master kiêm Integration; 2 BA/PO; 3 UI-UX + Frontend; 4 Backend/API + DevOps; 5 Database + QA/Tester. Mỗi SV có nhiệm vụ phụ và minh chứng cá nhân.</v>
      </c>
      <c r="I1785" t="s">
        <v>22</v>
      </c>
      <c r="J1785" t="s">
        <v>3922</v>
      </c>
      <c r="K1785" t="str">
        <f>IF(I1785="Trung bình",'Huong dan giao do an'!$B$8,IF(I1785="Khá",'Huong dan giao do an'!$B$9,'Huong dan giao do an'!$B$10))</f>
        <v>Tối thiểu 4 actor; 10-14 use case; 8-12 bảng; 3 quy trình lõi; phân quyền chi tiết; 2 báo cáo; tích hợp 1 dịch vụ; &gt;=35 test case; CI/CD hoặc deploy cloud.</v>
      </c>
      <c r="L1785" t="str">
        <f>'Huong dan giao do an'!$B$31</f>
        <v>Bắt buộc: Charter/PMP; SRS + scope/WBS; Gantt/baseline; effort-cost budget; RACI/timesheet; quality-test-defect; communication/minutes; risk register; procurement; change log; closure/lessons learned.</v>
      </c>
      <c r="M1785" t="str">
        <f>'Huong dan giao do an'!$B$33</f>
        <v>Tuần 1: 07.09–13.09.2026; Tuần 2: 14.09–20.09.2026; Tuần 3: 21.09–27.09.2026; Tuần 4: 28.09–04.10.2026; Tuần 5: 05.10–11.10.2026; Tuần 6: 12.10–18.10.2026; Tuần 7: 19.10–25.10.2026; Tuần 8: 26.10–01.11.2026.</v>
      </c>
      <c r="N17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5" s="17" t="str">
        <f t="shared" si="27"/>
        <v>Còn trống</v>
      </c>
    </row>
    <row r="1786" spans="1:16" x14ac:dyDescent="0.3">
      <c r="A1786">
        <v>1785</v>
      </c>
      <c r="B1786" t="s">
        <v>3917</v>
      </c>
      <c r="C1786" t="s">
        <v>4114</v>
      </c>
      <c r="D1786" t="s">
        <v>4115</v>
      </c>
      <c r="E1786" t="s">
        <v>26</v>
      </c>
      <c r="F1786" t="s">
        <v>3939</v>
      </c>
      <c r="G1786" t="s">
        <v>3940</v>
      </c>
      <c r="H1786" t="str">
        <f>'Huong dan giao do an'!$B$14</f>
        <v>5 SV (vai trò chính): 1 PM/Scrum Master kiêm Integration; 2 BA/PO; 3 UI-UX + Frontend; 4 Backend/API + DevOps; 5 Database + QA/Tester. Mỗi SV có nhiệm vụ phụ và minh chứng cá nhân.</v>
      </c>
      <c r="I1786" t="s">
        <v>29</v>
      </c>
      <c r="J1786" t="s">
        <v>3927</v>
      </c>
      <c r="K1786" t="str">
        <f>IF(I1786="Trung bình",'Huong dan giao do an'!$B$8,IF(I1786="Khá",'Huong dan giao do an'!$B$9,'Huong dan giao do an'!$B$10))</f>
        <v>Tối thiểu 5 actor; 14-18 use case; 10-15 bảng; 4 quy trình; tích hợp ngoài/realtime hoặc xử lý nâng cao; 3 báo cáo; &gt;=45 test case; logging, backup và deploy.</v>
      </c>
      <c r="L1786" t="str">
        <f>'Huong dan giao do an'!$B$31</f>
        <v>Bắt buộc: Charter/PMP; SRS + scope/WBS; Gantt/baseline; effort-cost budget; RACI/timesheet; quality-test-defect; communication/minutes; risk register; procurement; change log; closure/lessons learned.</v>
      </c>
      <c r="M1786" t="str">
        <f>'Huong dan giao do an'!$B$33</f>
        <v>Tuần 1: 07.09–13.09.2026; Tuần 2: 14.09–20.09.2026; Tuần 3: 21.09–27.09.2026; Tuần 4: 28.09–04.10.2026; Tuần 5: 05.10–11.10.2026; Tuần 6: 12.10–18.10.2026; Tuần 7: 19.10–25.10.2026; Tuần 8: 26.10–01.11.2026.</v>
      </c>
      <c r="N17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6" s="17" t="str">
        <f t="shared" si="27"/>
        <v>Còn trống</v>
      </c>
    </row>
    <row r="1787" spans="1:16" x14ac:dyDescent="0.3">
      <c r="A1787">
        <v>1786</v>
      </c>
      <c r="B1787" t="s">
        <v>3917</v>
      </c>
      <c r="C1787" t="s">
        <v>4116</v>
      </c>
      <c r="D1787" t="s">
        <v>4117</v>
      </c>
      <c r="E1787" t="s">
        <v>33</v>
      </c>
      <c r="F1787" t="s">
        <v>3920</v>
      </c>
      <c r="G1787" t="s">
        <v>3943</v>
      </c>
      <c r="H1787" t="str">
        <f>'Huong dan giao do an'!$B$14</f>
        <v>5 SV (vai trò chính): 1 PM/Scrum Master kiêm Integration; 2 BA/PO; 3 UI-UX + Frontend; 4 Backend/API + DevOps; 5 Database + QA/Tester. Mỗi SV có nhiệm vụ phụ và minh chứng cá nhân.</v>
      </c>
      <c r="I1787" t="s">
        <v>36</v>
      </c>
      <c r="J1787" t="s">
        <v>3932</v>
      </c>
      <c r="K1787" t="str">
        <f>IF(I1787="Trung bình",'Huong dan giao do an'!$B$8,IF(I1787="Khá",'Huong dan giao do an'!$B$9,'Huong dan giao do an'!$B$10))</f>
        <v>Tối thiểu 3 actor; 8-10 use case; 6-8 bảng dữ liệu; 2 quy trình lõi; đăng nhập/RBAC; 1 dashboard; 1 báo cáo; &gt;=25 test case; triển khai bản demo.</v>
      </c>
      <c r="L1787" t="str">
        <f>'Huong dan giao do an'!$B$31</f>
        <v>Bắt buộc: Charter/PMP; SRS + scope/WBS; Gantt/baseline; effort-cost budget; RACI/timesheet; quality-test-defect; communication/minutes; risk register; procurement; change log; closure/lessons learned.</v>
      </c>
      <c r="M1787" t="str">
        <f>'Huong dan giao do an'!$B$33</f>
        <v>Tuần 1: 07.09–13.09.2026; Tuần 2: 14.09–20.09.2026; Tuần 3: 21.09–27.09.2026; Tuần 4: 28.09–04.10.2026; Tuần 5: 05.10–11.10.2026; Tuần 6: 12.10–18.10.2026; Tuần 7: 19.10–25.10.2026; Tuần 8: 26.10–01.11.2026.</v>
      </c>
      <c r="N17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7" s="17" t="str">
        <f t="shared" si="27"/>
        <v>Còn trống</v>
      </c>
    </row>
    <row r="1788" spans="1:16" x14ac:dyDescent="0.3">
      <c r="A1788">
        <v>1787</v>
      </c>
      <c r="B1788" t="s">
        <v>3917</v>
      </c>
      <c r="C1788" t="s">
        <v>4118</v>
      </c>
      <c r="D1788" t="s">
        <v>4119</v>
      </c>
      <c r="E1788" t="s">
        <v>40</v>
      </c>
      <c r="F1788" t="s">
        <v>3925</v>
      </c>
      <c r="G1788" t="s">
        <v>3946</v>
      </c>
      <c r="H1788" t="str">
        <f>'Huong dan giao do an'!$B$14</f>
        <v>5 SV (vai trò chính): 1 PM/Scrum Master kiêm Integration; 2 BA/PO; 3 UI-UX + Frontend; 4 Backend/API + DevOps; 5 Database + QA/Tester. Mỗi SV có nhiệm vụ phụ và minh chứng cá nhân.</v>
      </c>
      <c r="I1788" t="s">
        <v>22</v>
      </c>
      <c r="J1788" t="s">
        <v>3922</v>
      </c>
      <c r="K1788" t="str">
        <f>IF(I1788="Trung bình",'Huong dan giao do an'!$B$8,IF(I1788="Khá",'Huong dan giao do an'!$B$9,'Huong dan giao do an'!$B$10))</f>
        <v>Tối thiểu 4 actor; 10-14 use case; 8-12 bảng; 3 quy trình lõi; phân quyền chi tiết; 2 báo cáo; tích hợp 1 dịch vụ; &gt;=35 test case; CI/CD hoặc deploy cloud.</v>
      </c>
      <c r="L1788" t="str">
        <f>'Huong dan giao do an'!$B$31</f>
        <v>Bắt buộc: Charter/PMP; SRS + scope/WBS; Gantt/baseline; effort-cost budget; RACI/timesheet; quality-test-defect; communication/minutes; risk register; procurement; change log; closure/lessons learned.</v>
      </c>
      <c r="M1788" t="str">
        <f>'Huong dan giao do an'!$B$33</f>
        <v>Tuần 1: 07.09–13.09.2026; Tuần 2: 14.09–20.09.2026; Tuần 3: 21.09–27.09.2026; Tuần 4: 28.09–04.10.2026; Tuần 5: 05.10–11.10.2026; Tuần 6: 12.10–18.10.2026; Tuần 7: 19.10–25.10.2026; Tuần 8: 26.10–01.11.2026.</v>
      </c>
      <c r="N17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8" s="17" t="str">
        <f t="shared" si="27"/>
        <v>Còn trống</v>
      </c>
    </row>
    <row r="1789" spans="1:16" x14ac:dyDescent="0.3">
      <c r="A1789">
        <v>1788</v>
      </c>
      <c r="B1789" t="s">
        <v>3917</v>
      </c>
      <c r="C1789" t="s">
        <v>4120</v>
      </c>
      <c r="D1789" t="s">
        <v>4121</v>
      </c>
      <c r="E1789" t="s">
        <v>45</v>
      </c>
      <c r="F1789" t="s">
        <v>3930</v>
      </c>
      <c r="G1789" t="s">
        <v>3949</v>
      </c>
      <c r="H1789" t="str">
        <f>'Huong dan giao do an'!$B$14</f>
        <v>5 SV (vai trò chính): 1 PM/Scrum Master kiêm Integration; 2 BA/PO; 3 UI-UX + Frontend; 4 Backend/API + DevOps; 5 Database + QA/Tester. Mỗi SV có nhiệm vụ phụ và minh chứng cá nhân.</v>
      </c>
      <c r="I1789" t="s">
        <v>29</v>
      </c>
      <c r="J1789" t="s">
        <v>3927</v>
      </c>
      <c r="K1789" t="str">
        <f>IF(I1789="Trung bình",'Huong dan giao do an'!$B$8,IF(I1789="Khá",'Huong dan giao do an'!$B$9,'Huong dan giao do an'!$B$10))</f>
        <v>Tối thiểu 5 actor; 14-18 use case; 10-15 bảng; 4 quy trình; tích hợp ngoài/realtime hoặc xử lý nâng cao; 3 báo cáo; &gt;=45 test case; logging, backup và deploy.</v>
      </c>
      <c r="L1789" t="str">
        <f>'Huong dan giao do an'!$B$31</f>
        <v>Bắt buộc: Charter/PMP; SRS + scope/WBS; Gantt/baseline; effort-cost budget; RACI/timesheet; quality-test-defect; communication/minutes; risk register; procurement; change log; closure/lessons learned.</v>
      </c>
      <c r="M1789" t="str">
        <f>'Huong dan giao do an'!$B$33</f>
        <v>Tuần 1: 07.09–13.09.2026; Tuần 2: 14.09–20.09.2026; Tuần 3: 21.09–27.09.2026; Tuần 4: 28.09–04.10.2026; Tuần 5: 05.10–11.10.2026; Tuần 6: 12.10–18.10.2026; Tuần 7: 19.10–25.10.2026; Tuần 8: 26.10–01.11.2026.</v>
      </c>
      <c r="N17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89" s="17" t="str">
        <f t="shared" si="27"/>
        <v>Còn trống</v>
      </c>
    </row>
    <row r="1790" spans="1:16" x14ac:dyDescent="0.3">
      <c r="A1790">
        <v>1789</v>
      </c>
      <c r="B1790" t="s">
        <v>3917</v>
      </c>
      <c r="C1790" t="s">
        <v>4122</v>
      </c>
      <c r="D1790" t="s">
        <v>4123</v>
      </c>
      <c r="E1790" t="s">
        <v>19</v>
      </c>
      <c r="F1790" t="s">
        <v>3935</v>
      </c>
      <c r="G1790" t="s">
        <v>3952</v>
      </c>
      <c r="H1790" t="str">
        <f>'Huong dan giao do an'!$B$14</f>
        <v>5 SV (vai trò chính): 1 PM/Scrum Master kiêm Integration; 2 BA/PO; 3 UI-UX + Frontend; 4 Backend/API + DevOps; 5 Database + QA/Tester. Mỗi SV có nhiệm vụ phụ và minh chứng cá nhân.</v>
      </c>
      <c r="I1790" t="s">
        <v>36</v>
      </c>
      <c r="J1790" t="s">
        <v>3932</v>
      </c>
      <c r="K1790" t="str">
        <f>IF(I1790="Trung bình",'Huong dan giao do an'!$B$8,IF(I1790="Khá",'Huong dan giao do an'!$B$9,'Huong dan giao do an'!$B$10))</f>
        <v>Tối thiểu 3 actor; 8-10 use case; 6-8 bảng dữ liệu; 2 quy trình lõi; đăng nhập/RBAC; 1 dashboard; 1 báo cáo; &gt;=25 test case; triển khai bản demo.</v>
      </c>
      <c r="L1790" t="str">
        <f>'Huong dan giao do an'!$B$31</f>
        <v>Bắt buộc: Charter/PMP; SRS + scope/WBS; Gantt/baseline; effort-cost budget; RACI/timesheet; quality-test-defect; communication/minutes; risk register; procurement; change log; closure/lessons learned.</v>
      </c>
      <c r="M1790" t="str">
        <f>'Huong dan giao do an'!$B$33</f>
        <v>Tuần 1: 07.09–13.09.2026; Tuần 2: 14.09–20.09.2026; Tuần 3: 21.09–27.09.2026; Tuần 4: 28.09–04.10.2026; Tuần 5: 05.10–11.10.2026; Tuần 6: 12.10–18.10.2026; Tuần 7: 19.10–25.10.2026; Tuần 8: 26.10–01.11.2026.</v>
      </c>
      <c r="N17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0" s="17" t="str">
        <f t="shared" si="27"/>
        <v>Còn trống</v>
      </c>
    </row>
    <row r="1791" spans="1:16" x14ac:dyDescent="0.3">
      <c r="A1791">
        <v>1790</v>
      </c>
      <c r="B1791" t="s">
        <v>3917</v>
      </c>
      <c r="C1791" t="s">
        <v>4124</v>
      </c>
      <c r="D1791" t="s">
        <v>4125</v>
      </c>
      <c r="E1791" t="s">
        <v>26</v>
      </c>
      <c r="F1791" t="s">
        <v>3939</v>
      </c>
      <c r="G1791" t="s">
        <v>3955</v>
      </c>
      <c r="H1791" t="str">
        <f>'Huong dan giao do an'!$B$14</f>
        <v>5 SV (vai trò chính): 1 PM/Scrum Master kiêm Integration; 2 BA/PO; 3 UI-UX + Frontend; 4 Backend/API + DevOps; 5 Database + QA/Tester. Mỗi SV có nhiệm vụ phụ và minh chứng cá nhân.</v>
      </c>
      <c r="I1791" t="s">
        <v>22</v>
      </c>
      <c r="J1791" t="s">
        <v>3922</v>
      </c>
      <c r="K1791" t="str">
        <f>IF(I1791="Trung bình",'Huong dan giao do an'!$B$8,IF(I1791="Khá",'Huong dan giao do an'!$B$9,'Huong dan giao do an'!$B$10))</f>
        <v>Tối thiểu 4 actor; 10-14 use case; 8-12 bảng; 3 quy trình lõi; phân quyền chi tiết; 2 báo cáo; tích hợp 1 dịch vụ; &gt;=35 test case; CI/CD hoặc deploy cloud.</v>
      </c>
      <c r="L1791" t="str">
        <f>'Huong dan giao do an'!$B$31</f>
        <v>Bắt buộc: Charter/PMP; SRS + scope/WBS; Gantt/baseline; effort-cost budget; RACI/timesheet; quality-test-defect; communication/minutes; risk register; procurement; change log; closure/lessons learned.</v>
      </c>
      <c r="M1791" t="str">
        <f>'Huong dan giao do an'!$B$33</f>
        <v>Tuần 1: 07.09–13.09.2026; Tuần 2: 14.09–20.09.2026; Tuần 3: 21.09–27.09.2026; Tuần 4: 28.09–04.10.2026; Tuần 5: 05.10–11.10.2026; Tuần 6: 12.10–18.10.2026; Tuần 7: 19.10–25.10.2026; Tuần 8: 26.10–01.11.2026.</v>
      </c>
      <c r="N17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1" s="17" t="str">
        <f t="shared" si="27"/>
        <v>Còn trống</v>
      </c>
    </row>
    <row r="1792" spans="1:16" x14ac:dyDescent="0.3">
      <c r="A1792">
        <v>1791</v>
      </c>
      <c r="B1792" t="s">
        <v>3917</v>
      </c>
      <c r="C1792" t="s">
        <v>4126</v>
      </c>
      <c r="D1792" t="s">
        <v>4127</v>
      </c>
      <c r="E1792" t="s">
        <v>33</v>
      </c>
      <c r="F1792" t="s">
        <v>3920</v>
      </c>
      <c r="G1792" t="s">
        <v>3958</v>
      </c>
      <c r="H1792" t="str">
        <f>'Huong dan giao do an'!$B$14</f>
        <v>5 SV (vai trò chính): 1 PM/Scrum Master kiêm Integration; 2 BA/PO; 3 UI-UX + Frontend; 4 Backend/API + DevOps; 5 Database + QA/Tester. Mỗi SV có nhiệm vụ phụ và minh chứng cá nhân.</v>
      </c>
      <c r="I1792" t="s">
        <v>29</v>
      </c>
      <c r="J1792" t="s">
        <v>3927</v>
      </c>
      <c r="K1792" t="str">
        <f>IF(I1792="Trung bình",'Huong dan giao do an'!$B$8,IF(I1792="Khá",'Huong dan giao do an'!$B$9,'Huong dan giao do an'!$B$10))</f>
        <v>Tối thiểu 5 actor; 14-18 use case; 10-15 bảng; 4 quy trình; tích hợp ngoài/realtime hoặc xử lý nâng cao; 3 báo cáo; &gt;=45 test case; logging, backup và deploy.</v>
      </c>
      <c r="L1792" t="str">
        <f>'Huong dan giao do an'!$B$31</f>
        <v>Bắt buộc: Charter/PMP; SRS + scope/WBS; Gantt/baseline; effort-cost budget; RACI/timesheet; quality-test-defect; communication/minutes; risk register; procurement; change log; closure/lessons learned.</v>
      </c>
      <c r="M1792" t="str">
        <f>'Huong dan giao do an'!$B$33</f>
        <v>Tuần 1: 07.09–13.09.2026; Tuần 2: 14.09–20.09.2026; Tuần 3: 21.09–27.09.2026; Tuần 4: 28.09–04.10.2026; Tuần 5: 05.10–11.10.2026; Tuần 6: 12.10–18.10.2026; Tuần 7: 19.10–25.10.2026; Tuần 8: 26.10–01.11.2026.</v>
      </c>
      <c r="N17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2" s="17" t="str">
        <f t="shared" si="27"/>
        <v>Còn trống</v>
      </c>
    </row>
    <row r="1793" spans="1:16" x14ac:dyDescent="0.3">
      <c r="A1793">
        <v>1792</v>
      </c>
      <c r="B1793" t="s">
        <v>3917</v>
      </c>
      <c r="C1793" t="s">
        <v>4128</v>
      </c>
      <c r="D1793" t="s">
        <v>4129</v>
      </c>
      <c r="E1793" t="s">
        <v>40</v>
      </c>
      <c r="F1793" t="s">
        <v>3925</v>
      </c>
      <c r="G1793" t="s">
        <v>3961</v>
      </c>
      <c r="H1793" t="str">
        <f>'Huong dan giao do an'!$B$14</f>
        <v>5 SV (vai trò chính): 1 PM/Scrum Master kiêm Integration; 2 BA/PO; 3 UI-UX + Frontend; 4 Backend/API + DevOps; 5 Database + QA/Tester. Mỗi SV có nhiệm vụ phụ và minh chứng cá nhân.</v>
      </c>
      <c r="I1793" t="s">
        <v>36</v>
      </c>
      <c r="J1793" t="s">
        <v>3932</v>
      </c>
      <c r="K1793" t="str">
        <f>IF(I1793="Trung bình",'Huong dan giao do an'!$B$8,IF(I1793="Khá",'Huong dan giao do an'!$B$9,'Huong dan giao do an'!$B$10))</f>
        <v>Tối thiểu 3 actor; 8-10 use case; 6-8 bảng dữ liệu; 2 quy trình lõi; đăng nhập/RBAC; 1 dashboard; 1 báo cáo; &gt;=25 test case; triển khai bản demo.</v>
      </c>
      <c r="L1793" t="str">
        <f>'Huong dan giao do an'!$B$31</f>
        <v>Bắt buộc: Charter/PMP; SRS + scope/WBS; Gantt/baseline; effort-cost budget; RACI/timesheet; quality-test-defect; communication/minutes; risk register; procurement; change log; closure/lessons learned.</v>
      </c>
      <c r="M1793" t="str">
        <f>'Huong dan giao do an'!$B$33</f>
        <v>Tuần 1: 07.09–13.09.2026; Tuần 2: 14.09–20.09.2026; Tuần 3: 21.09–27.09.2026; Tuần 4: 28.09–04.10.2026; Tuần 5: 05.10–11.10.2026; Tuần 6: 12.10–18.10.2026; Tuần 7: 19.10–25.10.2026; Tuần 8: 26.10–01.11.2026.</v>
      </c>
      <c r="N17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3" s="17" t="str">
        <f t="shared" si="27"/>
        <v>Còn trống</v>
      </c>
    </row>
    <row r="1794" spans="1:16" x14ac:dyDescent="0.3">
      <c r="A1794">
        <v>1793</v>
      </c>
      <c r="B1794" t="s">
        <v>3917</v>
      </c>
      <c r="C1794" t="s">
        <v>4130</v>
      </c>
      <c r="D1794" t="s">
        <v>4131</v>
      </c>
      <c r="E1794" t="s">
        <v>45</v>
      </c>
      <c r="F1794" t="s">
        <v>3930</v>
      </c>
      <c r="G1794" t="s">
        <v>3964</v>
      </c>
      <c r="H1794" t="str">
        <f>'Huong dan giao do an'!$B$14</f>
        <v>5 SV (vai trò chính): 1 PM/Scrum Master kiêm Integration; 2 BA/PO; 3 UI-UX + Frontend; 4 Backend/API + DevOps; 5 Database + QA/Tester. Mỗi SV có nhiệm vụ phụ và minh chứng cá nhân.</v>
      </c>
      <c r="I1794" t="s">
        <v>22</v>
      </c>
      <c r="J1794" t="s">
        <v>3922</v>
      </c>
      <c r="K1794" t="str">
        <f>IF(I1794="Trung bình",'Huong dan giao do an'!$B$8,IF(I1794="Khá",'Huong dan giao do an'!$B$9,'Huong dan giao do an'!$B$10))</f>
        <v>Tối thiểu 4 actor; 10-14 use case; 8-12 bảng; 3 quy trình lõi; phân quyền chi tiết; 2 báo cáo; tích hợp 1 dịch vụ; &gt;=35 test case; CI/CD hoặc deploy cloud.</v>
      </c>
      <c r="L1794" t="str">
        <f>'Huong dan giao do an'!$B$31</f>
        <v>Bắt buộc: Charter/PMP; SRS + scope/WBS; Gantt/baseline; effort-cost budget; RACI/timesheet; quality-test-defect; communication/minutes; risk register; procurement; change log; closure/lessons learned.</v>
      </c>
      <c r="M1794" t="str">
        <f>'Huong dan giao do an'!$B$33</f>
        <v>Tuần 1: 07.09–13.09.2026; Tuần 2: 14.09–20.09.2026; Tuần 3: 21.09–27.09.2026; Tuần 4: 28.09–04.10.2026; Tuần 5: 05.10–11.10.2026; Tuần 6: 12.10–18.10.2026; Tuần 7: 19.10–25.10.2026; Tuần 8: 26.10–01.11.2026.</v>
      </c>
      <c r="N17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4" s="17" t="str">
        <f t="shared" si="27"/>
        <v>Còn trống</v>
      </c>
    </row>
    <row r="1795" spans="1:16" x14ac:dyDescent="0.3">
      <c r="A1795">
        <v>1794</v>
      </c>
      <c r="B1795" t="s">
        <v>3917</v>
      </c>
      <c r="C1795" t="s">
        <v>4132</v>
      </c>
      <c r="D1795" t="s">
        <v>4133</v>
      </c>
      <c r="E1795" t="s">
        <v>19</v>
      </c>
      <c r="F1795" t="s">
        <v>3935</v>
      </c>
      <c r="G1795" t="s">
        <v>3967</v>
      </c>
      <c r="H1795" t="str">
        <f>'Huong dan giao do an'!$B$14</f>
        <v>5 SV (vai trò chính): 1 PM/Scrum Master kiêm Integration; 2 BA/PO; 3 UI-UX + Frontend; 4 Backend/API + DevOps; 5 Database + QA/Tester. Mỗi SV có nhiệm vụ phụ và minh chứng cá nhân.</v>
      </c>
      <c r="I1795" t="s">
        <v>29</v>
      </c>
      <c r="J1795" t="s">
        <v>3927</v>
      </c>
      <c r="K1795" t="str">
        <f>IF(I1795="Trung bình",'Huong dan giao do an'!$B$8,IF(I1795="Khá",'Huong dan giao do an'!$B$9,'Huong dan giao do an'!$B$10))</f>
        <v>Tối thiểu 5 actor; 14-18 use case; 10-15 bảng; 4 quy trình; tích hợp ngoài/realtime hoặc xử lý nâng cao; 3 báo cáo; &gt;=45 test case; logging, backup và deploy.</v>
      </c>
      <c r="L1795" t="str">
        <f>'Huong dan giao do an'!$B$31</f>
        <v>Bắt buộc: Charter/PMP; SRS + scope/WBS; Gantt/baseline; effort-cost budget; RACI/timesheet; quality-test-defect; communication/minutes; risk register; procurement; change log; closure/lessons learned.</v>
      </c>
      <c r="M1795" t="str">
        <f>'Huong dan giao do an'!$B$33</f>
        <v>Tuần 1: 07.09–13.09.2026; Tuần 2: 14.09–20.09.2026; Tuần 3: 21.09–27.09.2026; Tuần 4: 28.09–04.10.2026; Tuần 5: 05.10–11.10.2026; Tuần 6: 12.10–18.10.2026; Tuần 7: 19.10–25.10.2026; Tuần 8: 26.10–01.11.2026.</v>
      </c>
      <c r="N17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5" s="17" t="str">
        <f t="shared" ref="P1795:P1858" si="28">IF(O1795="","Còn trống","Đã đăng ký")</f>
        <v>Còn trống</v>
      </c>
    </row>
    <row r="1796" spans="1:16" x14ac:dyDescent="0.3">
      <c r="A1796">
        <v>1795</v>
      </c>
      <c r="B1796" t="s">
        <v>3917</v>
      </c>
      <c r="C1796" t="s">
        <v>4134</v>
      </c>
      <c r="D1796" t="s">
        <v>4135</v>
      </c>
      <c r="E1796" t="s">
        <v>26</v>
      </c>
      <c r="F1796" t="s">
        <v>3939</v>
      </c>
      <c r="G1796" t="s">
        <v>3970</v>
      </c>
      <c r="H1796" t="str">
        <f>'Huong dan giao do an'!$B$14</f>
        <v>5 SV (vai trò chính): 1 PM/Scrum Master kiêm Integration; 2 BA/PO; 3 UI-UX + Frontend; 4 Backend/API + DevOps; 5 Database + QA/Tester. Mỗi SV có nhiệm vụ phụ và minh chứng cá nhân.</v>
      </c>
      <c r="I1796" t="s">
        <v>36</v>
      </c>
      <c r="J1796" t="s">
        <v>3932</v>
      </c>
      <c r="K1796" t="str">
        <f>IF(I1796="Trung bình",'Huong dan giao do an'!$B$8,IF(I1796="Khá",'Huong dan giao do an'!$B$9,'Huong dan giao do an'!$B$10))</f>
        <v>Tối thiểu 3 actor; 8-10 use case; 6-8 bảng dữ liệu; 2 quy trình lõi; đăng nhập/RBAC; 1 dashboard; 1 báo cáo; &gt;=25 test case; triển khai bản demo.</v>
      </c>
      <c r="L1796" t="str">
        <f>'Huong dan giao do an'!$B$31</f>
        <v>Bắt buộc: Charter/PMP; SRS + scope/WBS; Gantt/baseline; effort-cost budget; RACI/timesheet; quality-test-defect; communication/minutes; risk register; procurement; change log; closure/lessons learned.</v>
      </c>
      <c r="M1796" t="str">
        <f>'Huong dan giao do an'!$B$33</f>
        <v>Tuần 1: 07.09–13.09.2026; Tuần 2: 14.09–20.09.2026; Tuần 3: 21.09–27.09.2026; Tuần 4: 28.09–04.10.2026; Tuần 5: 05.10–11.10.2026; Tuần 6: 12.10–18.10.2026; Tuần 7: 19.10–25.10.2026; Tuần 8: 26.10–01.11.2026.</v>
      </c>
      <c r="N17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6" s="17" t="str">
        <f t="shared" si="28"/>
        <v>Còn trống</v>
      </c>
    </row>
    <row r="1797" spans="1:16" x14ac:dyDescent="0.3">
      <c r="A1797">
        <v>1796</v>
      </c>
      <c r="B1797" t="s">
        <v>3917</v>
      </c>
      <c r="C1797" t="s">
        <v>4136</v>
      </c>
      <c r="D1797" t="s">
        <v>4137</v>
      </c>
      <c r="E1797" t="s">
        <v>33</v>
      </c>
      <c r="F1797" t="s">
        <v>3920</v>
      </c>
      <c r="G1797" t="s">
        <v>3973</v>
      </c>
      <c r="H1797" t="str">
        <f>'Huong dan giao do an'!$B$14</f>
        <v>5 SV (vai trò chính): 1 PM/Scrum Master kiêm Integration; 2 BA/PO; 3 UI-UX + Frontend; 4 Backend/API + DevOps; 5 Database + QA/Tester. Mỗi SV có nhiệm vụ phụ và minh chứng cá nhân.</v>
      </c>
      <c r="I1797" t="s">
        <v>22</v>
      </c>
      <c r="J1797" t="s">
        <v>3922</v>
      </c>
      <c r="K1797" t="str">
        <f>IF(I1797="Trung bình",'Huong dan giao do an'!$B$8,IF(I1797="Khá",'Huong dan giao do an'!$B$9,'Huong dan giao do an'!$B$10))</f>
        <v>Tối thiểu 4 actor; 10-14 use case; 8-12 bảng; 3 quy trình lõi; phân quyền chi tiết; 2 báo cáo; tích hợp 1 dịch vụ; &gt;=35 test case; CI/CD hoặc deploy cloud.</v>
      </c>
      <c r="L1797" t="str">
        <f>'Huong dan giao do an'!$B$31</f>
        <v>Bắt buộc: Charter/PMP; SRS + scope/WBS; Gantt/baseline; effort-cost budget; RACI/timesheet; quality-test-defect; communication/minutes; risk register; procurement; change log; closure/lessons learned.</v>
      </c>
      <c r="M1797" t="str">
        <f>'Huong dan giao do an'!$B$33</f>
        <v>Tuần 1: 07.09–13.09.2026; Tuần 2: 14.09–20.09.2026; Tuần 3: 21.09–27.09.2026; Tuần 4: 28.09–04.10.2026; Tuần 5: 05.10–11.10.2026; Tuần 6: 12.10–18.10.2026; Tuần 7: 19.10–25.10.2026; Tuần 8: 26.10–01.11.2026.</v>
      </c>
      <c r="N17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7" s="17" t="str">
        <f t="shared" si="28"/>
        <v>Còn trống</v>
      </c>
    </row>
    <row r="1798" spans="1:16" x14ac:dyDescent="0.3">
      <c r="A1798">
        <v>1797</v>
      </c>
      <c r="B1798" t="s">
        <v>3917</v>
      </c>
      <c r="C1798" t="s">
        <v>4138</v>
      </c>
      <c r="D1798" t="s">
        <v>4139</v>
      </c>
      <c r="E1798" t="s">
        <v>40</v>
      </c>
      <c r="F1798" t="s">
        <v>3925</v>
      </c>
      <c r="G1798" t="s">
        <v>3976</v>
      </c>
      <c r="H1798" t="str">
        <f>'Huong dan giao do an'!$B$14</f>
        <v>5 SV (vai trò chính): 1 PM/Scrum Master kiêm Integration; 2 BA/PO; 3 UI-UX + Frontend; 4 Backend/API + DevOps; 5 Database + QA/Tester. Mỗi SV có nhiệm vụ phụ và minh chứng cá nhân.</v>
      </c>
      <c r="I1798" t="s">
        <v>29</v>
      </c>
      <c r="J1798" t="s">
        <v>3927</v>
      </c>
      <c r="K1798" t="str">
        <f>IF(I1798="Trung bình",'Huong dan giao do an'!$B$8,IF(I1798="Khá",'Huong dan giao do an'!$B$9,'Huong dan giao do an'!$B$10))</f>
        <v>Tối thiểu 5 actor; 14-18 use case; 10-15 bảng; 4 quy trình; tích hợp ngoài/realtime hoặc xử lý nâng cao; 3 báo cáo; &gt;=45 test case; logging, backup và deploy.</v>
      </c>
      <c r="L1798" t="str">
        <f>'Huong dan giao do an'!$B$31</f>
        <v>Bắt buộc: Charter/PMP; SRS + scope/WBS; Gantt/baseline; effort-cost budget; RACI/timesheet; quality-test-defect; communication/minutes; risk register; procurement; change log; closure/lessons learned.</v>
      </c>
      <c r="M1798" t="str">
        <f>'Huong dan giao do an'!$B$33</f>
        <v>Tuần 1: 07.09–13.09.2026; Tuần 2: 14.09–20.09.2026; Tuần 3: 21.09–27.09.2026; Tuần 4: 28.09–04.10.2026; Tuần 5: 05.10–11.10.2026; Tuần 6: 12.10–18.10.2026; Tuần 7: 19.10–25.10.2026; Tuần 8: 26.10–01.11.2026.</v>
      </c>
      <c r="N17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8" s="17" t="str">
        <f t="shared" si="28"/>
        <v>Còn trống</v>
      </c>
    </row>
    <row r="1799" spans="1:16" x14ac:dyDescent="0.3">
      <c r="A1799">
        <v>1798</v>
      </c>
      <c r="B1799" t="s">
        <v>3917</v>
      </c>
      <c r="C1799" t="s">
        <v>4140</v>
      </c>
      <c r="D1799" t="s">
        <v>4141</v>
      </c>
      <c r="E1799" t="s">
        <v>45</v>
      </c>
      <c r="F1799" t="s">
        <v>3930</v>
      </c>
      <c r="G1799" t="s">
        <v>3979</v>
      </c>
      <c r="H1799" t="str">
        <f>'Huong dan giao do an'!$B$14</f>
        <v>5 SV (vai trò chính): 1 PM/Scrum Master kiêm Integration; 2 BA/PO; 3 UI-UX + Frontend; 4 Backend/API + DevOps; 5 Database + QA/Tester. Mỗi SV có nhiệm vụ phụ và minh chứng cá nhân.</v>
      </c>
      <c r="I1799" t="s">
        <v>36</v>
      </c>
      <c r="J1799" t="s">
        <v>3932</v>
      </c>
      <c r="K1799" t="str">
        <f>IF(I1799="Trung bình",'Huong dan giao do an'!$B$8,IF(I1799="Khá",'Huong dan giao do an'!$B$9,'Huong dan giao do an'!$B$10))</f>
        <v>Tối thiểu 3 actor; 8-10 use case; 6-8 bảng dữ liệu; 2 quy trình lõi; đăng nhập/RBAC; 1 dashboard; 1 báo cáo; &gt;=25 test case; triển khai bản demo.</v>
      </c>
      <c r="L1799" t="str">
        <f>'Huong dan giao do an'!$B$31</f>
        <v>Bắt buộc: Charter/PMP; SRS + scope/WBS; Gantt/baseline; effort-cost budget; RACI/timesheet; quality-test-defect; communication/minutes; risk register; procurement; change log; closure/lessons learned.</v>
      </c>
      <c r="M1799" t="str">
        <f>'Huong dan giao do an'!$B$33</f>
        <v>Tuần 1: 07.09–13.09.2026; Tuần 2: 14.09–20.09.2026; Tuần 3: 21.09–27.09.2026; Tuần 4: 28.09–04.10.2026; Tuần 5: 05.10–11.10.2026; Tuần 6: 12.10–18.10.2026; Tuần 7: 19.10–25.10.2026; Tuần 8: 26.10–01.11.2026.</v>
      </c>
      <c r="N17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799" s="17" t="str">
        <f t="shared" si="28"/>
        <v>Còn trống</v>
      </c>
    </row>
    <row r="1800" spans="1:16" x14ac:dyDescent="0.3">
      <c r="A1800">
        <v>1799</v>
      </c>
      <c r="B1800" t="s">
        <v>3917</v>
      </c>
      <c r="C1800" t="s">
        <v>4142</v>
      </c>
      <c r="D1800" t="s">
        <v>4143</v>
      </c>
      <c r="E1800" t="s">
        <v>19</v>
      </c>
      <c r="F1800" t="s">
        <v>3935</v>
      </c>
      <c r="G1800" t="s">
        <v>3982</v>
      </c>
      <c r="H1800" t="str">
        <f>'Huong dan giao do an'!$B$14</f>
        <v>5 SV (vai trò chính): 1 PM/Scrum Master kiêm Integration; 2 BA/PO; 3 UI-UX + Frontend; 4 Backend/API + DevOps; 5 Database + QA/Tester. Mỗi SV có nhiệm vụ phụ và minh chứng cá nhân.</v>
      </c>
      <c r="I1800" t="s">
        <v>22</v>
      </c>
      <c r="J1800" t="s">
        <v>3922</v>
      </c>
      <c r="K1800" t="str">
        <f>IF(I1800="Trung bình",'Huong dan giao do an'!$B$8,IF(I1800="Khá",'Huong dan giao do an'!$B$9,'Huong dan giao do an'!$B$10))</f>
        <v>Tối thiểu 4 actor; 10-14 use case; 8-12 bảng; 3 quy trình lõi; phân quyền chi tiết; 2 báo cáo; tích hợp 1 dịch vụ; &gt;=35 test case; CI/CD hoặc deploy cloud.</v>
      </c>
      <c r="L1800" t="str">
        <f>'Huong dan giao do an'!$B$31</f>
        <v>Bắt buộc: Charter/PMP; SRS + scope/WBS; Gantt/baseline; effort-cost budget; RACI/timesheet; quality-test-defect; communication/minutes; risk register; procurement; change log; closure/lessons learned.</v>
      </c>
      <c r="M1800" t="str">
        <f>'Huong dan giao do an'!$B$33</f>
        <v>Tuần 1: 07.09–13.09.2026; Tuần 2: 14.09–20.09.2026; Tuần 3: 21.09–27.09.2026; Tuần 4: 28.09–04.10.2026; Tuần 5: 05.10–11.10.2026; Tuần 6: 12.10–18.10.2026; Tuần 7: 19.10–25.10.2026; Tuần 8: 26.10–01.11.2026.</v>
      </c>
      <c r="N18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0" s="17" t="str">
        <f t="shared" si="28"/>
        <v>Còn trống</v>
      </c>
    </row>
    <row r="1801" spans="1:16" x14ac:dyDescent="0.3">
      <c r="A1801">
        <v>1800</v>
      </c>
      <c r="B1801" t="s">
        <v>3917</v>
      </c>
      <c r="C1801" t="s">
        <v>4144</v>
      </c>
      <c r="D1801" t="s">
        <v>4145</v>
      </c>
      <c r="E1801" t="s">
        <v>26</v>
      </c>
      <c r="F1801" t="s">
        <v>3939</v>
      </c>
      <c r="G1801" t="s">
        <v>3985</v>
      </c>
      <c r="H1801" t="str">
        <f>'Huong dan giao do an'!$B$14</f>
        <v>5 SV (vai trò chính): 1 PM/Scrum Master kiêm Integration; 2 BA/PO; 3 UI-UX + Frontend; 4 Backend/API + DevOps; 5 Database + QA/Tester. Mỗi SV có nhiệm vụ phụ và minh chứng cá nhân.</v>
      </c>
      <c r="I1801" t="s">
        <v>29</v>
      </c>
      <c r="J1801" t="s">
        <v>3927</v>
      </c>
      <c r="K1801" t="str">
        <f>IF(I1801="Trung bình",'Huong dan giao do an'!$B$8,IF(I1801="Khá",'Huong dan giao do an'!$B$9,'Huong dan giao do an'!$B$10))</f>
        <v>Tối thiểu 5 actor; 14-18 use case; 10-15 bảng; 4 quy trình; tích hợp ngoài/realtime hoặc xử lý nâng cao; 3 báo cáo; &gt;=45 test case; logging, backup và deploy.</v>
      </c>
      <c r="L1801" t="str">
        <f>'Huong dan giao do an'!$B$31</f>
        <v>Bắt buộc: Charter/PMP; SRS + scope/WBS; Gantt/baseline; effort-cost budget; RACI/timesheet; quality-test-defect; communication/minutes; risk register; procurement; change log; closure/lessons learned.</v>
      </c>
      <c r="M1801" t="str">
        <f>'Huong dan giao do an'!$B$33</f>
        <v>Tuần 1: 07.09–13.09.2026; Tuần 2: 14.09–20.09.2026; Tuần 3: 21.09–27.09.2026; Tuần 4: 28.09–04.10.2026; Tuần 5: 05.10–11.10.2026; Tuần 6: 12.10–18.10.2026; Tuần 7: 19.10–25.10.2026; Tuần 8: 26.10–01.11.2026.</v>
      </c>
      <c r="N18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1" s="17" t="str">
        <f t="shared" si="28"/>
        <v>Còn trống</v>
      </c>
    </row>
    <row r="1802" spans="1:16" x14ac:dyDescent="0.3">
      <c r="A1802">
        <v>1801</v>
      </c>
      <c r="B1802" t="s">
        <v>4146</v>
      </c>
      <c r="C1802" t="s">
        <v>4147</v>
      </c>
      <c r="D1802" t="s">
        <v>4148</v>
      </c>
      <c r="E1802" t="s">
        <v>40</v>
      </c>
      <c r="F1802" t="s">
        <v>4149</v>
      </c>
      <c r="G1802" t="s">
        <v>4150</v>
      </c>
      <c r="H1802" t="str">
        <f>'Huong dan giao do an'!$B$14</f>
        <v>5 SV (vai trò chính): 1 PM/Scrum Master kiêm Integration; 2 BA/PO; 3 UI-UX + Frontend; 4 Backend/API + DevOps; 5 Database + QA/Tester. Mỗi SV có nhiệm vụ phụ và minh chứng cá nhân.</v>
      </c>
      <c r="I1802" t="s">
        <v>22</v>
      </c>
      <c r="J1802" t="s">
        <v>4151</v>
      </c>
      <c r="K1802" t="str">
        <f>IF(I1802="Trung bình",'Huong dan giao do an'!$B$8,IF(I1802="Khá",'Huong dan giao do an'!$B$9,'Huong dan giao do an'!$B$10))</f>
        <v>Tối thiểu 4 actor; 10-14 use case; 8-12 bảng; 3 quy trình lõi; phân quyền chi tiết; 2 báo cáo; tích hợp 1 dịch vụ; &gt;=35 test case; CI/CD hoặc deploy cloud.</v>
      </c>
      <c r="L1802" t="str">
        <f>'Huong dan giao do an'!$B$31</f>
        <v>Bắt buộc: Charter/PMP; SRS + scope/WBS; Gantt/baseline; effort-cost budget; RACI/timesheet; quality-test-defect; communication/minutes; risk register; procurement; change log; closure/lessons learned.</v>
      </c>
      <c r="M1802" t="str">
        <f>'Huong dan giao do an'!$B$33</f>
        <v>Tuần 1: 07.09–13.09.2026; Tuần 2: 14.09–20.09.2026; Tuần 3: 21.09–27.09.2026; Tuần 4: 28.09–04.10.2026; Tuần 5: 05.10–11.10.2026; Tuần 6: 12.10–18.10.2026; Tuần 7: 19.10–25.10.2026; Tuần 8: 26.10–01.11.2026.</v>
      </c>
      <c r="N18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2" s="17" t="str">
        <f t="shared" si="28"/>
        <v>Còn trống</v>
      </c>
    </row>
    <row r="1803" spans="1:16" x14ac:dyDescent="0.3">
      <c r="A1803">
        <v>1802</v>
      </c>
      <c r="B1803" t="s">
        <v>4146</v>
      </c>
      <c r="C1803" t="s">
        <v>4152</v>
      </c>
      <c r="D1803" t="s">
        <v>4153</v>
      </c>
      <c r="E1803" t="s">
        <v>45</v>
      </c>
      <c r="F1803" t="s">
        <v>4154</v>
      </c>
      <c r="G1803" t="s">
        <v>4155</v>
      </c>
      <c r="H1803" t="str">
        <f>'Huong dan giao do an'!$B$14</f>
        <v>5 SV (vai trò chính): 1 PM/Scrum Master kiêm Integration; 2 BA/PO; 3 UI-UX + Frontend; 4 Backend/API + DevOps; 5 Database + QA/Tester. Mỗi SV có nhiệm vụ phụ và minh chứng cá nhân.</v>
      </c>
      <c r="I1803" t="s">
        <v>29</v>
      </c>
      <c r="J1803" t="s">
        <v>4156</v>
      </c>
      <c r="K1803" t="str">
        <f>IF(I1803="Trung bình",'Huong dan giao do an'!$B$8,IF(I1803="Khá",'Huong dan giao do an'!$B$9,'Huong dan giao do an'!$B$10))</f>
        <v>Tối thiểu 5 actor; 14-18 use case; 10-15 bảng; 4 quy trình; tích hợp ngoài/realtime hoặc xử lý nâng cao; 3 báo cáo; &gt;=45 test case; logging, backup và deploy.</v>
      </c>
      <c r="L1803" t="str">
        <f>'Huong dan giao do an'!$B$31</f>
        <v>Bắt buộc: Charter/PMP; SRS + scope/WBS; Gantt/baseline; effort-cost budget; RACI/timesheet; quality-test-defect; communication/minutes; risk register; procurement; change log; closure/lessons learned.</v>
      </c>
      <c r="M1803" t="str">
        <f>'Huong dan giao do an'!$B$33</f>
        <v>Tuần 1: 07.09–13.09.2026; Tuần 2: 14.09–20.09.2026; Tuần 3: 21.09–27.09.2026; Tuần 4: 28.09–04.10.2026; Tuần 5: 05.10–11.10.2026; Tuần 6: 12.10–18.10.2026; Tuần 7: 19.10–25.10.2026; Tuần 8: 26.10–01.11.2026.</v>
      </c>
      <c r="N18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3" s="17" t="str">
        <f t="shared" si="28"/>
        <v>Còn trống</v>
      </c>
    </row>
    <row r="1804" spans="1:16" x14ac:dyDescent="0.3">
      <c r="A1804">
        <v>1803</v>
      </c>
      <c r="B1804" t="s">
        <v>4146</v>
      </c>
      <c r="C1804" t="s">
        <v>4157</v>
      </c>
      <c r="D1804" t="s">
        <v>4158</v>
      </c>
      <c r="E1804" t="s">
        <v>19</v>
      </c>
      <c r="F1804" t="s">
        <v>4159</v>
      </c>
      <c r="G1804" t="s">
        <v>4160</v>
      </c>
      <c r="H1804" t="str">
        <f>'Huong dan giao do an'!$B$14</f>
        <v>5 SV (vai trò chính): 1 PM/Scrum Master kiêm Integration; 2 BA/PO; 3 UI-UX + Frontend; 4 Backend/API + DevOps; 5 Database + QA/Tester. Mỗi SV có nhiệm vụ phụ và minh chứng cá nhân.</v>
      </c>
      <c r="I1804" t="s">
        <v>36</v>
      </c>
      <c r="J1804" t="s">
        <v>4161</v>
      </c>
      <c r="K1804" t="str">
        <f>IF(I1804="Trung bình",'Huong dan giao do an'!$B$8,IF(I1804="Khá",'Huong dan giao do an'!$B$9,'Huong dan giao do an'!$B$10))</f>
        <v>Tối thiểu 3 actor; 8-10 use case; 6-8 bảng dữ liệu; 2 quy trình lõi; đăng nhập/RBAC; 1 dashboard; 1 báo cáo; &gt;=25 test case; triển khai bản demo.</v>
      </c>
      <c r="L1804" t="str">
        <f>'Huong dan giao do an'!$B$31</f>
        <v>Bắt buộc: Charter/PMP; SRS + scope/WBS; Gantt/baseline; effort-cost budget; RACI/timesheet; quality-test-defect; communication/minutes; risk register; procurement; change log; closure/lessons learned.</v>
      </c>
      <c r="M1804" t="str">
        <f>'Huong dan giao do an'!$B$33</f>
        <v>Tuần 1: 07.09–13.09.2026; Tuần 2: 14.09–20.09.2026; Tuần 3: 21.09–27.09.2026; Tuần 4: 28.09–04.10.2026; Tuần 5: 05.10–11.10.2026; Tuần 6: 12.10–18.10.2026; Tuần 7: 19.10–25.10.2026; Tuần 8: 26.10–01.11.2026.</v>
      </c>
      <c r="N18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4" s="17" t="str">
        <f t="shared" si="28"/>
        <v>Còn trống</v>
      </c>
    </row>
    <row r="1805" spans="1:16" x14ac:dyDescent="0.3">
      <c r="A1805">
        <v>1804</v>
      </c>
      <c r="B1805" t="s">
        <v>4146</v>
      </c>
      <c r="C1805" t="s">
        <v>4162</v>
      </c>
      <c r="D1805" t="s">
        <v>4163</v>
      </c>
      <c r="E1805" t="s">
        <v>26</v>
      </c>
      <c r="F1805" t="s">
        <v>4164</v>
      </c>
      <c r="G1805" t="s">
        <v>4165</v>
      </c>
      <c r="H1805" t="str">
        <f>'Huong dan giao do an'!$B$14</f>
        <v>5 SV (vai trò chính): 1 PM/Scrum Master kiêm Integration; 2 BA/PO; 3 UI-UX + Frontend; 4 Backend/API + DevOps; 5 Database + QA/Tester. Mỗi SV có nhiệm vụ phụ và minh chứng cá nhân.</v>
      </c>
      <c r="I1805" t="s">
        <v>22</v>
      </c>
      <c r="J1805" t="s">
        <v>4151</v>
      </c>
      <c r="K1805" t="str">
        <f>IF(I1805="Trung bình",'Huong dan giao do an'!$B$8,IF(I1805="Khá",'Huong dan giao do an'!$B$9,'Huong dan giao do an'!$B$10))</f>
        <v>Tối thiểu 4 actor; 10-14 use case; 8-12 bảng; 3 quy trình lõi; phân quyền chi tiết; 2 báo cáo; tích hợp 1 dịch vụ; &gt;=35 test case; CI/CD hoặc deploy cloud.</v>
      </c>
      <c r="L1805" t="str">
        <f>'Huong dan giao do an'!$B$31</f>
        <v>Bắt buộc: Charter/PMP; SRS + scope/WBS; Gantt/baseline; effort-cost budget; RACI/timesheet; quality-test-defect; communication/minutes; risk register; procurement; change log; closure/lessons learned.</v>
      </c>
      <c r="M1805" t="str">
        <f>'Huong dan giao do an'!$B$33</f>
        <v>Tuần 1: 07.09–13.09.2026; Tuần 2: 14.09–20.09.2026; Tuần 3: 21.09–27.09.2026; Tuần 4: 28.09–04.10.2026; Tuần 5: 05.10–11.10.2026; Tuần 6: 12.10–18.10.2026; Tuần 7: 19.10–25.10.2026; Tuần 8: 26.10–01.11.2026.</v>
      </c>
      <c r="N18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5" s="17" t="str">
        <f t="shared" si="28"/>
        <v>Còn trống</v>
      </c>
    </row>
    <row r="1806" spans="1:16" x14ac:dyDescent="0.3">
      <c r="A1806">
        <v>1805</v>
      </c>
      <c r="B1806" t="s">
        <v>4146</v>
      </c>
      <c r="C1806" t="s">
        <v>4166</v>
      </c>
      <c r="D1806" t="s">
        <v>4167</v>
      </c>
      <c r="E1806" t="s">
        <v>33</v>
      </c>
      <c r="F1806" t="s">
        <v>4168</v>
      </c>
      <c r="G1806" t="s">
        <v>4169</v>
      </c>
      <c r="H1806" t="str">
        <f>'Huong dan giao do an'!$B$14</f>
        <v>5 SV (vai trò chính): 1 PM/Scrum Master kiêm Integration; 2 BA/PO; 3 UI-UX + Frontend; 4 Backend/API + DevOps; 5 Database + QA/Tester. Mỗi SV có nhiệm vụ phụ và minh chứng cá nhân.</v>
      </c>
      <c r="I1806" t="s">
        <v>29</v>
      </c>
      <c r="J1806" t="s">
        <v>4156</v>
      </c>
      <c r="K1806" t="str">
        <f>IF(I1806="Trung bình",'Huong dan giao do an'!$B$8,IF(I1806="Khá",'Huong dan giao do an'!$B$9,'Huong dan giao do an'!$B$10))</f>
        <v>Tối thiểu 5 actor; 14-18 use case; 10-15 bảng; 4 quy trình; tích hợp ngoài/realtime hoặc xử lý nâng cao; 3 báo cáo; &gt;=45 test case; logging, backup và deploy.</v>
      </c>
      <c r="L1806" t="str">
        <f>'Huong dan giao do an'!$B$31</f>
        <v>Bắt buộc: Charter/PMP; SRS + scope/WBS; Gantt/baseline; effort-cost budget; RACI/timesheet; quality-test-defect; communication/minutes; risk register; procurement; change log; closure/lessons learned.</v>
      </c>
      <c r="M1806" t="str">
        <f>'Huong dan giao do an'!$B$33</f>
        <v>Tuần 1: 07.09–13.09.2026; Tuần 2: 14.09–20.09.2026; Tuần 3: 21.09–27.09.2026; Tuần 4: 28.09–04.10.2026; Tuần 5: 05.10–11.10.2026; Tuần 6: 12.10–18.10.2026; Tuần 7: 19.10–25.10.2026; Tuần 8: 26.10–01.11.2026.</v>
      </c>
      <c r="N18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6" s="17" t="str">
        <f t="shared" si="28"/>
        <v>Còn trống</v>
      </c>
    </row>
    <row r="1807" spans="1:16" x14ac:dyDescent="0.3">
      <c r="A1807">
        <v>1806</v>
      </c>
      <c r="B1807" t="s">
        <v>4146</v>
      </c>
      <c r="C1807" t="s">
        <v>4170</v>
      </c>
      <c r="D1807" t="s">
        <v>4171</v>
      </c>
      <c r="E1807" t="s">
        <v>40</v>
      </c>
      <c r="F1807" t="s">
        <v>4149</v>
      </c>
      <c r="G1807" t="s">
        <v>4172</v>
      </c>
      <c r="H1807" t="str">
        <f>'Huong dan giao do an'!$B$14</f>
        <v>5 SV (vai trò chính): 1 PM/Scrum Master kiêm Integration; 2 BA/PO; 3 UI-UX + Frontend; 4 Backend/API + DevOps; 5 Database + QA/Tester. Mỗi SV có nhiệm vụ phụ và minh chứng cá nhân.</v>
      </c>
      <c r="I1807" t="s">
        <v>36</v>
      </c>
      <c r="J1807" t="s">
        <v>4161</v>
      </c>
      <c r="K1807" t="str">
        <f>IF(I1807="Trung bình",'Huong dan giao do an'!$B$8,IF(I1807="Khá",'Huong dan giao do an'!$B$9,'Huong dan giao do an'!$B$10))</f>
        <v>Tối thiểu 3 actor; 8-10 use case; 6-8 bảng dữ liệu; 2 quy trình lõi; đăng nhập/RBAC; 1 dashboard; 1 báo cáo; &gt;=25 test case; triển khai bản demo.</v>
      </c>
      <c r="L1807" t="str">
        <f>'Huong dan giao do an'!$B$31</f>
        <v>Bắt buộc: Charter/PMP; SRS + scope/WBS; Gantt/baseline; effort-cost budget; RACI/timesheet; quality-test-defect; communication/minutes; risk register; procurement; change log; closure/lessons learned.</v>
      </c>
      <c r="M1807" t="str">
        <f>'Huong dan giao do an'!$B$33</f>
        <v>Tuần 1: 07.09–13.09.2026; Tuần 2: 14.09–20.09.2026; Tuần 3: 21.09–27.09.2026; Tuần 4: 28.09–04.10.2026; Tuần 5: 05.10–11.10.2026; Tuần 6: 12.10–18.10.2026; Tuần 7: 19.10–25.10.2026; Tuần 8: 26.10–01.11.2026.</v>
      </c>
      <c r="N18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7" s="17" t="str">
        <f t="shared" si="28"/>
        <v>Còn trống</v>
      </c>
    </row>
    <row r="1808" spans="1:16" x14ac:dyDescent="0.3">
      <c r="A1808">
        <v>1807</v>
      </c>
      <c r="B1808" t="s">
        <v>4146</v>
      </c>
      <c r="C1808" t="s">
        <v>4173</v>
      </c>
      <c r="D1808" t="s">
        <v>4174</v>
      </c>
      <c r="E1808" t="s">
        <v>45</v>
      </c>
      <c r="F1808" t="s">
        <v>4154</v>
      </c>
      <c r="G1808" t="s">
        <v>4175</v>
      </c>
      <c r="H1808" t="str">
        <f>'Huong dan giao do an'!$B$14</f>
        <v>5 SV (vai trò chính): 1 PM/Scrum Master kiêm Integration; 2 BA/PO; 3 UI-UX + Frontend; 4 Backend/API + DevOps; 5 Database + QA/Tester. Mỗi SV có nhiệm vụ phụ và minh chứng cá nhân.</v>
      </c>
      <c r="I1808" t="s">
        <v>22</v>
      </c>
      <c r="J1808" t="s">
        <v>4151</v>
      </c>
      <c r="K1808" t="str">
        <f>IF(I1808="Trung bình",'Huong dan giao do an'!$B$8,IF(I1808="Khá",'Huong dan giao do an'!$B$9,'Huong dan giao do an'!$B$10))</f>
        <v>Tối thiểu 4 actor; 10-14 use case; 8-12 bảng; 3 quy trình lõi; phân quyền chi tiết; 2 báo cáo; tích hợp 1 dịch vụ; &gt;=35 test case; CI/CD hoặc deploy cloud.</v>
      </c>
      <c r="L1808" t="str">
        <f>'Huong dan giao do an'!$B$31</f>
        <v>Bắt buộc: Charter/PMP; SRS + scope/WBS; Gantt/baseline; effort-cost budget; RACI/timesheet; quality-test-defect; communication/minutes; risk register; procurement; change log; closure/lessons learned.</v>
      </c>
      <c r="M1808" t="str">
        <f>'Huong dan giao do an'!$B$33</f>
        <v>Tuần 1: 07.09–13.09.2026; Tuần 2: 14.09–20.09.2026; Tuần 3: 21.09–27.09.2026; Tuần 4: 28.09–04.10.2026; Tuần 5: 05.10–11.10.2026; Tuần 6: 12.10–18.10.2026; Tuần 7: 19.10–25.10.2026; Tuần 8: 26.10–01.11.2026.</v>
      </c>
      <c r="N18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8" s="17" t="str">
        <f t="shared" si="28"/>
        <v>Còn trống</v>
      </c>
    </row>
    <row r="1809" spans="1:16" x14ac:dyDescent="0.3">
      <c r="A1809">
        <v>1808</v>
      </c>
      <c r="B1809" t="s">
        <v>4146</v>
      </c>
      <c r="C1809" t="s">
        <v>4176</v>
      </c>
      <c r="D1809" t="s">
        <v>4177</v>
      </c>
      <c r="E1809" t="s">
        <v>19</v>
      </c>
      <c r="F1809" t="s">
        <v>4159</v>
      </c>
      <c r="G1809" t="s">
        <v>4178</v>
      </c>
      <c r="H1809" t="str">
        <f>'Huong dan giao do an'!$B$14</f>
        <v>5 SV (vai trò chính): 1 PM/Scrum Master kiêm Integration; 2 BA/PO; 3 UI-UX + Frontend; 4 Backend/API + DevOps; 5 Database + QA/Tester. Mỗi SV có nhiệm vụ phụ và minh chứng cá nhân.</v>
      </c>
      <c r="I1809" t="s">
        <v>29</v>
      </c>
      <c r="J1809" t="s">
        <v>4156</v>
      </c>
      <c r="K1809" t="str">
        <f>IF(I1809="Trung bình",'Huong dan giao do an'!$B$8,IF(I1809="Khá",'Huong dan giao do an'!$B$9,'Huong dan giao do an'!$B$10))</f>
        <v>Tối thiểu 5 actor; 14-18 use case; 10-15 bảng; 4 quy trình; tích hợp ngoài/realtime hoặc xử lý nâng cao; 3 báo cáo; &gt;=45 test case; logging, backup và deploy.</v>
      </c>
      <c r="L1809" t="str">
        <f>'Huong dan giao do an'!$B$31</f>
        <v>Bắt buộc: Charter/PMP; SRS + scope/WBS; Gantt/baseline; effort-cost budget; RACI/timesheet; quality-test-defect; communication/minutes; risk register; procurement; change log; closure/lessons learned.</v>
      </c>
      <c r="M1809" t="str">
        <f>'Huong dan giao do an'!$B$33</f>
        <v>Tuần 1: 07.09–13.09.2026; Tuần 2: 14.09–20.09.2026; Tuần 3: 21.09–27.09.2026; Tuần 4: 28.09–04.10.2026; Tuần 5: 05.10–11.10.2026; Tuần 6: 12.10–18.10.2026; Tuần 7: 19.10–25.10.2026; Tuần 8: 26.10–01.11.2026.</v>
      </c>
      <c r="N18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09" s="17" t="str">
        <f t="shared" si="28"/>
        <v>Còn trống</v>
      </c>
    </row>
    <row r="1810" spans="1:16" x14ac:dyDescent="0.3">
      <c r="A1810">
        <v>1809</v>
      </c>
      <c r="B1810" t="s">
        <v>4146</v>
      </c>
      <c r="C1810" t="s">
        <v>4179</v>
      </c>
      <c r="D1810" t="s">
        <v>4180</v>
      </c>
      <c r="E1810" t="s">
        <v>26</v>
      </c>
      <c r="F1810" t="s">
        <v>4164</v>
      </c>
      <c r="G1810" t="s">
        <v>4181</v>
      </c>
      <c r="H1810" t="str">
        <f>'Huong dan giao do an'!$B$14</f>
        <v>5 SV (vai trò chính): 1 PM/Scrum Master kiêm Integration; 2 BA/PO; 3 UI-UX + Frontend; 4 Backend/API + DevOps; 5 Database + QA/Tester. Mỗi SV có nhiệm vụ phụ và minh chứng cá nhân.</v>
      </c>
      <c r="I1810" t="s">
        <v>36</v>
      </c>
      <c r="J1810" t="s">
        <v>4161</v>
      </c>
      <c r="K1810" t="str">
        <f>IF(I1810="Trung bình",'Huong dan giao do an'!$B$8,IF(I1810="Khá",'Huong dan giao do an'!$B$9,'Huong dan giao do an'!$B$10))</f>
        <v>Tối thiểu 3 actor; 8-10 use case; 6-8 bảng dữ liệu; 2 quy trình lõi; đăng nhập/RBAC; 1 dashboard; 1 báo cáo; &gt;=25 test case; triển khai bản demo.</v>
      </c>
      <c r="L1810" t="str">
        <f>'Huong dan giao do an'!$B$31</f>
        <v>Bắt buộc: Charter/PMP; SRS + scope/WBS; Gantt/baseline; effort-cost budget; RACI/timesheet; quality-test-defect; communication/minutes; risk register; procurement; change log; closure/lessons learned.</v>
      </c>
      <c r="M1810" t="str">
        <f>'Huong dan giao do an'!$B$33</f>
        <v>Tuần 1: 07.09–13.09.2026; Tuần 2: 14.09–20.09.2026; Tuần 3: 21.09–27.09.2026; Tuần 4: 28.09–04.10.2026; Tuần 5: 05.10–11.10.2026; Tuần 6: 12.10–18.10.2026; Tuần 7: 19.10–25.10.2026; Tuần 8: 26.10–01.11.2026.</v>
      </c>
      <c r="N18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0" s="17" t="str">
        <f t="shared" si="28"/>
        <v>Còn trống</v>
      </c>
    </row>
    <row r="1811" spans="1:16" x14ac:dyDescent="0.3">
      <c r="A1811">
        <v>1810</v>
      </c>
      <c r="B1811" t="s">
        <v>4146</v>
      </c>
      <c r="C1811" t="s">
        <v>4182</v>
      </c>
      <c r="D1811" t="s">
        <v>4183</v>
      </c>
      <c r="E1811" t="s">
        <v>33</v>
      </c>
      <c r="F1811" t="s">
        <v>4168</v>
      </c>
      <c r="G1811" t="s">
        <v>4184</v>
      </c>
      <c r="H1811" t="str">
        <f>'Huong dan giao do an'!$B$14</f>
        <v>5 SV (vai trò chính): 1 PM/Scrum Master kiêm Integration; 2 BA/PO; 3 UI-UX + Frontend; 4 Backend/API + DevOps; 5 Database + QA/Tester. Mỗi SV có nhiệm vụ phụ và minh chứng cá nhân.</v>
      </c>
      <c r="I1811" t="s">
        <v>22</v>
      </c>
      <c r="J1811" t="s">
        <v>4151</v>
      </c>
      <c r="K1811" t="str">
        <f>IF(I1811="Trung bình",'Huong dan giao do an'!$B$8,IF(I1811="Khá",'Huong dan giao do an'!$B$9,'Huong dan giao do an'!$B$10))</f>
        <v>Tối thiểu 4 actor; 10-14 use case; 8-12 bảng; 3 quy trình lõi; phân quyền chi tiết; 2 báo cáo; tích hợp 1 dịch vụ; &gt;=35 test case; CI/CD hoặc deploy cloud.</v>
      </c>
      <c r="L1811" t="str">
        <f>'Huong dan giao do an'!$B$31</f>
        <v>Bắt buộc: Charter/PMP; SRS + scope/WBS; Gantt/baseline; effort-cost budget; RACI/timesheet; quality-test-defect; communication/minutes; risk register; procurement; change log; closure/lessons learned.</v>
      </c>
      <c r="M1811" t="str">
        <f>'Huong dan giao do an'!$B$33</f>
        <v>Tuần 1: 07.09–13.09.2026; Tuần 2: 14.09–20.09.2026; Tuần 3: 21.09–27.09.2026; Tuần 4: 28.09–04.10.2026; Tuần 5: 05.10–11.10.2026; Tuần 6: 12.10–18.10.2026; Tuần 7: 19.10–25.10.2026; Tuần 8: 26.10–01.11.2026.</v>
      </c>
      <c r="N18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1" s="17" t="str">
        <f t="shared" si="28"/>
        <v>Còn trống</v>
      </c>
    </row>
    <row r="1812" spans="1:16" x14ac:dyDescent="0.3">
      <c r="A1812">
        <v>1811</v>
      </c>
      <c r="B1812" t="s">
        <v>4146</v>
      </c>
      <c r="C1812" t="s">
        <v>4185</v>
      </c>
      <c r="D1812" t="s">
        <v>4186</v>
      </c>
      <c r="E1812" t="s">
        <v>40</v>
      </c>
      <c r="F1812" t="s">
        <v>4149</v>
      </c>
      <c r="G1812" t="s">
        <v>4187</v>
      </c>
      <c r="H1812" t="str">
        <f>'Huong dan giao do an'!$B$14</f>
        <v>5 SV (vai trò chính): 1 PM/Scrum Master kiêm Integration; 2 BA/PO; 3 UI-UX + Frontend; 4 Backend/API + DevOps; 5 Database + QA/Tester. Mỗi SV có nhiệm vụ phụ và minh chứng cá nhân.</v>
      </c>
      <c r="I1812" t="s">
        <v>29</v>
      </c>
      <c r="J1812" t="s">
        <v>4156</v>
      </c>
      <c r="K1812" t="str">
        <f>IF(I1812="Trung bình",'Huong dan giao do an'!$B$8,IF(I1812="Khá",'Huong dan giao do an'!$B$9,'Huong dan giao do an'!$B$10))</f>
        <v>Tối thiểu 5 actor; 14-18 use case; 10-15 bảng; 4 quy trình; tích hợp ngoài/realtime hoặc xử lý nâng cao; 3 báo cáo; &gt;=45 test case; logging, backup và deploy.</v>
      </c>
      <c r="L1812" t="str">
        <f>'Huong dan giao do an'!$B$31</f>
        <v>Bắt buộc: Charter/PMP; SRS + scope/WBS; Gantt/baseline; effort-cost budget; RACI/timesheet; quality-test-defect; communication/minutes; risk register; procurement; change log; closure/lessons learned.</v>
      </c>
      <c r="M1812" t="str">
        <f>'Huong dan giao do an'!$B$33</f>
        <v>Tuần 1: 07.09–13.09.2026; Tuần 2: 14.09–20.09.2026; Tuần 3: 21.09–27.09.2026; Tuần 4: 28.09–04.10.2026; Tuần 5: 05.10–11.10.2026; Tuần 6: 12.10–18.10.2026; Tuần 7: 19.10–25.10.2026; Tuần 8: 26.10–01.11.2026.</v>
      </c>
      <c r="N18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2" s="17" t="str">
        <f t="shared" si="28"/>
        <v>Còn trống</v>
      </c>
    </row>
    <row r="1813" spans="1:16" x14ac:dyDescent="0.3">
      <c r="A1813">
        <v>1812</v>
      </c>
      <c r="B1813" t="s">
        <v>4146</v>
      </c>
      <c r="C1813" t="s">
        <v>4188</v>
      </c>
      <c r="D1813" t="s">
        <v>4189</v>
      </c>
      <c r="E1813" t="s">
        <v>45</v>
      </c>
      <c r="F1813" t="s">
        <v>4154</v>
      </c>
      <c r="G1813" t="s">
        <v>4190</v>
      </c>
      <c r="H1813" t="str">
        <f>'Huong dan giao do an'!$B$14</f>
        <v>5 SV (vai trò chính): 1 PM/Scrum Master kiêm Integration; 2 BA/PO; 3 UI-UX + Frontend; 4 Backend/API + DevOps; 5 Database + QA/Tester. Mỗi SV có nhiệm vụ phụ và minh chứng cá nhân.</v>
      </c>
      <c r="I1813" t="s">
        <v>36</v>
      </c>
      <c r="J1813" t="s">
        <v>4161</v>
      </c>
      <c r="K1813" t="str">
        <f>IF(I1813="Trung bình",'Huong dan giao do an'!$B$8,IF(I1813="Khá",'Huong dan giao do an'!$B$9,'Huong dan giao do an'!$B$10))</f>
        <v>Tối thiểu 3 actor; 8-10 use case; 6-8 bảng dữ liệu; 2 quy trình lõi; đăng nhập/RBAC; 1 dashboard; 1 báo cáo; &gt;=25 test case; triển khai bản demo.</v>
      </c>
      <c r="L1813" t="str">
        <f>'Huong dan giao do an'!$B$31</f>
        <v>Bắt buộc: Charter/PMP; SRS + scope/WBS; Gantt/baseline; effort-cost budget; RACI/timesheet; quality-test-defect; communication/minutes; risk register; procurement; change log; closure/lessons learned.</v>
      </c>
      <c r="M1813" t="str">
        <f>'Huong dan giao do an'!$B$33</f>
        <v>Tuần 1: 07.09–13.09.2026; Tuần 2: 14.09–20.09.2026; Tuần 3: 21.09–27.09.2026; Tuần 4: 28.09–04.10.2026; Tuần 5: 05.10–11.10.2026; Tuần 6: 12.10–18.10.2026; Tuần 7: 19.10–25.10.2026; Tuần 8: 26.10–01.11.2026.</v>
      </c>
      <c r="N18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3" s="17" t="str">
        <f t="shared" si="28"/>
        <v>Còn trống</v>
      </c>
    </row>
    <row r="1814" spans="1:16" x14ac:dyDescent="0.3">
      <c r="A1814">
        <v>1813</v>
      </c>
      <c r="B1814" t="s">
        <v>4146</v>
      </c>
      <c r="C1814" t="s">
        <v>4191</v>
      </c>
      <c r="D1814" t="s">
        <v>4192</v>
      </c>
      <c r="E1814" t="s">
        <v>19</v>
      </c>
      <c r="F1814" t="s">
        <v>4159</v>
      </c>
      <c r="G1814" t="s">
        <v>4193</v>
      </c>
      <c r="H1814" t="str">
        <f>'Huong dan giao do an'!$B$14</f>
        <v>5 SV (vai trò chính): 1 PM/Scrum Master kiêm Integration; 2 BA/PO; 3 UI-UX + Frontend; 4 Backend/API + DevOps; 5 Database + QA/Tester. Mỗi SV có nhiệm vụ phụ và minh chứng cá nhân.</v>
      </c>
      <c r="I1814" t="s">
        <v>22</v>
      </c>
      <c r="J1814" t="s">
        <v>4151</v>
      </c>
      <c r="K1814" t="str">
        <f>IF(I1814="Trung bình",'Huong dan giao do an'!$B$8,IF(I1814="Khá",'Huong dan giao do an'!$B$9,'Huong dan giao do an'!$B$10))</f>
        <v>Tối thiểu 4 actor; 10-14 use case; 8-12 bảng; 3 quy trình lõi; phân quyền chi tiết; 2 báo cáo; tích hợp 1 dịch vụ; &gt;=35 test case; CI/CD hoặc deploy cloud.</v>
      </c>
      <c r="L1814" t="str">
        <f>'Huong dan giao do an'!$B$31</f>
        <v>Bắt buộc: Charter/PMP; SRS + scope/WBS; Gantt/baseline; effort-cost budget; RACI/timesheet; quality-test-defect; communication/minutes; risk register; procurement; change log; closure/lessons learned.</v>
      </c>
      <c r="M1814" t="str">
        <f>'Huong dan giao do an'!$B$33</f>
        <v>Tuần 1: 07.09–13.09.2026; Tuần 2: 14.09–20.09.2026; Tuần 3: 21.09–27.09.2026; Tuần 4: 28.09–04.10.2026; Tuần 5: 05.10–11.10.2026; Tuần 6: 12.10–18.10.2026; Tuần 7: 19.10–25.10.2026; Tuần 8: 26.10–01.11.2026.</v>
      </c>
      <c r="N18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4" s="17" t="str">
        <f t="shared" si="28"/>
        <v>Còn trống</v>
      </c>
    </row>
    <row r="1815" spans="1:16" x14ac:dyDescent="0.3">
      <c r="A1815">
        <v>1814</v>
      </c>
      <c r="B1815" t="s">
        <v>4146</v>
      </c>
      <c r="C1815" t="s">
        <v>4194</v>
      </c>
      <c r="D1815" t="s">
        <v>4195</v>
      </c>
      <c r="E1815" t="s">
        <v>26</v>
      </c>
      <c r="F1815" t="s">
        <v>4164</v>
      </c>
      <c r="G1815" t="s">
        <v>4196</v>
      </c>
      <c r="H1815" t="str">
        <f>'Huong dan giao do an'!$B$14</f>
        <v>5 SV (vai trò chính): 1 PM/Scrum Master kiêm Integration; 2 BA/PO; 3 UI-UX + Frontend; 4 Backend/API + DevOps; 5 Database + QA/Tester. Mỗi SV có nhiệm vụ phụ và minh chứng cá nhân.</v>
      </c>
      <c r="I1815" t="s">
        <v>29</v>
      </c>
      <c r="J1815" t="s">
        <v>4156</v>
      </c>
      <c r="K1815" t="str">
        <f>IF(I1815="Trung bình",'Huong dan giao do an'!$B$8,IF(I1815="Khá",'Huong dan giao do an'!$B$9,'Huong dan giao do an'!$B$10))</f>
        <v>Tối thiểu 5 actor; 14-18 use case; 10-15 bảng; 4 quy trình; tích hợp ngoài/realtime hoặc xử lý nâng cao; 3 báo cáo; &gt;=45 test case; logging, backup và deploy.</v>
      </c>
      <c r="L1815" t="str">
        <f>'Huong dan giao do an'!$B$31</f>
        <v>Bắt buộc: Charter/PMP; SRS + scope/WBS; Gantt/baseline; effort-cost budget; RACI/timesheet; quality-test-defect; communication/minutes; risk register; procurement; change log; closure/lessons learned.</v>
      </c>
      <c r="M1815" t="str">
        <f>'Huong dan giao do an'!$B$33</f>
        <v>Tuần 1: 07.09–13.09.2026; Tuần 2: 14.09–20.09.2026; Tuần 3: 21.09–27.09.2026; Tuần 4: 28.09–04.10.2026; Tuần 5: 05.10–11.10.2026; Tuần 6: 12.10–18.10.2026; Tuần 7: 19.10–25.10.2026; Tuần 8: 26.10–01.11.2026.</v>
      </c>
      <c r="N18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5" s="17" t="str">
        <f t="shared" si="28"/>
        <v>Còn trống</v>
      </c>
    </row>
    <row r="1816" spans="1:16" x14ac:dyDescent="0.3">
      <c r="A1816">
        <v>1815</v>
      </c>
      <c r="B1816" t="s">
        <v>4146</v>
      </c>
      <c r="C1816" t="s">
        <v>4197</v>
      </c>
      <c r="D1816" t="s">
        <v>4198</v>
      </c>
      <c r="E1816" t="s">
        <v>33</v>
      </c>
      <c r="F1816" t="s">
        <v>4168</v>
      </c>
      <c r="G1816" t="s">
        <v>4199</v>
      </c>
      <c r="H1816" t="str">
        <f>'Huong dan giao do an'!$B$14</f>
        <v>5 SV (vai trò chính): 1 PM/Scrum Master kiêm Integration; 2 BA/PO; 3 UI-UX + Frontend; 4 Backend/API + DevOps; 5 Database + QA/Tester. Mỗi SV có nhiệm vụ phụ và minh chứng cá nhân.</v>
      </c>
      <c r="I1816" t="s">
        <v>36</v>
      </c>
      <c r="J1816" t="s">
        <v>4161</v>
      </c>
      <c r="K1816" t="str">
        <f>IF(I1816="Trung bình",'Huong dan giao do an'!$B$8,IF(I1816="Khá",'Huong dan giao do an'!$B$9,'Huong dan giao do an'!$B$10))</f>
        <v>Tối thiểu 3 actor; 8-10 use case; 6-8 bảng dữ liệu; 2 quy trình lõi; đăng nhập/RBAC; 1 dashboard; 1 báo cáo; &gt;=25 test case; triển khai bản demo.</v>
      </c>
      <c r="L1816" t="str">
        <f>'Huong dan giao do an'!$B$31</f>
        <v>Bắt buộc: Charter/PMP; SRS + scope/WBS; Gantt/baseline; effort-cost budget; RACI/timesheet; quality-test-defect; communication/minutes; risk register; procurement; change log; closure/lessons learned.</v>
      </c>
      <c r="M1816" t="str">
        <f>'Huong dan giao do an'!$B$33</f>
        <v>Tuần 1: 07.09–13.09.2026; Tuần 2: 14.09–20.09.2026; Tuần 3: 21.09–27.09.2026; Tuần 4: 28.09–04.10.2026; Tuần 5: 05.10–11.10.2026; Tuần 6: 12.10–18.10.2026; Tuần 7: 19.10–25.10.2026; Tuần 8: 26.10–01.11.2026.</v>
      </c>
      <c r="N18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6" s="17" t="str">
        <f t="shared" si="28"/>
        <v>Còn trống</v>
      </c>
    </row>
    <row r="1817" spans="1:16" x14ac:dyDescent="0.3">
      <c r="A1817">
        <v>1816</v>
      </c>
      <c r="B1817" t="s">
        <v>4146</v>
      </c>
      <c r="C1817" t="s">
        <v>4200</v>
      </c>
      <c r="D1817" t="s">
        <v>4201</v>
      </c>
      <c r="E1817" t="s">
        <v>40</v>
      </c>
      <c r="F1817" t="s">
        <v>4149</v>
      </c>
      <c r="G1817" t="s">
        <v>4202</v>
      </c>
      <c r="H1817" t="str">
        <f>'Huong dan giao do an'!$B$14</f>
        <v>5 SV (vai trò chính): 1 PM/Scrum Master kiêm Integration; 2 BA/PO; 3 UI-UX + Frontend; 4 Backend/API + DevOps; 5 Database + QA/Tester. Mỗi SV có nhiệm vụ phụ và minh chứng cá nhân.</v>
      </c>
      <c r="I1817" t="s">
        <v>22</v>
      </c>
      <c r="J1817" t="s">
        <v>4151</v>
      </c>
      <c r="K1817" t="str">
        <f>IF(I1817="Trung bình",'Huong dan giao do an'!$B$8,IF(I1817="Khá",'Huong dan giao do an'!$B$9,'Huong dan giao do an'!$B$10))</f>
        <v>Tối thiểu 4 actor; 10-14 use case; 8-12 bảng; 3 quy trình lõi; phân quyền chi tiết; 2 báo cáo; tích hợp 1 dịch vụ; &gt;=35 test case; CI/CD hoặc deploy cloud.</v>
      </c>
      <c r="L1817" t="str">
        <f>'Huong dan giao do an'!$B$31</f>
        <v>Bắt buộc: Charter/PMP; SRS + scope/WBS; Gantt/baseline; effort-cost budget; RACI/timesheet; quality-test-defect; communication/minutes; risk register; procurement; change log; closure/lessons learned.</v>
      </c>
      <c r="M1817" t="str">
        <f>'Huong dan giao do an'!$B$33</f>
        <v>Tuần 1: 07.09–13.09.2026; Tuần 2: 14.09–20.09.2026; Tuần 3: 21.09–27.09.2026; Tuần 4: 28.09–04.10.2026; Tuần 5: 05.10–11.10.2026; Tuần 6: 12.10–18.10.2026; Tuần 7: 19.10–25.10.2026; Tuần 8: 26.10–01.11.2026.</v>
      </c>
      <c r="N18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7" s="17" t="str">
        <f t="shared" si="28"/>
        <v>Còn trống</v>
      </c>
    </row>
    <row r="1818" spans="1:16" x14ac:dyDescent="0.3">
      <c r="A1818">
        <v>1817</v>
      </c>
      <c r="B1818" t="s">
        <v>4146</v>
      </c>
      <c r="C1818" t="s">
        <v>4203</v>
      </c>
      <c r="D1818" t="s">
        <v>4204</v>
      </c>
      <c r="E1818" t="s">
        <v>45</v>
      </c>
      <c r="F1818" t="s">
        <v>4154</v>
      </c>
      <c r="G1818" t="s">
        <v>4205</v>
      </c>
      <c r="H1818" t="str">
        <f>'Huong dan giao do an'!$B$14</f>
        <v>5 SV (vai trò chính): 1 PM/Scrum Master kiêm Integration; 2 BA/PO; 3 UI-UX + Frontend; 4 Backend/API + DevOps; 5 Database + QA/Tester. Mỗi SV có nhiệm vụ phụ và minh chứng cá nhân.</v>
      </c>
      <c r="I1818" t="s">
        <v>29</v>
      </c>
      <c r="J1818" t="s">
        <v>4156</v>
      </c>
      <c r="K1818" t="str">
        <f>IF(I1818="Trung bình",'Huong dan giao do an'!$B$8,IF(I1818="Khá",'Huong dan giao do an'!$B$9,'Huong dan giao do an'!$B$10))</f>
        <v>Tối thiểu 5 actor; 14-18 use case; 10-15 bảng; 4 quy trình; tích hợp ngoài/realtime hoặc xử lý nâng cao; 3 báo cáo; &gt;=45 test case; logging, backup và deploy.</v>
      </c>
      <c r="L1818" t="str">
        <f>'Huong dan giao do an'!$B$31</f>
        <v>Bắt buộc: Charter/PMP; SRS + scope/WBS; Gantt/baseline; effort-cost budget; RACI/timesheet; quality-test-defect; communication/minutes; risk register; procurement; change log; closure/lessons learned.</v>
      </c>
      <c r="M1818" t="str">
        <f>'Huong dan giao do an'!$B$33</f>
        <v>Tuần 1: 07.09–13.09.2026; Tuần 2: 14.09–20.09.2026; Tuần 3: 21.09–27.09.2026; Tuần 4: 28.09–04.10.2026; Tuần 5: 05.10–11.10.2026; Tuần 6: 12.10–18.10.2026; Tuần 7: 19.10–25.10.2026; Tuần 8: 26.10–01.11.2026.</v>
      </c>
      <c r="N18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8" s="17" t="str">
        <f t="shared" si="28"/>
        <v>Còn trống</v>
      </c>
    </row>
    <row r="1819" spans="1:16" x14ac:dyDescent="0.3">
      <c r="A1819">
        <v>1818</v>
      </c>
      <c r="B1819" t="s">
        <v>4146</v>
      </c>
      <c r="C1819" t="s">
        <v>4206</v>
      </c>
      <c r="D1819" t="s">
        <v>4207</v>
      </c>
      <c r="E1819" t="s">
        <v>19</v>
      </c>
      <c r="F1819" t="s">
        <v>4159</v>
      </c>
      <c r="G1819" t="s">
        <v>4208</v>
      </c>
      <c r="H1819" t="str">
        <f>'Huong dan giao do an'!$B$14</f>
        <v>5 SV (vai trò chính): 1 PM/Scrum Master kiêm Integration; 2 BA/PO; 3 UI-UX + Frontend; 4 Backend/API + DevOps; 5 Database + QA/Tester. Mỗi SV có nhiệm vụ phụ và minh chứng cá nhân.</v>
      </c>
      <c r="I1819" t="s">
        <v>36</v>
      </c>
      <c r="J1819" t="s">
        <v>4161</v>
      </c>
      <c r="K1819" t="str">
        <f>IF(I1819="Trung bình",'Huong dan giao do an'!$B$8,IF(I1819="Khá",'Huong dan giao do an'!$B$9,'Huong dan giao do an'!$B$10))</f>
        <v>Tối thiểu 3 actor; 8-10 use case; 6-8 bảng dữ liệu; 2 quy trình lõi; đăng nhập/RBAC; 1 dashboard; 1 báo cáo; &gt;=25 test case; triển khai bản demo.</v>
      </c>
      <c r="L1819" t="str">
        <f>'Huong dan giao do an'!$B$31</f>
        <v>Bắt buộc: Charter/PMP; SRS + scope/WBS; Gantt/baseline; effort-cost budget; RACI/timesheet; quality-test-defect; communication/minutes; risk register; procurement; change log; closure/lessons learned.</v>
      </c>
      <c r="M1819" t="str">
        <f>'Huong dan giao do an'!$B$33</f>
        <v>Tuần 1: 07.09–13.09.2026; Tuần 2: 14.09–20.09.2026; Tuần 3: 21.09–27.09.2026; Tuần 4: 28.09–04.10.2026; Tuần 5: 05.10–11.10.2026; Tuần 6: 12.10–18.10.2026; Tuần 7: 19.10–25.10.2026; Tuần 8: 26.10–01.11.2026.</v>
      </c>
      <c r="N18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19" s="17" t="str">
        <f t="shared" si="28"/>
        <v>Còn trống</v>
      </c>
    </row>
    <row r="1820" spans="1:16" x14ac:dyDescent="0.3">
      <c r="A1820">
        <v>1819</v>
      </c>
      <c r="B1820" t="s">
        <v>4146</v>
      </c>
      <c r="C1820" t="s">
        <v>4209</v>
      </c>
      <c r="D1820" t="s">
        <v>4210</v>
      </c>
      <c r="E1820" t="s">
        <v>26</v>
      </c>
      <c r="F1820" t="s">
        <v>4164</v>
      </c>
      <c r="G1820" t="s">
        <v>4211</v>
      </c>
      <c r="H1820" t="str">
        <f>'Huong dan giao do an'!$B$14</f>
        <v>5 SV (vai trò chính): 1 PM/Scrum Master kiêm Integration; 2 BA/PO; 3 UI-UX + Frontend; 4 Backend/API + DevOps; 5 Database + QA/Tester. Mỗi SV có nhiệm vụ phụ và minh chứng cá nhân.</v>
      </c>
      <c r="I1820" t="s">
        <v>22</v>
      </c>
      <c r="J1820" t="s">
        <v>4151</v>
      </c>
      <c r="K1820" t="str">
        <f>IF(I1820="Trung bình",'Huong dan giao do an'!$B$8,IF(I1820="Khá",'Huong dan giao do an'!$B$9,'Huong dan giao do an'!$B$10))</f>
        <v>Tối thiểu 4 actor; 10-14 use case; 8-12 bảng; 3 quy trình lõi; phân quyền chi tiết; 2 báo cáo; tích hợp 1 dịch vụ; &gt;=35 test case; CI/CD hoặc deploy cloud.</v>
      </c>
      <c r="L1820" t="str">
        <f>'Huong dan giao do an'!$B$31</f>
        <v>Bắt buộc: Charter/PMP; SRS + scope/WBS; Gantt/baseline; effort-cost budget; RACI/timesheet; quality-test-defect; communication/minutes; risk register; procurement; change log; closure/lessons learned.</v>
      </c>
      <c r="M1820" t="str">
        <f>'Huong dan giao do an'!$B$33</f>
        <v>Tuần 1: 07.09–13.09.2026; Tuần 2: 14.09–20.09.2026; Tuần 3: 21.09–27.09.2026; Tuần 4: 28.09–04.10.2026; Tuần 5: 05.10–11.10.2026; Tuần 6: 12.10–18.10.2026; Tuần 7: 19.10–25.10.2026; Tuần 8: 26.10–01.11.2026.</v>
      </c>
      <c r="N18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0" s="17" t="str">
        <f t="shared" si="28"/>
        <v>Còn trống</v>
      </c>
    </row>
    <row r="1821" spans="1:16" x14ac:dyDescent="0.3">
      <c r="A1821">
        <v>1820</v>
      </c>
      <c r="B1821" t="s">
        <v>4146</v>
      </c>
      <c r="C1821" t="s">
        <v>4212</v>
      </c>
      <c r="D1821" t="s">
        <v>4213</v>
      </c>
      <c r="E1821" t="s">
        <v>33</v>
      </c>
      <c r="F1821" t="s">
        <v>4168</v>
      </c>
      <c r="G1821" t="s">
        <v>4214</v>
      </c>
      <c r="H1821" t="str">
        <f>'Huong dan giao do an'!$B$14</f>
        <v>5 SV (vai trò chính): 1 PM/Scrum Master kiêm Integration; 2 BA/PO; 3 UI-UX + Frontend; 4 Backend/API + DevOps; 5 Database + QA/Tester. Mỗi SV có nhiệm vụ phụ và minh chứng cá nhân.</v>
      </c>
      <c r="I1821" t="s">
        <v>29</v>
      </c>
      <c r="J1821" t="s">
        <v>4156</v>
      </c>
      <c r="K1821" t="str">
        <f>IF(I1821="Trung bình",'Huong dan giao do an'!$B$8,IF(I1821="Khá",'Huong dan giao do an'!$B$9,'Huong dan giao do an'!$B$10))</f>
        <v>Tối thiểu 5 actor; 14-18 use case; 10-15 bảng; 4 quy trình; tích hợp ngoài/realtime hoặc xử lý nâng cao; 3 báo cáo; &gt;=45 test case; logging, backup và deploy.</v>
      </c>
      <c r="L1821" t="str">
        <f>'Huong dan giao do an'!$B$31</f>
        <v>Bắt buộc: Charter/PMP; SRS + scope/WBS; Gantt/baseline; effort-cost budget; RACI/timesheet; quality-test-defect; communication/minutes; risk register; procurement; change log; closure/lessons learned.</v>
      </c>
      <c r="M1821" t="str">
        <f>'Huong dan giao do an'!$B$33</f>
        <v>Tuần 1: 07.09–13.09.2026; Tuần 2: 14.09–20.09.2026; Tuần 3: 21.09–27.09.2026; Tuần 4: 28.09–04.10.2026; Tuần 5: 05.10–11.10.2026; Tuần 6: 12.10–18.10.2026; Tuần 7: 19.10–25.10.2026; Tuần 8: 26.10–01.11.2026.</v>
      </c>
      <c r="N18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1" s="17" t="str">
        <f t="shared" si="28"/>
        <v>Còn trống</v>
      </c>
    </row>
    <row r="1822" spans="1:16" x14ac:dyDescent="0.3">
      <c r="A1822">
        <v>1821</v>
      </c>
      <c r="B1822" t="s">
        <v>4146</v>
      </c>
      <c r="C1822" t="s">
        <v>4215</v>
      </c>
      <c r="D1822" t="s">
        <v>4216</v>
      </c>
      <c r="E1822" t="s">
        <v>40</v>
      </c>
      <c r="F1822" t="s">
        <v>4149</v>
      </c>
      <c r="G1822" t="s">
        <v>4150</v>
      </c>
      <c r="H1822" t="str">
        <f>'Huong dan giao do an'!$B$14</f>
        <v>5 SV (vai trò chính): 1 PM/Scrum Master kiêm Integration; 2 BA/PO; 3 UI-UX + Frontend; 4 Backend/API + DevOps; 5 Database + QA/Tester. Mỗi SV có nhiệm vụ phụ và minh chứng cá nhân.</v>
      </c>
      <c r="I1822" t="s">
        <v>22</v>
      </c>
      <c r="J1822" t="s">
        <v>4151</v>
      </c>
      <c r="K1822" t="str">
        <f>IF(I1822="Trung bình",'Huong dan giao do an'!$B$8,IF(I1822="Khá",'Huong dan giao do an'!$B$9,'Huong dan giao do an'!$B$10))</f>
        <v>Tối thiểu 4 actor; 10-14 use case; 8-12 bảng; 3 quy trình lõi; phân quyền chi tiết; 2 báo cáo; tích hợp 1 dịch vụ; &gt;=35 test case; CI/CD hoặc deploy cloud.</v>
      </c>
      <c r="L1822" t="str">
        <f>'Huong dan giao do an'!$B$31</f>
        <v>Bắt buộc: Charter/PMP; SRS + scope/WBS; Gantt/baseline; effort-cost budget; RACI/timesheet; quality-test-defect; communication/minutes; risk register; procurement; change log; closure/lessons learned.</v>
      </c>
      <c r="M1822" t="str">
        <f>'Huong dan giao do an'!$B$33</f>
        <v>Tuần 1: 07.09–13.09.2026; Tuần 2: 14.09–20.09.2026; Tuần 3: 21.09–27.09.2026; Tuần 4: 28.09–04.10.2026; Tuần 5: 05.10–11.10.2026; Tuần 6: 12.10–18.10.2026; Tuần 7: 19.10–25.10.2026; Tuần 8: 26.10–01.11.2026.</v>
      </c>
      <c r="N18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2" s="17" t="str">
        <f t="shared" si="28"/>
        <v>Còn trống</v>
      </c>
    </row>
    <row r="1823" spans="1:16" x14ac:dyDescent="0.3">
      <c r="A1823">
        <v>1822</v>
      </c>
      <c r="B1823" t="s">
        <v>4146</v>
      </c>
      <c r="C1823" t="s">
        <v>4217</v>
      </c>
      <c r="D1823" t="s">
        <v>4218</v>
      </c>
      <c r="E1823" t="s">
        <v>45</v>
      </c>
      <c r="F1823" t="s">
        <v>4154</v>
      </c>
      <c r="G1823" t="s">
        <v>4155</v>
      </c>
      <c r="H1823" t="str">
        <f>'Huong dan giao do an'!$B$14</f>
        <v>5 SV (vai trò chính): 1 PM/Scrum Master kiêm Integration; 2 BA/PO; 3 UI-UX + Frontend; 4 Backend/API + DevOps; 5 Database + QA/Tester. Mỗi SV có nhiệm vụ phụ và minh chứng cá nhân.</v>
      </c>
      <c r="I1823" t="s">
        <v>29</v>
      </c>
      <c r="J1823" t="s">
        <v>4156</v>
      </c>
      <c r="K1823" t="str">
        <f>IF(I1823="Trung bình",'Huong dan giao do an'!$B$8,IF(I1823="Khá",'Huong dan giao do an'!$B$9,'Huong dan giao do an'!$B$10))</f>
        <v>Tối thiểu 5 actor; 14-18 use case; 10-15 bảng; 4 quy trình; tích hợp ngoài/realtime hoặc xử lý nâng cao; 3 báo cáo; &gt;=45 test case; logging, backup và deploy.</v>
      </c>
      <c r="L1823" t="str">
        <f>'Huong dan giao do an'!$B$31</f>
        <v>Bắt buộc: Charter/PMP; SRS + scope/WBS; Gantt/baseline; effort-cost budget; RACI/timesheet; quality-test-defect; communication/minutes; risk register; procurement; change log; closure/lessons learned.</v>
      </c>
      <c r="M1823" t="str">
        <f>'Huong dan giao do an'!$B$33</f>
        <v>Tuần 1: 07.09–13.09.2026; Tuần 2: 14.09–20.09.2026; Tuần 3: 21.09–27.09.2026; Tuần 4: 28.09–04.10.2026; Tuần 5: 05.10–11.10.2026; Tuần 6: 12.10–18.10.2026; Tuần 7: 19.10–25.10.2026; Tuần 8: 26.10–01.11.2026.</v>
      </c>
      <c r="N18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3" s="17" t="str">
        <f t="shared" si="28"/>
        <v>Còn trống</v>
      </c>
    </row>
    <row r="1824" spans="1:16" x14ac:dyDescent="0.3">
      <c r="A1824">
        <v>1823</v>
      </c>
      <c r="B1824" t="s">
        <v>4146</v>
      </c>
      <c r="C1824" t="s">
        <v>4219</v>
      </c>
      <c r="D1824" t="s">
        <v>4220</v>
      </c>
      <c r="E1824" t="s">
        <v>19</v>
      </c>
      <c r="F1824" t="s">
        <v>4159</v>
      </c>
      <c r="G1824" t="s">
        <v>4160</v>
      </c>
      <c r="H1824" t="str">
        <f>'Huong dan giao do an'!$B$14</f>
        <v>5 SV (vai trò chính): 1 PM/Scrum Master kiêm Integration; 2 BA/PO; 3 UI-UX + Frontend; 4 Backend/API + DevOps; 5 Database + QA/Tester. Mỗi SV có nhiệm vụ phụ và minh chứng cá nhân.</v>
      </c>
      <c r="I1824" t="s">
        <v>36</v>
      </c>
      <c r="J1824" t="s">
        <v>4161</v>
      </c>
      <c r="K1824" t="str">
        <f>IF(I1824="Trung bình",'Huong dan giao do an'!$B$8,IF(I1824="Khá",'Huong dan giao do an'!$B$9,'Huong dan giao do an'!$B$10))</f>
        <v>Tối thiểu 3 actor; 8-10 use case; 6-8 bảng dữ liệu; 2 quy trình lõi; đăng nhập/RBAC; 1 dashboard; 1 báo cáo; &gt;=25 test case; triển khai bản demo.</v>
      </c>
      <c r="L1824" t="str">
        <f>'Huong dan giao do an'!$B$31</f>
        <v>Bắt buộc: Charter/PMP; SRS + scope/WBS; Gantt/baseline; effort-cost budget; RACI/timesheet; quality-test-defect; communication/minutes; risk register; procurement; change log; closure/lessons learned.</v>
      </c>
      <c r="M1824" t="str">
        <f>'Huong dan giao do an'!$B$33</f>
        <v>Tuần 1: 07.09–13.09.2026; Tuần 2: 14.09–20.09.2026; Tuần 3: 21.09–27.09.2026; Tuần 4: 28.09–04.10.2026; Tuần 5: 05.10–11.10.2026; Tuần 6: 12.10–18.10.2026; Tuần 7: 19.10–25.10.2026; Tuần 8: 26.10–01.11.2026.</v>
      </c>
      <c r="N18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4" s="17" t="str">
        <f t="shared" si="28"/>
        <v>Còn trống</v>
      </c>
    </row>
    <row r="1825" spans="1:16" x14ac:dyDescent="0.3">
      <c r="A1825">
        <v>1824</v>
      </c>
      <c r="B1825" t="s">
        <v>4146</v>
      </c>
      <c r="C1825" t="s">
        <v>4221</v>
      </c>
      <c r="D1825" t="s">
        <v>4222</v>
      </c>
      <c r="E1825" t="s">
        <v>26</v>
      </c>
      <c r="F1825" t="s">
        <v>4164</v>
      </c>
      <c r="G1825" t="s">
        <v>4165</v>
      </c>
      <c r="H1825" t="str">
        <f>'Huong dan giao do an'!$B$14</f>
        <v>5 SV (vai trò chính): 1 PM/Scrum Master kiêm Integration; 2 BA/PO; 3 UI-UX + Frontend; 4 Backend/API + DevOps; 5 Database + QA/Tester. Mỗi SV có nhiệm vụ phụ và minh chứng cá nhân.</v>
      </c>
      <c r="I1825" t="s">
        <v>22</v>
      </c>
      <c r="J1825" t="s">
        <v>4151</v>
      </c>
      <c r="K1825" t="str">
        <f>IF(I1825="Trung bình",'Huong dan giao do an'!$B$8,IF(I1825="Khá",'Huong dan giao do an'!$B$9,'Huong dan giao do an'!$B$10))</f>
        <v>Tối thiểu 4 actor; 10-14 use case; 8-12 bảng; 3 quy trình lõi; phân quyền chi tiết; 2 báo cáo; tích hợp 1 dịch vụ; &gt;=35 test case; CI/CD hoặc deploy cloud.</v>
      </c>
      <c r="L1825" t="str">
        <f>'Huong dan giao do an'!$B$31</f>
        <v>Bắt buộc: Charter/PMP; SRS + scope/WBS; Gantt/baseline; effort-cost budget; RACI/timesheet; quality-test-defect; communication/minutes; risk register; procurement; change log; closure/lessons learned.</v>
      </c>
      <c r="M1825" t="str">
        <f>'Huong dan giao do an'!$B$33</f>
        <v>Tuần 1: 07.09–13.09.2026; Tuần 2: 14.09–20.09.2026; Tuần 3: 21.09–27.09.2026; Tuần 4: 28.09–04.10.2026; Tuần 5: 05.10–11.10.2026; Tuần 6: 12.10–18.10.2026; Tuần 7: 19.10–25.10.2026; Tuần 8: 26.10–01.11.2026.</v>
      </c>
      <c r="N18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5" s="17" t="str">
        <f t="shared" si="28"/>
        <v>Còn trống</v>
      </c>
    </row>
    <row r="1826" spans="1:16" x14ac:dyDescent="0.3">
      <c r="A1826">
        <v>1825</v>
      </c>
      <c r="B1826" t="s">
        <v>4146</v>
      </c>
      <c r="C1826" t="s">
        <v>4223</v>
      </c>
      <c r="D1826" t="s">
        <v>4224</v>
      </c>
      <c r="E1826" t="s">
        <v>33</v>
      </c>
      <c r="F1826" t="s">
        <v>4168</v>
      </c>
      <c r="G1826" t="s">
        <v>4169</v>
      </c>
      <c r="H1826" t="str">
        <f>'Huong dan giao do an'!$B$14</f>
        <v>5 SV (vai trò chính): 1 PM/Scrum Master kiêm Integration; 2 BA/PO; 3 UI-UX + Frontend; 4 Backend/API + DevOps; 5 Database + QA/Tester. Mỗi SV có nhiệm vụ phụ và minh chứng cá nhân.</v>
      </c>
      <c r="I1826" t="s">
        <v>29</v>
      </c>
      <c r="J1826" t="s">
        <v>4156</v>
      </c>
      <c r="K1826" t="str">
        <f>IF(I1826="Trung bình",'Huong dan giao do an'!$B$8,IF(I1826="Khá",'Huong dan giao do an'!$B$9,'Huong dan giao do an'!$B$10))</f>
        <v>Tối thiểu 5 actor; 14-18 use case; 10-15 bảng; 4 quy trình; tích hợp ngoài/realtime hoặc xử lý nâng cao; 3 báo cáo; &gt;=45 test case; logging, backup và deploy.</v>
      </c>
      <c r="L1826" t="str">
        <f>'Huong dan giao do an'!$B$31</f>
        <v>Bắt buộc: Charter/PMP; SRS + scope/WBS; Gantt/baseline; effort-cost budget; RACI/timesheet; quality-test-defect; communication/minutes; risk register; procurement; change log; closure/lessons learned.</v>
      </c>
      <c r="M1826" t="str">
        <f>'Huong dan giao do an'!$B$33</f>
        <v>Tuần 1: 07.09–13.09.2026; Tuần 2: 14.09–20.09.2026; Tuần 3: 21.09–27.09.2026; Tuần 4: 28.09–04.10.2026; Tuần 5: 05.10–11.10.2026; Tuần 6: 12.10–18.10.2026; Tuần 7: 19.10–25.10.2026; Tuần 8: 26.10–01.11.2026.</v>
      </c>
      <c r="N18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6" s="17" t="str">
        <f t="shared" si="28"/>
        <v>Còn trống</v>
      </c>
    </row>
    <row r="1827" spans="1:16" x14ac:dyDescent="0.3">
      <c r="A1827">
        <v>1826</v>
      </c>
      <c r="B1827" t="s">
        <v>4146</v>
      </c>
      <c r="C1827" t="s">
        <v>4225</v>
      </c>
      <c r="D1827" t="s">
        <v>4226</v>
      </c>
      <c r="E1827" t="s">
        <v>40</v>
      </c>
      <c r="F1827" t="s">
        <v>4149</v>
      </c>
      <c r="G1827" t="s">
        <v>4172</v>
      </c>
      <c r="H1827" t="str">
        <f>'Huong dan giao do an'!$B$14</f>
        <v>5 SV (vai trò chính): 1 PM/Scrum Master kiêm Integration; 2 BA/PO; 3 UI-UX + Frontend; 4 Backend/API + DevOps; 5 Database + QA/Tester. Mỗi SV có nhiệm vụ phụ và minh chứng cá nhân.</v>
      </c>
      <c r="I1827" t="s">
        <v>36</v>
      </c>
      <c r="J1827" t="s">
        <v>4161</v>
      </c>
      <c r="K1827" t="str">
        <f>IF(I1827="Trung bình",'Huong dan giao do an'!$B$8,IF(I1827="Khá",'Huong dan giao do an'!$B$9,'Huong dan giao do an'!$B$10))</f>
        <v>Tối thiểu 3 actor; 8-10 use case; 6-8 bảng dữ liệu; 2 quy trình lõi; đăng nhập/RBAC; 1 dashboard; 1 báo cáo; &gt;=25 test case; triển khai bản demo.</v>
      </c>
      <c r="L1827" t="str">
        <f>'Huong dan giao do an'!$B$31</f>
        <v>Bắt buộc: Charter/PMP; SRS + scope/WBS; Gantt/baseline; effort-cost budget; RACI/timesheet; quality-test-defect; communication/minutes; risk register; procurement; change log; closure/lessons learned.</v>
      </c>
      <c r="M1827" t="str">
        <f>'Huong dan giao do an'!$B$33</f>
        <v>Tuần 1: 07.09–13.09.2026; Tuần 2: 14.09–20.09.2026; Tuần 3: 21.09–27.09.2026; Tuần 4: 28.09–04.10.2026; Tuần 5: 05.10–11.10.2026; Tuần 6: 12.10–18.10.2026; Tuần 7: 19.10–25.10.2026; Tuần 8: 26.10–01.11.2026.</v>
      </c>
      <c r="N18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7" s="17" t="str">
        <f t="shared" si="28"/>
        <v>Còn trống</v>
      </c>
    </row>
    <row r="1828" spans="1:16" x14ac:dyDescent="0.3">
      <c r="A1828">
        <v>1827</v>
      </c>
      <c r="B1828" t="s">
        <v>4146</v>
      </c>
      <c r="C1828" t="s">
        <v>4227</v>
      </c>
      <c r="D1828" t="s">
        <v>4228</v>
      </c>
      <c r="E1828" t="s">
        <v>45</v>
      </c>
      <c r="F1828" t="s">
        <v>4154</v>
      </c>
      <c r="G1828" t="s">
        <v>4175</v>
      </c>
      <c r="H1828" t="str">
        <f>'Huong dan giao do an'!$B$14</f>
        <v>5 SV (vai trò chính): 1 PM/Scrum Master kiêm Integration; 2 BA/PO; 3 UI-UX + Frontend; 4 Backend/API + DevOps; 5 Database + QA/Tester. Mỗi SV có nhiệm vụ phụ và minh chứng cá nhân.</v>
      </c>
      <c r="I1828" t="s">
        <v>22</v>
      </c>
      <c r="J1828" t="s">
        <v>4151</v>
      </c>
      <c r="K1828" t="str">
        <f>IF(I1828="Trung bình",'Huong dan giao do an'!$B$8,IF(I1828="Khá",'Huong dan giao do an'!$B$9,'Huong dan giao do an'!$B$10))</f>
        <v>Tối thiểu 4 actor; 10-14 use case; 8-12 bảng; 3 quy trình lõi; phân quyền chi tiết; 2 báo cáo; tích hợp 1 dịch vụ; &gt;=35 test case; CI/CD hoặc deploy cloud.</v>
      </c>
      <c r="L1828" t="str">
        <f>'Huong dan giao do an'!$B$31</f>
        <v>Bắt buộc: Charter/PMP; SRS + scope/WBS; Gantt/baseline; effort-cost budget; RACI/timesheet; quality-test-defect; communication/minutes; risk register; procurement; change log; closure/lessons learned.</v>
      </c>
      <c r="M1828" t="str">
        <f>'Huong dan giao do an'!$B$33</f>
        <v>Tuần 1: 07.09–13.09.2026; Tuần 2: 14.09–20.09.2026; Tuần 3: 21.09–27.09.2026; Tuần 4: 28.09–04.10.2026; Tuần 5: 05.10–11.10.2026; Tuần 6: 12.10–18.10.2026; Tuần 7: 19.10–25.10.2026; Tuần 8: 26.10–01.11.2026.</v>
      </c>
      <c r="N18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8" s="17" t="str">
        <f t="shared" si="28"/>
        <v>Còn trống</v>
      </c>
    </row>
    <row r="1829" spans="1:16" x14ac:dyDescent="0.3">
      <c r="A1829">
        <v>1828</v>
      </c>
      <c r="B1829" t="s">
        <v>4146</v>
      </c>
      <c r="C1829" t="s">
        <v>4229</v>
      </c>
      <c r="D1829" t="s">
        <v>4230</v>
      </c>
      <c r="E1829" t="s">
        <v>19</v>
      </c>
      <c r="F1829" t="s">
        <v>4159</v>
      </c>
      <c r="G1829" t="s">
        <v>4178</v>
      </c>
      <c r="H1829" t="str">
        <f>'Huong dan giao do an'!$B$14</f>
        <v>5 SV (vai trò chính): 1 PM/Scrum Master kiêm Integration; 2 BA/PO; 3 UI-UX + Frontend; 4 Backend/API + DevOps; 5 Database + QA/Tester. Mỗi SV có nhiệm vụ phụ và minh chứng cá nhân.</v>
      </c>
      <c r="I1829" t="s">
        <v>29</v>
      </c>
      <c r="J1829" t="s">
        <v>4156</v>
      </c>
      <c r="K1829" t="str">
        <f>IF(I1829="Trung bình",'Huong dan giao do an'!$B$8,IF(I1829="Khá",'Huong dan giao do an'!$B$9,'Huong dan giao do an'!$B$10))</f>
        <v>Tối thiểu 5 actor; 14-18 use case; 10-15 bảng; 4 quy trình; tích hợp ngoài/realtime hoặc xử lý nâng cao; 3 báo cáo; &gt;=45 test case; logging, backup và deploy.</v>
      </c>
      <c r="L1829" t="str">
        <f>'Huong dan giao do an'!$B$31</f>
        <v>Bắt buộc: Charter/PMP; SRS + scope/WBS; Gantt/baseline; effort-cost budget; RACI/timesheet; quality-test-defect; communication/minutes; risk register; procurement; change log; closure/lessons learned.</v>
      </c>
      <c r="M1829" t="str">
        <f>'Huong dan giao do an'!$B$33</f>
        <v>Tuần 1: 07.09–13.09.2026; Tuần 2: 14.09–20.09.2026; Tuần 3: 21.09–27.09.2026; Tuần 4: 28.09–04.10.2026; Tuần 5: 05.10–11.10.2026; Tuần 6: 12.10–18.10.2026; Tuần 7: 19.10–25.10.2026; Tuần 8: 26.10–01.11.2026.</v>
      </c>
      <c r="N18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29" s="17" t="str">
        <f t="shared" si="28"/>
        <v>Còn trống</v>
      </c>
    </row>
    <row r="1830" spans="1:16" x14ac:dyDescent="0.3">
      <c r="A1830">
        <v>1829</v>
      </c>
      <c r="B1830" t="s">
        <v>4146</v>
      </c>
      <c r="C1830" t="s">
        <v>4231</v>
      </c>
      <c r="D1830" t="s">
        <v>4232</v>
      </c>
      <c r="E1830" t="s">
        <v>26</v>
      </c>
      <c r="F1830" t="s">
        <v>4164</v>
      </c>
      <c r="G1830" t="s">
        <v>4181</v>
      </c>
      <c r="H1830" t="str">
        <f>'Huong dan giao do an'!$B$14</f>
        <v>5 SV (vai trò chính): 1 PM/Scrum Master kiêm Integration; 2 BA/PO; 3 UI-UX + Frontend; 4 Backend/API + DevOps; 5 Database + QA/Tester. Mỗi SV có nhiệm vụ phụ và minh chứng cá nhân.</v>
      </c>
      <c r="I1830" t="s">
        <v>36</v>
      </c>
      <c r="J1830" t="s">
        <v>4161</v>
      </c>
      <c r="K1830" t="str">
        <f>IF(I1830="Trung bình",'Huong dan giao do an'!$B$8,IF(I1830="Khá",'Huong dan giao do an'!$B$9,'Huong dan giao do an'!$B$10))</f>
        <v>Tối thiểu 3 actor; 8-10 use case; 6-8 bảng dữ liệu; 2 quy trình lõi; đăng nhập/RBAC; 1 dashboard; 1 báo cáo; &gt;=25 test case; triển khai bản demo.</v>
      </c>
      <c r="L1830" t="str">
        <f>'Huong dan giao do an'!$B$31</f>
        <v>Bắt buộc: Charter/PMP; SRS + scope/WBS; Gantt/baseline; effort-cost budget; RACI/timesheet; quality-test-defect; communication/minutes; risk register; procurement; change log; closure/lessons learned.</v>
      </c>
      <c r="M1830" t="str">
        <f>'Huong dan giao do an'!$B$33</f>
        <v>Tuần 1: 07.09–13.09.2026; Tuần 2: 14.09–20.09.2026; Tuần 3: 21.09–27.09.2026; Tuần 4: 28.09–04.10.2026; Tuần 5: 05.10–11.10.2026; Tuần 6: 12.10–18.10.2026; Tuần 7: 19.10–25.10.2026; Tuần 8: 26.10–01.11.2026.</v>
      </c>
      <c r="N18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0" s="17" t="str">
        <f t="shared" si="28"/>
        <v>Còn trống</v>
      </c>
    </row>
    <row r="1831" spans="1:16" x14ac:dyDescent="0.3">
      <c r="A1831">
        <v>1830</v>
      </c>
      <c r="B1831" t="s">
        <v>4146</v>
      </c>
      <c r="C1831" t="s">
        <v>4233</v>
      </c>
      <c r="D1831" t="s">
        <v>4234</v>
      </c>
      <c r="E1831" t="s">
        <v>33</v>
      </c>
      <c r="F1831" t="s">
        <v>4168</v>
      </c>
      <c r="G1831" t="s">
        <v>4184</v>
      </c>
      <c r="H1831" t="str">
        <f>'Huong dan giao do an'!$B$14</f>
        <v>5 SV (vai trò chính): 1 PM/Scrum Master kiêm Integration; 2 BA/PO; 3 UI-UX + Frontend; 4 Backend/API + DevOps; 5 Database + QA/Tester. Mỗi SV có nhiệm vụ phụ và minh chứng cá nhân.</v>
      </c>
      <c r="I1831" t="s">
        <v>22</v>
      </c>
      <c r="J1831" t="s">
        <v>4151</v>
      </c>
      <c r="K1831" t="str">
        <f>IF(I1831="Trung bình",'Huong dan giao do an'!$B$8,IF(I1831="Khá",'Huong dan giao do an'!$B$9,'Huong dan giao do an'!$B$10))</f>
        <v>Tối thiểu 4 actor; 10-14 use case; 8-12 bảng; 3 quy trình lõi; phân quyền chi tiết; 2 báo cáo; tích hợp 1 dịch vụ; &gt;=35 test case; CI/CD hoặc deploy cloud.</v>
      </c>
      <c r="L1831" t="str">
        <f>'Huong dan giao do an'!$B$31</f>
        <v>Bắt buộc: Charter/PMP; SRS + scope/WBS; Gantt/baseline; effort-cost budget; RACI/timesheet; quality-test-defect; communication/minutes; risk register; procurement; change log; closure/lessons learned.</v>
      </c>
      <c r="M1831" t="str">
        <f>'Huong dan giao do an'!$B$33</f>
        <v>Tuần 1: 07.09–13.09.2026; Tuần 2: 14.09–20.09.2026; Tuần 3: 21.09–27.09.2026; Tuần 4: 28.09–04.10.2026; Tuần 5: 05.10–11.10.2026; Tuần 6: 12.10–18.10.2026; Tuần 7: 19.10–25.10.2026; Tuần 8: 26.10–01.11.2026.</v>
      </c>
      <c r="N18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1" s="17" t="str">
        <f t="shared" si="28"/>
        <v>Còn trống</v>
      </c>
    </row>
    <row r="1832" spans="1:16" x14ac:dyDescent="0.3">
      <c r="A1832">
        <v>1831</v>
      </c>
      <c r="B1832" t="s">
        <v>4146</v>
      </c>
      <c r="C1832" t="s">
        <v>4235</v>
      </c>
      <c r="D1832" t="s">
        <v>4236</v>
      </c>
      <c r="E1832" t="s">
        <v>40</v>
      </c>
      <c r="F1832" t="s">
        <v>4149</v>
      </c>
      <c r="G1832" t="s">
        <v>4187</v>
      </c>
      <c r="H1832" t="str">
        <f>'Huong dan giao do an'!$B$14</f>
        <v>5 SV (vai trò chính): 1 PM/Scrum Master kiêm Integration; 2 BA/PO; 3 UI-UX + Frontend; 4 Backend/API + DevOps; 5 Database + QA/Tester. Mỗi SV có nhiệm vụ phụ và minh chứng cá nhân.</v>
      </c>
      <c r="I1832" t="s">
        <v>29</v>
      </c>
      <c r="J1832" t="s">
        <v>4156</v>
      </c>
      <c r="K1832" t="str">
        <f>IF(I1832="Trung bình",'Huong dan giao do an'!$B$8,IF(I1832="Khá",'Huong dan giao do an'!$B$9,'Huong dan giao do an'!$B$10))</f>
        <v>Tối thiểu 5 actor; 14-18 use case; 10-15 bảng; 4 quy trình; tích hợp ngoài/realtime hoặc xử lý nâng cao; 3 báo cáo; &gt;=45 test case; logging, backup và deploy.</v>
      </c>
      <c r="L1832" t="str">
        <f>'Huong dan giao do an'!$B$31</f>
        <v>Bắt buộc: Charter/PMP; SRS + scope/WBS; Gantt/baseline; effort-cost budget; RACI/timesheet; quality-test-defect; communication/minutes; risk register; procurement; change log; closure/lessons learned.</v>
      </c>
      <c r="M1832" t="str">
        <f>'Huong dan giao do an'!$B$33</f>
        <v>Tuần 1: 07.09–13.09.2026; Tuần 2: 14.09–20.09.2026; Tuần 3: 21.09–27.09.2026; Tuần 4: 28.09–04.10.2026; Tuần 5: 05.10–11.10.2026; Tuần 6: 12.10–18.10.2026; Tuần 7: 19.10–25.10.2026; Tuần 8: 26.10–01.11.2026.</v>
      </c>
      <c r="N18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2" s="17" t="str">
        <f t="shared" si="28"/>
        <v>Còn trống</v>
      </c>
    </row>
    <row r="1833" spans="1:16" x14ac:dyDescent="0.3">
      <c r="A1833">
        <v>1832</v>
      </c>
      <c r="B1833" t="s">
        <v>4146</v>
      </c>
      <c r="C1833" t="s">
        <v>4237</v>
      </c>
      <c r="D1833" t="s">
        <v>4238</v>
      </c>
      <c r="E1833" t="s">
        <v>45</v>
      </c>
      <c r="F1833" t="s">
        <v>4154</v>
      </c>
      <c r="G1833" t="s">
        <v>4190</v>
      </c>
      <c r="H1833" t="str">
        <f>'Huong dan giao do an'!$B$14</f>
        <v>5 SV (vai trò chính): 1 PM/Scrum Master kiêm Integration; 2 BA/PO; 3 UI-UX + Frontend; 4 Backend/API + DevOps; 5 Database + QA/Tester. Mỗi SV có nhiệm vụ phụ và minh chứng cá nhân.</v>
      </c>
      <c r="I1833" t="s">
        <v>36</v>
      </c>
      <c r="J1833" t="s">
        <v>4161</v>
      </c>
      <c r="K1833" t="str">
        <f>IF(I1833="Trung bình",'Huong dan giao do an'!$B$8,IF(I1833="Khá",'Huong dan giao do an'!$B$9,'Huong dan giao do an'!$B$10))</f>
        <v>Tối thiểu 3 actor; 8-10 use case; 6-8 bảng dữ liệu; 2 quy trình lõi; đăng nhập/RBAC; 1 dashboard; 1 báo cáo; &gt;=25 test case; triển khai bản demo.</v>
      </c>
      <c r="L1833" t="str">
        <f>'Huong dan giao do an'!$B$31</f>
        <v>Bắt buộc: Charter/PMP; SRS + scope/WBS; Gantt/baseline; effort-cost budget; RACI/timesheet; quality-test-defect; communication/minutes; risk register; procurement; change log; closure/lessons learned.</v>
      </c>
      <c r="M1833" t="str">
        <f>'Huong dan giao do an'!$B$33</f>
        <v>Tuần 1: 07.09–13.09.2026; Tuần 2: 14.09–20.09.2026; Tuần 3: 21.09–27.09.2026; Tuần 4: 28.09–04.10.2026; Tuần 5: 05.10–11.10.2026; Tuần 6: 12.10–18.10.2026; Tuần 7: 19.10–25.10.2026; Tuần 8: 26.10–01.11.2026.</v>
      </c>
      <c r="N18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3" s="17" t="str">
        <f t="shared" si="28"/>
        <v>Còn trống</v>
      </c>
    </row>
    <row r="1834" spans="1:16" x14ac:dyDescent="0.3">
      <c r="A1834">
        <v>1833</v>
      </c>
      <c r="B1834" t="s">
        <v>4146</v>
      </c>
      <c r="C1834" t="s">
        <v>4239</v>
      </c>
      <c r="D1834" t="s">
        <v>4240</v>
      </c>
      <c r="E1834" t="s">
        <v>19</v>
      </c>
      <c r="F1834" t="s">
        <v>4159</v>
      </c>
      <c r="G1834" t="s">
        <v>4193</v>
      </c>
      <c r="H1834" t="str">
        <f>'Huong dan giao do an'!$B$14</f>
        <v>5 SV (vai trò chính): 1 PM/Scrum Master kiêm Integration; 2 BA/PO; 3 UI-UX + Frontend; 4 Backend/API + DevOps; 5 Database + QA/Tester. Mỗi SV có nhiệm vụ phụ và minh chứng cá nhân.</v>
      </c>
      <c r="I1834" t="s">
        <v>22</v>
      </c>
      <c r="J1834" t="s">
        <v>4151</v>
      </c>
      <c r="K1834" t="str">
        <f>IF(I1834="Trung bình",'Huong dan giao do an'!$B$8,IF(I1834="Khá",'Huong dan giao do an'!$B$9,'Huong dan giao do an'!$B$10))</f>
        <v>Tối thiểu 4 actor; 10-14 use case; 8-12 bảng; 3 quy trình lõi; phân quyền chi tiết; 2 báo cáo; tích hợp 1 dịch vụ; &gt;=35 test case; CI/CD hoặc deploy cloud.</v>
      </c>
      <c r="L1834" t="str">
        <f>'Huong dan giao do an'!$B$31</f>
        <v>Bắt buộc: Charter/PMP; SRS + scope/WBS; Gantt/baseline; effort-cost budget; RACI/timesheet; quality-test-defect; communication/minutes; risk register; procurement; change log; closure/lessons learned.</v>
      </c>
      <c r="M1834" t="str">
        <f>'Huong dan giao do an'!$B$33</f>
        <v>Tuần 1: 07.09–13.09.2026; Tuần 2: 14.09–20.09.2026; Tuần 3: 21.09–27.09.2026; Tuần 4: 28.09–04.10.2026; Tuần 5: 05.10–11.10.2026; Tuần 6: 12.10–18.10.2026; Tuần 7: 19.10–25.10.2026; Tuần 8: 26.10–01.11.2026.</v>
      </c>
      <c r="N18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4" s="17" t="str">
        <f t="shared" si="28"/>
        <v>Còn trống</v>
      </c>
    </row>
    <row r="1835" spans="1:16" x14ac:dyDescent="0.3">
      <c r="A1835">
        <v>1834</v>
      </c>
      <c r="B1835" t="s">
        <v>4146</v>
      </c>
      <c r="C1835" t="s">
        <v>4241</v>
      </c>
      <c r="D1835" t="s">
        <v>4242</v>
      </c>
      <c r="E1835" t="s">
        <v>26</v>
      </c>
      <c r="F1835" t="s">
        <v>4164</v>
      </c>
      <c r="G1835" t="s">
        <v>4196</v>
      </c>
      <c r="H1835" t="str">
        <f>'Huong dan giao do an'!$B$14</f>
        <v>5 SV (vai trò chính): 1 PM/Scrum Master kiêm Integration; 2 BA/PO; 3 UI-UX + Frontend; 4 Backend/API + DevOps; 5 Database + QA/Tester. Mỗi SV có nhiệm vụ phụ và minh chứng cá nhân.</v>
      </c>
      <c r="I1835" t="s">
        <v>29</v>
      </c>
      <c r="J1835" t="s">
        <v>4156</v>
      </c>
      <c r="K1835" t="str">
        <f>IF(I1835="Trung bình",'Huong dan giao do an'!$B$8,IF(I1835="Khá",'Huong dan giao do an'!$B$9,'Huong dan giao do an'!$B$10))</f>
        <v>Tối thiểu 5 actor; 14-18 use case; 10-15 bảng; 4 quy trình; tích hợp ngoài/realtime hoặc xử lý nâng cao; 3 báo cáo; &gt;=45 test case; logging, backup và deploy.</v>
      </c>
      <c r="L1835" t="str">
        <f>'Huong dan giao do an'!$B$31</f>
        <v>Bắt buộc: Charter/PMP; SRS + scope/WBS; Gantt/baseline; effort-cost budget; RACI/timesheet; quality-test-defect; communication/minutes; risk register; procurement; change log; closure/lessons learned.</v>
      </c>
      <c r="M1835" t="str">
        <f>'Huong dan giao do an'!$B$33</f>
        <v>Tuần 1: 07.09–13.09.2026; Tuần 2: 14.09–20.09.2026; Tuần 3: 21.09–27.09.2026; Tuần 4: 28.09–04.10.2026; Tuần 5: 05.10–11.10.2026; Tuần 6: 12.10–18.10.2026; Tuần 7: 19.10–25.10.2026; Tuần 8: 26.10–01.11.2026.</v>
      </c>
      <c r="N18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5" s="17" t="str">
        <f t="shared" si="28"/>
        <v>Còn trống</v>
      </c>
    </row>
    <row r="1836" spans="1:16" x14ac:dyDescent="0.3">
      <c r="A1836">
        <v>1835</v>
      </c>
      <c r="B1836" t="s">
        <v>4146</v>
      </c>
      <c r="C1836" t="s">
        <v>4243</v>
      </c>
      <c r="D1836" t="s">
        <v>4244</v>
      </c>
      <c r="E1836" t="s">
        <v>33</v>
      </c>
      <c r="F1836" t="s">
        <v>4168</v>
      </c>
      <c r="G1836" t="s">
        <v>4199</v>
      </c>
      <c r="H1836" t="str">
        <f>'Huong dan giao do an'!$B$14</f>
        <v>5 SV (vai trò chính): 1 PM/Scrum Master kiêm Integration; 2 BA/PO; 3 UI-UX + Frontend; 4 Backend/API + DevOps; 5 Database + QA/Tester. Mỗi SV có nhiệm vụ phụ và minh chứng cá nhân.</v>
      </c>
      <c r="I1836" t="s">
        <v>36</v>
      </c>
      <c r="J1836" t="s">
        <v>4161</v>
      </c>
      <c r="K1836" t="str">
        <f>IF(I1836="Trung bình",'Huong dan giao do an'!$B$8,IF(I1836="Khá",'Huong dan giao do an'!$B$9,'Huong dan giao do an'!$B$10))</f>
        <v>Tối thiểu 3 actor; 8-10 use case; 6-8 bảng dữ liệu; 2 quy trình lõi; đăng nhập/RBAC; 1 dashboard; 1 báo cáo; &gt;=25 test case; triển khai bản demo.</v>
      </c>
      <c r="L1836" t="str">
        <f>'Huong dan giao do an'!$B$31</f>
        <v>Bắt buộc: Charter/PMP; SRS + scope/WBS; Gantt/baseline; effort-cost budget; RACI/timesheet; quality-test-defect; communication/minutes; risk register; procurement; change log; closure/lessons learned.</v>
      </c>
      <c r="M1836" t="str">
        <f>'Huong dan giao do an'!$B$33</f>
        <v>Tuần 1: 07.09–13.09.2026; Tuần 2: 14.09–20.09.2026; Tuần 3: 21.09–27.09.2026; Tuần 4: 28.09–04.10.2026; Tuần 5: 05.10–11.10.2026; Tuần 6: 12.10–18.10.2026; Tuần 7: 19.10–25.10.2026; Tuần 8: 26.10–01.11.2026.</v>
      </c>
      <c r="N18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6" s="17" t="str">
        <f t="shared" si="28"/>
        <v>Còn trống</v>
      </c>
    </row>
    <row r="1837" spans="1:16" x14ac:dyDescent="0.3">
      <c r="A1837">
        <v>1836</v>
      </c>
      <c r="B1837" t="s">
        <v>4146</v>
      </c>
      <c r="C1837" t="s">
        <v>4245</v>
      </c>
      <c r="D1837" t="s">
        <v>4246</v>
      </c>
      <c r="E1837" t="s">
        <v>40</v>
      </c>
      <c r="F1837" t="s">
        <v>4149</v>
      </c>
      <c r="G1837" t="s">
        <v>4202</v>
      </c>
      <c r="H1837" t="str">
        <f>'Huong dan giao do an'!$B$14</f>
        <v>5 SV (vai trò chính): 1 PM/Scrum Master kiêm Integration; 2 BA/PO; 3 UI-UX + Frontend; 4 Backend/API + DevOps; 5 Database + QA/Tester. Mỗi SV có nhiệm vụ phụ và minh chứng cá nhân.</v>
      </c>
      <c r="I1837" t="s">
        <v>22</v>
      </c>
      <c r="J1837" t="s">
        <v>4151</v>
      </c>
      <c r="K1837" t="str">
        <f>IF(I1837="Trung bình",'Huong dan giao do an'!$B$8,IF(I1837="Khá",'Huong dan giao do an'!$B$9,'Huong dan giao do an'!$B$10))</f>
        <v>Tối thiểu 4 actor; 10-14 use case; 8-12 bảng; 3 quy trình lõi; phân quyền chi tiết; 2 báo cáo; tích hợp 1 dịch vụ; &gt;=35 test case; CI/CD hoặc deploy cloud.</v>
      </c>
      <c r="L1837" t="str">
        <f>'Huong dan giao do an'!$B$31</f>
        <v>Bắt buộc: Charter/PMP; SRS + scope/WBS; Gantt/baseline; effort-cost budget; RACI/timesheet; quality-test-defect; communication/minutes; risk register; procurement; change log; closure/lessons learned.</v>
      </c>
      <c r="M1837" t="str">
        <f>'Huong dan giao do an'!$B$33</f>
        <v>Tuần 1: 07.09–13.09.2026; Tuần 2: 14.09–20.09.2026; Tuần 3: 21.09–27.09.2026; Tuần 4: 28.09–04.10.2026; Tuần 5: 05.10–11.10.2026; Tuần 6: 12.10–18.10.2026; Tuần 7: 19.10–25.10.2026; Tuần 8: 26.10–01.11.2026.</v>
      </c>
      <c r="N18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7" s="17" t="str">
        <f t="shared" si="28"/>
        <v>Còn trống</v>
      </c>
    </row>
    <row r="1838" spans="1:16" x14ac:dyDescent="0.3">
      <c r="A1838">
        <v>1837</v>
      </c>
      <c r="B1838" t="s">
        <v>4146</v>
      </c>
      <c r="C1838" t="s">
        <v>4247</v>
      </c>
      <c r="D1838" t="s">
        <v>4248</v>
      </c>
      <c r="E1838" t="s">
        <v>45</v>
      </c>
      <c r="F1838" t="s">
        <v>4154</v>
      </c>
      <c r="G1838" t="s">
        <v>4205</v>
      </c>
      <c r="H1838" t="str">
        <f>'Huong dan giao do an'!$B$14</f>
        <v>5 SV (vai trò chính): 1 PM/Scrum Master kiêm Integration; 2 BA/PO; 3 UI-UX + Frontend; 4 Backend/API + DevOps; 5 Database + QA/Tester. Mỗi SV có nhiệm vụ phụ và minh chứng cá nhân.</v>
      </c>
      <c r="I1838" t="s">
        <v>29</v>
      </c>
      <c r="J1838" t="s">
        <v>4156</v>
      </c>
      <c r="K1838" t="str">
        <f>IF(I1838="Trung bình",'Huong dan giao do an'!$B$8,IF(I1838="Khá",'Huong dan giao do an'!$B$9,'Huong dan giao do an'!$B$10))</f>
        <v>Tối thiểu 5 actor; 14-18 use case; 10-15 bảng; 4 quy trình; tích hợp ngoài/realtime hoặc xử lý nâng cao; 3 báo cáo; &gt;=45 test case; logging, backup và deploy.</v>
      </c>
      <c r="L1838" t="str">
        <f>'Huong dan giao do an'!$B$31</f>
        <v>Bắt buộc: Charter/PMP; SRS + scope/WBS; Gantt/baseline; effort-cost budget; RACI/timesheet; quality-test-defect; communication/minutes; risk register; procurement; change log; closure/lessons learned.</v>
      </c>
      <c r="M1838" t="str">
        <f>'Huong dan giao do an'!$B$33</f>
        <v>Tuần 1: 07.09–13.09.2026; Tuần 2: 14.09–20.09.2026; Tuần 3: 21.09–27.09.2026; Tuần 4: 28.09–04.10.2026; Tuần 5: 05.10–11.10.2026; Tuần 6: 12.10–18.10.2026; Tuần 7: 19.10–25.10.2026; Tuần 8: 26.10–01.11.2026.</v>
      </c>
      <c r="N18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8" s="17" t="str">
        <f t="shared" si="28"/>
        <v>Còn trống</v>
      </c>
    </row>
    <row r="1839" spans="1:16" x14ac:dyDescent="0.3">
      <c r="A1839">
        <v>1838</v>
      </c>
      <c r="B1839" t="s">
        <v>4146</v>
      </c>
      <c r="C1839" t="s">
        <v>4249</v>
      </c>
      <c r="D1839" t="s">
        <v>4250</v>
      </c>
      <c r="E1839" t="s">
        <v>19</v>
      </c>
      <c r="F1839" t="s">
        <v>4159</v>
      </c>
      <c r="G1839" t="s">
        <v>4208</v>
      </c>
      <c r="H1839" t="str">
        <f>'Huong dan giao do an'!$B$14</f>
        <v>5 SV (vai trò chính): 1 PM/Scrum Master kiêm Integration; 2 BA/PO; 3 UI-UX + Frontend; 4 Backend/API + DevOps; 5 Database + QA/Tester. Mỗi SV có nhiệm vụ phụ và minh chứng cá nhân.</v>
      </c>
      <c r="I1839" t="s">
        <v>36</v>
      </c>
      <c r="J1839" t="s">
        <v>4161</v>
      </c>
      <c r="K1839" t="str">
        <f>IF(I1839="Trung bình",'Huong dan giao do an'!$B$8,IF(I1839="Khá",'Huong dan giao do an'!$B$9,'Huong dan giao do an'!$B$10))</f>
        <v>Tối thiểu 3 actor; 8-10 use case; 6-8 bảng dữ liệu; 2 quy trình lõi; đăng nhập/RBAC; 1 dashboard; 1 báo cáo; &gt;=25 test case; triển khai bản demo.</v>
      </c>
      <c r="L1839" t="str">
        <f>'Huong dan giao do an'!$B$31</f>
        <v>Bắt buộc: Charter/PMP; SRS + scope/WBS; Gantt/baseline; effort-cost budget; RACI/timesheet; quality-test-defect; communication/minutes; risk register; procurement; change log; closure/lessons learned.</v>
      </c>
      <c r="M1839" t="str">
        <f>'Huong dan giao do an'!$B$33</f>
        <v>Tuần 1: 07.09–13.09.2026; Tuần 2: 14.09–20.09.2026; Tuần 3: 21.09–27.09.2026; Tuần 4: 28.09–04.10.2026; Tuần 5: 05.10–11.10.2026; Tuần 6: 12.10–18.10.2026; Tuần 7: 19.10–25.10.2026; Tuần 8: 26.10–01.11.2026.</v>
      </c>
      <c r="N18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39" s="17" t="str">
        <f t="shared" si="28"/>
        <v>Còn trống</v>
      </c>
    </row>
    <row r="1840" spans="1:16" x14ac:dyDescent="0.3">
      <c r="A1840">
        <v>1839</v>
      </c>
      <c r="B1840" t="s">
        <v>4146</v>
      </c>
      <c r="C1840" t="s">
        <v>4251</v>
      </c>
      <c r="D1840" t="s">
        <v>4252</v>
      </c>
      <c r="E1840" t="s">
        <v>26</v>
      </c>
      <c r="F1840" t="s">
        <v>4164</v>
      </c>
      <c r="G1840" t="s">
        <v>4211</v>
      </c>
      <c r="H1840" t="str">
        <f>'Huong dan giao do an'!$B$14</f>
        <v>5 SV (vai trò chính): 1 PM/Scrum Master kiêm Integration; 2 BA/PO; 3 UI-UX + Frontend; 4 Backend/API + DevOps; 5 Database + QA/Tester. Mỗi SV có nhiệm vụ phụ và minh chứng cá nhân.</v>
      </c>
      <c r="I1840" t="s">
        <v>22</v>
      </c>
      <c r="J1840" t="s">
        <v>4151</v>
      </c>
      <c r="K1840" t="str">
        <f>IF(I1840="Trung bình",'Huong dan giao do an'!$B$8,IF(I1840="Khá",'Huong dan giao do an'!$B$9,'Huong dan giao do an'!$B$10))</f>
        <v>Tối thiểu 4 actor; 10-14 use case; 8-12 bảng; 3 quy trình lõi; phân quyền chi tiết; 2 báo cáo; tích hợp 1 dịch vụ; &gt;=35 test case; CI/CD hoặc deploy cloud.</v>
      </c>
      <c r="L1840" t="str">
        <f>'Huong dan giao do an'!$B$31</f>
        <v>Bắt buộc: Charter/PMP; SRS + scope/WBS; Gantt/baseline; effort-cost budget; RACI/timesheet; quality-test-defect; communication/minutes; risk register; procurement; change log; closure/lessons learned.</v>
      </c>
      <c r="M1840" t="str">
        <f>'Huong dan giao do an'!$B$33</f>
        <v>Tuần 1: 07.09–13.09.2026; Tuần 2: 14.09–20.09.2026; Tuần 3: 21.09–27.09.2026; Tuần 4: 28.09–04.10.2026; Tuần 5: 05.10–11.10.2026; Tuần 6: 12.10–18.10.2026; Tuần 7: 19.10–25.10.2026; Tuần 8: 26.10–01.11.2026.</v>
      </c>
      <c r="N18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0" s="17" t="str">
        <f t="shared" si="28"/>
        <v>Còn trống</v>
      </c>
    </row>
    <row r="1841" spans="1:16" x14ac:dyDescent="0.3">
      <c r="A1841">
        <v>1840</v>
      </c>
      <c r="B1841" t="s">
        <v>4146</v>
      </c>
      <c r="C1841" t="s">
        <v>4253</v>
      </c>
      <c r="D1841" t="s">
        <v>4254</v>
      </c>
      <c r="E1841" t="s">
        <v>33</v>
      </c>
      <c r="F1841" t="s">
        <v>4168</v>
      </c>
      <c r="G1841" t="s">
        <v>4214</v>
      </c>
      <c r="H1841" t="str">
        <f>'Huong dan giao do an'!$B$14</f>
        <v>5 SV (vai trò chính): 1 PM/Scrum Master kiêm Integration; 2 BA/PO; 3 UI-UX + Frontend; 4 Backend/API + DevOps; 5 Database + QA/Tester. Mỗi SV có nhiệm vụ phụ và minh chứng cá nhân.</v>
      </c>
      <c r="I1841" t="s">
        <v>29</v>
      </c>
      <c r="J1841" t="s">
        <v>4156</v>
      </c>
      <c r="K1841" t="str">
        <f>IF(I1841="Trung bình",'Huong dan giao do an'!$B$8,IF(I1841="Khá",'Huong dan giao do an'!$B$9,'Huong dan giao do an'!$B$10))</f>
        <v>Tối thiểu 5 actor; 14-18 use case; 10-15 bảng; 4 quy trình; tích hợp ngoài/realtime hoặc xử lý nâng cao; 3 báo cáo; &gt;=45 test case; logging, backup và deploy.</v>
      </c>
      <c r="L1841" t="str">
        <f>'Huong dan giao do an'!$B$31</f>
        <v>Bắt buộc: Charter/PMP; SRS + scope/WBS; Gantt/baseline; effort-cost budget; RACI/timesheet; quality-test-defect; communication/minutes; risk register; procurement; change log; closure/lessons learned.</v>
      </c>
      <c r="M1841" t="str">
        <f>'Huong dan giao do an'!$B$33</f>
        <v>Tuần 1: 07.09–13.09.2026; Tuần 2: 14.09–20.09.2026; Tuần 3: 21.09–27.09.2026; Tuần 4: 28.09–04.10.2026; Tuần 5: 05.10–11.10.2026; Tuần 6: 12.10–18.10.2026; Tuần 7: 19.10–25.10.2026; Tuần 8: 26.10–01.11.2026.</v>
      </c>
      <c r="N18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1" s="17" t="str">
        <f t="shared" si="28"/>
        <v>Còn trống</v>
      </c>
    </row>
    <row r="1842" spans="1:16" x14ac:dyDescent="0.3">
      <c r="A1842">
        <v>1841</v>
      </c>
      <c r="B1842" t="s">
        <v>4146</v>
      </c>
      <c r="C1842" t="s">
        <v>4255</v>
      </c>
      <c r="D1842" t="s">
        <v>4256</v>
      </c>
      <c r="E1842" t="s">
        <v>40</v>
      </c>
      <c r="F1842" t="s">
        <v>4149</v>
      </c>
      <c r="G1842" t="s">
        <v>4150</v>
      </c>
      <c r="H1842" t="str">
        <f>'Huong dan giao do an'!$B$14</f>
        <v>5 SV (vai trò chính): 1 PM/Scrum Master kiêm Integration; 2 BA/PO; 3 UI-UX + Frontend; 4 Backend/API + DevOps; 5 Database + QA/Tester. Mỗi SV có nhiệm vụ phụ và minh chứng cá nhân.</v>
      </c>
      <c r="I1842" t="s">
        <v>22</v>
      </c>
      <c r="J1842" t="s">
        <v>4151</v>
      </c>
      <c r="K1842" t="str">
        <f>IF(I1842="Trung bình",'Huong dan giao do an'!$B$8,IF(I1842="Khá",'Huong dan giao do an'!$B$9,'Huong dan giao do an'!$B$10))</f>
        <v>Tối thiểu 4 actor; 10-14 use case; 8-12 bảng; 3 quy trình lõi; phân quyền chi tiết; 2 báo cáo; tích hợp 1 dịch vụ; &gt;=35 test case; CI/CD hoặc deploy cloud.</v>
      </c>
      <c r="L1842" t="str">
        <f>'Huong dan giao do an'!$B$31</f>
        <v>Bắt buộc: Charter/PMP; SRS + scope/WBS; Gantt/baseline; effort-cost budget; RACI/timesheet; quality-test-defect; communication/minutes; risk register; procurement; change log; closure/lessons learned.</v>
      </c>
      <c r="M1842" t="str">
        <f>'Huong dan giao do an'!$B$33</f>
        <v>Tuần 1: 07.09–13.09.2026; Tuần 2: 14.09–20.09.2026; Tuần 3: 21.09–27.09.2026; Tuần 4: 28.09–04.10.2026; Tuần 5: 05.10–11.10.2026; Tuần 6: 12.10–18.10.2026; Tuần 7: 19.10–25.10.2026; Tuần 8: 26.10–01.11.2026.</v>
      </c>
      <c r="N18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2" s="17" t="str">
        <f t="shared" si="28"/>
        <v>Còn trống</v>
      </c>
    </row>
    <row r="1843" spans="1:16" x14ac:dyDescent="0.3">
      <c r="A1843">
        <v>1842</v>
      </c>
      <c r="B1843" t="s">
        <v>4146</v>
      </c>
      <c r="C1843" t="s">
        <v>4257</v>
      </c>
      <c r="D1843" t="s">
        <v>4258</v>
      </c>
      <c r="E1843" t="s">
        <v>45</v>
      </c>
      <c r="F1843" t="s">
        <v>4154</v>
      </c>
      <c r="G1843" t="s">
        <v>4155</v>
      </c>
      <c r="H1843" t="str">
        <f>'Huong dan giao do an'!$B$14</f>
        <v>5 SV (vai trò chính): 1 PM/Scrum Master kiêm Integration; 2 BA/PO; 3 UI-UX + Frontend; 4 Backend/API + DevOps; 5 Database + QA/Tester. Mỗi SV có nhiệm vụ phụ và minh chứng cá nhân.</v>
      </c>
      <c r="I1843" t="s">
        <v>29</v>
      </c>
      <c r="J1843" t="s">
        <v>4156</v>
      </c>
      <c r="K1843" t="str">
        <f>IF(I1843="Trung bình",'Huong dan giao do an'!$B$8,IF(I1843="Khá",'Huong dan giao do an'!$B$9,'Huong dan giao do an'!$B$10))</f>
        <v>Tối thiểu 5 actor; 14-18 use case; 10-15 bảng; 4 quy trình; tích hợp ngoài/realtime hoặc xử lý nâng cao; 3 báo cáo; &gt;=45 test case; logging, backup và deploy.</v>
      </c>
      <c r="L1843" t="str">
        <f>'Huong dan giao do an'!$B$31</f>
        <v>Bắt buộc: Charter/PMP; SRS + scope/WBS; Gantt/baseline; effort-cost budget; RACI/timesheet; quality-test-defect; communication/minutes; risk register; procurement; change log; closure/lessons learned.</v>
      </c>
      <c r="M1843" t="str">
        <f>'Huong dan giao do an'!$B$33</f>
        <v>Tuần 1: 07.09–13.09.2026; Tuần 2: 14.09–20.09.2026; Tuần 3: 21.09–27.09.2026; Tuần 4: 28.09–04.10.2026; Tuần 5: 05.10–11.10.2026; Tuần 6: 12.10–18.10.2026; Tuần 7: 19.10–25.10.2026; Tuần 8: 26.10–01.11.2026.</v>
      </c>
      <c r="N18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3" s="17" t="str">
        <f t="shared" si="28"/>
        <v>Còn trống</v>
      </c>
    </row>
    <row r="1844" spans="1:16" x14ac:dyDescent="0.3">
      <c r="A1844">
        <v>1843</v>
      </c>
      <c r="B1844" t="s">
        <v>4146</v>
      </c>
      <c r="C1844" t="s">
        <v>4259</v>
      </c>
      <c r="D1844" t="s">
        <v>4260</v>
      </c>
      <c r="E1844" t="s">
        <v>19</v>
      </c>
      <c r="F1844" t="s">
        <v>4159</v>
      </c>
      <c r="G1844" t="s">
        <v>4160</v>
      </c>
      <c r="H1844" t="str">
        <f>'Huong dan giao do an'!$B$14</f>
        <v>5 SV (vai trò chính): 1 PM/Scrum Master kiêm Integration; 2 BA/PO; 3 UI-UX + Frontend; 4 Backend/API + DevOps; 5 Database + QA/Tester. Mỗi SV có nhiệm vụ phụ và minh chứng cá nhân.</v>
      </c>
      <c r="I1844" t="s">
        <v>36</v>
      </c>
      <c r="J1844" t="s">
        <v>4161</v>
      </c>
      <c r="K1844" t="str">
        <f>IF(I1844="Trung bình",'Huong dan giao do an'!$B$8,IF(I1844="Khá",'Huong dan giao do an'!$B$9,'Huong dan giao do an'!$B$10))</f>
        <v>Tối thiểu 3 actor; 8-10 use case; 6-8 bảng dữ liệu; 2 quy trình lõi; đăng nhập/RBAC; 1 dashboard; 1 báo cáo; &gt;=25 test case; triển khai bản demo.</v>
      </c>
      <c r="L1844" t="str">
        <f>'Huong dan giao do an'!$B$31</f>
        <v>Bắt buộc: Charter/PMP; SRS + scope/WBS; Gantt/baseline; effort-cost budget; RACI/timesheet; quality-test-defect; communication/minutes; risk register; procurement; change log; closure/lessons learned.</v>
      </c>
      <c r="M1844" t="str">
        <f>'Huong dan giao do an'!$B$33</f>
        <v>Tuần 1: 07.09–13.09.2026; Tuần 2: 14.09–20.09.2026; Tuần 3: 21.09–27.09.2026; Tuần 4: 28.09–04.10.2026; Tuần 5: 05.10–11.10.2026; Tuần 6: 12.10–18.10.2026; Tuần 7: 19.10–25.10.2026; Tuần 8: 26.10–01.11.2026.</v>
      </c>
      <c r="N18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4" s="17" t="str">
        <f t="shared" si="28"/>
        <v>Còn trống</v>
      </c>
    </row>
    <row r="1845" spans="1:16" x14ac:dyDescent="0.3">
      <c r="A1845">
        <v>1844</v>
      </c>
      <c r="B1845" t="s">
        <v>4146</v>
      </c>
      <c r="C1845" t="s">
        <v>4261</v>
      </c>
      <c r="D1845" t="s">
        <v>4262</v>
      </c>
      <c r="E1845" t="s">
        <v>26</v>
      </c>
      <c r="F1845" t="s">
        <v>4164</v>
      </c>
      <c r="G1845" t="s">
        <v>4165</v>
      </c>
      <c r="H1845" t="str">
        <f>'Huong dan giao do an'!$B$14</f>
        <v>5 SV (vai trò chính): 1 PM/Scrum Master kiêm Integration; 2 BA/PO; 3 UI-UX + Frontend; 4 Backend/API + DevOps; 5 Database + QA/Tester. Mỗi SV có nhiệm vụ phụ và minh chứng cá nhân.</v>
      </c>
      <c r="I1845" t="s">
        <v>22</v>
      </c>
      <c r="J1845" t="s">
        <v>4151</v>
      </c>
      <c r="K1845" t="str">
        <f>IF(I1845="Trung bình",'Huong dan giao do an'!$B$8,IF(I1845="Khá",'Huong dan giao do an'!$B$9,'Huong dan giao do an'!$B$10))</f>
        <v>Tối thiểu 4 actor; 10-14 use case; 8-12 bảng; 3 quy trình lõi; phân quyền chi tiết; 2 báo cáo; tích hợp 1 dịch vụ; &gt;=35 test case; CI/CD hoặc deploy cloud.</v>
      </c>
      <c r="L1845" t="str">
        <f>'Huong dan giao do an'!$B$31</f>
        <v>Bắt buộc: Charter/PMP; SRS + scope/WBS; Gantt/baseline; effort-cost budget; RACI/timesheet; quality-test-defect; communication/minutes; risk register; procurement; change log; closure/lessons learned.</v>
      </c>
      <c r="M1845" t="str">
        <f>'Huong dan giao do an'!$B$33</f>
        <v>Tuần 1: 07.09–13.09.2026; Tuần 2: 14.09–20.09.2026; Tuần 3: 21.09–27.09.2026; Tuần 4: 28.09–04.10.2026; Tuần 5: 05.10–11.10.2026; Tuần 6: 12.10–18.10.2026; Tuần 7: 19.10–25.10.2026; Tuần 8: 26.10–01.11.2026.</v>
      </c>
      <c r="N18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5" s="17" t="str">
        <f t="shared" si="28"/>
        <v>Còn trống</v>
      </c>
    </row>
    <row r="1846" spans="1:16" x14ac:dyDescent="0.3">
      <c r="A1846">
        <v>1845</v>
      </c>
      <c r="B1846" t="s">
        <v>4146</v>
      </c>
      <c r="C1846" t="s">
        <v>4263</v>
      </c>
      <c r="D1846" t="s">
        <v>4264</v>
      </c>
      <c r="E1846" t="s">
        <v>33</v>
      </c>
      <c r="F1846" t="s">
        <v>4168</v>
      </c>
      <c r="G1846" t="s">
        <v>4169</v>
      </c>
      <c r="H1846" t="str">
        <f>'Huong dan giao do an'!$B$14</f>
        <v>5 SV (vai trò chính): 1 PM/Scrum Master kiêm Integration; 2 BA/PO; 3 UI-UX + Frontend; 4 Backend/API + DevOps; 5 Database + QA/Tester. Mỗi SV có nhiệm vụ phụ và minh chứng cá nhân.</v>
      </c>
      <c r="I1846" t="s">
        <v>29</v>
      </c>
      <c r="J1846" t="s">
        <v>4156</v>
      </c>
      <c r="K1846" t="str">
        <f>IF(I1846="Trung bình",'Huong dan giao do an'!$B$8,IF(I1846="Khá",'Huong dan giao do an'!$B$9,'Huong dan giao do an'!$B$10))</f>
        <v>Tối thiểu 5 actor; 14-18 use case; 10-15 bảng; 4 quy trình; tích hợp ngoài/realtime hoặc xử lý nâng cao; 3 báo cáo; &gt;=45 test case; logging, backup và deploy.</v>
      </c>
      <c r="L1846" t="str">
        <f>'Huong dan giao do an'!$B$31</f>
        <v>Bắt buộc: Charter/PMP; SRS + scope/WBS; Gantt/baseline; effort-cost budget; RACI/timesheet; quality-test-defect; communication/minutes; risk register; procurement; change log; closure/lessons learned.</v>
      </c>
      <c r="M1846" t="str">
        <f>'Huong dan giao do an'!$B$33</f>
        <v>Tuần 1: 07.09–13.09.2026; Tuần 2: 14.09–20.09.2026; Tuần 3: 21.09–27.09.2026; Tuần 4: 28.09–04.10.2026; Tuần 5: 05.10–11.10.2026; Tuần 6: 12.10–18.10.2026; Tuần 7: 19.10–25.10.2026; Tuần 8: 26.10–01.11.2026.</v>
      </c>
      <c r="N18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6" s="17" t="str">
        <f t="shared" si="28"/>
        <v>Còn trống</v>
      </c>
    </row>
    <row r="1847" spans="1:16" x14ac:dyDescent="0.3">
      <c r="A1847">
        <v>1846</v>
      </c>
      <c r="B1847" t="s">
        <v>4146</v>
      </c>
      <c r="C1847" t="s">
        <v>4265</v>
      </c>
      <c r="D1847" t="s">
        <v>4266</v>
      </c>
      <c r="E1847" t="s">
        <v>40</v>
      </c>
      <c r="F1847" t="s">
        <v>4149</v>
      </c>
      <c r="G1847" t="s">
        <v>4172</v>
      </c>
      <c r="H1847" t="str">
        <f>'Huong dan giao do an'!$B$14</f>
        <v>5 SV (vai trò chính): 1 PM/Scrum Master kiêm Integration; 2 BA/PO; 3 UI-UX + Frontend; 4 Backend/API + DevOps; 5 Database + QA/Tester. Mỗi SV có nhiệm vụ phụ và minh chứng cá nhân.</v>
      </c>
      <c r="I1847" t="s">
        <v>36</v>
      </c>
      <c r="J1847" t="s">
        <v>4161</v>
      </c>
      <c r="K1847" t="str">
        <f>IF(I1847="Trung bình",'Huong dan giao do an'!$B$8,IF(I1847="Khá",'Huong dan giao do an'!$B$9,'Huong dan giao do an'!$B$10))</f>
        <v>Tối thiểu 3 actor; 8-10 use case; 6-8 bảng dữ liệu; 2 quy trình lõi; đăng nhập/RBAC; 1 dashboard; 1 báo cáo; &gt;=25 test case; triển khai bản demo.</v>
      </c>
      <c r="L1847" t="str">
        <f>'Huong dan giao do an'!$B$31</f>
        <v>Bắt buộc: Charter/PMP; SRS + scope/WBS; Gantt/baseline; effort-cost budget; RACI/timesheet; quality-test-defect; communication/minutes; risk register; procurement; change log; closure/lessons learned.</v>
      </c>
      <c r="M1847" t="str">
        <f>'Huong dan giao do an'!$B$33</f>
        <v>Tuần 1: 07.09–13.09.2026; Tuần 2: 14.09–20.09.2026; Tuần 3: 21.09–27.09.2026; Tuần 4: 28.09–04.10.2026; Tuần 5: 05.10–11.10.2026; Tuần 6: 12.10–18.10.2026; Tuần 7: 19.10–25.10.2026; Tuần 8: 26.10–01.11.2026.</v>
      </c>
      <c r="N18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7" s="17" t="str">
        <f t="shared" si="28"/>
        <v>Còn trống</v>
      </c>
    </row>
    <row r="1848" spans="1:16" x14ac:dyDescent="0.3">
      <c r="A1848">
        <v>1847</v>
      </c>
      <c r="B1848" t="s">
        <v>4146</v>
      </c>
      <c r="C1848" t="s">
        <v>4267</v>
      </c>
      <c r="D1848" t="s">
        <v>4268</v>
      </c>
      <c r="E1848" t="s">
        <v>45</v>
      </c>
      <c r="F1848" t="s">
        <v>4154</v>
      </c>
      <c r="G1848" t="s">
        <v>4175</v>
      </c>
      <c r="H1848" t="str">
        <f>'Huong dan giao do an'!$B$14</f>
        <v>5 SV (vai trò chính): 1 PM/Scrum Master kiêm Integration; 2 BA/PO; 3 UI-UX + Frontend; 4 Backend/API + DevOps; 5 Database + QA/Tester. Mỗi SV có nhiệm vụ phụ và minh chứng cá nhân.</v>
      </c>
      <c r="I1848" t="s">
        <v>22</v>
      </c>
      <c r="J1848" t="s">
        <v>4151</v>
      </c>
      <c r="K1848" t="str">
        <f>IF(I1848="Trung bình",'Huong dan giao do an'!$B$8,IF(I1848="Khá",'Huong dan giao do an'!$B$9,'Huong dan giao do an'!$B$10))</f>
        <v>Tối thiểu 4 actor; 10-14 use case; 8-12 bảng; 3 quy trình lõi; phân quyền chi tiết; 2 báo cáo; tích hợp 1 dịch vụ; &gt;=35 test case; CI/CD hoặc deploy cloud.</v>
      </c>
      <c r="L1848" t="str">
        <f>'Huong dan giao do an'!$B$31</f>
        <v>Bắt buộc: Charter/PMP; SRS + scope/WBS; Gantt/baseline; effort-cost budget; RACI/timesheet; quality-test-defect; communication/minutes; risk register; procurement; change log; closure/lessons learned.</v>
      </c>
      <c r="M1848" t="str">
        <f>'Huong dan giao do an'!$B$33</f>
        <v>Tuần 1: 07.09–13.09.2026; Tuần 2: 14.09–20.09.2026; Tuần 3: 21.09–27.09.2026; Tuần 4: 28.09–04.10.2026; Tuần 5: 05.10–11.10.2026; Tuần 6: 12.10–18.10.2026; Tuần 7: 19.10–25.10.2026; Tuần 8: 26.10–01.11.2026.</v>
      </c>
      <c r="N18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8" s="17" t="str">
        <f t="shared" si="28"/>
        <v>Còn trống</v>
      </c>
    </row>
    <row r="1849" spans="1:16" x14ac:dyDescent="0.3">
      <c r="A1849">
        <v>1848</v>
      </c>
      <c r="B1849" t="s">
        <v>4146</v>
      </c>
      <c r="C1849" t="s">
        <v>4269</v>
      </c>
      <c r="D1849" t="s">
        <v>4270</v>
      </c>
      <c r="E1849" t="s">
        <v>19</v>
      </c>
      <c r="F1849" t="s">
        <v>4159</v>
      </c>
      <c r="G1849" t="s">
        <v>4178</v>
      </c>
      <c r="H1849" t="str">
        <f>'Huong dan giao do an'!$B$14</f>
        <v>5 SV (vai trò chính): 1 PM/Scrum Master kiêm Integration; 2 BA/PO; 3 UI-UX + Frontend; 4 Backend/API + DevOps; 5 Database + QA/Tester. Mỗi SV có nhiệm vụ phụ và minh chứng cá nhân.</v>
      </c>
      <c r="I1849" t="s">
        <v>29</v>
      </c>
      <c r="J1849" t="s">
        <v>4156</v>
      </c>
      <c r="K1849" t="str">
        <f>IF(I1849="Trung bình",'Huong dan giao do an'!$B$8,IF(I1849="Khá",'Huong dan giao do an'!$B$9,'Huong dan giao do an'!$B$10))</f>
        <v>Tối thiểu 5 actor; 14-18 use case; 10-15 bảng; 4 quy trình; tích hợp ngoài/realtime hoặc xử lý nâng cao; 3 báo cáo; &gt;=45 test case; logging, backup và deploy.</v>
      </c>
      <c r="L1849" t="str">
        <f>'Huong dan giao do an'!$B$31</f>
        <v>Bắt buộc: Charter/PMP; SRS + scope/WBS; Gantt/baseline; effort-cost budget; RACI/timesheet; quality-test-defect; communication/minutes; risk register; procurement; change log; closure/lessons learned.</v>
      </c>
      <c r="M1849" t="str">
        <f>'Huong dan giao do an'!$B$33</f>
        <v>Tuần 1: 07.09–13.09.2026; Tuần 2: 14.09–20.09.2026; Tuần 3: 21.09–27.09.2026; Tuần 4: 28.09–04.10.2026; Tuần 5: 05.10–11.10.2026; Tuần 6: 12.10–18.10.2026; Tuần 7: 19.10–25.10.2026; Tuần 8: 26.10–01.11.2026.</v>
      </c>
      <c r="N18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49" s="17" t="str">
        <f t="shared" si="28"/>
        <v>Còn trống</v>
      </c>
    </row>
    <row r="1850" spans="1:16" x14ac:dyDescent="0.3">
      <c r="A1850">
        <v>1849</v>
      </c>
      <c r="B1850" t="s">
        <v>4146</v>
      </c>
      <c r="C1850" t="s">
        <v>4271</v>
      </c>
      <c r="D1850" t="s">
        <v>4272</v>
      </c>
      <c r="E1850" t="s">
        <v>26</v>
      </c>
      <c r="F1850" t="s">
        <v>4164</v>
      </c>
      <c r="G1850" t="s">
        <v>4181</v>
      </c>
      <c r="H1850" t="str">
        <f>'Huong dan giao do an'!$B$14</f>
        <v>5 SV (vai trò chính): 1 PM/Scrum Master kiêm Integration; 2 BA/PO; 3 UI-UX + Frontend; 4 Backend/API + DevOps; 5 Database + QA/Tester. Mỗi SV có nhiệm vụ phụ và minh chứng cá nhân.</v>
      </c>
      <c r="I1850" t="s">
        <v>36</v>
      </c>
      <c r="J1850" t="s">
        <v>4161</v>
      </c>
      <c r="K1850" t="str">
        <f>IF(I1850="Trung bình",'Huong dan giao do an'!$B$8,IF(I1850="Khá",'Huong dan giao do an'!$B$9,'Huong dan giao do an'!$B$10))</f>
        <v>Tối thiểu 3 actor; 8-10 use case; 6-8 bảng dữ liệu; 2 quy trình lõi; đăng nhập/RBAC; 1 dashboard; 1 báo cáo; &gt;=25 test case; triển khai bản demo.</v>
      </c>
      <c r="L1850" t="str">
        <f>'Huong dan giao do an'!$B$31</f>
        <v>Bắt buộc: Charter/PMP; SRS + scope/WBS; Gantt/baseline; effort-cost budget; RACI/timesheet; quality-test-defect; communication/minutes; risk register; procurement; change log; closure/lessons learned.</v>
      </c>
      <c r="M1850" t="str">
        <f>'Huong dan giao do an'!$B$33</f>
        <v>Tuần 1: 07.09–13.09.2026; Tuần 2: 14.09–20.09.2026; Tuần 3: 21.09–27.09.2026; Tuần 4: 28.09–04.10.2026; Tuần 5: 05.10–11.10.2026; Tuần 6: 12.10–18.10.2026; Tuần 7: 19.10–25.10.2026; Tuần 8: 26.10–01.11.2026.</v>
      </c>
      <c r="N18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0" s="17" t="str">
        <f t="shared" si="28"/>
        <v>Còn trống</v>
      </c>
    </row>
    <row r="1851" spans="1:16" x14ac:dyDescent="0.3">
      <c r="A1851">
        <v>1850</v>
      </c>
      <c r="B1851" t="s">
        <v>4146</v>
      </c>
      <c r="C1851" t="s">
        <v>4273</v>
      </c>
      <c r="D1851" t="s">
        <v>4274</v>
      </c>
      <c r="E1851" t="s">
        <v>33</v>
      </c>
      <c r="F1851" t="s">
        <v>4168</v>
      </c>
      <c r="G1851" t="s">
        <v>4184</v>
      </c>
      <c r="H1851" t="str">
        <f>'Huong dan giao do an'!$B$14</f>
        <v>5 SV (vai trò chính): 1 PM/Scrum Master kiêm Integration; 2 BA/PO; 3 UI-UX + Frontend; 4 Backend/API + DevOps; 5 Database + QA/Tester. Mỗi SV có nhiệm vụ phụ và minh chứng cá nhân.</v>
      </c>
      <c r="I1851" t="s">
        <v>22</v>
      </c>
      <c r="J1851" t="s">
        <v>4151</v>
      </c>
      <c r="K1851" t="str">
        <f>IF(I1851="Trung bình",'Huong dan giao do an'!$B$8,IF(I1851="Khá",'Huong dan giao do an'!$B$9,'Huong dan giao do an'!$B$10))</f>
        <v>Tối thiểu 4 actor; 10-14 use case; 8-12 bảng; 3 quy trình lõi; phân quyền chi tiết; 2 báo cáo; tích hợp 1 dịch vụ; &gt;=35 test case; CI/CD hoặc deploy cloud.</v>
      </c>
      <c r="L1851" t="str">
        <f>'Huong dan giao do an'!$B$31</f>
        <v>Bắt buộc: Charter/PMP; SRS + scope/WBS; Gantt/baseline; effort-cost budget; RACI/timesheet; quality-test-defect; communication/minutes; risk register; procurement; change log; closure/lessons learned.</v>
      </c>
      <c r="M1851" t="str">
        <f>'Huong dan giao do an'!$B$33</f>
        <v>Tuần 1: 07.09–13.09.2026; Tuần 2: 14.09–20.09.2026; Tuần 3: 21.09–27.09.2026; Tuần 4: 28.09–04.10.2026; Tuần 5: 05.10–11.10.2026; Tuần 6: 12.10–18.10.2026; Tuần 7: 19.10–25.10.2026; Tuần 8: 26.10–01.11.2026.</v>
      </c>
      <c r="N18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1" s="17" t="str">
        <f t="shared" si="28"/>
        <v>Còn trống</v>
      </c>
    </row>
    <row r="1852" spans="1:16" x14ac:dyDescent="0.3">
      <c r="A1852">
        <v>1851</v>
      </c>
      <c r="B1852" t="s">
        <v>4146</v>
      </c>
      <c r="C1852" t="s">
        <v>4275</v>
      </c>
      <c r="D1852" t="s">
        <v>4276</v>
      </c>
      <c r="E1852" t="s">
        <v>40</v>
      </c>
      <c r="F1852" t="s">
        <v>4149</v>
      </c>
      <c r="G1852" t="s">
        <v>4187</v>
      </c>
      <c r="H1852" t="str">
        <f>'Huong dan giao do an'!$B$14</f>
        <v>5 SV (vai trò chính): 1 PM/Scrum Master kiêm Integration; 2 BA/PO; 3 UI-UX + Frontend; 4 Backend/API + DevOps; 5 Database + QA/Tester. Mỗi SV có nhiệm vụ phụ và minh chứng cá nhân.</v>
      </c>
      <c r="I1852" t="s">
        <v>29</v>
      </c>
      <c r="J1852" t="s">
        <v>4156</v>
      </c>
      <c r="K1852" t="str">
        <f>IF(I1852="Trung bình",'Huong dan giao do an'!$B$8,IF(I1852="Khá",'Huong dan giao do an'!$B$9,'Huong dan giao do an'!$B$10))</f>
        <v>Tối thiểu 5 actor; 14-18 use case; 10-15 bảng; 4 quy trình; tích hợp ngoài/realtime hoặc xử lý nâng cao; 3 báo cáo; &gt;=45 test case; logging, backup và deploy.</v>
      </c>
      <c r="L1852" t="str">
        <f>'Huong dan giao do an'!$B$31</f>
        <v>Bắt buộc: Charter/PMP; SRS + scope/WBS; Gantt/baseline; effort-cost budget; RACI/timesheet; quality-test-defect; communication/minutes; risk register; procurement; change log; closure/lessons learned.</v>
      </c>
      <c r="M1852" t="str">
        <f>'Huong dan giao do an'!$B$33</f>
        <v>Tuần 1: 07.09–13.09.2026; Tuần 2: 14.09–20.09.2026; Tuần 3: 21.09–27.09.2026; Tuần 4: 28.09–04.10.2026; Tuần 5: 05.10–11.10.2026; Tuần 6: 12.10–18.10.2026; Tuần 7: 19.10–25.10.2026; Tuần 8: 26.10–01.11.2026.</v>
      </c>
      <c r="N18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2" s="17" t="str">
        <f t="shared" si="28"/>
        <v>Còn trống</v>
      </c>
    </row>
    <row r="1853" spans="1:16" x14ac:dyDescent="0.3">
      <c r="A1853">
        <v>1852</v>
      </c>
      <c r="B1853" t="s">
        <v>4146</v>
      </c>
      <c r="C1853" t="s">
        <v>4277</v>
      </c>
      <c r="D1853" t="s">
        <v>4278</v>
      </c>
      <c r="E1853" t="s">
        <v>45</v>
      </c>
      <c r="F1853" t="s">
        <v>4154</v>
      </c>
      <c r="G1853" t="s">
        <v>4190</v>
      </c>
      <c r="H1853" t="str">
        <f>'Huong dan giao do an'!$B$14</f>
        <v>5 SV (vai trò chính): 1 PM/Scrum Master kiêm Integration; 2 BA/PO; 3 UI-UX + Frontend; 4 Backend/API + DevOps; 5 Database + QA/Tester. Mỗi SV có nhiệm vụ phụ và minh chứng cá nhân.</v>
      </c>
      <c r="I1853" t="s">
        <v>36</v>
      </c>
      <c r="J1853" t="s">
        <v>4161</v>
      </c>
      <c r="K1853" t="str">
        <f>IF(I1853="Trung bình",'Huong dan giao do an'!$B$8,IF(I1853="Khá",'Huong dan giao do an'!$B$9,'Huong dan giao do an'!$B$10))</f>
        <v>Tối thiểu 3 actor; 8-10 use case; 6-8 bảng dữ liệu; 2 quy trình lõi; đăng nhập/RBAC; 1 dashboard; 1 báo cáo; &gt;=25 test case; triển khai bản demo.</v>
      </c>
      <c r="L1853" t="str">
        <f>'Huong dan giao do an'!$B$31</f>
        <v>Bắt buộc: Charter/PMP; SRS + scope/WBS; Gantt/baseline; effort-cost budget; RACI/timesheet; quality-test-defect; communication/minutes; risk register; procurement; change log; closure/lessons learned.</v>
      </c>
      <c r="M1853" t="str">
        <f>'Huong dan giao do an'!$B$33</f>
        <v>Tuần 1: 07.09–13.09.2026; Tuần 2: 14.09–20.09.2026; Tuần 3: 21.09–27.09.2026; Tuần 4: 28.09–04.10.2026; Tuần 5: 05.10–11.10.2026; Tuần 6: 12.10–18.10.2026; Tuần 7: 19.10–25.10.2026; Tuần 8: 26.10–01.11.2026.</v>
      </c>
      <c r="N18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3" s="17" t="str">
        <f t="shared" si="28"/>
        <v>Còn trống</v>
      </c>
    </row>
    <row r="1854" spans="1:16" x14ac:dyDescent="0.3">
      <c r="A1854">
        <v>1853</v>
      </c>
      <c r="B1854" t="s">
        <v>4146</v>
      </c>
      <c r="C1854" t="s">
        <v>4279</v>
      </c>
      <c r="D1854" t="s">
        <v>4280</v>
      </c>
      <c r="E1854" t="s">
        <v>19</v>
      </c>
      <c r="F1854" t="s">
        <v>4159</v>
      </c>
      <c r="G1854" t="s">
        <v>4193</v>
      </c>
      <c r="H1854" t="str">
        <f>'Huong dan giao do an'!$B$14</f>
        <v>5 SV (vai trò chính): 1 PM/Scrum Master kiêm Integration; 2 BA/PO; 3 UI-UX + Frontend; 4 Backend/API + DevOps; 5 Database + QA/Tester. Mỗi SV có nhiệm vụ phụ và minh chứng cá nhân.</v>
      </c>
      <c r="I1854" t="s">
        <v>22</v>
      </c>
      <c r="J1854" t="s">
        <v>4151</v>
      </c>
      <c r="K1854" t="str">
        <f>IF(I1854="Trung bình",'Huong dan giao do an'!$B$8,IF(I1854="Khá",'Huong dan giao do an'!$B$9,'Huong dan giao do an'!$B$10))</f>
        <v>Tối thiểu 4 actor; 10-14 use case; 8-12 bảng; 3 quy trình lõi; phân quyền chi tiết; 2 báo cáo; tích hợp 1 dịch vụ; &gt;=35 test case; CI/CD hoặc deploy cloud.</v>
      </c>
      <c r="L1854" t="str">
        <f>'Huong dan giao do an'!$B$31</f>
        <v>Bắt buộc: Charter/PMP; SRS + scope/WBS; Gantt/baseline; effort-cost budget; RACI/timesheet; quality-test-defect; communication/minutes; risk register; procurement; change log; closure/lessons learned.</v>
      </c>
      <c r="M1854" t="str">
        <f>'Huong dan giao do an'!$B$33</f>
        <v>Tuần 1: 07.09–13.09.2026; Tuần 2: 14.09–20.09.2026; Tuần 3: 21.09–27.09.2026; Tuần 4: 28.09–04.10.2026; Tuần 5: 05.10–11.10.2026; Tuần 6: 12.10–18.10.2026; Tuần 7: 19.10–25.10.2026; Tuần 8: 26.10–01.11.2026.</v>
      </c>
      <c r="N18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4" s="17" t="str">
        <f t="shared" si="28"/>
        <v>Còn trống</v>
      </c>
    </row>
    <row r="1855" spans="1:16" x14ac:dyDescent="0.3">
      <c r="A1855">
        <v>1854</v>
      </c>
      <c r="B1855" t="s">
        <v>4146</v>
      </c>
      <c r="C1855" t="s">
        <v>4281</v>
      </c>
      <c r="D1855" t="s">
        <v>4282</v>
      </c>
      <c r="E1855" t="s">
        <v>26</v>
      </c>
      <c r="F1855" t="s">
        <v>4164</v>
      </c>
      <c r="G1855" t="s">
        <v>4196</v>
      </c>
      <c r="H1855" t="str">
        <f>'Huong dan giao do an'!$B$14</f>
        <v>5 SV (vai trò chính): 1 PM/Scrum Master kiêm Integration; 2 BA/PO; 3 UI-UX + Frontend; 4 Backend/API + DevOps; 5 Database + QA/Tester. Mỗi SV có nhiệm vụ phụ và minh chứng cá nhân.</v>
      </c>
      <c r="I1855" t="s">
        <v>29</v>
      </c>
      <c r="J1855" t="s">
        <v>4156</v>
      </c>
      <c r="K1855" t="str">
        <f>IF(I1855="Trung bình",'Huong dan giao do an'!$B$8,IF(I1855="Khá",'Huong dan giao do an'!$B$9,'Huong dan giao do an'!$B$10))</f>
        <v>Tối thiểu 5 actor; 14-18 use case; 10-15 bảng; 4 quy trình; tích hợp ngoài/realtime hoặc xử lý nâng cao; 3 báo cáo; &gt;=45 test case; logging, backup và deploy.</v>
      </c>
      <c r="L1855" t="str">
        <f>'Huong dan giao do an'!$B$31</f>
        <v>Bắt buộc: Charter/PMP; SRS + scope/WBS; Gantt/baseline; effort-cost budget; RACI/timesheet; quality-test-defect; communication/minutes; risk register; procurement; change log; closure/lessons learned.</v>
      </c>
      <c r="M1855" t="str">
        <f>'Huong dan giao do an'!$B$33</f>
        <v>Tuần 1: 07.09–13.09.2026; Tuần 2: 14.09–20.09.2026; Tuần 3: 21.09–27.09.2026; Tuần 4: 28.09–04.10.2026; Tuần 5: 05.10–11.10.2026; Tuần 6: 12.10–18.10.2026; Tuần 7: 19.10–25.10.2026; Tuần 8: 26.10–01.11.2026.</v>
      </c>
      <c r="N18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5" s="17" t="str">
        <f t="shared" si="28"/>
        <v>Còn trống</v>
      </c>
    </row>
    <row r="1856" spans="1:16" x14ac:dyDescent="0.3">
      <c r="A1856">
        <v>1855</v>
      </c>
      <c r="B1856" t="s">
        <v>4146</v>
      </c>
      <c r="C1856" t="s">
        <v>4283</v>
      </c>
      <c r="D1856" t="s">
        <v>4284</v>
      </c>
      <c r="E1856" t="s">
        <v>33</v>
      </c>
      <c r="F1856" t="s">
        <v>4168</v>
      </c>
      <c r="G1856" t="s">
        <v>4199</v>
      </c>
      <c r="H1856" t="str">
        <f>'Huong dan giao do an'!$B$14</f>
        <v>5 SV (vai trò chính): 1 PM/Scrum Master kiêm Integration; 2 BA/PO; 3 UI-UX + Frontend; 4 Backend/API + DevOps; 5 Database + QA/Tester. Mỗi SV có nhiệm vụ phụ và minh chứng cá nhân.</v>
      </c>
      <c r="I1856" t="s">
        <v>36</v>
      </c>
      <c r="J1856" t="s">
        <v>4161</v>
      </c>
      <c r="K1856" t="str">
        <f>IF(I1856="Trung bình",'Huong dan giao do an'!$B$8,IF(I1856="Khá",'Huong dan giao do an'!$B$9,'Huong dan giao do an'!$B$10))</f>
        <v>Tối thiểu 3 actor; 8-10 use case; 6-8 bảng dữ liệu; 2 quy trình lõi; đăng nhập/RBAC; 1 dashboard; 1 báo cáo; &gt;=25 test case; triển khai bản demo.</v>
      </c>
      <c r="L1856" t="str">
        <f>'Huong dan giao do an'!$B$31</f>
        <v>Bắt buộc: Charter/PMP; SRS + scope/WBS; Gantt/baseline; effort-cost budget; RACI/timesheet; quality-test-defect; communication/minutes; risk register; procurement; change log; closure/lessons learned.</v>
      </c>
      <c r="M1856" t="str">
        <f>'Huong dan giao do an'!$B$33</f>
        <v>Tuần 1: 07.09–13.09.2026; Tuần 2: 14.09–20.09.2026; Tuần 3: 21.09–27.09.2026; Tuần 4: 28.09–04.10.2026; Tuần 5: 05.10–11.10.2026; Tuần 6: 12.10–18.10.2026; Tuần 7: 19.10–25.10.2026; Tuần 8: 26.10–01.11.2026.</v>
      </c>
      <c r="N18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6" s="17" t="str">
        <f t="shared" si="28"/>
        <v>Còn trống</v>
      </c>
    </row>
    <row r="1857" spans="1:16" x14ac:dyDescent="0.3">
      <c r="A1857">
        <v>1856</v>
      </c>
      <c r="B1857" t="s">
        <v>4146</v>
      </c>
      <c r="C1857" t="s">
        <v>4285</v>
      </c>
      <c r="D1857" t="s">
        <v>4286</v>
      </c>
      <c r="E1857" t="s">
        <v>40</v>
      </c>
      <c r="F1857" t="s">
        <v>4149</v>
      </c>
      <c r="G1857" t="s">
        <v>4202</v>
      </c>
      <c r="H1857" t="str">
        <f>'Huong dan giao do an'!$B$14</f>
        <v>5 SV (vai trò chính): 1 PM/Scrum Master kiêm Integration; 2 BA/PO; 3 UI-UX + Frontend; 4 Backend/API + DevOps; 5 Database + QA/Tester. Mỗi SV có nhiệm vụ phụ và minh chứng cá nhân.</v>
      </c>
      <c r="I1857" t="s">
        <v>22</v>
      </c>
      <c r="J1857" t="s">
        <v>4151</v>
      </c>
      <c r="K1857" t="str">
        <f>IF(I1857="Trung bình",'Huong dan giao do an'!$B$8,IF(I1857="Khá",'Huong dan giao do an'!$B$9,'Huong dan giao do an'!$B$10))</f>
        <v>Tối thiểu 4 actor; 10-14 use case; 8-12 bảng; 3 quy trình lõi; phân quyền chi tiết; 2 báo cáo; tích hợp 1 dịch vụ; &gt;=35 test case; CI/CD hoặc deploy cloud.</v>
      </c>
      <c r="L1857" t="str">
        <f>'Huong dan giao do an'!$B$31</f>
        <v>Bắt buộc: Charter/PMP; SRS + scope/WBS; Gantt/baseline; effort-cost budget; RACI/timesheet; quality-test-defect; communication/minutes; risk register; procurement; change log; closure/lessons learned.</v>
      </c>
      <c r="M1857" t="str">
        <f>'Huong dan giao do an'!$B$33</f>
        <v>Tuần 1: 07.09–13.09.2026; Tuần 2: 14.09–20.09.2026; Tuần 3: 21.09–27.09.2026; Tuần 4: 28.09–04.10.2026; Tuần 5: 05.10–11.10.2026; Tuần 6: 12.10–18.10.2026; Tuần 7: 19.10–25.10.2026; Tuần 8: 26.10–01.11.2026.</v>
      </c>
      <c r="N18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7" s="17" t="str">
        <f t="shared" si="28"/>
        <v>Còn trống</v>
      </c>
    </row>
    <row r="1858" spans="1:16" x14ac:dyDescent="0.3">
      <c r="A1858">
        <v>1857</v>
      </c>
      <c r="B1858" t="s">
        <v>4146</v>
      </c>
      <c r="C1858" t="s">
        <v>4287</v>
      </c>
      <c r="D1858" t="s">
        <v>4288</v>
      </c>
      <c r="E1858" t="s">
        <v>45</v>
      </c>
      <c r="F1858" t="s">
        <v>4154</v>
      </c>
      <c r="G1858" t="s">
        <v>4205</v>
      </c>
      <c r="H1858" t="str">
        <f>'Huong dan giao do an'!$B$14</f>
        <v>5 SV (vai trò chính): 1 PM/Scrum Master kiêm Integration; 2 BA/PO; 3 UI-UX + Frontend; 4 Backend/API + DevOps; 5 Database + QA/Tester. Mỗi SV có nhiệm vụ phụ và minh chứng cá nhân.</v>
      </c>
      <c r="I1858" t="s">
        <v>29</v>
      </c>
      <c r="J1858" t="s">
        <v>4156</v>
      </c>
      <c r="K1858" t="str">
        <f>IF(I1858="Trung bình",'Huong dan giao do an'!$B$8,IF(I1858="Khá",'Huong dan giao do an'!$B$9,'Huong dan giao do an'!$B$10))</f>
        <v>Tối thiểu 5 actor; 14-18 use case; 10-15 bảng; 4 quy trình; tích hợp ngoài/realtime hoặc xử lý nâng cao; 3 báo cáo; &gt;=45 test case; logging, backup và deploy.</v>
      </c>
      <c r="L1858" t="str">
        <f>'Huong dan giao do an'!$B$31</f>
        <v>Bắt buộc: Charter/PMP; SRS + scope/WBS; Gantt/baseline; effort-cost budget; RACI/timesheet; quality-test-defect; communication/minutes; risk register; procurement; change log; closure/lessons learned.</v>
      </c>
      <c r="M1858" t="str">
        <f>'Huong dan giao do an'!$B$33</f>
        <v>Tuần 1: 07.09–13.09.2026; Tuần 2: 14.09–20.09.2026; Tuần 3: 21.09–27.09.2026; Tuần 4: 28.09–04.10.2026; Tuần 5: 05.10–11.10.2026; Tuần 6: 12.10–18.10.2026; Tuần 7: 19.10–25.10.2026; Tuần 8: 26.10–01.11.2026.</v>
      </c>
      <c r="N18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8" s="17" t="str">
        <f t="shared" si="28"/>
        <v>Còn trống</v>
      </c>
    </row>
    <row r="1859" spans="1:16" x14ac:dyDescent="0.3">
      <c r="A1859">
        <v>1858</v>
      </c>
      <c r="B1859" t="s">
        <v>4146</v>
      </c>
      <c r="C1859" t="s">
        <v>4289</v>
      </c>
      <c r="D1859" t="s">
        <v>4290</v>
      </c>
      <c r="E1859" t="s">
        <v>19</v>
      </c>
      <c r="F1859" t="s">
        <v>4159</v>
      </c>
      <c r="G1859" t="s">
        <v>4208</v>
      </c>
      <c r="H1859" t="str">
        <f>'Huong dan giao do an'!$B$14</f>
        <v>5 SV (vai trò chính): 1 PM/Scrum Master kiêm Integration; 2 BA/PO; 3 UI-UX + Frontend; 4 Backend/API + DevOps; 5 Database + QA/Tester. Mỗi SV có nhiệm vụ phụ và minh chứng cá nhân.</v>
      </c>
      <c r="I1859" t="s">
        <v>36</v>
      </c>
      <c r="J1859" t="s">
        <v>4161</v>
      </c>
      <c r="K1859" t="str">
        <f>IF(I1859="Trung bình",'Huong dan giao do an'!$B$8,IF(I1859="Khá",'Huong dan giao do an'!$B$9,'Huong dan giao do an'!$B$10))</f>
        <v>Tối thiểu 3 actor; 8-10 use case; 6-8 bảng dữ liệu; 2 quy trình lõi; đăng nhập/RBAC; 1 dashboard; 1 báo cáo; &gt;=25 test case; triển khai bản demo.</v>
      </c>
      <c r="L1859" t="str">
        <f>'Huong dan giao do an'!$B$31</f>
        <v>Bắt buộc: Charter/PMP; SRS + scope/WBS; Gantt/baseline; effort-cost budget; RACI/timesheet; quality-test-defect; communication/minutes; risk register; procurement; change log; closure/lessons learned.</v>
      </c>
      <c r="M1859" t="str">
        <f>'Huong dan giao do an'!$B$33</f>
        <v>Tuần 1: 07.09–13.09.2026; Tuần 2: 14.09–20.09.2026; Tuần 3: 21.09–27.09.2026; Tuần 4: 28.09–04.10.2026; Tuần 5: 05.10–11.10.2026; Tuần 6: 12.10–18.10.2026; Tuần 7: 19.10–25.10.2026; Tuần 8: 26.10–01.11.2026.</v>
      </c>
      <c r="N18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59" s="17" t="str">
        <f t="shared" ref="P1859:P1922" si="29">IF(O1859="","Còn trống","Đã đăng ký")</f>
        <v>Còn trống</v>
      </c>
    </row>
    <row r="1860" spans="1:16" x14ac:dyDescent="0.3">
      <c r="A1860">
        <v>1859</v>
      </c>
      <c r="B1860" t="s">
        <v>4146</v>
      </c>
      <c r="C1860" t="s">
        <v>4291</v>
      </c>
      <c r="D1860" t="s">
        <v>4292</v>
      </c>
      <c r="E1860" t="s">
        <v>26</v>
      </c>
      <c r="F1860" t="s">
        <v>4164</v>
      </c>
      <c r="G1860" t="s">
        <v>4211</v>
      </c>
      <c r="H1860" t="str">
        <f>'Huong dan giao do an'!$B$14</f>
        <v>5 SV (vai trò chính): 1 PM/Scrum Master kiêm Integration; 2 BA/PO; 3 UI-UX + Frontend; 4 Backend/API + DevOps; 5 Database + QA/Tester. Mỗi SV có nhiệm vụ phụ và minh chứng cá nhân.</v>
      </c>
      <c r="I1860" t="s">
        <v>22</v>
      </c>
      <c r="J1860" t="s">
        <v>4151</v>
      </c>
      <c r="K1860" t="str">
        <f>IF(I1860="Trung bình",'Huong dan giao do an'!$B$8,IF(I1860="Khá",'Huong dan giao do an'!$B$9,'Huong dan giao do an'!$B$10))</f>
        <v>Tối thiểu 4 actor; 10-14 use case; 8-12 bảng; 3 quy trình lõi; phân quyền chi tiết; 2 báo cáo; tích hợp 1 dịch vụ; &gt;=35 test case; CI/CD hoặc deploy cloud.</v>
      </c>
      <c r="L1860" t="str">
        <f>'Huong dan giao do an'!$B$31</f>
        <v>Bắt buộc: Charter/PMP; SRS + scope/WBS; Gantt/baseline; effort-cost budget; RACI/timesheet; quality-test-defect; communication/minutes; risk register; procurement; change log; closure/lessons learned.</v>
      </c>
      <c r="M1860" t="str">
        <f>'Huong dan giao do an'!$B$33</f>
        <v>Tuần 1: 07.09–13.09.2026; Tuần 2: 14.09–20.09.2026; Tuần 3: 21.09–27.09.2026; Tuần 4: 28.09–04.10.2026; Tuần 5: 05.10–11.10.2026; Tuần 6: 12.10–18.10.2026; Tuần 7: 19.10–25.10.2026; Tuần 8: 26.10–01.11.2026.</v>
      </c>
      <c r="N18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0" s="17" t="str">
        <f t="shared" si="29"/>
        <v>Còn trống</v>
      </c>
    </row>
    <row r="1861" spans="1:16" x14ac:dyDescent="0.3">
      <c r="A1861">
        <v>1860</v>
      </c>
      <c r="B1861" t="s">
        <v>4146</v>
      </c>
      <c r="C1861" t="s">
        <v>4293</v>
      </c>
      <c r="D1861" t="s">
        <v>4294</v>
      </c>
      <c r="E1861" t="s">
        <v>33</v>
      </c>
      <c r="F1861" t="s">
        <v>4168</v>
      </c>
      <c r="G1861" t="s">
        <v>4214</v>
      </c>
      <c r="H1861" t="str">
        <f>'Huong dan giao do an'!$B$14</f>
        <v>5 SV (vai trò chính): 1 PM/Scrum Master kiêm Integration; 2 BA/PO; 3 UI-UX + Frontend; 4 Backend/API + DevOps; 5 Database + QA/Tester. Mỗi SV có nhiệm vụ phụ và minh chứng cá nhân.</v>
      </c>
      <c r="I1861" t="s">
        <v>29</v>
      </c>
      <c r="J1861" t="s">
        <v>4156</v>
      </c>
      <c r="K1861" t="str">
        <f>IF(I1861="Trung bình",'Huong dan giao do an'!$B$8,IF(I1861="Khá",'Huong dan giao do an'!$B$9,'Huong dan giao do an'!$B$10))</f>
        <v>Tối thiểu 5 actor; 14-18 use case; 10-15 bảng; 4 quy trình; tích hợp ngoài/realtime hoặc xử lý nâng cao; 3 báo cáo; &gt;=45 test case; logging, backup và deploy.</v>
      </c>
      <c r="L1861" t="str">
        <f>'Huong dan giao do an'!$B$31</f>
        <v>Bắt buộc: Charter/PMP; SRS + scope/WBS; Gantt/baseline; effort-cost budget; RACI/timesheet; quality-test-defect; communication/minutes; risk register; procurement; change log; closure/lessons learned.</v>
      </c>
      <c r="M1861" t="str">
        <f>'Huong dan giao do an'!$B$33</f>
        <v>Tuần 1: 07.09–13.09.2026; Tuần 2: 14.09–20.09.2026; Tuần 3: 21.09–27.09.2026; Tuần 4: 28.09–04.10.2026; Tuần 5: 05.10–11.10.2026; Tuần 6: 12.10–18.10.2026; Tuần 7: 19.10–25.10.2026; Tuần 8: 26.10–01.11.2026.</v>
      </c>
      <c r="N18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1" s="17" t="str">
        <f t="shared" si="29"/>
        <v>Còn trống</v>
      </c>
    </row>
    <row r="1862" spans="1:16" x14ac:dyDescent="0.3">
      <c r="A1862">
        <v>1861</v>
      </c>
      <c r="B1862" t="s">
        <v>4146</v>
      </c>
      <c r="C1862" t="s">
        <v>4295</v>
      </c>
      <c r="D1862" t="s">
        <v>4296</v>
      </c>
      <c r="E1862" t="s">
        <v>40</v>
      </c>
      <c r="F1862" t="s">
        <v>4149</v>
      </c>
      <c r="G1862" t="s">
        <v>4150</v>
      </c>
      <c r="H1862" t="str">
        <f>'Huong dan giao do an'!$B$14</f>
        <v>5 SV (vai trò chính): 1 PM/Scrum Master kiêm Integration; 2 BA/PO; 3 UI-UX + Frontend; 4 Backend/API + DevOps; 5 Database + QA/Tester. Mỗi SV có nhiệm vụ phụ và minh chứng cá nhân.</v>
      </c>
      <c r="I1862" t="s">
        <v>22</v>
      </c>
      <c r="J1862" t="s">
        <v>4151</v>
      </c>
      <c r="K1862" t="str">
        <f>IF(I1862="Trung bình",'Huong dan giao do an'!$B$8,IF(I1862="Khá",'Huong dan giao do an'!$B$9,'Huong dan giao do an'!$B$10))</f>
        <v>Tối thiểu 4 actor; 10-14 use case; 8-12 bảng; 3 quy trình lõi; phân quyền chi tiết; 2 báo cáo; tích hợp 1 dịch vụ; &gt;=35 test case; CI/CD hoặc deploy cloud.</v>
      </c>
      <c r="L1862" t="str">
        <f>'Huong dan giao do an'!$B$31</f>
        <v>Bắt buộc: Charter/PMP; SRS + scope/WBS; Gantt/baseline; effort-cost budget; RACI/timesheet; quality-test-defect; communication/minutes; risk register; procurement; change log; closure/lessons learned.</v>
      </c>
      <c r="M1862" t="str">
        <f>'Huong dan giao do an'!$B$33</f>
        <v>Tuần 1: 07.09–13.09.2026; Tuần 2: 14.09–20.09.2026; Tuần 3: 21.09–27.09.2026; Tuần 4: 28.09–04.10.2026; Tuần 5: 05.10–11.10.2026; Tuần 6: 12.10–18.10.2026; Tuần 7: 19.10–25.10.2026; Tuần 8: 26.10–01.11.2026.</v>
      </c>
      <c r="N18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2" s="17" t="str">
        <f t="shared" si="29"/>
        <v>Còn trống</v>
      </c>
    </row>
    <row r="1863" spans="1:16" x14ac:dyDescent="0.3">
      <c r="A1863">
        <v>1862</v>
      </c>
      <c r="B1863" t="s">
        <v>4146</v>
      </c>
      <c r="C1863" t="s">
        <v>4297</v>
      </c>
      <c r="D1863" t="s">
        <v>4298</v>
      </c>
      <c r="E1863" t="s">
        <v>45</v>
      </c>
      <c r="F1863" t="s">
        <v>4154</v>
      </c>
      <c r="G1863" t="s">
        <v>4155</v>
      </c>
      <c r="H1863" t="str">
        <f>'Huong dan giao do an'!$B$14</f>
        <v>5 SV (vai trò chính): 1 PM/Scrum Master kiêm Integration; 2 BA/PO; 3 UI-UX + Frontend; 4 Backend/API + DevOps; 5 Database + QA/Tester. Mỗi SV có nhiệm vụ phụ và minh chứng cá nhân.</v>
      </c>
      <c r="I1863" t="s">
        <v>29</v>
      </c>
      <c r="J1863" t="s">
        <v>4156</v>
      </c>
      <c r="K1863" t="str">
        <f>IF(I1863="Trung bình",'Huong dan giao do an'!$B$8,IF(I1863="Khá",'Huong dan giao do an'!$B$9,'Huong dan giao do an'!$B$10))</f>
        <v>Tối thiểu 5 actor; 14-18 use case; 10-15 bảng; 4 quy trình; tích hợp ngoài/realtime hoặc xử lý nâng cao; 3 báo cáo; &gt;=45 test case; logging, backup và deploy.</v>
      </c>
      <c r="L1863" t="str">
        <f>'Huong dan giao do an'!$B$31</f>
        <v>Bắt buộc: Charter/PMP; SRS + scope/WBS; Gantt/baseline; effort-cost budget; RACI/timesheet; quality-test-defect; communication/minutes; risk register; procurement; change log; closure/lessons learned.</v>
      </c>
      <c r="M1863" t="str">
        <f>'Huong dan giao do an'!$B$33</f>
        <v>Tuần 1: 07.09–13.09.2026; Tuần 2: 14.09–20.09.2026; Tuần 3: 21.09–27.09.2026; Tuần 4: 28.09–04.10.2026; Tuần 5: 05.10–11.10.2026; Tuần 6: 12.10–18.10.2026; Tuần 7: 19.10–25.10.2026; Tuần 8: 26.10–01.11.2026.</v>
      </c>
      <c r="N18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3" s="17" t="str">
        <f t="shared" si="29"/>
        <v>Còn trống</v>
      </c>
    </row>
    <row r="1864" spans="1:16" x14ac:dyDescent="0.3">
      <c r="A1864">
        <v>1863</v>
      </c>
      <c r="B1864" t="s">
        <v>4146</v>
      </c>
      <c r="C1864" t="s">
        <v>4299</v>
      </c>
      <c r="D1864" t="s">
        <v>4300</v>
      </c>
      <c r="E1864" t="s">
        <v>19</v>
      </c>
      <c r="F1864" t="s">
        <v>4159</v>
      </c>
      <c r="G1864" t="s">
        <v>4160</v>
      </c>
      <c r="H1864" t="str">
        <f>'Huong dan giao do an'!$B$14</f>
        <v>5 SV (vai trò chính): 1 PM/Scrum Master kiêm Integration; 2 BA/PO; 3 UI-UX + Frontend; 4 Backend/API + DevOps; 5 Database + QA/Tester. Mỗi SV có nhiệm vụ phụ và minh chứng cá nhân.</v>
      </c>
      <c r="I1864" t="s">
        <v>36</v>
      </c>
      <c r="J1864" t="s">
        <v>4161</v>
      </c>
      <c r="K1864" t="str">
        <f>IF(I1864="Trung bình",'Huong dan giao do an'!$B$8,IF(I1864="Khá",'Huong dan giao do an'!$B$9,'Huong dan giao do an'!$B$10))</f>
        <v>Tối thiểu 3 actor; 8-10 use case; 6-8 bảng dữ liệu; 2 quy trình lõi; đăng nhập/RBAC; 1 dashboard; 1 báo cáo; &gt;=25 test case; triển khai bản demo.</v>
      </c>
      <c r="L1864" t="str">
        <f>'Huong dan giao do an'!$B$31</f>
        <v>Bắt buộc: Charter/PMP; SRS + scope/WBS; Gantt/baseline; effort-cost budget; RACI/timesheet; quality-test-defect; communication/minutes; risk register; procurement; change log; closure/lessons learned.</v>
      </c>
      <c r="M1864" t="str">
        <f>'Huong dan giao do an'!$B$33</f>
        <v>Tuần 1: 07.09–13.09.2026; Tuần 2: 14.09–20.09.2026; Tuần 3: 21.09–27.09.2026; Tuần 4: 28.09–04.10.2026; Tuần 5: 05.10–11.10.2026; Tuần 6: 12.10–18.10.2026; Tuần 7: 19.10–25.10.2026; Tuần 8: 26.10–01.11.2026.</v>
      </c>
      <c r="N18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4" s="17" t="str">
        <f t="shared" si="29"/>
        <v>Còn trống</v>
      </c>
    </row>
    <row r="1865" spans="1:16" x14ac:dyDescent="0.3">
      <c r="A1865">
        <v>1864</v>
      </c>
      <c r="B1865" t="s">
        <v>4146</v>
      </c>
      <c r="C1865" t="s">
        <v>4301</v>
      </c>
      <c r="D1865" t="s">
        <v>4302</v>
      </c>
      <c r="E1865" t="s">
        <v>26</v>
      </c>
      <c r="F1865" t="s">
        <v>4164</v>
      </c>
      <c r="G1865" t="s">
        <v>4165</v>
      </c>
      <c r="H1865" t="str">
        <f>'Huong dan giao do an'!$B$14</f>
        <v>5 SV (vai trò chính): 1 PM/Scrum Master kiêm Integration; 2 BA/PO; 3 UI-UX + Frontend; 4 Backend/API + DevOps; 5 Database + QA/Tester. Mỗi SV có nhiệm vụ phụ và minh chứng cá nhân.</v>
      </c>
      <c r="I1865" t="s">
        <v>22</v>
      </c>
      <c r="J1865" t="s">
        <v>4151</v>
      </c>
      <c r="K1865" t="str">
        <f>IF(I1865="Trung bình",'Huong dan giao do an'!$B$8,IF(I1865="Khá",'Huong dan giao do an'!$B$9,'Huong dan giao do an'!$B$10))</f>
        <v>Tối thiểu 4 actor; 10-14 use case; 8-12 bảng; 3 quy trình lõi; phân quyền chi tiết; 2 báo cáo; tích hợp 1 dịch vụ; &gt;=35 test case; CI/CD hoặc deploy cloud.</v>
      </c>
      <c r="L1865" t="str">
        <f>'Huong dan giao do an'!$B$31</f>
        <v>Bắt buộc: Charter/PMP; SRS + scope/WBS; Gantt/baseline; effort-cost budget; RACI/timesheet; quality-test-defect; communication/minutes; risk register; procurement; change log; closure/lessons learned.</v>
      </c>
      <c r="M1865" t="str">
        <f>'Huong dan giao do an'!$B$33</f>
        <v>Tuần 1: 07.09–13.09.2026; Tuần 2: 14.09–20.09.2026; Tuần 3: 21.09–27.09.2026; Tuần 4: 28.09–04.10.2026; Tuần 5: 05.10–11.10.2026; Tuần 6: 12.10–18.10.2026; Tuần 7: 19.10–25.10.2026; Tuần 8: 26.10–01.11.2026.</v>
      </c>
      <c r="N18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5" s="17" t="str">
        <f t="shared" si="29"/>
        <v>Còn trống</v>
      </c>
    </row>
    <row r="1866" spans="1:16" x14ac:dyDescent="0.3">
      <c r="A1866">
        <v>1865</v>
      </c>
      <c r="B1866" t="s">
        <v>4146</v>
      </c>
      <c r="C1866" t="s">
        <v>4303</v>
      </c>
      <c r="D1866" t="s">
        <v>4304</v>
      </c>
      <c r="E1866" t="s">
        <v>33</v>
      </c>
      <c r="F1866" t="s">
        <v>4168</v>
      </c>
      <c r="G1866" t="s">
        <v>4169</v>
      </c>
      <c r="H1866" t="str">
        <f>'Huong dan giao do an'!$B$14</f>
        <v>5 SV (vai trò chính): 1 PM/Scrum Master kiêm Integration; 2 BA/PO; 3 UI-UX + Frontend; 4 Backend/API + DevOps; 5 Database + QA/Tester. Mỗi SV có nhiệm vụ phụ và minh chứng cá nhân.</v>
      </c>
      <c r="I1866" t="s">
        <v>29</v>
      </c>
      <c r="J1866" t="s">
        <v>4156</v>
      </c>
      <c r="K1866" t="str">
        <f>IF(I1866="Trung bình",'Huong dan giao do an'!$B$8,IF(I1866="Khá",'Huong dan giao do an'!$B$9,'Huong dan giao do an'!$B$10))</f>
        <v>Tối thiểu 5 actor; 14-18 use case; 10-15 bảng; 4 quy trình; tích hợp ngoài/realtime hoặc xử lý nâng cao; 3 báo cáo; &gt;=45 test case; logging, backup và deploy.</v>
      </c>
      <c r="L1866" t="str">
        <f>'Huong dan giao do an'!$B$31</f>
        <v>Bắt buộc: Charter/PMP; SRS + scope/WBS; Gantt/baseline; effort-cost budget; RACI/timesheet; quality-test-defect; communication/minutes; risk register; procurement; change log; closure/lessons learned.</v>
      </c>
      <c r="M1866" t="str">
        <f>'Huong dan giao do an'!$B$33</f>
        <v>Tuần 1: 07.09–13.09.2026; Tuần 2: 14.09–20.09.2026; Tuần 3: 21.09–27.09.2026; Tuần 4: 28.09–04.10.2026; Tuần 5: 05.10–11.10.2026; Tuần 6: 12.10–18.10.2026; Tuần 7: 19.10–25.10.2026; Tuần 8: 26.10–01.11.2026.</v>
      </c>
      <c r="N18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6" s="17" t="str">
        <f t="shared" si="29"/>
        <v>Còn trống</v>
      </c>
    </row>
    <row r="1867" spans="1:16" x14ac:dyDescent="0.3">
      <c r="A1867">
        <v>1866</v>
      </c>
      <c r="B1867" t="s">
        <v>4146</v>
      </c>
      <c r="C1867" t="s">
        <v>4305</v>
      </c>
      <c r="D1867" t="s">
        <v>4306</v>
      </c>
      <c r="E1867" t="s">
        <v>40</v>
      </c>
      <c r="F1867" t="s">
        <v>4149</v>
      </c>
      <c r="G1867" t="s">
        <v>4172</v>
      </c>
      <c r="H1867" t="str">
        <f>'Huong dan giao do an'!$B$14</f>
        <v>5 SV (vai trò chính): 1 PM/Scrum Master kiêm Integration; 2 BA/PO; 3 UI-UX + Frontend; 4 Backend/API + DevOps; 5 Database + QA/Tester. Mỗi SV có nhiệm vụ phụ và minh chứng cá nhân.</v>
      </c>
      <c r="I1867" t="s">
        <v>36</v>
      </c>
      <c r="J1867" t="s">
        <v>4161</v>
      </c>
      <c r="K1867" t="str">
        <f>IF(I1867="Trung bình",'Huong dan giao do an'!$B$8,IF(I1867="Khá",'Huong dan giao do an'!$B$9,'Huong dan giao do an'!$B$10))</f>
        <v>Tối thiểu 3 actor; 8-10 use case; 6-8 bảng dữ liệu; 2 quy trình lõi; đăng nhập/RBAC; 1 dashboard; 1 báo cáo; &gt;=25 test case; triển khai bản demo.</v>
      </c>
      <c r="L1867" t="str">
        <f>'Huong dan giao do an'!$B$31</f>
        <v>Bắt buộc: Charter/PMP; SRS + scope/WBS; Gantt/baseline; effort-cost budget; RACI/timesheet; quality-test-defect; communication/minutes; risk register; procurement; change log; closure/lessons learned.</v>
      </c>
      <c r="M1867" t="str">
        <f>'Huong dan giao do an'!$B$33</f>
        <v>Tuần 1: 07.09–13.09.2026; Tuần 2: 14.09–20.09.2026; Tuần 3: 21.09–27.09.2026; Tuần 4: 28.09–04.10.2026; Tuần 5: 05.10–11.10.2026; Tuần 6: 12.10–18.10.2026; Tuần 7: 19.10–25.10.2026; Tuần 8: 26.10–01.11.2026.</v>
      </c>
      <c r="N18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7" s="17" t="str">
        <f t="shared" si="29"/>
        <v>Còn trống</v>
      </c>
    </row>
    <row r="1868" spans="1:16" x14ac:dyDescent="0.3">
      <c r="A1868">
        <v>1867</v>
      </c>
      <c r="B1868" t="s">
        <v>4146</v>
      </c>
      <c r="C1868" t="s">
        <v>4307</v>
      </c>
      <c r="D1868" t="s">
        <v>4308</v>
      </c>
      <c r="E1868" t="s">
        <v>45</v>
      </c>
      <c r="F1868" t="s">
        <v>4154</v>
      </c>
      <c r="G1868" t="s">
        <v>4175</v>
      </c>
      <c r="H1868" t="str">
        <f>'Huong dan giao do an'!$B$14</f>
        <v>5 SV (vai trò chính): 1 PM/Scrum Master kiêm Integration; 2 BA/PO; 3 UI-UX + Frontend; 4 Backend/API + DevOps; 5 Database + QA/Tester. Mỗi SV có nhiệm vụ phụ và minh chứng cá nhân.</v>
      </c>
      <c r="I1868" t="s">
        <v>22</v>
      </c>
      <c r="J1868" t="s">
        <v>4151</v>
      </c>
      <c r="K1868" t="str">
        <f>IF(I1868="Trung bình",'Huong dan giao do an'!$B$8,IF(I1868="Khá",'Huong dan giao do an'!$B$9,'Huong dan giao do an'!$B$10))</f>
        <v>Tối thiểu 4 actor; 10-14 use case; 8-12 bảng; 3 quy trình lõi; phân quyền chi tiết; 2 báo cáo; tích hợp 1 dịch vụ; &gt;=35 test case; CI/CD hoặc deploy cloud.</v>
      </c>
      <c r="L1868" t="str">
        <f>'Huong dan giao do an'!$B$31</f>
        <v>Bắt buộc: Charter/PMP; SRS + scope/WBS; Gantt/baseline; effort-cost budget; RACI/timesheet; quality-test-defect; communication/minutes; risk register; procurement; change log; closure/lessons learned.</v>
      </c>
      <c r="M1868" t="str">
        <f>'Huong dan giao do an'!$B$33</f>
        <v>Tuần 1: 07.09–13.09.2026; Tuần 2: 14.09–20.09.2026; Tuần 3: 21.09–27.09.2026; Tuần 4: 28.09–04.10.2026; Tuần 5: 05.10–11.10.2026; Tuần 6: 12.10–18.10.2026; Tuần 7: 19.10–25.10.2026; Tuần 8: 26.10–01.11.2026.</v>
      </c>
      <c r="N18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8" s="17" t="str">
        <f t="shared" si="29"/>
        <v>Còn trống</v>
      </c>
    </row>
    <row r="1869" spans="1:16" x14ac:dyDescent="0.3">
      <c r="A1869">
        <v>1868</v>
      </c>
      <c r="B1869" t="s">
        <v>4146</v>
      </c>
      <c r="C1869" t="s">
        <v>4309</v>
      </c>
      <c r="D1869" t="s">
        <v>4310</v>
      </c>
      <c r="E1869" t="s">
        <v>19</v>
      </c>
      <c r="F1869" t="s">
        <v>4159</v>
      </c>
      <c r="G1869" t="s">
        <v>4178</v>
      </c>
      <c r="H1869" t="str">
        <f>'Huong dan giao do an'!$B$14</f>
        <v>5 SV (vai trò chính): 1 PM/Scrum Master kiêm Integration; 2 BA/PO; 3 UI-UX + Frontend; 4 Backend/API + DevOps; 5 Database + QA/Tester. Mỗi SV có nhiệm vụ phụ và minh chứng cá nhân.</v>
      </c>
      <c r="I1869" t="s">
        <v>29</v>
      </c>
      <c r="J1869" t="s">
        <v>4156</v>
      </c>
      <c r="K1869" t="str">
        <f>IF(I1869="Trung bình",'Huong dan giao do an'!$B$8,IF(I1869="Khá",'Huong dan giao do an'!$B$9,'Huong dan giao do an'!$B$10))</f>
        <v>Tối thiểu 5 actor; 14-18 use case; 10-15 bảng; 4 quy trình; tích hợp ngoài/realtime hoặc xử lý nâng cao; 3 báo cáo; &gt;=45 test case; logging, backup và deploy.</v>
      </c>
      <c r="L1869" t="str">
        <f>'Huong dan giao do an'!$B$31</f>
        <v>Bắt buộc: Charter/PMP; SRS + scope/WBS; Gantt/baseline; effort-cost budget; RACI/timesheet; quality-test-defect; communication/minutes; risk register; procurement; change log; closure/lessons learned.</v>
      </c>
      <c r="M1869" t="str">
        <f>'Huong dan giao do an'!$B$33</f>
        <v>Tuần 1: 07.09–13.09.2026; Tuần 2: 14.09–20.09.2026; Tuần 3: 21.09–27.09.2026; Tuần 4: 28.09–04.10.2026; Tuần 5: 05.10–11.10.2026; Tuần 6: 12.10–18.10.2026; Tuần 7: 19.10–25.10.2026; Tuần 8: 26.10–01.11.2026.</v>
      </c>
      <c r="N18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69" s="17" t="str">
        <f t="shared" si="29"/>
        <v>Còn trống</v>
      </c>
    </row>
    <row r="1870" spans="1:16" x14ac:dyDescent="0.3">
      <c r="A1870">
        <v>1869</v>
      </c>
      <c r="B1870" t="s">
        <v>4146</v>
      </c>
      <c r="C1870" t="s">
        <v>4311</v>
      </c>
      <c r="D1870" t="s">
        <v>4312</v>
      </c>
      <c r="E1870" t="s">
        <v>26</v>
      </c>
      <c r="F1870" t="s">
        <v>4164</v>
      </c>
      <c r="G1870" t="s">
        <v>4181</v>
      </c>
      <c r="H1870" t="str">
        <f>'Huong dan giao do an'!$B$14</f>
        <v>5 SV (vai trò chính): 1 PM/Scrum Master kiêm Integration; 2 BA/PO; 3 UI-UX + Frontend; 4 Backend/API + DevOps; 5 Database + QA/Tester. Mỗi SV có nhiệm vụ phụ và minh chứng cá nhân.</v>
      </c>
      <c r="I1870" t="s">
        <v>36</v>
      </c>
      <c r="J1870" t="s">
        <v>4161</v>
      </c>
      <c r="K1870" t="str">
        <f>IF(I1870="Trung bình",'Huong dan giao do an'!$B$8,IF(I1870="Khá",'Huong dan giao do an'!$B$9,'Huong dan giao do an'!$B$10))</f>
        <v>Tối thiểu 3 actor; 8-10 use case; 6-8 bảng dữ liệu; 2 quy trình lõi; đăng nhập/RBAC; 1 dashboard; 1 báo cáo; &gt;=25 test case; triển khai bản demo.</v>
      </c>
      <c r="L1870" t="str">
        <f>'Huong dan giao do an'!$B$31</f>
        <v>Bắt buộc: Charter/PMP; SRS + scope/WBS; Gantt/baseline; effort-cost budget; RACI/timesheet; quality-test-defect; communication/minutes; risk register; procurement; change log; closure/lessons learned.</v>
      </c>
      <c r="M1870" t="str">
        <f>'Huong dan giao do an'!$B$33</f>
        <v>Tuần 1: 07.09–13.09.2026; Tuần 2: 14.09–20.09.2026; Tuần 3: 21.09–27.09.2026; Tuần 4: 28.09–04.10.2026; Tuần 5: 05.10–11.10.2026; Tuần 6: 12.10–18.10.2026; Tuần 7: 19.10–25.10.2026; Tuần 8: 26.10–01.11.2026.</v>
      </c>
      <c r="N18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0" s="17" t="str">
        <f t="shared" si="29"/>
        <v>Còn trống</v>
      </c>
    </row>
    <row r="1871" spans="1:16" x14ac:dyDescent="0.3">
      <c r="A1871">
        <v>1870</v>
      </c>
      <c r="B1871" t="s">
        <v>4146</v>
      </c>
      <c r="C1871" t="s">
        <v>4313</v>
      </c>
      <c r="D1871" t="s">
        <v>4314</v>
      </c>
      <c r="E1871" t="s">
        <v>33</v>
      </c>
      <c r="F1871" t="s">
        <v>4168</v>
      </c>
      <c r="G1871" t="s">
        <v>4184</v>
      </c>
      <c r="H1871" t="str">
        <f>'Huong dan giao do an'!$B$14</f>
        <v>5 SV (vai trò chính): 1 PM/Scrum Master kiêm Integration; 2 BA/PO; 3 UI-UX + Frontend; 4 Backend/API + DevOps; 5 Database + QA/Tester. Mỗi SV có nhiệm vụ phụ và minh chứng cá nhân.</v>
      </c>
      <c r="I1871" t="s">
        <v>22</v>
      </c>
      <c r="J1871" t="s">
        <v>4151</v>
      </c>
      <c r="K1871" t="str">
        <f>IF(I1871="Trung bình",'Huong dan giao do an'!$B$8,IF(I1871="Khá",'Huong dan giao do an'!$B$9,'Huong dan giao do an'!$B$10))</f>
        <v>Tối thiểu 4 actor; 10-14 use case; 8-12 bảng; 3 quy trình lõi; phân quyền chi tiết; 2 báo cáo; tích hợp 1 dịch vụ; &gt;=35 test case; CI/CD hoặc deploy cloud.</v>
      </c>
      <c r="L1871" t="str">
        <f>'Huong dan giao do an'!$B$31</f>
        <v>Bắt buộc: Charter/PMP; SRS + scope/WBS; Gantt/baseline; effort-cost budget; RACI/timesheet; quality-test-defect; communication/minutes; risk register; procurement; change log; closure/lessons learned.</v>
      </c>
      <c r="M1871" t="str">
        <f>'Huong dan giao do an'!$B$33</f>
        <v>Tuần 1: 07.09–13.09.2026; Tuần 2: 14.09–20.09.2026; Tuần 3: 21.09–27.09.2026; Tuần 4: 28.09–04.10.2026; Tuần 5: 05.10–11.10.2026; Tuần 6: 12.10–18.10.2026; Tuần 7: 19.10–25.10.2026; Tuần 8: 26.10–01.11.2026.</v>
      </c>
      <c r="N18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1" s="17" t="str">
        <f t="shared" si="29"/>
        <v>Còn trống</v>
      </c>
    </row>
    <row r="1872" spans="1:16" x14ac:dyDescent="0.3">
      <c r="A1872">
        <v>1871</v>
      </c>
      <c r="B1872" t="s">
        <v>4146</v>
      </c>
      <c r="C1872" t="s">
        <v>4315</v>
      </c>
      <c r="D1872" t="s">
        <v>4316</v>
      </c>
      <c r="E1872" t="s">
        <v>40</v>
      </c>
      <c r="F1872" t="s">
        <v>4149</v>
      </c>
      <c r="G1872" t="s">
        <v>4187</v>
      </c>
      <c r="H1872" t="str">
        <f>'Huong dan giao do an'!$B$14</f>
        <v>5 SV (vai trò chính): 1 PM/Scrum Master kiêm Integration; 2 BA/PO; 3 UI-UX + Frontend; 4 Backend/API + DevOps; 5 Database + QA/Tester. Mỗi SV có nhiệm vụ phụ và minh chứng cá nhân.</v>
      </c>
      <c r="I1872" t="s">
        <v>29</v>
      </c>
      <c r="J1872" t="s">
        <v>4156</v>
      </c>
      <c r="K1872" t="str">
        <f>IF(I1872="Trung bình",'Huong dan giao do an'!$B$8,IF(I1872="Khá",'Huong dan giao do an'!$B$9,'Huong dan giao do an'!$B$10))</f>
        <v>Tối thiểu 5 actor; 14-18 use case; 10-15 bảng; 4 quy trình; tích hợp ngoài/realtime hoặc xử lý nâng cao; 3 báo cáo; &gt;=45 test case; logging, backup và deploy.</v>
      </c>
      <c r="L1872" t="str">
        <f>'Huong dan giao do an'!$B$31</f>
        <v>Bắt buộc: Charter/PMP; SRS + scope/WBS; Gantt/baseline; effort-cost budget; RACI/timesheet; quality-test-defect; communication/minutes; risk register; procurement; change log; closure/lessons learned.</v>
      </c>
      <c r="M1872" t="str">
        <f>'Huong dan giao do an'!$B$33</f>
        <v>Tuần 1: 07.09–13.09.2026; Tuần 2: 14.09–20.09.2026; Tuần 3: 21.09–27.09.2026; Tuần 4: 28.09–04.10.2026; Tuần 5: 05.10–11.10.2026; Tuần 6: 12.10–18.10.2026; Tuần 7: 19.10–25.10.2026; Tuần 8: 26.10–01.11.2026.</v>
      </c>
      <c r="N18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2" s="17" t="str">
        <f t="shared" si="29"/>
        <v>Còn trống</v>
      </c>
    </row>
    <row r="1873" spans="1:16" x14ac:dyDescent="0.3">
      <c r="A1873">
        <v>1872</v>
      </c>
      <c r="B1873" t="s">
        <v>4146</v>
      </c>
      <c r="C1873" t="s">
        <v>4317</v>
      </c>
      <c r="D1873" t="s">
        <v>4318</v>
      </c>
      <c r="E1873" t="s">
        <v>45</v>
      </c>
      <c r="F1873" t="s">
        <v>4154</v>
      </c>
      <c r="G1873" t="s">
        <v>4190</v>
      </c>
      <c r="H1873" t="str">
        <f>'Huong dan giao do an'!$B$14</f>
        <v>5 SV (vai trò chính): 1 PM/Scrum Master kiêm Integration; 2 BA/PO; 3 UI-UX + Frontend; 4 Backend/API + DevOps; 5 Database + QA/Tester. Mỗi SV có nhiệm vụ phụ và minh chứng cá nhân.</v>
      </c>
      <c r="I1873" t="s">
        <v>36</v>
      </c>
      <c r="J1873" t="s">
        <v>4161</v>
      </c>
      <c r="K1873" t="str">
        <f>IF(I1873="Trung bình",'Huong dan giao do an'!$B$8,IF(I1873="Khá",'Huong dan giao do an'!$B$9,'Huong dan giao do an'!$B$10))</f>
        <v>Tối thiểu 3 actor; 8-10 use case; 6-8 bảng dữ liệu; 2 quy trình lõi; đăng nhập/RBAC; 1 dashboard; 1 báo cáo; &gt;=25 test case; triển khai bản demo.</v>
      </c>
      <c r="L1873" t="str">
        <f>'Huong dan giao do an'!$B$31</f>
        <v>Bắt buộc: Charter/PMP; SRS + scope/WBS; Gantt/baseline; effort-cost budget; RACI/timesheet; quality-test-defect; communication/minutes; risk register; procurement; change log; closure/lessons learned.</v>
      </c>
      <c r="M1873" t="str">
        <f>'Huong dan giao do an'!$B$33</f>
        <v>Tuần 1: 07.09–13.09.2026; Tuần 2: 14.09–20.09.2026; Tuần 3: 21.09–27.09.2026; Tuần 4: 28.09–04.10.2026; Tuần 5: 05.10–11.10.2026; Tuần 6: 12.10–18.10.2026; Tuần 7: 19.10–25.10.2026; Tuần 8: 26.10–01.11.2026.</v>
      </c>
      <c r="N18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3" s="17" t="str">
        <f t="shared" si="29"/>
        <v>Còn trống</v>
      </c>
    </row>
    <row r="1874" spans="1:16" x14ac:dyDescent="0.3">
      <c r="A1874">
        <v>1873</v>
      </c>
      <c r="B1874" t="s">
        <v>4146</v>
      </c>
      <c r="C1874" t="s">
        <v>4319</v>
      </c>
      <c r="D1874" t="s">
        <v>4320</v>
      </c>
      <c r="E1874" t="s">
        <v>19</v>
      </c>
      <c r="F1874" t="s">
        <v>4159</v>
      </c>
      <c r="G1874" t="s">
        <v>4193</v>
      </c>
      <c r="H1874" t="str">
        <f>'Huong dan giao do an'!$B$14</f>
        <v>5 SV (vai trò chính): 1 PM/Scrum Master kiêm Integration; 2 BA/PO; 3 UI-UX + Frontend; 4 Backend/API + DevOps; 5 Database + QA/Tester. Mỗi SV có nhiệm vụ phụ và minh chứng cá nhân.</v>
      </c>
      <c r="I1874" t="s">
        <v>22</v>
      </c>
      <c r="J1874" t="s">
        <v>4151</v>
      </c>
      <c r="K1874" t="str">
        <f>IF(I1874="Trung bình",'Huong dan giao do an'!$B$8,IF(I1874="Khá",'Huong dan giao do an'!$B$9,'Huong dan giao do an'!$B$10))</f>
        <v>Tối thiểu 4 actor; 10-14 use case; 8-12 bảng; 3 quy trình lõi; phân quyền chi tiết; 2 báo cáo; tích hợp 1 dịch vụ; &gt;=35 test case; CI/CD hoặc deploy cloud.</v>
      </c>
      <c r="L1874" t="str">
        <f>'Huong dan giao do an'!$B$31</f>
        <v>Bắt buộc: Charter/PMP; SRS + scope/WBS; Gantt/baseline; effort-cost budget; RACI/timesheet; quality-test-defect; communication/minutes; risk register; procurement; change log; closure/lessons learned.</v>
      </c>
      <c r="M1874" t="str">
        <f>'Huong dan giao do an'!$B$33</f>
        <v>Tuần 1: 07.09–13.09.2026; Tuần 2: 14.09–20.09.2026; Tuần 3: 21.09–27.09.2026; Tuần 4: 28.09–04.10.2026; Tuần 5: 05.10–11.10.2026; Tuần 6: 12.10–18.10.2026; Tuần 7: 19.10–25.10.2026; Tuần 8: 26.10–01.11.2026.</v>
      </c>
      <c r="N18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4" s="17" t="str">
        <f t="shared" si="29"/>
        <v>Còn trống</v>
      </c>
    </row>
    <row r="1875" spans="1:16" x14ac:dyDescent="0.3">
      <c r="A1875">
        <v>1874</v>
      </c>
      <c r="B1875" t="s">
        <v>4146</v>
      </c>
      <c r="C1875" t="s">
        <v>4321</v>
      </c>
      <c r="D1875" t="s">
        <v>4322</v>
      </c>
      <c r="E1875" t="s">
        <v>26</v>
      </c>
      <c r="F1875" t="s">
        <v>4164</v>
      </c>
      <c r="G1875" t="s">
        <v>4196</v>
      </c>
      <c r="H1875" t="str">
        <f>'Huong dan giao do an'!$B$14</f>
        <v>5 SV (vai trò chính): 1 PM/Scrum Master kiêm Integration; 2 BA/PO; 3 UI-UX + Frontend; 4 Backend/API + DevOps; 5 Database + QA/Tester. Mỗi SV có nhiệm vụ phụ và minh chứng cá nhân.</v>
      </c>
      <c r="I1875" t="s">
        <v>29</v>
      </c>
      <c r="J1875" t="s">
        <v>4156</v>
      </c>
      <c r="K1875" t="str">
        <f>IF(I1875="Trung bình",'Huong dan giao do an'!$B$8,IF(I1875="Khá",'Huong dan giao do an'!$B$9,'Huong dan giao do an'!$B$10))</f>
        <v>Tối thiểu 5 actor; 14-18 use case; 10-15 bảng; 4 quy trình; tích hợp ngoài/realtime hoặc xử lý nâng cao; 3 báo cáo; &gt;=45 test case; logging, backup và deploy.</v>
      </c>
      <c r="L1875" t="str">
        <f>'Huong dan giao do an'!$B$31</f>
        <v>Bắt buộc: Charter/PMP; SRS + scope/WBS; Gantt/baseline; effort-cost budget; RACI/timesheet; quality-test-defect; communication/minutes; risk register; procurement; change log; closure/lessons learned.</v>
      </c>
      <c r="M1875" t="str">
        <f>'Huong dan giao do an'!$B$33</f>
        <v>Tuần 1: 07.09–13.09.2026; Tuần 2: 14.09–20.09.2026; Tuần 3: 21.09–27.09.2026; Tuần 4: 28.09–04.10.2026; Tuần 5: 05.10–11.10.2026; Tuần 6: 12.10–18.10.2026; Tuần 7: 19.10–25.10.2026; Tuần 8: 26.10–01.11.2026.</v>
      </c>
      <c r="N18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5" s="17" t="str">
        <f t="shared" si="29"/>
        <v>Còn trống</v>
      </c>
    </row>
    <row r="1876" spans="1:16" x14ac:dyDescent="0.3">
      <c r="A1876">
        <v>1875</v>
      </c>
      <c r="B1876" t="s">
        <v>4146</v>
      </c>
      <c r="C1876" t="s">
        <v>4323</v>
      </c>
      <c r="D1876" t="s">
        <v>4324</v>
      </c>
      <c r="E1876" t="s">
        <v>33</v>
      </c>
      <c r="F1876" t="s">
        <v>4168</v>
      </c>
      <c r="G1876" t="s">
        <v>4199</v>
      </c>
      <c r="H1876" t="str">
        <f>'Huong dan giao do an'!$B$14</f>
        <v>5 SV (vai trò chính): 1 PM/Scrum Master kiêm Integration; 2 BA/PO; 3 UI-UX + Frontend; 4 Backend/API + DevOps; 5 Database + QA/Tester. Mỗi SV có nhiệm vụ phụ và minh chứng cá nhân.</v>
      </c>
      <c r="I1876" t="s">
        <v>36</v>
      </c>
      <c r="J1876" t="s">
        <v>4161</v>
      </c>
      <c r="K1876" t="str">
        <f>IF(I1876="Trung bình",'Huong dan giao do an'!$B$8,IF(I1876="Khá",'Huong dan giao do an'!$B$9,'Huong dan giao do an'!$B$10))</f>
        <v>Tối thiểu 3 actor; 8-10 use case; 6-8 bảng dữ liệu; 2 quy trình lõi; đăng nhập/RBAC; 1 dashboard; 1 báo cáo; &gt;=25 test case; triển khai bản demo.</v>
      </c>
      <c r="L1876" t="str">
        <f>'Huong dan giao do an'!$B$31</f>
        <v>Bắt buộc: Charter/PMP; SRS + scope/WBS; Gantt/baseline; effort-cost budget; RACI/timesheet; quality-test-defect; communication/minutes; risk register; procurement; change log; closure/lessons learned.</v>
      </c>
      <c r="M1876" t="str">
        <f>'Huong dan giao do an'!$B$33</f>
        <v>Tuần 1: 07.09–13.09.2026; Tuần 2: 14.09–20.09.2026; Tuần 3: 21.09–27.09.2026; Tuần 4: 28.09–04.10.2026; Tuần 5: 05.10–11.10.2026; Tuần 6: 12.10–18.10.2026; Tuần 7: 19.10–25.10.2026; Tuần 8: 26.10–01.11.2026.</v>
      </c>
      <c r="N18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6" s="17" t="str">
        <f t="shared" si="29"/>
        <v>Còn trống</v>
      </c>
    </row>
    <row r="1877" spans="1:16" x14ac:dyDescent="0.3">
      <c r="A1877">
        <v>1876</v>
      </c>
      <c r="B1877" t="s">
        <v>4146</v>
      </c>
      <c r="C1877" t="s">
        <v>4325</v>
      </c>
      <c r="D1877" t="s">
        <v>4326</v>
      </c>
      <c r="E1877" t="s">
        <v>40</v>
      </c>
      <c r="F1877" t="s">
        <v>4149</v>
      </c>
      <c r="G1877" t="s">
        <v>4202</v>
      </c>
      <c r="H1877" t="str">
        <f>'Huong dan giao do an'!$B$14</f>
        <v>5 SV (vai trò chính): 1 PM/Scrum Master kiêm Integration; 2 BA/PO; 3 UI-UX + Frontend; 4 Backend/API + DevOps; 5 Database + QA/Tester. Mỗi SV có nhiệm vụ phụ và minh chứng cá nhân.</v>
      </c>
      <c r="I1877" t="s">
        <v>22</v>
      </c>
      <c r="J1877" t="s">
        <v>4151</v>
      </c>
      <c r="K1877" t="str">
        <f>IF(I1877="Trung bình",'Huong dan giao do an'!$B$8,IF(I1877="Khá",'Huong dan giao do an'!$B$9,'Huong dan giao do an'!$B$10))</f>
        <v>Tối thiểu 4 actor; 10-14 use case; 8-12 bảng; 3 quy trình lõi; phân quyền chi tiết; 2 báo cáo; tích hợp 1 dịch vụ; &gt;=35 test case; CI/CD hoặc deploy cloud.</v>
      </c>
      <c r="L1877" t="str">
        <f>'Huong dan giao do an'!$B$31</f>
        <v>Bắt buộc: Charter/PMP; SRS + scope/WBS; Gantt/baseline; effort-cost budget; RACI/timesheet; quality-test-defect; communication/minutes; risk register; procurement; change log; closure/lessons learned.</v>
      </c>
      <c r="M1877" t="str">
        <f>'Huong dan giao do an'!$B$33</f>
        <v>Tuần 1: 07.09–13.09.2026; Tuần 2: 14.09–20.09.2026; Tuần 3: 21.09–27.09.2026; Tuần 4: 28.09–04.10.2026; Tuần 5: 05.10–11.10.2026; Tuần 6: 12.10–18.10.2026; Tuần 7: 19.10–25.10.2026; Tuần 8: 26.10–01.11.2026.</v>
      </c>
      <c r="N18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7" s="17" t="str">
        <f t="shared" si="29"/>
        <v>Còn trống</v>
      </c>
    </row>
    <row r="1878" spans="1:16" x14ac:dyDescent="0.3">
      <c r="A1878">
        <v>1877</v>
      </c>
      <c r="B1878" t="s">
        <v>4146</v>
      </c>
      <c r="C1878" t="s">
        <v>4327</v>
      </c>
      <c r="D1878" t="s">
        <v>4328</v>
      </c>
      <c r="E1878" t="s">
        <v>45</v>
      </c>
      <c r="F1878" t="s">
        <v>4154</v>
      </c>
      <c r="G1878" t="s">
        <v>4205</v>
      </c>
      <c r="H1878" t="str">
        <f>'Huong dan giao do an'!$B$14</f>
        <v>5 SV (vai trò chính): 1 PM/Scrum Master kiêm Integration; 2 BA/PO; 3 UI-UX + Frontend; 4 Backend/API + DevOps; 5 Database + QA/Tester. Mỗi SV có nhiệm vụ phụ và minh chứng cá nhân.</v>
      </c>
      <c r="I1878" t="s">
        <v>29</v>
      </c>
      <c r="J1878" t="s">
        <v>4156</v>
      </c>
      <c r="K1878" t="str">
        <f>IF(I1878="Trung bình",'Huong dan giao do an'!$B$8,IF(I1878="Khá",'Huong dan giao do an'!$B$9,'Huong dan giao do an'!$B$10))</f>
        <v>Tối thiểu 5 actor; 14-18 use case; 10-15 bảng; 4 quy trình; tích hợp ngoài/realtime hoặc xử lý nâng cao; 3 báo cáo; &gt;=45 test case; logging, backup và deploy.</v>
      </c>
      <c r="L1878" t="str">
        <f>'Huong dan giao do an'!$B$31</f>
        <v>Bắt buộc: Charter/PMP; SRS + scope/WBS; Gantt/baseline; effort-cost budget; RACI/timesheet; quality-test-defect; communication/minutes; risk register; procurement; change log; closure/lessons learned.</v>
      </c>
      <c r="M1878" t="str">
        <f>'Huong dan giao do an'!$B$33</f>
        <v>Tuần 1: 07.09–13.09.2026; Tuần 2: 14.09–20.09.2026; Tuần 3: 21.09–27.09.2026; Tuần 4: 28.09–04.10.2026; Tuần 5: 05.10–11.10.2026; Tuần 6: 12.10–18.10.2026; Tuần 7: 19.10–25.10.2026; Tuần 8: 26.10–01.11.2026.</v>
      </c>
      <c r="N18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8" s="17" t="str">
        <f t="shared" si="29"/>
        <v>Còn trống</v>
      </c>
    </row>
    <row r="1879" spans="1:16" x14ac:dyDescent="0.3">
      <c r="A1879">
        <v>1878</v>
      </c>
      <c r="B1879" t="s">
        <v>4146</v>
      </c>
      <c r="C1879" t="s">
        <v>4329</v>
      </c>
      <c r="D1879" t="s">
        <v>4330</v>
      </c>
      <c r="E1879" t="s">
        <v>19</v>
      </c>
      <c r="F1879" t="s">
        <v>4159</v>
      </c>
      <c r="G1879" t="s">
        <v>4208</v>
      </c>
      <c r="H1879" t="str">
        <f>'Huong dan giao do an'!$B$14</f>
        <v>5 SV (vai trò chính): 1 PM/Scrum Master kiêm Integration; 2 BA/PO; 3 UI-UX + Frontend; 4 Backend/API + DevOps; 5 Database + QA/Tester. Mỗi SV có nhiệm vụ phụ và minh chứng cá nhân.</v>
      </c>
      <c r="I1879" t="s">
        <v>36</v>
      </c>
      <c r="J1879" t="s">
        <v>4161</v>
      </c>
      <c r="K1879" t="str">
        <f>IF(I1879="Trung bình",'Huong dan giao do an'!$B$8,IF(I1879="Khá",'Huong dan giao do an'!$B$9,'Huong dan giao do an'!$B$10))</f>
        <v>Tối thiểu 3 actor; 8-10 use case; 6-8 bảng dữ liệu; 2 quy trình lõi; đăng nhập/RBAC; 1 dashboard; 1 báo cáo; &gt;=25 test case; triển khai bản demo.</v>
      </c>
      <c r="L1879" t="str">
        <f>'Huong dan giao do an'!$B$31</f>
        <v>Bắt buộc: Charter/PMP; SRS + scope/WBS; Gantt/baseline; effort-cost budget; RACI/timesheet; quality-test-defect; communication/minutes; risk register; procurement; change log; closure/lessons learned.</v>
      </c>
      <c r="M1879" t="str">
        <f>'Huong dan giao do an'!$B$33</f>
        <v>Tuần 1: 07.09–13.09.2026; Tuần 2: 14.09–20.09.2026; Tuần 3: 21.09–27.09.2026; Tuần 4: 28.09–04.10.2026; Tuần 5: 05.10–11.10.2026; Tuần 6: 12.10–18.10.2026; Tuần 7: 19.10–25.10.2026; Tuần 8: 26.10–01.11.2026.</v>
      </c>
      <c r="N18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79" s="17" t="str">
        <f t="shared" si="29"/>
        <v>Còn trống</v>
      </c>
    </row>
    <row r="1880" spans="1:16" x14ac:dyDescent="0.3">
      <c r="A1880">
        <v>1879</v>
      </c>
      <c r="B1880" t="s">
        <v>4146</v>
      </c>
      <c r="C1880" t="s">
        <v>4331</v>
      </c>
      <c r="D1880" t="s">
        <v>4332</v>
      </c>
      <c r="E1880" t="s">
        <v>26</v>
      </c>
      <c r="F1880" t="s">
        <v>4164</v>
      </c>
      <c r="G1880" t="s">
        <v>4211</v>
      </c>
      <c r="H1880" t="str">
        <f>'Huong dan giao do an'!$B$14</f>
        <v>5 SV (vai trò chính): 1 PM/Scrum Master kiêm Integration; 2 BA/PO; 3 UI-UX + Frontend; 4 Backend/API + DevOps; 5 Database + QA/Tester. Mỗi SV có nhiệm vụ phụ và minh chứng cá nhân.</v>
      </c>
      <c r="I1880" t="s">
        <v>22</v>
      </c>
      <c r="J1880" t="s">
        <v>4151</v>
      </c>
      <c r="K1880" t="str">
        <f>IF(I1880="Trung bình",'Huong dan giao do an'!$B$8,IF(I1880="Khá",'Huong dan giao do an'!$B$9,'Huong dan giao do an'!$B$10))</f>
        <v>Tối thiểu 4 actor; 10-14 use case; 8-12 bảng; 3 quy trình lõi; phân quyền chi tiết; 2 báo cáo; tích hợp 1 dịch vụ; &gt;=35 test case; CI/CD hoặc deploy cloud.</v>
      </c>
      <c r="L1880" t="str">
        <f>'Huong dan giao do an'!$B$31</f>
        <v>Bắt buộc: Charter/PMP; SRS + scope/WBS; Gantt/baseline; effort-cost budget; RACI/timesheet; quality-test-defect; communication/minutes; risk register; procurement; change log; closure/lessons learned.</v>
      </c>
      <c r="M1880" t="str">
        <f>'Huong dan giao do an'!$B$33</f>
        <v>Tuần 1: 07.09–13.09.2026; Tuần 2: 14.09–20.09.2026; Tuần 3: 21.09–27.09.2026; Tuần 4: 28.09–04.10.2026; Tuần 5: 05.10–11.10.2026; Tuần 6: 12.10–18.10.2026; Tuần 7: 19.10–25.10.2026; Tuần 8: 26.10–01.11.2026.</v>
      </c>
      <c r="N18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0" s="17" t="str">
        <f t="shared" si="29"/>
        <v>Còn trống</v>
      </c>
    </row>
    <row r="1881" spans="1:16" x14ac:dyDescent="0.3">
      <c r="A1881">
        <v>1880</v>
      </c>
      <c r="B1881" t="s">
        <v>4146</v>
      </c>
      <c r="C1881" t="s">
        <v>4333</v>
      </c>
      <c r="D1881" t="s">
        <v>4334</v>
      </c>
      <c r="E1881" t="s">
        <v>33</v>
      </c>
      <c r="F1881" t="s">
        <v>4168</v>
      </c>
      <c r="G1881" t="s">
        <v>4214</v>
      </c>
      <c r="H1881" t="str">
        <f>'Huong dan giao do an'!$B$14</f>
        <v>5 SV (vai trò chính): 1 PM/Scrum Master kiêm Integration; 2 BA/PO; 3 UI-UX + Frontend; 4 Backend/API + DevOps; 5 Database + QA/Tester. Mỗi SV có nhiệm vụ phụ và minh chứng cá nhân.</v>
      </c>
      <c r="I1881" t="s">
        <v>29</v>
      </c>
      <c r="J1881" t="s">
        <v>4156</v>
      </c>
      <c r="K1881" t="str">
        <f>IF(I1881="Trung bình",'Huong dan giao do an'!$B$8,IF(I1881="Khá",'Huong dan giao do an'!$B$9,'Huong dan giao do an'!$B$10))</f>
        <v>Tối thiểu 5 actor; 14-18 use case; 10-15 bảng; 4 quy trình; tích hợp ngoài/realtime hoặc xử lý nâng cao; 3 báo cáo; &gt;=45 test case; logging, backup và deploy.</v>
      </c>
      <c r="L1881" t="str">
        <f>'Huong dan giao do an'!$B$31</f>
        <v>Bắt buộc: Charter/PMP; SRS + scope/WBS; Gantt/baseline; effort-cost budget; RACI/timesheet; quality-test-defect; communication/minutes; risk register; procurement; change log; closure/lessons learned.</v>
      </c>
      <c r="M1881" t="str">
        <f>'Huong dan giao do an'!$B$33</f>
        <v>Tuần 1: 07.09–13.09.2026; Tuần 2: 14.09–20.09.2026; Tuần 3: 21.09–27.09.2026; Tuần 4: 28.09–04.10.2026; Tuần 5: 05.10–11.10.2026; Tuần 6: 12.10–18.10.2026; Tuần 7: 19.10–25.10.2026; Tuần 8: 26.10–01.11.2026.</v>
      </c>
      <c r="N18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1" s="17" t="str">
        <f t="shared" si="29"/>
        <v>Còn trống</v>
      </c>
    </row>
    <row r="1882" spans="1:16" x14ac:dyDescent="0.3">
      <c r="A1882">
        <v>1881</v>
      </c>
      <c r="B1882" t="s">
        <v>4146</v>
      </c>
      <c r="C1882" t="s">
        <v>4335</v>
      </c>
      <c r="D1882" t="s">
        <v>4336</v>
      </c>
      <c r="E1882" t="s">
        <v>40</v>
      </c>
      <c r="F1882" t="s">
        <v>4149</v>
      </c>
      <c r="G1882" t="s">
        <v>4150</v>
      </c>
      <c r="H1882" t="str">
        <f>'Huong dan giao do an'!$B$14</f>
        <v>5 SV (vai trò chính): 1 PM/Scrum Master kiêm Integration; 2 BA/PO; 3 UI-UX + Frontend; 4 Backend/API + DevOps; 5 Database + QA/Tester. Mỗi SV có nhiệm vụ phụ và minh chứng cá nhân.</v>
      </c>
      <c r="I1882" t="s">
        <v>22</v>
      </c>
      <c r="J1882" t="s">
        <v>4151</v>
      </c>
      <c r="K1882" t="str">
        <f>IF(I1882="Trung bình",'Huong dan giao do an'!$B$8,IF(I1882="Khá",'Huong dan giao do an'!$B$9,'Huong dan giao do an'!$B$10))</f>
        <v>Tối thiểu 4 actor; 10-14 use case; 8-12 bảng; 3 quy trình lõi; phân quyền chi tiết; 2 báo cáo; tích hợp 1 dịch vụ; &gt;=35 test case; CI/CD hoặc deploy cloud.</v>
      </c>
      <c r="L1882" t="str">
        <f>'Huong dan giao do an'!$B$31</f>
        <v>Bắt buộc: Charter/PMP; SRS + scope/WBS; Gantt/baseline; effort-cost budget; RACI/timesheet; quality-test-defect; communication/minutes; risk register; procurement; change log; closure/lessons learned.</v>
      </c>
      <c r="M1882" t="str">
        <f>'Huong dan giao do an'!$B$33</f>
        <v>Tuần 1: 07.09–13.09.2026; Tuần 2: 14.09–20.09.2026; Tuần 3: 21.09–27.09.2026; Tuần 4: 28.09–04.10.2026; Tuần 5: 05.10–11.10.2026; Tuần 6: 12.10–18.10.2026; Tuần 7: 19.10–25.10.2026; Tuần 8: 26.10–01.11.2026.</v>
      </c>
      <c r="N18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2" s="17" t="str">
        <f t="shared" si="29"/>
        <v>Còn trống</v>
      </c>
    </row>
    <row r="1883" spans="1:16" x14ac:dyDescent="0.3">
      <c r="A1883">
        <v>1882</v>
      </c>
      <c r="B1883" t="s">
        <v>4146</v>
      </c>
      <c r="C1883" t="s">
        <v>4337</v>
      </c>
      <c r="D1883" t="s">
        <v>4338</v>
      </c>
      <c r="E1883" t="s">
        <v>45</v>
      </c>
      <c r="F1883" t="s">
        <v>4154</v>
      </c>
      <c r="G1883" t="s">
        <v>4155</v>
      </c>
      <c r="H1883" t="str">
        <f>'Huong dan giao do an'!$B$14</f>
        <v>5 SV (vai trò chính): 1 PM/Scrum Master kiêm Integration; 2 BA/PO; 3 UI-UX + Frontend; 4 Backend/API + DevOps; 5 Database + QA/Tester. Mỗi SV có nhiệm vụ phụ và minh chứng cá nhân.</v>
      </c>
      <c r="I1883" t="s">
        <v>29</v>
      </c>
      <c r="J1883" t="s">
        <v>4156</v>
      </c>
      <c r="K1883" t="str">
        <f>IF(I1883="Trung bình",'Huong dan giao do an'!$B$8,IF(I1883="Khá",'Huong dan giao do an'!$B$9,'Huong dan giao do an'!$B$10))</f>
        <v>Tối thiểu 5 actor; 14-18 use case; 10-15 bảng; 4 quy trình; tích hợp ngoài/realtime hoặc xử lý nâng cao; 3 báo cáo; &gt;=45 test case; logging, backup và deploy.</v>
      </c>
      <c r="L1883" t="str">
        <f>'Huong dan giao do an'!$B$31</f>
        <v>Bắt buộc: Charter/PMP; SRS + scope/WBS; Gantt/baseline; effort-cost budget; RACI/timesheet; quality-test-defect; communication/minutes; risk register; procurement; change log; closure/lessons learned.</v>
      </c>
      <c r="M1883" t="str">
        <f>'Huong dan giao do an'!$B$33</f>
        <v>Tuần 1: 07.09–13.09.2026; Tuần 2: 14.09–20.09.2026; Tuần 3: 21.09–27.09.2026; Tuần 4: 28.09–04.10.2026; Tuần 5: 05.10–11.10.2026; Tuần 6: 12.10–18.10.2026; Tuần 7: 19.10–25.10.2026; Tuần 8: 26.10–01.11.2026.</v>
      </c>
      <c r="N18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3" s="17" t="str">
        <f t="shared" si="29"/>
        <v>Còn trống</v>
      </c>
    </row>
    <row r="1884" spans="1:16" x14ac:dyDescent="0.3">
      <c r="A1884">
        <v>1883</v>
      </c>
      <c r="B1884" t="s">
        <v>4146</v>
      </c>
      <c r="C1884" t="s">
        <v>4339</v>
      </c>
      <c r="D1884" t="s">
        <v>4340</v>
      </c>
      <c r="E1884" t="s">
        <v>19</v>
      </c>
      <c r="F1884" t="s">
        <v>4159</v>
      </c>
      <c r="G1884" t="s">
        <v>4160</v>
      </c>
      <c r="H1884" t="str">
        <f>'Huong dan giao do an'!$B$14</f>
        <v>5 SV (vai trò chính): 1 PM/Scrum Master kiêm Integration; 2 BA/PO; 3 UI-UX + Frontend; 4 Backend/API + DevOps; 5 Database + QA/Tester. Mỗi SV có nhiệm vụ phụ và minh chứng cá nhân.</v>
      </c>
      <c r="I1884" t="s">
        <v>36</v>
      </c>
      <c r="J1884" t="s">
        <v>4161</v>
      </c>
      <c r="K1884" t="str">
        <f>IF(I1884="Trung bình",'Huong dan giao do an'!$B$8,IF(I1884="Khá",'Huong dan giao do an'!$B$9,'Huong dan giao do an'!$B$10))</f>
        <v>Tối thiểu 3 actor; 8-10 use case; 6-8 bảng dữ liệu; 2 quy trình lõi; đăng nhập/RBAC; 1 dashboard; 1 báo cáo; &gt;=25 test case; triển khai bản demo.</v>
      </c>
      <c r="L1884" t="str">
        <f>'Huong dan giao do an'!$B$31</f>
        <v>Bắt buộc: Charter/PMP; SRS + scope/WBS; Gantt/baseline; effort-cost budget; RACI/timesheet; quality-test-defect; communication/minutes; risk register; procurement; change log; closure/lessons learned.</v>
      </c>
      <c r="M1884" t="str">
        <f>'Huong dan giao do an'!$B$33</f>
        <v>Tuần 1: 07.09–13.09.2026; Tuần 2: 14.09–20.09.2026; Tuần 3: 21.09–27.09.2026; Tuần 4: 28.09–04.10.2026; Tuần 5: 05.10–11.10.2026; Tuần 6: 12.10–18.10.2026; Tuần 7: 19.10–25.10.2026; Tuần 8: 26.10–01.11.2026.</v>
      </c>
      <c r="N18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4" s="17" t="str">
        <f t="shared" si="29"/>
        <v>Còn trống</v>
      </c>
    </row>
    <row r="1885" spans="1:16" x14ac:dyDescent="0.3">
      <c r="A1885">
        <v>1884</v>
      </c>
      <c r="B1885" t="s">
        <v>4146</v>
      </c>
      <c r="C1885" t="s">
        <v>4341</v>
      </c>
      <c r="D1885" t="s">
        <v>4342</v>
      </c>
      <c r="E1885" t="s">
        <v>26</v>
      </c>
      <c r="F1885" t="s">
        <v>4164</v>
      </c>
      <c r="G1885" t="s">
        <v>4165</v>
      </c>
      <c r="H1885" t="str">
        <f>'Huong dan giao do an'!$B$14</f>
        <v>5 SV (vai trò chính): 1 PM/Scrum Master kiêm Integration; 2 BA/PO; 3 UI-UX + Frontend; 4 Backend/API + DevOps; 5 Database + QA/Tester. Mỗi SV có nhiệm vụ phụ và minh chứng cá nhân.</v>
      </c>
      <c r="I1885" t="s">
        <v>22</v>
      </c>
      <c r="J1885" t="s">
        <v>4151</v>
      </c>
      <c r="K1885" t="str">
        <f>IF(I1885="Trung bình",'Huong dan giao do an'!$B$8,IF(I1885="Khá",'Huong dan giao do an'!$B$9,'Huong dan giao do an'!$B$10))</f>
        <v>Tối thiểu 4 actor; 10-14 use case; 8-12 bảng; 3 quy trình lõi; phân quyền chi tiết; 2 báo cáo; tích hợp 1 dịch vụ; &gt;=35 test case; CI/CD hoặc deploy cloud.</v>
      </c>
      <c r="L1885" t="str">
        <f>'Huong dan giao do an'!$B$31</f>
        <v>Bắt buộc: Charter/PMP; SRS + scope/WBS; Gantt/baseline; effort-cost budget; RACI/timesheet; quality-test-defect; communication/minutes; risk register; procurement; change log; closure/lessons learned.</v>
      </c>
      <c r="M1885" t="str">
        <f>'Huong dan giao do an'!$B$33</f>
        <v>Tuần 1: 07.09–13.09.2026; Tuần 2: 14.09–20.09.2026; Tuần 3: 21.09–27.09.2026; Tuần 4: 28.09–04.10.2026; Tuần 5: 05.10–11.10.2026; Tuần 6: 12.10–18.10.2026; Tuần 7: 19.10–25.10.2026; Tuần 8: 26.10–01.11.2026.</v>
      </c>
      <c r="N18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5" s="17" t="str">
        <f t="shared" si="29"/>
        <v>Còn trống</v>
      </c>
    </row>
    <row r="1886" spans="1:16" x14ac:dyDescent="0.3">
      <c r="A1886">
        <v>1885</v>
      </c>
      <c r="B1886" t="s">
        <v>4146</v>
      </c>
      <c r="C1886" t="s">
        <v>4343</v>
      </c>
      <c r="D1886" t="s">
        <v>4344</v>
      </c>
      <c r="E1886" t="s">
        <v>33</v>
      </c>
      <c r="F1886" t="s">
        <v>4168</v>
      </c>
      <c r="G1886" t="s">
        <v>4169</v>
      </c>
      <c r="H1886" t="str">
        <f>'Huong dan giao do an'!$B$14</f>
        <v>5 SV (vai trò chính): 1 PM/Scrum Master kiêm Integration; 2 BA/PO; 3 UI-UX + Frontend; 4 Backend/API + DevOps; 5 Database + QA/Tester. Mỗi SV có nhiệm vụ phụ và minh chứng cá nhân.</v>
      </c>
      <c r="I1886" t="s">
        <v>29</v>
      </c>
      <c r="J1886" t="s">
        <v>4156</v>
      </c>
      <c r="K1886" t="str">
        <f>IF(I1886="Trung bình",'Huong dan giao do an'!$B$8,IF(I1886="Khá",'Huong dan giao do an'!$B$9,'Huong dan giao do an'!$B$10))</f>
        <v>Tối thiểu 5 actor; 14-18 use case; 10-15 bảng; 4 quy trình; tích hợp ngoài/realtime hoặc xử lý nâng cao; 3 báo cáo; &gt;=45 test case; logging, backup và deploy.</v>
      </c>
      <c r="L1886" t="str">
        <f>'Huong dan giao do an'!$B$31</f>
        <v>Bắt buộc: Charter/PMP; SRS + scope/WBS; Gantt/baseline; effort-cost budget; RACI/timesheet; quality-test-defect; communication/minutes; risk register; procurement; change log; closure/lessons learned.</v>
      </c>
      <c r="M1886" t="str">
        <f>'Huong dan giao do an'!$B$33</f>
        <v>Tuần 1: 07.09–13.09.2026; Tuần 2: 14.09–20.09.2026; Tuần 3: 21.09–27.09.2026; Tuần 4: 28.09–04.10.2026; Tuần 5: 05.10–11.10.2026; Tuần 6: 12.10–18.10.2026; Tuần 7: 19.10–25.10.2026; Tuần 8: 26.10–01.11.2026.</v>
      </c>
      <c r="N18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6" s="17" t="str">
        <f t="shared" si="29"/>
        <v>Còn trống</v>
      </c>
    </row>
    <row r="1887" spans="1:16" x14ac:dyDescent="0.3">
      <c r="A1887">
        <v>1886</v>
      </c>
      <c r="B1887" t="s">
        <v>4146</v>
      </c>
      <c r="C1887" t="s">
        <v>4345</v>
      </c>
      <c r="D1887" t="s">
        <v>4346</v>
      </c>
      <c r="E1887" t="s">
        <v>40</v>
      </c>
      <c r="F1887" t="s">
        <v>4149</v>
      </c>
      <c r="G1887" t="s">
        <v>4172</v>
      </c>
      <c r="H1887" t="str">
        <f>'Huong dan giao do an'!$B$14</f>
        <v>5 SV (vai trò chính): 1 PM/Scrum Master kiêm Integration; 2 BA/PO; 3 UI-UX + Frontend; 4 Backend/API + DevOps; 5 Database + QA/Tester. Mỗi SV có nhiệm vụ phụ và minh chứng cá nhân.</v>
      </c>
      <c r="I1887" t="s">
        <v>36</v>
      </c>
      <c r="J1887" t="s">
        <v>4161</v>
      </c>
      <c r="K1887" t="str">
        <f>IF(I1887="Trung bình",'Huong dan giao do an'!$B$8,IF(I1887="Khá",'Huong dan giao do an'!$B$9,'Huong dan giao do an'!$B$10))</f>
        <v>Tối thiểu 3 actor; 8-10 use case; 6-8 bảng dữ liệu; 2 quy trình lõi; đăng nhập/RBAC; 1 dashboard; 1 báo cáo; &gt;=25 test case; triển khai bản demo.</v>
      </c>
      <c r="L1887" t="str">
        <f>'Huong dan giao do an'!$B$31</f>
        <v>Bắt buộc: Charter/PMP; SRS + scope/WBS; Gantt/baseline; effort-cost budget; RACI/timesheet; quality-test-defect; communication/minutes; risk register; procurement; change log; closure/lessons learned.</v>
      </c>
      <c r="M1887" t="str">
        <f>'Huong dan giao do an'!$B$33</f>
        <v>Tuần 1: 07.09–13.09.2026; Tuần 2: 14.09–20.09.2026; Tuần 3: 21.09–27.09.2026; Tuần 4: 28.09–04.10.2026; Tuần 5: 05.10–11.10.2026; Tuần 6: 12.10–18.10.2026; Tuần 7: 19.10–25.10.2026; Tuần 8: 26.10–01.11.2026.</v>
      </c>
      <c r="N18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7" s="17" t="str">
        <f t="shared" si="29"/>
        <v>Còn trống</v>
      </c>
    </row>
    <row r="1888" spans="1:16" x14ac:dyDescent="0.3">
      <c r="A1888">
        <v>1887</v>
      </c>
      <c r="B1888" t="s">
        <v>4146</v>
      </c>
      <c r="C1888" t="s">
        <v>4347</v>
      </c>
      <c r="D1888" t="s">
        <v>4348</v>
      </c>
      <c r="E1888" t="s">
        <v>45</v>
      </c>
      <c r="F1888" t="s">
        <v>4154</v>
      </c>
      <c r="G1888" t="s">
        <v>4175</v>
      </c>
      <c r="H1888" t="str">
        <f>'Huong dan giao do an'!$B$14</f>
        <v>5 SV (vai trò chính): 1 PM/Scrum Master kiêm Integration; 2 BA/PO; 3 UI-UX + Frontend; 4 Backend/API + DevOps; 5 Database + QA/Tester. Mỗi SV có nhiệm vụ phụ và minh chứng cá nhân.</v>
      </c>
      <c r="I1888" t="s">
        <v>22</v>
      </c>
      <c r="J1888" t="s">
        <v>4151</v>
      </c>
      <c r="K1888" t="str">
        <f>IF(I1888="Trung bình",'Huong dan giao do an'!$B$8,IF(I1888="Khá",'Huong dan giao do an'!$B$9,'Huong dan giao do an'!$B$10))</f>
        <v>Tối thiểu 4 actor; 10-14 use case; 8-12 bảng; 3 quy trình lõi; phân quyền chi tiết; 2 báo cáo; tích hợp 1 dịch vụ; &gt;=35 test case; CI/CD hoặc deploy cloud.</v>
      </c>
      <c r="L1888" t="str">
        <f>'Huong dan giao do an'!$B$31</f>
        <v>Bắt buộc: Charter/PMP; SRS + scope/WBS; Gantt/baseline; effort-cost budget; RACI/timesheet; quality-test-defect; communication/minutes; risk register; procurement; change log; closure/lessons learned.</v>
      </c>
      <c r="M1888" t="str">
        <f>'Huong dan giao do an'!$B$33</f>
        <v>Tuần 1: 07.09–13.09.2026; Tuần 2: 14.09–20.09.2026; Tuần 3: 21.09–27.09.2026; Tuần 4: 28.09–04.10.2026; Tuần 5: 05.10–11.10.2026; Tuần 6: 12.10–18.10.2026; Tuần 7: 19.10–25.10.2026; Tuần 8: 26.10–01.11.2026.</v>
      </c>
      <c r="N18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8" s="17" t="str">
        <f t="shared" si="29"/>
        <v>Còn trống</v>
      </c>
    </row>
    <row r="1889" spans="1:16" x14ac:dyDescent="0.3">
      <c r="A1889">
        <v>1888</v>
      </c>
      <c r="B1889" t="s">
        <v>4146</v>
      </c>
      <c r="C1889" t="s">
        <v>4349</v>
      </c>
      <c r="D1889" t="s">
        <v>4350</v>
      </c>
      <c r="E1889" t="s">
        <v>19</v>
      </c>
      <c r="F1889" t="s">
        <v>4159</v>
      </c>
      <c r="G1889" t="s">
        <v>4178</v>
      </c>
      <c r="H1889" t="str">
        <f>'Huong dan giao do an'!$B$14</f>
        <v>5 SV (vai trò chính): 1 PM/Scrum Master kiêm Integration; 2 BA/PO; 3 UI-UX + Frontend; 4 Backend/API + DevOps; 5 Database + QA/Tester. Mỗi SV có nhiệm vụ phụ và minh chứng cá nhân.</v>
      </c>
      <c r="I1889" t="s">
        <v>29</v>
      </c>
      <c r="J1889" t="s">
        <v>4156</v>
      </c>
      <c r="K1889" t="str">
        <f>IF(I1889="Trung bình",'Huong dan giao do an'!$B$8,IF(I1889="Khá",'Huong dan giao do an'!$B$9,'Huong dan giao do an'!$B$10))</f>
        <v>Tối thiểu 5 actor; 14-18 use case; 10-15 bảng; 4 quy trình; tích hợp ngoài/realtime hoặc xử lý nâng cao; 3 báo cáo; &gt;=45 test case; logging, backup và deploy.</v>
      </c>
      <c r="L1889" t="str">
        <f>'Huong dan giao do an'!$B$31</f>
        <v>Bắt buộc: Charter/PMP; SRS + scope/WBS; Gantt/baseline; effort-cost budget; RACI/timesheet; quality-test-defect; communication/minutes; risk register; procurement; change log; closure/lessons learned.</v>
      </c>
      <c r="M1889" t="str">
        <f>'Huong dan giao do an'!$B$33</f>
        <v>Tuần 1: 07.09–13.09.2026; Tuần 2: 14.09–20.09.2026; Tuần 3: 21.09–27.09.2026; Tuần 4: 28.09–04.10.2026; Tuần 5: 05.10–11.10.2026; Tuần 6: 12.10–18.10.2026; Tuần 7: 19.10–25.10.2026; Tuần 8: 26.10–01.11.2026.</v>
      </c>
      <c r="N18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89" s="17" t="str">
        <f t="shared" si="29"/>
        <v>Còn trống</v>
      </c>
    </row>
    <row r="1890" spans="1:16" x14ac:dyDescent="0.3">
      <c r="A1890">
        <v>1889</v>
      </c>
      <c r="B1890" t="s">
        <v>4146</v>
      </c>
      <c r="C1890" t="s">
        <v>4351</v>
      </c>
      <c r="D1890" t="s">
        <v>4352</v>
      </c>
      <c r="E1890" t="s">
        <v>26</v>
      </c>
      <c r="F1890" t="s">
        <v>4164</v>
      </c>
      <c r="G1890" t="s">
        <v>4181</v>
      </c>
      <c r="H1890" t="str">
        <f>'Huong dan giao do an'!$B$14</f>
        <v>5 SV (vai trò chính): 1 PM/Scrum Master kiêm Integration; 2 BA/PO; 3 UI-UX + Frontend; 4 Backend/API + DevOps; 5 Database + QA/Tester. Mỗi SV có nhiệm vụ phụ và minh chứng cá nhân.</v>
      </c>
      <c r="I1890" t="s">
        <v>36</v>
      </c>
      <c r="J1890" t="s">
        <v>4161</v>
      </c>
      <c r="K1890" t="str">
        <f>IF(I1890="Trung bình",'Huong dan giao do an'!$B$8,IF(I1890="Khá",'Huong dan giao do an'!$B$9,'Huong dan giao do an'!$B$10))</f>
        <v>Tối thiểu 3 actor; 8-10 use case; 6-8 bảng dữ liệu; 2 quy trình lõi; đăng nhập/RBAC; 1 dashboard; 1 báo cáo; &gt;=25 test case; triển khai bản demo.</v>
      </c>
      <c r="L1890" t="str">
        <f>'Huong dan giao do an'!$B$31</f>
        <v>Bắt buộc: Charter/PMP; SRS + scope/WBS; Gantt/baseline; effort-cost budget; RACI/timesheet; quality-test-defect; communication/minutes; risk register; procurement; change log; closure/lessons learned.</v>
      </c>
      <c r="M1890" t="str">
        <f>'Huong dan giao do an'!$B$33</f>
        <v>Tuần 1: 07.09–13.09.2026; Tuần 2: 14.09–20.09.2026; Tuần 3: 21.09–27.09.2026; Tuần 4: 28.09–04.10.2026; Tuần 5: 05.10–11.10.2026; Tuần 6: 12.10–18.10.2026; Tuần 7: 19.10–25.10.2026; Tuần 8: 26.10–01.11.2026.</v>
      </c>
      <c r="N18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0" s="17" t="str">
        <f t="shared" si="29"/>
        <v>Còn trống</v>
      </c>
    </row>
    <row r="1891" spans="1:16" x14ac:dyDescent="0.3">
      <c r="A1891">
        <v>1890</v>
      </c>
      <c r="B1891" t="s">
        <v>4146</v>
      </c>
      <c r="C1891" t="s">
        <v>4353</v>
      </c>
      <c r="D1891" t="s">
        <v>4354</v>
      </c>
      <c r="E1891" t="s">
        <v>33</v>
      </c>
      <c r="F1891" t="s">
        <v>4168</v>
      </c>
      <c r="G1891" t="s">
        <v>4184</v>
      </c>
      <c r="H1891" t="str">
        <f>'Huong dan giao do an'!$B$14</f>
        <v>5 SV (vai trò chính): 1 PM/Scrum Master kiêm Integration; 2 BA/PO; 3 UI-UX + Frontend; 4 Backend/API + DevOps; 5 Database + QA/Tester. Mỗi SV có nhiệm vụ phụ và minh chứng cá nhân.</v>
      </c>
      <c r="I1891" t="s">
        <v>22</v>
      </c>
      <c r="J1891" t="s">
        <v>4151</v>
      </c>
      <c r="K1891" t="str">
        <f>IF(I1891="Trung bình",'Huong dan giao do an'!$B$8,IF(I1891="Khá",'Huong dan giao do an'!$B$9,'Huong dan giao do an'!$B$10))</f>
        <v>Tối thiểu 4 actor; 10-14 use case; 8-12 bảng; 3 quy trình lõi; phân quyền chi tiết; 2 báo cáo; tích hợp 1 dịch vụ; &gt;=35 test case; CI/CD hoặc deploy cloud.</v>
      </c>
      <c r="L1891" t="str">
        <f>'Huong dan giao do an'!$B$31</f>
        <v>Bắt buộc: Charter/PMP; SRS + scope/WBS; Gantt/baseline; effort-cost budget; RACI/timesheet; quality-test-defect; communication/minutes; risk register; procurement; change log; closure/lessons learned.</v>
      </c>
      <c r="M1891" t="str">
        <f>'Huong dan giao do an'!$B$33</f>
        <v>Tuần 1: 07.09–13.09.2026; Tuần 2: 14.09–20.09.2026; Tuần 3: 21.09–27.09.2026; Tuần 4: 28.09–04.10.2026; Tuần 5: 05.10–11.10.2026; Tuần 6: 12.10–18.10.2026; Tuần 7: 19.10–25.10.2026; Tuần 8: 26.10–01.11.2026.</v>
      </c>
      <c r="N18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1" s="17" t="str">
        <f t="shared" si="29"/>
        <v>Còn trống</v>
      </c>
    </row>
    <row r="1892" spans="1:16" x14ac:dyDescent="0.3">
      <c r="A1892">
        <v>1891</v>
      </c>
      <c r="B1892" t="s">
        <v>4146</v>
      </c>
      <c r="C1892" t="s">
        <v>4355</v>
      </c>
      <c r="D1892" t="s">
        <v>4356</v>
      </c>
      <c r="E1892" t="s">
        <v>40</v>
      </c>
      <c r="F1892" t="s">
        <v>4149</v>
      </c>
      <c r="G1892" t="s">
        <v>4187</v>
      </c>
      <c r="H1892" t="str">
        <f>'Huong dan giao do an'!$B$14</f>
        <v>5 SV (vai trò chính): 1 PM/Scrum Master kiêm Integration; 2 BA/PO; 3 UI-UX + Frontend; 4 Backend/API + DevOps; 5 Database + QA/Tester. Mỗi SV có nhiệm vụ phụ và minh chứng cá nhân.</v>
      </c>
      <c r="I1892" t="s">
        <v>29</v>
      </c>
      <c r="J1892" t="s">
        <v>4156</v>
      </c>
      <c r="K1892" t="str">
        <f>IF(I1892="Trung bình",'Huong dan giao do an'!$B$8,IF(I1892="Khá",'Huong dan giao do an'!$B$9,'Huong dan giao do an'!$B$10))</f>
        <v>Tối thiểu 5 actor; 14-18 use case; 10-15 bảng; 4 quy trình; tích hợp ngoài/realtime hoặc xử lý nâng cao; 3 báo cáo; &gt;=45 test case; logging, backup và deploy.</v>
      </c>
      <c r="L1892" t="str">
        <f>'Huong dan giao do an'!$B$31</f>
        <v>Bắt buộc: Charter/PMP; SRS + scope/WBS; Gantt/baseline; effort-cost budget; RACI/timesheet; quality-test-defect; communication/minutes; risk register; procurement; change log; closure/lessons learned.</v>
      </c>
      <c r="M1892" t="str">
        <f>'Huong dan giao do an'!$B$33</f>
        <v>Tuần 1: 07.09–13.09.2026; Tuần 2: 14.09–20.09.2026; Tuần 3: 21.09–27.09.2026; Tuần 4: 28.09–04.10.2026; Tuần 5: 05.10–11.10.2026; Tuần 6: 12.10–18.10.2026; Tuần 7: 19.10–25.10.2026; Tuần 8: 26.10–01.11.2026.</v>
      </c>
      <c r="N18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2" s="17" t="str">
        <f t="shared" si="29"/>
        <v>Còn trống</v>
      </c>
    </row>
    <row r="1893" spans="1:16" x14ac:dyDescent="0.3">
      <c r="A1893">
        <v>1892</v>
      </c>
      <c r="B1893" t="s">
        <v>4146</v>
      </c>
      <c r="C1893" t="s">
        <v>4357</v>
      </c>
      <c r="D1893" t="s">
        <v>4358</v>
      </c>
      <c r="E1893" t="s">
        <v>45</v>
      </c>
      <c r="F1893" t="s">
        <v>4154</v>
      </c>
      <c r="G1893" t="s">
        <v>4190</v>
      </c>
      <c r="H1893" t="str">
        <f>'Huong dan giao do an'!$B$14</f>
        <v>5 SV (vai trò chính): 1 PM/Scrum Master kiêm Integration; 2 BA/PO; 3 UI-UX + Frontend; 4 Backend/API + DevOps; 5 Database + QA/Tester. Mỗi SV có nhiệm vụ phụ và minh chứng cá nhân.</v>
      </c>
      <c r="I1893" t="s">
        <v>36</v>
      </c>
      <c r="J1893" t="s">
        <v>4161</v>
      </c>
      <c r="K1893" t="str">
        <f>IF(I1893="Trung bình",'Huong dan giao do an'!$B$8,IF(I1893="Khá",'Huong dan giao do an'!$B$9,'Huong dan giao do an'!$B$10))</f>
        <v>Tối thiểu 3 actor; 8-10 use case; 6-8 bảng dữ liệu; 2 quy trình lõi; đăng nhập/RBAC; 1 dashboard; 1 báo cáo; &gt;=25 test case; triển khai bản demo.</v>
      </c>
      <c r="L1893" t="str">
        <f>'Huong dan giao do an'!$B$31</f>
        <v>Bắt buộc: Charter/PMP; SRS + scope/WBS; Gantt/baseline; effort-cost budget; RACI/timesheet; quality-test-defect; communication/minutes; risk register; procurement; change log; closure/lessons learned.</v>
      </c>
      <c r="M1893" t="str">
        <f>'Huong dan giao do an'!$B$33</f>
        <v>Tuần 1: 07.09–13.09.2026; Tuần 2: 14.09–20.09.2026; Tuần 3: 21.09–27.09.2026; Tuần 4: 28.09–04.10.2026; Tuần 5: 05.10–11.10.2026; Tuần 6: 12.10–18.10.2026; Tuần 7: 19.10–25.10.2026; Tuần 8: 26.10–01.11.2026.</v>
      </c>
      <c r="N18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3" s="17" t="str">
        <f t="shared" si="29"/>
        <v>Còn trống</v>
      </c>
    </row>
    <row r="1894" spans="1:16" x14ac:dyDescent="0.3">
      <c r="A1894">
        <v>1893</v>
      </c>
      <c r="B1894" t="s">
        <v>4146</v>
      </c>
      <c r="C1894" t="s">
        <v>4359</v>
      </c>
      <c r="D1894" t="s">
        <v>4360</v>
      </c>
      <c r="E1894" t="s">
        <v>19</v>
      </c>
      <c r="F1894" t="s">
        <v>4159</v>
      </c>
      <c r="G1894" t="s">
        <v>4193</v>
      </c>
      <c r="H1894" t="str">
        <f>'Huong dan giao do an'!$B$14</f>
        <v>5 SV (vai trò chính): 1 PM/Scrum Master kiêm Integration; 2 BA/PO; 3 UI-UX + Frontend; 4 Backend/API + DevOps; 5 Database + QA/Tester. Mỗi SV có nhiệm vụ phụ và minh chứng cá nhân.</v>
      </c>
      <c r="I1894" t="s">
        <v>22</v>
      </c>
      <c r="J1894" t="s">
        <v>4151</v>
      </c>
      <c r="K1894" t="str">
        <f>IF(I1894="Trung bình",'Huong dan giao do an'!$B$8,IF(I1894="Khá",'Huong dan giao do an'!$B$9,'Huong dan giao do an'!$B$10))</f>
        <v>Tối thiểu 4 actor; 10-14 use case; 8-12 bảng; 3 quy trình lõi; phân quyền chi tiết; 2 báo cáo; tích hợp 1 dịch vụ; &gt;=35 test case; CI/CD hoặc deploy cloud.</v>
      </c>
      <c r="L1894" t="str">
        <f>'Huong dan giao do an'!$B$31</f>
        <v>Bắt buộc: Charter/PMP; SRS + scope/WBS; Gantt/baseline; effort-cost budget; RACI/timesheet; quality-test-defect; communication/minutes; risk register; procurement; change log; closure/lessons learned.</v>
      </c>
      <c r="M1894" t="str">
        <f>'Huong dan giao do an'!$B$33</f>
        <v>Tuần 1: 07.09–13.09.2026; Tuần 2: 14.09–20.09.2026; Tuần 3: 21.09–27.09.2026; Tuần 4: 28.09–04.10.2026; Tuần 5: 05.10–11.10.2026; Tuần 6: 12.10–18.10.2026; Tuần 7: 19.10–25.10.2026; Tuần 8: 26.10–01.11.2026.</v>
      </c>
      <c r="N18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4" s="17" t="str">
        <f t="shared" si="29"/>
        <v>Còn trống</v>
      </c>
    </row>
    <row r="1895" spans="1:16" x14ac:dyDescent="0.3">
      <c r="A1895">
        <v>1894</v>
      </c>
      <c r="B1895" t="s">
        <v>4146</v>
      </c>
      <c r="C1895" t="s">
        <v>4361</v>
      </c>
      <c r="D1895" t="s">
        <v>4362</v>
      </c>
      <c r="E1895" t="s">
        <v>26</v>
      </c>
      <c r="F1895" t="s">
        <v>4164</v>
      </c>
      <c r="G1895" t="s">
        <v>4196</v>
      </c>
      <c r="H1895" t="str">
        <f>'Huong dan giao do an'!$B$14</f>
        <v>5 SV (vai trò chính): 1 PM/Scrum Master kiêm Integration; 2 BA/PO; 3 UI-UX + Frontend; 4 Backend/API + DevOps; 5 Database + QA/Tester. Mỗi SV có nhiệm vụ phụ và minh chứng cá nhân.</v>
      </c>
      <c r="I1895" t="s">
        <v>29</v>
      </c>
      <c r="J1895" t="s">
        <v>4156</v>
      </c>
      <c r="K1895" t="str">
        <f>IF(I1895="Trung bình",'Huong dan giao do an'!$B$8,IF(I1895="Khá",'Huong dan giao do an'!$B$9,'Huong dan giao do an'!$B$10))</f>
        <v>Tối thiểu 5 actor; 14-18 use case; 10-15 bảng; 4 quy trình; tích hợp ngoài/realtime hoặc xử lý nâng cao; 3 báo cáo; &gt;=45 test case; logging, backup và deploy.</v>
      </c>
      <c r="L1895" t="str">
        <f>'Huong dan giao do an'!$B$31</f>
        <v>Bắt buộc: Charter/PMP; SRS + scope/WBS; Gantt/baseline; effort-cost budget; RACI/timesheet; quality-test-defect; communication/minutes; risk register; procurement; change log; closure/lessons learned.</v>
      </c>
      <c r="M1895" t="str">
        <f>'Huong dan giao do an'!$B$33</f>
        <v>Tuần 1: 07.09–13.09.2026; Tuần 2: 14.09–20.09.2026; Tuần 3: 21.09–27.09.2026; Tuần 4: 28.09–04.10.2026; Tuần 5: 05.10–11.10.2026; Tuần 6: 12.10–18.10.2026; Tuần 7: 19.10–25.10.2026; Tuần 8: 26.10–01.11.2026.</v>
      </c>
      <c r="N18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5" s="17" t="str">
        <f t="shared" si="29"/>
        <v>Còn trống</v>
      </c>
    </row>
    <row r="1896" spans="1:16" x14ac:dyDescent="0.3">
      <c r="A1896">
        <v>1895</v>
      </c>
      <c r="B1896" t="s">
        <v>4146</v>
      </c>
      <c r="C1896" t="s">
        <v>4363</v>
      </c>
      <c r="D1896" t="s">
        <v>4364</v>
      </c>
      <c r="E1896" t="s">
        <v>33</v>
      </c>
      <c r="F1896" t="s">
        <v>4168</v>
      </c>
      <c r="G1896" t="s">
        <v>4199</v>
      </c>
      <c r="H1896" t="str">
        <f>'Huong dan giao do an'!$B$14</f>
        <v>5 SV (vai trò chính): 1 PM/Scrum Master kiêm Integration; 2 BA/PO; 3 UI-UX + Frontend; 4 Backend/API + DevOps; 5 Database + QA/Tester. Mỗi SV có nhiệm vụ phụ và minh chứng cá nhân.</v>
      </c>
      <c r="I1896" t="s">
        <v>36</v>
      </c>
      <c r="J1896" t="s">
        <v>4161</v>
      </c>
      <c r="K1896" t="str">
        <f>IF(I1896="Trung bình",'Huong dan giao do an'!$B$8,IF(I1896="Khá",'Huong dan giao do an'!$B$9,'Huong dan giao do an'!$B$10))</f>
        <v>Tối thiểu 3 actor; 8-10 use case; 6-8 bảng dữ liệu; 2 quy trình lõi; đăng nhập/RBAC; 1 dashboard; 1 báo cáo; &gt;=25 test case; triển khai bản demo.</v>
      </c>
      <c r="L1896" t="str">
        <f>'Huong dan giao do an'!$B$31</f>
        <v>Bắt buộc: Charter/PMP; SRS + scope/WBS; Gantt/baseline; effort-cost budget; RACI/timesheet; quality-test-defect; communication/minutes; risk register; procurement; change log; closure/lessons learned.</v>
      </c>
      <c r="M1896" t="str">
        <f>'Huong dan giao do an'!$B$33</f>
        <v>Tuần 1: 07.09–13.09.2026; Tuần 2: 14.09–20.09.2026; Tuần 3: 21.09–27.09.2026; Tuần 4: 28.09–04.10.2026; Tuần 5: 05.10–11.10.2026; Tuần 6: 12.10–18.10.2026; Tuần 7: 19.10–25.10.2026; Tuần 8: 26.10–01.11.2026.</v>
      </c>
      <c r="N18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6" s="17" t="str">
        <f t="shared" si="29"/>
        <v>Còn trống</v>
      </c>
    </row>
    <row r="1897" spans="1:16" x14ac:dyDescent="0.3">
      <c r="A1897">
        <v>1896</v>
      </c>
      <c r="B1897" t="s">
        <v>4146</v>
      </c>
      <c r="C1897" t="s">
        <v>4365</v>
      </c>
      <c r="D1897" t="s">
        <v>4366</v>
      </c>
      <c r="E1897" t="s">
        <v>40</v>
      </c>
      <c r="F1897" t="s">
        <v>4149</v>
      </c>
      <c r="G1897" t="s">
        <v>4202</v>
      </c>
      <c r="H1897" t="str">
        <f>'Huong dan giao do an'!$B$14</f>
        <v>5 SV (vai trò chính): 1 PM/Scrum Master kiêm Integration; 2 BA/PO; 3 UI-UX + Frontend; 4 Backend/API + DevOps; 5 Database + QA/Tester. Mỗi SV có nhiệm vụ phụ và minh chứng cá nhân.</v>
      </c>
      <c r="I1897" t="s">
        <v>22</v>
      </c>
      <c r="J1897" t="s">
        <v>4151</v>
      </c>
      <c r="K1897" t="str">
        <f>IF(I1897="Trung bình",'Huong dan giao do an'!$B$8,IF(I1897="Khá",'Huong dan giao do an'!$B$9,'Huong dan giao do an'!$B$10))</f>
        <v>Tối thiểu 4 actor; 10-14 use case; 8-12 bảng; 3 quy trình lõi; phân quyền chi tiết; 2 báo cáo; tích hợp 1 dịch vụ; &gt;=35 test case; CI/CD hoặc deploy cloud.</v>
      </c>
      <c r="L1897" t="str">
        <f>'Huong dan giao do an'!$B$31</f>
        <v>Bắt buộc: Charter/PMP; SRS + scope/WBS; Gantt/baseline; effort-cost budget; RACI/timesheet; quality-test-defect; communication/minutes; risk register; procurement; change log; closure/lessons learned.</v>
      </c>
      <c r="M1897" t="str">
        <f>'Huong dan giao do an'!$B$33</f>
        <v>Tuần 1: 07.09–13.09.2026; Tuần 2: 14.09–20.09.2026; Tuần 3: 21.09–27.09.2026; Tuần 4: 28.09–04.10.2026; Tuần 5: 05.10–11.10.2026; Tuần 6: 12.10–18.10.2026; Tuần 7: 19.10–25.10.2026; Tuần 8: 26.10–01.11.2026.</v>
      </c>
      <c r="N18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7" s="17" t="str">
        <f t="shared" si="29"/>
        <v>Còn trống</v>
      </c>
    </row>
    <row r="1898" spans="1:16" x14ac:dyDescent="0.3">
      <c r="A1898">
        <v>1897</v>
      </c>
      <c r="B1898" t="s">
        <v>4146</v>
      </c>
      <c r="C1898" t="s">
        <v>4367</v>
      </c>
      <c r="D1898" t="s">
        <v>4368</v>
      </c>
      <c r="E1898" t="s">
        <v>45</v>
      </c>
      <c r="F1898" t="s">
        <v>4154</v>
      </c>
      <c r="G1898" t="s">
        <v>4205</v>
      </c>
      <c r="H1898" t="str">
        <f>'Huong dan giao do an'!$B$14</f>
        <v>5 SV (vai trò chính): 1 PM/Scrum Master kiêm Integration; 2 BA/PO; 3 UI-UX + Frontend; 4 Backend/API + DevOps; 5 Database + QA/Tester. Mỗi SV có nhiệm vụ phụ và minh chứng cá nhân.</v>
      </c>
      <c r="I1898" t="s">
        <v>29</v>
      </c>
      <c r="J1898" t="s">
        <v>4156</v>
      </c>
      <c r="K1898" t="str">
        <f>IF(I1898="Trung bình",'Huong dan giao do an'!$B$8,IF(I1898="Khá",'Huong dan giao do an'!$B$9,'Huong dan giao do an'!$B$10))</f>
        <v>Tối thiểu 5 actor; 14-18 use case; 10-15 bảng; 4 quy trình; tích hợp ngoài/realtime hoặc xử lý nâng cao; 3 báo cáo; &gt;=45 test case; logging, backup và deploy.</v>
      </c>
      <c r="L1898" t="str">
        <f>'Huong dan giao do an'!$B$31</f>
        <v>Bắt buộc: Charter/PMP; SRS + scope/WBS; Gantt/baseline; effort-cost budget; RACI/timesheet; quality-test-defect; communication/minutes; risk register; procurement; change log; closure/lessons learned.</v>
      </c>
      <c r="M1898" t="str">
        <f>'Huong dan giao do an'!$B$33</f>
        <v>Tuần 1: 07.09–13.09.2026; Tuần 2: 14.09–20.09.2026; Tuần 3: 21.09–27.09.2026; Tuần 4: 28.09–04.10.2026; Tuần 5: 05.10–11.10.2026; Tuần 6: 12.10–18.10.2026; Tuần 7: 19.10–25.10.2026; Tuần 8: 26.10–01.11.2026.</v>
      </c>
      <c r="N18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8" s="17" t="str">
        <f t="shared" si="29"/>
        <v>Còn trống</v>
      </c>
    </row>
    <row r="1899" spans="1:16" x14ac:dyDescent="0.3">
      <c r="A1899">
        <v>1898</v>
      </c>
      <c r="B1899" t="s">
        <v>4146</v>
      </c>
      <c r="C1899" t="s">
        <v>4369</v>
      </c>
      <c r="D1899" t="s">
        <v>4370</v>
      </c>
      <c r="E1899" t="s">
        <v>19</v>
      </c>
      <c r="F1899" t="s">
        <v>4159</v>
      </c>
      <c r="G1899" t="s">
        <v>4208</v>
      </c>
      <c r="H1899" t="str">
        <f>'Huong dan giao do an'!$B$14</f>
        <v>5 SV (vai trò chính): 1 PM/Scrum Master kiêm Integration; 2 BA/PO; 3 UI-UX + Frontend; 4 Backend/API + DevOps; 5 Database + QA/Tester. Mỗi SV có nhiệm vụ phụ và minh chứng cá nhân.</v>
      </c>
      <c r="I1899" t="s">
        <v>36</v>
      </c>
      <c r="J1899" t="s">
        <v>4161</v>
      </c>
      <c r="K1899" t="str">
        <f>IF(I1899="Trung bình",'Huong dan giao do an'!$B$8,IF(I1899="Khá",'Huong dan giao do an'!$B$9,'Huong dan giao do an'!$B$10))</f>
        <v>Tối thiểu 3 actor; 8-10 use case; 6-8 bảng dữ liệu; 2 quy trình lõi; đăng nhập/RBAC; 1 dashboard; 1 báo cáo; &gt;=25 test case; triển khai bản demo.</v>
      </c>
      <c r="L1899" t="str">
        <f>'Huong dan giao do an'!$B$31</f>
        <v>Bắt buộc: Charter/PMP; SRS + scope/WBS; Gantt/baseline; effort-cost budget; RACI/timesheet; quality-test-defect; communication/minutes; risk register; procurement; change log; closure/lessons learned.</v>
      </c>
      <c r="M1899" t="str">
        <f>'Huong dan giao do an'!$B$33</f>
        <v>Tuần 1: 07.09–13.09.2026; Tuần 2: 14.09–20.09.2026; Tuần 3: 21.09–27.09.2026; Tuần 4: 28.09–04.10.2026; Tuần 5: 05.10–11.10.2026; Tuần 6: 12.10–18.10.2026; Tuần 7: 19.10–25.10.2026; Tuần 8: 26.10–01.11.2026.</v>
      </c>
      <c r="N18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899" s="17" t="str">
        <f t="shared" si="29"/>
        <v>Còn trống</v>
      </c>
    </row>
    <row r="1900" spans="1:16" x14ac:dyDescent="0.3">
      <c r="A1900">
        <v>1899</v>
      </c>
      <c r="B1900" t="s">
        <v>4146</v>
      </c>
      <c r="C1900" t="s">
        <v>4371</v>
      </c>
      <c r="D1900" t="s">
        <v>4372</v>
      </c>
      <c r="E1900" t="s">
        <v>26</v>
      </c>
      <c r="F1900" t="s">
        <v>4164</v>
      </c>
      <c r="G1900" t="s">
        <v>4211</v>
      </c>
      <c r="H1900" t="str">
        <f>'Huong dan giao do an'!$B$14</f>
        <v>5 SV (vai trò chính): 1 PM/Scrum Master kiêm Integration; 2 BA/PO; 3 UI-UX + Frontend; 4 Backend/API + DevOps; 5 Database + QA/Tester. Mỗi SV có nhiệm vụ phụ và minh chứng cá nhân.</v>
      </c>
      <c r="I1900" t="s">
        <v>22</v>
      </c>
      <c r="J1900" t="s">
        <v>4151</v>
      </c>
      <c r="K1900" t="str">
        <f>IF(I1900="Trung bình",'Huong dan giao do an'!$B$8,IF(I1900="Khá",'Huong dan giao do an'!$B$9,'Huong dan giao do an'!$B$10))</f>
        <v>Tối thiểu 4 actor; 10-14 use case; 8-12 bảng; 3 quy trình lõi; phân quyền chi tiết; 2 báo cáo; tích hợp 1 dịch vụ; &gt;=35 test case; CI/CD hoặc deploy cloud.</v>
      </c>
      <c r="L1900" t="str">
        <f>'Huong dan giao do an'!$B$31</f>
        <v>Bắt buộc: Charter/PMP; SRS + scope/WBS; Gantt/baseline; effort-cost budget; RACI/timesheet; quality-test-defect; communication/minutes; risk register; procurement; change log; closure/lessons learned.</v>
      </c>
      <c r="M1900" t="str">
        <f>'Huong dan giao do an'!$B$33</f>
        <v>Tuần 1: 07.09–13.09.2026; Tuần 2: 14.09–20.09.2026; Tuần 3: 21.09–27.09.2026; Tuần 4: 28.09–04.10.2026; Tuần 5: 05.10–11.10.2026; Tuần 6: 12.10–18.10.2026; Tuần 7: 19.10–25.10.2026; Tuần 8: 26.10–01.11.2026.</v>
      </c>
      <c r="N19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0" s="17" t="str">
        <f t="shared" si="29"/>
        <v>Còn trống</v>
      </c>
    </row>
    <row r="1901" spans="1:16" x14ac:dyDescent="0.3">
      <c r="A1901">
        <v>1900</v>
      </c>
      <c r="B1901" t="s">
        <v>4146</v>
      </c>
      <c r="C1901" t="s">
        <v>4373</v>
      </c>
      <c r="D1901" t="s">
        <v>4374</v>
      </c>
      <c r="E1901" t="s">
        <v>33</v>
      </c>
      <c r="F1901" t="s">
        <v>4168</v>
      </c>
      <c r="G1901" t="s">
        <v>4214</v>
      </c>
      <c r="H1901" t="str">
        <f>'Huong dan giao do an'!$B$14</f>
        <v>5 SV (vai trò chính): 1 PM/Scrum Master kiêm Integration; 2 BA/PO; 3 UI-UX + Frontend; 4 Backend/API + DevOps; 5 Database + QA/Tester. Mỗi SV có nhiệm vụ phụ và minh chứng cá nhân.</v>
      </c>
      <c r="I1901" t="s">
        <v>29</v>
      </c>
      <c r="J1901" t="s">
        <v>4156</v>
      </c>
      <c r="K1901" t="str">
        <f>IF(I1901="Trung bình",'Huong dan giao do an'!$B$8,IF(I1901="Khá",'Huong dan giao do an'!$B$9,'Huong dan giao do an'!$B$10))</f>
        <v>Tối thiểu 5 actor; 14-18 use case; 10-15 bảng; 4 quy trình; tích hợp ngoài/realtime hoặc xử lý nâng cao; 3 báo cáo; &gt;=45 test case; logging, backup và deploy.</v>
      </c>
      <c r="L1901" t="str">
        <f>'Huong dan giao do an'!$B$31</f>
        <v>Bắt buộc: Charter/PMP; SRS + scope/WBS; Gantt/baseline; effort-cost budget; RACI/timesheet; quality-test-defect; communication/minutes; risk register; procurement; change log; closure/lessons learned.</v>
      </c>
      <c r="M1901" t="str">
        <f>'Huong dan giao do an'!$B$33</f>
        <v>Tuần 1: 07.09–13.09.2026; Tuần 2: 14.09–20.09.2026; Tuần 3: 21.09–27.09.2026; Tuần 4: 28.09–04.10.2026; Tuần 5: 05.10–11.10.2026; Tuần 6: 12.10–18.10.2026; Tuần 7: 19.10–25.10.2026; Tuần 8: 26.10–01.11.2026.</v>
      </c>
      <c r="N19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1" s="17" t="str">
        <f t="shared" si="29"/>
        <v>Còn trống</v>
      </c>
    </row>
    <row r="1902" spans="1:16" x14ac:dyDescent="0.3">
      <c r="A1902">
        <v>1901</v>
      </c>
      <c r="B1902" t="s">
        <v>4375</v>
      </c>
      <c r="C1902" t="s">
        <v>4376</v>
      </c>
      <c r="D1902" t="s">
        <v>4377</v>
      </c>
      <c r="E1902" t="s">
        <v>45</v>
      </c>
      <c r="F1902" t="s">
        <v>4378</v>
      </c>
      <c r="G1902" t="s">
        <v>4379</v>
      </c>
      <c r="H1902" t="str">
        <f>'Huong dan giao do an'!$B$14</f>
        <v>5 SV (vai trò chính): 1 PM/Scrum Master kiêm Integration; 2 BA/PO; 3 UI-UX + Frontend; 4 Backend/API + DevOps; 5 Database + QA/Tester. Mỗi SV có nhiệm vụ phụ và minh chứng cá nhân.</v>
      </c>
      <c r="I1902" t="s">
        <v>22</v>
      </c>
      <c r="J1902" t="s">
        <v>4380</v>
      </c>
      <c r="K1902" t="str">
        <f>IF(I1902="Trung bình",'Huong dan giao do an'!$B$8,IF(I1902="Khá",'Huong dan giao do an'!$B$9,'Huong dan giao do an'!$B$10))</f>
        <v>Tối thiểu 4 actor; 10-14 use case; 8-12 bảng; 3 quy trình lõi; phân quyền chi tiết; 2 báo cáo; tích hợp 1 dịch vụ; &gt;=35 test case; CI/CD hoặc deploy cloud.</v>
      </c>
      <c r="L1902" t="str">
        <f>'Huong dan giao do an'!$B$31</f>
        <v>Bắt buộc: Charter/PMP; SRS + scope/WBS; Gantt/baseline; effort-cost budget; RACI/timesheet; quality-test-defect; communication/minutes; risk register; procurement; change log; closure/lessons learned.</v>
      </c>
      <c r="M1902" t="str">
        <f>'Huong dan giao do an'!$B$33</f>
        <v>Tuần 1: 07.09–13.09.2026; Tuần 2: 14.09–20.09.2026; Tuần 3: 21.09–27.09.2026; Tuần 4: 28.09–04.10.2026; Tuần 5: 05.10–11.10.2026; Tuần 6: 12.10–18.10.2026; Tuần 7: 19.10–25.10.2026; Tuần 8: 26.10–01.11.2026.</v>
      </c>
      <c r="N19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2" s="17" t="str">
        <f t="shared" si="29"/>
        <v>Còn trống</v>
      </c>
    </row>
    <row r="1903" spans="1:16" x14ac:dyDescent="0.3">
      <c r="A1903">
        <v>1902</v>
      </c>
      <c r="B1903" t="s">
        <v>4375</v>
      </c>
      <c r="C1903" t="s">
        <v>4381</v>
      </c>
      <c r="D1903" t="s">
        <v>4382</v>
      </c>
      <c r="E1903" t="s">
        <v>19</v>
      </c>
      <c r="F1903" t="s">
        <v>4383</v>
      </c>
      <c r="G1903" t="s">
        <v>4384</v>
      </c>
      <c r="H1903" t="str">
        <f>'Huong dan giao do an'!$B$14</f>
        <v>5 SV (vai trò chính): 1 PM/Scrum Master kiêm Integration; 2 BA/PO; 3 UI-UX + Frontend; 4 Backend/API + DevOps; 5 Database + QA/Tester. Mỗi SV có nhiệm vụ phụ và minh chứng cá nhân.</v>
      </c>
      <c r="I1903" t="s">
        <v>29</v>
      </c>
      <c r="J1903" t="s">
        <v>4385</v>
      </c>
      <c r="K1903" t="str">
        <f>IF(I1903="Trung bình",'Huong dan giao do an'!$B$8,IF(I1903="Khá",'Huong dan giao do an'!$B$9,'Huong dan giao do an'!$B$10))</f>
        <v>Tối thiểu 5 actor; 14-18 use case; 10-15 bảng; 4 quy trình; tích hợp ngoài/realtime hoặc xử lý nâng cao; 3 báo cáo; &gt;=45 test case; logging, backup và deploy.</v>
      </c>
      <c r="L1903" t="str">
        <f>'Huong dan giao do an'!$B$31</f>
        <v>Bắt buộc: Charter/PMP; SRS + scope/WBS; Gantt/baseline; effort-cost budget; RACI/timesheet; quality-test-defect; communication/minutes; risk register; procurement; change log; closure/lessons learned.</v>
      </c>
      <c r="M1903" t="str">
        <f>'Huong dan giao do an'!$B$33</f>
        <v>Tuần 1: 07.09–13.09.2026; Tuần 2: 14.09–20.09.2026; Tuần 3: 21.09–27.09.2026; Tuần 4: 28.09–04.10.2026; Tuần 5: 05.10–11.10.2026; Tuần 6: 12.10–18.10.2026; Tuần 7: 19.10–25.10.2026; Tuần 8: 26.10–01.11.2026.</v>
      </c>
      <c r="N19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3" s="17" t="str">
        <f t="shared" si="29"/>
        <v>Còn trống</v>
      </c>
    </row>
    <row r="1904" spans="1:16" x14ac:dyDescent="0.3">
      <c r="A1904">
        <v>1903</v>
      </c>
      <c r="B1904" t="s">
        <v>4375</v>
      </c>
      <c r="C1904" t="s">
        <v>4386</v>
      </c>
      <c r="D1904" t="s">
        <v>4387</v>
      </c>
      <c r="E1904" t="s">
        <v>26</v>
      </c>
      <c r="F1904" t="s">
        <v>4388</v>
      </c>
      <c r="G1904" t="s">
        <v>4389</v>
      </c>
      <c r="H1904" t="str">
        <f>'Huong dan giao do an'!$B$14</f>
        <v>5 SV (vai trò chính): 1 PM/Scrum Master kiêm Integration; 2 BA/PO; 3 UI-UX + Frontend; 4 Backend/API + DevOps; 5 Database + QA/Tester. Mỗi SV có nhiệm vụ phụ và minh chứng cá nhân.</v>
      </c>
      <c r="I1904" t="s">
        <v>36</v>
      </c>
      <c r="J1904" t="s">
        <v>4390</v>
      </c>
      <c r="K1904" t="str">
        <f>IF(I1904="Trung bình",'Huong dan giao do an'!$B$8,IF(I1904="Khá",'Huong dan giao do an'!$B$9,'Huong dan giao do an'!$B$10))</f>
        <v>Tối thiểu 3 actor; 8-10 use case; 6-8 bảng dữ liệu; 2 quy trình lõi; đăng nhập/RBAC; 1 dashboard; 1 báo cáo; &gt;=25 test case; triển khai bản demo.</v>
      </c>
      <c r="L1904" t="str">
        <f>'Huong dan giao do an'!$B$31</f>
        <v>Bắt buộc: Charter/PMP; SRS + scope/WBS; Gantt/baseline; effort-cost budget; RACI/timesheet; quality-test-defect; communication/minutes; risk register; procurement; change log; closure/lessons learned.</v>
      </c>
      <c r="M1904" t="str">
        <f>'Huong dan giao do an'!$B$33</f>
        <v>Tuần 1: 07.09–13.09.2026; Tuần 2: 14.09–20.09.2026; Tuần 3: 21.09–27.09.2026; Tuần 4: 28.09–04.10.2026; Tuần 5: 05.10–11.10.2026; Tuần 6: 12.10–18.10.2026; Tuần 7: 19.10–25.10.2026; Tuần 8: 26.10–01.11.2026.</v>
      </c>
      <c r="N19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4" s="17" t="str">
        <f t="shared" si="29"/>
        <v>Còn trống</v>
      </c>
    </row>
    <row r="1905" spans="1:16" x14ac:dyDescent="0.3">
      <c r="A1905">
        <v>1904</v>
      </c>
      <c r="B1905" t="s">
        <v>4375</v>
      </c>
      <c r="C1905" t="s">
        <v>4391</v>
      </c>
      <c r="D1905" t="s">
        <v>4392</v>
      </c>
      <c r="E1905" t="s">
        <v>33</v>
      </c>
      <c r="F1905" t="s">
        <v>4393</v>
      </c>
      <c r="G1905" t="s">
        <v>4394</v>
      </c>
      <c r="H1905" t="str">
        <f>'Huong dan giao do an'!$B$14</f>
        <v>5 SV (vai trò chính): 1 PM/Scrum Master kiêm Integration; 2 BA/PO; 3 UI-UX + Frontend; 4 Backend/API + DevOps; 5 Database + QA/Tester. Mỗi SV có nhiệm vụ phụ và minh chứng cá nhân.</v>
      </c>
      <c r="I1905" t="s">
        <v>22</v>
      </c>
      <c r="J1905" t="s">
        <v>4380</v>
      </c>
      <c r="K1905" t="str">
        <f>IF(I1905="Trung bình",'Huong dan giao do an'!$B$8,IF(I1905="Khá",'Huong dan giao do an'!$B$9,'Huong dan giao do an'!$B$10))</f>
        <v>Tối thiểu 4 actor; 10-14 use case; 8-12 bảng; 3 quy trình lõi; phân quyền chi tiết; 2 báo cáo; tích hợp 1 dịch vụ; &gt;=35 test case; CI/CD hoặc deploy cloud.</v>
      </c>
      <c r="L1905" t="str">
        <f>'Huong dan giao do an'!$B$31</f>
        <v>Bắt buộc: Charter/PMP; SRS + scope/WBS; Gantt/baseline; effort-cost budget; RACI/timesheet; quality-test-defect; communication/minutes; risk register; procurement; change log; closure/lessons learned.</v>
      </c>
      <c r="M1905" t="str">
        <f>'Huong dan giao do an'!$B$33</f>
        <v>Tuần 1: 07.09–13.09.2026; Tuần 2: 14.09–20.09.2026; Tuần 3: 21.09–27.09.2026; Tuần 4: 28.09–04.10.2026; Tuần 5: 05.10–11.10.2026; Tuần 6: 12.10–18.10.2026; Tuần 7: 19.10–25.10.2026; Tuần 8: 26.10–01.11.2026.</v>
      </c>
      <c r="N19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5" s="17" t="str">
        <f t="shared" si="29"/>
        <v>Còn trống</v>
      </c>
    </row>
    <row r="1906" spans="1:16" x14ac:dyDescent="0.3">
      <c r="A1906">
        <v>1905</v>
      </c>
      <c r="B1906" t="s">
        <v>4375</v>
      </c>
      <c r="C1906" t="s">
        <v>4395</v>
      </c>
      <c r="D1906" t="s">
        <v>4396</v>
      </c>
      <c r="E1906" t="s">
        <v>40</v>
      </c>
      <c r="F1906" t="s">
        <v>4397</v>
      </c>
      <c r="G1906" t="s">
        <v>4398</v>
      </c>
      <c r="H1906" t="str">
        <f>'Huong dan giao do an'!$B$14</f>
        <v>5 SV (vai trò chính): 1 PM/Scrum Master kiêm Integration; 2 BA/PO; 3 UI-UX + Frontend; 4 Backend/API + DevOps; 5 Database + QA/Tester. Mỗi SV có nhiệm vụ phụ và minh chứng cá nhân.</v>
      </c>
      <c r="I1906" t="s">
        <v>29</v>
      </c>
      <c r="J1906" t="s">
        <v>4385</v>
      </c>
      <c r="K1906" t="str">
        <f>IF(I1906="Trung bình",'Huong dan giao do an'!$B$8,IF(I1906="Khá",'Huong dan giao do an'!$B$9,'Huong dan giao do an'!$B$10))</f>
        <v>Tối thiểu 5 actor; 14-18 use case; 10-15 bảng; 4 quy trình; tích hợp ngoài/realtime hoặc xử lý nâng cao; 3 báo cáo; &gt;=45 test case; logging, backup và deploy.</v>
      </c>
      <c r="L1906" t="str">
        <f>'Huong dan giao do an'!$B$31</f>
        <v>Bắt buộc: Charter/PMP; SRS + scope/WBS; Gantt/baseline; effort-cost budget; RACI/timesheet; quality-test-defect; communication/minutes; risk register; procurement; change log; closure/lessons learned.</v>
      </c>
      <c r="M1906" t="str">
        <f>'Huong dan giao do an'!$B$33</f>
        <v>Tuần 1: 07.09–13.09.2026; Tuần 2: 14.09–20.09.2026; Tuần 3: 21.09–27.09.2026; Tuần 4: 28.09–04.10.2026; Tuần 5: 05.10–11.10.2026; Tuần 6: 12.10–18.10.2026; Tuần 7: 19.10–25.10.2026; Tuần 8: 26.10–01.11.2026.</v>
      </c>
      <c r="N19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6" s="17" t="str">
        <f t="shared" si="29"/>
        <v>Còn trống</v>
      </c>
    </row>
    <row r="1907" spans="1:16" x14ac:dyDescent="0.3">
      <c r="A1907">
        <v>1906</v>
      </c>
      <c r="B1907" t="s">
        <v>4375</v>
      </c>
      <c r="C1907" t="s">
        <v>4399</v>
      </c>
      <c r="D1907" t="s">
        <v>4400</v>
      </c>
      <c r="E1907" t="s">
        <v>45</v>
      </c>
      <c r="F1907" t="s">
        <v>4378</v>
      </c>
      <c r="G1907" t="s">
        <v>4401</v>
      </c>
      <c r="H1907" t="str">
        <f>'Huong dan giao do an'!$B$14</f>
        <v>5 SV (vai trò chính): 1 PM/Scrum Master kiêm Integration; 2 BA/PO; 3 UI-UX + Frontend; 4 Backend/API + DevOps; 5 Database + QA/Tester. Mỗi SV có nhiệm vụ phụ và minh chứng cá nhân.</v>
      </c>
      <c r="I1907" t="s">
        <v>36</v>
      </c>
      <c r="J1907" t="s">
        <v>4390</v>
      </c>
      <c r="K1907" t="str">
        <f>IF(I1907="Trung bình",'Huong dan giao do an'!$B$8,IF(I1907="Khá",'Huong dan giao do an'!$B$9,'Huong dan giao do an'!$B$10))</f>
        <v>Tối thiểu 3 actor; 8-10 use case; 6-8 bảng dữ liệu; 2 quy trình lõi; đăng nhập/RBAC; 1 dashboard; 1 báo cáo; &gt;=25 test case; triển khai bản demo.</v>
      </c>
      <c r="L1907" t="str">
        <f>'Huong dan giao do an'!$B$31</f>
        <v>Bắt buộc: Charter/PMP; SRS + scope/WBS; Gantt/baseline; effort-cost budget; RACI/timesheet; quality-test-defect; communication/minutes; risk register; procurement; change log; closure/lessons learned.</v>
      </c>
      <c r="M1907" t="str">
        <f>'Huong dan giao do an'!$B$33</f>
        <v>Tuần 1: 07.09–13.09.2026; Tuần 2: 14.09–20.09.2026; Tuần 3: 21.09–27.09.2026; Tuần 4: 28.09–04.10.2026; Tuần 5: 05.10–11.10.2026; Tuần 6: 12.10–18.10.2026; Tuần 7: 19.10–25.10.2026; Tuần 8: 26.10–01.11.2026.</v>
      </c>
      <c r="N19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7" s="17" t="str">
        <f t="shared" si="29"/>
        <v>Còn trống</v>
      </c>
    </row>
    <row r="1908" spans="1:16" x14ac:dyDescent="0.3">
      <c r="A1908">
        <v>1907</v>
      </c>
      <c r="B1908" t="s">
        <v>4375</v>
      </c>
      <c r="C1908" t="s">
        <v>4402</v>
      </c>
      <c r="D1908" t="s">
        <v>4403</v>
      </c>
      <c r="E1908" t="s">
        <v>19</v>
      </c>
      <c r="F1908" t="s">
        <v>4383</v>
      </c>
      <c r="G1908" t="s">
        <v>4404</v>
      </c>
      <c r="H1908" t="str">
        <f>'Huong dan giao do an'!$B$14</f>
        <v>5 SV (vai trò chính): 1 PM/Scrum Master kiêm Integration; 2 BA/PO; 3 UI-UX + Frontend; 4 Backend/API + DevOps; 5 Database + QA/Tester. Mỗi SV có nhiệm vụ phụ và minh chứng cá nhân.</v>
      </c>
      <c r="I1908" t="s">
        <v>22</v>
      </c>
      <c r="J1908" t="s">
        <v>4380</v>
      </c>
      <c r="K1908" t="str">
        <f>IF(I1908="Trung bình",'Huong dan giao do an'!$B$8,IF(I1908="Khá",'Huong dan giao do an'!$B$9,'Huong dan giao do an'!$B$10))</f>
        <v>Tối thiểu 4 actor; 10-14 use case; 8-12 bảng; 3 quy trình lõi; phân quyền chi tiết; 2 báo cáo; tích hợp 1 dịch vụ; &gt;=35 test case; CI/CD hoặc deploy cloud.</v>
      </c>
      <c r="L1908" t="str">
        <f>'Huong dan giao do an'!$B$31</f>
        <v>Bắt buộc: Charter/PMP; SRS + scope/WBS; Gantt/baseline; effort-cost budget; RACI/timesheet; quality-test-defect; communication/minutes; risk register; procurement; change log; closure/lessons learned.</v>
      </c>
      <c r="M1908" t="str">
        <f>'Huong dan giao do an'!$B$33</f>
        <v>Tuần 1: 07.09–13.09.2026; Tuần 2: 14.09–20.09.2026; Tuần 3: 21.09–27.09.2026; Tuần 4: 28.09–04.10.2026; Tuần 5: 05.10–11.10.2026; Tuần 6: 12.10–18.10.2026; Tuần 7: 19.10–25.10.2026; Tuần 8: 26.10–01.11.2026.</v>
      </c>
      <c r="N19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8" s="17" t="str">
        <f t="shared" si="29"/>
        <v>Còn trống</v>
      </c>
    </row>
    <row r="1909" spans="1:16" x14ac:dyDescent="0.3">
      <c r="A1909">
        <v>1908</v>
      </c>
      <c r="B1909" t="s">
        <v>4375</v>
      </c>
      <c r="C1909" t="s">
        <v>4405</v>
      </c>
      <c r="D1909" t="s">
        <v>4406</v>
      </c>
      <c r="E1909" t="s">
        <v>26</v>
      </c>
      <c r="F1909" t="s">
        <v>4388</v>
      </c>
      <c r="G1909" t="s">
        <v>4407</v>
      </c>
      <c r="H1909" t="str">
        <f>'Huong dan giao do an'!$B$14</f>
        <v>5 SV (vai trò chính): 1 PM/Scrum Master kiêm Integration; 2 BA/PO; 3 UI-UX + Frontend; 4 Backend/API + DevOps; 5 Database + QA/Tester. Mỗi SV có nhiệm vụ phụ và minh chứng cá nhân.</v>
      </c>
      <c r="I1909" t="s">
        <v>29</v>
      </c>
      <c r="J1909" t="s">
        <v>4385</v>
      </c>
      <c r="K1909" t="str">
        <f>IF(I1909="Trung bình",'Huong dan giao do an'!$B$8,IF(I1909="Khá",'Huong dan giao do an'!$B$9,'Huong dan giao do an'!$B$10))</f>
        <v>Tối thiểu 5 actor; 14-18 use case; 10-15 bảng; 4 quy trình; tích hợp ngoài/realtime hoặc xử lý nâng cao; 3 báo cáo; &gt;=45 test case; logging, backup và deploy.</v>
      </c>
      <c r="L1909" t="str">
        <f>'Huong dan giao do an'!$B$31</f>
        <v>Bắt buộc: Charter/PMP; SRS + scope/WBS; Gantt/baseline; effort-cost budget; RACI/timesheet; quality-test-defect; communication/minutes; risk register; procurement; change log; closure/lessons learned.</v>
      </c>
      <c r="M1909" t="str">
        <f>'Huong dan giao do an'!$B$33</f>
        <v>Tuần 1: 07.09–13.09.2026; Tuần 2: 14.09–20.09.2026; Tuần 3: 21.09–27.09.2026; Tuần 4: 28.09–04.10.2026; Tuần 5: 05.10–11.10.2026; Tuần 6: 12.10–18.10.2026; Tuần 7: 19.10–25.10.2026; Tuần 8: 26.10–01.11.2026.</v>
      </c>
      <c r="N19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09" s="17" t="str">
        <f t="shared" si="29"/>
        <v>Còn trống</v>
      </c>
    </row>
    <row r="1910" spans="1:16" x14ac:dyDescent="0.3">
      <c r="A1910">
        <v>1909</v>
      </c>
      <c r="B1910" t="s">
        <v>4375</v>
      </c>
      <c r="C1910" t="s">
        <v>4408</v>
      </c>
      <c r="D1910" t="s">
        <v>4409</v>
      </c>
      <c r="E1910" t="s">
        <v>33</v>
      </c>
      <c r="F1910" t="s">
        <v>4393</v>
      </c>
      <c r="G1910" t="s">
        <v>4410</v>
      </c>
      <c r="H1910" t="str">
        <f>'Huong dan giao do an'!$B$14</f>
        <v>5 SV (vai trò chính): 1 PM/Scrum Master kiêm Integration; 2 BA/PO; 3 UI-UX + Frontend; 4 Backend/API + DevOps; 5 Database + QA/Tester. Mỗi SV có nhiệm vụ phụ và minh chứng cá nhân.</v>
      </c>
      <c r="I1910" t="s">
        <v>36</v>
      </c>
      <c r="J1910" t="s">
        <v>4390</v>
      </c>
      <c r="K1910" t="str">
        <f>IF(I1910="Trung bình",'Huong dan giao do an'!$B$8,IF(I1910="Khá",'Huong dan giao do an'!$B$9,'Huong dan giao do an'!$B$10))</f>
        <v>Tối thiểu 3 actor; 8-10 use case; 6-8 bảng dữ liệu; 2 quy trình lõi; đăng nhập/RBAC; 1 dashboard; 1 báo cáo; &gt;=25 test case; triển khai bản demo.</v>
      </c>
      <c r="L1910" t="str">
        <f>'Huong dan giao do an'!$B$31</f>
        <v>Bắt buộc: Charter/PMP; SRS + scope/WBS; Gantt/baseline; effort-cost budget; RACI/timesheet; quality-test-defect; communication/minutes; risk register; procurement; change log; closure/lessons learned.</v>
      </c>
      <c r="M1910" t="str">
        <f>'Huong dan giao do an'!$B$33</f>
        <v>Tuần 1: 07.09–13.09.2026; Tuần 2: 14.09–20.09.2026; Tuần 3: 21.09–27.09.2026; Tuần 4: 28.09–04.10.2026; Tuần 5: 05.10–11.10.2026; Tuần 6: 12.10–18.10.2026; Tuần 7: 19.10–25.10.2026; Tuần 8: 26.10–01.11.2026.</v>
      </c>
      <c r="N19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0" s="17" t="str">
        <f t="shared" si="29"/>
        <v>Còn trống</v>
      </c>
    </row>
    <row r="1911" spans="1:16" x14ac:dyDescent="0.3">
      <c r="A1911">
        <v>1910</v>
      </c>
      <c r="B1911" t="s">
        <v>4375</v>
      </c>
      <c r="C1911" t="s">
        <v>4411</v>
      </c>
      <c r="D1911" t="s">
        <v>4412</v>
      </c>
      <c r="E1911" t="s">
        <v>40</v>
      </c>
      <c r="F1911" t="s">
        <v>4397</v>
      </c>
      <c r="G1911" t="s">
        <v>4413</v>
      </c>
      <c r="H1911" t="str">
        <f>'Huong dan giao do an'!$B$14</f>
        <v>5 SV (vai trò chính): 1 PM/Scrum Master kiêm Integration; 2 BA/PO; 3 UI-UX + Frontend; 4 Backend/API + DevOps; 5 Database + QA/Tester. Mỗi SV có nhiệm vụ phụ và minh chứng cá nhân.</v>
      </c>
      <c r="I1911" t="s">
        <v>22</v>
      </c>
      <c r="J1911" t="s">
        <v>4380</v>
      </c>
      <c r="K1911" t="str">
        <f>IF(I1911="Trung bình",'Huong dan giao do an'!$B$8,IF(I1911="Khá",'Huong dan giao do an'!$B$9,'Huong dan giao do an'!$B$10))</f>
        <v>Tối thiểu 4 actor; 10-14 use case; 8-12 bảng; 3 quy trình lõi; phân quyền chi tiết; 2 báo cáo; tích hợp 1 dịch vụ; &gt;=35 test case; CI/CD hoặc deploy cloud.</v>
      </c>
      <c r="L1911" t="str">
        <f>'Huong dan giao do an'!$B$31</f>
        <v>Bắt buộc: Charter/PMP; SRS + scope/WBS; Gantt/baseline; effort-cost budget; RACI/timesheet; quality-test-defect; communication/minutes; risk register; procurement; change log; closure/lessons learned.</v>
      </c>
      <c r="M1911" t="str">
        <f>'Huong dan giao do an'!$B$33</f>
        <v>Tuần 1: 07.09–13.09.2026; Tuần 2: 14.09–20.09.2026; Tuần 3: 21.09–27.09.2026; Tuần 4: 28.09–04.10.2026; Tuần 5: 05.10–11.10.2026; Tuần 6: 12.10–18.10.2026; Tuần 7: 19.10–25.10.2026; Tuần 8: 26.10–01.11.2026.</v>
      </c>
      <c r="N19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1" s="17" t="str">
        <f t="shared" si="29"/>
        <v>Còn trống</v>
      </c>
    </row>
    <row r="1912" spans="1:16" x14ac:dyDescent="0.3">
      <c r="A1912">
        <v>1911</v>
      </c>
      <c r="B1912" t="s">
        <v>4375</v>
      </c>
      <c r="C1912" t="s">
        <v>4414</v>
      </c>
      <c r="D1912" t="s">
        <v>4415</v>
      </c>
      <c r="E1912" t="s">
        <v>45</v>
      </c>
      <c r="F1912" t="s">
        <v>4378</v>
      </c>
      <c r="G1912" t="s">
        <v>4416</v>
      </c>
      <c r="H1912" t="str">
        <f>'Huong dan giao do an'!$B$14</f>
        <v>5 SV (vai trò chính): 1 PM/Scrum Master kiêm Integration; 2 BA/PO; 3 UI-UX + Frontend; 4 Backend/API + DevOps; 5 Database + QA/Tester. Mỗi SV có nhiệm vụ phụ và minh chứng cá nhân.</v>
      </c>
      <c r="I1912" t="s">
        <v>29</v>
      </c>
      <c r="J1912" t="s">
        <v>4385</v>
      </c>
      <c r="K1912" t="str">
        <f>IF(I1912="Trung bình",'Huong dan giao do an'!$B$8,IF(I1912="Khá",'Huong dan giao do an'!$B$9,'Huong dan giao do an'!$B$10))</f>
        <v>Tối thiểu 5 actor; 14-18 use case; 10-15 bảng; 4 quy trình; tích hợp ngoài/realtime hoặc xử lý nâng cao; 3 báo cáo; &gt;=45 test case; logging, backup và deploy.</v>
      </c>
      <c r="L1912" t="str">
        <f>'Huong dan giao do an'!$B$31</f>
        <v>Bắt buộc: Charter/PMP; SRS + scope/WBS; Gantt/baseline; effort-cost budget; RACI/timesheet; quality-test-defect; communication/minutes; risk register; procurement; change log; closure/lessons learned.</v>
      </c>
      <c r="M1912" t="str">
        <f>'Huong dan giao do an'!$B$33</f>
        <v>Tuần 1: 07.09–13.09.2026; Tuần 2: 14.09–20.09.2026; Tuần 3: 21.09–27.09.2026; Tuần 4: 28.09–04.10.2026; Tuần 5: 05.10–11.10.2026; Tuần 6: 12.10–18.10.2026; Tuần 7: 19.10–25.10.2026; Tuần 8: 26.10–01.11.2026.</v>
      </c>
      <c r="N19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2" s="17" t="str">
        <f t="shared" si="29"/>
        <v>Còn trống</v>
      </c>
    </row>
    <row r="1913" spans="1:16" x14ac:dyDescent="0.3">
      <c r="A1913">
        <v>1912</v>
      </c>
      <c r="B1913" t="s">
        <v>4375</v>
      </c>
      <c r="C1913" t="s">
        <v>4417</v>
      </c>
      <c r="D1913" t="s">
        <v>4418</v>
      </c>
      <c r="E1913" t="s">
        <v>19</v>
      </c>
      <c r="F1913" t="s">
        <v>4383</v>
      </c>
      <c r="G1913" t="s">
        <v>4419</v>
      </c>
      <c r="H1913" t="str">
        <f>'Huong dan giao do an'!$B$14</f>
        <v>5 SV (vai trò chính): 1 PM/Scrum Master kiêm Integration; 2 BA/PO; 3 UI-UX + Frontend; 4 Backend/API + DevOps; 5 Database + QA/Tester. Mỗi SV có nhiệm vụ phụ và minh chứng cá nhân.</v>
      </c>
      <c r="I1913" t="s">
        <v>36</v>
      </c>
      <c r="J1913" t="s">
        <v>4390</v>
      </c>
      <c r="K1913" t="str">
        <f>IF(I1913="Trung bình",'Huong dan giao do an'!$B$8,IF(I1913="Khá",'Huong dan giao do an'!$B$9,'Huong dan giao do an'!$B$10))</f>
        <v>Tối thiểu 3 actor; 8-10 use case; 6-8 bảng dữ liệu; 2 quy trình lõi; đăng nhập/RBAC; 1 dashboard; 1 báo cáo; &gt;=25 test case; triển khai bản demo.</v>
      </c>
      <c r="L1913" t="str">
        <f>'Huong dan giao do an'!$B$31</f>
        <v>Bắt buộc: Charter/PMP; SRS + scope/WBS; Gantt/baseline; effort-cost budget; RACI/timesheet; quality-test-defect; communication/minutes; risk register; procurement; change log; closure/lessons learned.</v>
      </c>
      <c r="M1913" t="str">
        <f>'Huong dan giao do an'!$B$33</f>
        <v>Tuần 1: 07.09–13.09.2026; Tuần 2: 14.09–20.09.2026; Tuần 3: 21.09–27.09.2026; Tuần 4: 28.09–04.10.2026; Tuần 5: 05.10–11.10.2026; Tuần 6: 12.10–18.10.2026; Tuần 7: 19.10–25.10.2026; Tuần 8: 26.10–01.11.2026.</v>
      </c>
      <c r="N19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3" s="17" t="str">
        <f t="shared" si="29"/>
        <v>Còn trống</v>
      </c>
    </row>
    <row r="1914" spans="1:16" x14ac:dyDescent="0.3">
      <c r="A1914">
        <v>1913</v>
      </c>
      <c r="B1914" t="s">
        <v>4375</v>
      </c>
      <c r="C1914" t="s">
        <v>4420</v>
      </c>
      <c r="D1914" t="s">
        <v>4421</v>
      </c>
      <c r="E1914" t="s">
        <v>26</v>
      </c>
      <c r="F1914" t="s">
        <v>4388</v>
      </c>
      <c r="G1914" t="s">
        <v>4422</v>
      </c>
      <c r="H1914" t="str">
        <f>'Huong dan giao do an'!$B$14</f>
        <v>5 SV (vai trò chính): 1 PM/Scrum Master kiêm Integration; 2 BA/PO; 3 UI-UX + Frontend; 4 Backend/API + DevOps; 5 Database + QA/Tester. Mỗi SV có nhiệm vụ phụ và minh chứng cá nhân.</v>
      </c>
      <c r="I1914" t="s">
        <v>22</v>
      </c>
      <c r="J1914" t="s">
        <v>4380</v>
      </c>
      <c r="K1914" t="str">
        <f>IF(I1914="Trung bình",'Huong dan giao do an'!$B$8,IF(I1914="Khá",'Huong dan giao do an'!$B$9,'Huong dan giao do an'!$B$10))</f>
        <v>Tối thiểu 4 actor; 10-14 use case; 8-12 bảng; 3 quy trình lõi; phân quyền chi tiết; 2 báo cáo; tích hợp 1 dịch vụ; &gt;=35 test case; CI/CD hoặc deploy cloud.</v>
      </c>
      <c r="L1914" t="str">
        <f>'Huong dan giao do an'!$B$31</f>
        <v>Bắt buộc: Charter/PMP; SRS + scope/WBS; Gantt/baseline; effort-cost budget; RACI/timesheet; quality-test-defect; communication/minutes; risk register; procurement; change log; closure/lessons learned.</v>
      </c>
      <c r="M1914" t="str">
        <f>'Huong dan giao do an'!$B$33</f>
        <v>Tuần 1: 07.09–13.09.2026; Tuần 2: 14.09–20.09.2026; Tuần 3: 21.09–27.09.2026; Tuần 4: 28.09–04.10.2026; Tuần 5: 05.10–11.10.2026; Tuần 6: 12.10–18.10.2026; Tuần 7: 19.10–25.10.2026; Tuần 8: 26.10–01.11.2026.</v>
      </c>
      <c r="N19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4" s="17" t="str">
        <f t="shared" si="29"/>
        <v>Còn trống</v>
      </c>
    </row>
    <row r="1915" spans="1:16" x14ac:dyDescent="0.3">
      <c r="A1915">
        <v>1914</v>
      </c>
      <c r="B1915" t="s">
        <v>4375</v>
      </c>
      <c r="C1915" t="s">
        <v>4423</v>
      </c>
      <c r="D1915" t="s">
        <v>4424</v>
      </c>
      <c r="E1915" t="s">
        <v>33</v>
      </c>
      <c r="F1915" t="s">
        <v>4393</v>
      </c>
      <c r="G1915" t="s">
        <v>4425</v>
      </c>
      <c r="H1915" t="str">
        <f>'Huong dan giao do an'!$B$14</f>
        <v>5 SV (vai trò chính): 1 PM/Scrum Master kiêm Integration; 2 BA/PO; 3 UI-UX + Frontend; 4 Backend/API + DevOps; 5 Database + QA/Tester. Mỗi SV có nhiệm vụ phụ và minh chứng cá nhân.</v>
      </c>
      <c r="I1915" t="s">
        <v>29</v>
      </c>
      <c r="J1915" t="s">
        <v>4385</v>
      </c>
      <c r="K1915" t="str">
        <f>IF(I1915="Trung bình",'Huong dan giao do an'!$B$8,IF(I1915="Khá",'Huong dan giao do an'!$B$9,'Huong dan giao do an'!$B$10))</f>
        <v>Tối thiểu 5 actor; 14-18 use case; 10-15 bảng; 4 quy trình; tích hợp ngoài/realtime hoặc xử lý nâng cao; 3 báo cáo; &gt;=45 test case; logging, backup và deploy.</v>
      </c>
      <c r="L1915" t="str">
        <f>'Huong dan giao do an'!$B$31</f>
        <v>Bắt buộc: Charter/PMP; SRS + scope/WBS; Gantt/baseline; effort-cost budget; RACI/timesheet; quality-test-defect; communication/minutes; risk register; procurement; change log; closure/lessons learned.</v>
      </c>
      <c r="M1915" t="str">
        <f>'Huong dan giao do an'!$B$33</f>
        <v>Tuần 1: 07.09–13.09.2026; Tuần 2: 14.09–20.09.2026; Tuần 3: 21.09–27.09.2026; Tuần 4: 28.09–04.10.2026; Tuần 5: 05.10–11.10.2026; Tuần 6: 12.10–18.10.2026; Tuần 7: 19.10–25.10.2026; Tuần 8: 26.10–01.11.2026.</v>
      </c>
      <c r="N19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5" s="17" t="str">
        <f t="shared" si="29"/>
        <v>Còn trống</v>
      </c>
    </row>
    <row r="1916" spans="1:16" x14ac:dyDescent="0.3">
      <c r="A1916">
        <v>1915</v>
      </c>
      <c r="B1916" t="s">
        <v>4375</v>
      </c>
      <c r="C1916" t="s">
        <v>4426</v>
      </c>
      <c r="D1916" t="s">
        <v>4427</v>
      </c>
      <c r="E1916" t="s">
        <v>40</v>
      </c>
      <c r="F1916" t="s">
        <v>4397</v>
      </c>
      <c r="G1916" t="s">
        <v>4428</v>
      </c>
      <c r="H1916" t="str">
        <f>'Huong dan giao do an'!$B$14</f>
        <v>5 SV (vai trò chính): 1 PM/Scrum Master kiêm Integration; 2 BA/PO; 3 UI-UX + Frontend; 4 Backend/API + DevOps; 5 Database + QA/Tester. Mỗi SV có nhiệm vụ phụ và minh chứng cá nhân.</v>
      </c>
      <c r="I1916" t="s">
        <v>36</v>
      </c>
      <c r="J1916" t="s">
        <v>4390</v>
      </c>
      <c r="K1916" t="str">
        <f>IF(I1916="Trung bình",'Huong dan giao do an'!$B$8,IF(I1916="Khá",'Huong dan giao do an'!$B$9,'Huong dan giao do an'!$B$10))</f>
        <v>Tối thiểu 3 actor; 8-10 use case; 6-8 bảng dữ liệu; 2 quy trình lõi; đăng nhập/RBAC; 1 dashboard; 1 báo cáo; &gt;=25 test case; triển khai bản demo.</v>
      </c>
      <c r="L1916" t="str">
        <f>'Huong dan giao do an'!$B$31</f>
        <v>Bắt buộc: Charter/PMP; SRS + scope/WBS; Gantt/baseline; effort-cost budget; RACI/timesheet; quality-test-defect; communication/minutes; risk register; procurement; change log; closure/lessons learned.</v>
      </c>
      <c r="M1916" t="str">
        <f>'Huong dan giao do an'!$B$33</f>
        <v>Tuần 1: 07.09–13.09.2026; Tuần 2: 14.09–20.09.2026; Tuần 3: 21.09–27.09.2026; Tuần 4: 28.09–04.10.2026; Tuần 5: 05.10–11.10.2026; Tuần 6: 12.10–18.10.2026; Tuần 7: 19.10–25.10.2026; Tuần 8: 26.10–01.11.2026.</v>
      </c>
      <c r="N19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6" s="17" t="str">
        <f t="shared" si="29"/>
        <v>Còn trống</v>
      </c>
    </row>
    <row r="1917" spans="1:16" x14ac:dyDescent="0.3">
      <c r="A1917">
        <v>1916</v>
      </c>
      <c r="B1917" t="s">
        <v>4375</v>
      </c>
      <c r="C1917" t="s">
        <v>4429</v>
      </c>
      <c r="D1917" t="s">
        <v>4430</v>
      </c>
      <c r="E1917" t="s">
        <v>45</v>
      </c>
      <c r="F1917" t="s">
        <v>4378</v>
      </c>
      <c r="G1917" t="s">
        <v>4431</v>
      </c>
      <c r="H1917" t="str">
        <f>'Huong dan giao do an'!$B$14</f>
        <v>5 SV (vai trò chính): 1 PM/Scrum Master kiêm Integration; 2 BA/PO; 3 UI-UX + Frontend; 4 Backend/API + DevOps; 5 Database + QA/Tester. Mỗi SV có nhiệm vụ phụ và minh chứng cá nhân.</v>
      </c>
      <c r="I1917" t="s">
        <v>22</v>
      </c>
      <c r="J1917" t="s">
        <v>4380</v>
      </c>
      <c r="K1917" t="str">
        <f>IF(I1917="Trung bình",'Huong dan giao do an'!$B$8,IF(I1917="Khá",'Huong dan giao do an'!$B$9,'Huong dan giao do an'!$B$10))</f>
        <v>Tối thiểu 4 actor; 10-14 use case; 8-12 bảng; 3 quy trình lõi; phân quyền chi tiết; 2 báo cáo; tích hợp 1 dịch vụ; &gt;=35 test case; CI/CD hoặc deploy cloud.</v>
      </c>
      <c r="L1917" t="str">
        <f>'Huong dan giao do an'!$B$31</f>
        <v>Bắt buộc: Charter/PMP; SRS + scope/WBS; Gantt/baseline; effort-cost budget; RACI/timesheet; quality-test-defect; communication/minutes; risk register; procurement; change log; closure/lessons learned.</v>
      </c>
      <c r="M1917" t="str">
        <f>'Huong dan giao do an'!$B$33</f>
        <v>Tuần 1: 07.09–13.09.2026; Tuần 2: 14.09–20.09.2026; Tuần 3: 21.09–27.09.2026; Tuần 4: 28.09–04.10.2026; Tuần 5: 05.10–11.10.2026; Tuần 6: 12.10–18.10.2026; Tuần 7: 19.10–25.10.2026; Tuần 8: 26.10–01.11.2026.</v>
      </c>
      <c r="N19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7" s="17" t="str">
        <f t="shared" si="29"/>
        <v>Còn trống</v>
      </c>
    </row>
    <row r="1918" spans="1:16" x14ac:dyDescent="0.3">
      <c r="A1918">
        <v>1917</v>
      </c>
      <c r="B1918" t="s">
        <v>4375</v>
      </c>
      <c r="C1918" t="s">
        <v>4432</v>
      </c>
      <c r="D1918" t="s">
        <v>4433</v>
      </c>
      <c r="E1918" t="s">
        <v>19</v>
      </c>
      <c r="F1918" t="s">
        <v>4383</v>
      </c>
      <c r="G1918" t="s">
        <v>4434</v>
      </c>
      <c r="H1918" t="str">
        <f>'Huong dan giao do an'!$B$14</f>
        <v>5 SV (vai trò chính): 1 PM/Scrum Master kiêm Integration; 2 BA/PO; 3 UI-UX + Frontend; 4 Backend/API + DevOps; 5 Database + QA/Tester. Mỗi SV có nhiệm vụ phụ và minh chứng cá nhân.</v>
      </c>
      <c r="I1918" t="s">
        <v>29</v>
      </c>
      <c r="J1918" t="s">
        <v>4385</v>
      </c>
      <c r="K1918" t="str">
        <f>IF(I1918="Trung bình",'Huong dan giao do an'!$B$8,IF(I1918="Khá",'Huong dan giao do an'!$B$9,'Huong dan giao do an'!$B$10))</f>
        <v>Tối thiểu 5 actor; 14-18 use case; 10-15 bảng; 4 quy trình; tích hợp ngoài/realtime hoặc xử lý nâng cao; 3 báo cáo; &gt;=45 test case; logging, backup và deploy.</v>
      </c>
      <c r="L1918" t="str">
        <f>'Huong dan giao do an'!$B$31</f>
        <v>Bắt buộc: Charter/PMP; SRS + scope/WBS; Gantt/baseline; effort-cost budget; RACI/timesheet; quality-test-defect; communication/minutes; risk register; procurement; change log; closure/lessons learned.</v>
      </c>
      <c r="M1918" t="str">
        <f>'Huong dan giao do an'!$B$33</f>
        <v>Tuần 1: 07.09–13.09.2026; Tuần 2: 14.09–20.09.2026; Tuần 3: 21.09–27.09.2026; Tuần 4: 28.09–04.10.2026; Tuần 5: 05.10–11.10.2026; Tuần 6: 12.10–18.10.2026; Tuần 7: 19.10–25.10.2026; Tuần 8: 26.10–01.11.2026.</v>
      </c>
      <c r="N19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8" s="17" t="str">
        <f t="shared" si="29"/>
        <v>Còn trống</v>
      </c>
    </row>
    <row r="1919" spans="1:16" x14ac:dyDescent="0.3">
      <c r="A1919">
        <v>1918</v>
      </c>
      <c r="B1919" t="s">
        <v>4375</v>
      </c>
      <c r="C1919" t="s">
        <v>4435</v>
      </c>
      <c r="D1919" t="s">
        <v>4436</v>
      </c>
      <c r="E1919" t="s">
        <v>26</v>
      </c>
      <c r="F1919" t="s">
        <v>4388</v>
      </c>
      <c r="G1919" t="s">
        <v>4437</v>
      </c>
      <c r="H1919" t="str">
        <f>'Huong dan giao do an'!$B$14</f>
        <v>5 SV (vai trò chính): 1 PM/Scrum Master kiêm Integration; 2 BA/PO; 3 UI-UX + Frontend; 4 Backend/API + DevOps; 5 Database + QA/Tester. Mỗi SV có nhiệm vụ phụ và minh chứng cá nhân.</v>
      </c>
      <c r="I1919" t="s">
        <v>36</v>
      </c>
      <c r="J1919" t="s">
        <v>4390</v>
      </c>
      <c r="K1919" t="str">
        <f>IF(I1919="Trung bình",'Huong dan giao do an'!$B$8,IF(I1919="Khá",'Huong dan giao do an'!$B$9,'Huong dan giao do an'!$B$10))</f>
        <v>Tối thiểu 3 actor; 8-10 use case; 6-8 bảng dữ liệu; 2 quy trình lõi; đăng nhập/RBAC; 1 dashboard; 1 báo cáo; &gt;=25 test case; triển khai bản demo.</v>
      </c>
      <c r="L1919" t="str">
        <f>'Huong dan giao do an'!$B$31</f>
        <v>Bắt buộc: Charter/PMP; SRS + scope/WBS; Gantt/baseline; effort-cost budget; RACI/timesheet; quality-test-defect; communication/minutes; risk register; procurement; change log; closure/lessons learned.</v>
      </c>
      <c r="M1919" t="str">
        <f>'Huong dan giao do an'!$B$33</f>
        <v>Tuần 1: 07.09–13.09.2026; Tuần 2: 14.09–20.09.2026; Tuần 3: 21.09–27.09.2026; Tuần 4: 28.09–04.10.2026; Tuần 5: 05.10–11.10.2026; Tuần 6: 12.10–18.10.2026; Tuần 7: 19.10–25.10.2026; Tuần 8: 26.10–01.11.2026.</v>
      </c>
      <c r="N19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19" s="17" t="str">
        <f t="shared" si="29"/>
        <v>Còn trống</v>
      </c>
    </row>
    <row r="1920" spans="1:16" x14ac:dyDescent="0.3">
      <c r="A1920">
        <v>1919</v>
      </c>
      <c r="B1920" t="s">
        <v>4375</v>
      </c>
      <c r="C1920" t="s">
        <v>4438</v>
      </c>
      <c r="D1920" t="s">
        <v>4439</v>
      </c>
      <c r="E1920" t="s">
        <v>33</v>
      </c>
      <c r="F1920" t="s">
        <v>4393</v>
      </c>
      <c r="G1920" t="s">
        <v>4440</v>
      </c>
      <c r="H1920" t="str">
        <f>'Huong dan giao do an'!$B$14</f>
        <v>5 SV (vai trò chính): 1 PM/Scrum Master kiêm Integration; 2 BA/PO; 3 UI-UX + Frontend; 4 Backend/API + DevOps; 5 Database + QA/Tester. Mỗi SV có nhiệm vụ phụ và minh chứng cá nhân.</v>
      </c>
      <c r="I1920" t="s">
        <v>22</v>
      </c>
      <c r="J1920" t="s">
        <v>4380</v>
      </c>
      <c r="K1920" t="str">
        <f>IF(I1920="Trung bình",'Huong dan giao do an'!$B$8,IF(I1920="Khá",'Huong dan giao do an'!$B$9,'Huong dan giao do an'!$B$10))</f>
        <v>Tối thiểu 4 actor; 10-14 use case; 8-12 bảng; 3 quy trình lõi; phân quyền chi tiết; 2 báo cáo; tích hợp 1 dịch vụ; &gt;=35 test case; CI/CD hoặc deploy cloud.</v>
      </c>
      <c r="L1920" t="str">
        <f>'Huong dan giao do an'!$B$31</f>
        <v>Bắt buộc: Charter/PMP; SRS + scope/WBS; Gantt/baseline; effort-cost budget; RACI/timesheet; quality-test-defect; communication/minutes; risk register; procurement; change log; closure/lessons learned.</v>
      </c>
      <c r="M1920" t="str">
        <f>'Huong dan giao do an'!$B$33</f>
        <v>Tuần 1: 07.09–13.09.2026; Tuần 2: 14.09–20.09.2026; Tuần 3: 21.09–27.09.2026; Tuần 4: 28.09–04.10.2026; Tuần 5: 05.10–11.10.2026; Tuần 6: 12.10–18.10.2026; Tuần 7: 19.10–25.10.2026; Tuần 8: 26.10–01.11.2026.</v>
      </c>
      <c r="N19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0" s="17" t="str">
        <f t="shared" si="29"/>
        <v>Còn trống</v>
      </c>
    </row>
    <row r="1921" spans="1:16" x14ac:dyDescent="0.3">
      <c r="A1921">
        <v>1920</v>
      </c>
      <c r="B1921" t="s">
        <v>4375</v>
      </c>
      <c r="C1921" t="s">
        <v>4441</v>
      </c>
      <c r="D1921" t="s">
        <v>4442</v>
      </c>
      <c r="E1921" t="s">
        <v>40</v>
      </c>
      <c r="F1921" t="s">
        <v>4397</v>
      </c>
      <c r="G1921" t="s">
        <v>4443</v>
      </c>
      <c r="H1921" t="str">
        <f>'Huong dan giao do an'!$B$14</f>
        <v>5 SV (vai trò chính): 1 PM/Scrum Master kiêm Integration; 2 BA/PO; 3 UI-UX + Frontend; 4 Backend/API + DevOps; 5 Database + QA/Tester. Mỗi SV có nhiệm vụ phụ và minh chứng cá nhân.</v>
      </c>
      <c r="I1921" t="s">
        <v>29</v>
      </c>
      <c r="J1921" t="s">
        <v>4385</v>
      </c>
      <c r="K1921" t="str">
        <f>IF(I1921="Trung bình",'Huong dan giao do an'!$B$8,IF(I1921="Khá",'Huong dan giao do an'!$B$9,'Huong dan giao do an'!$B$10))</f>
        <v>Tối thiểu 5 actor; 14-18 use case; 10-15 bảng; 4 quy trình; tích hợp ngoài/realtime hoặc xử lý nâng cao; 3 báo cáo; &gt;=45 test case; logging, backup và deploy.</v>
      </c>
      <c r="L1921" t="str">
        <f>'Huong dan giao do an'!$B$31</f>
        <v>Bắt buộc: Charter/PMP; SRS + scope/WBS; Gantt/baseline; effort-cost budget; RACI/timesheet; quality-test-defect; communication/minutes; risk register; procurement; change log; closure/lessons learned.</v>
      </c>
      <c r="M1921" t="str">
        <f>'Huong dan giao do an'!$B$33</f>
        <v>Tuần 1: 07.09–13.09.2026; Tuần 2: 14.09–20.09.2026; Tuần 3: 21.09–27.09.2026; Tuần 4: 28.09–04.10.2026; Tuần 5: 05.10–11.10.2026; Tuần 6: 12.10–18.10.2026; Tuần 7: 19.10–25.10.2026; Tuần 8: 26.10–01.11.2026.</v>
      </c>
      <c r="N19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1" s="17" t="str">
        <f t="shared" si="29"/>
        <v>Còn trống</v>
      </c>
    </row>
    <row r="1922" spans="1:16" x14ac:dyDescent="0.3">
      <c r="A1922">
        <v>1921</v>
      </c>
      <c r="B1922" t="s">
        <v>4375</v>
      </c>
      <c r="C1922" t="s">
        <v>4444</v>
      </c>
      <c r="D1922" t="s">
        <v>4445</v>
      </c>
      <c r="E1922" t="s">
        <v>45</v>
      </c>
      <c r="F1922" t="s">
        <v>4378</v>
      </c>
      <c r="G1922" t="s">
        <v>4379</v>
      </c>
      <c r="H1922" t="str">
        <f>'Huong dan giao do an'!$B$14</f>
        <v>5 SV (vai trò chính): 1 PM/Scrum Master kiêm Integration; 2 BA/PO; 3 UI-UX + Frontend; 4 Backend/API + DevOps; 5 Database + QA/Tester. Mỗi SV có nhiệm vụ phụ và minh chứng cá nhân.</v>
      </c>
      <c r="I1922" t="s">
        <v>22</v>
      </c>
      <c r="J1922" t="s">
        <v>4380</v>
      </c>
      <c r="K1922" t="str">
        <f>IF(I1922="Trung bình",'Huong dan giao do an'!$B$8,IF(I1922="Khá",'Huong dan giao do an'!$B$9,'Huong dan giao do an'!$B$10))</f>
        <v>Tối thiểu 4 actor; 10-14 use case; 8-12 bảng; 3 quy trình lõi; phân quyền chi tiết; 2 báo cáo; tích hợp 1 dịch vụ; &gt;=35 test case; CI/CD hoặc deploy cloud.</v>
      </c>
      <c r="L1922" t="str">
        <f>'Huong dan giao do an'!$B$31</f>
        <v>Bắt buộc: Charter/PMP; SRS + scope/WBS; Gantt/baseline; effort-cost budget; RACI/timesheet; quality-test-defect; communication/minutes; risk register; procurement; change log; closure/lessons learned.</v>
      </c>
      <c r="M1922" t="str">
        <f>'Huong dan giao do an'!$B$33</f>
        <v>Tuần 1: 07.09–13.09.2026; Tuần 2: 14.09–20.09.2026; Tuần 3: 21.09–27.09.2026; Tuần 4: 28.09–04.10.2026; Tuần 5: 05.10–11.10.2026; Tuần 6: 12.10–18.10.2026; Tuần 7: 19.10–25.10.2026; Tuần 8: 26.10–01.11.2026.</v>
      </c>
      <c r="N19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2" s="17" t="str">
        <f t="shared" si="29"/>
        <v>Còn trống</v>
      </c>
    </row>
    <row r="1923" spans="1:16" x14ac:dyDescent="0.3">
      <c r="A1923">
        <v>1922</v>
      </c>
      <c r="B1923" t="s">
        <v>4375</v>
      </c>
      <c r="C1923" t="s">
        <v>4446</v>
      </c>
      <c r="D1923" t="s">
        <v>4447</v>
      </c>
      <c r="E1923" t="s">
        <v>19</v>
      </c>
      <c r="F1923" t="s">
        <v>4383</v>
      </c>
      <c r="G1923" t="s">
        <v>4384</v>
      </c>
      <c r="H1923" t="str">
        <f>'Huong dan giao do an'!$B$14</f>
        <v>5 SV (vai trò chính): 1 PM/Scrum Master kiêm Integration; 2 BA/PO; 3 UI-UX + Frontend; 4 Backend/API + DevOps; 5 Database + QA/Tester. Mỗi SV có nhiệm vụ phụ và minh chứng cá nhân.</v>
      </c>
      <c r="I1923" t="s">
        <v>29</v>
      </c>
      <c r="J1923" t="s">
        <v>4385</v>
      </c>
      <c r="K1923" t="str">
        <f>IF(I1923="Trung bình",'Huong dan giao do an'!$B$8,IF(I1923="Khá",'Huong dan giao do an'!$B$9,'Huong dan giao do an'!$B$10))</f>
        <v>Tối thiểu 5 actor; 14-18 use case; 10-15 bảng; 4 quy trình; tích hợp ngoài/realtime hoặc xử lý nâng cao; 3 báo cáo; &gt;=45 test case; logging, backup và deploy.</v>
      </c>
      <c r="L1923" t="str">
        <f>'Huong dan giao do an'!$B$31</f>
        <v>Bắt buộc: Charter/PMP; SRS + scope/WBS; Gantt/baseline; effort-cost budget; RACI/timesheet; quality-test-defect; communication/minutes; risk register; procurement; change log; closure/lessons learned.</v>
      </c>
      <c r="M1923" t="str">
        <f>'Huong dan giao do an'!$B$33</f>
        <v>Tuần 1: 07.09–13.09.2026; Tuần 2: 14.09–20.09.2026; Tuần 3: 21.09–27.09.2026; Tuần 4: 28.09–04.10.2026; Tuần 5: 05.10–11.10.2026; Tuần 6: 12.10–18.10.2026; Tuần 7: 19.10–25.10.2026; Tuần 8: 26.10–01.11.2026.</v>
      </c>
      <c r="N19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3" s="17" t="str">
        <f t="shared" ref="P1923:P1986" si="30">IF(O1923="","Còn trống","Đã đăng ký")</f>
        <v>Còn trống</v>
      </c>
    </row>
    <row r="1924" spans="1:16" x14ac:dyDescent="0.3">
      <c r="A1924">
        <v>1923</v>
      </c>
      <c r="B1924" t="s">
        <v>4375</v>
      </c>
      <c r="C1924" t="s">
        <v>4448</v>
      </c>
      <c r="D1924" t="s">
        <v>4449</v>
      </c>
      <c r="E1924" t="s">
        <v>26</v>
      </c>
      <c r="F1924" t="s">
        <v>4388</v>
      </c>
      <c r="G1924" t="s">
        <v>4389</v>
      </c>
      <c r="H1924" t="str">
        <f>'Huong dan giao do an'!$B$14</f>
        <v>5 SV (vai trò chính): 1 PM/Scrum Master kiêm Integration; 2 BA/PO; 3 UI-UX + Frontend; 4 Backend/API + DevOps; 5 Database + QA/Tester. Mỗi SV có nhiệm vụ phụ và minh chứng cá nhân.</v>
      </c>
      <c r="I1924" t="s">
        <v>36</v>
      </c>
      <c r="J1924" t="s">
        <v>4390</v>
      </c>
      <c r="K1924" t="str">
        <f>IF(I1924="Trung bình",'Huong dan giao do an'!$B$8,IF(I1924="Khá",'Huong dan giao do an'!$B$9,'Huong dan giao do an'!$B$10))</f>
        <v>Tối thiểu 3 actor; 8-10 use case; 6-8 bảng dữ liệu; 2 quy trình lõi; đăng nhập/RBAC; 1 dashboard; 1 báo cáo; &gt;=25 test case; triển khai bản demo.</v>
      </c>
      <c r="L1924" t="str">
        <f>'Huong dan giao do an'!$B$31</f>
        <v>Bắt buộc: Charter/PMP; SRS + scope/WBS; Gantt/baseline; effort-cost budget; RACI/timesheet; quality-test-defect; communication/minutes; risk register; procurement; change log; closure/lessons learned.</v>
      </c>
      <c r="M1924" t="str">
        <f>'Huong dan giao do an'!$B$33</f>
        <v>Tuần 1: 07.09–13.09.2026; Tuần 2: 14.09–20.09.2026; Tuần 3: 21.09–27.09.2026; Tuần 4: 28.09–04.10.2026; Tuần 5: 05.10–11.10.2026; Tuần 6: 12.10–18.10.2026; Tuần 7: 19.10–25.10.2026; Tuần 8: 26.10–01.11.2026.</v>
      </c>
      <c r="N19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4" s="17" t="str">
        <f t="shared" si="30"/>
        <v>Còn trống</v>
      </c>
    </row>
    <row r="1925" spans="1:16" x14ac:dyDescent="0.3">
      <c r="A1925">
        <v>1924</v>
      </c>
      <c r="B1925" t="s">
        <v>4375</v>
      </c>
      <c r="C1925" t="s">
        <v>4450</v>
      </c>
      <c r="D1925" t="s">
        <v>4451</v>
      </c>
      <c r="E1925" t="s">
        <v>33</v>
      </c>
      <c r="F1925" t="s">
        <v>4393</v>
      </c>
      <c r="G1925" t="s">
        <v>4394</v>
      </c>
      <c r="H1925" t="str">
        <f>'Huong dan giao do an'!$B$14</f>
        <v>5 SV (vai trò chính): 1 PM/Scrum Master kiêm Integration; 2 BA/PO; 3 UI-UX + Frontend; 4 Backend/API + DevOps; 5 Database + QA/Tester. Mỗi SV có nhiệm vụ phụ và minh chứng cá nhân.</v>
      </c>
      <c r="I1925" t="s">
        <v>22</v>
      </c>
      <c r="J1925" t="s">
        <v>4380</v>
      </c>
      <c r="K1925" t="str">
        <f>IF(I1925="Trung bình",'Huong dan giao do an'!$B$8,IF(I1925="Khá",'Huong dan giao do an'!$B$9,'Huong dan giao do an'!$B$10))</f>
        <v>Tối thiểu 4 actor; 10-14 use case; 8-12 bảng; 3 quy trình lõi; phân quyền chi tiết; 2 báo cáo; tích hợp 1 dịch vụ; &gt;=35 test case; CI/CD hoặc deploy cloud.</v>
      </c>
      <c r="L1925" t="str">
        <f>'Huong dan giao do an'!$B$31</f>
        <v>Bắt buộc: Charter/PMP; SRS + scope/WBS; Gantt/baseline; effort-cost budget; RACI/timesheet; quality-test-defect; communication/minutes; risk register; procurement; change log; closure/lessons learned.</v>
      </c>
      <c r="M1925" t="str">
        <f>'Huong dan giao do an'!$B$33</f>
        <v>Tuần 1: 07.09–13.09.2026; Tuần 2: 14.09–20.09.2026; Tuần 3: 21.09–27.09.2026; Tuần 4: 28.09–04.10.2026; Tuần 5: 05.10–11.10.2026; Tuần 6: 12.10–18.10.2026; Tuần 7: 19.10–25.10.2026; Tuần 8: 26.10–01.11.2026.</v>
      </c>
      <c r="N19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5" s="17" t="str">
        <f t="shared" si="30"/>
        <v>Còn trống</v>
      </c>
    </row>
    <row r="1926" spans="1:16" x14ac:dyDescent="0.3">
      <c r="A1926">
        <v>1925</v>
      </c>
      <c r="B1926" t="s">
        <v>4375</v>
      </c>
      <c r="C1926" t="s">
        <v>4452</v>
      </c>
      <c r="D1926" t="s">
        <v>4453</v>
      </c>
      <c r="E1926" t="s">
        <v>40</v>
      </c>
      <c r="F1926" t="s">
        <v>4397</v>
      </c>
      <c r="G1926" t="s">
        <v>4398</v>
      </c>
      <c r="H1926" t="str">
        <f>'Huong dan giao do an'!$B$14</f>
        <v>5 SV (vai trò chính): 1 PM/Scrum Master kiêm Integration; 2 BA/PO; 3 UI-UX + Frontend; 4 Backend/API + DevOps; 5 Database + QA/Tester. Mỗi SV có nhiệm vụ phụ và minh chứng cá nhân.</v>
      </c>
      <c r="I1926" t="s">
        <v>29</v>
      </c>
      <c r="J1926" t="s">
        <v>4385</v>
      </c>
      <c r="K1926" t="str">
        <f>IF(I1926="Trung bình",'Huong dan giao do an'!$B$8,IF(I1926="Khá",'Huong dan giao do an'!$B$9,'Huong dan giao do an'!$B$10))</f>
        <v>Tối thiểu 5 actor; 14-18 use case; 10-15 bảng; 4 quy trình; tích hợp ngoài/realtime hoặc xử lý nâng cao; 3 báo cáo; &gt;=45 test case; logging, backup và deploy.</v>
      </c>
      <c r="L1926" t="str">
        <f>'Huong dan giao do an'!$B$31</f>
        <v>Bắt buộc: Charter/PMP; SRS + scope/WBS; Gantt/baseline; effort-cost budget; RACI/timesheet; quality-test-defect; communication/minutes; risk register; procurement; change log; closure/lessons learned.</v>
      </c>
      <c r="M1926" t="str">
        <f>'Huong dan giao do an'!$B$33</f>
        <v>Tuần 1: 07.09–13.09.2026; Tuần 2: 14.09–20.09.2026; Tuần 3: 21.09–27.09.2026; Tuần 4: 28.09–04.10.2026; Tuần 5: 05.10–11.10.2026; Tuần 6: 12.10–18.10.2026; Tuần 7: 19.10–25.10.2026; Tuần 8: 26.10–01.11.2026.</v>
      </c>
      <c r="N19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6" s="17" t="str">
        <f t="shared" si="30"/>
        <v>Còn trống</v>
      </c>
    </row>
    <row r="1927" spans="1:16" x14ac:dyDescent="0.3">
      <c r="A1927">
        <v>1926</v>
      </c>
      <c r="B1927" t="s">
        <v>4375</v>
      </c>
      <c r="C1927" t="s">
        <v>4454</v>
      </c>
      <c r="D1927" t="s">
        <v>4455</v>
      </c>
      <c r="E1927" t="s">
        <v>45</v>
      </c>
      <c r="F1927" t="s">
        <v>4378</v>
      </c>
      <c r="G1927" t="s">
        <v>4401</v>
      </c>
      <c r="H1927" t="str">
        <f>'Huong dan giao do an'!$B$14</f>
        <v>5 SV (vai trò chính): 1 PM/Scrum Master kiêm Integration; 2 BA/PO; 3 UI-UX + Frontend; 4 Backend/API + DevOps; 5 Database + QA/Tester. Mỗi SV có nhiệm vụ phụ và minh chứng cá nhân.</v>
      </c>
      <c r="I1927" t="s">
        <v>36</v>
      </c>
      <c r="J1927" t="s">
        <v>4390</v>
      </c>
      <c r="K1927" t="str">
        <f>IF(I1927="Trung bình",'Huong dan giao do an'!$B$8,IF(I1927="Khá",'Huong dan giao do an'!$B$9,'Huong dan giao do an'!$B$10))</f>
        <v>Tối thiểu 3 actor; 8-10 use case; 6-8 bảng dữ liệu; 2 quy trình lõi; đăng nhập/RBAC; 1 dashboard; 1 báo cáo; &gt;=25 test case; triển khai bản demo.</v>
      </c>
      <c r="L1927" t="str">
        <f>'Huong dan giao do an'!$B$31</f>
        <v>Bắt buộc: Charter/PMP; SRS + scope/WBS; Gantt/baseline; effort-cost budget; RACI/timesheet; quality-test-defect; communication/minutes; risk register; procurement; change log; closure/lessons learned.</v>
      </c>
      <c r="M1927" t="str">
        <f>'Huong dan giao do an'!$B$33</f>
        <v>Tuần 1: 07.09–13.09.2026; Tuần 2: 14.09–20.09.2026; Tuần 3: 21.09–27.09.2026; Tuần 4: 28.09–04.10.2026; Tuần 5: 05.10–11.10.2026; Tuần 6: 12.10–18.10.2026; Tuần 7: 19.10–25.10.2026; Tuần 8: 26.10–01.11.2026.</v>
      </c>
      <c r="N19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7" s="17" t="str">
        <f t="shared" si="30"/>
        <v>Còn trống</v>
      </c>
    </row>
    <row r="1928" spans="1:16" x14ac:dyDescent="0.3">
      <c r="A1928">
        <v>1927</v>
      </c>
      <c r="B1928" t="s">
        <v>4375</v>
      </c>
      <c r="C1928" t="s">
        <v>4456</v>
      </c>
      <c r="D1928" t="s">
        <v>4457</v>
      </c>
      <c r="E1928" t="s">
        <v>19</v>
      </c>
      <c r="F1928" t="s">
        <v>4383</v>
      </c>
      <c r="G1928" t="s">
        <v>4404</v>
      </c>
      <c r="H1928" t="str">
        <f>'Huong dan giao do an'!$B$14</f>
        <v>5 SV (vai trò chính): 1 PM/Scrum Master kiêm Integration; 2 BA/PO; 3 UI-UX + Frontend; 4 Backend/API + DevOps; 5 Database + QA/Tester. Mỗi SV có nhiệm vụ phụ và minh chứng cá nhân.</v>
      </c>
      <c r="I1928" t="s">
        <v>22</v>
      </c>
      <c r="J1928" t="s">
        <v>4380</v>
      </c>
      <c r="K1928" t="str">
        <f>IF(I1928="Trung bình",'Huong dan giao do an'!$B$8,IF(I1928="Khá",'Huong dan giao do an'!$B$9,'Huong dan giao do an'!$B$10))</f>
        <v>Tối thiểu 4 actor; 10-14 use case; 8-12 bảng; 3 quy trình lõi; phân quyền chi tiết; 2 báo cáo; tích hợp 1 dịch vụ; &gt;=35 test case; CI/CD hoặc deploy cloud.</v>
      </c>
      <c r="L1928" t="str">
        <f>'Huong dan giao do an'!$B$31</f>
        <v>Bắt buộc: Charter/PMP; SRS + scope/WBS; Gantt/baseline; effort-cost budget; RACI/timesheet; quality-test-defect; communication/minutes; risk register; procurement; change log; closure/lessons learned.</v>
      </c>
      <c r="M1928" t="str">
        <f>'Huong dan giao do an'!$B$33</f>
        <v>Tuần 1: 07.09–13.09.2026; Tuần 2: 14.09–20.09.2026; Tuần 3: 21.09–27.09.2026; Tuần 4: 28.09–04.10.2026; Tuần 5: 05.10–11.10.2026; Tuần 6: 12.10–18.10.2026; Tuần 7: 19.10–25.10.2026; Tuần 8: 26.10–01.11.2026.</v>
      </c>
      <c r="N19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8" s="17" t="str">
        <f t="shared" si="30"/>
        <v>Còn trống</v>
      </c>
    </row>
    <row r="1929" spans="1:16" x14ac:dyDescent="0.3">
      <c r="A1929">
        <v>1928</v>
      </c>
      <c r="B1929" t="s">
        <v>4375</v>
      </c>
      <c r="C1929" t="s">
        <v>4458</v>
      </c>
      <c r="D1929" t="s">
        <v>4459</v>
      </c>
      <c r="E1929" t="s">
        <v>26</v>
      </c>
      <c r="F1929" t="s">
        <v>4388</v>
      </c>
      <c r="G1929" t="s">
        <v>4407</v>
      </c>
      <c r="H1929" t="str">
        <f>'Huong dan giao do an'!$B$14</f>
        <v>5 SV (vai trò chính): 1 PM/Scrum Master kiêm Integration; 2 BA/PO; 3 UI-UX + Frontend; 4 Backend/API + DevOps; 5 Database + QA/Tester. Mỗi SV có nhiệm vụ phụ và minh chứng cá nhân.</v>
      </c>
      <c r="I1929" t="s">
        <v>29</v>
      </c>
      <c r="J1929" t="s">
        <v>4385</v>
      </c>
      <c r="K1929" t="str">
        <f>IF(I1929="Trung bình",'Huong dan giao do an'!$B$8,IF(I1929="Khá",'Huong dan giao do an'!$B$9,'Huong dan giao do an'!$B$10))</f>
        <v>Tối thiểu 5 actor; 14-18 use case; 10-15 bảng; 4 quy trình; tích hợp ngoài/realtime hoặc xử lý nâng cao; 3 báo cáo; &gt;=45 test case; logging, backup và deploy.</v>
      </c>
      <c r="L1929" t="str">
        <f>'Huong dan giao do an'!$B$31</f>
        <v>Bắt buộc: Charter/PMP; SRS + scope/WBS; Gantt/baseline; effort-cost budget; RACI/timesheet; quality-test-defect; communication/minutes; risk register; procurement; change log; closure/lessons learned.</v>
      </c>
      <c r="M1929" t="str">
        <f>'Huong dan giao do an'!$B$33</f>
        <v>Tuần 1: 07.09–13.09.2026; Tuần 2: 14.09–20.09.2026; Tuần 3: 21.09–27.09.2026; Tuần 4: 28.09–04.10.2026; Tuần 5: 05.10–11.10.2026; Tuần 6: 12.10–18.10.2026; Tuần 7: 19.10–25.10.2026; Tuần 8: 26.10–01.11.2026.</v>
      </c>
      <c r="N19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29" s="17" t="str">
        <f t="shared" si="30"/>
        <v>Còn trống</v>
      </c>
    </row>
    <row r="1930" spans="1:16" x14ac:dyDescent="0.3">
      <c r="A1930">
        <v>1929</v>
      </c>
      <c r="B1930" t="s">
        <v>4375</v>
      </c>
      <c r="C1930" t="s">
        <v>4460</v>
      </c>
      <c r="D1930" t="s">
        <v>4461</v>
      </c>
      <c r="E1930" t="s">
        <v>33</v>
      </c>
      <c r="F1930" t="s">
        <v>4393</v>
      </c>
      <c r="G1930" t="s">
        <v>4410</v>
      </c>
      <c r="H1930" t="str">
        <f>'Huong dan giao do an'!$B$14</f>
        <v>5 SV (vai trò chính): 1 PM/Scrum Master kiêm Integration; 2 BA/PO; 3 UI-UX + Frontend; 4 Backend/API + DevOps; 5 Database + QA/Tester. Mỗi SV có nhiệm vụ phụ và minh chứng cá nhân.</v>
      </c>
      <c r="I1930" t="s">
        <v>36</v>
      </c>
      <c r="J1930" t="s">
        <v>4390</v>
      </c>
      <c r="K1930" t="str">
        <f>IF(I1930="Trung bình",'Huong dan giao do an'!$B$8,IF(I1930="Khá",'Huong dan giao do an'!$B$9,'Huong dan giao do an'!$B$10))</f>
        <v>Tối thiểu 3 actor; 8-10 use case; 6-8 bảng dữ liệu; 2 quy trình lõi; đăng nhập/RBAC; 1 dashboard; 1 báo cáo; &gt;=25 test case; triển khai bản demo.</v>
      </c>
      <c r="L1930" t="str">
        <f>'Huong dan giao do an'!$B$31</f>
        <v>Bắt buộc: Charter/PMP; SRS + scope/WBS; Gantt/baseline; effort-cost budget; RACI/timesheet; quality-test-defect; communication/minutes; risk register; procurement; change log; closure/lessons learned.</v>
      </c>
      <c r="M1930" t="str">
        <f>'Huong dan giao do an'!$B$33</f>
        <v>Tuần 1: 07.09–13.09.2026; Tuần 2: 14.09–20.09.2026; Tuần 3: 21.09–27.09.2026; Tuần 4: 28.09–04.10.2026; Tuần 5: 05.10–11.10.2026; Tuần 6: 12.10–18.10.2026; Tuần 7: 19.10–25.10.2026; Tuần 8: 26.10–01.11.2026.</v>
      </c>
      <c r="N19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0" s="17" t="str">
        <f t="shared" si="30"/>
        <v>Còn trống</v>
      </c>
    </row>
    <row r="1931" spans="1:16" x14ac:dyDescent="0.3">
      <c r="A1931">
        <v>1930</v>
      </c>
      <c r="B1931" t="s">
        <v>4375</v>
      </c>
      <c r="C1931" t="s">
        <v>4462</v>
      </c>
      <c r="D1931" t="s">
        <v>4463</v>
      </c>
      <c r="E1931" t="s">
        <v>40</v>
      </c>
      <c r="F1931" t="s">
        <v>4397</v>
      </c>
      <c r="G1931" t="s">
        <v>4413</v>
      </c>
      <c r="H1931" t="str">
        <f>'Huong dan giao do an'!$B$14</f>
        <v>5 SV (vai trò chính): 1 PM/Scrum Master kiêm Integration; 2 BA/PO; 3 UI-UX + Frontend; 4 Backend/API + DevOps; 5 Database + QA/Tester. Mỗi SV có nhiệm vụ phụ và minh chứng cá nhân.</v>
      </c>
      <c r="I1931" t="s">
        <v>22</v>
      </c>
      <c r="J1931" t="s">
        <v>4380</v>
      </c>
      <c r="K1931" t="str">
        <f>IF(I1931="Trung bình",'Huong dan giao do an'!$B$8,IF(I1931="Khá",'Huong dan giao do an'!$B$9,'Huong dan giao do an'!$B$10))</f>
        <v>Tối thiểu 4 actor; 10-14 use case; 8-12 bảng; 3 quy trình lõi; phân quyền chi tiết; 2 báo cáo; tích hợp 1 dịch vụ; &gt;=35 test case; CI/CD hoặc deploy cloud.</v>
      </c>
      <c r="L1931" t="str">
        <f>'Huong dan giao do an'!$B$31</f>
        <v>Bắt buộc: Charter/PMP; SRS + scope/WBS; Gantt/baseline; effort-cost budget; RACI/timesheet; quality-test-defect; communication/minutes; risk register; procurement; change log; closure/lessons learned.</v>
      </c>
      <c r="M1931" t="str">
        <f>'Huong dan giao do an'!$B$33</f>
        <v>Tuần 1: 07.09–13.09.2026; Tuần 2: 14.09–20.09.2026; Tuần 3: 21.09–27.09.2026; Tuần 4: 28.09–04.10.2026; Tuần 5: 05.10–11.10.2026; Tuần 6: 12.10–18.10.2026; Tuần 7: 19.10–25.10.2026; Tuần 8: 26.10–01.11.2026.</v>
      </c>
      <c r="N19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1" s="17" t="str">
        <f t="shared" si="30"/>
        <v>Còn trống</v>
      </c>
    </row>
    <row r="1932" spans="1:16" x14ac:dyDescent="0.3">
      <c r="A1932">
        <v>1931</v>
      </c>
      <c r="B1932" t="s">
        <v>4375</v>
      </c>
      <c r="C1932" t="s">
        <v>4464</v>
      </c>
      <c r="D1932" t="s">
        <v>4465</v>
      </c>
      <c r="E1932" t="s">
        <v>45</v>
      </c>
      <c r="F1932" t="s">
        <v>4378</v>
      </c>
      <c r="G1932" t="s">
        <v>4416</v>
      </c>
      <c r="H1932" t="str">
        <f>'Huong dan giao do an'!$B$14</f>
        <v>5 SV (vai trò chính): 1 PM/Scrum Master kiêm Integration; 2 BA/PO; 3 UI-UX + Frontend; 4 Backend/API + DevOps; 5 Database + QA/Tester. Mỗi SV có nhiệm vụ phụ và minh chứng cá nhân.</v>
      </c>
      <c r="I1932" t="s">
        <v>29</v>
      </c>
      <c r="J1932" t="s">
        <v>4385</v>
      </c>
      <c r="K1932" t="str">
        <f>IF(I1932="Trung bình",'Huong dan giao do an'!$B$8,IF(I1932="Khá",'Huong dan giao do an'!$B$9,'Huong dan giao do an'!$B$10))</f>
        <v>Tối thiểu 5 actor; 14-18 use case; 10-15 bảng; 4 quy trình; tích hợp ngoài/realtime hoặc xử lý nâng cao; 3 báo cáo; &gt;=45 test case; logging, backup và deploy.</v>
      </c>
      <c r="L1932" t="str">
        <f>'Huong dan giao do an'!$B$31</f>
        <v>Bắt buộc: Charter/PMP; SRS + scope/WBS; Gantt/baseline; effort-cost budget; RACI/timesheet; quality-test-defect; communication/minutes; risk register; procurement; change log; closure/lessons learned.</v>
      </c>
      <c r="M1932" t="str">
        <f>'Huong dan giao do an'!$B$33</f>
        <v>Tuần 1: 07.09–13.09.2026; Tuần 2: 14.09–20.09.2026; Tuần 3: 21.09–27.09.2026; Tuần 4: 28.09–04.10.2026; Tuần 5: 05.10–11.10.2026; Tuần 6: 12.10–18.10.2026; Tuần 7: 19.10–25.10.2026; Tuần 8: 26.10–01.11.2026.</v>
      </c>
      <c r="N19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2" s="17" t="str">
        <f t="shared" si="30"/>
        <v>Còn trống</v>
      </c>
    </row>
    <row r="1933" spans="1:16" x14ac:dyDescent="0.3">
      <c r="A1933">
        <v>1932</v>
      </c>
      <c r="B1933" t="s">
        <v>4375</v>
      </c>
      <c r="C1933" t="s">
        <v>4466</v>
      </c>
      <c r="D1933" t="s">
        <v>4467</v>
      </c>
      <c r="E1933" t="s">
        <v>19</v>
      </c>
      <c r="F1933" t="s">
        <v>4383</v>
      </c>
      <c r="G1933" t="s">
        <v>4419</v>
      </c>
      <c r="H1933" t="str">
        <f>'Huong dan giao do an'!$B$14</f>
        <v>5 SV (vai trò chính): 1 PM/Scrum Master kiêm Integration; 2 BA/PO; 3 UI-UX + Frontend; 4 Backend/API + DevOps; 5 Database + QA/Tester. Mỗi SV có nhiệm vụ phụ và minh chứng cá nhân.</v>
      </c>
      <c r="I1933" t="s">
        <v>36</v>
      </c>
      <c r="J1933" t="s">
        <v>4390</v>
      </c>
      <c r="K1933" t="str">
        <f>IF(I1933="Trung bình",'Huong dan giao do an'!$B$8,IF(I1933="Khá",'Huong dan giao do an'!$B$9,'Huong dan giao do an'!$B$10))</f>
        <v>Tối thiểu 3 actor; 8-10 use case; 6-8 bảng dữ liệu; 2 quy trình lõi; đăng nhập/RBAC; 1 dashboard; 1 báo cáo; &gt;=25 test case; triển khai bản demo.</v>
      </c>
      <c r="L1933" t="str">
        <f>'Huong dan giao do an'!$B$31</f>
        <v>Bắt buộc: Charter/PMP; SRS + scope/WBS; Gantt/baseline; effort-cost budget; RACI/timesheet; quality-test-defect; communication/minutes; risk register; procurement; change log; closure/lessons learned.</v>
      </c>
      <c r="M1933" t="str">
        <f>'Huong dan giao do an'!$B$33</f>
        <v>Tuần 1: 07.09–13.09.2026; Tuần 2: 14.09–20.09.2026; Tuần 3: 21.09–27.09.2026; Tuần 4: 28.09–04.10.2026; Tuần 5: 05.10–11.10.2026; Tuần 6: 12.10–18.10.2026; Tuần 7: 19.10–25.10.2026; Tuần 8: 26.10–01.11.2026.</v>
      </c>
      <c r="N19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3" s="17" t="str">
        <f t="shared" si="30"/>
        <v>Còn trống</v>
      </c>
    </row>
    <row r="1934" spans="1:16" x14ac:dyDescent="0.3">
      <c r="A1934">
        <v>1933</v>
      </c>
      <c r="B1934" t="s">
        <v>4375</v>
      </c>
      <c r="C1934" t="s">
        <v>4468</v>
      </c>
      <c r="D1934" t="s">
        <v>4469</v>
      </c>
      <c r="E1934" t="s">
        <v>26</v>
      </c>
      <c r="F1934" t="s">
        <v>4388</v>
      </c>
      <c r="G1934" t="s">
        <v>4422</v>
      </c>
      <c r="H1934" t="str">
        <f>'Huong dan giao do an'!$B$14</f>
        <v>5 SV (vai trò chính): 1 PM/Scrum Master kiêm Integration; 2 BA/PO; 3 UI-UX + Frontend; 4 Backend/API + DevOps; 5 Database + QA/Tester. Mỗi SV có nhiệm vụ phụ và minh chứng cá nhân.</v>
      </c>
      <c r="I1934" t="s">
        <v>22</v>
      </c>
      <c r="J1934" t="s">
        <v>4380</v>
      </c>
      <c r="K1934" t="str">
        <f>IF(I1934="Trung bình",'Huong dan giao do an'!$B$8,IF(I1934="Khá",'Huong dan giao do an'!$B$9,'Huong dan giao do an'!$B$10))</f>
        <v>Tối thiểu 4 actor; 10-14 use case; 8-12 bảng; 3 quy trình lõi; phân quyền chi tiết; 2 báo cáo; tích hợp 1 dịch vụ; &gt;=35 test case; CI/CD hoặc deploy cloud.</v>
      </c>
      <c r="L1934" t="str">
        <f>'Huong dan giao do an'!$B$31</f>
        <v>Bắt buộc: Charter/PMP; SRS + scope/WBS; Gantt/baseline; effort-cost budget; RACI/timesheet; quality-test-defect; communication/minutes; risk register; procurement; change log; closure/lessons learned.</v>
      </c>
      <c r="M1934" t="str">
        <f>'Huong dan giao do an'!$B$33</f>
        <v>Tuần 1: 07.09–13.09.2026; Tuần 2: 14.09–20.09.2026; Tuần 3: 21.09–27.09.2026; Tuần 4: 28.09–04.10.2026; Tuần 5: 05.10–11.10.2026; Tuần 6: 12.10–18.10.2026; Tuần 7: 19.10–25.10.2026; Tuần 8: 26.10–01.11.2026.</v>
      </c>
      <c r="N19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4" s="17" t="str">
        <f t="shared" si="30"/>
        <v>Còn trống</v>
      </c>
    </row>
    <row r="1935" spans="1:16" x14ac:dyDescent="0.3">
      <c r="A1935">
        <v>1934</v>
      </c>
      <c r="B1935" t="s">
        <v>4375</v>
      </c>
      <c r="C1935" t="s">
        <v>4470</v>
      </c>
      <c r="D1935" t="s">
        <v>4471</v>
      </c>
      <c r="E1935" t="s">
        <v>33</v>
      </c>
      <c r="F1935" t="s">
        <v>4393</v>
      </c>
      <c r="G1935" t="s">
        <v>4425</v>
      </c>
      <c r="H1935" t="str">
        <f>'Huong dan giao do an'!$B$14</f>
        <v>5 SV (vai trò chính): 1 PM/Scrum Master kiêm Integration; 2 BA/PO; 3 UI-UX + Frontend; 4 Backend/API + DevOps; 5 Database + QA/Tester. Mỗi SV có nhiệm vụ phụ và minh chứng cá nhân.</v>
      </c>
      <c r="I1935" t="s">
        <v>29</v>
      </c>
      <c r="J1935" t="s">
        <v>4385</v>
      </c>
      <c r="K1935" t="str">
        <f>IF(I1935="Trung bình",'Huong dan giao do an'!$B$8,IF(I1935="Khá",'Huong dan giao do an'!$B$9,'Huong dan giao do an'!$B$10))</f>
        <v>Tối thiểu 5 actor; 14-18 use case; 10-15 bảng; 4 quy trình; tích hợp ngoài/realtime hoặc xử lý nâng cao; 3 báo cáo; &gt;=45 test case; logging, backup và deploy.</v>
      </c>
      <c r="L1935" t="str">
        <f>'Huong dan giao do an'!$B$31</f>
        <v>Bắt buộc: Charter/PMP; SRS + scope/WBS; Gantt/baseline; effort-cost budget; RACI/timesheet; quality-test-defect; communication/minutes; risk register; procurement; change log; closure/lessons learned.</v>
      </c>
      <c r="M1935" t="str">
        <f>'Huong dan giao do an'!$B$33</f>
        <v>Tuần 1: 07.09–13.09.2026; Tuần 2: 14.09–20.09.2026; Tuần 3: 21.09–27.09.2026; Tuần 4: 28.09–04.10.2026; Tuần 5: 05.10–11.10.2026; Tuần 6: 12.10–18.10.2026; Tuần 7: 19.10–25.10.2026; Tuần 8: 26.10–01.11.2026.</v>
      </c>
      <c r="N19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5" s="17" t="str">
        <f t="shared" si="30"/>
        <v>Còn trống</v>
      </c>
    </row>
    <row r="1936" spans="1:16" x14ac:dyDescent="0.3">
      <c r="A1936">
        <v>1935</v>
      </c>
      <c r="B1936" t="s">
        <v>4375</v>
      </c>
      <c r="C1936" t="s">
        <v>4472</v>
      </c>
      <c r="D1936" t="s">
        <v>4473</v>
      </c>
      <c r="E1936" t="s">
        <v>40</v>
      </c>
      <c r="F1936" t="s">
        <v>4397</v>
      </c>
      <c r="G1936" t="s">
        <v>4428</v>
      </c>
      <c r="H1936" t="str">
        <f>'Huong dan giao do an'!$B$14</f>
        <v>5 SV (vai trò chính): 1 PM/Scrum Master kiêm Integration; 2 BA/PO; 3 UI-UX + Frontend; 4 Backend/API + DevOps; 5 Database + QA/Tester. Mỗi SV có nhiệm vụ phụ và minh chứng cá nhân.</v>
      </c>
      <c r="I1936" t="s">
        <v>36</v>
      </c>
      <c r="J1936" t="s">
        <v>4390</v>
      </c>
      <c r="K1936" t="str">
        <f>IF(I1936="Trung bình",'Huong dan giao do an'!$B$8,IF(I1936="Khá",'Huong dan giao do an'!$B$9,'Huong dan giao do an'!$B$10))</f>
        <v>Tối thiểu 3 actor; 8-10 use case; 6-8 bảng dữ liệu; 2 quy trình lõi; đăng nhập/RBAC; 1 dashboard; 1 báo cáo; &gt;=25 test case; triển khai bản demo.</v>
      </c>
      <c r="L1936" t="str">
        <f>'Huong dan giao do an'!$B$31</f>
        <v>Bắt buộc: Charter/PMP; SRS + scope/WBS; Gantt/baseline; effort-cost budget; RACI/timesheet; quality-test-defect; communication/minutes; risk register; procurement; change log; closure/lessons learned.</v>
      </c>
      <c r="M1936" t="str">
        <f>'Huong dan giao do an'!$B$33</f>
        <v>Tuần 1: 07.09–13.09.2026; Tuần 2: 14.09–20.09.2026; Tuần 3: 21.09–27.09.2026; Tuần 4: 28.09–04.10.2026; Tuần 5: 05.10–11.10.2026; Tuần 6: 12.10–18.10.2026; Tuần 7: 19.10–25.10.2026; Tuần 8: 26.10–01.11.2026.</v>
      </c>
      <c r="N19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6" s="17" t="str">
        <f t="shared" si="30"/>
        <v>Còn trống</v>
      </c>
    </row>
    <row r="1937" spans="1:16" x14ac:dyDescent="0.3">
      <c r="A1937">
        <v>1936</v>
      </c>
      <c r="B1937" t="s">
        <v>4375</v>
      </c>
      <c r="C1937" t="s">
        <v>4474</v>
      </c>
      <c r="D1937" t="s">
        <v>4475</v>
      </c>
      <c r="E1937" t="s">
        <v>45</v>
      </c>
      <c r="F1937" t="s">
        <v>4378</v>
      </c>
      <c r="G1937" t="s">
        <v>4431</v>
      </c>
      <c r="H1937" t="str">
        <f>'Huong dan giao do an'!$B$14</f>
        <v>5 SV (vai trò chính): 1 PM/Scrum Master kiêm Integration; 2 BA/PO; 3 UI-UX + Frontend; 4 Backend/API + DevOps; 5 Database + QA/Tester. Mỗi SV có nhiệm vụ phụ và minh chứng cá nhân.</v>
      </c>
      <c r="I1937" t="s">
        <v>22</v>
      </c>
      <c r="J1937" t="s">
        <v>4380</v>
      </c>
      <c r="K1937" t="str">
        <f>IF(I1937="Trung bình",'Huong dan giao do an'!$B$8,IF(I1937="Khá",'Huong dan giao do an'!$B$9,'Huong dan giao do an'!$B$10))</f>
        <v>Tối thiểu 4 actor; 10-14 use case; 8-12 bảng; 3 quy trình lõi; phân quyền chi tiết; 2 báo cáo; tích hợp 1 dịch vụ; &gt;=35 test case; CI/CD hoặc deploy cloud.</v>
      </c>
      <c r="L1937" t="str">
        <f>'Huong dan giao do an'!$B$31</f>
        <v>Bắt buộc: Charter/PMP; SRS + scope/WBS; Gantt/baseline; effort-cost budget; RACI/timesheet; quality-test-defect; communication/minutes; risk register; procurement; change log; closure/lessons learned.</v>
      </c>
      <c r="M1937" t="str">
        <f>'Huong dan giao do an'!$B$33</f>
        <v>Tuần 1: 07.09–13.09.2026; Tuần 2: 14.09–20.09.2026; Tuần 3: 21.09–27.09.2026; Tuần 4: 28.09–04.10.2026; Tuần 5: 05.10–11.10.2026; Tuần 6: 12.10–18.10.2026; Tuần 7: 19.10–25.10.2026; Tuần 8: 26.10–01.11.2026.</v>
      </c>
      <c r="N19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7" s="17" t="str">
        <f t="shared" si="30"/>
        <v>Còn trống</v>
      </c>
    </row>
    <row r="1938" spans="1:16" x14ac:dyDescent="0.3">
      <c r="A1938">
        <v>1937</v>
      </c>
      <c r="B1938" t="s">
        <v>4375</v>
      </c>
      <c r="C1938" t="s">
        <v>4476</v>
      </c>
      <c r="D1938" t="s">
        <v>4477</v>
      </c>
      <c r="E1938" t="s">
        <v>19</v>
      </c>
      <c r="F1938" t="s">
        <v>4383</v>
      </c>
      <c r="G1938" t="s">
        <v>4434</v>
      </c>
      <c r="H1938" t="str">
        <f>'Huong dan giao do an'!$B$14</f>
        <v>5 SV (vai trò chính): 1 PM/Scrum Master kiêm Integration; 2 BA/PO; 3 UI-UX + Frontend; 4 Backend/API + DevOps; 5 Database + QA/Tester. Mỗi SV có nhiệm vụ phụ và minh chứng cá nhân.</v>
      </c>
      <c r="I1938" t="s">
        <v>29</v>
      </c>
      <c r="J1938" t="s">
        <v>4385</v>
      </c>
      <c r="K1938" t="str">
        <f>IF(I1938="Trung bình",'Huong dan giao do an'!$B$8,IF(I1938="Khá",'Huong dan giao do an'!$B$9,'Huong dan giao do an'!$B$10))</f>
        <v>Tối thiểu 5 actor; 14-18 use case; 10-15 bảng; 4 quy trình; tích hợp ngoài/realtime hoặc xử lý nâng cao; 3 báo cáo; &gt;=45 test case; logging, backup và deploy.</v>
      </c>
      <c r="L1938" t="str">
        <f>'Huong dan giao do an'!$B$31</f>
        <v>Bắt buộc: Charter/PMP; SRS + scope/WBS; Gantt/baseline; effort-cost budget; RACI/timesheet; quality-test-defect; communication/minutes; risk register; procurement; change log; closure/lessons learned.</v>
      </c>
      <c r="M1938" t="str">
        <f>'Huong dan giao do an'!$B$33</f>
        <v>Tuần 1: 07.09–13.09.2026; Tuần 2: 14.09–20.09.2026; Tuần 3: 21.09–27.09.2026; Tuần 4: 28.09–04.10.2026; Tuần 5: 05.10–11.10.2026; Tuần 6: 12.10–18.10.2026; Tuần 7: 19.10–25.10.2026; Tuần 8: 26.10–01.11.2026.</v>
      </c>
      <c r="N19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8" s="17" t="str">
        <f t="shared" si="30"/>
        <v>Còn trống</v>
      </c>
    </row>
    <row r="1939" spans="1:16" x14ac:dyDescent="0.3">
      <c r="A1939">
        <v>1938</v>
      </c>
      <c r="B1939" t="s">
        <v>4375</v>
      </c>
      <c r="C1939" t="s">
        <v>4478</v>
      </c>
      <c r="D1939" t="s">
        <v>4479</v>
      </c>
      <c r="E1939" t="s">
        <v>26</v>
      </c>
      <c r="F1939" t="s">
        <v>4388</v>
      </c>
      <c r="G1939" t="s">
        <v>4437</v>
      </c>
      <c r="H1939" t="str">
        <f>'Huong dan giao do an'!$B$14</f>
        <v>5 SV (vai trò chính): 1 PM/Scrum Master kiêm Integration; 2 BA/PO; 3 UI-UX + Frontend; 4 Backend/API + DevOps; 5 Database + QA/Tester. Mỗi SV có nhiệm vụ phụ và minh chứng cá nhân.</v>
      </c>
      <c r="I1939" t="s">
        <v>36</v>
      </c>
      <c r="J1939" t="s">
        <v>4390</v>
      </c>
      <c r="K1939" t="str">
        <f>IF(I1939="Trung bình",'Huong dan giao do an'!$B$8,IF(I1939="Khá",'Huong dan giao do an'!$B$9,'Huong dan giao do an'!$B$10))</f>
        <v>Tối thiểu 3 actor; 8-10 use case; 6-8 bảng dữ liệu; 2 quy trình lõi; đăng nhập/RBAC; 1 dashboard; 1 báo cáo; &gt;=25 test case; triển khai bản demo.</v>
      </c>
      <c r="L1939" t="str">
        <f>'Huong dan giao do an'!$B$31</f>
        <v>Bắt buộc: Charter/PMP; SRS + scope/WBS; Gantt/baseline; effort-cost budget; RACI/timesheet; quality-test-defect; communication/minutes; risk register; procurement; change log; closure/lessons learned.</v>
      </c>
      <c r="M1939" t="str">
        <f>'Huong dan giao do an'!$B$33</f>
        <v>Tuần 1: 07.09–13.09.2026; Tuần 2: 14.09–20.09.2026; Tuần 3: 21.09–27.09.2026; Tuần 4: 28.09–04.10.2026; Tuần 5: 05.10–11.10.2026; Tuần 6: 12.10–18.10.2026; Tuần 7: 19.10–25.10.2026; Tuần 8: 26.10–01.11.2026.</v>
      </c>
      <c r="N19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39" s="17" t="str">
        <f t="shared" si="30"/>
        <v>Còn trống</v>
      </c>
    </row>
    <row r="1940" spans="1:16" x14ac:dyDescent="0.3">
      <c r="A1940">
        <v>1939</v>
      </c>
      <c r="B1940" t="s">
        <v>4375</v>
      </c>
      <c r="C1940" t="s">
        <v>4480</v>
      </c>
      <c r="D1940" t="s">
        <v>4481</v>
      </c>
      <c r="E1940" t="s">
        <v>33</v>
      </c>
      <c r="F1940" t="s">
        <v>4393</v>
      </c>
      <c r="G1940" t="s">
        <v>4440</v>
      </c>
      <c r="H1940" t="str">
        <f>'Huong dan giao do an'!$B$14</f>
        <v>5 SV (vai trò chính): 1 PM/Scrum Master kiêm Integration; 2 BA/PO; 3 UI-UX + Frontend; 4 Backend/API + DevOps; 5 Database + QA/Tester. Mỗi SV có nhiệm vụ phụ và minh chứng cá nhân.</v>
      </c>
      <c r="I1940" t="s">
        <v>22</v>
      </c>
      <c r="J1940" t="s">
        <v>4380</v>
      </c>
      <c r="K1940" t="str">
        <f>IF(I1940="Trung bình",'Huong dan giao do an'!$B$8,IF(I1940="Khá",'Huong dan giao do an'!$B$9,'Huong dan giao do an'!$B$10))</f>
        <v>Tối thiểu 4 actor; 10-14 use case; 8-12 bảng; 3 quy trình lõi; phân quyền chi tiết; 2 báo cáo; tích hợp 1 dịch vụ; &gt;=35 test case; CI/CD hoặc deploy cloud.</v>
      </c>
      <c r="L1940" t="str">
        <f>'Huong dan giao do an'!$B$31</f>
        <v>Bắt buộc: Charter/PMP; SRS + scope/WBS; Gantt/baseline; effort-cost budget; RACI/timesheet; quality-test-defect; communication/minutes; risk register; procurement; change log; closure/lessons learned.</v>
      </c>
      <c r="M1940" t="str">
        <f>'Huong dan giao do an'!$B$33</f>
        <v>Tuần 1: 07.09–13.09.2026; Tuần 2: 14.09–20.09.2026; Tuần 3: 21.09–27.09.2026; Tuần 4: 28.09–04.10.2026; Tuần 5: 05.10–11.10.2026; Tuần 6: 12.10–18.10.2026; Tuần 7: 19.10–25.10.2026; Tuần 8: 26.10–01.11.2026.</v>
      </c>
      <c r="N19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0" s="17" t="str">
        <f t="shared" si="30"/>
        <v>Còn trống</v>
      </c>
    </row>
    <row r="1941" spans="1:16" x14ac:dyDescent="0.3">
      <c r="A1941">
        <v>1940</v>
      </c>
      <c r="B1941" t="s">
        <v>4375</v>
      </c>
      <c r="C1941" t="s">
        <v>4482</v>
      </c>
      <c r="D1941" t="s">
        <v>4483</v>
      </c>
      <c r="E1941" t="s">
        <v>40</v>
      </c>
      <c r="F1941" t="s">
        <v>4397</v>
      </c>
      <c r="G1941" t="s">
        <v>4443</v>
      </c>
      <c r="H1941" t="str">
        <f>'Huong dan giao do an'!$B$14</f>
        <v>5 SV (vai trò chính): 1 PM/Scrum Master kiêm Integration; 2 BA/PO; 3 UI-UX + Frontend; 4 Backend/API + DevOps; 5 Database + QA/Tester. Mỗi SV có nhiệm vụ phụ và minh chứng cá nhân.</v>
      </c>
      <c r="I1941" t="s">
        <v>29</v>
      </c>
      <c r="J1941" t="s">
        <v>4385</v>
      </c>
      <c r="K1941" t="str">
        <f>IF(I1941="Trung bình",'Huong dan giao do an'!$B$8,IF(I1941="Khá",'Huong dan giao do an'!$B$9,'Huong dan giao do an'!$B$10))</f>
        <v>Tối thiểu 5 actor; 14-18 use case; 10-15 bảng; 4 quy trình; tích hợp ngoài/realtime hoặc xử lý nâng cao; 3 báo cáo; &gt;=45 test case; logging, backup và deploy.</v>
      </c>
      <c r="L1941" t="str">
        <f>'Huong dan giao do an'!$B$31</f>
        <v>Bắt buộc: Charter/PMP; SRS + scope/WBS; Gantt/baseline; effort-cost budget; RACI/timesheet; quality-test-defect; communication/minutes; risk register; procurement; change log; closure/lessons learned.</v>
      </c>
      <c r="M1941" t="str">
        <f>'Huong dan giao do an'!$B$33</f>
        <v>Tuần 1: 07.09–13.09.2026; Tuần 2: 14.09–20.09.2026; Tuần 3: 21.09–27.09.2026; Tuần 4: 28.09–04.10.2026; Tuần 5: 05.10–11.10.2026; Tuần 6: 12.10–18.10.2026; Tuần 7: 19.10–25.10.2026; Tuần 8: 26.10–01.11.2026.</v>
      </c>
      <c r="N19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1" s="17" t="str">
        <f t="shared" si="30"/>
        <v>Còn trống</v>
      </c>
    </row>
    <row r="1942" spans="1:16" x14ac:dyDescent="0.3">
      <c r="A1942">
        <v>1941</v>
      </c>
      <c r="B1942" t="s">
        <v>4375</v>
      </c>
      <c r="C1942" t="s">
        <v>4484</v>
      </c>
      <c r="D1942" t="s">
        <v>4485</v>
      </c>
      <c r="E1942" t="s">
        <v>45</v>
      </c>
      <c r="F1942" t="s">
        <v>4378</v>
      </c>
      <c r="G1942" t="s">
        <v>4379</v>
      </c>
      <c r="H1942" t="str">
        <f>'Huong dan giao do an'!$B$14</f>
        <v>5 SV (vai trò chính): 1 PM/Scrum Master kiêm Integration; 2 BA/PO; 3 UI-UX + Frontend; 4 Backend/API + DevOps; 5 Database + QA/Tester. Mỗi SV có nhiệm vụ phụ và minh chứng cá nhân.</v>
      </c>
      <c r="I1942" t="s">
        <v>22</v>
      </c>
      <c r="J1942" t="s">
        <v>4380</v>
      </c>
      <c r="K1942" t="str">
        <f>IF(I1942="Trung bình",'Huong dan giao do an'!$B$8,IF(I1942="Khá",'Huong dan giao do an'!$B$9,'Huong dan giao do an'!$B$10))</f>
        <v>Tối thiểu 4 actor; 10-14 use case; 8-12 bảng; 3 quy trình lõi; phân quyền chi tiết; 2 báo cáo; tích hợp 1 dịch vụ; &gt;=35 test case; CI/CD hoặc deploy cloud.</v>
      </c>
      <c r="L1942" t="str">
        <f>'Huong dan giao do an'!$B$31</f>
        <v>Bắt buộc: Charter/PMP; SRS + scope/WBS; Gantt/baseline; effort-cost budget; RACI/timesheet; quality-test-defect; communication/minutes; risk register; procurement; change log; closure/lessons learned.</v>
      </c>
      <c r="M1942" t="str">
        <f>'Huong dan giao do an'!$B$33</f>
        <v>Tuần 1: 07.09–13.09.2026; Tuần 2: 14.09–20.09.2026; Tuần 3: 21.09–27.09.2026; Tuần 4: 28.09–04.10.2026; Tuần 5: 05.10–11.10.2026; Tuần 6: 12.10–18.10.2026; Tuần 7: 19.10–25.10.2026; Tuần 8: 26.10–01.11.2026.</v>
      </c>
      <c r="N19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2" s="17" t="str">
        <f t="shared" si="30"/>
        <v>Còn trống</v>
      </c>
    </row>
    <row r="1943" spans="1:16" x14ac:dyDescent="0.3">
      <c r="A1943">
        <v>1942</v>
      </c>
      <c r="B1943" t="s">
        <v>4375</v>
      </c>
      <c r="C1943" t="s">
        <v>4486</v>
      </c>
      <c r="D1943" t="s">
        <v>4487</v>
      </c>
      <c r="E1943" t="s">
        <v>19</v>
      </c>
      <c r="F1943" t="s">
        <v>4383</v>
      </c>
      <c r="G1943" t="s">
        <v>4384</v>
      </c>
      <c r="H1943" t="str">
        <f>'Huong dan giao do an'!$B$14</f>
        <v>5 SV (vai trò chính): 1 PM/Scrum Master kiêm Integration; 2 BA/PO; 3 UI-UX + Frontend; 4 Backend/API + DevOps; 5 Database + QA/Tester. Mỗi SV có nhiệm vụ phụ và minh chứng cá nhân.</v>
      </c>
      <c r="I1943" t="s">
        <v>29</v>
      </c>
      <c r="J1943" t="s">
        <v>4385</v>
      </c>
      <c r="K1943" t="str">
        <f>IF(I1943="Trung bình",'Huong dan giao do an'!$B$8,IF(I1943="Khá",'Huong dan giao do an'!$B$9,'Huong dan giao do an'!$B$10))</f>
        <v>Tối thiểu 5 actor; 14-18 use case; 10-15 bảng; 4 quy trình; tích hợp ngoài/realtime hoặc xử lý nâng cao; 3 báo cáo; &gt;=45 test case; logging, backup và deploy.</v>
      </c>
      <c r="L1943" t="str">
        <f>'Huong dan giao do an'!$B$31</f>
        <v>Bắt buộc: Charter/PMP; SRS + scope/WBS; Gantt/baseline; effort-cost budget; RACI/timesheet; quality-test-defect; communication/minutes; risk register; procurement; change log; closure/lessons learned.</v>
      </c>
      <c r="M1943" t="str">
        <f>'Huong dan giao do an'!$B$33</f>
        <v>Tuần 1: 07.09–13.09.2026; Tuần 2: 14.09–20.09.2026; Tuần 3: 21.09–27.09.2026; Tuần 4: 28.09–04.10.2026; Tuần 5: 05.10–11.10.2026; Tuần 6: 12.10–18.10.2026; Tuần 7: 19.10–25.10.2026; Tuần 8: 26.10–01.11.2026.</v>
      </c>
      <c r="N19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3" s="17" t="str">
        <f t="shared" si="30"/>
        <v>Còn trống</v>
      </c>
    </row>
    <row r="1944" spans="1:16" x14ac:dyDescent="0.3">
      <c r="A1944">
        <v>1943</v>
      </c>
      <c r="B1944" t="s">
        <v>4375</v>
      </c>
      <c r="C1944" t="s">
        <v>4488</v>
      </c>
      <c r="D1944" t="s">
        <v>4489</v>
      </c>
      <c r="E1944" t="s">
        <v>26</v>
      </c>
      <c r="F1944" t="s">
        <v>4388</v>
      </c>
      <c r="G1944" t="s">
        <v>4389</v>
      </c>
      <c r="H1944" t="str">
        <f>'Huong dan giao do an'!$B$14</f>
        <v>5 SV (vai trò chính): 1 PM/Scrum Master kiêm Integration; 2 BA/PO; 3 UI-UX + Frontend; 4 Backend/API + DevOps; 5 Database + QA/Tester. Mỗi SV có nhiệm vụ phụ và minh chứng cá nhân.</v>
      </c>
      <c r="I1944" t="s">
        <v>36</v>
      </c>
      <c r="J1944" t="s">
        <v>4390</v>
      </c>
      <c r="K1944" t="str">
        <f>IF(I1944="Trung bình",'Huong dan giao do an'!$B$8,IF(I1944="Khá",'Huong dan giao do an'!$B$9,'Huong dan giao do an'!$B$10))</f>
        <v>Tối thiểu 3 actor; 8-10 use case; 6-8 bảng dữ liệu; 2 quy trình lõi; đăng nhập/RBAC; 1 dashboard; 1 báo cáo; &gt;=25 test case; triển khai bản demo.</v>
      </c>
      <c r="L1944" t="str">
        <f>'Huong dan giao do an'!$B$31</f>
        <v>Bắt buộc: Charter/PMP; SRS + scope/WBS; Gantt/baseline; effort-cost budget; RACI/timesheet; quality-test-defect; communication/minutes; risk register; procurement; change log; closure/lessons learned.</v>
      </c>
      <c r="M1944" t="str">
        <f>'Huong dan giao do an'!$B$33</f>
        <v>Tuần 1: 07.09–13.09.2026; Tuần 2: 14.09–20.09.2026; Tuần 3: 21.09–27.09.2026; Tuần 4: 28.09–04.10.2026; Tuần 5: 05.10–11.10.2026; Tuần 6: 12.10–18.10.2026; Tuần 7: 19.10–25.10.2026; Tuần 8: 26.10–01.11.2026.</v>
      </c>
      <c r="N19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4" s="17" t="str">
        <f t="shared" si="30"/>
        <v>Còn trống</v>
      </c>
    </row>
    <row r="1945" spans="1:16" x14ac:dyDescent="0.3">
      <c r="A1945">
        <v>1944</v>
      </c>
      <c r="B1945" t="s">
        <v>4375</v>
      </c>
      <c r="C1945" t="s">
        <v>4490</v>
      </c>
      <c r="D1945" t="s">
        <v>4491</v>
      </c>
      <c r="E1945" t="s">
        <v>33</v>
      </c>
      <c r="F1945" t="s">
        <v>4393</v>
      </c>
      <c r="G1945" t="s">
        <v>4394</v>
      </c>
      <c r="H1945" t="str">
        <f>'Huong dan giao do an'!$B$14</f>
        <v>5 SV (vai trò chính): 1 PM/Scrum Master kiêm Integration; 2 BA/PO; 3 UI-UX + Frontend; 4 Backend/API + DevOps; 5 Database + QA/Tester. Mỗi SV có nhiệm vụ phụ và minh chứng cá nhân.</v>
      </c>
      <c r="I1945" t="s">
        <v>22</v>
      </c>
      <c r="J1945" t="s">
        <v>4380</v>
      </c>
      <c r="K1945" t="str">
        <f>IF(I1945="Trung bình",'Huong dan giao do an'!$B$8,IF(I1945="Khá",'Huong dan giao do an'!$B$9,'Huong dan giao do an'!$B$10))</f>
        <v>Tối thiểu 4 actor; 10-14 use case; 8-12 bảng; 3 quy trình lõi; phân quyền chi tiết; 2 báo cáo; tích hợp 1 dịch vụ; &gt;=35 test case; CI/CD hoặc deploy cloud.</v>
      </c>
      <c r="L1945" t="str">
        <f>'Huong dan giao do an'!$B$31</f>
        <v>Bắt buộc: Charter/PMP; SRS + scope/WBS; Gantt/baseline; effort-cost budget; RACI/timesheet; quality-test-defect; communication/minutes; risk register; procurement; change log; closure/lessons learned.</v>
      </c>
      <c r="M1945" t="str">
        <f>'Huong dan giao do an'!$B$33</f>
        <v>Tuần 1: 07.09–13.09.2026; Tuần 2: 14.09–20.09.2026; Tuần 3: 21.09–27.09.2026; Tuần 4: 28.09–04.10.2026; Tuần 5: 05.10–11.10.2026; Tuần 6: 12.10–18.10.2026; Tuần 7: 19.10–25.10.2026; Tuần 8: 26.10–01.11.2026.</v>
      </c>
      <c r="N19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5" s="17" t="str">
        <f t="shared" si="30"/>
        <v>Còn trống</v>
      </c>
    </row>
    <row r="1946" spans="1:16" x14ac:dyDescent="0.3">
      <c r="A1946">
        <v>1945</v>
      </c>
      <c r="B1946" t="s">
        <v>4375</v>
      </c>
      <c r="C1946" t="s">
        <v>4492</v>
      </c>
      <c r="D1946" t="s">
        <v>4493</v>
      </c>
      <c r="E1946" t="s">
        <v>40</v>
      </c>
      <c r="F1946" t="s">
        <v>4397</v>
      </c>
      <c r="G1946" t="s">
        <v>4398</v>
      </c>
      <c r="H1946" t="str">
        <f>'Huong dan giao do an'!$B$14</f>
        <v>5 SV (vai trò chính): 1 PM/Scrum Master kiêm Integration; 2 BA/PO; 3 UI-UX + Frontend; 4 Backend/API + DevOps; 5 Database + QA/Tester. Mỗi SV có nhiệm vụ phụ và minh chứng cá nhân.</v>
      </c>
      <c r="I1946" t="s">
        <v>29</v>
      </c>
      <c r="J1946" t="s">
        <v>4385</v>
      </c>
      <c r="K1946" t="str">
        <f>IF(I1946="Trung bình",'Huong dan giao do an'!$B$8,IF(I1946="Khá",'Huong dan giao do an'!$B$9,'Huong dan giao do an'!$B$10))</f>
        <v>Tối thiểu 5 actor; 14-18 use case; 10-15 bảng; 4 quy trình; tích hợp ngoài/realtime hoặc xử lý nâng cao; 3 báo cáo; &gt;=45 test case; logging, backup và deploy.</v>
      </c>
      <c r="L1946" t="str">
        <f>'Huong dan giao do an'!$B$31</f>
        <v>Bắt buộc: Charter/PMP; SRS + scope/WBS; Gantt/baseline; effort-cost budget; RACI/timesheet; quality-test-defect; communication/minutes; risk register; procurement; change log; closure/lessons learned.</v>
      </c>
      <c r="M1946" t="str">
        <f>'Huong dan giao do an'!$B$33</f>
        <v>Tuần 1: 07.09–13.09.2026; Tuần 2: 14.09–20.09.2026; Tuần 3: 21.09–27.09.2026; Tuần 4: 28.09–04.10.2026; Tuần 5: 05.10–11.10.2026; Tuần 6: 12.10–18.10.2026; Tuần 7: 19.10–25.10.2026; Tuần 8: 26.10–01.11.2026.</v>
      </c>
      <c r="N19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6" s="17" t="str">
        <f t="shared" si="30"/>
        <v>Còn trống</v>
      </c>
    </row>
    <row r="1947" spans="1:16" x14ac:dyDescent="0.3">
      <c r="A1947">
        <v>1946</v>
      </c>
      <c r="B1947" t="s">
        <v>4375</v>
      </c>
      <c r="C1947" t="s">
        <v>4494</v>
      </c>
      <c r="D1947" t="s">
        <v>4495</v>
      </c>
      <c r="E1947" t="s">
        <v>45</v>
      </c>
      <c r="F1947" t="s">
        <v>4378</v>
      </c>
      <c r="G1947" t="s">
        <v>4401</v>
      </c>
      <c r="H1947" t="str">
        <f>'Huong dan giao do an'!$B$14</f>
        <v>5 SV (vai trò chính): 1 PM/Scrum Master kiêm Integration; 2 BA/PO; 3 UI-UX + Frontend; 4 Backend/API + DevOps; 5 Database + QA/Tester. Mỗi SV có nhiệm vụ phụ và minh chứng cá nhân.</v>
      </c>
      <c r="I1947" t="s">
        <v>36</v>
      </c>
      <c r="J1947" t="s">
        <v>4390</v>
      </c>
      <c r="K1947" t="str">
        <f>IF(I1947="Trung bình",'Huong dan giao do an'!$B$8,IF(I1947="Khá",'Huong dan giao do an'!$B$9,'Huong dan giao do an'!$B$10))</f>
        <v>Tối thiểu 3 actor; 8-10 use case; 6-8 bảng dữ liệu; 2 quy trình lõi; đăng nhập/RBAC; 1 dashboard; 1 báo cáo; &gt;=25 test case; triển khai bản demo.</v>
      </c>
      <c r="L1947" t="str">
        <f>'Huong dan giao do an'!$B$31</f>
        <v>Bắt buộc: Charter/PMP; SRS + scope/WBS; Gantt/baseline; effort-cost budget; RACI/timesheet; quality-test-defect; communication/minutes; risk register; procurement; change log; closure/lessons learned.</v>
      </c>
      <c r="M1947" t="str">
        <f>'Huong dan giao do an'!$B$33</f>
        <v>Tuần 1: 07.09–13.09.2026; Tuần 2: 14.09–20.09.2026; Tuần 3: 21.09–27.09.2026; Tuần 4: 28.09–04.10.2026; Tuần 5: 05.10–11.10.2026; Tuần 6: 12.10–18.10.2026; Tuần 7: 19.10–25.10.2026; Tuần 8: 26.10–01.11.2026.</v>
      </c>
      <c r="N19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7" s="17" t="str">
        <f t="shared" si="30"/>
        <v>Còn trống</v>
      </c>
    </row>
    <row r="1948" spans="1:16" x14ac:dyDescent="0.3">
      <c r="A1948">
        <v>1947</v>
      </c>
      <c r="B1948" t="s">
        <v>4375</v>
      </c>
      <c r="C1948" t="s">
        <v>4496</v>
      </c>
      <c r="D1948" t="s">
        <v>4497</v>
      </c>
      <c r="E1948" t="s">
        <v>19</v>
      </c>
      <c r="F1948" t="s">
        <v>4383</v>
      </c>
      <c r="G1948" t="s">
        <v>4404</v>
      </c>
      <c r="H1948" t="str">
        <f>'Huong dan giao do an'!$B$14</f>
        <v>5 SV (vai trò chính): 1 PM/Scrum Master kiêm Integration; 2 BA/PO; 3 UI-UX + Frontend; 4 Backend/API + DevOps; 5 Database + QA/Tester. Mỗi SV có nhiệm vụ phụ và minh chứng cá nhân.</v>
      </c>
      <c r="I1948" t="s">
        <v>22</v>
      </c>
      <c r="J1948" t="s">
        <v>4380</v>
      </c>
      <c r="K1948" t="str">
        <f>IF(I1948="Trung bình",'Huong dan giao do an'!$B$8,IF(I1948="Khá",'Huong dan giao do an'!$B$9,'Huong dan giao do an'!$B$10))</f>
        <v>Tối thiểu 4 actor; 10-14 use case; 8-12 bảng; 3 quy trình lõi; phân quyền chi tiết; 2 báo cáo; tích hợp 1 dịch vụ; &gt;=35 test case; CI/CD hoặc deploy cloud.</v>
      </c>
      <c r="L1948" t="str">
        <f>'Huong dan giao do an'!$B$31</f>
        <v>Bắt buộc: Charter/PMP; SRS + scope/WBS; Gantt/baseline; effort-cost budget; RACI/timesheet; quality-test-defect; communication/minutes; risk register; procurement; change log; closure/lessons learned.</v>
      </c>
      <c r="M1948" t="str">
        <f>'Huong dan giao do an'!$B$33</f>
        <v>Tuần 1: 07.09–13.09.2026; Tuần 2: 14.09–20.09.2026; Tuần 3: 21.09–27.09.2026; Tuần 4: 28.09–04.10.2026; Tuần 5: 05.10–11.10.2026; Tuần 6: 12.10–18.10.2026; Tuần 7: 19.10–25.10.2026; Tuần 8: 26.10–01.11.2026.</v>
      </c>
      <c r="N19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8" s="17" t="str">
        <f t="shared" si="30"/>
        <v>Còn trống</v>
      </c>
    </row>
    <row r="1949" spans="1:16" x14ac:dyDescent="0.3">
      <c r="A1949">
        <v>1948</v>
      </c>
      <c r="B1949" t="s">
        <v>4375</v>
      </c>
      <c r="C1949" t="s">
        <v>4498</v>
      </c>
      <c r="D1949" t="s">
        <v>4499</v>
      </c>
      <c r="E1949" t="s">
        <v>26</v>
      </c>
      <c r="F1949" t="s">
        <v>4388</v>
      </c>
      <c r="G1949" t="s">
        <v>4407</v>
      </c>
      <c r="H1949" t="str">
        <f>'Huong dan giao do an'!$B$14</f>
        <v>5 SV (vai trò chính): 1 PM/Scrum Master kiêm Integration; 2 BA/PO; 3 UI-UX + Frontend; 4 Backend/API + DevOps; 5 Database + QA/Tester. Mỗi SV có nhiệm vụ phụ và minh chứng cá nhân.</v>
      </c>
      <c r="I1949" t="s">
        <v>29</v>
      </c>
      <c r="J1949" t="s">
        <v>4385</v>
      </c>
      <c r="K1949" t="str">
        <f>IF(I1949="Trung bình",'Huong dan giao do an'!$B$8,IF(I1949="Khá",'Huong dan giao do an'!$B$9,'Huong dan giao do an'!$B$10))</f>
        <v>Tối thiểu 5 actor; 14-18 use case; 10-15 bảng; 4 quy trình; tích hợp ngoài/realtime hoặc xử lý nâng cao; 3 báo cáo; &gt;=45 test case; logging, backup và deploy.</v>
      </c>
      <c r="L1949" t="str">
        <f>'Huong dan giao do an'!$B$31</f>
        <v>Bắt buộc: Charter/PMP; SRS + scope/WBS; Gantt/baseline; effort-cost budget; RACI/timesheet; quality-test-defect; communication/minutes; risk register; procurement; change log; closure/lessons learned.</v>
      </c>
      <c r="M1949" t="str">
        <f>'Huong dan giao do an'!$B$33</f>
        <v>Tuần 1: 07.09–13.09.2026; Tuần 2: 14.09–20.09.2026; Tuần 3: 21.09–27.09.2026; Tuần 4: 28.09–04.10.2026; Tuần 5: 05.10–11.10.2026; Tuần 6: 12.10–18.10.2026; Tuần 7: 19.10–25.10.2026; Tuần 8: 26.10–01.11.2026.</v>
      </c>
      <c r="N19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49" s="17" t="str">
        <f t="shared" si="30"/>
        <v>Còn trống</v>
      </c>
    </row>
    <row r="1950" spans="1:16" x14ac:dyDescent="0.3">
      <c r="A1950">
        <v>1949</v>
      </c>
      <c r="B1950" t="s">
        <v>4375</v>
      </c>
      <c r="C1950" t="s">
        <v>4500</v>
      </c>
      <c r="D1950" t="s">
        <v>4501</v>
      </c>
      <c r="E1950" t="s">
        <v>33</v>
      </c>
      <c r="F1950" t="s">
        <v>4393</v>
      </c>
      <c r="G1950" t="s">
        <v>4410</v>
      </c>
      <c r="H1950" t="str">
        <f>'Huong dan giao do an'!$B$14</f>
        <v>5 SV (vai trò chính): 1 PM/Scrum Master kiêm Integration; 2 BA/PO; 3 UI-UX + Frontend; 4 Backend/API + DevOps; 5 Database + QA/Tester. Mỗi SV có nhiệm vụ phụ và minh chứng cá nhân.</v>
      </c>
      <c r="I1950" t="s">
        <v>36</v>
      </c>
      <c r="J1950" t="s">
        <v>4390</v>
      </c>
      <c r="K1950" t="str">
        <f>IF(I1950="Trung bình",'Huong dan giao do an'!$B$8,IF(I1950="Khá",'Huong dan giao do an'!$B$9,'Huong dan giao do an'!$B$10))</f>
        <v>Tối thiểu 3 actor; 8-10 use case; 6-8 bảng dữ liệu; 2 quy trình lõi; đăng nhập/RBAC; 1 dashboard; 1 báo cáo; &gt;=25 test case; triển khai bản demo.</v>
      </c>
      <c r="L1950" t="str">
        <f>'Huong dan giao do an'!$B$31</f>
        <v>Bắt buộc: Charter/PMP; SRS + scope/WBS; Gantt/baseline; effort-cost budget; RACI/timesheet; quality-test-defect; communication/minutes; risk register; procurement; change log; closure/lessons learned.</v>
      </c>
      <c r="M1950" t="str">
        <f>'Huong dan giao do an'!$B$33</f>
        <v>Tuần 1: 07.09–13.09.2026; Tuần 2: 14.09–20.09.2026; Tuần 3: 21.09–27.09.2026; Tuần 4: 28.09–04.10.2026; Tuần 5: 05.10–11.10.2026; Tuần 6: 12.10–18.10.2026; Tuần 7: 19.10–25.10.2026; Tuần 8: 26.10–01.11.2026.</v>
      </c>
      <c r="N19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0" s="17" t="str">
        <f t="shared" si="30"/>
        <v>Còn trống</v>
      </c>
    </row>
    <row r="1951" spans="1:16" x14ac:dyDescent="0.3">
      <c r="A1951">
        <v>1950</v>
      </c>
      <c r="B1951" t="s">
        <v>4375</v>
      </c>
      <c r="C1951" t="s">
        <v>4502</v>
      </c>
      <c r="D1951" t="s">
        <v>4503</v>
      </c>
      <c r="E1951" t="s">
        <v>40</v>
      </c>
      <c r="F1951" t="s">
        <v>4397</v>
      </c>
      <c r="G1951" t="s">
        <v>4413</v>
      </c>
      <c r="H1951" t="str">
        <f>'Huong dan giao do an'!$B$14</f>
        <v>5 SV (vai trò chính): 1 PM/Scrum Master kiêm Integration; 2 BA/PO; 3 UI-UX + Frontend; 4 Backend/API + DevOps; 5 Database + QA/Tester. Mỗi SV có nhiệm vụ phụ và minh chứng cá nhân.</v>
      </c>
      <c r="I1951" t="s">
        <v>22</v>
      </c>
      <c r="J1951" t="s">
        <v>4380</v>
      </c>
      <c r="K1951" t="str">
        <f>IF(I1951="Trung bình",'Huong dan giao do an'!$B$8,IF(I1951="Khá",'Huong dan giao do an'!$B$9,'Huong dan giao do an'!$B$10))</f>
        <v>Tối thiểu 4 actor; 10-14 use case; 8-12 bảng; 3 quy trình lõi; phân quyền chi tiết; 2 báo cáo; tích hợp 1 dịch vụ; &gt;=35 test case; CI/CD hoặc deploy cloud.</v>
      </c>
      <c r="L1951" t="str">
        <f>'Huong dan giao do an'!$B$31</f>
        <v>Bắt buộc: Charter/PMP; SRS + scope/WBS; Gantt/baseline; effort-cost budget; RACI/timesheet; quality-test-defect; communication/minutes; risk register; procurement; change log; closure/lessons learned.</v>
      </c>
      <c r="M1951" t="str">
        <f>'Huong dan giao do an'!$B$33</f>
        <v>Tuần 1: 07.09–13.09.2026; Tuần 2: 14.09–20.09.2026; Tuần 3: 21.09–27.09.2026; Tuần 4: 28.09–04.10.2026; Tuần 5: 05.10–11.10.2026; Tuần 6: 12.10–18.10.2026; Tuần 7: 19.10–25.10.2026; Tuần 8: 26.10–01.11.2026.</v>
      </c>
      <c r="N19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1" s="17" t="str">
        <f t="shared" si="30"/>
        <v>Còn trống</v>
      </c>
    </row>
    <row r="1952" spans="1:16" x14ac:dyDescent="0.3">
      <c r="A1952">
        <v>1951</v>
      </c>
      <c r="B1952" t="s">
        <v>4375</v>
      </c>
      <c r="C1952" t="s">
        <v>4504</v>
      </c>
      <c r="D1952" t="s">
        <v>4505</v>
      </c>
      <c r="E1952" t="s">
        <v>45</v>
      </c>
      <c r="F1952" t="s">
        <v>4378</v>
      </c>
      <c r="G1952" t="s">
        <v>4416</v>
      </c>
      <c r="H1952" t="str">
        <f>'Huong dan giao do an'!$B$14</f>
        <v>5 SV (vai trò chính): 1 PM/Scrum Master kiêm Integration; 2 BA/PO; 3 UI-UX + Frontend; 4 Backend/API + DevOps; 5 Database + QA/Tester. Mỗi SV có nhiệm vụ phụ và minh chứng cá nhân.</v>
      </c>
      <c r="I1952" t="s">
        <v>29</v>
      </c>
      <c r="J1952" t="s">
        <v>4385</v>
      </c>
      <c r="K1952" t="str">
        <f>IF(I1952="Trung bình",'Huong dan giao do an'!$B$8,IF(I1952="Khá",'Huong dan giao do an'!$B$9,'Huong dan giao do an'!$B$10))</f>
        <v>Tối thiểu 5 actor; 14-18 use case; 10-15 bảng; 4 quy trình; tích hợp ngoài/realtime hoặc xử lý nâng cao; 3 báo cáo; &gt;=45 test case; logging, backup và deploy.</v>
      </c>
      <c r="L1952" t="str">
        <f>'Huong dan giao do an'!$B$31</f>
        <v>Bắt buộc: Charter/PMP; SRS + scope/WBS; Gantt/baseline; effort-cost budget; RACI/timesheet; quality-test-defect; communication/minutes; risk register; procurement; change log; closure/lessons learned.</v>
      </c>
      <c r="M1952" t="str">
        <f>'Huong dan giao do an'!$B$33</f>
        <v>Tuần 1: 07.09–13.09.2026; Tuần 2: 14.09–20.09.2026; Tuần 3: 21.09–27.09.2026; Tuần 4: 28.09–04.10.2026; Tuần 5: 05.10–11.10.2026; Tuần 6: 12.10–18.10.2026; Tuần 7: 19.10–25.10.2026; Tuần 8: 26.10–01.11.2026.</v>
      </c>
      <c r="N19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2" s="17" t="str">
        <f t="shared" si="30"/>
        <v>Còn trống</v>
      </c>
    </row>
    <row r="1953" spans="1:16" x14ac:dyDescent="0.3">
      <c r="A1953">
        <v>1952</v>
      </c>
      <c r="B1953" t="s">
        <v>4375</v>
      </c>
      <c r="C1953" t="s">
        <v>4506</v>
      </c>
      <c r="D1953" t="s">
        <v>4507</v>
      </c>
      <c r="E1953" t="s">
        <v>19</v>
      </c>
      <c r="F1953" t="s">
        <v>4383</v>
      </c>
      <c r="G1953" t="s">
        <v>4419</v>
      </c>
      <c r="H1953" t="str">
        <f>'Huong dan giao do an'!$B$14</f>
        <v>5 SV (vai trò chính): 1 PM/Scrum Master kiêm Integration; 2 BA/PO; 3 UI-UX + Frontend; 4 Backend/API + DevOps; 5 Database + QA/Tester. Mỗi SV có nhiệm vụ phụ và minh chứng cá nhân.</v>
      </c>
      <c r="I1953" t="s">
        <v>36</v>
      </c>
      <c r="J1953" t="s">
        <v>4390</v>
      </c>
      <c r="K1953" t="str">
        <f>IF(I1953="Trung bình",'Huong dan giao do an'!$B$8,IF(I1953="Khá",'Huong dan giao do an'!$B$9,'Huong dan giao do an'!$B$10))</f>
        <v>Tối thiểu 3 actor; 8-10 use case; 6-8 bảng dữ liệu; 2 quy trình lõi; đăng nhập/RBAC; 1 dashboard; 1 báo cáo; &gt;=25 test case; triển khai bản demo.</v>
      </c>
      <c r="L1953" t="str">
        <f>'Huong dan giao do an'!$B$31</f>
        <v>Bắt buộc: Charter/PMP; SRS + scope/WBS; Gantt/baseline; effort-cost budget; RACI/timesheet; quality-test-defect; communication/minutes; risk register; procurement; change log; closure/lessons learned.</v>
      </c>
      <c r="M1953" t="str">
        <f>'Huong dan giao do an'!$B$33</f>
        <v>Tuần 1: 07.09–13.09.2026; Tuần 2: 14.09–20.09.2026; Tuần 3: 21.09–27.09.2026; Tuần 4: 28.09–04.10.2026; Tuần 5: 05.10–11.10.2026; Tuần 6: 12.10–18.10.2026; Tuần 7: 19.10–25.10.2026; Tuần 8: 26.10–01.11.2026.</v>
      </c>
      <c r="N19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3" s="17" t="str">
        <f t="shared" si="30"/>
        <v>Còn trống</v>
      </c>
    </row>
    <row r="1954" spans="1:16" x14ac:dyDescent="0.3">
      <c r="A1954">
        <v>1953</v>
      </c>
      <c r="B1954" t="s">
        <v>4375</v>
      </c>
      <c r="C1954" t="s">
        <v>4508</v>
      </c>
      <c r="D1954" t="s">
        <v>4509</v>
      </c>
      <c r="E1954" t="s">
        <v>26</v>
      </c>
      <c r="F1954" t="s">
        <v>4388</v>
      </c>
      <c r="G1954" t="s">
        <v>4422</v>
      </c>
      <c r="H1954" t="str">
        <f>'Huong dan giao do an'!$B$14</f>
        <v>5 SV (vai trò chính): 1 PM/Scrum Master kiêm Integration; 2 BA/PO; 3 UI-UX + Frontend; 4 Backend/API + DevOps; 5 Database + QA/Tester. Mỗi SV có nhiệm vụ phụ và minh chứng cá nhân.</v>
      </c>
      <c r="I1954" t="s">
        <v>22</v>
      </c>
      <c r="J1954" t="s">
        <v>4380</v>
      </c>
      <c r="K1954" t="str">
        <f>IF(I1954="Trung bình",'Huong dan giao do an'!$B$8,IF(I1954="Khá",'Huong dan giao do an'!$B$9,'Huong dan giao do an'!$B$10))</f>
        <v>Tối thiểu 4 actor; 10-14 use case; 8-12 bảng; 3 quy trình lõi; phân quyền chi tiết; 2 báo cáo; tích hợp 1 dịch vụ; &gt;=35 test case; CI/CD hoặc deploy cloud.</v>
      </c>
      <c r="L1954" t="str">
        <f>'Huong dan giao do an'!$B$31</f>
        <v>Bắt buộc: Charter/PMP; SRS + scope/WBS; Gantt/baseline; effort-cost budget; RACI/timesheet; quality-test-defect; communication/minutes; risk register; procurement; change log; closure/lessons learned.</v>
      </c>
      <c r="M1954" t="str">
        <f>'Huong dan giao do an'!$B$33</f>
        <v>Tuần 1: 07.09–13.09.2026; Tuần 2: 14.09–20.09.2026; Tuần 3: 21.09–27.09.2026; Tuần 4: 28.09–04.10.2026; Tuần 5: 05.10–11.10.2026; Tuần 6: 12.10–18.10.2026; Tuần 7: 19.10–25.10.2026; Tuần 8: 26.10–01.11.2026.</v>
      </c>
      <c r="N19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4" s="17" t="str">
        <f t="shared" si="30"/>
        <v>Còn trống</v>
      </c>
    </row>
    <row r="1955" spans="1:16" x14ac:dyDescent="0.3">
      <c r="A1955">
        <v>1954</v>
      </c>
      <c r="B1955" t="s">
        <v>4375</v>
      </c>
      <c r="C1955" t="s">
        <v>4510</v>
      </c>
      <c r="D1955" t="s">
        <v>4511</v>
      </c>
      <c r="E1955" t="s">
        <v>33</v>
      </c>
      <c r="F1955" t="s">
        <v>4393</v>
      </c>
      <c r="G1955" t="s">
        <v>4425</v>
      </c>
      <c r="H1955" t="str">
        <f>'Huong dan giao do an'!$B$14</f>
        <v>5 SV (vai trò chính): 1 PM/Scrum Master kiêm Integration; 2 BA/PO; 3 UI-UX + Frontend; 4 Backend/API + DevOps; 5 Database + QA/Tester. Mỗi SV có nhiệm vụ phụ và minh chứng cá nhân.</v>
      </c>
      <c r="I1955" t="s">
        <v>29</v>
      </c>
      <c r="J1955" t="s">
        <v>4385</v>
      </c>
      <c r="K1955" t="str">
        <f>IF(I1955="Trung bình",'Huong dan giao do an'!$B$8,IF(I1955="Khá",'Huong dan giao do an'!$B$9,'Huong dan giao do an'!$B$10))</f>
        <v>Tối thiểu 5 actor; 14-18 use case; 10-15 bảng; 4 quy trình; tích hợp ngoài/realtime hoặc xử lý nâng cao; 3 báo cáo; &gt;=45 test case; logging, backup và deploy.</v>
      </c>
      <c r="L1955" t="str">
        <f>'Huong dan giao do an'!$B$31</f>
        <v>Bắt buộc: Charter/PMP; SRS + scope/WBS; Gantt/baseline; effort-cost budget; RACI/timesheet; quality-test-defect; communication/minutes; risk register; procurement; change log; closure/lessons learned.</v>
      </c>
      <c r="M1955" t="str">
        <f>'Huong dan giao do an'!$B$33</f>
        <v>Tuần 1: 07.09–13.09.2026; Tuần 2: 14.09–20.09.2026; Tuần 3: 21.09–27.09.2026; Tuần 4: 28.09–04.10.2026; Tuần 5: 05.10–11.10.2026; Tuần 6: 12.10–18.10.2026; Tuần 7: 19.10–25.10.2026; Tuần 8: 26.10–01.11.2026.</v>
      </c>
      <c r="N19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5" s="17" t="str">
        <f t="shared" si="30"/>
        <v>Còn trống</v>
      </c>
    </row>
    <row r="1956" spans="1:16" x14ac:dyDescent="0.3">
      <c r="A1956">
        <v>1955</v>
      </c>
      <c r="B1956" t="s">
        <v>4375</v>
      </c>
      <c r="C1956" t="s">
        <v>4512</v>
      </c>
      <c r="D1956" t="s">
        <v>4513</v>
      </c>
      <c r="E1956" t="s">
        <v>40</v>
      </c>
      <c r="F1956" t="s">
        <v>4397</v>
      </c>
      <c r="G1956" t="s">
        <v>4428</v>
      </c>
      <c r="H1956" t="str">
        <f>'Huong dan giao do an'!$B$14</f>
        <v>5 SV (vai trò chính): 1 PM/Scrum Master kiêm Integration; 2 BA/PO; 3 UI-UX + Frontend; 4 Backend/API + DevOps; 5 Database + QA/Tester. Mỗi SV có nhiệm vụ phụ và minh chứng cá nhân.</v>
      </c>
      <c r="I1956" t="s">
        <v>36</v>
      </c>
      <c r="J1956" t="s">
        <v>4390</v>
      </c>
      <c r="K1956" t="str">
        <f>IF(I1956="Trung bình",'Huong dan giao do an'!$B$8,IF(I1956="Khá",'Huong dan giao do an'!$B$9,'Huong dan giao do an'!$B$10))</f>
        <v>Tối thiểu 3 actor; 8-10 use case; 6-8 bảng dữ liệu; 2 quy trình lõi; đăng nhập/RBAC; 1 dashboard; 1 báo cáo; &gt;=25 test case; triển khai bản demo.</v>
      </c>
      <c r="L1956" t="str">
        <f>'Huong dan giao do an'!$B$31</f>
        <v>Bắt buộc: Charter/PMP; SRS + scope/WBS; Gantt/baseline; effort-cost budget; RACI/timesheet; quality-test-defect; communication/minutes; risk register; procurement; change log; closure/lessons learned.</v>
      </c>
      <c r="M1956" t="str">
        <f>'Huong dan giao do an'!$B$33</f>
        <v>Tuần 1: 07.09–13.09.2026; Tuần 2: 14.09–20.09.2026; Tuần 3: 21.09–27.09.2026; Tuần 4: 28.09–04.10.2026; Tuần 5: 05.10–11.10.2026; Tuần 6: 12.10–18.10.2026; Tuần 7: 19.10–25.10.2026; Tuần 8: 26.10–01.11.2026.</v>
      </c>
      <c r="N19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6" s="17" t="str">
        <f t="shared" si="30"/>
        <v>Còn trống</v>
      </c>
    </row>
    <row r="1957" spans="1:16" x14ac:dyDescent="0.3">
      <c r="A1957">
        <v>1956</v>
      </c>
      <c r="B1957" t="s">
        <v>4375</v>
      </c>
      <c r="C1957" t="s">
        <v>4514</v>
      </c>
      <c r="D1957" t="s">
        <v>4515</v>
      </c>
      <c r="E1957" t="s">
        <v>45</v>
      </c>
      <c r="F1957" t="s">
        <v>4378</v>
      </c>
      <c r="G1957" t="s">
        <v>4431</v>
      </c>
      <c r="H1957" t="str">
        <f>'Huong dan giao do an'!$B$14</f>
        <v>5 SV (vai trò chính): 1 PM/Scrum Master kiêm Integration; 2 BA/PO; 3 UI-UX + Frontend; 4 Backend/API + DevOps; 5 Database + QA/Tester. Mỗi SV có nhiệm vụ phụ và minh chứng cá nhân.</v>
      </c>
      <c r="I1957" t="s">
        <v>22</v>
      </c>
      <c r="J1957" t="s">
        <v>4380</v>
      </c>
      <c r="K1957" t="str">
        <f>IF(I1957="Trung bình",'Huong dan giao do an'!$B$8,IF(I1957="Khá",'Huong dan giao do an'!$B$9,'Huong dan giao do an'!$B$10))</f>
        <v>Tối thiểu 4 actor; 10-14 use case; 8-12 bảng; 3 quy trình lõi; phân quyền chi tiết; 2 báo cáo; tích hợp 1 dịch vụ; &gt;=35 test case; CI/CD hoặc deploy cloud.</v>
      </c>
      <c r="L1957" t="str">
        <f>'Huong dan giao do an'!$B$31</f>
        <v>Bắt buộc: Charter/PMP; SRS + scope/WBS; Gantt/baseline; effort-cost budget; RACI/timesheet; quality-test-defect; communication/minutes; risk register; procurement; change log; closure/lessons learned.</v>
      </c>
      <c r="M1957" t="str">
        <f>'Huong dan giao do an'!$B$33</f>
        <v>Tuần 1: 07.09–13.09.2026; Tuần 2: 14.09–20.09.2026; Tuần 3: 21.09–27.09.2026; Tuần 4: 28.09–04.10.2026; Tuần 5: 05.10–11.10.2026; Tuần 6: 12.10–18.10.2026; Tuần 7: 19.10–25.10.2026; Tuần 8: 26.10–01.11.2026.</v>
      </c>
      <c r="N19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7" s="17" t="str">
        <f t="shared" si="30"/>
        <v>Còn trống</v>
      </c>
    </row>
    <row r="1958" spans="1:16" x14ac:dyDescent="0.3">
      <c r="A1958">
        <v>1957</v>
      </c>
      <c r="B1958" t="s">
        <v>4375</v>
      </c>
      <c r="C1958" t="s">
        <v>4516</v>
      </c>
      <c r="D1958" t="s">
        <v>4517</v>
      </c>
      <c r="E1958" t="s">
        <v>19</v>
      </c>
      <c r="F1958" t="s">
        <v>4383</v>
      </c>
      <c r="G1958" t="s">
        <v>4434</v>
      </c>
      <c r="H1958" t="str">
        <f>'Huong dan giao do an'!$B$14</f>
        <v>5 SV (vai trò chính): 1 PM/Scrum Master kiêm Integration; 2 BA/PO; 3 UI-UX + Frontend; 4 Backend/API + DevOps; 5 Database + QA/Tester. Mỗi SV có nhiệm vụ phụ và minh chứng cá nhân.</v>
      </c>
      <c r="I1958" t="s">
        <v>29</v>
      </c>
      <c r="J1958" t="s">
        <v>4385</v>
      </c>
      <c r="K1958" t="str">
        <f>IF(I1958="Trung bình",'Huong dan giao do an'!$B$8,IF(I1958="Khá",'Huong dan giao do an'!$B$9,'Huong dan giao do an'!$B$10))</f>
        <v>Tối thiểu 5 actor; 14-18 use case; 10-15 bảng; 4 quy trình; tích hợp ngoài/realtime hoặc xử lý nâng cao; 3 báo cáo; &gt;=45 test case; logging, backup và deploy.</v>
      </c>
      <c r="L1958" t="str">
        <f>'Huong dan giao do an'!$B$31</f>
        <v>Bắt buộc: Charter/PMP; SRS + scope/WBS; Gantt/baseline; effort-cost budget; RACI/timesheet; quality-test-defect; communication/minutes; risk register; procurement; change log; closure/lessons learned.</v>
      </c>
      <c r="M1958" t="str">
        <f>'Huong dan giao do an'!$B$33</f>
        <v>Tuần 1: 07.09–13.09.2026; Tuần 2: 14.09–20.09.2026; Tuần 3: 21.09–27.09.2026; Tuần 4: 28.09–04.10.2026; Tuần 5: 05.10–11.10.2026; Tuần 6: 12.10–18.10.2026; Tuần 7: 19.10–25.10.2026; Tuần 8: 26.10–01.11.2026.</v>
      </c>
      <c r="N19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8" s="17" t="str">
        <f t="shared" si="30"/>
        <v>Còn trống</v>
      </c>
    </row>
    <row r="1959" spans="1:16" x14ac:dyDescent="0.3">
      <c r="A1959">
        <v>1958</v>
      </c>
      <c r="B1959" t="s">
        <v>4375</v>
      </c>
      <c r="C1959" t="s">
        <v>4518</v>
      </c>
      <c r="D1959" t="s">
        <v>4519</v>
      </c>
      <c r="E1959" t="s">
        <v>26</v>
      </c>
      <c r="F1959" t="s">
        <v>4388</v>
      </c>
      <c r="G1959" t="s">
        <v>4437</v>
      </c>
      <c r="H1959" t="str">
        <f>'Huong dan giao do an'!$B$14</f>
        <v>5 SV (vai trò chính): 1 PM/Scrum Master kiêm Integration; 2 BA/PO; 3 UI-UX + Frontend; 4 Backend/API + DevOps; 5 Database + QA/Tester. Mỗi SV có nhiệm vụ phụ và minh chứng cá nhân.</v>
      </c>
      <c r="I1959" t="s">
        <v>36</v>
      </c>
      <c r="J1959" t="s">
        <v>4390</v>
      </c>
      <c r="K1959" t="str">
        <f>IF(I1959="Trung bình",'Huong dan giao do an'!$B$8,IF(I1959="Khá",'Huong dan giao do an'!$B$9,'Huong dan giao do an'!$B$10))</f>
        <v>Tối thiểu 3 actor; 8-10 use case; 6-8 bảng dữ liệu; 2 quy trình lõi; đăng nhập/RBAC; 1 dashboard; 1 báo cáo; &gt;=25 test case; triển khai bản demo.</v>
      </c>
      <c r="L1959" t="str">
        <f>'Huong dan giao do an'!$B$31</f>
        <v>Bắt buộc: Charter/PMP; SRS + scope/WBS; Gantt/baseline; effort-cost budget; RACI/timesheet; quality-test-defect; communication/minutes; risk register; procurement; change log; closure/lessons learned.</v>
      </c>
      <c r="M1959" t="str">
        <f>'Huong dan giao do an'!$B$33</f>
        <v>Tuần 1: 07.09–13.09.2026; Tuần 2: 14.09–20.09.2026; Tuần 3: 21.09–27.09.2026; Tuần 4: 28.09–04.10.2026; Tuần 5: 05.10–11.10.2026; Tuần 6: 12.10–18.10.2026; Tuần 7: 19.10–25.10.2026; Tuần 8: 26.10–01.11.2026.</v>
      </c>
      <c r="N19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59" s="17" t="str">
        <f t="shared" si="30"/>
        <v>Còn trống</v>
      </c>
    </row>
    <row r="1960" spans="1:16" x14ac:dyDescent="0.3">
      <c r="A1960">
        <v>1959</v>
      </c>
      <c r="B1960" t="s">
        <v>4375</v>
      </c>
      <c r="C1960" t="s">
        <v>4520</v>
      </c>
      <c r="D1960" t="s">
        <v>4521</v>
      </c>
      <c r="E1960" t="s">
        <v>33</v>
      </c>
      <c r="F1960" t="s">
        <v>4393</v>
      </c>
      <c r="G1960" t="s">
        <v>4440</v>
      </c>
      <c r="H1960" t="str">
        <f>'Huong dan giao do an'!$B$14</f>
        <v>5 SV (vai trò chính): 1 PM/Scrum Master kiêm Integration; 2 BA/PO; 3 UI-UX + Frontend; 4 Backend/API + DevOps; 5 Database + QA/Tester. Mỗi SV có nhiệm vụ phụ và minh chứng cá nhân.</v>
      </c>
      <c r="I1960" t="s">
        <v>22</v>
      </c>
      <c r="J1960" t="s">
        <v>4380</v>
      </c>
      <c r="K1960" t="str">
        <f>IF(I1960="Trung bình",'Huong dan giao do an'!$B$8,IF(I1960="Khá",'Huong dan giao do an'!$B$9,'Huong dan giao do an'!$B$10))</f>
        <v>Tối thiểu 4 actor; 10-14 use case; 8-12 bảng; 3 quy trình lõi; phân quyền chi tiết; 2 báo cáo; tích hợp 1 dịch vụ; &gt;=35 test case; CI/CD hoặc deploy cloud.</v>
      </c>
      <c r="L1960" t="str">
        <f>'Huong dan giao do an'!$B$31</f>
        <v>Bắt buộc: Charter/PMP; SRS + scope/WBS; Gantt/baseline; effort-cost budget; RACI/timesheet; quality-test-defect; communication/minutes; risk register; procurement; change log; closure/lessons learned.</v>
      </c>
      <c r="M1960" t="str">
        <f>'Huong dan giao do an'!$B$33</f>
        <v>Tuần 1: 07.09–13.09.2026; Tuần 2: 14.09–20.09.2026; Tuần 3: 21.09–27.09.2026; Tuần 4: 28.09–04.10.2026; Tuần 5: 05.10–11.10.2026; Tuần 6: 12.10–18.10.2026; Tuần 7: 19.10–25.10.2026; Tuần 8: 26.10–01.11.2026.</v>
      </c>
      <c r="N19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0" s="17" t="str">
        <f t="shared" si="30"/>
        <v>Còn trống</v>
      </c>
    </row>
    <row r="1961" spans="1:16" x14ac:dyDescent="0.3">
      <c r="A1961">
        <v>1960</v>
      </c>
      <c r="B1961" t="s">
        <v>4375</v>
      </c>
      <c r="C1961" t="s">
        <v>4522</v>
      </c>
      <c r="D1961" t="s">
        <v>4523</v>
      </c>
      <c r="E1961" t="s">
        <v>40</v>
      </c>
      <c r="F1961" t="s">
        <v>4397</v>
      </c>
      <c r="G1961" t="s">
        <v>4443</v>
      </c>
      <c r="H1961" t="str">
        <f>'Huong dan giao do an'!$B$14</f>
        <v>5 SV (vai trò chính): 1 PM/Scrum Master kiêm Integration; 2 BA/PO; 3 UI-UX + Frontend; 4 Backend/API + DevOps; 5 Database + QA/Tester. Mỗi SV có nhiệm vụ phụ và minh chứng cá nhân.</v>
      </c>
      <c r="I1961" t="s">
        <v>29</v>
      </c>
      <c r="J1961" t="s">
        <v>4385</v>
      </c>
      <c r="K1961" t="str">
        <f>IF(I1961="Trung bình",'Huong dan giao do an'!$B$8,IF(I1961="Khá",'Huong dan giao do an'!$B$9,'Huong dan giao do an'!$B$10))</f>
        <v>Tối thiểu 5 actor; 14-18 use case; 10-15 bảng; 4 quy trình; tích hợp ngoài/realtime hoặc xử lý nâng cao; 3 báo cáo; &gt;=45 test case; logging, backup và deploy.</v>
      </c>
      <c r="L1961" t="str">
        <f>'Huong dan giao do an'!$B$31</f>
        <v>Bắt buộc: Charter/PMP; SRS + scope/WBS; Gantt/baseline; effort-cost budget; RACI/timesheet; quality-test-defect; communication/minutes; risk register; procurement; change log; closure/lessons learned.</v>
      </c>
      <c r="M1961" t="str">
        <f>'Huong dan giao do an'!$B$33</f>
        <v>Tuần 1: 07.09–13.09.2026; Tuần 2: 14.09–20.09.2026; Tuần 3: 21.09–27.09.2026; Tuần 4: 28.09–04.10.2026; Tuần 5: 05.10–11.10.2026; Tuần 6: 12.10–18.10.2026; Tuần 7: 19.10–25.10.2026; Tuần 8: 26.10–01.11.2026.</v>
      </c>
      <c r="N19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1" s="17" t="str">
        <f t="shared" si="30"/>
        <v>Còn trống</v>
      </c>
    </row>
    <row r="1962" spans="1:16" x14ac:dyDescent="0.3">
      <c r="A1962">
        <v>1961</v>
      </c>
      <c r="B1962" t="s">
        <v>4375</v>
      </c>
      <c r="C1962" t="s">
        <v>4524</v>
      </c>
      <c r="D1962" t="s">
        <v>4525</v>
      </c>
      <c r="E1962" t="s">
        <v>45</v>
      </c>
      <c r="F1962" t="s">
        <v>4378</v>
      </c>
      <c r="G1962" t="s">
        <v>4379</v>
      </c>
      <c r="H1962" t="str">
        <f>'Huong dan giao do an'!$B$14</f>
        <v>5 SV (vai trò chính): 1 PM/Scrum Master kiêm Integration; 2 BA/PO; 3 UI-UX + Frontend; 4 Backend/API + DevOps; 5 Database + QA/Tester. Mỗi SV có nhiệm vụ phụ và minh chứng cá nhân.</v>
      </c>
      <c r="I1962" t="s">
        <v>22</v>
      </c>
      <c r="J1962" t="s">
        <v>4380</v>
      </c>
      <c r="K1962" t="str">
        <f>IF(I1962="Trung bình",'Huong dan giao do an'!$B$8,IF(I1962="Khá",'Huong dan giao do an'!$B$9,'Huong dan giao do an'!$B$10))</f>
        <v>Tối thiểu 4 actor; 10-14 use case; 8-12 bảng; 3 quy trình lõi; phân quyền chi tiết; 2 báo cáo; tích hợp 1 dịch vụ; &gt;=35 test case; CI/CD hoặc deploy cloud.</v>
      </c>
      <c r="L1962" t="str">
        <f>'Huong dan giao do an'!$B$31</f>
        <v>Bắt buộc: Charter/PMP; SRS + scope/WBS; Gantt/baseline; effort-cost budget; RACI/timesheet; quality-test-defect; communication/minutes; risk register; procurement; change log; closure/lessons learned.</v>
      </c>
      <c r="M1962" t="str">
        <f>'Huong dan giao do an'!$B$33</f>
        <v>Tuần 1: 07.09–13.09.2026; Tuần 2: 14.09–20.09.2026; Tuần 3: 21.09–27.09.2026; Tuần 4: 28.09–04.10.2026; Tuần 5: 05.10–11.10.2026; Tuần 6: 12.10–18.10.2026; Tuần 7: 19.10–25.10.2026; Tuần 8: 26.10–01.11.2026.</v>
      </c>
      <c r="N19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2" s="17" t="str">
        <f t="shared" si="30"/>
        <v>Còn trống</v>
      </c>
    </row>
    <row r="1963" spans="1:16" x14ac:dyDescent="0.3">
      <c r="A1963">
        <v>1962</v>
      </c>
      <c r="B1963" t="s">
        <v>4375</v>
      </c>
      <c r="C1963" t="s">
        <v>4526</v>
      </c>
      <c r="D1963" t="s">
        <v>4527</v>
      </c>
      <c r="E1963" t="s">
        <v>19</v>
      </c>
      <c r="F1963" t="s">
        <v>4383</v>
      </c>
      <c r="G1963" t="s">
        <v>4384</v>
      </c>
      <c r="H1963" t="str">
        <f>'Huong dan giao do an'!$B$14</f>
        <v>5 SV (vai trò chính): 1 PM/Scrum Master kiêm Integration; 2 BA/PO; 3 UI-UX + Frontend; 4 Backend/API + DevOps; 5 Database + QA/Tester. Mỗi SV có nhiệm vụ phụ và minh chứng cá nhân.</v>
      </c>
      <c r="I1963" t="s">
        <v>29</v>
      </c>
      <c r="J1963" t="s">
        <v>4385</v>
      </c>
      <c r="K1963" t="str">
        <f>IF(I1963="Trung bình",'Huong dan giao do an'!$B$8,IF(I1963="Khá",'Huong dan giao do an'!$B$9,'Huong dan giao do an'!$B$10))</f>
        <v>Tối thiểu 5 actor; 14-18 use case; 10-15 bảng; 4 quy trình; tích hợp ngoài/realtime hoặc xử lý nâng cao; 3 báo cáo; &gt;=45 test case; logging, backup và deploy.</v>
      </c>
      <c r="L1963" t="str">
        <f>'Huong dan giao do an'!$B$31</f>
        <v>Bắt buộc: Charter/PMP; SRS + scope/WBS; Gantt/baseline; effort-cost budget; RACI/timesheet; quality-test-defect; communication/minutes; risk register; procurement; change log; closure/lessons learned.</v>
      </c>
      <c r="M1963" t="str">
        <f>'Huong dan giao do an'!$B$33</f>
        <v>Tuần 1: 07.09–13.09.2026; Tuần 2: 14.09–20.09.2026; Tuần 3: 21.09–27.09.2026; Tuần 4: 28.09–04.10.2026; Tuần 5: 05.10–11.10.2026; Tuần 6: 12.10–18.10.2026; Tuần 7: 19.10–25.10.2026; Tuần 8: 26.10–01.11.2026.</v>
      </c>
      <c r="N19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3" s="17" t="str">
        <f t="shared" si="30"/>
        <v>Còn trống</v>
      </c>
    </row>
    <row r="1964" spans="1:16" x14ac:dyDescent="0.3">
      <c r="A1964">
        <v>1963</v>
      </c>
      <c r="B1964" t="s">
        <v>4375</v>
      </c>
      <c r="C1964" t="s">
        <v>4528</v>
      </c>
      <c r="D1964" t="s">
        <v>4529</v>
      </c>
      <c r="E1964" t="s">
        <v>26</v>
      </c>
      <c r="F1964" t="s">
        <v>4388</v>
      </c>
      <c r="G1964" t="s">
        <v>4389</v>
      </c>
      <c r="H1964" t="str">
        <f>'Huong dan giao do an'!$B$14</f>
        <v>5 SV (vai trò chính): 1 PM/Scrum Master kiêm Integration; 2 BA/PO; 3 UI-UX + Frontend; 4 Backend/API + DevOps; 5 Database + QA/Tester. Mỗi SV có nhiệm vụ phụ và minh chứng cá nhân.</v>
      </c>
      <c r="I1964" t="s">
        <v>36</v>
      </c>
      <c r="J1964" t="s">
        <v>4390</v>
      </c>
      <c r="K1964" t="str">
        <f>IF(I1964="Trung bình",'Huong dan giao do an'!$B$8,IF(I1964="Khá",'Huong dan giao do an'!$B$9,'Huong dan giao do an'!$B$10))</f>
        <v>Tối thiểu 3 actor; 8-10 use case; 6-8 bảng dữ liệu; 2 quy trình lõi; đăng nhập/RBAC; 1 dashboard; 1 báo cáo; &gt;=25 test case; triển khai bản demo.</v>
      </c>
      <c r="L1964" t="str">
        <f>'Huong dan giao do an'!$B$31</f>
        <v>Bắt buộc: Charter/PMP; SRS + scope/WBS; Gantt/baseline; effort-cost budget; RACI/timesheet; quality-test-defect; communication/minutes; risk register; procurement; change log; closure/lessons learned.</v>
      </c>
      <c r="M1964" t="str">
        <f>'Huong dan giao do an'!$B$33</f>
        <v>Tuần 1: 07.09–13.09.2026; Tuần 2: 14.09–20.09.2026; Tuần 3: 21.09–27.09.2026; Tuần 4: 28.09–04.10.2026; Tuần 5: 05.10–11.10.2026; Tuần 6: 12.10–18.10.2026; Tuần 7: 19.10–25.10.2026; Tuần 8: 26.10–01.11.2026.</v>
      </c>
      <c r="N19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4" s="17" t="str">
        <f t="shared" si="30"/>
        <v>Còn trống</v>
      </c>
    </row>
    <row r="1965" spans="1:16" x14ac:dyDescent="0.3">
      <c r="A1965">
        <v>1964</v>
      </c>
      <c r="B1965" t="s">
        <v>4375</v>
      </c>
      <c r="C1965" t="s">
        <v>4530</v>
      </c>
      <c r="D1965" t="s">
        <v>4531</v>
      </c>
      <c r="E1965" t="s">
        <v>33</v>
      </c>
      <c r="F1965" t="s">
        <v>4393</v>
      </c>
      <c r="G1965" t="s">
        <v>4394</v>
      </c>
      <c r="H1965" t="str">
        <f>'Huong dan giao do an'!$B$14</f>
        <v>5 SV (vai trò chính): 1 PM/Scrum Master kiêm Integration; 2 BA/PO; 3 UI-UX + Frontend; 4 Backend/API + DevOps; 5 Database + QA/Tester. Mỗi SV có nhiệm vụ phụ và minh chứng cá nhân.</v>
      </c>
      <c r="I1965" t="s">
        <v>22</v>
      </c>
      <c r="J1965" t="s">
        <v>4380</v>
      </c>
      <c r="K1965" t="str">
        <f>IF(I1965="Trung bình",'Huong dan giao do an'!$B$8,IF(I1965="Khá",'Huong dan giao do an'!$B$9,'Huong dan giao do an'!$B$10))</f>
        <v>Tối thiểu 4 actor; 10-14 use case; 8-12 bảng; 3 quy trình lõi; phân quyền chi tiết; 2 báo cáo; tích hợp 1 dịch vụ; &gt;=35 test case; CI/CD hoặc deploy cloud.</v>
      </c>
      <c r="L1965" t="str">
        <f>'Huong dan giao do an'!$B$31</f>
        <v>Bắt buộc: Charter/PMP; SRS + scope/WBS; Gantt/baseline; effort-cost budget; RACI/timesheet; quality-test-defect; communication/minutes; risk register; procurement; change log; closure/lessons learned.</v>
      </c>
      <c r="M1965" t="str">
        <f>'Huong dan giao do an'!$B$33</f>
        <v>Tuần 1: 07.09–13.09.2026; Tuần 2: 14.09–20.09.2026; Tuần 3: 21.09–27.09.2026; Tuần 4: 28.09–04.10.2026; Tuần 5: 05.10–11.10.2026; Tuần 6: 12.10–18.10.2026; Tuần 7: 19.10–25.10.2026; Tuần 8: 26.10–01.11.2026.</v>
      </c>
      <c r="N19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5" s="17" t="str">
        <f t="shared" si="30"/>
        <v>Còn trống</v>
      </c>
    </row>
    <row r="1966" spans="1:16" x14ac:dyDescent="0.3">
      <c r="A1966">
        <v>1965</v>
      </c>
      <c r="B1966" t="s">
        <v>4375</v>
      </c>
      <c r="C1966" t="s">
        <v>4532</v>
      </c>
      <c r="D1966" t="s">
        <v>4533</v>
      </c>
      <c r="E1966" t="s">
        <v>40</v>
      </c>
      <c r="F1966" t="s">
        <v>4397</v>
      </c>
      <c r="G1966" t="s">
        <v>4398</v>
      </c>
      <c r="H1966" t="str">
        <f>'Huong dan giao do an'!$B$14</f>
        <v>5 SV (vai trò chính): 1 PM/Scrum Master kiêm Integration; 2 BA/PO; 3 UI-UX + Frontend; 4 Backend/API + DevOps; 5 Database + QA/Tester. Mỗi SV có nhiệm vụ phụ và minh chứng cá nhân.</v>
      </c>
      <c r="I1966" t="s">
        <v>29</v>
      </c>
      <c r="J1966" t="s">
        <v>4385</v>
      </c>
      <c r="K1966" t="str">
        <f>IF(I1966="Trung bình",'Huong dan giao do an'!$B$8,IF(I1966="Khá",'Huong dan giao do an'!$B$9,'Huong dan giao do an'!$B$10))</f>
        <v>Tối thiểu 5 actor; 14-18 use case; 10-15 bảng; 4 quy trình; tích hợp ngoài/realtime hoặc xử lý nâng cao; 3 báo cáo; &gt;=45 test case; logging, backup và deploy.</v>
      </c>
      <c r="L1966" t="str">
        <f>'Huong dan giao do an'!$B$31</f>
        <v>Bắt buộc: Charter/PMP; SRS + scope/WBS; Gantt/baseline; effort-cost budget; RACI/timesheet; quality-test-defect; communication/minutes; risk register; procurement; change log; closure/lessons learned.</v>
      </c>
      <c r="M1966" t="str">
        <f>'Huong dan giao do an'!$B$33</f>
        <v>Tuần 1: 07.09–13.09.2026; Tuần 2: 14.09–20.09.2026; Tuần 3: 21.09–27.09.2026; Tuần 4: 28.09–04.10.2026; Tuần 5: 05.10–11.10.2026; Tuần 6: 12.10–18.10.2026; Tuần 7: 19.10–25.10.2026; Tuần 8: 26.10–01.11.2026.</v>
      </c>
      <c r="N19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6" s="17" t="str">
        <f t="shared" si="30"/>
        <v>Còn trống</v>
      </c>
    </row>
    <row r="1967" spans="1:16" x14ac:dyDescent="0.3">
      <c r="A1967">
        <v>1966</v>
      </c>
      <c r="B1967" t="s">
        <v>4375</v>
      </c>
      <c r="C1967" t="s">
        <v>4534</v>
      </c>
      <c r="D1967" t="s">
        <v>4535</v>
      </c>
      <c r="E1967" t="s">
        <v>45</v>
      </c>
      <c r="F1967" t="s">
        <v>4378</v>
      </c>
      <c r="G1967" t="s">
        <v>4401</v>
      </c>
      <c r="H1967" t="str">
        <f>'Huong dan giao do an'!$B$14</f>
        <v>5 SV (vai trò chính): 1 PM/Scrum Master kiêm Integration; 2 BA/PO; 3 UI-UX + Frontend; 4 Backend/API + DevOps; 5 Database + QA/Tester. Mỗi SV có nhiệm vụ phụ và minh chứng cá nhân.</v>
      </c>
      <c r="I1967" t="s">
        <v>36</v>
      </c>
      <c r="J1967" t="s">
        <v>4390</v>
      </c>
      <c r="K1967" t="str">
        <f>IF(I1967="Trung bình",'Huong dan giao do an'!$B$8,IF(I1967="Khá",'Huong dan giao do an'!$B$9,'Huong dan giao do an'!$B$10))</f>
        <v>Tối thiểu 3 actor; 8-10 use case; 6-8 bảng dữ liệu; 2 quy trình lõi; đăng nhập/RBAC; 1 dashboard; 1 báo cáo; &gt;=25 test case; triển khai bản demo.</v>
      </c>
      <c r="L1967" t="str">
        <f>'Huong dan giao do an'!$B$31</f>
        <v>Bắt buộc: Charter/PMP; SRS + scope/WBS; Gantt/baseline; effort-cost budget; RACI/timesheet; quality-test-defect; communication/minutes; risk register; procurement; change log; closure/lessons learned.</v>
      </c>
      <c r="M1967" t="str">
        <f>'Huong dan giao do an'!$B$33</f>
        <v>Tuần 1: 07.09–13.09.2026; Tuần 2: 14.09–20.09.2026; Tuần 3: 21.09–27.09.2026; Tuần 4: 28.09–04.10.2026; Tuần 5: 05.10–11.10.2026; Tuần 6: 12.10–18.10.2026; Tuần 7: 19.10–25.10.2026; Tuần 8: 26.10–01.11.2026.</v>
      </c>
      <c r="N19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7" s="17" t="str">
        <f t="shared" si="30"/>
        <v>Còn trống</v>
      </c>
    </row>
    <row r="1968" spans="1:16" x14ac:dyDescent="0.3">
      <c r="A1968">
        <v>1967</v>
      </c>
      <c r="B1968" t="s">
        <v>4375</v>
      </c>
      <c r="C1968" t="s">
        <v>4536</v>
      </c>
      <c r="D1968" t="s">
        <v>4537</v>
      </c>
      <c r="E1968" t="s">
        <v>19</v>
      </c>
      <c r="F1968" t="s">
        <v>4383</v>
      </c>
      <c r="G1968" t="s">
        <v>4404</v>
      </c>
      <c r="H1968" t="str">
        <f>'Huong dan giao do an'!$B$14</f>
        <v>5 SV (vai trò chính): 1 PM/Scrum Master kiêm Integration; 2 BA/PO; 3 UI-UX + Frontend; 4 Backend/API + DevOps; 5 Database + QA/Tester. Mỗi SV có nhiệm vụ phụ và minh chứng cá nhân.</v>
      </c>
      <c r="I1968" t="s">
        <v>22</v>
      </c>
      <c r="J1968" t="s">
        <v>4380</v>
      </c>
      <c r="K1968" t="str">
        <f>IF(I1968="Trung bình",'Huong dan giao do an'!$B$8,IF(I1968="Khá",'Huong dan giao do an'!$B$9,'Huong dan giao do an'!$B$10))</f>
        <v>Tối thiểu 4 actor; 10-14 use case; 8-12 bảng; 3 quy trình lõi; phân quyền chi tiết; 2 báo cáo; tích hợp 1 dịch vụ; &gt;=35 test case; CI/CD hoặc deploy cloud.</v>
      </c>
      <c r="L1968" t="str">
        <f>'Huong dan giao do an'!$B$31</f>
        <v>Bắt buộc: Charter/PMP; SRS + scope/WBS; Gantt/baseline; effort-cost budget; RACI/timesheet; quality-test-defect; communication/minutes; risk register; procurement; change log; closure/lessons learned.</v>
      </c>
      <c r="M1968" t="str">
        <f>'Huong dan giao do an'!$B$33</f>
        <v>Tuần 1: 07.09–13.09.2026; Tuần 2: 14.09–20.09.2026; Tuần 3: 21.09–27.09.2026; Tuần 4: 28.09–04.10.2026; Tuần 5: 05.10–11.10.2026; Tuần 6: 12.10–18.10.2026; Tuần 7: 19.10–25.10.2026; Tuần 8: 26.10–01.11.2026.</v>
      </c>
      <c r="N19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8" s="17" t="str">
        <f t="shared" si="30"/>
        <v>Còn trống</v>
      </c>
    </row>
    <row r="1969" spans="1:16" x14ac:dyDescent="0.3">
      <c r="A1969">
        <v>1968</v>
      </c>
      <c r="B1969" t="s">
        <v>4375</v>
      </c>
      <c r="C1969" t="s">
        <v>4538</v>
      </c>
      <c r="D1969" t="s">
        <v>4539</v>
      </c>
      <c r="E1969" t="s">
        <v>26</v>
      </c>
      <c r="F1969" t="s">
        <v>4388</v>
      </c>
      <c r="G1969" t="s">
        <v>4407</v>
      </c>
      <c r="H1969" t="str">
        <f>'Huong dan giao do an'!$B$14</f>
        <v>5 SV (vai trò chính): 1 PM/Scrum Master kiêm Integration; 2 BA/PO; 3 UI-UX + Frontend; 4 Backend/API + DevOps; 5 Database + QA/Tester. Mỗi SV có nhiệm vụ phụ và minh chứng cá nhân.</v>
      </c>
      <c r="I1969" t="s">
        <v>29</v>
      </c>
      <c r="J1969" t="s">
        <v>4385</v>
      </c>
      <c r="K1969" t="str">
        <f>IF(I1969="Trung bình",'Huong dan giao do an'!$B$8,IF(I1969="Khá",'Huong dan giao do an'!$B$9,'Huong dan giao do an'!$B$10))</f>
        <v>Tối thiểu 5 actor; 14-18 use case; 10-15 bảng; 4 quy trình; tích hợp ngoài/realtime hoặc xử lý nâng cao; 3 báo cáo; &gt;=45 test case; logging, backup và deploy.</v>
      </c>
      <c r="L1969" t="str">
        <f>'Huong dan giao do an'!$B$31</f>
        <v>Bắt buộc: Charter/PMP; SRS + scope/WBS; Gantt/baseline; effort-cost budget; RACI/timesheet; quality-test-defect; communication/minutes; risk register; procurement; change log; closure/lessons learned.</v>
      </c>
      <c r="M1969" t="str">
        <f>'Huong dan giao do an'!$B$33</f>
        <v>Tuần 1: 07.09–13.09.2026; Tuần 2: 14.09–20.09.2026; Tuần 3: 21.09–27.09.2026; Tuần 4: 28.09–04.10.2026; Tuần 5: 05.10–11.10.2026; Tuần 6: 12.10–18.10.2026; Tuần 7: 19.10–25.10.2026; Tuần 8: 26.10–01.11.2026.</v>
      </c>
      <c r="N19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69" s="17" t="str">
        <f t="shared" si="30"/>
        <v>Còn trống</v>
      </c>
    </row>
    <row r="1970" spans="1:16" x14ac:dyDescent="0.3">
      <c r="A1970">
        <v>1969</v>
      </c>
      <c r="B1970" t="s">
        <v>4375</v>
      </c>
      <c r="C1970" t="s">
        <v>4540</v>
      </c>
      <c r="D1970" t="s">
        <v>4541</v>
      </c>
      <c r="E1970" t="s">
        <v>33</v>
      </c>
      <c r="F1970" t="s">
        <v>4393</v>
      </c>
      <c r="G1970" t="s">
        <v>4410</v>
      </c>
      <c r="H1970" t="str">
        <f>'Huong dan giao do an'!$B$14</f>
        <v>5 SV (vai trò chính): 1 PM/Scrum Master kiêm Integration; 2 BA/PO; 3 UI-UX + Frontend; 4 Backend/API + DevOps; 5 Database + QA/Tester. Mỗi SV có nhiệm vụ phụ và minh chứng cá nhân.</v>
      </c>
      <c r="I1970" t="s">
        <v>36</v>
      </c>
      <c r="J1970" t="s">
        <v>4390</v>
      </c>
      <c r="K1970" t="str">
        <f>IF(I1970="Trung bình",'Huong dan giao do an'!$B$8,IF(I1970="Khá",'Huong dan giao do an'!$B$9,'Huong dan giao do an'!$B$10))</f>
        <v>Tối thiểu 3 actor; 8-10 use case; 6-8 bảng dữ liệu; 2 quy trình lõi; đăng nhập/RBAC; 1 dashboard; 1 báo cáo; &gt;=25 test case; triển khai bản demo.</v>
      </c>
      <c r="L1970" t="str">
        <f>'Huong dan giao do an'!$B$31</f>
        <v>Bắt buộc: Charter/PMP; SRS + scope/WBS; Gantt/baseline; effort-cost budget; RACI/timesheet; quality-test-defect; communication/minutes; risk register; procurement; change log; closure/lessons learned.</v>
      </c>
      <c r="M1970" t="str">
        <f>'Huong dan giao do an'!$B$33</f>
        <v>Tuần 1: 07.09–13.09.2026; Tuần 2: 14.09–20.09.2026; Tuần 3: 21.09–27.09.2026; Tuần 4: 28.09–04.10.2026; Tuần 5: 05.10–11.10.2026; Tuần 6: 12.10–18.10.2026; Tuần 7: 19.10–25.10.2026; Tuần 8: 26.10–01.11.2026.</v>
      </c>
      <c r="N19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0" s="17" t="str">
        <f t="shared" si="30"/>
        <v>Còn trống</v>
      </c>
    </row>
    <row r="1971" spans="1:16" x14ac:dyDescent="0.3">
      <c r="A1971">
        <v>1970</v>
      </c>
      <c r="B1971" t="s">
        <v>4375</v>
      </c>
      <c r="C1971" t="s">
        <v>4542</v>
      </c>
      <c r="D1971" t="s">
        <v>4543</v>
      </c>
      <c r="E1971" t="s">
        <v>40</v>
      </c>
      <c r="F1971" t="s">
        <v>4397</v>
      </c>
      <c r="G1971" t="s">
        <v>4413</v>
      </c>
      <c r="H1971" t="str">
        <f>'Huong dan giao do an'!$B$14</f>
        <v>5 SV (vai trò chính): 1 PM/Scrum Master kiêm Integration; 2 BA/PO; 3 UI-UX + Frontend; 4 Backend/API + DevOps; 5 Database + QA/Tester. Mỗi SV có nhiệm vụ phụ và minh chứng cá nhân.</v>
      </c>
      <c r="I1971" t="s">
        <v>22</v>
      </c>
      <c r="J1971" t="s">
        <v>4380</v>
      </c>
      <c r="K1971" t="str">
        <f>IF(I1971="Trung bình",'Huong dan giao do an'!$B$8,IF(I1971="Khá",'Huong dan giao do an'!$B$9,'Huong dan giao do an'!$B$10))</f>
        <v>Tối thiểu 4 actor; 10-14 use case; 8-12 bảng; 3 quy trình lõi; phân quyền chi tiết; 2 báo cáo; tích hợp 1 dịch vụ; &gt;=35 test case; CI/CD hoặc deploy cloud.</v>
      </c>
      <c r="L1971" t="str">
        <f>'Huong dan giao do an'!$B$31</f>
        <v>Bắt buộc: Charter/PMP; SRS + scope/WBS; Gantt/baseline; effort-cost budget; RACI/timesheet; quality-test-defect; communication/minutes; risk register; procurement; change log; closure/lessons learned.</v>
      </c>
      <c r="M1971" t="str">
        <f>'Huong dan giao do an'!$B$33</f>
        <v>Tuần 1: 07.09–13.09.2026; Tuần 2: 14.09–20.09.2026; Tuần 3: 21.09–27.09.2026; Tuần 4: 28.09–04.10.2026; Tuần 5: 05.10–11.10.2026; Tuần 6: 12.10–18.10.2026; Tuần 7: 19.10–25.10.2026; Tuần 8: 26.10–01.11.2026.</v>
      </c>
      <c r="N19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1" s="17" t="str">
        <f t="shared" si="30"/>
        <v>Còn trống</v>
      </c>
    </row>
    <row r="1972" spans="1:16" x14ac:dyDescent="0.3">
      <c r="A1972">
        <v>1971</v>
      </c>
      <c r="B1972" t="s">
        <v>4375</v>
      </c>
      <c r="C1972" t="s">
        <v>4544</v>
      </c>
      <c r="D1972" t="s">
        <v>4545</v>
      </c>
      <c r="E1972" t="s">
        <v>45</v>
      </c>
      <c r="F1972" t="s">
        <v>4378</v>
      </c>
      <c r="G1972" t="s">
        <v>4416</v>
      </c>
      <c r="H1972" t="str">
        <f>'Huong dan giao do an'!$B$14</f>
        <v>5 SV (vai trò chính): 1 PM/Scrum Master kiêm Integration; 2 BA/PO; 3 UI-UX + Frontend; 4 Backend/API + DevOps; 5 Database + QA/Tester. Mỗi SV có nhiệm vụ phụ và minh chứng cá nhân.</v>
      </c>
      <c r="I1972" t="s">
        <v>29</v>
      </c>
      <c r="J1972" t="s">
        <v>4385</v>
      </c>
      <c r="K1972" t="str">
        <f>IF(I1972="Trung bình",'Huong dan giao do an'!$B$8,IF(I1972="Khá",'Huong dan giao do an'!$B$9,'Huong dan giao do an'!$B$10))</f>
        <v>Tối thiểu 5 actor; 14-18 use case; 10-15 bảng; 4 quy trình; tích hợp ngoài/realtime hoặc xử lý nâng cao; 3 báo cáo; &gt;=45 test case; logging, backup và deploy.</v>
      </c>
      <c r="L1972" t="str">
        <f>'Huong dan giao do an'!$B$31</f>
        <v>Bắt buộc: Charter/PMP; SRS + scope/WBS; Gantt/baseline; effort-cost budget; RACI/timesheet; quality-test-defect; communication/minutes; risk register; procurement; change log; closure/lessons learned.</v>
      </c>
      <c r="M1972" t="str">
        <f>'Huong dan giao do an'!$B$33</f>
        <v>Tuần 1: 07.09–13.09.2026; Tuần 2: 14.09–20.09.2026; Tuần 3: 21.09–27.09.2026; Tuần 4: 28.09–04.10.2026; Tuần 5: 05.10–11.10.2026; Tuần 6: 12.10–18.10.2026; Tuần 7: 19.10–25.10.2026; Tuần 8: 26.10–01.11.2026.</v>
      </c>
      <c r="N19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2" s="17" t="str">
        <f t="shared" si="30"/>
        <v>Còn trống</v>
      </c>
    </row>
    <row r="1973" spans="1:16" x14ac:dyDescent="0.3">
      <c r="A1973">
        <v>1972</v>
      </c>
      <c r="B1973" t="s">
        <v>4375</v>
      </c>
      <c r="C1973" t="s">
        <v>4546</v>
      </c>
      <c r="D1973" t="s">
        <v>4547</v>
      </c>
      <c r="E1973" t="s">
        <v>19</v>
      </c>
      <c r="F1973" t="s">
        <v>4383</v>
      </c>
      <c r="G1973" t="s">
        <v>4419</v>
      </c>
      <c r="H1973" t="str">
        <f>'Huong dan giao do an'!$B$14</f>
        <v>5 SV (vai trò chính): 1 PM/Scrum Master kiêm Integration; 2 BA/PO; 3 UI-UX + Frontend; 4 Backend/API + DevOps; 5 Database + QA/Tester. Mỗi SV có nhiệm vụ phụ và minh chứng cá nhân.</v>
      </c>
      <c r="I1973" t="s">
        <v>36</v>
      </c>
      <c r="J1973" t="s">
        <v>4390</v>
      </c>
      <c r="K1973" t="str">
        <f>IF(I1973="Trung bình",'Huong dan giao do an'!$B$8,IF(I1973="Khá",'Huong dan giao do an'!$B$9,'Huong dan giao do an'!$B$10))</f>
        <v>Tối thiểu 3 actor; 8-10 use case; 6-8 bảng dữ liệu; 2 quy trình lõi; đăng nhập/RBAC; 1 dashboard; 1 báo cáo; &gt;=25 test case; triển khai bản demo.</v>
      </c>
      <c r="L1973" t="str">
        <f>'Huong dan giao do an'!$B$31</f>
        <v>Bắt buộc: Charter/PMP; SRS + scope/WBS; Gantt/baseline; effort-cost budget; RACI/timesheet; quality-test-defect; communication/minutes; risk register; procurement; change log; closure/lessons learned.</v>
      </c>
      <c r="M1973" t="str">
        <f>'Huong dan giao do an'!$B$33</f>
        <v>Tuần 1: 07.09–13.09.2026; Tuần 2: 14.09–20.09.2026; Tuần 3: 21.09–27.09.2026; Tuần 4: 28.09–04.10.2026; Tuần 5: 05.10–11.10.2026; Tuần 6: 12.10–18.10.2026; Tuần 7: 19.10–25.10.2026; Tuần 8: 26.10–01.11.2026.</v>
      </c>
      <c r="N19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3" s="17" t="str">
        <f t="shared" si="30"/>
        <v>Còn trống</v>
      </c>
    </row>
    <row r="1974" spans="1:16" x14ac:dyDescent="0.3">
      <c r="A1974">
        <v>1973</v>
      </c>
      <c r="B1974" t="s">
        <v>4375</v>
      </c>
      <c r="C1974" t="s">
        <v>4548</v>
      </c>
      <c r="D1974" t="s">
        <v>4549</v>
      </c>
      <c r="E1974" t="s">
        <v>26</v>
      </c>
      <c r="F1974" t="s">
        <v>4388</v>
      </c>
      <c r="G1974" t="s">
        <v>4422</v>
      </c>
      <c r="H1974" t="str">
        <f>'Huong dan giao do an'!$B$14</f>
        <v>5 SV (vai trò chính): 1 PM/Scrum Master kiêm Integration; 2 BA/PO; 3 UI-UX + Frontend; 4 Backend/API + DevOps; 5 Database + QA/Tester. Mỗi SV có nhiệm vụ phụ và minh chứng cá nhân.</v>
      </c>
      <c r="I1974" t="s">
        <v>22</v>
      </c>
      <c r="J1974" t="s">
        <v>4380</v>
      </c>
      <c r="K1974" t="str">
        <f>IF(I1974="Trung bình",'Huong dan giao do an'!$B$8,IF(I1974="Khá",'Huong dan giao do an'!$B$9,'Huong dan giao do an'!$B$10))</f>
        <v>Tối thiểu 4 actor; 10-14 use case; 8-12 bảng; 3 quy trình lõi; phân quyền chi tiết; 2 báo cáo; tích hợp 1 dịch vụ; &gt;=35 test case; CI/CD hoặc deploy cloud.</v>
      </c>
      <c r="L1974" t="str">
        <f>'Huong dan giao do an'!$B$31</f>
        <v>Bắt buộc: Charter/PMP; SRS + scope/WBS; Gantt/baseline; effort-cost budget; RACI/timesheet; quality-test-defect; communication/minutes; risk register; procurement; change log; closure/lessons learned.</v>
      </c>
      <c r="M1974" t="str">
        <f>'Huong dan giao do an'!$B$33</f>
        <v>Tuần 1: 07.09–13.09.2026; Tuần 2: 14.09–20.09.2026; Tuần 3: 21.09–27.09.2026; Tuần 4: 28.09–04.10.2026; Tuần 5: 05.10–11.10.2026; Tuần 6: 12.10–18.10.2026; Tuần 7: 19.10–25.10.2026; Tuần 8: 26.10–01.11.2026.</v>
      </c>
      <c r="N19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4" s="17" t="str">
        <f t="shared" si="30"/>
        <v>Còn trống</v>
      </c>
    </row>
    <row r="1975" spans="1:16" x14ac:dyDescent="0.3">
      <c r="A1975">
        <v>1974</v>
      </c>
      <c r="B1975" t="s">
        <v>4375</v>
      </c>
      <c r="C1975" t="s">
        <v>4550</v>
      </c>
      <c r="D1975" t="s">
        <v>4551</v>
      </c>
      <c r="E1975" t="s">
        <v>33</v>
      </c>
      <c r="F1975" t="s">
        <v>4393</v>
      </c>
      <c r="G1975" t="s">
        <v>4425</v>
      </c>
      <c r="H1975" t="str">
        <f>'Huong dan giao do an'!$B$14</f>
        <v>5 SV (vai trò chính): 1 PM/Scrum Master kiêm Integration; 2 BA/PO; 3 UI-UX + Frontend; 4 Backend/API + DevOps; 5 Database + QA/Tester. Mỗi SV có nhiệm vụ phụ và minh chứng cá nhân.</v>
      </c>
      <c r="I1975" t="s">
        <v>29</v>
      </c>
      <c r="J1975" t="s">
        <v>4385</v>
      </c>
      <c r="K1975" t="str">
        <f>IF(I1975="Trung bình",'Huong dan giao do an'!$B$8,IF(I1975="Khá",'Huong dan giao do an'!$B$9,'Huong dan giao do an'!$B$10))</f>
        <v>Tối thiểu 5 actor; 14-18 use case; 10-15 bảng; 4 quy trình; tích hợp ngoài/realtime hoặc xử lý nâng cao; 3 báo cáo; &gt;=45 test case; logging, backup và deploy.</v>
      </c>
      <c r="L1975" t="str">
        <f>'Huong dan giao do an'!$B$31</f>
        <v>Bắt buộc: Charter/PMP; SRS + scope/WBS; Gantt/baseline; effort-cost budget; RACI/timesheet; quality-test-defect; communication/minutes; risk register; procurement; change log; closure/lessons learned.</v>
      </c>
      <c r="M1975" t="str">
        <f>'Huong dan giao do an'!$B$33</f>
        <v>Tuần 1: 07.09–13.09.2026; Tuần 2: 14.09–20.09.2026; Tuần 3: 21.09–27.09.2026; Tuần 4: 28.09–04.10.2026; Tuần 5: 05.10–11.10.2026; Tuần 6: 12.10–18.10.2026; Tuần 7: 19.10–25.10.2026; Tuần 8: 26.10–01.11.2026.</v>
      </c>
      <c r="N19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5" s="17" t="str">
        <f t="shared" si="30"/>
        <v>Còn trống</v>
      </c>
    </row>
    <row r="1976" spans="1:16" x14ac:dyDescent="0.3">
      <c r="A1976">
        <v>1975</v>
      </c>
      <c r="B1976" t="s">
        <v>4375</v>
      </c>
      <c r="C1976" t="s">
        <v>4552</v>
      </c>
      <c r="D1976" t="s">
        <v>4553</v>
      </c>
      <c r="E1976" t="s">
        <v>40</v>
      </c>
      <c r="F1976" t="s">
        <v>4397</v>
      </c>
      <c r="G1976" t="s">
        <v>4428</v>
      </c>
      <c r="H1976" t="str">
        <f>'Huong dan giao do an'!$B$14</f>
        <v>5 SV (vai trò chính): 1 PM/Scrum Master kiêm Integration; 2 BA/PO; 3 UI-UX + Frontend; 4 Backend/API + DevOps; 5 Database + QA/Tester. Mỗi SV có nhiệm vụ phụ và minh chứng cá nhân.</v>
      </c>
      <c r="I1976" t="s">
        <v>36</v>
      </c>
      <c r="J1976" t="s">
        <v>4390</v>
      </c>
      <c r="K1976" t="str">
        <f>IF(I1976="Trung bình",'Huong dan giao do an'!$B$8,IF(I1976="Khá",'Huong dan giao do an'!$B$9,'Huong dan giao do an'!$B$10))</f>
        <v>Tối thiểu 3 actor; 8-10 use case; 6-8 bảng dữ liệu; 2 quy trình lõi; đăng nhập/RBAC; 1 dashboard; 1 báo cáo; &gt;=25 test case; triển khai bản demo.</v>
      </c>
      <c r="L1976" t="str">
        <f>'Huong dan giao do an'!$B$31</f>
        <v>Bắt buộc: Charter/PMP; SRS + scope/WBS; Gantt/baseline; effort-cost budget; RACI/timesheet; quality-test-defect; communication/minutes; risk register; procurement; change log; closure/lessons learned.</v>
      </c>
      <c r="M1976" t="str">
        <f>'Huong dan giao do an'!$B$33</f>
        <v>Tuần 1: 07.09–13.09.2026; Tuần 2: 14.09–20.09.2026; Tuần 3: 21.09–27.09.2026; Tuần 4: 28.09–04.10.2026; Tuần 5: 05.10–11.10.2026; Tuần 6: 12.10–18.10.2026; Tuần 7: 19.10–25.10.2026; Tuần 8: 26.10–01.11.2026.</v>
      </c>
      <c r="N19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6" s="17" t="str">
        <f t="shared" si="30"/>
        <v>Còn trống</v>
      </c>
    </row>
    <row r="1977" spans="1:16" x14ac:dyDescent="0.3">
      <c r="A1977">
        <v>1976</v>
      </c>
      <c r="B1977" t="s">
        <v>4375</v>
      </c>
      <c r="C1977" t="s">
        <v>4554</v>
      </c>
      <c r="D1977" t="s">
        <v>4555</v>
      </c>
      <c r="E1977" t="s">
        <v>45</v>
      </c>
      <c r="F1977" t="s">
        <v>4378</v>
      </c>
      <c r="G1977" t="s">
        <v>4431</v>
      </c>
      <c r="H1977" t="str">
        <f>'Huong dan giao do an'!$B$14</f>
        <v>5 SV (vai trò chính): 1 PM/Scrum Master kiêm Integration; 2 BA/PO; 3 UI-UX + Frontend; 4 Backend/API + DevOps; 5 Database + QA/Tester. Mỗi SV có nhiệm vụ phụ và minh chứng cá nhân.</v>
      </c>
      <c r="I1977" t="s">
        <v>22</v>
      </c>
      <c r="J1977" t="s">
        <v>4380</v>
      </c>
      <c r="K1977" t="str">
        <f>IF(I1977="Trung bình",'Huong dan giao do an'!$B$8,IF(I1977="Khá",'Huong dan giao do an'!$B$9,'Huong dan giao do an'!$B$10))</f>
        <v>Tối thiểu 4 actor; 10-14 use case; 8-12 bảng; 3 quy trình lõi; phân quyền chi tiết; 2 báo cáo; tích hợp 1 dịch vụ; &gt;=35 test case; CI/CD hoặc deploy cloud.</v>
      </c>
      <c r="L1977" t="str">
        <f>'Huong dan giao do an'!$B$31</f>
        <v>Bắt buộc: Charter/PMP; SRS + scope/WBS; Gantt/baseline; effort-cost budget; RACI/timesheet; quality-test-defect; communication/minutes; risk register; procurement; change log; closure/lessons learned.</v>
      </c>
      <c r="M1977" t="str">
        <f>'Huong dan giao do an'!$B$33</f>
        <v>Tuần 1: 07.09–13.09.2026; Tuần 2: 14.09–20.09.2026; Tuần 3: 21.09–27.09.2026; Tuần 4: 28.09–04.10.2026; Tuần 5: 05.10–11.10.2026; Tuần 6: 12.10–18.10.2026; Tuần 7: 19.10–25.10.2026; Tuần 8: 26.10–01.11.2026.</v>
      </c>
      <c r="N19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7" s="17" t="str">
        <f t="shared" si="30"/>
        <v>Còn trống</v>
      </c>
    </row>
    <row r="1978" spans="1:16" x14ac:dyDescent="0.3">
      <c r="A1978">
        <v>1977</v>
      </c>
      <c r="B1978" t="s">
        <v>4375</v>
      </c>
      <c r="C1978" t="s">
        <v>4556</v>
      </c>
      <c r="D1978" t="s">
        <v>4557</v>
      </c>
      <c r="E1978" t="s">
        <v>19</v>
      </c>
      <c r="F1978" t="s">
        <v>4383</v>
      </c>
      <c r="G1978" t="s">
        <v>4434</v>
      </c>
      <c r="H1978" t="str">
        <f>'Huong dan giao do an'!$B$14</f>
        <v>5 SV (vai trò chính): 1 PM/Scrum Master kiêm Integration; 2 BA/PO; 3 UI-UX + Frontend; 4 Backend/API + DevOps; 5 Database + QA/Tester. Mỗi SV có nhiệm vụ phụ và minh chứng cá nhân.</v>
      </c>
      <c r="I1978" t="s">
        <v>29</v>
      </c>
      <c r="J1978" t="s">
        <v>4385</v>
      </c>
      <c r="K1978" t="str">
        <f>IF(I1978="Trung bình",'Huong dan giao do an'!$B$8,IF(I1978="Khá",'Huong dan giao do an'!$B$9,'Huong dan giao do an'!$B$10))</f>
        <v>Tối thiểu 5 actor; 14-18 use case; 10-15 bảng; 4 quy trình; tích hợp ngoài/realtime hoặc xử lý nâng cao; 3 báo cáo; &gt;=45 test case; logging, backup và deploy.</v>
      </c>
      <c r="L1978" t="str">
        <f>'Huong dan giao do an'!$B$31</f>
        <v>Bắt buộc: Charter/PMP; SRS + scope/WBS; Gantt/baseline; effort-cost budget; RACI/timesheet; quality-test-defect; communication/minutes; risk register; procurement; change log; closure/lessons learned.</v>
      </c>
      <c r="M1978" t="str">
        <f>'Huong dan giao do an'!$B$33</f>
        <v>Tuần 1: 07.09–13.09.2026; Tuần 2: 14.09–20.09.2026; Tuần 3: 21.09–27.09.2026; Tuần 4: 28.09–04.10.2026; Tuần 5: 05.10–11.10.2026; Tuần 6: 12.10–18.10.2026; Tuần 7: 19.10–25.10.2026; Tuần 8: 26.10–01.11.2026.</v>
      </c>
      <c r="N19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8" s="17" t="str">
        <f t="shared" si="30"/>
        <v>Còn trống</v>
      </c>
    </row>
    <row r="1979" spans="1:16" x14ac:dyDescent="0.3">
      <c r="A1979">
        <v>1978</v>
      </c>
      <c r="B1979" t="s">
        <v>4375</v>
      </c>
      <c r="C1979" t="s">
        <v>4558</v>
      </c>
      <c r="D1979" t="s">
        <v>4559</v>
      </c>
      <c r="E1979" t="s">
        <v>26</v>
      </c>
      <c r="F1979" t="s">
        <v>4388</v>
      </c>
      <c r="G1979" t="s">
        <v>4437</v>
      </c>
      <c r="H1979" t="str">
        <f>'Huong dan giao do an'!$B$14</f>
        <v>5 SV (vai trò chính): 1 PM/Scrum Master kiêm Integration; 2 BA/PO; 3 UI-UX + Frontend; 4 Backend/API + DevOps; 5 Database + QA/Tester. Mỗi SV có nhiệm vụ phụ và minh chứng cá nhân.</v>
      </c>
      <c r="I1979" t="s">
        <v>36</v>
      </c>
      <c r="J1979" t="s">
        <v>4390</v>
      </c>
      <c r="K1979" t="str">
        <f>IF(I1979="Trung bình",'Huong dan giao do an'!$B$8,IF(I1979="Khá",'Huong dan giao do an'!$B$9,'Huong dan giao do an'!$B$10))</f>
        <v>Tối thiểu 3 actor; 8-10 use case; 6-8 bảng dữ liệu; 2 quy trình lõi; đăng nhập/RBAC; 1 dashboard; 1 báo cáo; &gt;=25 test case; triển khai bản demo.</v>
      </c>
      <c r="L1979" t="str">
        <f>'Huong dan giao do an'!$B$31</f>
        <v>Bắt buộc: Charter/PMP; SRS + scope/WBS; Gantt/baseline; effort-cost budget; RACI/timesheet; quality-test-defect; communication/minutes; risk register; procurement; change log; closure/lessons learned.</v>
      </c>
      <c r="M1979" t="str">
        <f>'Huong dan giao do an'!$B$33</f>
        <v>Tuần 1: 07.09–13.09.2026; Tuần 2: 14.09–20.09.2026; Tuần 3: 21.09–27.09.2026; Tuần 4: 28.09–04.10.2026; Tuần 5: 05.10–11.10.2026; Tuần 6: 12.10–18.10.2026; Tuần 7: 19.10–25.10.2026; Tuần 8: 26.10–01.11.2026.</v>
      </c>
      <c r="N19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79" s="17" t="str">
        <f t="shared" si="30"/>
        <v>Còn trống</v>
      </c>
    </row>
    <row r="1980" spans="1:16" x14ac:dyDescent="0.3">
      <c r="A1980">
        <v>1979</v>
      </c>
      <c r="B1980" t="s">
        <v>4375</v>
      </c>
      <c r="C1980" t="s">
        <v>4560</v>
      </c>
      <c r="D1980" t="s">
        <v>4561</v>
      </c>
      <c r="E1980" t="s">
        <v>33</v>
      </c>
      <c r="F1980" t="s">
        <v>4393</v>
      </c>
      <c r="G1980" t="s">
        <v>4440</v>
      </c>
      <c r="H1980" t="str">
        <f>'Huong dan giao do an'!$B$14</f>
        <v>5 SV (vai trò chính): 1 PM/Scrum Master kiêm Integration; 2 BA/PO; 3 UI-UX + Frontend; 4 Backend/API + DevOps; 5 Database + QA/Tester. Mỗi SV có nhiệm vụ phụ và minh chứng cá nhân.</v>
      </c>
      <c r="I1980" t="s">
        <v>22</v>
      </c>
      <c r="J1980" t="s">
        <v>4380</v>
      </c>
      <c r="K1980" t="str">
        <f>IF(I1980="Trung bình",'Huong dan giao do an'!$B$8,IF(I1980="Khá",'Huong dan giao do an'!$B$9,'Huong dan giao do an'!$B$10))</f>
        <v>Tối thiểu 4 actor; 10-14 use case; 8-12 bảng; 3 quy trình lõi; phân quyền chi tiết; 2 báo cáo; tích hợp 1 dịch vụ; &gt;=35 test case; CI/CD hoặc deploy cloud.</v>
      </c>
      <c r="L1980" t="str">
        <f>'Huong dan giao do an'!$B$31</f>
        <v>Bắt buộc: Charter/PMP; SRS + scope/WBS; Gantt/baseline; effort-cost budget; RACI/timesheet; quality-test-defect; communication/minutes; risk register; procurement; change log; closure/lessons learned.</v>
      </c>
      <c r="M1980" t="str">
        <f>'Huong dan giao do an'!$B$33</f>
        <v>Tuần 1: 07.09–13.09.2026; Tuần 2: 14.09–20.09.2026; Tuần 3: 21.09–27.09.2026; Tuần 4: 28.09–04.10.2026; Tuần 5: 05.10–11.10.2026; Tuần 6: 12.10–18.10.2026; Tuần 7: 19.10–25.10.2026; Tuần 8: 26.10–01.11.2026.</v>
      </c>
      <c r="N19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0" s="17" t="str">
        <f t="shared" si="30"/>
        <v>Còn trống</v>
      </c>
    </row>
    <row r="1981" spans="1:16" x14ac:dyDescent="0.3">
      <c r="A1981">
        <v>1980</v>
      </c>
      <c r="B1981" t="s">
        <v>4375</v>
      </c>
      <c r="C1981" t="s">
        <v>4562</v>
      </c>
      <c r="D1981" t="s">
        <v>4563</v>
      </c>
      <c r="E1981" t="s">
        <v>40</v>
      </c>
      <c r="F1981" t="s">
        <v>4397</v>
      </c>
      <c r="G1981" t="s">
        <v>4443</v>
      </c>
      <c r="H1981" t="str">
        <f>'Huong dan giao do an'!$B$14</f>
        <v>5 SV (vai trò chính): 1 PM/Scrum Master kiêm Integration; 2 BA/PO; 3 UI-UX + Frontend; 4 Backend/API + DevOps; 5 Database + QA/Tester. Mỗi SV có nhiệm vụ phụ và minh chứng cá nhân.</v>
      </c>
      <c r="I1981" t="s">
        <v>29</v>
      </c>
      <c r="J1981" t="s">
        <v>4385</v>
      </c>
      <c r="K1981" t="str">
        <f>IF(I1981="Trung bình",'Huong dan giao do an'!$B$8,IF(I1981="Khá",'Huong dan giao do an'!$B$9,'Huong dan giao do an'!$B$10))</f>
        <v>Tối thiểu 5 actor; 14-18 use case; 10-15 bảng; 4 quy trình; tích hợp ngoài/realtime hoặc xử lý nâng cao; 3 báo cáo; &gt;=45 test case; logging, backup và deploy.</v>
      </c>
      <c r="L1981" t="str">
        <f>'Huong dan giao do an'!$B$31</f>
        <v>Bắt buộc: Charter/PMP; SRS + scope/WBS; Gantt/baseline; effort-cost budget; RACI/timesheet; quality-test-defect; communication/minutes; risk register; procurement; change log; closure/lessons learned.</v>
      </c>
      <c r="M1981" t="str">
        <f>'Huong dan giao do an'!$B$33</f>
        <v>Tuần 1: 07.09–13.09.2026; Tuần 2: 14.09–20.09.2026; Tuần 3: 21.09–27.09.2026; Tuần 4: 28.09–04.10.2026; Tuần 5: 05.10–11.10.2026; Tuần 6: 12.10–18.10.2026; Tuần 7: 19.10–25.10.2026; Tuần 8: 26.10–01.11.2026.</v>
      </c>
      <c r="N19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1" s="17" t="str">
        <f t="shared" si="30"/>
        <v>Còn trống</v>
      </c>
    </row>
    <row r="1982" spans="1:16" x14ac:dyDescent="0.3">
      <c r="A1982">
        <v>1981</v>
      </c>
      <c r="B1982" t="s">
        <v>4375</v>
      </c>
      <c r="C1982" t="s">
        <v>4564</v>
      </c>
      <c r="D1982" t="s">
        <v>4565</v>
      </c>
      <c r="E1982" t="s">
        <v>45</v>
      </c>
      <c r="F1982" t="s">
        <v>4378</v>
      </c>
      <c r="G1982" t="s">
        <v>4379</v>
      </c>
      <c r="H1982" t="str">
        <f>'Huong dan giao do an'!$B$14</f>
        <v>5 SV (vai trò chính): 1 PM/Scrum Master kiêm Integration; 2 BA/PO; 3 UI-UX + Frontend; 4 Backend/API + DevOps; 5 Database + QA/Tester. Mỗi SV có nhiệm vụ phụ và minh chứng cá nhân.</v>
      </c>
      <c r="I1982" t="s">
        <v>22</v>
      </c>
      <c r="J1982" t="s">
        <v>4380</v>
      </c>
      <c r="K1982" t="str">
        <f>IF(I1982="Trung bình",'Huong dan giao do an'!$B$8,IF(I1982="Khá",'Huong dan giao do an'!$B$9,'Huong dan giao do an'!$B$10))</f>
        <v>Tối thiểu 4 actor; 10-14 use case; 8-12 bảng; 3 quy trình lõi; phân quyền chi tiết; 2 báo cáo; tích hợp 1 dịch vụ; &gt;=35 test case; CI/CD hoặc deploy cloud.</v>
      </c>
      <c r="L1982" t="str">
        <f>'Huong dan giao do an'!$B$31</f>
        <v>Bắt buộc: Charter/PMP; SRS + scope/WBS; Gantt/baseline; effort-cost budget; RACI/timesheet; quality-test-defect; communication/minutes; risk register; procurement; change log; closure/lessons learned.</v>
      </c>
      <c r="M1982" t="str">
        <f>'Huong dan giao do an'!$B$33</f>
        <v>Tuần 1: 07.09–13.09.2026; Tuần 2: 14.09–20.09.2026; Tuần 3: 21.09–27.09.2026; Tuần 4: 28.09–04.10.2026; Tuần 5: 05.10–11.10.2026; Tuần 6: 12.10–18.10.2026; Tuần 7: 19.10–25.10.2026; Tuần 8: 26.10–01.11.2026.</v>
      </c>
      <c r="N19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2" s="17" t="str">
        <f t="shared" si="30"/>
        <v>Còn trống</v>
      </c>
    </row>
    <row r="1983" spans="1:16" x14ac:dyDescent="0.3">
      <c r="A1983">
        <v>1982</v>
      </c>
      <c r="B1983" t="s">
        <v>4375</v>
      </c>
      <c r="C1983" t="s">
        <v>4566</v>
      </c>
      <c r="D1983" t="s">
        <v>4567</v>
      </c>
      <c r="E1983" t="s">
        <v>19</v>
      </c>
      <c r="F1983" t="s">
        <v>4383</v>
      </c>
      <c r="G1983" t="s">
        <v>4384</v>
      </c>
      <c r="H1983" t="str">
        <f>'Huong dan giao do an'!$B$14</f>
        <v>5 SV (vai trò chính): 1 PM/Scrum Master kiêm Integration; 2 BA/PO; 3 UI-UX + Frontend; 4 Backend/API + DevOps; 5 Database + QA/Tester. Mỗi SV có nhiệm vụ phụ và minh chứng cá nhân.</v>
      </c>
      <c r="I1983" t="s">
        <v>29</v>
      </c>
      <c r="J1983" t="s">
        <v>4385</v>
      </c>
      <c r="K1983" t="str">
        <f>IF(I1983="Trung bình",'Huong dan giao do an'!$B$8,IF(I1983="Khá",'Huong dan giao do an'!$B$9,'Huong dan giao do an'!$B$10))</f>
        <v>Tối thiểu 5 actor; 14-18 use case; 10-15 bảng; 4 quy trình; tích hợp ngoài/realtime hoặc xử lý nâng cao; 3 báo cáo; &gt;=45 test case; logging, backup và deploy.</v>
      </c>
      <c r="L1983" t="str">
        <f>'Huong dan giao do an'!$B$31</f>
        <v>Bắt buộc: Charter/PMP; SRS + scope/WBS; Gantt/baseline; effort-cost budget; RACI/timesheet; quality-test-defect; communication/minutes; risk register; procurement; change log; closure/lessons learned.</v>
      </c>
      <c r="M1983" t="str">
        <f>'Huong dan giao do an'!$B$33</f>
        <v>Tuần 1: 07.09–13.09.2026; Tuần 2: 14.09–20.09.2026; Tuần 3: 21.09–27.09.2026; Tuần 4: 28.09–04.10.2026; Tuần 5: 05.10–11.10.2026; Tuần 6: 12.10–18.10.2026; Tuần 7: 19.10–25.10.2026; Tuần 8: 26.10–01.11.2026.</v>
      </c>
      <c r="N19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3" s="17" t="str">
        <f t="shared" si="30"/>
        <v>Còn trống</v>
      </c>
    </row>
    <row r="1984" spans="1:16" x14ac:dyDescent="0.3">
      <c r="A1984">
        <v>1983</v>
      </c>
      <c r="B1984" t="s">
        <v>4375</v>
      </c>
      <c r="C1984" t="s">
        <v>4568</v>
      </c>
      <c r="D1984" t="s">
        <v>4569</v>
      </c>
      <c r="E1984" t="s">
        <v>26</v>
      </c>
      <c r="F1984" t="s">
        <v>4388</v>
      </c>
      <c r="G1984" t="s">
        <v>4389</v>
      </c>
      <c r="H1984" t="str">
        <f>'Huong dan giao do an'!$B$14</f>
        <v>5 SV (vai trò chính): 1 PM/Scrum Master kiêm Integration; 2 BA/PO; 3 UI-UX + Frontend; 4 Backend/API + DevOps; 5 Database + QA/Tester. Mỗi SV có nhiệm vụ phụ và minh chứng cá nhân.</v>
      </c>
      <c r="I1984" t="s">
        <v>36</v>
      </c>
      <c r="J1984" t="s">
        <v>4390</v>
      </c>
      <c r="K1984" t="str">
        <f>IF(I1984="Trung bình",'Huong dan giao do an'!$B$8,IF(I1984="Khá",'Huong dan giao do an'!$B$9,'Huong dan giao do an'!$B$10))</f>
        <v>Tối thiểu 3 actor; 8-10 use case; 6-8 bảng dữ liệu; 2 quy trình lõi; đăng nhập/RBAC; 1 dashboard; 1 báo cáo; &gt;=25 test case; triển khai bản demo.</v>
      </c>
      <c r="L1984" t="str">
        <f>'Huong dan giao do an'!$B$31</f>
        <v>Bắt buộc: Charter/PMP; SRS + scope/WBS; Gantt/baseline; effort-cost budget; RACI/timesheet; quality-test-defect; communication/minutes; risk register; procurement; change log; closure/lessons learned.</v>
      </c>
      <c r="M1984" t="str">
        <f>'Huong dan giao do an'!$B$33</f>
        <v>Tuần 1: 07.09–13.09.2026; Tuần 2: 14.09–20.09.2026; Tuần 3: 21.09–27.09.2026; Tuần 4: 28.09–04.10.2026; Tuần 5: 05.10–11.10.2026; Tuần 6: 12.10–18.10.2026; Tuần 7: 19.10–25.10.2026; Tuần 8: 26.10–01.11.2026.</v>
      </c>
      <c r="N19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4" s="17" t="str">
        <f t="shared" si="30"/>
        <v>Còn trống</v>
      </c>
    </row>
    <row r="1985" spans="1:16" x14ac:dyDescent="0.3">
      <c r="A1985">
        <v>1984</v>
      </c>
      <c r="B1985" t="s">
        <v>4375</v>
      </c>
      <c r="C1985" t="s">
        <v>4570</v>
      </c>
      <c r="D1985" t="s">
        <v>4571</v>
      </c>
      <c r="E1985" t="s">
        <v>33</v>
      </c>
      <c r="F1985" t="s">
        <v>4393</v>
      </c>
      <c r="G1985" t="s">
        <v>4394</v>
      </c>
      <c r="H1985" t="str">
        <f>'Huong dan giao do an'!$B$14</f>
        <v>5 SV (vai trò chính): 1 PM/Scrum Master kiêm Integration; 2 BA/PO; 3 UI-UX + Frontend; 4 Backend/API + DevOps; 5 Database + QA/Tester. Mỗi SV có nhiệm vụ phụ và minh chứng cá nhân.</v>
      </c>
      <c r="I1985" t="s">
        <v>22</v>
      </c>
      <c r="J1985" t="s">
        <v>4380</v>
      </c>
      <c r="K1985" t="str">
        <f>IF(I1985="Trung bình",'Huong dan giao do an'!$B$8,IF(I1985="Khá",'Huong dan giao do an'!$B$9,'Huong dan giao do an'!$B$10))</f>
        <v>Tối thiểu 4 actor; 10-14 use case; 8-12 bảng; 3 quy trình lõi; phân quyền chi tiết; 2 báo cáo; tích hợp 1 dịch vụ; &gt;=35 test case; CI/CD hoặc deploy cloud.</v>
      </c>
      <c r="L1985" t="str">
        <f>'Huong dan giao do an'!$B$31</f>
        <v>Bắt buộc: Charter/PMP; SRS + scope/WBS; Gantt/baseline; effort-cost budget; RACI/timesheet; quality-test-defect; communication/minutes; risk register; procurement; change log; closure/lessons learned.</v>
      </c>
      <c r="M1985" t="str">
        <f>'Huong dan giao do an'!$B$33</f>
        <v>Tuần 1: 07.09–13.09.2026; Tuần 2: 14.09–20.09.2026; Tuần 3: 21.09–27.09.2026; Tuần 4: 28.09–04.10.2026; Tuần 5: 05.10–11.10.2026; Tuần 6: 12.10–18.10.2026; Tuần 7: 19.10–25.10.2026; Tuần 8: 26.10–01.11.2026.</v>
      </c>
      <c r="N19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5" s="17" t="str">
        <f t="shared" si="30"/>
        <v>Còn trống</v>
      </c>
    </row>
    <row r="1986" spans="1:16" x14ac:dyDescent="0.3">
      <c r="A1986">
        <v>1985</v>
      </c>
      <c r="B1986" t="s">
        <v>4375</v>
      </c>
      <c r="C1986" t="s">
        <v>4572</v>
      </c>
      <c r="D1986" t="s">
        <v>4573</v>
      </c>
      <c r="E1986" t="s">
        <v>40</v>
      </c>
      <c r="F1986" t="s">
        <v>4397</v>
      </c>
      <c r="G1986" t="s">
        <v>4398</v>
      </c>
      <c r="H1986" t="str">
        <f>'Huong dan giao do an'!$B$14</f>
        <v>5 SV (vai trò chính): 1 PM/Scrum Master kiêm Integration; 2 BA/PO; 3 UI-UX + Frontend; 4 Backend/API + DevOps; 5 Database + QA/Tester. Mỗi SV có nhiệm vụ phụ và minh chứng cá nhân.</v>
      </c>
      <c r="I1986" t="s">
        <v>29</v>
      </c>
      <c r="J1986" t="s">
        <v>4385</v>
      </c>
      <c r="K1986" t="str">
        <f>IF(I1986="Trung bình",'Huong dan giao do an'!$B$8,IF(I1986="Khá",'Huong dan giao do an'!$B$9,'Huong dan giao do an'!$B$10))</f>
        <v>Tối thiểu 5 actor; 14-18 use case; 10-15 bảng; 4 quy trình; tích hợp ngoài/realtime hoặc xử lý nâng cao; 3 báo cáo; &gt;=45 test case; logging, backup và deploy.</v>
      </c>
      <c r="L1986" t="str">
        <f>'Huong dan giao do an'!$B$31</f>
        <v>Bắt buộc: Charter/PMP; SRS + scope/WBS; Gantt/baseline; effort-cost budget; RACI/timesheet; quality-test-defect; communication/minutes; risk register; procurement; change log; closure/lessons learned.</v>
      </c>
      <c r="M1986" t="str">
        <f>'Huong dan giao do an'!$B$33</f>
        <v>Tuần 1: 07.09–13.09.2026; Tuần 2: 14.09–20.09.2026; Tuần 3: 21.09–27.09.2026; Tuần 4: 28.09–04.10.2026; Tuần 5: 05.10–11.10.2026; Tuần 6: 12.10–18.10.2026; Tuần 7: 19.10–25.10.2026; Tuần 8: 26.10–01.11.2026.</v>
      </c>
      <c r="N19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6" s="17" t="str">
        <f t="shared" si="30"/>
        <v>Còn trống</v>
      </c>
    </row>
    <row r="1987" spans="1:16" x14ac:dyDescent="0.3">
      <c r="A1987">
        <v>1986</v>
      </c>
      <c r="B1987" t="s">
        <v>4375</v>
      </c>
      <c r="C1987" t="s">
        <v>4574</v>
      </c>
      <c r="D1987" t="s">
        <v>4575</v>
      </c>
      <c r="E1987" t="s">
        <v>45</v>
      </c>
      <c r="F1987" t="s">
        <v>4378</v>
      </c>
      <c r="G1987" t="s">
        <v>4401</v>
      </c>
      <c r="H1987" t="str">
        <f>'Huong dan giao do an'!$B$14</f>
        <v>5 SV (vai trò chính): 1 PM/Scrum Master kiêm Integration; 2 BA/PO; 3 UI-UX + Frontend; 4 Backend/API + DevOps; 5 Database + QA/Tester. Mỗi SV có nhiệm vụ phụ và minh chứng cá nhân.</v>
      </c>
      <c r="I1987" t="s">
        <v>36</v>
      </c>
      <c r="J1987" t="s">
        <v>4390</v>
      </c>
      <c r="K1987" t="str">
        <f>IF(I1987="Trung bình",'Huong dan giao do an'!$B$8,IF(I1987="Khá",'Huong dan giao do an'!$B$9,'Huong dan giao do an'!$B$10))</f>
        <v>Tối thiểu 3 actor; 8-10 use case; 6-8 bảng dữ liệu; 2 quy trình lõi; đăng nhập/RBAC; 1 dashboard; 1 báo cáo; &gt;=25 test case; triển khai bản demo.</v>
      </c>
      <c r="L1987" t="str">
        <f>'Huong dan giao do an'!$B$31</f>
        <v>Bắt buộc: Charter/PMP; SRS + scope/WBS; Gantt/baseline; effort-cost budget; RACI/timesheet; quality-test-defect; communication/minutes; risk register; procurement; change log; closure/lessons learned.</v>
      </c>
      <c r="M1987" t="str">
        <f>'Huong dan giao do an'!$B$33</f>
        <v>Tuần 1: 07.09–13.09.2026; Tuần 2: 14.09–20.09.2026; Tuần 3: 21.09–27.09.2026; Tuần 4: 28.09–04.10.2026; Tuần 5: 05.10–11.10.2026; Tuần 6: 12.10–18.10.2026; Tuần 7: 19.10–25.10.2026; Tuần 8: 26.10–01.11.2026.</v>
      </c>
      <c r="N19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7" s="17" t="str">
        <f t="shared" ref="P1987:P2050" si="31">IF(O1987="","Còn trống","Đã đăng ký")</f>
        <v>Còn trống</v>
      </c>
    </row>
    <row r="1988" spans="1:16" x14ac:dyDescent="0.3">
      <c r="A1988">
        <v>1987</v>
      </c>
      <c r="B1988" t="s">
        <v>4375</v>
      </c>
      <c r="C1988" t="s">
        <v>4576</v>
      </c>
      <c r="D1988" t="s">
        <v>4577</v>
      </c>
      <c r="E1988" t="s">
        <v>19</v>
      </c>
      <c r="F1988" t="s">
        <v>4383</v>
      </c>
      <c r="G1988" t="s">
        <v>4404</v>
      </c>
      <c r="H1988" t="str">
        <f>'Huong dan giao do an'!$B$14</f>
        <v>5 SV (vai trò chính): 1 PM/Scrum Master kiêm Integration; 2 BA/PO; 3 UI-UX + Frontend; 4 Backend/API + DevOps; 5 Database + QA/Tester. Mỗi SV có nhiệm vụ phụ và minh chứng cá nhân.</v>
      </c>
      <c r="I1988" t="s">
        <v>22</v>
      </c>
      <c r="J1988" t="s">
        <v>4380</v>
      </c>
      <c r="K1988" t="str">
        <f>IF(I1988="Trung bình",'Huong dan giao do an'!$B$8,IF(I1988="Khá",'Huong dan giao do an'!$B$9,'Huong dan giao do an'!$B$10))</f>
        <v>Tối thiểu 4 actor; 10-14 use case; 8-12 bảng; 3 quy trình lõi; phân quyền chi tiết; 2 báo cáo; tích hợp 1 dịch vụ; &gt;=35 test case; CI/CD hoặc deploy cloud.</v>
      </c>
      <c r="L1988" t="str">
        <f>'Huong dan giao do an'!$B$31</f>
        <v>Bắt buộc: Charter/PMP; SRS + scope/WBS; Gantt/baseline; effort-cost budget; RACI/timesheet; quality-test-defect; communication/minutes; risk register; procurement; change log; closure/lessons learned.</v>
      </c>
      <c r="M1988" t="str">
        <f>'Huong dan giao do an'!$B$33</f>
        <v>Tuần 1: 07.09–13.09.2026; Tuần 2: 14.09–20.09.2026; Tuần 3: 21.09–27.09.2026; Tuần 4: 28.09–04.10.2026; Tuần 5: 05.10–11.10.2026; Tuần 6: 12.10–18.10.2026; Tuần 7: 19.10–25.10.2026; Tuần 8: 26.10–01.11.2026.</v>
      </c>
      <c r="N19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8" s="17" t="str">
        <f t="shared" si="31"/>
        <v>Còn trống</v>
      </c>
    </row>
    <row r="1989" spans="1:16" x14ac:dyDescent="0.3">
      <c r="A1989">
        <v>1988</v>
      </c>
      <c r="B1989" t="s">
        <v>4375</v>
      </c>
      <c r="C1989" t="s">
        <v>4578</v>
      </c>
      <c r="D1989" t="s">
        <v>4579</v>
      </c>
      <c r="E1989" t="s">
        <v>26</v>
      </c>
      <c r="F1989" t="s">
        <v>4388</v>
      </c>
      <c r="G1989" t="s">
        <v>4407</v>
      </c>
      <c r="H1989" t="str">
        <f>'Huong dan giao do an'!$B$14</f>
        <v>5 SV (vai trò chính): 1 PM/Scrum Master kiêm Integration; 2 BA/PO; 3 UI-UX + Frontend; 4 Backend/API + DevOps; 5 Database + QA/Tester. Mỗi SV có nhiệm vụ phụ và minh chứng cá nhân.</v>
      </c>
      <c r="I1989" t="s">
        <v>29</v>
      </c>
      <c r="J1989" t="s">
        <v>4385</v>
      </c>
      <c r="K1989" t="str">
        <f>IF(I1989="Trung bình",'Huong dan giao do an'!$B$8,IF(I1989="Khá",'Huong dan giao do an'!$B$9,'Huong dan giao do an'!$B$10))</f>
        <v>Tối thiểu 5 actor; 14-18 use case; 10-15 bảng; 4 quy trình; tích hợp ngoài/realtime hoặc xử lý nâng cao; 3 báo cáo; &gt;=45 test case; logging, backup và deploy.</v>
      </c>
      <c r="L1989" t="str">
        <f>'Huong dan giao do an'!$B$31</f>
        <v>Bắt buộc: Charter/PMP; SRS + scope/WBS; Gantt/baseline; effort-cost budget; RACI/timesheet; quality-test-defect; communication/minutes; risk register; procurement; change log; closure/lessons learned.</v>
      </c>
      <c r="M1989" t="str">
        <f>'Huong dan giao do an'!$B$33</f>
        <v>Tuần 1: 07.09–13.09.2026; Tuần 2: 14.09–20.09.2026; Tuần 3: 21.09–27.09.2026; Tuần 4: 28.09–04.10.2026; Tuần 5: 05.10–11.10.2026; Tuần 6: 12.10–18.10.2026; Tuần 7: 19.10–25.10.2026; Tuần 8: 26.10–01.11.2026.</v>
      </c>
      <c r="N19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89" s="17" t="str">
        <f t="shared" si="31"/>
        <v>Còn trống</v>
      </c>
    </row>
    <row r="1990" spans="1:16" x14ac:dyDescent="0.3">
      <c r="A1990">
        <v>1989</v>
      </c>
      <c r="B1990" t="s">
        <v>4375</v>
      </c>
      <c r="C1990" t="s">
        <v>4580</v>
      </c>
      <c r="D1990" t="s">
        <v>4581</v>
      </c>
      <c r="E1990" t="s">
        <v>33</v>
      </c>
      <c r="F1990" t="s">
        <v>4393</v>
      </c>
      <c r="G1990" t="s">
        <v>4410</v>
      </c>
      <c r="H1990" t="str">
        <f>'Huong dan giao do an'!$B$14</f>
        <v>5 SV (vai trò chính): 1 PM/Scrum Master kiêm Integration; 2 BA/PO; 3 UI-UX + Frontend; 4 Backend/API + DevOps; 5 Database + QA/Tester. Mỗi SV có nhiệm vụ phụ và minh chứng cá nhân.</v>
      </c>
      <c r="I1990" t="s">
        <v>36</v>
      </c>
      <c r="J1990" t="s">
        <v>4390</v>
      </c>
      <c r="K1990" t="str">
        <f>IF(I1990="Trung bình",'Huong dan giao do an'!$B$8,IF(I1990="Khá",'Huong dan giao do an'!$B$9,'Huong dan giao do an'!$B$10))</f>
        <v>Tối thiểu 3 actor; 8-10 use case; 6-8 bảng dữ liệu; 2 quy trình lõi; đăng nhập/RBAC; 1 dashboard; 1 báo cáo; &gt;=25 test case; triển khai bản demo.</v>
      </c>
      <c r="L1990" t="str">
        <f>'Huong dan giao do an'!$B$31</f>
        <v>Bắt buộc: Charter/PMP; SRS + scope/WBS; Gantt/baseline; effort-cost budget; RACI/timesheet; quality-test-defect; communication/minutes; risk register; procurement; change log; closure/lessons learned.</v>
      </c>
      <c r="M1990" t="str">
        <f>'Huong dan giao do an'!$B$33</f>
        <v>Tuần 1: 07.09–13.09.2026; Tuần 2: 14.09–20.09.2026; Tuần 3: 21.09–27.09.2026; Tuần 4: 28.09–04.10.2026; Tuần 5: 05.10–11.10.2026; Tuần 6: 12.10–18.10.2026; Tuần 7: 19.10–25.10.2026; Tuần 8: 26.10–01.11.2026.</v>
      </c>
      <c r="N19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0" s="17" t="str">
        <f t="shared" si="31"/>
        <v>Còn trống</v>
      </c>
    </row>
    <row r="1991" spans="1:16" x14ac:dyDescent="0.3">
      <c r="A1991">
        <v>1990</v>
      </c>
      <c r="B1991" t="s">
        <v>4375</v>
      </c>
      <c r="C1991" t="s">
        <v>4582</v>
      </c>
      <c r="D1991" t="s">
        <v>4583</v>
      </c>
      <c r="E1991" t="s">
        <v>40</v>
      </c>
      <c r="F1991" t="s">
        <v>4397</v>
      </c>
      <c r="G1991" t="s">
        <v>4413</v>
      </c>
      <c r="H1991" t="str">
        <f>'Huong dan giao do an'!$B$14</f>
        <v>5 SV (vai trò chính): 1 PM/Scrum Master kiêm Integration; 2 BA/PO; 3 UI-UX + Frontend; 4 Backend/API + DevOps; 5 Database + QA/Tester. Mỗi SV có nhiệm vụ phụ và minh chứng cá nhân.</v>
      </c>
      <c r="I1991" t="s">
        <v>22</v>
      </c>
      <c r="J1991" t="s">
        <v>4380</v>
      </c>
      <c r="K1991" t="str">
        <f>IF(I1991="Trung bình",'Huong dan giao do an'!$B$8,IF(I1991="Khá",'Huong dan giao do an'!$B$9,'Huong dan giao do an'!$B$10))</f>
        <v>Tối thiểu 4 actor; 10-14 use case; 8-12 bảng; 3 quy trình lõi; phân quyền chi tiết; 2 báo cáo; tích hợp 1 dịch vụ; &gt;=35 test case; CI/CD hoặc deploy cloud.</v>
      </c>
      <c r="L1991" t="str">
        <f>'Huong dan giao do an'!$B$31</f>
        <v>Bắt buộc: Charter/PMP; SRS + scope/WBS; Gantt/baseline; effort-cost budget; RACI/timesheet; quality-test-defect; communication/minutes; risk register; procurement; change log; closure/lessons learned.</v>
      </c>
      <c r="M1991" t="str">
        <f>'Huong dan giao do an'!$B$33</f>
        <v>Tuần 1: 07.09–13.09.2026; Tuần 2: 14.09–20.09.2026; Tuần 3: 21.09–27.09.2026; Tuần 4: 28.09–04.10.2026; Tuần 5: 05.10–11.10.2026; Tuần 6: 12.10–18.10.2026; Tuần 7: 19.10–25.10.2026; Tuần 8: 26.10–01.11.2026.</v>
      </c>
      <c r="N19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1" s="17" t="str">
        <f t="shared" si="31"/>
        <v>Còn trống</v>
      </c>
    </row>
    <row r="1992" spans="1:16" x14ac:dyDescent="0.3">
      <c r="A1992">
        <v>1991</v>
      </c>
      <c r="B1992" t="s">
        <v>4375</v>
      </c>
      <c r="C1992" t="s">
        <v>4584</v>
      </c>
      <c r="D1992" t="s">
        <v>4585</v>
      </c>
      <c r="E1992" t="s">
        <v>45</v>
      </c>
      <c r="F1992" t="s">
        <v>4378</v>
      </c>
      <c r="G1992" t="s">
        <v>4416</v>
      </c>
      <c r="H1992" t="str">
        <f>'Huong dan giao do an'!$B$14</f>
        <v>5 SV (vai trò chính): 1 PM/Scrum Master kiêm Integration; 2 BA/PO; 3 UI-UX + Frontend; 4 Backend/API + DevOps; 5 Database + QA/Tester. Mỗi SV có nhiệm vụ phụ và minh chứng cá nhân.</v>
      </c>
      <c r="I1992" t="s">
        <v>29</v>
      </c>
      <c r="J1992" t="s">
        <v>4385</v>
      </c>
      <c r="K1992" t="str">
        <f>IF(I1992="Trung bình",'Huong dan giao do an'!$B$8,IF(I1992="Khá",'Huong dan giao do an'!$B$9,'Huong dan giao do an'!$B$10))</f>
        <v>Tối thiểu 5 actor; 14-18 use case; 10-15 bảng; 4 quy trình; tích hợp ngoài/realtime hoặc xử lý nâng cao; 3 báo cáo; &gt;=45 test case; logging, backup và deploy.</v>
      </c>
      <c r="L1992" t="str">
        <f>'Huong dan giao do an'!$B$31</f>
        <v>Bắt buộc: Charter/PMP; SRS + scope/WBS; Gantt/baseline; effort-cost budget; RACI/timesheet; quality-test-defect; communication/minutes; risk register; procurement; change log; closure/lessons learned.</v>
      </c>
      <c r="M1992" t="str">
        <f>'Huong dan giao do an'!$B$33</f>
        <v>Tuần 1: 07.09–13.09.2026; Tuần 2: 14.09–20.09.2026; Tuần 3: 21.09–27.09.2026; Tuần 4: 28.09–04.10.2026; Tuần 5: 05.10–11.10.2026; Tuần 6: 12.10–18.10.2026; Tuần 7: 19.10–25.10.2026; Tuần 8: 26.10–01.11.2026.</v>
      </c>
      <c r="N19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2" s="17" t="str">
        <f t="shared" si="31"/>
        <v>Còn trống</v>
      </c>
    </row>
    <row r="1993" spans="1:16" x14ac:dyDescent="0.3">
      <c r="A1993">
        <v>1992</v>
      </c>
      <c r="B1993" t="s">
        <v>4375</v>
      </c>
      <c r="C1993" t="s">
        <v>4586</v>
      </c>
      <c r="D1993" t="s">
        <v>4587</v>
      </c>
      <c r="E1993" t="s">
        <v>19</v>
      </c>
      <c r="F1993" t="s">
        <v>4383</v>
      </c>
      <c r="G1993" t="s">
        <v>4419</v>
      </c>
      <c r="H1993" t="str">
        <f>'Huong dan giao do an'!$B$14</f>
        <v>5 SV (vai trò chính): 1 PM/Scrum Master kiêm Integration; 2 BA/PO; 3 UI-UX + Frontend; 4 Backend/API + DevOps; 5 Database + QA/Tester. Mỗi SV có nhiệm vụ phụ và minh chứng cá nhân.</v>
      </c>
      <c r="I1993" t="s">
        <v>36</v>
      </c>
      <c r="J1993" t="s">
        <v>4390</v>
      </c>
      <c r="K1993" t="str">
        <f>IF(I1993="Trung bình",'Huong dan giao do an'!$B$8,IF(I1993="Khá",'Huong dan giao do an'!$B$9,'Huong dan giao do an'!$B$10))</f>
        <v>Tối thiểu 3 actor; 8-10 use case; 6-8 bảng dữ liệu; 2 quy trình lõi; đăng nhập/RBAC; 1 dashboard; 1 báo cáo; &gt;=25 test case; triển khai bản demo.</v>
      </c>
      <c r="L1993" t="str">
        <f>'Huong dan giao do an'!$B$31</f>
        <v>Bắt buộc: Charter/PMP; SRS + scope/WBS; Gantt/baseline; effort-cost budget; RACI/timesheet; quality-test-defect; communication/minutes; risk register; procurement; change log; closure/lessons learned.</v>
      </c>
      <c r="M1993" t="str">
        <f>'Huong dan giao do an'!$B$33</f>
        <v>Tuần 1: 07.09–13.09.2026; Tuần 2: 14.09–20.09.2026; Tuần 3: 21.09–27.09.2026; Tuần 4: 28.09–04.10.2026; Tuần 5: 05.10–11.10.2026; Tuần 6: 12.10–18.10.2026; Tuần 7: 19.10–25.10.2026; Tuần 8: 26.10–01.11.2026.</v>
      </c>
      <c r="N19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3" s="17" t="str">
        <f t="shared" si="31"/>
        <v>Còn trống</v>
      </c>
    </row>
    <row r="1994" spans="1:16" x14ac:dyDescent="0.3">
      <c r="A1994">
        <v>1993</v>
      </c>
      <c r="B1994" t="s">
        <v>4375</v>
      </c>
      <c r="C1994" t="s">
        <v>4588</v>
      </c>
      <c r="D1994" t="s">
        <v>4589</v>
      </c>
      <c r="E1994" t="s">
        <v>26</v>
      </c>
      <c r="F1994" t="s">
        <v>4388</v>
      </c>
      <c r="G1994" t="s">
        <v>4422</v>
      </c>
      <c r="H1994" t="str">
        <f>'Huong dan giao do an'!$B$14</f>
        <v>5 SV (vai trò chính): 1 PM/Scrum Master kiêm Integration; 2 BA/PO; 3 UI-UX + Frontend; 4 Backend/API + DevOps; 5 Database + QA/Tester. Mỗi SV có nhiệm vụ phụ và minh chứng cá nhân.</v>
      </c>
      <c r="I1994" t="s">
        <v>22</v>
      </c>
      <c r="J1994" t="s">
        <v>4380</v>
      </c>
      <c r="K1994" t="str">
        <f>IF(I1994="Trung bình",'Huong dan giao do an'!$B$8,IF(I1994="Khá",'Huong dan giao do an'!$B$9,'Huong dan giao do an'!$B$10))</f>
        <v>Tối thiểu 4 actor; 10-14 use case; 8-12 bảng; 3 quy trình lõi; phân quyền chi tiết; 2 báo cáo; tích hợp 1 dịch vụ; &gt;=35 test case; CI/CD hoặc deploy cloud.</v>
      </c>
      <c r="L1994" t="str">
        <f>'Huong dan giao do an'!$B$31</f>
        <v>Bắt buộc: Charter/PMP; SRS + scope/WBS; Gantt/baseline; effort-cost budget; RACI/timesheet; quality-test-defect; communication/minutes; risk register; procurement; change log; closure/lessons learned.</v>
      </c>
      <c r="M1994" t="str">
        <f>'Huong dan giao do an'!$B$33</f>
        <v>Tuần 1: 07.09–13.09.2026; Tuần 2: 14.09–20.09.2026; Tuần 3: 21.09–27.09.2026; Tuần 4: 28.09–04.10.2026; Tuần 5: 05.10–11.10.2026; Tuần 6: 12.10–18.10.2026; Tuần 7: 19.10–25.10.2026; Tuần 8: 26.10–01.11.2026.</v>
      </c>
      <c r="N19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4" s="17" t="str">
        <f t="shared" si="31"/>
        <v>Còn trống</v>
      </c>
    </row>
    <row r="1995" spans="1:16" x14ac:dyDescent="0.3">
      <c r="A1995">
        <v>1994</v>
      </c>
      <c r="B1995" t="s">
        <v>4375</v>
      </c>
      <c r="C1995" t="s">
        <v>4590</v>
      </c>
      <c r="D1995" t="s">
        <v>4591</v>
      </c>
      <c r="E1995" t="s">
        <v>33</v>
      </c>
      <c r="F1995" t="s">
        <v>4393</v>
      </c>
      <c r="G1995" t="s">
        <v>4425</v>
      </c>
      <c r="H1995" t="str">
        <f>'Huong dan giao do an'!$B$14</f>
        <v>5 SV (vai trò chính): 1 PM/Scrum Master kiêm Integration; 2 BA/PO; 3 UI-UX + Frontend; 4 Backend/API + DevOps; 5 Database + QA/Tester. Mỗi SV có nhiệm vụ phụ và minh chứng cá nhân.</v>
      </c>
      <c r="I1995" t="s">
        <v>29</v>
      </c>
      <c r="J1995" t="s">
        <v>4385</v>
      </c>
      <c r="K1995" t="str">
        <f>IF(I1995="Trung bình",'Huong dan giao do an'!$B$8,IF(I1995="Khá",'Huong dan giao do an'!$B$9,'Huong dan giao do an'!$B$10))</f>
        <v>Tối thiểu 5 actor; 14-18 use case; 10-15 bảng; 4 quy trình; tích hợp ngoài/realtime hoặc xử lý nâng cao; 3 báo cáo; &gt;=45 test case; logging, backup và deploy.</v>
      </c>
      <c r="L1995" t="str">
        <f>'Huong dan giao do an'!$B$31</f>
        <v>Bắt buộc: Charter/PMP; SRS + scope/WBS; Gantt/baseline; effort-cost budget; RACI/timesheet; quality-test-defect; communication/minutes; risk register; procurement; change log; closure/lessons learned.</v>
      </c>
      <c r="M1995" t="str">
        <f>'Huong dan giao do an'!$B$33</f>
        <v>Tuần 1: 07.09–13.09.2026; Tuần 2: 14.09–20.09.2026; Tuần 3: 21.09–27.09.2026; Tuần 4: 28.09–04.10.2026; Tuần 5: 05.10–11.10.2026; Tuần 6: 12.10–18.10.2026; Tuần 7: 19.10–25.10.2026; Tuần 8: 26.10–01.11.2026.</v>
      </c>
      <c r="N19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5" s="17" t="str">
        <f t="shared" si="31"/>
        <v>Còn trống</v>
      </c>
    </row>
    <row r="1996" spans="1:16" x14ac:dyDescent="0.3">
      <c r="A1996">
        <v>1995</v>
      </c>
      <c r="B1996" t="s">
        <v>4375</v>
      </c>
      <c r="C1996" t="s">
        <v>4592</v>
      </c>
      <c r="D1996" t="s">
        <v>4593</v>
      </c>
      <c r="E1996" t="s">
        <v>40</v>
      </c>
      <c r="F1996" t="s">
        <v>4397</v>
      </c>
      <c r="G1996" t="s">
        <v>4428</v>
      </c>
      <c r="H1996" t="str">
        <f>'Huong dan giao do an'!$B$14</f>
        <v>5 SV (vai trò chính): 1 PM/Scrum Master kiêm Integration; 2 BA/PO; 3 UI-UX + Frontend; 4 Backend/API + DevOps; 5 Database + QA/Tester. Mỗi SV có nhiệm vụ phụ và minh chứng cá nhân.</v>
      </c>
      <c r="I1996" t="s">
        <v>36</v>
      </c>
      <c r="J1996" t="s">
        <v>4390</v>
      </c>
      <c r="K1996" t="str">
        <f>IF(I1996="Trung bình",'Huong dan giao do an'!$B$8,IF(I1996="Khá",'Huong dan giao do an'!$B$9,'Huong dan giao do an'!$B$10))</f>
        <v>Tối thiểu 3 actor; 8-10 use case; 6-8 bảng dữ liệu; 2 quy trình lõi; đăng nhập/RBAC; 1 dashboard; 1 báo cáo; &gt;=25 test case; triển khai bản demo.</v>
      </c>
      <c r="L1996" t="str">
        <f>'Huong dan giao do an'!$B$31</f>
        <v>Bắt buộc: Charter/PMP; SRS + scope/WBS; Gantt/baseline; effort-cost budget; RACI/timesheet; quality-test-defect; communication/minutes; risk register; procurement; change log; closure/lessons learned.</v>
      </c>
      <c r="M1996" t="str">
        <f>'Huong dan giao do an'!$B$33</f>
        <v>Tuần 1: 07.09–13.09.2026; Tuần 2: 14.09–20.09.2026; Tuần 3: 21.09–27.09.2026; Tuần 4: 28.09–04.10.2026; Tuần 5: 05.10–11.10.2026; Tuần 6: 12.10–18.10.2026; Tuần 7: 19.10–25.10.2026; Tuần 8: 26.10–01.11.2026.</v>
      </c>
      <c r="N19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6" s="17" t="str">
        <f t="shared" si="31"/>
        <v>Còn trống</v>
      </c>
    </row>
    <row r="1997" spans="1:16" x14ac:dyDescent="0.3">
      <c r="A1997">
        <v>1996</v>
      </c>
      <c r="B1997" t="s">
        <v>4375</v>
      </c>
      <c r="C1997" t="s">
        <v>4594</v>
      </c>
      <c r="D1997" t="s">
        <v>4595</v>
      </c>
      <c r="E1997" t="s">
        <v>45</v>
      </c>
      <c r="F1997" t="s">
        <v>4378</v>
      </c>
      <c r="G1997" t="s">
        <v>4431</v>
      </c>
      <c r="H1997" t="str">
        <f>'Huong dan giao do an'!$B$14</f>
        <v>5 SV (vai trò chính): 1 PM/Scrum Master kiêm Integration; 2 BA/PO; 3 UI-UX + Frontend; 4 Backend/API + DevOps; 5 Database + QA/Tester. Mỗi SV có nhiệm vụ phụ và minh chứng cá nhân.</v>
      </c>
      <c r="I1997" t="s">
        <v>22</v>
      </c>
      <c r="J1997" t="s">
        <v>4380</v>
      </c>
      <c r="K1997" t="str">
        <f>IF(I1997="Trung bình",'Huong dan giao do an'!$B$8,IF(I1997="Khá",'Huong dan giao do an'!$B$9,'Huong dan giao do an'!$B$10))</f>
        <v>Tối thiểu 4 actor; 10-14 use case; 8-12 bảng; 3 quy trình lõi; phân quyền chi tiết; 2 báo cáo; tích hợp 1 dịch vụ; &gt;=35 test case; CI/CD hoặc deploy cloud.</v>
      </c>
      <c r="L1997" t="str">
        <f>'Huong dan giao do an'!$B$31</f>
        <v>Bắt buộc: Charter/PMP; SRS + scope/WBS; Gantt/baseline; effort-cost budget; RACI/timesheet; quality-test-defect; communication/minutes; risk register; procurement; change log; closure/lessons learned.</v>
      </c>
      <c r="M1997" t="str">
        <f>'Huong dan giao do an'!$B$33</f>
        <v>Tuần 1: 07.09–13.09.2026; Tuần 2: 14.09–20.09.2026; Tuần 3: 21.09–27.09.2026; Tuần 4: 28.09–04.10.2026; Tuần 5: 05.10–11.10.2026; Tuần 6: 12.10–18.10.2026; Tuần 7: 19.10–25.10.2026; Tuần 8: 26.10–01.11.2026.</v>
      </c>
      <c r="N19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7" s="17" t="str">
        <f t="shared" si="31"/>
        <v>Còn trống</v>
      </c>
    </row>
    <row r="1998" spans="1:16" x14ac:dyDescent="0.3">
      <c r="A1998">
        <v>1997</v>
      </c>
      <c r="B1998" t="s">
        <v>4375</v>
      </c>
      <c r="C1998" t="s">
        <v>4596</v>
      </c>
      <c r="D1998" t="s">
        <v>4597</v>
      </c>
      <c r="E1998" t="s">
        <v>19</v>
      </c>
      <c r="F1998" t="s">
        <v>4383</v>
      </c>
      <c r="G1998" t="s">
        <v>4434</v>
      </c>
      <c r="H1998" t="str">
        <f>'Huong dan giao do an'!$B$14</f>
        <v>5 SV (vai trò chính): 1 PM/Scrum Master kiêm Integration; 2 BA/PO; 3 UI-UX + Frontend; 4 Backend/API + DevOps; 5 Database + QA/Tester. Mỗi SV có nhiệm vụ phụ và minh chứng cá nhân.</v>
      </c>
      <c r="I1998" t="s">
        <v>29</v>
      </c>
      <c r="J1998" t="s">
        <v>4385</v>
      </c>
      <c r="K1998" t="str">
        <f>IF(I1998="Trung bình",'Huong dan giao do an'!$B$8,IF(I1998="Khá",'Huong dan giao do an'!$B$9,'Huong dan giao do an'!$B$10))</f>
        <v>Tối thiểu 5 actor; 14-18 use case; 10-15 bảng; 4 quy trình; tích hợp ngoài/realtime hoặc xử lý nâng cao; 3 báo cáo; &gt;=45 test case; logging, backup và deploy.</v>
      </c>
      <c r="L1998" t="str">
        <f>'Huong dan giao do an'!$B$31</f>
        <v>Bắt buộc: Charter/PMP; SRS + scope/WBS; Gantt/baseline; effort-cost budget; RACI/timesheet; quality-test-defect; communication/minutes; risk register; procurement; change log; closure/lessons learned.</v>
      </c>
      <c r="M1998" t="str">
        <f>'Huong dan giao do an'!$B$33</f>
        <v>Tuần 1: 07.09–13.09.2026; Tuần 2: 14.09–20.09.2026; Tuần 3: 21.09–27.09.2026; Tuần 4: 28.09–04.10.2026; Tuần 5: 05.10–11.10.2026; Tuần 6: 12.10–18.10.2026; Tuần 7: 19.10–25.10.2026; Tuần 8: 26.10–01.11.2026.</v>
      </c>
      <c r="N19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8" s="17" t="str">
        <f t="shared" si="31"/>
        <v>Còn trống</v>
      </c>
    </row>
    <row r="1999" spans="1:16" x14ac:dyDescent="0.3">
      <c r="A1999">
        <v>1998</v>
      </c>
      <c r="B1999" t="s">
        <v>4375</v>
      </c>
      <c r="C1999" t="s">
        <v>4598</v>
      </c>
      <c r="D1999" t="s">
        <v>4599</v>
      </c>
      <c r="E1999" t="s">
        <v>26</v>
      </c>
      <c r="F1999" t="s">
        <v>4388</v>
      </c>
      <c r="G1999" t="s">
        <v>4437</v>
      </c>
      <c r="H1999" t="str">
        <f>'Huong dan giao do an'!$B$14</f>
        <v>5 SV (vai trò chính): 1 PM/Scrum Master kiêm Integration; 2 BA/PO; 3 UI-UX + Frontend; 4 Backend/API + DevOps; 5 Database + QA/Tester. Mỗi SV có nhiệm vụ phụ và minh chứng cá nhân.</v>
      </c>
      <c r="I1999" t="s">
        <v>36</v>
      </c>
      <c r="J1999" t="s">
        <v>4390</v>
      </c>
      <c r="K1999" t="str">
        <f>IF(I1999="Trung bình",'Huong dan giao do an'!$B$8,IF(I1999="Khá",'Huong dan giao do an'!$B$9,'Huong dan giao do an'!$B$10))</f>
        <v>Tối thiểu 3 actor; 8-10 use case; 6-8 bảng dữ liệu; 2 quy trình lõi; đăng nhập/RBAC; 1 dashboard; 1 báo cáo; &gt;=25 test case; triển khai bản demo.</v>
      </c>
      <c r="L1999" t="str">
        <f>'Huong dan giao do an'!$B$31</f>
        <v>Bắt buộc: Charter/PMP; SRS + scope/WBS; Gantt/baseline; effort-cost budget; RACI/timesheet; quality-test-defect; communication/minutes; risk register; procurement; change log; closure/lessons learned.</v>
      </c>
      <c r="M1999" t="str">
        <f>'Huong dan giao do an'!$B$33</f>
        <v>Tuần 1: 07.09–13.09.2026; Tuần 2: 14.09–20.09.2026; Tuần 3: 21.09–27.09.2026; Tuần 4: 28.09–04.10.2026; Tuần 5: 05.10–11.10.2026; Tuần 6: 12.10–18.10.2026; Tuần 7: 19.10–25.10.2026; Tuần 8: 26.10–01.11.2026.</v>
      </c>
      <c r="N19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1999" s="17" t="str">
        <f t="shared" si="31"/>
        <v>Còn trống</v>
      </c>
    </row>
    <row r="2000" spans="1:16" x14ac:dyDescent="0.3">
      <c r="A2000">
        <v>1999</v>
      </c>
      <c r="B2000" t="s">
        <v>4375</v>
      </c>
      <c r="C2000" t="s">
        <v>4600</v>
      </c>
      <c r="D2000" t="s">
        <v>4601</v>
      </c>
      <c r="E2000" t="s">
        <v>33</v>
      </c>
      <c r="F2000" t="s">
        <v>4393</v>
      </c>
      <c r="G2000" t="s">
        <v>4440</v>
      </c>
      <c r="H2000" t="str">
        <f>'Huong dan giao do an'!$B$14</f>
        <v>5 SV (vai trò chính): 1 PM/Scrum Master kiêm Integration; 2 BA/PO; 3 UI-UX + Frontend; 4 Backend/API + DevOps; 5 Database + QA/Tester. Mỗi SV có nhiệm vụ phụ và minh chứng cá nhân.</v>
      </c>
      <c r="I2000" t="s">
        <v>22</v>
      </c>
      <c r="J2000" t="s">
        <v>4380</v>
      </c>
      <c r="K2000" t="str">
        <f>IF(I2000="Trung bình",'Huong dan giao do an'!$B$8,IF(I2000="Khá",'Huong dan giao do an'!$B$9,'Huong dan giao do an'!$B$10))</f>
        <v>Tối thiểu 4 actor; 10-14 use case; 8-12 bảng; 3 quy trình lõi; phân quyền chi tiết; 2 báo cáo; tích hợp 1 dịch vụ; &gt;=35 test case; CI/CD hoặc deploy cloud.</v>
      </c>
      <c r="L2000" t="str">
        <f>'Huong dan giao do an'!$B$31</f>
        <v>Bắt buộc: Charter/PMP; SRS + scope/WBS; Gantt/baseline; effort-cost budget; RACI/timesheet; quality-test-defect; communication/minutes; risk register; procurement; change log; closure/lessons learned.</v>
      </c>
      <c r="M2000" t="str">
        <f>'Huong dan giao do an'!$B$33</f>
        <v>Tuần 1: 07.09–13.09.2026; Tuần 2: 14.09–20.09.2026; Tuần 3: 21.09–27.09.2026; Tuần 4: 28.09–04.10.2026; Tuần 5: 05.10–11.10.2026; Tuần 6: 12.10–18.10.2026; Tuần 7: 19.10–25.10.2026; Tuần 8: 26.10–01.11.2026.</v>
      </c>
      <c r="N20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0" s="17" t="str">
        <f t="shared" si="31"/>
        <v>Còn trống</v>
      </c>
    </row>
    <row r="2001" spans="1:16" x14ac:dyDescent="0.3">
      <c r="A2001">
        <v>2000</v>
      </c>
      <c r="B2001" t="s">
        <v>4375</v>
      </c>
      <c r="C2001" t="s">
        <v>4602</v>
      </c>
      <c r="D2001" t="s">
        <v>4603</v>
      </c>
      <c r="E2001" t="s">
        <v>40</v>
      </c>
      <c r="F2001" t="s">
        <v>4397</v>
      </c>
      <c r="G2001" t="s">
        <v>4443</v>
      </c>
      <c r="H2001" t="str">
        <f>'Huong dan giao do an'!$B$14</f>
        <v>5 SV (vai trò chính): 1 PM/Scrum Master kiêm Integration; 2 BA/PO; 3 UI-UX + Frontend; 4 Backend/API + DevOps; 5 Database + QA/Tester. Mỗi SV có nhiệm vụ phụ và minh chứng cá nhân.</v>
      </c>
      <c r="I2001" t="s">
        <v>29</v>
      </c>
      <c r="J2001" t="s">
        <v>4385</v>
      </c>
      <c r="K2001" t="str">
        <f>IF(I2001="Trung bình",'Huong dan giao do an'!$B$8,IF(I2001="Khá",'Huong dan giao do an'!$B$9,'Huong dan giao do an'!$B$10))</f>
        <v>Tối thiểu 5 actor; 14-18 use case; 10-15 bảng; 4 quy trình; tích hợp ngoài/realtime hoặc xử lý nâng cao; 3 báo cáo; &gt;=45 test case; logging, backup và deploy.</v>
      </c>
      <c r="L2001" t="str">
        <f>'Huong dan giao do an'!$B$31</f>
        <v>Bắt buộc: Charter/PMP; SRS + scope/WBS; Gantt/baseline; effort-cost budget; RACI/timesheet; quality-test-defect; communication/minutes; risk register; procurement; change log; closure/lessons learned.</v>
      </c>
      <c r="M2001" t="str">
        <f>'Huong dan giao do an'!$B$33</f>
        <v>Tuần 1: 07.09–13.09.2026; Tuần 2: 14.09–20.09.2026; Tuần 3: 21.09–27.09.2026; Tuần 4: 28.09–04.10.2026; Tuần 5: 05.10–11.10.2026; Tuần 6: 12.10–18.10.2026; Tuần 7: 19.10–25.10.2026; Tuần 8: 26.10–01.11.2026.</v>
      </c>
      <c r="N20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1" s="17" t="str">
        <f t="shared" si="31"/>
        <v>Còn trống</v>
      </c>
    </row>
    <row r="2002" spans="1:16" x14ac:dyDescent="0.3">
      <c r="A2002">
        <v>2001</v>
      </c>
      <c r="B2002" t="s">
        <v>4604</v>
      </c>
      <c r="C2002" t="s">
        <v>4605</v>
      </c>
      <c r="D2002" t="s">
        <v>4606</v>
      </c>
      <c r="E2002" t="s">
        <v>19</v>
      </c>
      <c r="F2002" t="s">
        <v>4607</v>
      </c>
      <c r="G2002" t="s">
        <v>4608</v>
      </c>
      <c r="H2002" t="str">
        <f>'Huong dan giao do an'!$B$14</f>
        <v>5 SV (vai trò chính): 1 PM/Scrum Master kiêm Integration; 2 BA/PO; 3 UI-UX + Frontend; 4 Backend/API + DevOps; 5 Database + QA/Tester. Mỗi SV có nhiệm vụ phụ và minh chứng cá nhân.</v>
      </c>
      <c r="I2002" t="s">
        <v>22</v>
      </c>
      <c r="J2002" t="s">
        <v>4609</v>
      </c>
      <c r="K2002" t="str">
        <f>IF(I2002="Trung bình",'Huong dan giao do an'!$B$8,IF(I2002="Khá",'Huong dan giao do an'!$B$9,'Huong dan giao do an'!$B$10))</f>
        <v>Tối thiểu 4 actor; 10-14 use case; 8-12 bảng; 3 quy trình lõi; phân quyền chi tiết; 2 báo cáo; tích hợp 1 dịch vụ; &gt;=35 test case; CI/CD hoặc deploy cloud.</v>
      </c>
      <c r="L2002" t="str">
        <f>'Huong dan giao do an'!$B$31</f>
        <v>Bắt buộc: Charter/PMP; SRS + scope/WBS; Gantt/baseline; effort-cost budget; RACI/timesheet; quality-test-defect; communication/minutes; risk register; procurement; change log; closure/lessons learned.</v>
      </c>
      <c r="M2002" t="str">
        <f>'Huong dan giao do an'!$B$33</f>
        <v>Tuần 1: 07.09–13.09.2026; Tuần 2: 14.09–20.09.2026; Tuần 3: 21.09–27.09.2026; Tuần 4: 28.09–04.10.2026; Tuần 5: 05.10–11.10.2026; Tuần 6: 12.10–18.10.2026; Tuần 7: 19.10–25.10.2026; Tuần 8: 26.10–01.11.2026.</v>
      </c>
      <c r="N20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2" s="17" t="str">
        <f t="shared" si="31"/>
        <v>Còn trống</v>
      </c>
    </row>
    <row r="2003" spans="1:16" x14ac:dyDescent="0.3">
      <c r="A2003">
        <v>2002</v>
      </c>
      <c r="B2003" t="s">
        <v>4604</v>
      </c>
      <c r="C2003" t="s">
        <v>4610</v>
      </c>
      <c r="D2003" t="s">
        <v>4611</v>
      </c>
      <c r="E2003" t="s">
        <v>26</v>
      </c>
      <c r="F2003" t="s">
        <v>4612</v>
      </c>
      <c r="G2003" t="s">
        <v>4613</v>
      </c>
      <c r="H2003" t="str">
        <f>'Huong dan giao do an'!$B$14</f>
        <v>5 SV (vai trò chính): 1 PM/Scrum Master kiêm Integration; 2 BA/PO; 3 UI-UX + Frontend; 4 Backend/API + DevOps; 5 Database + QA/Tester. Mỗi SV có nhiệm vụ phụ và minh chứng cá nhân.</v>
      </c>
      <c r="I2003" t="s">
        <v>29</v>
      </c>
      <c r="J2003" t="s">
        <v>4614</v>
      </c>
      <c r="K2003" t="str">
        <f>IF(I2003="Trung bình",'Huong dan giao do an'!$B$8,IF(I2003="Khá",'Huong dan giao do an'!$B$9,'Huong dan giao do an'!$B$10))</f>
        <v>Tối thiểu 5 actor; 14-18 use case; 10-15 bảng; 4 quy trình; tích hợp ngoài/realtime hoặc xử lý nâng cao; 3 báo cáo; &gt;=45 test case; logging, backup và deploy.</v>
      </c>
      <c r="L2003" t="str">
        <f>'Huong dan giao do an'!$B$31</f>
        <v>Bắt buộc: Charter/PMP; SRS + scope/WBS; Gantt/baseline; effort-cost budget; RACI/timesheet; quality-test-defect; communication/minutes; risk register; procurement; change log; closure/lessons learned.</v>
      </c>
      <c r="M2003" t="str">
        <f>'Huong dan giao do an'!$B$33</f>
        <v>Tuần 1: 07.09–13.09.2026; Tuần 2: 14.09–20.09.2026; Tuần 3: 21.09–27.09.2026; Tuần 4: 28.09–04.10.2026; Tuần 5: 05.10–11.10.2026; Tuần 6: 12.10–18.10.2026; Tuần 7: 19.10–25.10.2026; Tuần 8: 26.10–01.11.2026.</v>
      </c>
      <c r="N20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3" s="17" t="str">
        <f t="shared" si="31"/>
        <v>Còn trống</v>
      </c>
    </row>
    <row r="2004" spans="1:16" x14ac:dyDescent="0.3">
      <c r="A2004">
        <v>2003</v>
      </c>
      <c r="B2004" t="s">
        <v>4604</v>
      </c>
      <c r="C2004" t="s">
        <v>4615</v>
      </c>
      <c r="D2004" t="s">
        <v>4616</v>
      </c>
      <c r="E2004" t="s">
        <v>33</v>
      </c>
      <c r="F2004" t="s">
        <v>4617</v>
      </c>
      <c r="G2004" t="s">
        <v>4618</v>
      </c>
      <c r="H2004" t="str">
        <f>'Huong dan giao do an'!$B$14</f>
        <v>5 SV (vai trò chính): 1 PM/Scrum Master kiêm Integration; 2 BA/PO; 3 UI-UX + Frontend; 4 Backend/API + DevOps; 5 Database + QA/Tester. Mỗi SV có nhiệm vụ phụ và minh chứng cá nhân.</v>
      </c>
      <c r="I2004" t="s">
        <v>36</v>
      </c>
      <c r="J2004" t="s">
        <v>4619</v>
      </c>
      <c r="K2004" t="str">
        <f>IF(I2004="Trung bình",'Huong dan giao do an'!$B$8,IF(I2004="Khá",'Huong dan giao do an'!$B$9,'Huong dan giao do an'!$B$10))</f>
        <v>Tối thiểu 3 actor; 8-10 use case; 6-8 bảng dữ liệu; 2 quy trình lõi; đăng nhập/RBAC; 1 dashboard; 1 báo cáo; &gt;=25 test case; triển khai bản demo.</v>
      </c>
      <c r="L2004" t="str">
        <f>'Huong dan giao do an'!$B$31</f>
        <v>Bắt buộc: Charter/PMP; SRS + scope/WBS; Gantt/baseline; effort-cost budget; RACI/timesheet; quality-test-defect; communication/minutes; risk register; procurement; change log; closure/lessons learned.</v>
      </c>
      <c r="M2004" t="str">
        <f>'Huong dan giao do an'!$B$33</f>
        <v>Tuần 1: 07.09–13.09.2026; Tuần 2: 14.09–20.09.2026; Tuần 3: 21.09–27.09.2026; Tuần 4: 28.09–04.10.2026; Tuần 5: 05.10–11.10.2026; Tuần 6: 12.10–18.10.2026; Tuần 7: 19.10–25.10.2026; Tuần 8: 26.10–01.11.2026.</v>
      </c>
      <c r="N20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4" s="17" t="str">
        <f t="shared" si="31"/>
        <v>Còn trống</v>
      </c>
    </row>
    <row r="2005" spans="1:16" x14ac:dyDescent="0.3">
      <c r="A2005">
        <v>2004</v>
      </c>
      <c r="B2005" t="s">
        <v>4604</v>
      </c>
      <c r="C2005" t="s">
        <v>4620</v>
      </c>
      <c r="D2005" t="s">
        <v>4621</v>
      </c>
      <c r="E2005" t="s">
        <v>40</v>
      </c>
      <c r="F2005" t="s">
        <v>4622</v>
      </c>
      <c r="G2005" t="s">
        <v>4623</v>
      </c>
      <c r="H2005" t="str">
        <f>'Huong dan giao do an'!$B$14</f>
        <v>5 SV (vai trò chính): 1 PM/Scrum Master kiêm Integration; 2 BA/PO; 3 UI-UX + Frontend; 4 Backend/API + DevOps; 5 Database + QA/Tester. Mỗi SV có nhiệm vụ phụ và minh chứng cá nhân.</v>
      </c>
      <c r="I2005" t="s">
        <v>22</v>
      </c>
      <c r="J2005" t="s">
        <v>4609</v>
      </c>
      <c r="K2005" t="str">
        <f>IF(I2005="Trung bình",'Huong dan giao do an'!$B$8,IF(I2005="Khá",'Huong dan giao do an'!$B$9,'Huong dan giao do an'!$B$10))</f>
        <v>Tối thiểu 4 actor; 10-14 use case; 8-12 bảng; 3 quy trình lõi; phân quyền chi tiết; 2 báo cáo; tích hợp 1 dịch vụ; &gt;=35 test case; CI/CD hoặc deploy cloud.</v>
      </c>
      <c r="L2005" t="str">
        <f>'Huong dan giao do an'!$B$31</f>
        <v>Bắt buộc: Charter/PMP; SRS + scope/WBS; Gantt/baseline; effort-cost budget; RACI/timesheet; quality-test-defect; communication/minutes; risk register; procurement; change log; closure/lessons learned.</v>
      </c>
      <c r="M2005" t="str">
        <f>'Huong dan giao do an'!$B$33</f>
        <v>Tuần 1: 07.09–13.09.2026; Tuần 2: 14.09–20.09.2026; Tuần 3: 21.09–27.09.2026; Tuần 4: 28.09–04.10.2026; Tuần 5: 05.10–11.10.2026; Tuần 6: 12.10–18.10.2026; Tuần 7: 19.10–25.10.2026; Tuần 8: 26.10–01.11.2026.</v>
      </c>
      <c r="N20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5" s="17" t="str">
        <f t="shared" si="31"/>
        <v>Còn trống</v>
      </c>
    </row>
    <row r="2006" spans="1:16" x14ac:dyDescent="0.3">
      <c r="A2006">
        <v>2005</v>
      </c>
      <c r="B2006" t="s">
        <v>4604</v>
      </c>
      <c r="C2006" t="s">
        <v>4624</v>
      </c>
      <c r="D2006" t="s">
        <v>4625</v>
      </c>
      <c r="E2006" t="s">
        <v>45</v>
      </c>
      <c r="F2006" t="s">
        <v>4626</v>
      </c>
      <c r="G2006" t="s">
        <v>4627</v>
      </c>
      <c r="H2006" t="str">
        <f>'Huong dan giao do an'!$B$14</f>
        <v>5 SV (vai trò chính): 1 PM/Scrum Master kiêm Integration; 2 BA/PO; 3 UI-UX + Frontend; 4 Backend/API + DevOps; 5 Database + QA/Tester. Mỗi SV có nhiệm vụ phụ và minh chứng cá nhân.</v>
      </c>
      <c r="I2006" t="s">
        <v>29</v>
      </c>
      <c r="J2006" t="s">
        <v>4614</v>
      </c>
      <c r="K2006" t="str">
        <f>IF(I2006="Trung bình",'Huong dan giao do an'!$B$8,IF(I2006="Khá",'Huong dan giao do an'!$B$9,'Huong dan giao do an'!$B$10))</f>
        <v>Tối thiểu 5 actor; 14-18 use case; 10-15 bảng; 4 quy trình; tích hợp ngoài/realtime hoặc xử lý nâng cao; 3 báo cáo; &gt;=45 test case; logging, backup và deploy.</v>
      </c>
      <c r="L2006" t="str">
        <f>'Huong dan giao do an'!$B$31</f>
        <v>Bắt buộc: Charter/PMP; SRS + scope/WBS; Gantt/baseline; effort-cost budget; RACI/timesheet; quality-test-defect; communication/minutes; risk register; procurement; change log; closure/lessons learned.</v>
      </c>
      <c r="M2006" t="str">
        <f>'Huong dan giao do an'!$B$33</f>
        <v>Tuần 1: 07.09–13.09.2026; Tuần 2: 14.09–20.09.2026; Tuần 3: 21.09–27.09.2026; Tuần 4: 28.09–04.10.2026; Tuần 5: 05.10–11.10.2026; Tuần 6: 12.10–18.10.2026; Tuần 7: 19.10–25.10.2026; Tuần 8: 26.10–01.11.2026.</v>
      </c>
      <c r="N20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6" s="17" t="str">
        <f t="shared" si="31"/>
        <v>Còn trống</v>
      </c>
    </row>
    <row r="2007" spans="1:16" x14ac:dyDescent="0.3">
      <c r="A2007">
        <v>2006</v>
      </c>
      <c r="B2007" t="s">
        <v>4604</v>
      </c>
      <c r="C2007" t="s">
        <v>4628</v>
      </c>
      <c r="D2007" t="s">
        <v>4629</v>
      </c>
      <c r="E2007" t="s">
        <v>19</v>
      </c>
      <c r="F2007" t="s">
        <v>4607</v>
      </c>
      <c r="G2007" t="s">
        <v>4630</v>
      </c>
      <c r="H2007" t="str">
        <f>'Huong dan giao do an'!$B$14</f>
        <v>5 SV (vai trò chính): 1 PM/Scrum Master kiêm Integration; 2 BA/PO; 3 UI-UX + Frontend; 4 Backend/API + DevOps; 5 Database + QA/Tester. Mỗi SV có nhiệm vụ phụ và minh chứng cá nhân.</v>
      </c>
      <c r="I2007" t="s">
        <v>36</v>
      </c>
      <c r="J2007" t="s">
        <v>4619</v>
      </c>
      <c r="K2007" t="str">
        <f>IF(I2007="Trung bình",'Huong dan giao do an'!$B$8,IF(I2007="Khá",'Huong dan giao do an'!$B$9,'Huong dan giao do an'!$B$10))</f>
        <v>Tối thiểu 3 actor; 8-10 use case; 6-8 bảng dữ liệu; 2 quy trình lõi; đăng nhập/RBAC; 1 dashboard; 1 báo cáo; &gt;=25 test case; triển khai bản demo.</v>
      </c>
      <c r="L2007" t="str">
        <f>'Huong dan giao do an'!$B$31</f>
        <v>Bắt buộc: Charter/PMP; SRS + scope/WBS; Gantt/baseline; effort-cost budget; RACI/timesheet; quality-test-defect; communication/minutes; risk register; procurement; change log; closure/lessons learned.</v>
      </c>
      <c r="M2007" t="str">
        <f>'Huong dan giao do an'!$B$33</f>
        <v>Tuần 1: 07.09–13.09.2026; Tuần 2: 14.09–20.09.2026; Tuần 3: 21.09–27.09.2026; Tuần 4: 28.09–04.10.2026; Tuần 5: 05.10–11.10.2026; Tuần 6: 12.10–18.10.2026; Tuần 7: 19.10–25.10.2026; Tuần 8: 26.10–01.11.2026.</v>
      </c>
      <c r="N20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7" s="17" t="str">
        <f t="shared" si="31"/>
        <v>Còn trống</v>
      </c>
    </row>
    <row r="2008" spans="1:16" x14ac:dyDescent="0.3">
      <c r="A2008">
        <v>2007</v>
      </c>
      <c r="B2008" t="s">
        <v>4604</v>
      </c>
      <c r="C2008" t="s">
        <v>4631</v>
      </c>
      <c r="D2008" t="s">
        <v>4632</v>
      </c>
      <c r="E2008" t="s">
        <v>26</v>
      </c>
      <c r="F2008" t="s">
        <v>4612</v>
      </c>
      <c r="G2008" t="s">
        <v>4633</v>
      </c>
      <c r="H2008" t="str">
        <f>'Huong dan giao do an'!$B$14</f>
        <v>5 SV (vai trò chính): 1 PM/Scrum Master kiêm Integration; 2 BA/PO; 3 UI-UX + Frontend; 4 Backend/API + DevOps; 5 Database + QA/Tester. Mỗi SV có nhiệm vụ phụ và minh chứng cá nhân.</v>
      </c>
      <c r="I2008" t="s">
        <v>22</v>
      </c>
      <c r="J2008" t="s">
        <v>4609</v>
      </c>
      <c r="K2008" t="str">
        <f>IF(I2008="Trung bình",'Huong dan giao do an'!$B$8,IF(I2008="Khá",'Huong dan giao do an'!$B$9,'Huong dan giao do an'!$B$10))</f>
        <v>Tối thiểu 4 actor; 10-14 use case; 8-12 bảng; 3 quy trình lõi; phân quyền chi tiết; 2 báo cáo; tích hợp 1 dịch vụ; &gt;=35 test case; CI/CD hoặc deploy cloud.</v>
      </c>
      <c r="L2008" t="str">
        <f>'Huong dan giao do an'!$B$31</f>
        <v>Bắt buộc: Charter/PMP; SRS + scope/WBS; Gantt/baseline; effort-cost budget; RACI/timesheet; quality-test-defect; communication/minutes; risk register; procurement; change log; closure/lessons learned.</v>
      </c>
      <c r="M2008" t="str">
        <f>'Huong dan giao do an'!$B$33</f>
        <v>Tuần 1: 07.09–13.09.2026; Tuần 2: 14.09–20.09.2026; Tuần 3: 21.09–27.09.2026; Tuần 4: 28.09–04.10.2026; Tuần 5: 05.10–11.10.2026; Tuần 6: 12.10–18.10.2026; Tuần 7: 19.10–25.10.2026; Tuần 8: 26.10–01.11.2026.</v>
      </c>
      <c r="N20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8" s="17" t="str">
        <f t="shared" si="31"/>
        <v>Còn trống</v>
      </c>
    </row>
    <row r="2009" spans="1:16" x14ac:dyDescent="0.3">
      <c r="A2009">
        <v>2008</v>
      </c>
      <c r="B2009" t="s">
        <v>4604</v>
      </c>
      <c r="C2009" t="s">
        <v>4634</v>
      </c>
      <c r="D2009" t="s">
        <v>4635</v>
      </c>
      <c r="E2009" t="s">
        <v>33</v>
      </c>
      <c r="F2009" t="s">
        <v>4617</v>
      </c>
      <c r="G2009" t="s">
        <v>4636</v>
      </c>
      <c r="H2009" t="str">
        <f>'Huong dan giao do an'!$B$14</f>
        <v>5 SV (vai trò chính): 1 PM/Scrum Master kiêm Integration; 2 BA/PO; 3 UI-UX + Frontend; 4 Backend/API + DevOps; 5 Database + QA/Tester. Mỗi SV có nhiệm vụ phụ và minh chứng cá nhân.</v>
      </c>
      <c r="I2009" t="s">
        <v>29</v>
      </c>
      <c r="J2009" t="s">
        <v>4614</v>
      </c>
      <c r="K2009" t="str">
        <f>IF(I2009="Trung bình",'Huong dan giao do an'!$B$8,IF(I2009="Khá",'Huong dan giao do an'!$B$9,'Huong dan giao do an'!$B$10))</f>
        <v>Tối thiểu 5 actor; 14-18 use case; 10-15 bảng; 4 quy trình; tích hợp ngoài/realtime hoặc xử lý nâng cao; 3 báo cáo; &gt;=45 test case; logging, backup và deploy.</v>
      </c>
      <c r="L2009" t="str">
        <f>'Huong dan giao do an'!$B$31</f>
        <v>Bắt buộc: Charter/PMP; SRS + scope/WBS; Gantt/baseline; effort-cost budget; RACI/timesheet; quality-test-defect; communication/minutes; risk register; procurement; change log; closure/lessons learned.</v>
      </c>
      <c r="M2009" t="str">
        <f>'Huong dan giao do an'!$B$33</f>
        <v>Tuần 1: 07.09–13.09.2026; Tuần 2: 14.09–20.09.2026; Tuần 3: 21.09–27.09.2026; Tuần 4: 28.09–04.10.2026; Tuần 5: 05.10–11.10.2026; Tuần 6: 12.10–18.10.2026; Tuần 7: 19.10–25.10.2026; Tuần 8: 26.10–01.11.2026.</v>
      </c>
      <c r="N20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09" s="17" t="str">
        <f t="shared" si="31"/>
        <v>Còn trống</v>
      </c>
    </row>
    <row r="2010" spans="1:16" x14ac:dyDescent="0.3">
      <c r="A2010">
        <v>2009</v>
      </c>
      <c r="B2010" t="s">
        <v>4604</v>
      </c>
      <c r="C2010" t="s">
        <v>4637</v>
      </c>
      <c r="D2010" t="s">
        <v>4638</v>
      </c>
      <c r="E2010" t="s">
        <v>40</v>
      </c>
      <c r="F2010" t="s">
        <v>4622</v>
      </c>
      <c r="G2010" t="s">
        <v>4639</v>
      </c>
      <c r="H2010" t="str">
        <f>'Huong dan giao do an'!$B$14</f>
        <v>5 SV (vai trò chính): 1 PM/Scrum Master kiêm Integration; 2 BA/PO; 3 UI-UX + Frontend; 4 Backend/API + DevOps; 5 Database + QA/Tester. Mỗi SV có nhiệm vụ phụ và minh chứng cá nhân.</v>
      </c>
      <c r="I2010" t="s">
        <v>36</v>
      </c>
      <c r="J2010" t="s">
        <v>4619</v>
      </c>
      <c r="K2010" t="str">
        <f>IF(I2010="Trung bình",'Huong dan giao do an'!$B$8,IF(I2010="Khá",'Huong dan giao do an'!$B$9,'Huong dan giao do an'!$B$10))</f>
        <v>Tối thiểu 3 actor; 8-10 use case; 6-8 bảng dữ liệu; 2 quy trình lõi; đăng nhập/RBAC; 1 dashboard; 1 báo cáo; &gt;=25 test case; triển khai bản demo.</v>
      </c>
      <c r="L2010" t="str">
        <f>'Huong dan giao do an'!$B$31</f>
        <v>Bắt buộc: Charter/PMP; SRS + scope/WBS; Gantt/baseline; effort-cost budget; RACI/timesheet; quality-test-defect; communication/minutes; risk register; procurement; change log; closure/lessons learned.</v>
      </c>
      <c r="M2010" t="str">
        <f>'Huong dan giao do an'!$B$33</f>
        <v>Tuần 1: 07.09–13.09.2026; Tuần 2: 14.09–20.09.2026; Tuần 3: 21.09–27.09.2026; Tuần 4: 28.09–04.10.2026; Tuần 5: 05.10–11.10.2026; Tuần 6: 12.10–18.10.2026; Tuần 7: 19.10–25.10.2026; Tuần 8: 26.10–01.11.2026.</v>
      </c>
      <c r="N20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0" s="17" t="str">
        <f t="shared" si="31"/>
        <v>Còn trống</v>
      </c>
    </row>
    <row r="2011" spans="1:16" x14ac:dyDescent="0.3">
      <c r="A2011">
        <v>2010</v>
      </c>
      <c r="B2011" t="s">
        <v>4604</v>
      </c>
      <c r="C2011" t="s">
        <v>4640</v>
      </c>
      <c r="D2011" t="s">
        <v>4641</v>
      </c>
      <c r="E2011" t="s">
        <v>45</v>
      </c>
      <c r="F2011" t="s">
        <v>4626</v>
      </c>
      <c r="G2011" t="s">
        <v>4642</v>
      </c>
      <c r="H2011" t="str">
        <f>'Huong dan giao do an'!$B$14</f>
        <v>5 SV (vai trò chính): 1 PM/Scrum Master kiêm Integration; 2 BA/PO; 3 UI-UX + Frontend; 4 Backend/API + DevOps; 5 Database + QA/Tester. Mỗi SV có nhiệm vụ phụ và minh chứng cá nhân.</v>
      </c>
      <c r="I2011" t="s">
        <v>22</v>
      </c>
      <c r="J2011" t="s">
        <v>4609</v>
      </c>
      <c r="K2011" t="str">
        <f>IF(I2011="Trung bình",'Huong dan giao do an'!$B$8,IF(I2011="Khá",'Huong dan giao do an'!$B$9,'Huong dan giao do an'!$B$10))</f>
        <v>Tối thiểu 4 actor; 10-14 use case; 8-12 bảng; 3 quy trình lõi; phân quyền chi tiết; 2 báo cáo; tích hợp 1 dịch vụ; &gt;=35 test case; CI/CD hoặc deploy cloud.</v>
      </c>
      <c r="L2011" t="str">
        <f>'Huong dan giao do an'!$B$31</f>
        <v>Bắt buộc: Charter/PMP; SRS + scope/WBS; Gantt/baseline; effort-cost budget; RACI/timesheet; quality-test-defect; communication/minutes; risk register; procurement; change log; closure/lessons learned.</v>
      </c>
      <c r="M2011" t="str">
        <f>'Huong dan giao do an'!$B$33</f>
        <v>Tuần 1: 07.09–13.09.2026; Tuần 2: 14.09–20.09.2026; Tuần 3: 21.09–27.09.2026; Tuần 4: 28.09–04.10.2026; Tuần 5: 05.10–11.10.2026; Tuần 6: 12.10–18.10.2026; Tuần 7: 19.10–25.10.2026; Tuần 8: 26.10–01.11.2026.</v>
      </c>
      <c r="N20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1" s="17" t="str">
        <f t="shared" si="31"/>
        <v>Còn trống</v>
      </c>
    </row>
    <row r="2012" spans="1:16" x14ac:dyDescent="0.3">
      <c r="A2012">
        <v>2011</v>
      </c>
      <c r="B2012" t="s">
        <v>4604</v>
      </c>
      <c r="C2012" t="s">
        <v>4643</v>
      </c>
      <c r="D2012" t="s">
        <v>4644</v>
      </c>
      <c r="E2012" t="s">
        <v>19</v>
      </c>
      <c r="F2012" t="s">
        <v>4607</v>
      </c>
      <c r="G2012" t="s">
        <v>4645</v>
      </c>
      <c r="H2012" t="str">
        <f>'Huong dan giao do an'!$B$14</f>
        <v>5 SV (vai trò chính): 1 PM/Scrum Master kiêm Integration; 2 BA/PO; 3 UI-UX + Frontend; 4 Backend/API + DevOps; 5 Database + QA/Tester. Mỗi SV có nhiệm vụ phụ và minh chứng cá nhân.</v>
      </c>
      <c r="I2012" t="s">
        <v>29</v>
      </c>
      <c r="J2012" t="s">
        <v>4614</v>
      </c>
      <c r="K2012" t="str">
        <f>IF(I2012="Trung bình",'Huong dan giao do an'!$B$8,IF(I2012="Khá",'Huong dan giao do an'!$B$9,'Huong dan giao do an'!$B$10))</f>
        <v>Tối thiểu 5 actor; 14-18 use case; 10-15 bảng; 4 quy trình; tích hợp ngoài/realtime hoặc xử lý nâng cao; 3 báo cáo; &gt;=45 test case; logging, backup và deploy.</v>
      </c>
      <c r="L2012" t="str">
        <f>'Huong dan giao do an'!$B$31</f>
        <v>Bắt buộc: Charter/PMP; SRS + scope/WBS; Gantt/baseline; effort-cost budget; RACI/timesheet; quality-test-defect; communication/minutes; risk register; procurement; change log; closure/lessons learned.</v>
      </c>
      <c r="M2012" t="str">
        <f>'Huong dan giao do an'!$B$33</f>
        <v>Tuần 1: 07.09–13.09.2026; Tuần 2: 14.09–20.09.2026; Tuần 3: 21.09–27.09.2026; Tuần 4: 28.09–04.10.2026; Tuần 5: 05.10–11.10.2026; Tuần 6: 12.10–18.10.2026; Tuần 7: 19.10–25.10.2026; Tuần 8: 26.10–01.11.2026.</v>
      </c>
      <c r="N20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2" s="17" t="str">
        <f t="shared" si="31"/>
        <v>Còn trống</v>
      </c>
    </row>
    <row r="2013" spans="1:16" x14ac:dyDescent="0.3">
      <c r="A2013">
        <v>2012</v>
      </c>
      <c r="B2013" t="s">
        <v>4604</v>
      </c>
      <c r="C2013" t="s">
        <v>4646</v>
      </c>
      <c r="D2013" t="s">
        <v>4647</v>
      </c>
      <c r="E2013" t="s">
        <v>26</v>
      </c>
      <c r="F2013" t="s">
        <v>4612</v>
      </c>
      <c r="G2013" t="s">
        <v>4648</v>
      </c>
      <c r="H2013" t="str">
        <f>'Huong dan giao do an'!$B$14</f>
        <v>5 SV (vai trò chính): 1 PM/Scrum Master kiêm Integration; 2 BA/PO; 3 UI-UX + Frontend; 4 Backend/API + DevOps; 5 Database + QA/Tester. Mỗi SV có nhiệm vụ phụ và minh chứng cá nhân.</v>
      </c>
      <c r="I2013" t="s">
        <v>36</v>
      </c>
      <c r="J2013" t="s">
        <v>4619</v>
      </c>
      <c r="K2013" t="str">
        <f>IF(I2013="Trung bình",'Huong dan giao do an'!$B$8,IF(I2013="Khá",'Huong dan giao do an'!$B$9,'Huong dan giao do an'!$B$10))</f>
        <v>Tối thiểu 3 actor; 8-10 use case; 6-8 bảng dữ liệu; 2 quy trình lõi; đăng nhập/RBAC; 1 dashboard; 1 báo cáo; &gt;=25 test case; triển khai bản demo.</v>
      </c>
      <c r="L2013" t="str">
        <f>'Huong dan giao do an'!$B$31</f>
        <v>Bắt buộc: Charter/PMP; SRS + scope/WBS; Gantt/baseline; effort-cost budget; RACI/timesheet; quality-test-defect; communication/minutes; risk register; procurement; change log; closure/lessons learned.</v>
      </c>
      <c r="M2013" t="str">
        <f>'Huong dan giao do an'!$B$33</f>
        <v>Tuần 1: 07.09–13.09.2026; Tuần 2: 14.09–20.09.2026; Tuần 3: 21.09–27.09.2026; Tuần 4: 28.09–04.10.2026; Tuần 5: 05.10–11.10.2026; Tuần 6: 12.10–18.10.2026; Tuần 7: 19.10–25.10.2026; Tuần 8: 26.10–01.11.2026.</v>
      </c>
      <c r="N20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3" s="17" t="str">
        <f t="shared" si="31"/>
        <v>Còn trống</v>
      </c>
    </row>
    <row r="2014" spans="1:16" x14ac:dyDescent="0.3">
      <c r="A2014">
        <v>2013</v>
      </c>
      <c r="B2014" t="s">
        <v>4604</v>
      </c>
      <c r="C2014" t="s">
        <v>4649</v>
      </c>
      <c r="D2014" t="s">
        <v>4650</v>
      </c>
      <c r="E2014" t="s">
        <v>33</v>
      </c>
      <c r="F2014" t="s">
        <v>4617</v>
      </c>
      <c r="G2014" t="s">
        <v>4651</v>
      </c>
      <c r="H2014" t="str">
        <f>'Huong dan giao do an'!$B$14</f>
        <v>5 SV (vai trò chính): 1 PM/Scrum Master kiêm Integration; 2 BA/PO; 3 UI-UX + Frontend; 4 Backend/API + DevOps; 5 Database + QA/Tester. Mỗi SV có nhiệm vụ phụ và minh chứng cá nhân.</v>
      </c>
      <c r="I2014" t="s">
        <v>22</v>
      </c>
      <c r="J2014" t="s">
        <v>4609</v>
      </c>
      <c r="K2014" t="str">
        <f>IF(I2014="Trung bình",'Huong dan giao do an'!$B$8,IF(I2014="Khá",'Huong dan giao do an'!$B$9,'Huong dan giao do an'!$B$10))</f>
        <v>Tối thiểu 4 actor; 10-14 use case; 8-12 bảng; 3 quy trình lõi; phân quyền chi tiết; 2 báo cáo; tích hợp 1 dịch vụ; &gt;=35 test case; CI/CD hoặc deploy cloud.</v>
      </c>
      <c r="L2014" t="str">
        <f>'Huong dan giao do an'!$B$31</f>
        <v>Bắt buộc: Charter/PMP; SRS + scope/WBS; Gantt/baseline; effort-cost budget; RACI/timesheet; quality-test-defect; communication/minutes; risk register; procurement; change log; closure/lessons learned.</v>
      </c>
      <c r="M2014" t="str">
        <f>'Huong dan giao do an'!$B$33</f>
        <v>Tuần 1: 07.09–13.09.2026; Tuần 2: 14.09–20.09.2026; Tuần 3: 21.09–27.09.2026; Tuần 4: 28.09–04.10.2026; Tuần 5: 05.10–11.10.2026; Tuần 6: 12.10–18.10.2026; Tuần 7: 19.10–25.10.2026; Tuần 8: 26.10–01.11.2026.</v>
      </c>
      <c r="N20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4" s="17" t="str">
        <f t="shared" si="31"/>
        <v>Còn trống</v>
      </c>
    </row>
    <row r="2015" spans="1:16" x14ac:dyDescent="0.3">
      <c r="A2015">
        <v>2014</v>
      </c>
      <c r="B2015" t="s">
        <v>4604</v>
      </c>
      <c r="C2015" t="s">
        <v>4652</v>
      </c>
      <c r="D2015" t="s">
        <v>4653</v>
      </c>
      <c r="E2015" t="s">
        <v>40</v>
      </c>
      <c r="F2015" t="s">
        <v>4622</v>
      </c>
      <c r="G2015" t="s">
        <v>4654</v>
      </c>
      <c r="H2015" t="str">
        <f>'Huong dan giao do an'!$B$14</f>
        <v>5 SV (vai trò chính): 1 PM/Scrum Master kiêm Integration; 2 BA/PO; 3 UI-UX + Frontend; 4 Backend/API + DevOps; 5 Database + QA/Tester. Mỗi SV có nhiệm vụ phụ và minh chứng cá nhân.</v>
      </c>
      <c r="I2015" t="s">
        <v>29</v>
      </c>
      <c r="J2015" t="s">
        <v>4614</v>
      </c>
      <c r="K2015" t="str">
        <f>IF(I2015="Trung bình",'Huong dan giao do an'!$B$8,IF(I2015="Khá",'Huong dan giao do an'!$B$9,'Huong dan giao do an'!$B$10))</f>
        <v>Tối thiểu 5 actor; 14-18 use case; 10-15 bảng; 4 quy trình; tích hợp ngoài/realtime hoặc xử lý nâng cao; 3 báo cáo; &gt;=45 test case; logging, backup và deploy.</v>
      </c>
      <c r="L2015" t="str">
        <f>'Huong dan giao do an'!$B$31</f>
        <v>Bắt buộc: Charter/PMP; SRS + scope/WBS; Gantt/baseline; effort-cost budget; RACI/timesheet; quality-test-defect; communication/minutes; risk register; procurement; change log; closure/lessons learned.</v>
      </c>
      <c r="M2015" t="str">
        <f>'Huong dan giao do an'!$B$33</f>
        <v>Tuần 1: 07.09–13.09.2026; Tuần 2: 14.09–20.09.2026; Tuần 3: 21.09–27.09.2026; Tuần 4: 28.09–04.10.2026; Tuần 5: 05.10–11.10.2026; Tuần 6: 12.10–18.10.2026; Tuần 7: 19.10–25.10.2026; Tuần 8: 26.10–01.11.2026.</v>
      </c>
      <c r="N20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5" s="17" t="str">
        <f t="shared" si="31"/>
        <v>Còn trống</v>
      </c>
    </row>
    <row r="2016" spans="1:16" x14ac:dyDescent="0.3">
      <c r="A2016">
        <v>2015</v>
      </c>
      <c r="B2016" t="s">
        <v>4604</v>
      </c>
      <c r="C2016" t="s">
        <v>4655</v>
      </c>
      <c r="D2016" t="s">
        <v>4656</v>
      </c>
      <c r="E2016" t="s">
        <v>45</v>
      </c>
      <c r="F2016" t="s">
        <v>4626</v>
      </c>
      <c r="G2016" t="s">
        <v>4657</v>
      </c>
      <c r="H2016" t="str">
        <f>'Huong dan giao do an'!$B$14</f>
        <v>5 SV (vai trò chính): 1 PM/Scrum Master kiêm Integration; 2 BA/PO; 3 UI-UX + Frontend; 4 Backend/API + DevOps; 5 Database + QA/Tester. Mỗi SV có nhiệm vụ phụ và minh chứng cá nhân.</v>
      </c>
      <c r="I2016" t="s">
        <v>36</v>
      </c>
      <c r="J2016" t="s">
        <v>4619</v>
      </c>
      <c r="K2016" t="str">
        <f>IF(I2016="Trung bình",'Huong dan giao do an'!$B$8,IF(I2016="Khá",'Huong dan giao do an'!$B$9,'Huong dan giao do an'!$B$10))</f>
        <v>Tối thiểu 3 actor; 8-10 use case; 6-8 bảng dữ liệu; 2 quy trình lõi; đăng nhập/RBAC; 1 dashboard; 1 báo cáo; &gt;=25 test case; triển khai bản demo.</v>
      </c>
      <c r="L2016" t="str">
        <f>'Huong dan giao do an'!$B$31</f>
        <v>Bắt buộc: Charter/PMP; SRS + scope/WBS; Gantt/baseline; effort-cost budget; RACI/timesheet; quality-test-defect; communication/minutes; risk register; procurement; change log; closure/lessons learned.</v>
      </c>
      <c r="M2016" t="str">
        <f>'Huong dan giao do an'!$B$33</f>
        <v>Tuần 1: 07.09–13.09.2026; Tuần 2: 14.09–20.09.2026; Tuần 3: 21.09–27.09.2026; Tuần 4: 28.09–04.10.2026; Tuần 5: 05.10–11.10.2026; Tuần 6: 12.10–18.10.2026; Tuần 7: 19.10–25.10.2026; Tuần 8: 26.10–01.11.2026.</v>
      </c>
      <c r="N20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6" s="17" t="str">
        <f t="shared" si="31"/>
        <v>Còn trống</v>
      </c>
    </row>
    <row r="2017" spans="1:16" x14ac:dyDescent="0.3">
      <c r="A2017">
        <v>2016</v>
      </c>
      <c r="B2017" t="s">
        <v>4604</v>
      </c>
      <c r="C2017" t="s">
        <v>4658</v>
      </c>
      <c r="D2017" t="s">
        <v>4659</v>
      </c>
      <c r="E2017" t="s">
        <v>19</v>
      </c>
      <c r="F2017" t="s">
        <v>4607</v>
      </c>
      <c r="G2017" t="s">
        <v>4660</v>
      </c>
      <c r="H2017" t="str">
        <f>'Huong dan giao do an'!$B$14</f>
        <v>5 SV (vai trò chính): 1 PM/Scrum Master kiêm Integration; 2 BA/PO; 3 UI-UX + Frontend; 4 Backend/API + DevOps; 5 Database + QA/Tester. Mỗi SV có nhiệm vụ phụ và minh chứng cá nhân.</v>
      </c>
      <c r="I2017" t="s">
        <v>22</v>
      </c>
      <c r="J2017" t="s">
        <v>4609</v>
      </c>
      <c r="K2017" t="str">
        <f>IF(I2017="Trung bình",'Huong dan giao do an'!$B$8,IF(I2017="Khá",'Huong dan giao do an'!$B$9,'Huong dan giao do an'!$B$10))</f>
        <v>Tối thiểu 4 actor; 10-14 use case; 8-12 bảng; 3 quy trình lõi; phân quyền chi tiết; 2 báo cáo; tích hợp 1 dịch vụ; &gt;=35 test case; CI/CD hoặc deploy cloud.</v>
      </c>
      <c r="L2017" t="str">
        <f>'Huong dan giao do an'!$B$31</f>
        <v>Bắt buộc: Charter/PMP; SRS + scope/WBS; Gantt/baseline; effort-cost budget; RACI/timesheet; quality-test-defect; communication/minutes; risk register; procurement; change log; closure/lessons learned.</v>
      </c>
      <c r="M2017" t="str">
        <f>'Huong dan giao do an'!$B$33</f>
        <v>Tuần 1: 07.09–13.09.2026; Tuần 2: 14.09–20.09.2026; Tuần 3: 21.09–27.09.2026; Tuần 4: 28.09–04.10.2026; Tuần 5: 05.10–11.10.2026; Tuần 6: 12.10–18.10.2026; Tuần 7: 19.10–25.10.2026; Tuần 8: 26.10–01.11.2026.</v>
      </c>
      <c r="N20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7" s="17" t="str">
        <f t="shared" si="31"/>
        <v>Còn trống</v>
      </c>
    </row>
    <row r="2018" spans="1:16" x14ac:dyDescent="0.3">
      <c r="A2018">
        <v>2017</v>
      </c>
      <c r="B2018" t="s">
        <v>4604</v>
      </c>
      <c r="C2018" t="s">
        <v>4661</v>
      </c>
      <c r="D2018" t="s">
        <v>4662</v>
      </c>
      <c r="E2018" t="s">
        <v>26</v>
      </c>
      <c r="F2018" t="s">
        <v>4612</v>
      </c>
      <c r="G2018" t="s">
        <v>4663</v>
      </c>
      <c r="H2018" t="str">
        <f>'Huong dan giao do an'!$B$14</f>
        <v>5 SV (vai trò chính): 1 PM/Scrum Master kiêm Integration; 2 BA/PO; 3 UI-UX + Frontend; 4 Backend/API + DevOps; 5 Database + QA/Tester. Mỗi SV có nhiệm vụ phụ và minh chứng cá nhân.</v>
      </c>
      <c r="I2018" t="s">
        <v>29</v>
      </c>
      <c r="J2018" t="s">
        <v>4614</v>
      </c>
      <c r="K2018" t="str">
        <f>IF(I2018="Trung bình",'Huong dan giao do an'!$B$8,IF(I2018="Khá",'Huong dan giao do an'!$B$9,'Huong dan giao do an'!$B$10))</f>
        <v>Tối thiểu 5 actor; 14-18 use case; 10-15 bảng; 4 quy trình; tích hợp ngoài/realtime hoặc xử lý nâng cao; 3 báo cáo; &gt;=45 test case; logging, backup và deploy.</v>
      </c>
      <c r="L2018" t="str">
        <f>'Huong dan giao do an'!$B$31</f>
        <v>Bắt buộc: Charter/PMP; SRS + scope/WBS; Gantt/baseline; effort-cost budget; RACI/timesheet; quality-test-defect; communication/minutes; risk register; procurement; change log; closure/lessons learned.</v>
      </c>
      <c r="M2018" t="str">
        <f>'Huong dan giao do an'!$B$33</f>
        <v>Tuần 1: 07.09–13.09.2026; Tuần 2: 14.09–20.09.2026; Tuần 3: 21.09–27.09.2026; Tuần 4: 28.09–04.10.2026; Tuần 5: 05.10–11.10.2026; Tuần 6: 12.10–18.10.2026; Tuần 7: 19.10–25.10.2026; Tuần 8: 26.10–01.11.2026.</v>
      </c>
      <c r="N20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8" s="17" t="str">
        <f t="shared" si="31"/>
        <v>Còn trống</v>
      </c>
    </row>
    <row r="2019" spans="1:16" x14ac:dyDescent="0.3">
      <c r="A2019">
        <v>2018</v>
      </c>
      <c r="B2019" t="s">
        <v>4604</v>
      </c>
      <c r="C2019" t="s">
        <v>4664</v>
      </c>
      <c r="D2019" t="s">
        <v>4665</v>
      </c>
      <c r="E2019" t="s">
        <v>33</v>
      </c>
      <c r="F2019" t="s">
        <v>4617</v>
      </c>
      <c r="G2019" t="s">
        <v>4666</v>
      </c>
      <c r="H2019" t="str">
        <f>'Huong dan giao do an'!$B$14</f>
        <v>5 SV (vai trò chính): 1 PM/Scrum Master kiêm Integration; 2 BA/PO; 3 UI-UX + Frontend; 4 Backend/API + DevOps; 5 Database + QA/Tester. Mỗi SV có nhiệm vụ phụ và minh chứng cá nhân.</v>
      </c>
      <c r="I2019" t="s">
        <v>36</v>
      </c>
      <c r="J2019" t="s">
        <v>4619</v>
      </c>
      <c r="K2019" t="str">
        <f>IF(I2019="Trung bình",'Huong dan giao do an'!$B$8,IF(I2019="Khá",'Huong dan giao do an'!$B$9,'Huong dan giao do an'!$B$10))</f>
        <v>Tối thiểu 3 actor; 8-10 use case; 6-8 bảng dữ liệu; 2 quy trình lõi; đăng nhập/RBAC; 1 dashboard; 1 báo cáo; &gt;=25 test case; triển khai bản demo.</v>
      </c>
      <c r="L2019" t="str">
        <f>'Huong dan giao do an'!$B$31</f>
        <v>Bắt buộc: Charter/PMP; SRS + scope/WBS; Gantt/baseline; effort-cost budget; RACI/timesheet; quality-test-defect; communication/minutes; risk register; procurement; change log; closure/lessons learned.</v>
      </c>
      <c r="M2019" t="str">
        <f>'Huong dan giao do an'!$B$33</f>
        <v>Tuần 1: 07.09–13.09.2026; Tuần 2: 14.09–20.09.2026; Tuần 3: 21.09–27.09.2026; Tuần 4: 28.09–04.10.2026; Tuần 5: 05.10–11.10.2026; Tuần 6: 12.10–18.10.2026; Tuần 7: 19.10–25.10.2026; Tuần 8: 26.10–01.11.2026.</v>
      </c>
      <c r="N20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19" s="17" t="str">
        <f t="shared" si="31"/>
        <v>Còn trống</v>
      </c>
    </row>
    <row r="2020" spans="1:16" x14ac:dyDescent="0.3">
      <c r="A2020">
        <v>2019</v>
      </c>
      <c r="B2020" t="s">
        <v>4604</v>
      </c>
      <c r="C2020" t="s">
        <v>4667</v>
      </c>
      <c r="D2020" t="s">
        <v>4668</v>
      </c>
      <c r="E2020" t="s">
        <v>40</v>
      </c>
      <c r="F2020" t="s">
        <v>4622</v>
      </c>
      <c r="G2020" t="s">
        <v>4669</v>
      </c>
      <c r="H2020" t="str">
        <f>'Huong dan giao do an'!$B$14</f>
        <v>5 SV (vai trò chính): 1 PM/Scrum Master kiêm Integration; 2 BA/PO; 3 UI-UX + Frontend; 4 Backend/API + DevOps; 5 Database + QA/Tester. Mỗi SV có nhiệm vụ phụ và minh chứng cá nhân.</v>
      </c>
      <c r="I2020" t="s">
        <v>22</v>
      </c>
      <c r="J2020" t="s">
        <v>4609</v>
      </c>
      <c r="K2020" t="str">
        <f>IF(I2020="Trung bình",'Huong dan giao do an'!$B$8,IF(I2020="Khá",'Huong dan giao do an'!$B$9,'Huong dan giao do an'!$B$10))</f>
        <v>Tối thiểu 4 actor; 10-14 use case; 8-12 bảng; 3 quy trình lõi; phân quyền chi tiết; 2 báo cáo; tích hợp 1 dịch vụ; &gt;=35 test case; CI/CD hoặc deploy cloud.</v>
      </c>
      <c r="L2020" t="str">
        <f>'Huong dan giao do an'!$B$31</f>
        <v>Bắt buộc: Charter/PMP; SRS + scope/WBS; Gantt/baseline; effort-cost budget; RACI/timesheet; quality-test-defect; communication/minutes; risk register; procurement; change log; closure/lessons learned.</v>
      </c>
      <c r="M2020" t="str">
        <f>'Huong dan giao do an'!$B$33</f>
        <v>Tuần 1: 07.09–13.09.2026; Tuần 2: 14.09–20.09.2026; Tuần 3: 21.09–27.09.2026; Tuần 4: 28.09–04.10.2026; Tuần 5: 05.10–11.10.2026; Tuần 6: 12.10–18.10.2026; Tuần 7: 19.10–25.10.2026; Tuần 8: 26.10–01.11.2026.</v>
      </c>
      <c r="N20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0" s="17" t="str">
        <f t="shared" si="31"/>
        <v>Còn trống</v>
      </c>
    </row>
    <row r="2021" spans="1:16" x14ac:dyDescent="0.3">
      <c r="A2021">
        <v>2020</v>
      </c>
      <c r="B2021" t="s">
        <v>4604</v>
      </c>
      <c r="C2021" t="s">
        <v>4670</v>
      </c>
      <c r="D2021" t="s">
        <v>4671</v>
      </c>
      <c r="E2021" t="s">
        <v>45</v>
      </c>
      <c r="F2021" t="s">
        <v>4626</v>
      </c>
      <c r="G2021" t="s">
        <v>4672</v>
      </c>
      <c r="H2021" t="str">
        <f>'Huong dan giao do an'!$B$14</f>
        <v>5 SV (vai trò chính): 1 PM/Scrum Master kiêm Integration; 2 BA/PO; 3 UI-UX + Frontend; 4 Backend/API + DevOps; 5 Database + QA/Tester. Mỗi SV có nhiệm vụ phụ và minh chứng cá nhân.</v>
      </c>
      <c r="I2021" t="s">
        <v>29</v>
      </c>
      <c r="J2021" t="s">
        <v>4614</v>
      </c>
      <c r="K2021" t="str">
        <f>IF(I2021="Trung bình",'Huong dan giao do an'!$B$8,IF(I2021="Khá",'Huong dan giao do an'!$B$9,'Huong dan giao do an'!$B$10))</f>
        <v>Tối thiểu 5 actor; 14-18 use case; 10-15 bảng; 4 quy trình; tích hợp ngoài/realtime hoặc xử lý nâng cao; 3 báo cáo; &gt;=45 test case; logging, backup và deploy.</v>
      </c>
      <c r="L2021" t="str">
        <f>'Huong dan giao do an'!$B$31</f>
        <v>Bắt buộc: Charter/PMP; SRS + scope/WBS; Gantt/baseline; effort-cost budget; RACI/timesheet; quality-test-defect; communication/minutes; risk register; procurement; change log; closure/lessons learned.</v>
      </c>
      <c r="M2021" t="str">
        <f>'Huong dan giao do an'!$B$33</f>
        <v>Tuần 1: 07.09–13.09.2026; Tuần 2: 14.09–20.09.2026; Tuần 3: 21.09–27.09.2026; Tuần 4: 28.09–04.10.2026; Tuần 5: 05.10–11.10.2026; Tuần 6: 12.10–18.10.2026; Tuần 7: 19.10–25.10.2026; Tuần 8: 26.10–01.11.2026.</v>
      </c>
      <c r="N20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1" s="17" t="str">
        <f t="shared" si="31"/>
        <v>Còn trống</v>
      </c>
    </row>
    <row r="2022" spans="1:16" x14ac:dyDescent="0.3">
      <c r="A2022">
        <v>2021</v>
      </c>
      <c r="B2022" t="s">
        <v>4604</v>
      </c>
      <c r="C2022" t="s">
        <v>4673</v>
      </c>
      <c r="D2022" t="s">
        <v>4674</v>
      </c>
      <c r="E2022" t="s">
        <v>19</v>
      </c>
      <c r="F2022" t="s">
        <v>4607</v>
      </c>
      <c r="G2022" t="s">
        <v>4608</v>
      </c>
      <c r="H2022" t="str">
        <f>'Huong dan giao do an'!$B$14</f>
        <v>5 SV (vai trò chính): 1 PM/Scrum Master kiêm Integration; 2 BA/PO; 3 UI-UX + Frontend; 4 Backend/API + DevOps; 5 Database + QA/Tester. Mỗi SV có nhiệm vụ phụ và minh chứng cá nhân.</v>
      </c>
      <c r="I2022" t="s">
        <v>22</v>
      </c>
      <c r="J2022" t="s">
        <v>4609</v>
      </c>
      <c r="K2022" t="str">
        <f>IF(I2022="Trung bình",'Huong dan giao do an'!$B$8,IF(I2022="Khá",'Huong dan giao do an'!$B$9,'Huong dan giao do an'!$B$10))</f>
        <v>Tối thiểu 4 actor; 10-14 use case; 8-12 bảng; 3 quy trình lõi; phân quyền chi tiết; 2 báo cáo; tích hợp 1 dịch vụ; &gt;=35 test case; CI/CD hoặc deploy cloud.</v>
      </c>
      <c r="L2022" t="str">
        <f>'Huong dan giao do an'!$B$31</f>
        <v>Bắt buộc: Charter/PMP; SRS + scope/WBS; Gantt/baseline; effort-cost budget; RACI/timesheet; quality-test-defect; communication/minutes; risk register; procurement; change log; closure/lessons learned.</v>
      </c>
      <c r="M2022" t="str">
        <f>'Huong dan giao do an'!$B$33</f>
        <v>Tuần 1: 07.09–13.09.2026; Tuần 2: 14.09–20.09.2026; Tuần 3: 21.09–27.09.2026; Tuần 4: 28.09–04.10.2026; Tuần 5: 05.10–11.10.2026; Tuần 6: 12.10–18.10.2026; Tuần 7: 19.10–25.10.2026; Tuần 8: 26.10–01.11.2026.</v>
      </c>
      <c r="N20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2" s="17" t="str">
        <f t="shared" si="31"/>
        <v>Còn trống</v>
      </c>
    </row>
    <row r="2023" spans="1:16" x14ac:dyDescent="0.3">
      <c r="A2023">
        <v>2022</v>
      </c>
      <c r="B2023" t="s">
        <v>4604</v>
      </c>
      <c r="C2023" t="s">
        <v>4675</v>
      </c>
      <c r="D2023" t="s">
        <v>4676</v>
      </c>
      <c r="E2023" t="s">
        <v>26</v>
      </c>
      <c r="F2023" t="s">
        <v>4612</v>
      </c>
      <c r="G2023" t="s">
        <v>4613</v>
      </c>
      <c r="H2023" t="str">
        <f>'Huong dan giao do an'!$B$14</f>
        <v>5 SV (vai trò chính): 1 PM/Scrum Master kiêm Integration; 2 BA/PO; 3 UI-UX + Frontend; 4 Backend/API + DevOps; 5 Database + QA/Tester. Mỗi SV có nhiệm vụ phụ và minh chứng cá nhân.</v>
      </c>
      <c r="I2023" t="s">
        <v>29</v>
      </c>
      <c r="J2023" t="s">
        <v>4614</v>
      </c>
      <c r="K2023" t="str">
        <f>IF(I2023="Trung bình",'Huong dan giao do an'!$B$8,IF(I2023="Khá",'Huong dan giao do an'!$B$9,'Huong dan giao do an'!$B$10))</f>
        <v>Tối thiểu 5 actor; 14-18 use case; 10-15 bảng; 4 quy trình; tích hợp ngoài/realtime hoặc xử lý nâng cao; 3 báo cáo; &gt;=45 test case; logging, backup và deploy.</v>
      </c>
      <c r="L2023" t="str">
        <f>'Huong dan giao do an'!$B$31</f>
        <v>Bắt buộc: Charter/PMP; SRS + scope/WBS; Gantt/baseline; effort-cost budget; RACI/timesheet; quality-test-defect; communication/minutes; risk register; procurement; change log; closure/lessons learned.</v>
      </c>
      <c r="M2023" t="str">
        <f>'Huong dan giao do an'!$B$33</f>
        <v>Tuần 1: 07.09–13.09.2026; Tuần 2: 14.09–20.09.2026; Tuần 3: 21.09–27.09.2026; Tuần 4: 28.09–04.10.2026; Tuần 5: 05.10–11.10.2026; Tuần 6: 12.10–18.10.2026; Tuần 7: 19.10–25.10.2026; Tuần 8: 26.10–01.11.2026.</v>
      </c>
      <c r="N20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3" s="17" t="str">
        <f t="shared" si="31"/>
        <v>Còn trống</v>
      </c>
    </row>
    <row r="2024" spans="1:16" x14ac:dyDescent="0.3">
      <c r="A2024">
        <v>2023</v>
      </c>
      <c r="B2024" t="s">
        <v>4604</v>
      </c>
      <c r="C2024" t="s">
        <v>4677</v>
      </c>
      <c r="D2024" t="s">
        <v>4678</v>
      </c>
      <c r="E2024" t="s">
        <v>33</v>
      </c>
      <c r="F2024" t="s">
        <v>4617</v>
      </c>
      <c r="G2024" t="s">
        <v>4618</v>
      </c>
      <c r="H2024" t="str">
        <f>'Huong dan giao do an'!$B$14</f>
        <v>5 SV (vai trò chính): 1 PM/Scrum Master kiêm Integration; 2 BA/PO; 3 UI-UX + Frontend; 4 Backend/API + DevOps; 5 Database + QA/Tester. Mỗi SV có nhiệm vụ phụ và minh chứng cá nhân.</v>
      </c>
      <c r="I2024" t="s">
        <v>36</v>
      </c>
      <c r="J2024" t="s">
        <v>4619</v>
      </c>
      <c r="K2024" t="str">
        <f>IF(I2024="Trung bình",'Huong dan giao do an'!$B$8,IF(I2024="Khá",'Huong dan giao do an'!$B$9,'Huong dan giao do an'!$B$10))</f>
        <v>Tối thiểu 3 actor; 8-10 use case; 6-8 bảng dữ liệu; 2 quy trình lõi; đăng nhập/RBAC; 1 dashboard; 1 báo cáo; &gt;=25 test case; triển khai bản demo.</v>
      </c>
      <c r="L2024" t="str">
        <f>'Huong dan giao do an'!$B$31</f>
        <v>Bắt buộc: Charter/PMP; SRS + scope/WBS; Gantt/baseline; effort-cost budget; RACI/timesheet; quality-test-defect; communication/minutes; risk register; procurement; change log; closure/lessons learned.</v>
      </c>
      <c r="M2024" t="str">
        <f>'Huong dan giao do an'!$B$33</f>
        <v>Tuần 1: 07.09–13.09.2026; Tuần 2: 14.09–20.09.2026; Tuần 3: 21.09–27.09.2026; Tuần 4: 28.09–04.10.2026; Tuần 5: 05.10–11.10.2026; Tuần 6: 12.10–18.10.2026; Tuần 7: 19.10–25.10.2026; Tuần 8: 26.10–01.11.2026.</v>
      </c>
      <c r="N20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4" s="17" t="str">
        <f t="shared" si="31"/>
        <v>Còn trống</v>
      </c>
    </row>
    <row r="2025" spans="1:16" x14ac:dyDescent="0.3">
      <c r="A2025">
        <v>2024</v>
      </c>
      <c r="B2025" t="s">
        <v>4604</v>
      </c>
      <c r="C2025" t="s">
        <v>4679</v>
      </c>
      <c r="D2025" t="s">
        <v>4680</v>
      </c>
      <c r="E2025" t="s">
        <v>40</v>
      </c>
      <c r="F2025" t="s">
        <v>4622</v>
      </c>
      <c r="G2025" t="s">
        <v>4623</v>
      </c>
      <c r="H2025" t="str">
        <f>'Huong dan giao do an'!$B$14</f>
        <v>5 SV (vai trò chính): 1 PM/Scrum Master kiêm Integration; 2 BA/PO; 3 UI-UX + Frontend; 4 Backend/API + DevOps; 5 Database + QA/Tester. Mỗi SV có nhiệm vụ phụ và minh chứng cá nhân.</v>
      </c>
      <c r="I2025" t="s">
        <v>22</v>
      </c>
      <c r="J2025" t="s">
        <v>4609</v>
      </c>
      <c r="K2025" t="str">
        <f>IF(I2025="Trung bình",'Huong dan giao do an'!$B$8,IF(I2025="Khá",'Huong dan giao do an'!$B$9,'Huong dan giao do an'!$B$10))</f>
        <v>Tối thiểu 4 actor; 10-14 use case; 8-12 bảng; 3 quy trình lõi; phân quyền chi tiết; 2 báo cáo; tích hợp 1 dịch vụ; &gt;=35 test case; CI/CD hoặc deploy cloud.</v>
      </c>
      <c r="L2025" t="str">
        <f>'Huong dan giao do an'!$B$31</f>
        <v>Bắt buộc: Charter/PMP; SRS + scope/WBS; Gantt/baseline; effort-cost budget; RACI/timesheet; quality-test-defect; communication/minutes; risk register; procurement; change log; closure/lessons learned.</v>
      </c>
      <c r="M2025" t="str">
        <f>'Huong dan giao do an'!$B$33</f>
        <v>Tuần 1: 07.09–13.09.2026; Tuần 2: 14.09–20.09.2026; Tuần 3: 21.09–27.09.2026; Tuần 4: 28.09–04.10.2026; Tuần 5: 05.10–11.10.2026; Tuần 6: 12.10–18.10.2026; Tuần 7: 19.10–25.10.2026; Tuần 8: 26.10–01.11.2026.</v>
      </c>
      <c r="N20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5" s="17" t="str">
        <f t="shared" si="31"/>
        <v>Còn trống</v>
      </c>
    </row>
    <row r="2026" spans="1:16" x14ac:dyDescent="0.3">
      <c r="A2026">
        <v>2025</v>
      </c>
      <c r="B2026" t="s">
        <v>4604</v>
      </c>
      <c r="C2026" t="s">
        <v>4681</v>
      </c>
      <c r="D2026" t="s">
        <v>4682</v>
      </c>
      <c r="E2026" t="s">
        <v>45</v>
      </c>
      <c r="F2026" t="s">
        <v>4626</v>
      </c>
      <c r="G2026" t="s">
        <v>4627</v>
      </c>
      <c r="H2026" t="str">
        <f>'Huong dan giao do an'!$B$14</f>
        <v>5 SV (vai trò chính): 1 PM/Scrum Master kiêm Integration; 2 BA/PO; 3 UI-UX + Frontend; 4 Backend/API + DevOps; 5 Database + QA/Tester. Mỗi SV có nhiệm vụ phụ và minh chứng cá nhân.</v>
      </c>
      <c r="I2026" t="s">
        <v>29</v>
      </c>
      <c r="J2026" t="s">
        <v>4614</v>
      </c>
      <c r="K2026" t="str">
        <f>IF(I2026="Trung bình",'Huong dan giao do an'!$B$8,IF(I2026="Khá",'Huong dan giao do an'!$B$9,'Huong dan giao do an'!$B$10))</f>
        <v>Tối thiểu 5 actor; 14-18 use case; 10-15 bảng; 4 quy trình; tích hợp ngoài/realtime hoặc xử lý nâng cao; 3 báo cáo; &gt;=45 test case; logging, backup và deploy.</v>
      </c>
      <c r="L2026" t="str">
        <f>'Huong dan giao do an'!$B$31</f>
        <v>Bắt buộc: Charter/PMP; SRS + scope/WBS; Gantt/baseline; effort-cost budget; RACI/timesheet; quality-test-defect; communication/minutes; risk register; procurement; change log; closure/lessons learned.</v>
      </c>
      <c r="M2026" t="str">
        <f>'Huong dan giao do an'!$B$33</f>
        <v>Tuần 1: 07.09–13.09.2026; Tuần 2: 14.09–20.09.2026; Tuần 3: 21.09–27.09.2026; Tuần 4: 28.09–04.10.2026; Tuần 5: 05.10–11.10.2026; Tuần 6: 12.10–18.10.2026; Tuần 7: 19.10–25.10.2026; Tuần 8: 26.10–01.11.2026.</v>
      </c>
      <c r="N20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6" s="17" t="str">
        <f t="shared" si="31"/>
        <v>Còn trống</v>
      </c>
    </row>
    <row r="2027" spans="1:16" x14ac:dyDescent="0.3">
      <c r="A2027">
        <v>2026</v>
      </c>
      <c r="B2027" t="s">
        <v>4604</v>
      </c>
      <c r="C2027" t="s">
        <v>4683</v>
      </c>
      <c r="D2027" t="s">
        <v>4684</v>
      </c>
      <c r="E2027" t="s">
        <v>19</v>
      </c>
      <c r="F2027" t="s">
        <v>4607</v>
      </c>
      <c r="G2027" t="s">
        <v>4630</v>
      </c>
      <c r="H2027" t="str">
        <f>'Huong dan giao do an'!$B$14</f>
        <v>5 SV (vai trò chính): 1 PM/Scrum Master kiêm Integration; 2 BA/PO; 3 UI-UX + Frontend; 4 Backend/API + DevOps; 5 Database + QA/Tester. Mỗi SV có nhiệm vụ phụ và minh chứng cá nhân.</v>
      </c>
      <c r="I2027" t="s">
        <v>36</v>
      </c>
      <c r="J2027" t="s">
        <v>4619</v>
      </c>
      <c r="K2027" t="str">
        <f>IF(I2027="Trung bình",'Huong dan giao do an'!$B$8,IF(I2027="Khá",'Huong dan giao do an'!$B$9,'Huong dan giao do an'!$B$10))</f>
        <v>Tối thiểu 3 actor; 8-10 use case; 6-8 bảng dữ liệu; 2 quy trình lõi; đăng nhập/RBAC; 1 dashboard; 1 báo cáo; &gt;=25 test case; triển khai bản demo.</v>
      </c>
      <c r="L2027" t="str">
        <f>'Huong dan giao do an'!$B$31</f>
        <v>Bắt buộc: Charter/PMP; SRS + scope/WBS; Gantt/baseline; effort-cost budget; RACI/timesheet; quality-test-defect; communication/minutes; risk register; procurement; change log; closure/lessons learned.</v>
      </c>
      <c r="M2027" t="str">
        <f>'Huong dan giao do an'!$B$33</f>
        <v>Tuần 1: 07.09–13.09.2026; Tuần 2: 14.09–20.09.2026; Tuần 3: 21.09–27.09.2026; Tuần 4: 28.09–04.10.2026; Tuần 5: 05.10–11.10.2026; Tuần 6: 12.10–18.10.2026; Tuần 7: 19.10–25.10.2026; Tuần 8: 26.10–01.11.2026.</v>
      </c>
      <c r="N20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7" s="17" t="str">
        <f t="shared" si="31"/>
        <v>Còn trống</v>
      </c>
    </row>
    <row r="2028" spans="1:16" x14ac:dyDescent="0.3">
      <c r="A2028">
        <v>2027</v>
      </c>
      <c r="B2028" t="s">
        <v>4604</v>
      </c>
      <c r="C2028" t="s">
        <v>4685</v>
      </c>
      <c r="D2028" t="s">
        <v>4686</v>
      </c>
      <c r="E2028" t="s">
        <v>26</v>
      </c>
      <c r="F2028" t="s">
        <v>4612</v>
      </c>
      <c r="G2028" t="s">
        <v>4633</v>
      </c>
      <c r="H2028" t="str">
        <f>'Huong dan giao do an'!$B$14</f>
        <v>5 SV (vai trò chính): 1 PM/Scrum Master kiêm Integration; 2 BA/PO; 3 UI-UX + Frontend; 4 Backend/API + DevOps; 5 Database + QA/Tester. Mỗi SV có nhiệm vụ phụ và minh chứng cá nhân.</v>
      </c>
      <c r="I2028" t="s">
        <v>22</v>
      </c>
      <c r="J2028" t="s">
        <v>4609</v>
      </c>
      <c r="K2028" t="str">
        <f>IF(I2028="Trung bình",'Huong dan giao do an'!$B$8,IF(I2028="Khá",'Huong dan giao do an'!$B$9,'Huong dan giao do an'!$B$10))</f>
        <v>Tối thiểu 4 actor; 10-14 use case; 8-12 bảng; 3 quy trình lõi; phân quyền chi tiết; 2 báo cáo; tích hợp 1 dịch vụ; &gt;=35 test case; CI/CD hoặc deploy cloud.</v>
      </c>
      <c r="L2028" t="str">
        <f>'Huong dan giao do an'!$B$31</f>
        <v>Bắt buộc: Charter/PMP; SRS + scope/WBS; Gantt/baseline; effort-cost budget; RACI/timesheet; quality-test-defect; communication/minutes; risk register; procurement; change log; closure/lessons learned.</v>
      </c>
      <c r="M2028" t="str">
        <f>'Huong dan giao do an'!$B$33</f>
        <v>Tuần 1: 07.09–13.09.2026; Tuần 2: 14.09–20.09.2026; Tuần 3: 21.09–27.09.2026; Tuần 4: 28.09–04.10.2026; Tuần 5: 05.10–11.10.2026; Tuần 6: 12.10–18.10.2026; Tuần 7: 19.10–25.10.2026; Tuần 8: 26.10–01.11.2026.</v>
      </c>
      <c r="N20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8" s="17" t="str">
        <f t="shared" si="31"/>
        <v>Còn trống</v>
      </c>
    </row>
    <row r="2029" spans="1:16" x14ac:dyDescent="0.3">
      <c r="A2029">
        <v>2028</v>
      </c>
      <c r="B2029" t="s">
        <v>4604</v>
      </c>
      <c r="C2029" t="s">
        <v>4687</v>
      </c>
      <c r="D2029" t="s">
        <v>4688</v>
      </c>
      <c r="E2029" t="s">
        <v>33</v>
      </c>
      <c r="F2029" t="s">
        <v>4617</v>
      </c>
      <c r="G2029" t="s">
        <v>4636</v>
      </c>
      <c r="H2029" t="str">
        <f>'Huong dan giao do an'!$B$14</f>
        <v>5 SV (vai trò chính): 1 PM/Scrum Master kiêm Integration; 2 BA/PO; 3 UI-UX + Frontend; 4 Backend/API + DevOps; 5 Database + QA/Tester. Mỗi SV có nhiệm vụ phụ và minh chứng cá nhân.</v>
      </c>
      <c r="I2029" t="s">
        <v>29</v>
      </c>
      <c r="J2029" t="s">
        <v>4614</v>
      </c>
      <c r="K2029" t="str">
        <f>IF(I2029="Trung bình",'Huong dan giao do an'!$B$8,IF(I2029="Khá",'Huong dan giao do an'!$B$9,'Huong dan giao do an'!$B$10))</f>
        <v>Tối thiểu 5 actor; 14-18 use case; 10-15 bảng; 4 quy trình; tích hợp ngoài/realtime hoặc xử lý nâng cao; 3 báo cáo; &gt;=45 test case; logging, backup và deploy.</v>
      </c>
      <c r="L2029" t="str">
        <f>'Huong dan giao do an'!$B$31</f>
        <v>Bắt buộc: Charter/PMP; SRS + scope/WBS; Gantt/baseline; effort-cost budget; RACI/timesheet; quality-test-defect; communication/minutes; risk register; procurement; change log; closure/lessons learned.</v>
      </c>
      <c r="M2029" t="str">
        <f>'Huong dan giao do an'!$B$33</f>
        <v>Tuần 1: 07.09–13.09.2026; Tuần 2: 14.09–20.09.2026; Tuần 3: 21.09–27.09.2026; Tuần 4: 28.09–04.10.2026; Tuần 5: 05.10–11.10.2026; Tuần 6: 12.10–18.10.2026; Tuần 7: 19.10–25.10.2026; Tuần 8: 26.10–01.11.2026.</v>
      </c>
      <c r="N20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29" s="17" t="str">
        <f t="shared" si="31"/>
        <v>Còn trống</v>
      </c>
    </row>
    <row r="2030" spans="1:16" x14ac:dyDescent="0.3">
      <c r="A2030">
        <v>2029</v>
      </c>
      <c r="B2030" t="s">
        <v>4604</v>
      </c>
      <c r="C2030" t="s">
        <v>4689</v>
      </c>
      <c r="D2030" t="s">
        <v>4690</v>
      </c>
      <c r="E2030" t="s">
        <v>40</v>
      </c>
      <c r="F2030" t="s">
        <v>4622</v>
      </c>
      <c r="G2030" t="s">
        <v>4639</v>
      </c>
      <c r="H2030" t="str">
        <f>'Huong dan giao do an'!$B$14</f>
        <v>5 SV (vai trò chính): 1 PM/Scrum Master kiêm Integration; 2 BA/PO; 3 UI-UX + Frontend; 4 Backend/API + DevOps; 5 Database + QA/Tester. Mỗi SV có nhiệm vụ phụ và minh chứng cá nhân.</v>
      </c>
      <c r="I2030" t="s">
        <v>36</v>
      </c>
      <c r="J2030" t="s">
        <v>4619</v>
      </c>
      <c r="K2030" t="str">
        <f>IF(I2030="Trung bình",'Huong dan giao do an'!$B$8,IF(I2030="Khá",'Huong dan giao do an'!$B$9,'Huong dan giao do an'!$B$10))</f>
        <v>Tối thiểu 3 actor; 8-10 use case; 6-8 bảng dữ liệu; 2 quy trình lõi; đăng nhập/RBAC; 1 dashboard; 1 báo cáo; &gt;=25 test case; triển khai bản demo.</v>
      </c>
      <c r="L2030" t="str">
        <f>'Huong dan giao do an'!$B$31</f>
        <v>Bắt buộc: Charter/PMP; SRS + scope/WBS; Gantt/baseline; effort-cost budget; RACI/timesheet; quality-test-defect; communication/minutes; risk register; procurement; change log; closure/lessons learned.</v>
      </c>
      <c r="M2030" t="str">
        <f>'Huong dan giao do an'!$B$33</f>
        <v>Tuần 1: 07.09–13.09.2026; Tuần 2: 14.09–20.09.2026; Tuần 3: 21.09–27.09.2026; Tuần 4: 28.09–04.10.2026; Tuần 5: 05.10–11.10.2026; Tuần 6: 12.10–18.10.2026; Tuần 7: 19.10–25.10.2026; Tuần 8: 26.10–01.11.2026.</v>
      </c>
      <c r="N20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0" s="17" t="str">
        <f t="shared" si="31"/>
        <v>Còn trống</v>
      </c>
    </row>
    <row r="2031" spans="1:16" x14ac:dyDescent="0.3">
      <c r="A2031">
        <v>2030</v>
      </c>
      <c r="B2031" t="s">
        <v>4604</v>
      </c>
      <c r="C2031" t="s">
        <v>4691</v>
      </c>
      <c r="D2031" t="s">
        <v>4692</v>
      </c>
      <c r="E2031" t="s">
        <v>45</v>
      </c>
      <c r="F2031" t="s">
        <v>4626</v>
      </c>
      <c r="G2031" t="s">
        <v>4642</v>
      </c>
      <c r="H2031" t="str">
        <f>'Huong dan giao do an'!$B$14</f>
        <v>5 SV (vai trò chính): 1 PM/Scrum Master kiêm Integration; 2 BA/PO; 3 UI-UX + Frontend; 4 Backend/API + DevOps; 5 Database + QA/Tester. Mỗi SV có nhiệm vụ phụ và minh chứng cá nhân.</v>
      </c>
      <c r="I2031" t="s">
        <v>22</v>
      </c>
      <c r="J2031" t="s">
        <v>4609</v>
      </c>
      <c r="K2031" t="str">
        <f>IF(I2031="Trung bình",'Huong dan giao do an'!$B$8,IF(I2031="Khá",'Huong dan giao do an'!$B$9,'Huong dan giao do an'!$B$10))</f>
        <v>Tối thiểu 4 actor; 10-14 use case; 8-12 bảng; 3 quy trình lõi; phân quyền chi tiết; 2 báo cáo; tích hợp 1 dịch vụ; &gt;=35 test case; CI/CD hoặc deploy cloud.</v>
      </c>
      <c r="L2031" t="str">
        <f>'Huong dan giao do an'!$B$31</f>
        <v>Bắt buộc: Charter/PMP; SRS + scope/WBS; Gantt/baseline; effort-cost budget; RACI/timesheet; quality-test-defect; communication/minutes; risk register; procurement; change log; closure/lessons learned.</v>
      </c>
      <c r="M2031" t="str">
        <f>'Huong dan giao do an'!$B$33</f>
        <v>Tuần 1: 07.09–13.09.2026; Tuần 2: 14.09–20.09.2026; Tuần 3: 21.09–27.09.2026; Tuần 4: 28.09–04.10.2026; Tuần 5: 05.10–11.10.2026; Tuần 6: 12.10–18.10.2026; Tuần 7: 19.10–25.10.2026; Tuần 8: 26.10–01.11.2026.</v>
      </c>
      <c r="N20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1" s="17" t="str">
        <f t="shared" si="31"/>
        <v>Còn trống</v>
      </c>
    </row>
    <row r="2032" spans="1:16" x14ac:dyDescent="0.3">
      <c r="A2032">
        <v>2031</v>
      </c>
      <c r="B2032" t="s">
        <v>4604</v>
      </c>
      <c r="C2032" t="s">
        <v>4693</v>
      </c>
      <c r="D2032" t="s">
        <v>4694</v>
      </c>
      <c r="E2032" t="s">
        <v>19</v>
      </c>
      <c r="F2032" t="s">
        <v>4607</v>
      </c>
      <c r="G2032" t="s">
        <v>4645</v>
      </c>
      <c r="H2032" t="str">
        <f>'Huong dan giao do an'!$B$14</f>
        <v>5 SV (vai trò chính): 1 PM/Scrum Master kiêm Integration; 2 BA/PO; 3 UI-UX + Frontend; 4 Backend/API + DevOps; 5 Database + QA/Tester. Mỗi SV có nhiệm vụ phụ và minh chứng cá nhân.</v>
      </c>
      <c r="I2032" t="s">
        <v>29</v>
      </c>
      <c r="J2032" t="s">
        <v>4614</v>
      </c>
      <c r="K2032" t="str">
        <f>IF(I2032="Trung bình",'Huong dan giao do an'!$B$8,IF(I2032="Khá",'Huong dan giao do an'!$B$9,'Huong dan giao do an'!$B$10))</f>
        <v>Tối thiểu 5 actor; 14-18 use case; 10-15 bảng; 4 quy trình; tích hợp ngoài/realtime hoặc xử lý nâng cao; 3 báo cáo; &gt;=45 test case; logging, backup và deploy.</v>
      </c>
      <c r="L2032" t="str">
        <f>'Huong dan giao do an'!$B$31</f>
        <v>Bắt buộc: Charter/PMP; SRS + scope/WBS; Gantt/baseline; effort-cost budget; RACI/timesheet; quality-test-defect; communication/minutes; risk register; procurement; change log; closure/lessons learned.</v>
      </c>
      <c r="M2032" t="str">
        <f>'Huong dan giao do an'!$B$33</f>
        <v>Tuần 1: 07.09–13.09.2026; Tuần 2: 14.09–20.09.2026; Tuần 3: 21.09–27.09.2026; Tuần 4: 28.09–04.10.2026; Tuần 5: 05.10–11.10.2026; Tuần 6: 12.10–18.10.2026; Tuần 7: 19.10–25.10.2026; Tuần 8: 26.10–01.11.2026.</v>
      </c>
      <c r="N20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2" s="17" t="str">
        <f t="shared" si="31"/>
        <v>Còn trống</v>
      </c>
    </row>
    <row r="2033" spans="1:16" x14ac:dyDescent="0.3">
      <c r="A2033">
        <v>2032</v>
      </c>
      <c r="B2033" t="s">
        <v>4604</v>
      </c>
      <c r="C2033" t="s">
        <v>4695</v>
      </c>
      <c r="D2033" t="s">
        <v>4696</v>
      </c>
      <c r="E2033" t="s">
        <v>26</v>
      </c>
      <c r="F2033" t="s">
        <v>4612</v>
      </c>
      <c r="G2033" t="s">
        <v>4648</v>
      </c>
      <c r="H2033" t="str">
        <f>'Huong dan giao do an'!$B$14</f>
        <v>5 SV (vai trò chính): 1 PM/Scrum Master kiêm Integration; 2 BA/PO; 3 UI-UX + Frontend; 4 Backend/API + DevOps; 5 Database + QA/Tester. Mỗi SV có nhiệm vụ phụ và minh chứng cá nhân.</v>
      </c>
      <c r="I2033" t="s">
        <v>36</v>
      </c>
      <c r="J2033" t="s">
        <v>4619</v>
      </c>
      <c r="K2033" t="str">
        <f>IF(I2033="Trung bình",'Huong dan giao do an'!$B$8,IF(I2033="Khá",'Huong dan giao do an'!$B$9,'Huong dan giao do an'!$B$10))</f>
        <v>Tối thiểu 3 actor; 8-10 use case; 6-8 bảng dữ liệu; 2 quy trình lõi; đăng nhập/RBAC; 1 dashboard; 1 báo cáo; &gt;=25 test case; triển khai bản demo.</v>
      </c>
      <c r="L2033" t="str">
        <f>'Huong dan giao do an'!$B$31</f>
        <v>Bắt buộc: Charter/PMP; SRS + scope/WBS; Gantt/baseline; effort-cost budget; RACI/timesheet; quality-test-defect; communication/minutes; risk register; procurement; change log; closure/lessons learned.</v>
      </c>
      <c r="M2033" t="str">
        <f>'Huong dan giao do an'!$B$33</f>
        <v>Tuần 1: 07.09–13.09.2026; Tuần 2: 14.09–20.09.2026; Tuần 3: 21.09–27.09.2026; Tuần 4: 28.09–04.10.2026; Tuần 5: 05.10–11.10.2026; Tuần 6: 12.10–18.10.2026; Tuần 7: 19.10–25.10.2026; Tuần 8: 26.10–01.11.2026.</v>
      </c>
      <c r="N20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3" s="17" t="str">
        <f t="shared" si="31"/>
        <v>Còn trống</v>
      </c>
    </row>
    <row r="2034" spans="1:16" x14ac:dyDescent="0.3">
      <c r="A2034">
        <v>2033</v>
      </c>
      <c r="B2034" t="s">
        <v>4604</v>
      </c>
      <c r="C2034" t="s">
        <v>4697</v>
      </c>
      <c r="D2034" t="s">
        <v>4698</v>
      </c>
      <c r="E2034" t="s">
        <v>33</v>
      </c>
      <c r="F2034" t="s">
        <v>4617</v>
      </c>
      <c r="G2034" t="s">
        <v>4651</v>
      </c>
      <c r="H2034" t="str">
        <f>'Huong dan giao do an'!$B$14</f>
        <v>5 SV (vai trò chính): 1 PM/Scrum Master kiêm Integration; 2 BA/PO; 3 UI-UX + Frontend; 4 Backend/API + DevOps; 5 Database + QA/Tester. Mỗi SV có nhiệm vụ phụ và minh chứng cá nhân.</v>
      </c>
      <c r="I2034" t="s">
        <v>22</v>
      </c>
      <c r="J2034" t="s">
        <v>4609</v>
      </c>
      <c r="K2034" t="str">
        <f>IF(I2034="Trung bình",'Huong dan giao do an'!$B$8,IF(I2034="Khá",'Huong dan giao do an'!$B$9,'Huong dan giao do an'!$B$10))</f>
        <v>Tối thiểu 4 actor; 10-14 use case; 8-12 bảng; 3 quy trình lõi; phân quyền chi tiết; 2 báo cáo; tích hợp 1 dịch vụ; &gt;=35 test case; CI/CD hoặc deploy cloud.</v>
      </c>
      <c r="L2034" t="str">
        <f>'Huong dan giao do an'!$B$31</f>
        <v>Bắt buộc: Charter/PMP; SRS + scope/WBS; Gantt/baseline; effort-cost budget; RACI/timesheet; quality-test-defect; communication/minutes; risk register; procurement; change log; closure/lessons learned.</v>
      </c>
      <c r="M2034" t="str">
        <f>'Huong dan giao do an'!$B$33</f>
        <v>Tuần 1: 07.09–13.09.2026; Tuần 2: 14.09–20.09.2026; Tuần 3: 21.09–27.09.2026; Tuần 4: 28.09–04.10.2026; Tuần 5: 05.10–11.10.2026; Tuần 6: 12.10–18.10.2026; Tuần 7: 19.10–25.10.2026; Tuần 8: 26.10–01.11.2026.</v>
      </c>
      <c r="N20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4" s="17" t="str">
        <f t="shared" si="31"/>
        <v>Còn trống</v>
      </c>
    </row>
    <row r="2035" spans="1:16" x14ac:dyDescent="0.3">
      <c r="A2035">
        <v>2034</v>
      </c>
      <c r="B2035" t="s">
        <v>4604</v>
      </c>
      <c r="C2035" t="s">
        <v>4699</v>
      </c>
      <c r="D2035" t="s">
        <v>4700</v>
      </c>
      <c r="E2035" t="s">
        <v>40</v>
      </c>
      <c r="F2035" t="s">
        <v>4622</v>
      </c>
      <c r="G2035" t="s">
        <v>4654</v>
      </c>
      <c r="H2035" t="str">
        <f>'Huong dan giao do an'!$B$14</f>
        <v>5 SV (vai trò chính): 1 PM/Scrum Master kiêm Integration; 2 BA/PO; 3 UI-UX + Frontend; 4 Backend/API + DevOps; 5 Database + QA/Tester. Mỗi SV có nhiệm vụ phụ và minh chứng cá nhân.</v>
      </c>
      <c r="I2035" t="s">
        <v>29</v>
      </c>
      <c r="J2035" t="s">
        <v>4614</v>
      </c>
      <c r="K2035" t="str">
        <f>IF(I2035="Trung bình",'Huong dan giao do an'!$B$8,IF(I2035="Khá",'Huong dan giao do an'!$B$9,'Huong dan giao do an'!$B$10))</f>
        <v>Tối thiểu 5 actor; 14-18 use case; 10-15 bảng; 4 quy trình; tích hợp ngoài/realtime hoặc xử lý nâng cao; 3 báo cáo; &gt;=45 test case; logging, backup và deploy.</v>
      </c>
      <c r="L2035" t="str">
        <f>'Huong dan giao do an'!$B$31</f>
        <v>Bắt buộc: Charter/PMP; SRS + scope/WBS; Gantt/baseline; effort-cost budget; RACI/timesheet; quality-test-defect; communication/minutes; risk register; procurement; change log; closure/lessons learned.</v>
      </c>
      <c r="M2035" t="str">
        <f>'Huong dan giao do an'!$B$33</f>
        <v>Tuần 1: 07.09–13.09.2026; Tuần 2: 14.09–20.09.2026; Tuần 3: 21.09–27.09.2026; Tuần 4: 28.09–04.10.2026; Tuần 5: 05.10–11.10.2026; Tuần 6: 12.10–18.10.2026; Tuần 7: 19.10–25.10.2026; Tuần 8: 26.10–01.11.2026.</v>
      </c>
      <c r="N20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5" s="17" t="str">
        <f t="shared" si="31"/>
        <v>Còn trống</v>
      </c>
    </row>
    <row r="2036" spans="1:16" x14ac:dyDescent="0.3">
      <c r="A2036">
        <v>2035</v>
      </c>
      <c r="B2036" t="s">
        <v>4604</v>
      </c>
      <c r="C2036" t="s">
        <v>4701</v>
      </c>
      <c r="D2036" t="s">
        <v>4702</v>
      </c>
      <c r="E2036" t="s">
        <v>45</v>
      </c>
      <c r="F2036" t="s">
        <v>4626</v>
      </c>
      <c r="G2036" t="s">
        <v>4657</v>
      </c>
      <c r="H2036" t="str">
        <f>'Huong dan giao do an'!$B$14</f>
        <v>5 SV (vai trò chính): 1 PM/Scrum Master kiêm Integration; 2 BA/PO; 3 UI-UX + Frontend; 4 Backend/API + DevOps; 5 Database + QA/Tester. Mỗi SV có nhiệm vụ phụ và minh chứng cá nhân.</v>
      </c>
      <c r="I2036" t="s">
        <v>36</v>
      </c>
      <c r="J2036" t="s">
        <v>4619</v>
      </c>
      <c r="K2036" t="str">
        <f>IF(I2036="Trung bình",'Huong dan giao do an'!$B$8,IF(I2036="Khá",'Huong dan giao do an'!$B$9,'Huong dan giao do an'!$B$10))</f>
        <v>Tối thiểu 3 actor; 8-10 use case; 6-8 bảng dữ liệu; 2 quy trình lõi; đăng nhập/RBAC; 1 dashboard; 1 báo cáo; &gt;=25 test case; triển khai bản demo.</v>
      </c>
      <c r="L2036" t="str">
        <f>'Huong dan giao do an'!$B$31</f>
        <v>Bắt buộc: Charter/PMP; SRS + scope/WBS; Gantt/baseline; effort-cost budget; RACI/timesheet; quality-test-defect; communication/minutes; risk register; procurement; change log; closure/lessons learned.</v>
      </c>
      <c r="M2036" t="str">
        <f>'Huong dan giao do an'!$B$33</f>
        <v>Tuần 1: 07.09–13.09.2026; Tuần 2: 14.09–20.09.2026; Tuần 3: 21.09–27.09.2026; Tuần 4: 28.09–04.10.2026; Tuần 5: 05.10–11.10.2026; Tuần 6: 12.10–18.10.2026; Tuần 7: 19.10–25.10.2026; Tuần 8: 26.10–01.11.2026.</v>
      </c>
      <c r="N20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6" s="17" t="str">
        <f t="shared" si="31"/>
        <v>Còn trống</v>
      </c>
    </row>
    <row r="2037" spans="1:16" x14ac:dyDescent="0.3">
      <c r="A2037">
        <v>2036</v>
      </c>
      <c r="B2037" t="s">
        <v>4604</v>
      </c>
      <c r="C2037" t="s">
        <v>4703</v>
      </c>
      <c r="D2037" t="s">
        <v>4704</v>
      </c>
      <c r="E2037" t="s">
        <v>19</v>
      </c>
      <c r="F2037" t="s">
        <v>4607</v>
      </c>
      <c r="G2037" t="s">
        <v>4660</v>
      </c>
      <c r="H2037" t="str">
        <f>'Huong dan giao do an'!$B$14</f>
        <v>5 SV (vai trò chính): 1 PM/Scrum Master kiêm Integration; 2 BA/PO; 3 UI-UX + Frontend; 4 Backend/API + DevOps; 5 Database + QA/Tester. Mỗi SV có nhiệm vụ phụ và minh chứng cá nhân.</v>
      </c>
      <c r="I2037" t="s">
        <v>22</v>
      </c>
      <c r="J2037" t="s">
        <v>4609</v>
      </c>
      <c r="K2037" t="str">
        <f>IF(I2037="Trung bình",'Huong dan giao do an'!$B$8,IF(I2037="Khá",'Huong dan giao do an'!$B$9,'Huong dan giao do an'!$B$10))</f>
        <v>Tối thiểu 4 actor; 10-14 use case; 8-12 bảng; 3 quy trình lõi; phân quyền chi tiết; 2 báo cáo; tích hợp 1 dịch vụ; &gt;=35 test case; CI/CD hoặc deploy cloud.</v>
      </c>
      <c r="L2037" t="str">
        <f>'Huong dan giao do an'!$B$31</f>
        <v>Bắt buộc: Charter/PMP; SRS + scope/WBS; Gantt/baseline; effort-cost budget; RACI/timesheet; quality-test-defect; communication/minutes; risk register; procurement; change log; closure/lessons learned.</v>
      </c>
      <c r="M2037" t="str">
        <f>'Huong dan giao do an'!$B$33</f>
        <v>Tuần 1: 07.09–13.09.2026; Tuần 2: 14.09–20.09.2026; Tuần 3: 21.09–27.09.2026; Tuần 4: 28.09–04.10.2026; Tuần 5: 05.10–11.10.2026; Tuần 6: 12.10–18.10.2026; Tuần 7: 19.10–25.10.2026; Tuần 8: 26.10–01.11.2026.</v>
      </c>
      <c r="N20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7" s="17" t="str">
        <f t="shared" si="31"/>
        <v>Còn trống</v>
      </c>
    </row>
    <row r="2038" spans="1:16" x14ac:dyDescent="0.3">
      <c r="A2038">
        <v>2037</v>
      </c>
      <c r="B2038" t="s">
        <v>4604</v>
      </c>
      <c r="C2038" t="s">
        <v>4705</v>
      </c>
      <c r="D2038" t="s">
        <v>4706</v>
      </c>
      <c r="E2038" t="s">
        <v>26</v>
      </c>
      <c r="F2038" t="s">
        <v>4612</v>
      </c>
      <c r="G2038" t="s">
        <v>4663</v>
      </c>
      <c r="H2038" t="str">
        <f>'Huong dan giao do an'!$B$14</f>
        <v>5 SV (vai trò chính): 1 PM/Scrum Master kiêm Integration; 2 BA/PO; 3 UI-UX + Frontend; 4 Backend/API + DevOps; 5 Database + QA/Tester. Mỗi SV có nhiệm vụ phụ và minh chứng cá nhân.</v>
      </c>
      <c r="I2038" t="s">
        <v>29</v>
      </c>
      <c r="J2038" t="s">
        <v>4614</v>
      </c>
      <c r="K2038" t="str">
        <f>IF(I2038="Trung bình",'Huong dan giao do an'!$B$8,IF(I2038="Khá",'Huong dan giao do an'!$B$9,'Huong dan giao do an'!$B$10))</f>
        <v>Tối thiểu 5 actor; 14-18 use case; 10-15 bảng; 4 quy trình; tích hợp ngoài/realtime hoặc xử lý nâng cao; 3 báo cáo; &gt;=45 test case; logging, backup và deploy.</v>
      </c>
      <c r="L2038" t="str">
        <f>'Huong dan giao do an'!$B$31</f>
        <v>Bắt buộc: Charter/PMP; SRS + scope/WBS; Gantt/baseline; effort-cost budget; RACI/timesheet; quality-test-defect; communication/minutes; risk register; procurement; change log; closure/lessons learned.</v>
      </c>
      <c r="M2038" t="str">
        <f>'Huong dan giao do an'!$B$33</f>
        <v>Tuần 1: 07.09–13.09.2026; Tuần 2: 14.09–20.09.2026; Tuần 3: 21.09–27.09.2026; Tuần 4: 28.09–04.10.2026; Tuần 5: 05.10–11.10.2026; Tuần 6: 12.10–18.10.2026; Tuần 7: 19.10–25.10.2026; Tuần 8: 26.10–01.11.2026.</v>
      </c>
      <c r="N20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8" s="17" t="str">
        <f t="shared" si="31"/>
        <v>Còn trống</v>
      </c>
    </row>
    <row r="2039" spans="1:16" x14ac:dyDescent="0.3">
      <c r="A2039">
        <v>2038</v>
      </c>
      <c r="B2039" t="s">
        <v>4604</v>
      </c>
      <c r="C2039" t="s">
        <v>4707</v>
      </c>
      <c r="D2039" t="s">
        <v>4708</v>
      </c>
      <c r="E2039" t="s">
        <v>33</v>
      </c>
      <c r="F2039" t="s">
        <v>4617</v>
      </c>
      <c r="G2039" t="s">
        <v>4666</v>
      </c>
      <c r="H2039" t="str">
        <f>'Huong dan giao do an'!$B$14</f>
        <v>5 SV (vai trò chính): 1 PM/Scrum Master kiêm Integration; 2 BA/PO; 3 UI-UX + Frontend; 4 Backend/API + DevOps; 5 Database + QA/Tester. Mỗi SV có nhiệm vụ phụ và minh chứng cá nhân.</v>
      </c>
      <c r="I2039" t="s">
        <v>36</v>
      </c>
      <c r="J2039" t="s">
        <v>4619</v>
      </c>
      <c r="K2039" t="str">
        <f>IF(I2039="Trung bình",'Huong dan giao do an'!$B$8,IF(I2039="Khá",'Huong dan giao do an'!$B$9,'Huong dan giao do an'!$B$10))</f>
        <v>Tối thiểu 3 actor; 8-10 use case; 6-8 bảng dữ liệu; 2 quy trình lõi; đăng nhập/RBAC; 1 dashboard; 1 báo cáo; &gt;=25 test case; triển khai bản demo.</v>
      </c>
      <c r="L2039" t="str">
        <f>'Huong dan giao do an'!$B$31</f>
        <v>Bắt buộc: Charter/PMP; SRS + scope/WBS; Gantt/baseline; effort-cost budget; RACI/timesheet; quality-test-defect; communication/minutes; risk register; procurement; change log; closure/lessons learned.</v>
      </c>
      <c r="M2039" t="str">
        <f>'Huong dan giao do an'!$B$33</f>
        <v>Tuần 1: 07.09–13.09.2026; Tuần 2: 14.09–20.09.2026; Tuần 3: 21.09–27.09.2026; Tuần 4: 28.09–04.10.2026; Tuần 5: 05.10–11.10.2026; Tuần 6: 12.10–18.10.2026; Tuần 7: 19.10–25.10.2026; Tuần 8: 26.10–01.11.2026.</v>
      </c>
      <c r="N20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39" s="17" t="str">
        <f t="shared" si="31"/>
        <v>Còn trống</v>
      </c>
    </row>
    <row r="2040" spans="1:16" x14ac:dyDescent="0.3">
      <c r="A2040">
        <v>2039</v>
      </c>
      <c r="B2040" t="s">
        <v>4604</v>
      </c>
      <c r="C2040" t="s">
        <v>4709</v>
      </c>
      <c r="D2040" t="s">
        <v>4710</v>
      </c>
      <c r="E2040" t="s">
        <v>40</v>
      </c>
      <c r="F2040" t="s">
        <v>4622</v>
      </c>
      <c r="G2040" t="s">
        <v>4669</v>
      </c>
      <c r="H2040" t="str">
        <f>'Huong dan giao do an'!$B$14</f>
        <v>5 SV (vai trò chính): 1 PM/Scrum Master kiêm Integration; 2 BA/PO; 3 UI-UX + Frontend; 4 Backend/API + DevOps; 5 Database + QA/Tester. Mỗi SV có nhiệm vụ phụ và minh chứng cá nhân.</v>
      </c>
      <c r="I2040" t="s">
        <v>22</v>
      </c>
      <c r="J2040" t="s">
        <v>4609</v>
      </c>
      <c r="K2040" t="str">
        <f>IF(I2040="Trung bình",'Huong dan giao do an'!$B$8,IF(I2040="Khá",'Huong dan giao do an'!$B$9,'Huong dan giao do an'!$B$10))</f>
        <v>Tối thiểu 4 actor; 10-14 use case; 8-12 bảng; 3 quy trình lõi; phân quyền chi tiết; 2 báo cáo; tích hợp 1 dịch vụ; &gt;=35 test case; CI/CD hoặc deploy cloud.</v>
      </c>
      <c r="L2040" t="str">
        <f>'Huong dan giao do an'!$B$31</f>
        <v>Bắt buộc: Charter/PMP; SRS + scope/WBS; Gantt/baseline; effort-cost budget; RACI/timesheet; quality-test-defect; communication/minutes; risk register; procurement; change log; closure/lessons learned.</v>
      </c>
      <c r="M2040" t="str">
        <f>'Huong dan giao do an'!$B$33</f>
        <v>Tuần 1: 07.09–13.09.2026; Tuần 2: 14.09–20.09.2026; Tuần 3: 21.09–27.09.2026; Tuần 4: 28.09–04.10.2026; Tuần 5: 05.10–11.10.2026; Tuần 6: 12.10–18.10.2026; Tuần 7: 19.10–25.10.2026; Tuần 8: 26.10–01.11.2026.</v>
      </c>
      <c r="N20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0" s="17" t="str">
        <f t="shared" si="31"/>
        <v>Còn trống</v>
      </c>
    </row>
    <row r="2041" spans="1:16" x14ac:dyDescent="0.3">
      <c r="A2041">
        <v>2040</v>
      </c>
      <c r="B2041" t="s">
        <v>4604</v>
      </c>
      <c r="C2041" t="s">
        <v>4711</v>
      </c>
      <c r="D2041" t="s">
        <v>4712</v>
      </c>
      <c r="E2041" t="s">
        <v>45</v>
      </c>
      <c r="F2041" t="s">
        <v>4626</v>
      </c>
      <c r="G2041" t="s">
        <v>4672</v>
      </c>
      <c r="H2041" t="str">
        <f>'Huong dan giao do an'!$B$14</f>
        <v>5 SV (vai trò chính): 1 PM/Scrum Master kiêm Integration; 2 BA/PO; 3 UI-UX + Frontend; 4 Backend/API + DevOps; 5 Database + QA/Tester. Mỗi SV có nhiệm vụ phụ và minh chứng cá nhân.</v>
      </c>
      <c r="I2041" t="s">
        <v>29</v>
      </c>
      <c r="J2041" t="s">
        <v>4614</v>
      </c>
      <c r="K2041" t="str">
        <f>IF(I2041="Trung bình",'Huong dan giao do an'!$B$8,IF(I2041="Khá",'Huong dan giao do an'!$B$9,'Huong dan giao do an'!$B$10))</f>
        <v>Tối thiểu 5 actor; 14-18 use case; 10-15 bảng; 4 quy trình; tích hợp ngoài/realtime hoặc xử lý nâng cao; 3 báo cáo; &gt;=45 test case; logging, backup và deploy.</v>
      </c>
      <c r="L2041" t="str">
        <f>'Huong dan giao do an'!$B$31</f>
        <v>Bắt buộc: Charter/PMP; SRS + scope/WBS; Gantt/baseline; effort-cost budget; RACI/timesheet; quality-test-defect; communication/minutes; risk register; procurement; change log; closure/lessons learned.</v>
      </c>
      <c r="M2041" t="str">
        <f>'Huong dan giao do an'!$B$33</f>
        <v>Tuần 1: 07.09–13.09.2026; Tuần 2: 14.09–20.09.2026; Tuần 3: 21.09–27.09.2026; Tuần 4: 28.09–04.10.2026; Tuần 5: 05.10–11.10.2026; Tuần 6: 12.10–18.10.2026; Tuần 7: 19.10–25.10.2026; Tuần 8: 26.10–01.11.2026.</v>
      </c>
      <c r="N20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1" s="17" t="str">
        <f t="shared" si="31"/>
        <v>Còn trống</v>
      </c>
    </row>
    <row r="2042" spans="1:16" x14ac:dyDescent="0.3">
      <c r="A2042">
        <v>2041</v>
      </c>
      <c r="B2042" t="s">
        <v>4604</v>
      </c>
      <c r="C2042" t="s">
        <v>4713</v>
      </c>
      <c r="D2042" t="s">
        <v>4714</v>
      </c>
      <c r="E2042" t="s">
        <v>19</v>
      </c>
      <c r="F2042" t="s">
        <v>4607</v>
      </c>
      <c r="G2042" t="s">
        <v>4608</v>
      </c>
      <c r="H2042" t="str">
        <f>'Huong dan giao do an'!$B$14</f>
        <v>5 SV (vai trò chính): 1 PM/Scrum Master kiêm Integration; 2 BA/PO; 3 UI-UX + Frontend; 4 Backend/API + DevOps; 5 Database + QA/Tester. Mỗi SV có nhiệm vụ phụ và minh chứng cá nhân.</v>
      </c>
      <c r="I2042" t="s">
        <v>22</v>
      </c>
      <c r="J2042" t="s">
        <v>4609</v>
      </c>
      <c r="K2042" t="str">
        <f>IF(I2042="Trung bình",'Huong dan giao do an'!$B$8,IF(I2042="Khá",'Huong dan giao do an'!$B$9,'Huong dan giao do an'!$B$10))</f>
        <v>Tối thiểu 4 actor; 10-14 use case; 8-12 bảng; 3 quy trình lõi; phân quyền chi tiết; 2 báo cáo; tích hợp 1 dịch vụ; &gt;=35 test case; CI/CD hoặc deploy cloud.</v>
      </c>
      <c r="L2042" t="str">
        <f>'Huong dan giao do an'!$B$31</f>
        <v>Bắt buộc: Charter/PMP; SRS + scope/WBS; Gantt/baseline; effort-cost budget; RACI/timesheet; quality-test-defect; communication/minutes; risk register; procurement; change log; closure/lessons learned.</v>
      </c>
      <c r="M2042" t="str">
        <f>'Huong dan giao do an'!$B$33</f>
        <v>Tuần 1: 07.09–13.09.2026; Tuần 2: 14.09–20.09.2026; Tuần 3: 21.09–27.09.2026; Tuần 4: 28.09–04.10.2026; Tuần 5: 05.10–11.10.2026; Tuần 6: 12.10–18.10.2026; Tuần 7: 19.10–25.10.2026; Tuần 8: 26.10–01.11.2026.</v>
      </c>
      <c r="N20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2" s="17" t="str">
        <f t="shared" si="31"/>
        <v>Còn trống</v>
      </c>
    </row>
    <row r="2043" spans="1:16" x14ac:dyDescent="0.3">
      <c r="A2043">
        <v>2042</v>
      </c>
      <c r="B2043" t="s">
        <v>4604</v>
      </c>
      <c r="C2043" t="s">
        <v>4715</v>
      </c>
      <c r="D2043" t="s">
        <v>4716</v>
      </c>
      <c r="E2043" t="s">
        <v>26</v>
      </c>
      <c r="F2043" t="s">
        <v>4612</v>
      </c>
      <c r="G2043" t="s">
        <v>4613</v>
      </c>
      <c r="H2043" t="str">
        <f>'Huong dan giao do an'!$B$14</f>
        <v>5 SV (vai trò chính): 1 PM/Scrum Master kiêm Integration; 2 BA/PO; 3 UI-UX + Frontend; 4 Backend/API + DevOps; 5 Database + QA/Tester. Mỗi SV có nhiệm vụ phụ và minh chứng cá nhân.</v>
      </c>
      <c r="I2043" t="s">
        <v>29</v>
      </c>
      <c r="J2043" t="s">
        <v>4614</v>
      </c>
      <c r="K2043" t="str">
        <f>IF(I2043="Trung bình",'Huong dan giao do an'!$B$8,IF(I2043="Khá",'Huong dan giao do an'!$B$9,'Huong dan giao do an'!$B$10))</f>
        <v>Tối thiểu 5 actor; 14-18 use case; 10-15 bảng; 4 quy trình; tích hợp ngoài/realtime hoặc xử lý nâng cao; 3 báo cáo; &gt;=45 test case; logging, backup và deploy.</v>
      </c>
      <c r="L2043" t="str">
        <f>'Huong dan giao do an'!$B$31</f>
        <v>Bắt buộc: Charter/PMP; SRS + scope/WBS; Gantt/baseline; effort-cost budget; RACI/timesheet; quality-test-defect; communication/minutes; risk register; procurement; change log; closure/lessons learned.</v>
      </c>
      <c r="M2043" t="str">
        <f>'Huong dan giao do an'!$B$33</f>
        <v>Tuần 1: 07.09–13.09.2026; Tuần 2: 14.09–20.09.2026; Tuần 3: 21.09–27.09.2026; Tuần 4: 28.09–04.10.2026; Tuần 5: 05.10–11.10.2026; Tuần 6: 12.10–18.10.2026; Tuần 7: 19.10–25.10.2026; Tuần 8: 26.10–01.11.2026.</v>
      </c>
      <c r="N20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3" s="17" t="str">
        <f t="shared" si="31"/>
        <v>Còn trống</v>
      </c>
    </row>
    <row r="2044" spans="1:16" x14ac:dyDescent="0.3">
      <c r="A2044">
        <v>2043</v>
      </c>
      <c r="B2044" t="s">
        <v>4604</v>
      </c>
      <c r="C2044" t="s">
        <v>4717</v>
      </c>
      <c r="D2044" t="s">
        <v>4718</v>
      </c>
      <c r="E2044" t="s">
        <v>33</v>
      </c>
      <c r="F2044" t="s">
        <v>4617</v>
      </c>
      <c r="G2044" t="s">
        <v>4618</v>
      </c>
      <c r="H2044" t="str">
        <f>'Huong dan giao do an'!$B$14</f>
        <v>5 SV (vai trò chính): 1 PM/Scrum Master kiêm Integration; 2 BA/PO; 3 UI-UX + Frontend; 4 Backend/API + DevOps; 5 Database + QA/Tester. Mỗi SV có nhiệm vụ phụ và minh chứng cá nhân.</v>
      </c>
      <c r="I2044" t="s">
        <v>36</v>
      </c>
      <c r="J2044" t="s">
        <v>4619</v>
      </c>
      <c r="K2044" t="str">
        <f>IF(I2044="Trung bình",'Huong dan giao do an'!$B$8,IF(I2044="Khá",'Huong dan giao do an'!$B$9,'Huong dan giao do an'!$B$10))</f>
        <v>Tối thiểu 3 actor; 8-10 use case; 6-8 bảng dữ liệu; 2 quy trình lõi; đăng nhập/RBAC; 1 dashboard; 1 báo cáo; &gt;=25 test case; triển khai bản demo.</v>
      </c>
      <c r="L2044" t="str">
        <f>'Huong dan giao do an'!$B$31</f>
        <v>Bắt buộc: Charter/PMP; SRS + scope/WBS; Gantt/baseline; effort-cost budget; RACI/timesheet; quality-test-defect; communication/minutes; risk register; procurement; change log; closure/lessons learned.</v>
      </c>
      <c r="M2044" t="str">
        <f>'Huong dan giao do an'!$B$33</f>
        <v>Tuần 1: 07.09–13.09.2026; Tuần 2: 14.09–20.09.2026; Tuần 3: 21.09–27.09.2026; Tuần 4: 28.09–04.10.2026; Tuần 5: 05.10–11.10.2026; Tuần 6: 12.10–18.10.2026; Tuần 7: 19.10–25.10.2026; Tuần 8: 26.10–01.11.2026.</v>
      </c>
      <c r="N20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4" s="17" t="str">
        <f t="shared" si="31"/>
        <v>Còn trống</v>
      </c>
    </row>
    <row r="2045" spans="1:16" x14ac:dyDescent="0.3">
      <c r="A2045">
        <v>2044</v>
      </c>
      <c r="B2045" t="s">
        <v>4604</v>
      </c>
      <c r="C2045" t="s">
        <v>4719</v>
      </c>
      <c r="D2045" t="s">
        <v>4720</v>
      </c>
      <c r="E2045" t="s">
        <v>40</v>
      </c>
      <c r="F2045" t="s">
        <v>4622</v>
      </c>
      <c r="G2045" t="s">
        <v>4623</v>
      </c>
      <c r="H2045" t="str">
        <f>'Huong dan giao do an'!$B$14</f>
        <v>5 SV (vai trò chính): 1 PM/Scrum Master kiêm Integration; 2 BA/PO; 3 UI-UX + Frontend; 4 Backend/API + DevOps; 5 Database + QA/Tester. Mỗi SV có nhiệm vụ phụ và minh chứng cá nhân.</v>
      </c>
      <c r="I2045" t="s">
        <v>22</v>
      </c>
      <c r="J2045" t="s">
        <v>4609</v>
      </c>
      <c r="K2045" t="str">
        <f>IF(I2045="Trung bình",'Huong dan giao do an'!$B$8,IF(I2045="Khá",'Huong dan giao do an'!$B$9,'Huong dan giao do an'!$B$10))</f>
        <v>Tối thiểu 4 actor; 10-14 use case; 8-12 bảng; 3 quy trình lõi; phân quyền chi tiết; 2 báo cáo; tích hợp 1 dịch vụ; &gt;=35 test case; CI/CD hoặc deploy cloud.</v>
      </c>
      <c r="L2045" t="str">
        <f>'Huong dan giao do an'!$B$31</f>
        <v>Bắt buộc: Charter/PMP; SRS + scope/WBS; Gantt/baseline; effort-cost budget; RACI/timesheet; quality-test-defect; communication/minutes; risk register; procurement; change log; closure/lessons learned.</v>
      </c>
      <c r="M2045" t="str">
        <f>'Huong dan giao do an'!$B$33</f>
        <v>Tuần 1: 07.09–13.09.2026; Tuần 2: 14.09–20.09.2026; Tuần 3: 21.09–27.09.2026; Tuần 4: 28.09–04.10.2026; Tuần 5: 05.10–11.10.2026; Tuần 6: 12.10–18.10.2026; Tuần 7: 19.10–25.10.2026; Tuần 8: 26.10–01.11.2026.</v>
      </c>
      <c r="N20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5" s="17" t="str">
        <f t="shared" si="31"/>
        <v>Còn trống</v>
      </c>
    </row>
    <row r="2046" spans="1:16" x14ac:dyDescent="0.3">
      <c r="A2046">
        <v>2045</v>
      </c>
      <c r="B2046" t="s">
        <v>4604</v>
      </c>
      <c r="C2046" t="s">
        <v>4721</v>
      </c>
      <c r="D2046" t="s">
        <v>4722</v>
      </c>
      <c r="E2046" t="s">
        <v>45</v>
      </c>
      <c r="F2046" t="s">
        <v>4626</v>
      </c>
      <c r="G2046" t="s">
        <v>4627</v>
      </c>
      <c r="H2046" t="str">
        <f>'Huong dan giao do an'!$B$14</f>
        <v>5 SV (vai trò chính): 1 PM/Scrum Master kiêm Integration; 2 BA/PO; 3 UI-UX + Frontend; 4 Backend/API + DevOps; 5 Database + QA/Tester. Mỗi SV có nhiệm vụ phụ và minh chứng cá nhân.</v>
      </c>
      <c r="I2046" t="s">
        <v>29</v>
      </c>
      <c r="J2046" t="s">
        <v>4614</v>
      </c>
      <c r="K2046" t="str">
        <f>IF(I2046="Trung bình",'Huong dan giao do an'!$B$8,IF(I2046="Khá",'Huong dan giao do an'!$B$9,'Huong dan giao do an'!$B$10))</f>
        <v>Tối thiểu 5 actor; 14-18 use case; 10-15 bảng; 4 quy trình; tích hợp ngoài/realtime hoặc xử lý nâng cao; 3 báo cáo; &gt;=45 test case; logging, backup và deploy.</v>
      </c>
      <c r="L2046" t="str">
        <f>'Huong dan giao do an'!$B$31</f>
        <v>Bắt buộc: Charter/PMP; SRS + scope/WBS; Gantt/baseline; effort-cost budget; RACI/timesheet; quality-test-defect; communication/minutes; risk register; procurement; change log; closure/lessons learned.</v>
      </c>
      <c r="M2046" t="str">
        <f>'Huong dan giao do an'!$B$33</f>
        <v>Tuần 1: 07.09–13.09.2026; Tuần 2: 14.09–20.09.2026; Tuần 3: 21.09–27.09.2026; Tuần 4: 28.09–04.10.2026; Tuần 5: 05.10–11.10.2026; Tuần 6: 12.10–18.10.2026; Tuần 7: 19.10–25.10.2026; Tuần 8: 26.10–01.11.2026.</v>
      </c>
      <c r="N20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6" s="17" t="str">
        <f t="shared" si="31"/>
        <v>Còn trống</v>
      </c>
    </row>
    <row r="2047" spans="1:16" x14ac:dyDescent="0.3">
      <c r="A2047">
        <v>2046</v>
      </c>
      <c r="B2047" t="s">
        <v>4604</v>
      </c>
      <c r="C2047" t="s">
        <v>4723</v>
      </c>
      <c r="D2047" t="s">
        <v>4724</v>
      </c>
      <c r="E2047" t="s">
        <v>19</v>
      </c>
      <c r="F2047" t="s">
        <v>4607</v>
      </c>
      <c r="G2047" t="s">
        <v>4630</v>
      </c>
      <c r="H2047" t="str">
        <f>'Huong dan giao do an'!$B$14</f>
        <v>5 SV (vai trò chính): 1 PM/Scrum Master kiêm Integration; 2 BA/PO; 3 UI-UX + Frontend; 4 Backend/API + DevOps; 5 Database + QA/Tester. Mỗi SV có nhiệm vụ phụ và minh chứng cá nhân.</v>
      </c>
      <c r="I2047" t="s">
        <v>36</v>
      </c>
      <c r="J2047" t="s">
        <v>4619</v>
      </c>
      <c r="K2047" t="str">
        <f>IF(I2047="Trung bình",'Huong dan giao do an'!$B$8,IF(I2047="Khá",'Huong dan giao do an'!$B$9,'Huong dan giao do an'!$B$10))</f>
        <v>Tối thiểu 3 actor; 8-10 use case; 6-8 bảng dữ liệu; 2 quy trình lõi; đăng nhập/RBAC; 1 dashboard; 1 báo cáo; &gt;=25 test case; triển khai bản demo.</v>
      </c>
      <c r="L2047" t="str">
        <f>'Huong dan giao do an'!$B$31</f>
        <v>Bắt buộc: Charter/PMP; SRS + scope/WBS; Gantt/baseline; effort-cost budget; RACI/timesheet; quality-test-defect; communication/minutes; risk register; procurement; change log; closure/lessons learned.</v>
      </c>
      <c r="M2047" t="str">
        <f>'Huong dan giao do an'!$B$33</f>
        <v>Tuần 1: 07.09–13.09.2026; Tuần 2: 14.09–20.09.2026; Tuần 3: 21.09–27.09.2026; Tuần 4: 28.09–04.10.2026; Tuần 5: 05.10–11.10.2026; Tuần 6: 12.10–18.10.2026; Tuần 7: 19.10–25.10.2026; Tuần 8: 26.10–01.11.2026.</v>
      </c>
      <c r="N20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7" s="17" t="str">
        <f t="shared" si="31"/>
        <v>Còn trống</v>
      </c>
    </row>
    <row r="2048" spans="1:16" x14ac:dyDescent="0.3">
      <c r="A2048">
        <v>2047</v>
      </c>
      <c r="B2048" t="s">
        <v>4604</v>
      </c>
      <c r="C2048" t="s">
        <v>4725</v>
      </c>
      <c r="D2048" t="s">
        <v>4726</v>
      </c>
      <c r="E2048" t="s">
        <v>26</v>
      </c>
      <c r="F2048" t="s">
        <v>4612</v>
      </c>
      <c r="G2048" t="s">
        <v>4633</v>
      </c>
      <c r="H2048" t="str">
        <f>'Huong dan giao do an'!$B$14</f>
        <v>5 SV (vai trò chính): 1 PM/Scrum Master kiêm Integration; 2 BA/PO; 3 UI-UX + Frontend; 4 Backend/API + DevOps; 5 Database + QA/Tester. Mỗi SV có nhiệm vụ phụ và minh chứng cá nhân.</v>
      </c>
      <c r="I2048" t="s">
        <v>22</v>
      </c>
      <c r="J2048" t="s">
        <v>4609</v>
      </c>
      <c r="K2048" t="str">
        <f>IF(I2048="Trung bình",'Huong dan giao do an'!$B$8,IF(I2048="Khá",'Huong dan giao do an'!$B$9,'Huong dan giao do an'!$B$10))</f>
        <v>Tối thiểu 4 actor; 10-14 use case; 8-12 bảng; 3 quy trình lõi; phân quyền chi tiết; 2 báo cáo; tích hợp 1 dịch vụ; &gt;=35 test case; CI/CD hoặc deploy cloud.</v>
      </c>
      <c r="L2048" t="str">
        <f>'Huong dan giao do an'!$B$31</f>
        <v>Bắt buộc: Charter/PMP; SRS + scope/WBS; Gantt/baseline; effort-cost budget; RACI/timesheet; quality-test-defect; communication/minutes; risk register; procurement; change log; closure/lessons learned.</v>
      </c>
      <c r="M2048" t="str">
        <f>'Huong dan giao do an'!$B$33</f>
        <v>Tuần 1: 07.09–13.09.2026; Tuần 2: 14.09–20.09.2026; Tuần 3: 21.09–27.09.2026; Tuần 4: 28.09–04.10.2026; Tuần 5: 05.10–11.10.2026; Tuần 6: 12.10–18.10.2026; Tuần 7: 19.10–25.10.2026; Tuần 8: 26.10–01.11.2026.</v>
      </c>
      <c r="N20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8" s="17" t="str">
        <f t="shared" si="31"/>
        <v>Còn trống</v>
      </c>
    </row>
    <row r="2049" spans="1:16" x14ac:dyDescent="0.3">
      <c r="A2049">
        <v>2048</v>
      </c>
      <c r="B2049" t="s">
        <v>4604</v>
      </c>
      <c r="C2049" t="s">
        <v>4727</v>
      </c>
      <c r="D2049" t="s">
        <v>4728</v>
      </c>
      <c r="E2049" t="s">
        <v>33</v>
      </c>
      <c r="F2049" t="s">
        <v>4617</v>
      </c>
      <c r="G2049" t="s">
        <v>4636</v>
      </c>
      <c r="H2049" t="str">
        <f>'Huong dan giao do an'!$B$14</f>
        <v>5 SV (vai trò chính): 1 PM/Scrum Master kiêm Integration; 2 BA/PO; 3 UI-UX + Frontend; 4 Backend/API + DevOps; 5 Database + QA/Tester. Mỗi SV có nhiệm vụ phụ và minh chứng cá nhân.</v>
      </c>
      <c r="I2049" t="s">
        <v>29</v>
      </c>
      <c r="J2049" t="s">
        <v>4614</v>
      </c>
      <c r="K2049" t="str">
        <f>IF(I2049="Trung bình",'Huong dan giao do an'!$B$8,IF(I2049="Khá",'Huong dan giao do an'!$B$9,'Huong dan giao do an'!$B$10))</f>
        <v>Tối thiểu 5 actor; 14-18 use case; 10-15 bảng; 4 quy trình; tích hợp ngoài/realtime hoặc xử lý nâng cao; 3 báo cáo; &gt;=45 test case; logging, backup và deploy.</v>
      </c>
      <c r="L2049" t="str">
        <f>'Huong dan giao do an'!$B$31</f>
        <v>Bắt buộc: Charter/PMP; SRS + scope/WBS; Gantt/baseline; effort-cost budget; RACI/timesheet; quality-test-defect; communication/minutes; risk register; procurement; change log; closure/lessons learned.</v>
      </c>
      <c r="M2049" t="str">
        <f>'Huong dan giao do an'!$B$33</f>
        <v>Tuần 1: 07.09–13.09.2026; Tuần 2: 14.09–20.09.2026; Tuần 3: 21.09–27.09.2026; Tuần 4: 28.09–04.10.2026; Tuần 5: 05.10–11.10.2026; Tuần 6: 12.10–18.10.2026; Tuần 7: 19.10–25.10.2026; Tuần 8: 26.10–01.11.2026.</v>
      </c>
      <c r="N20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49" s="17" t="str">
        <f t="shared" si="31"/>
        <v>Còn trống</v>
      </c>
    </row>
    <row r="2050" spans="1:16" x14ac:dyDescent="0.3">
      <c r="A2050">
        <v>2049</v>
      </c>
      <c r="B2050" t="s">
        <v>4604</v>
      </c>
      <c r="C2050" t="s">
        <v>4729</v>
      </c>
      <c r="D2050" t="s">
        <v>4730</v>
      </c>
      <c r="E2050" t="s">
        <v>40</v>
      </c>
      <c r="F2050" t="s">
        <v>4622</v>
      </c>
      <c r="G2050" t="s">
        <v>4639</v>
      </c>
      <c r="H2050" t="str">
        <f>'Huong dan giao do an'!$B$14</f>
        <v>5 SV (vai trò chính): 1 PM/Scrum Master kiêm Integration; 2 BA/PO; 3 UI-UX + Frontend; 4 Backend/API + DevOps; 5 Database + QA/Tester. Mỗi SV có nhiệm vụ phụ và minh chứng cá nhân.</v>
      </c>
      <c r="I2050" t="s">
        <v>36</v>
      </c>
      <c r="J2050" t="s">
        <v>4619</v>
      </c>
      <c r="K2050" t="str">
        <f>IF(I2050="Trung bình",'Huong dan giao do an'!$B$8,IF(I2050="Khá",'Huong dan giao do an'!$B$9,'Huong dan giao do an'!$B$10))</f>
        <v>Tối thiểu 3 actor; 8-10 use case; 6-8 bảng dữ liệu; 2 quy trình lõi; đăng nhập/RBAC; 1 dashboard; 1 báo cáo; &gt;=25 test case; triển khai bản demo.</v>
      </c>
      <c r="L2050" t="str">
        <f>'Huong dan giao do an'!$B$31</f>
        <v>Bắt buộc: Charter/PMP; SRS + scope/WBS; Gantt/baseline; effort-cost budget; RACI/timesheet; quality-test-defect; communication/minutes; risk register; procurement; change log; closure/lessons learned.</v>
      </c>
      <c r="M2050" t="str">
        <f>'Huong dan giao do an'!$B$33</f>
        <v>Tuần 1: 07.09–13.09.2026; Tuần 2: 14.09–20.09.2026; Tuần 3: 21.09–27.09.2026; Tuần 4: 28.09–04.10.2026; Tuần 5: 05.10–11.10.2026; Tuần 6: 12.10–18.10.2026; Tuần 7: 19.10–25.10.2026; Tuần 8: 26.10–01.11.2026.</v>
      </c>
      <c r="N20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0" s="17" t="str">
        <f t="shared" si="31"/>
        <v>Còn trống</v>
      </c>
    </row>
    <row r="2051" spans="1:16" x14ac:dyDescent="0.3">
      <c r="A2051">
        <v>2050</v>
      </c>
      <c r="B2051" t="s">
        <v>4604</v>
      </c>
      <c r="C2051" t="s">
        <v>4731</v>
      </c>
      <c r="D2051" t="s">
        <v>4732</v>
      </c>
      <c r="E2051" t="s">
        <v>45</v>
      </c>
      <c r="F2051" t="s">
        <v>4626</v>
      </c>
      <c r="G2051" t="s">
        <v>4642</v>
      </c>
      <c r="H2051" t="str">
        <f>'Huong dan giao do an'!$B$14</f>
        <v>5 SV (vai trò chính): 1 PM/Scrum Master kiêm Integration; 2 BA/PO; 3 UI-UX + Frontend; 4 Backend/API + DevOps; 5 Database + QA/Tester. Mỗi SV có nhiệm vụ phụ và minh chứng cá nhân.</v>
      </c>
      <c r="I2051" t="s">
        <v>22</v>
      </c>
      <c r="J2051" t="s">
        <v>4609</v>
      </c>
      <c r="K2051" t="str">
        <f>IF(I2051="Trung bình",'Huong dan giao do an'!$B$8,IF(I2051="Khá",'Huong dan giao do an'!$B$9,'Huong dan giao do an'!$B$10))</f>
        <v>Tối thiểu 4 actor; 10-14 use case; 8-12 bảng; 3 quy trình lõi; phân quyền chi tiết; 2 báo cáo; tích hợp 1 dịch vụ; &gt;=35 test case; CI/CD hoặc deploy cloud.</v>
      </c>
      <c r="L2051" t="str">
        <f>'Huong dan giao do an'!$B$31</f>
        <v>Bắt buộc: Charter/PMP; SRS + scope/WBS; Gantt/baseline; effort-cost budget; RACI/timesheet; quality-test-defect; communication/minutes; risk register; procurement; change log; closure/lessons learned.</v>
      </c>
      <c r="M2051" t="str">
        <f>'Huong dan giao do an'!$B$33</f>
        <v>Tuần 1: 07.09–13.09.2026; Tuần 2: 14.09–20.09.2026; Tuần 3: 21.09–27.09.2026; Tuần 4: 28.09–04.10.2026; Tuần 5: 05.10–11.10.2026; Tuần 6: 12.10–18.10.2026; Tuần 7: 19.10–25.10.2026; Tuần 8: 26.10–01.11.2026.</v>
      </c>
      <c r="N20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1" s="17" t="str">
        <f t="shared" ref="P2051:P2114" si="32">IF(O2051="","Còn trống","Đã đăng ký")</f>
        <v>Còn trống</v>
      </c>
    </row>
    <row r="2052" spans="1:16" x14ac:dyDescent="0.3">
      <c r="A2052">
        <v>2051</v>
      </c>
      <c r="B2052" t="s">
        <v>4604</v>
      </c>
      <c r="C2052" t="s">
        <v>4733</v>
      </c>
      <c r="D2052" t="s">
        <v>4734</v>
      </c>
      <c r="E2052" t="s">
        <v>19</v>
      </c>
      <c r="F2052" t="s">
        <v>4607</v>
      </c>
      <c r="G2052" t="s">
        <v>4645</v>
      </c>
      <c r="H2052" t="str">
        <f>'Huong dan giao do an'!$B$14</f>
        <v>5 SV (vai trò chính): 1 PM/Scrum Master kiêm Integration; 2 BA/PO; 3 UI-UX + Frontend; 4 Backend/API + DevOps; 5 Database + QA/Tester. Mỗi SV có nhiệm vụ phụ và minh chứng cá nhân.</v>
      </c>
      <c r="I2052" t="s">
        <v>29</v>
      </c>
      <c r="J2052" t="s">
        <v>4614</v>
      </c>
      <c r="K2052" t="str">
        <f>IF(I2052="Trung bình",'Huong dan giao do an'!$B$8,IF(I2052="Khá",'Huong dan giao do an'!$B$9,'Huong dan giao do an'!$B$10))</f>
        <v>Tối thiểu 5 actor; 14-18 use case; 10-15 bảng; 4 quy trình; tích hợp ngoài/realtime hoặc xử lý nâng cao; 3 báo cáo; &gt;=45 test case; logging, backup và deploy.</v>
      </c>
      <c r="L2052" t="str">
        <f>'Huong dan giao do an'!$B$31</f>
        <v>Bắt buộc: Charter/PMP; SRS + scope/WBS; Gantt/baseline; effort-cost budget; RACI/timesheet; quality-test-defect; communication/minutes; risk register; procurement; change log; closure/lessons learned.</v>
      </c>
      <c r="M2052" t="str">
        <f>'Huong dan giao do an'!$B$33</f>
        <v>Tuần 1: 07.09–13.09.2026; Tuần 2: 14.09–20.09.2026; Tuần 3: 21.09–27.09.2026; Tuần 4: 28.09–04.10.2026; Tuần 5: 05.10–11.10.2026; Tuần 6: 12.10–18.10.2026; Tuần 7: 19.10–25.10.2026; Tuần 8: 26.10–01.11.2026.</v>
      </c>
      <c r="N20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2" s="17" t="str">
        <f t="shared" si="32"/>
        <v>Còn trống</v>
      </c>
    </row>
    <row r="2053" spans="1:16" x14ac:dyDescent="0.3">
      <c r="A2053">
        <v>2052</v>
      </c>
      <c r="B2053" t="s">
        <v>4604</v>
      </c>
      <c r="C2053" t="s">
        <v>4735</v>
      </c>
      <c r="D2053" t="s">
        <v>4736</v>
      </c>
      <c r="E2053" t="s">
        <v>26</v>
      </c>
      <c r="F2053" t="s">
        <v>4612</v>
      </c>
      <c r="G2053" t="s">
        <v>4648</v>
      </c>
      <c r="H2053" t="str">
        <f>'Huong dan giao do an'!$B$14</f>
        <v>5 SV (vai trò chính): 1 PM/Scrum Master kiêm Integration; 2 BA/PO; 3 UI-UX + Frontend; 4 Backend/API + DevOps; 5 Database + QA/Tester. Mỗi SV có nhiệm vụ phụ và minh chứng cá nhân.</v>
      </c>
      <c r="I2053" t="s">
        <v>36</v>
      </c>
      <c r="J2053" t="s">
        <v>4619</v>
      </c>
      <c r="K2053" t="str">
        <f>IF(I2053="Trung bình",'Huong dan giao do an'!$B$8,IF(I2053="Khá",'Huong dan giao do an'!$B$9,'Huong dan giao do an'!$B$10))</f>
        <v>Tối thiểu 3 actor; 8-10 use case; 6-8 bảng dữ liệu; 2 quy trình lõi; đăng nhập/RBAC; 1 dashboard; 1 báo cáo; &gt;=25 test case; triển khai bản demo.</v>
      </c>
      <c r="L2053" t="str">
        <f>'Huong dan giao do an'!$B$31</f>
        <v>Bắt buộc: Charter/PMP; SRS + scope/WBS; Gantt/baseline; effort-cost budget; RACI/timesheet; quality-test-defect; communication/minutes; risk register; procurement; change log; closure/lessons learned.</v>
      </c>
      <c r="M2053" t="str">
        <f>'Huong dan giao do an'!$B$33</f>
        <v>Tuần 1: 07.09–13.09.2026; Tuần 2: 14.09–20.09.2026; Tuần 3: 21.09–27.09.2026; Tuần 4: 28.09–04.10.2026; Tuần 5: 05.10–11.10.2026; Tuần 6: 12.10–18.10.2026; Tuần 7: 19.10–25.10.2026; Tuần 8: 26.10–01.11.2026.</v>
      </c>
      <c r="N20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3" s="17" t="str">
        <f t="shared" si="32"/>
        <v>Còn trống</v>
      </c>
    </row>
    <row r="2054" spans="1:16" x14ac:dyDescent="0.3">
      <c r="A2054">
        <v>2053</v>
      </c>
      <c r="B2054" t="s">
        <v>4604</v>
      </c>
      <c r="C2054" t="s">
        <v>4737</v>
      </c>
      <c r="D2054" t="s">
        <v>4738</v>
      </c>
      <c r="E2054" t="s">
        <v>33</v>
      </c>
      <c r="F2054" t="s">
        <v>4617</v>
      </c>
      <c r="G2054" t="s">
        <v>4651</v>
      </c>
      <c r="H2054" t="str">
        <f>'Huong dan giao do an'!$B$14</f>
        <v>5 SV (vai trò chính): 1 PM/Scrum Master kiêm Integration; 2 BA/PO; 3 UI-UX + Frontend; 4 Backend/API + DevOps; 5 Database + QA/Tester. Mỗi SV có nhiệm vụ phụ và minh chứng cá nhân.</v>
      </c>
      <c r="I2054" t="s">
        <v>22</v>
      </c>
      <c r="J2054" t="s">
        <v>4609</v>
      </c>
      <c r="K2054" t="str">
        <f>IF(I2054="Trung bình",'Huong dan giao do an'!$B$8,IF(I2054="Khá",'Huong dan giao do an'!$B$9,'Huong dan giao do an'!$B$10))</f>
        <v>Tối thiểu 4 actor; 10-14 use case; 8-12 bảng; 3 quy trình lõi; phân quyền chi tiết; 2 báo cáo; tích hợp 1 dịch vụ; &gt;=35 test case; CI/CD hoặc deploy cloud.</v>
      </c>
      <c r="L2054" t="str">
        <f>'Huong dan giao do an'!$B$31</f>
        <v>Bắt buộc: Charter/PMP; SRS + scope/WBS; Gantt/baseline; effort-cost budget; RACI/timesheet; quality-test-defect; communication/minutes; risk register; procurement; change log; closure/lessons learned.</v>
      </c>
      <c r="M2054" t="str">
        <f>'Huong dan giao do an'!$B$33</f>
        <v>Tuần 1: 07.09–13.09.2026; Tuần 2: 14.09–20.09.2026; Tuần 3: 21.09–27.09.2026; Tuần 4: 28.09–04.10.2026; Tuần 5: 05.10–11.10.2026; Tuần 6: 12.10–18.10.2026; Tuần 7: 19.10–25.10.2026; Tuần 8: 26.10–01.11.2026.</v>
      </c>
      <c r="N20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4" s="17" t="str">
        <f t="shared" si="32"/>
        <v>Còn trống</v>
      </c>
    </row>
    <row r="2055" spans="1:16" x14ac:dyDescent="0.3">
      <c r="A2055">
        <v>2054</v>
      </c>
      <c r="B2055" t="s">
        <v>4604</v>
      </c>
      <c r="C2055" t="s">
        <v>4739</v>
      </c>
      <c r="D2055" t="s">
        <v>4740</v>
      </c>
      <c r="E2055" t="s">
        <v>40</v>
      </c>
      <c r="F2055" t="s">
        <v>4622</v>
      </c>
      <c r="G2055" t="s">
        <v>4654</v>
      </c>
      <c r="H2055" t="str">
        <f>'Huong dan giao do an'!$B$14</f>
        <v>5 SV (vai trò chính): 1 PM/Scrum Master kiêm Integration; 2 BA/PO; 3 UI-UX + Frontend; 4 Backend/API + DevOps; 5 Database + QA/Tester. Mỗi SV có nhiệm vụ phụ và minh chứng cá nhân.</v>
      </c>
      <c r="I2055" t="s">
        <v>29</v>
      </c>
      <c r="J2055" t="s">
        <v>4614</v>
      </c>
      <c r="K2055" t="str">
        <f>IF(I2055="Trung bình",'Huong dan giao do an'!$B$8,IF(I2055="Khá",'Huong dan giao do an'!$B$9,'Huong dan giao do an'!$B$10))</f>
        <v>Tối thiểu 5 actor; 14-18 use case; 10-15 bảng; 4 quy trình; tích hợp ngoài/realtime hoặc xử lý nâng cao; 3 báo cáo; &gt;=45 test case; logging, backup và deploy.</v>
      </c>
      <c r="L2055" t="str">
        <f>'Huong dan giao do an'!$B$31</f>
        <v>Bắt buộc: Charter/PMP; SRS + scope/WBS; Gantt/baseline; effort-cost budget; RACI/timesheet; quality-test-defect; communication/minutes; risk register; procurement; change log; closure/lessons learned.</v>
      </c>
      <c r="M2055" t="str">
        <f>'Huong dan giao do an'!$B$33</f>
        <v>Tuần 1: 07.09–13.09.2026; Tuần 2: 14.09–20.09.2026; Tuần 3: 21.09–27.09.2026; Tuần 4: 28.09–04.10.2026; Tuần 5: 05.10–11.10.2026; Tuần 6: 12.10–18.10.2026; Tuần 7: 19.10–25.10.2026; Tuần 8: 26.10–01.11.2026.</v>
      </c>
      <c r="N20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5" s="17" t="str">
        <f t="shared" si="32"/>
        <v>Còn trống</v>
      </c>
    </row>
    <row r="2056" spans="1:16" x14ac:dyDescent="0.3">
      <c r="A2056">
        <v>2055</v>
      </c>
      <c r="B2056" t="s">
        <v>4604</v>
      </c>
      <c r="C2056" t="s">
        <v>4741</v>
      </c>
      <c r="D2056" t="s">
        <v>4742</v>
      </c>
      <c r="E2056" t="s">
        <v>45</v>
      </c>
      <c r="F2056" t="s">
        <v>4626</v>
      </c>
      <c r="G2056" t="s">
        <v>4657</v>
      </c>
      <c r="H2056" t="str">
        <f>'Huong dan giao do an'!$B$14</f>
        <v>5 SV (vai trò chính): 1 PM/Scrum Master kiêm Integration; 2 BA/PO; 3 UI-UX + Frontend; 4 Backend/API + DevOps; 5 Database + QA/Tester. Mỗi SV có nhiệm vụ phụ và minh chứng cá nhân.</v>
      </c>
      <c r="I2056" t="s">
        <v>36</v>
      </c>
      <c r="J2056" t="s">
        <v>4619</v>
      </c>
      <c r="K2056" t="str">
        <f>IF(I2056="Trung bình",'Huong dan giao do an'!$B$8,IF(I2056="Khá",'Huong dan giao do an'!$B$9,'Huong dan giao do an'!$B$10))</f>
        <v>Tối thiểu 3 actor; 8-10 use case; 6-8 bảng dữ liệu; 2 quy trình lõi; đăng nhập/RBAC; 1 dashboard; 1 báo cáo; &gt;=25 test case; triển khai bản demo.</v>
      </c>
      <c r="L2056" t="str">
        <f>'Huong dan giao do an'!$B$31</f>
        <v>Bắt buộc: Charter/PMP; SRS + scope/WBS; Gantt/baseline; effort-cost budget; RACI/timesheet; quality-test-defect; communication/minutes; risk register; procurement; change log; closure/lessons learned.</v>
      </c>
      <c r="M2056" t="str">
        <f>'Huong dan giao do an'!$B$33</f>
        <v>Tuần 1: 07.09–13.09.2026; Tuần 2: 14.09–20.09.2026; Tuần 3: 21.09–27.09.2026; Tuần 4: 28.09–04.10.2026; Tuần 5: 05.10–11.10.2026; Tuần 6: 12.10–18.10.2026; Tuần 7: 19.10–25.10.2026; Tuần 8: 26.10–01.11.2026.</v>
      </c>
      <c r="N20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6" s="17" t="str">
        <f t="shared" si="32"/>
        <v>Còn trống</v>
      </c>
    </row>
    <row r="2057" spans="1:16" x14ac:dyDescent="0.3">
      <c r="A2057">
        <v>2056</v>
      </c>
      <c r="B2057" t="s">
        <v>4604</v>
      </c>
      <c r="C2057" t="s">
        <v>4743</v>
      </c>
      <c r="D2057" t="s">
        <v>4744</v>
      </c>
      <c r="E2057" t="s">
        <v>19</v>
      </c>
      <c r="F2057" t="s">
        <v>4607</v>
      </c>
      <c r="G2057" t="s">
        <v>4660</v>
      </c>
      <c r="H2057" t="str">
        <f>'Huong dan giao do an'!$B$14</f>
        <v>5 SV (vai trò chính): 1 PM/Scrum Master kiêm Integration; 2 BA/PO; 3 UI-UX + Frontend; 4 Backend/API + DevOps; 5 Database + QA/Tester. Mỗi SV có nhiệm vụ phụ và minh chứng cá nhân.</v>
      </c>
      <c r="I2057" t="s">
        <v>22</v>
      </c>
      <c r="J2057" t="s">
        <v>4609</v>
      </c>
      <c r="K2057" t="str">
        <f>IF(I2057="Trung bình",'Huong dan giao do an'!$B$8,IF(I2057="Khá",'Huong dan giao do an'!$B$9,'Huong dan giao do an'!$B$10))</f>
        <v>Tối thiểu 4 actor; 10-14 use case; 8-12 bảng; 3 quy trình lõi; phân quyền chi tiết; 2 báo cáo; tích hợp 1 dịch vụ; &gt;=35 test case; CI/CD hoặc deploy cloud.</v>
      </c>
      <c r="L2057" t="str">
        <f>'Huong dan giao do an'!$B$31</f>
        <v>Bắt buộc: Charter/PMP; SRS + scope/WBS; Gantt/baseline; effort-cost budget; RACI/timesheet; quality-test-defect; communication/minutes; risk register; procurement; change log; closure/lessons learned.</v>
      </c>
      <c r="M2057" t="str">
        <f>'Huong dan giao do an'!$B$33</f>
        <v>Tuần 1: 07.09–13.09.2026; Tuần 2: 14.09–20.09.2026; Tuần 3: 21.09–27.09.2026; Tuần 4: 28.09–04.10.2026; Tuần 5: 05.10–11.10.2026; Tuần 6: 12.10–18.10.2026; Tuần 7: 19.10–25.10.2026; Tuần 8: 26.10–01.11.2026.</v>
      </c>
      <c r="N20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7" s="17" t="str">
        <f t="shared" si="32"/>
        <v>Còn trống</v>
      </c>
    </row>
    <row r="2058" spans="1:16" x14ac:dyDescent="0.3">
      <c r="A2058">
        <v>2057</v>
      </c>
      <c r="B2058" t="s">
        <v>4604</v>
      </c>
      <c r="C2058" t="s">
        <v>4745</v>
      </c>
      <c r="D2058" t="s">
        <v>4746</v>
      </c>
      <c r="E2058" t="s">
        <v>26</v>
      </c>
      <c r="F2058" t="s">
        <v>4612</v>
      </c>
      <c r="G2058" t="s">
        <v>4663</v>
      </c>
      <c r="H2058" t="str">
        <f>'Huong dan giao do an'!$B$14</f>
        <v>5 SV (vai trò chính): 1 PM/Scrum Master kiêm Integration; 2 BA/PO; 3 UI-UX + Frontend; 4 Backend/API + DevOps; 5 Database + QA/Tester. Mỗi SV có nhiệm vụ phụ và minh chứng cá nhân.</v>
      </c>
      <c r="I2058" t="s">
        <v>29</v>
      </c>
      <c r="J2058" t="s">
        <v>4614</v>
      </c>
      <c r="K2058" t="str">
        <f>IF(I2058="Trung bình",'Huong dan giao do an'!$B$8,IF(I2058="Khá",'Huong dan giao do an'!$B$9,'Huong dan giao do an'!$B$10))</f>
        <v>Tối thiểu 5 actor; 14-18 use case; 10-15 bảng; 4 quy trình; tích hợp ngoài/realtime hoặc xử lý nâng cao; 3 báo cáo; &gt;=45 test case; logging, backup và deploy.</v>
      </c>
      <c r="L2058" t="str">
        <f>'Huong dan giao do an'!$B$31</f>
        <v>Bắt buộc: Charter/PMP; SRS + scope/WBS; Gantt/baseline; effort-cost budget; RACI/timesheet; quality-test-defect; communication/minutes; risk register; procurement; change log; closure/lessons learned.</v>
      </c>
      <c r="M2058" t="str">
        <f>'Huong dan giao do an'!$B$33</f>
        <v>Tuần 1: 07.09–13.09.2026; Tuần 2: 14.09–20.09.2026; Tuần 3: 21.09–27.09.2026; Tuần 4: 28.09–04.10.2026; Tuần 5: 05.10–11.10.2026; Tuần 6: 12.10–18.10.2026; Tuần 7: 19.10–25.10.2026; Tuần 8: 26.10–01.11.2026.</v>
      </c>
      <c r="N20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8" s="17" t="str">
        <f t="shared" si="32"/>
        <v>Còn trống</v>
      </c>
    </row>
    <row r="2059" spans="1:16" x14ac:dyDescent="0.3">
      <c r="A2059">
        <v>2058</v>
      </c>
      <c r="B2059" t="s">
        <v>4604</v>
      </c>
      <c r="C2059" t="s">
        <v>4747</v>
      </c>
      <c r="D2059" t="s">
        <v>4748</v>
      </c>
      <c r="E2059" t="s">
        <v>33</v>
      </c>
      <c r="F2059" t="s">
        <v>4617</v>
      </c>
      <c r="G2059" t="s">
        <v>4666</v>
      </c>
      <c r="H2059" t="str">
        <f>'Huong dan giao do an'!$B$14</f>
        <v>5 SV (vai trò chính): 1 PM/Scrum Master kiêm Integration; 2 BA/PO; 3 UI-UX + Frontend; 4 Backend/API + DevOps; 5 Database + QA/Tester. Mỗi SV có nhiệm vụ phụ và minh chứng cá nhân.</v>
      </c>
      <c r="I2059" t="s">
        <v>36</v>
      </c>
      <c r="J2059" t="s">
        <v>4619</v>
      </c>
      <c r="K2059" t="str">
        <f>IF(I2059="Trung bình",'Huong dan giao do an'!$B$8,IF(I2059="Khá",'Huong dan giao do an'!$B$9,'Huong dan giao do an'!$B$10))</f>
        <v>Tối thiểu 3 actor; 8-10 use case; 6-8 bảng dữ liệu; 2 quy trình lõi; đăng nhập/RBAC; 1 dashboard; 1 báo cáo; &gt;=25 test case; triển khai bản demo.</v>
      </c>
      <c r="L2059" t="str">
        <f>'Huong dan giao do an'!$B$31</f>
        <v>Bắt buộc: Charter/PMP; SRS + scope/WBS; Gantt/baseline; effort-cost budget; RACI/timesheet; quality-test-defect; communication/minutes; risk register; procurement; change log; closure/lessons learned.</v>
      </c>
      <c r="M2059" t="str">
        <f>'Huong dan giao do an'!$B$33</f>
        <v>Tuần 1: 07.09–13.09.2026; Tuần 2: 14.09–20.09.2026; Tuần 3: 21.09–27.09.2026; Tuần 4: 28.09–04.10.2026; Tuần 5: 05.10–11.10.2026; Tuần 6: 12.10–18.10.2026; Tuần 7: 19.10–25.10.2026; Tuần 8: 26.10–01.11.2026.</v>
      </c>
      <c r="N20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59" s="17" t="str">
        <f t="shared" si="32"/>
        <v>Còn trống</v>
      </c>
    </row>
    <row r="2060" spans="1:16" x14ac:dyDescent="0.3">
      <c r="A2060">
        <v>2059</v>
      </c>
      <c r="B2060" t="s">
        <v>4604</v>
      </c>
      <c r="C2060" t="s">
        <v>4749</v>
      </c>
      <c r="D2060" t="s">
        <v>4750</v>
      </c>
      <c r="E2060" t="s">
        <v>40</v>
      </c>
      <c r="F2060" t="s">
        <v>4622</v>
      </c>
      <c r="G2060" t="s">
        <v>4669</v>
      </c>
      <c r="H2060" t="str">
        <f>'Huong dan giao do an'!$B$14</f>
        <v>5 SV (vai trò chính): 1 PM/Scrum Master kiêm Integration; 2 BA/PO; 3 UI-UX + Frontend; 4 Backend/API + DevOps; 5 Database + QA/Tester. Mỗi SV có nhiệm vụ phụ và minh chứng cá nhân.</v>
      </c>
      <c r="I2060" t="s">
        <v>22</v>
      </c>
      <c r="J2060" t="s">
        <v>4609</v>
      </c>
      <c r="K2060" t="str">
        <f>IF(I2060="Trung bình",'Huong dan giao do an'!$B$8,IF(I2060="Khá",'Huong dan giao do an'!$B$9,'Huong dan giao do an'!$B$10))</f>
        <v>Tối thiểu 4 actor; 10-14 use case; 8-12 bảng; 3 quy trình lõi; phân quyền chi tiết; 2 báo cáo; tích hợp 1 dịch vụ; &gt;=35 test case; CI/CD hoặc deploy cloud.</v>
      </c>
      <c r="L2060" t="str">
        <f>'Huong dan giao do an'!$B$31</f>
        <v>Bắt buộc: Charter/PMP; SRS + scope/WBS; Gantt/baseline; effort-cost budget; RACI/timesheet; quality-test-defect; communication/minutes; risk register; procurement; change log; closure/lessons learned.</v>
      </c>
      <c r="M2060" t="str">
        <f>'Huong dan giao do an'!$B$33</f>
        <v>Tuần 1: 07.09–13.09.2026; Tuần 2: 14.09–20.09.2026; Tuần 3: 21.09–27.09.2026; Tuần 4: 28.09–04.10.2026; Tuần 5: 05.10–11.10.2026; Tuần 6: 12.10–18.10.2026; Tuần 7: 19.10–25.10.2026; Tuần 8: 26.10–01.11.2026.</v>
      </c>
      <c r="N20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0" s="17" t="str">
        <f t="shared" si="32"/>
        <v>Còn trống</v>
      </c>
    </row>
    <row r="2061" spans="1:16" x14ac:dyDescent="0.3">
      <c r="A2061">
        <v>2060</v>
      </c>
      <c r="B2061" t="s">
        <v>4604</v>
      </c>
      <c r="C2061" t="s">
        <v>4751</v>
      </c>
      <c r="D2061" t="s">
        <v>4752</v>
      </c>
      <c r="E2061" t="s">
        <v>45</v>
      </c>
      <c r="F2061" t="s">
        <v>4626</v>
      </c>
      <c r="G2061" t="s">
        <v>4672</v>
      </c>
      <c r="H2061" t="str">
        <f>'Huong dan giao do an'!$B$14</f>
        <v>5 SV (vai trò chính): 1 PM/Scrum Master kiêm Integration; 2 BA/PO; 3 UI-UX + Frontend; 4 Backend/API + DevOps; 5 Database + QA/Tester. Mỗi SV có nhiệm vụ phụ và minh chứng cá nhân.</v>
      </c>
      <c r="I2061" t="s">
        <v>29</v>
      </c>
      <c r="J2061" t="s">
        <v>4614</v>
      </c>
      <c r="K2061" t="str">
        <f>IF(I2061="Trung bình",'Huong dan giao do an'!$B$8,IF(I2061="Khá",'Huong dan giao do an'!$B$9,'Huong dan giao do an'!$B$10))</f>
        <v>Tối thiểu 5 actor; 14-18 use case; 10-15 bảng; 4 quy trình; tích hợp ngoài/realtime hoặc xử lý nâng cao; 3 báo cáo; &gt;=45 test case; logging, backup và deploy.</v>
      </c>
      <c r="L2061" t="str">
        <f>'Huong dan giao do an'!$B$31</f>
        <v>Bắt buộc: Charter/PMP; SRS + scope/WBS; Gantt/baseline; effort-cost budget; RACI/timesheet; quality-test-defect; communication/minutes; risk register; procurement; change log; closure/lessons learned.</v>
      </c>
      <c r="M2061" t="str">
        <f>'Huong dan giao do an'!$B$33</f>
        <v>Tuần 1: 07.09–13.09.2026; Tuần 2: 14.09–20.09.2026; Tuần 3: 21.09–27.09.2026; Tuần 4: 28.09–04.10.2026; Tuần 5: 05.10–11.10.2026; Tuần 6: 12.10–18.10.2026; Tuần 7: 19.10–25.10.2026; Tuần 8: 26.10–01.11.2026.</v>
      </c>
      <c r="N20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1" s="17" t="str">
        <f t="shared" si="32"/>
        <v>Còn trống</v>
      </c>
    </row>
    <row r="2062" spans="1:16" x14ac:dyDescent="0.3">
      <c r="A2062">
        <v>2061</v>
      </c>
      <c r="B2062" t="s">
        <v>4604</v>
      </c>
      <c r="C2062" t="s">
        <v>4753</v>
      </c>
      <c r="D2062" t="s">
        <v>4754</v>
      </c>
      <c r="E2062" t="s">
        <v>19</v>
      </c>
      <c r="F2062" t="s">
        <v>4607</v>
      </c>
      <c r="G2062" t="s">
        <v>4608</v>
      </c>
      <c r="H2062" t="str">
        <f>'Huong dan giao do an'!$B$14</f>
        <v>5 SV (vai trò chính): 1 PM/Scrum Master kiêm Integration; 2 BA/PO; 3 UI-UX + Frontend; 4 Backend/API + DevOps; 5 Database + QA/Tester. Mỗi SV có nhiệm vụ phụ và minh chứng cá nhân.</v>
      </c>
      <c r="I2062" t="s">
        <v>22</v>
      </c>
      <c r="J2062" t="s">
        <v>4609</v>
      </c>
      <c r="K2062" t="str">
        <f>IF(I2062="Trung bình",'Huong dan giao do an'!$B$8,IF(I2062="Khá",'Huong dan giao do an'!$B$9,'Huong dan giao do an'!$B$10))</f>
        <v>Tối thiểu 4 actor; 10-14 use case; 8-12 bảng; 3 quy trình lõi; phân quyền chi tiết; 2 báo cáo; tích hợp 1 dịch vụ; &gt;=35 test case; CI/CD hoặc deploy cloud.</v>
      </c>
      <c r="L2062" t="str">
        <f>'Huong dan giao do an'!$B$31</f>
        <v>Bắt buộc: Charter/PMP; SRS + scope/WBS; Gantt/baseline; effort-cost budget; RACI/timesheet; quality-test-defect; communication/minutes; risk register; procurement; change log; closure/lessons learned.</v>
      </c>
      <c r="M2062" t="str">
        <f>'Huong dan giao do an'!$B$33</f>
        <v>Tuần 1: 07.09–13.09.2026; Tuần 2: 14.09–20.09.2026; Tuần 3: 21.09–27.09.2026; Tuần 4: 28.09–04.10.2026; Tuần 5: 05.10–11.10.2026; Tuần 6: 12.10–18.10.2026; Tuần 7: 19.10–25.10.2026; Tuần 8: 26.10–01.11.2026.</v>
      </c>
      <c r="N20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2" s="17" t="str">
        <f t="shared" si="32"/>
        <v>Còn trống</v>
      </c>
    </row>
    <row r="2063" spans="1:16" x14ac:dyDescent="0.3">
      <c r="A2063">
        <v>2062</v>
      </c>
      <c r="B2063" t="s">
        <v>4604</v>
      </c>
      <c r="C2063" t="s">
        <v>4755</v>
      </c>
      <c r="D2063" t="s">
        <v>4756</v>
      </c>
      <c r="E2063" t="s">
        <v>26</v>
      </c>
      <c r="F2063" t="s">
        <v>4612</v>
      </c>
      <c r="G2063" t="s">
        <v>4613</v>
      </c>
      <c r="H2063" t="str">
        <f>'Huong dan giao do an'!$B$14</f>
        <v>5 SV (vai trò chính): 1 PM/Scrum Master kiêm Integration; 2 BA/PO; 3 UI-UX + Frontend; 4 Backend/API + DevOps; 5 Database + QA/Tester. Mỗi SV có nhiệm vụ phụ và minh chứng cá nhân.</v>
      </c>
      <c r="I2063" t="s">
        <v>29</v>
      </c>
      <c r="J2063" t="s">
        <v>4614</v>
      </c>
      <c r="K2063" t="str">
        <f>IF(I2063="Trung bình",'Huong dan giao do an'!$B$8,IF(I2063="Khá",'Huong dan giao do an'!$B$9,'Huong dan giao do an'!$B$10))</f>
        <v>Tối thiểu 5 actor; 14-18 use case; 10-15 bảng; 4 quy trình; tích hợp ngoài/realtime hoặc xử lý nâng cao; 3 báo cáo; &gt;=45 test case; logging, backup và deploy.</v>
      </c>
      <c r="L2063" t="str">
        <f>'Huong dan giao do an'!$B$31</f>
        <v>Bắt buộc: Charter/PMP; SRS + scope/WBS; Gantt/baseline; effort-cost budget; RACI/timesheet; quality-test-defect; communication/minutes; risk register; procurement; change log; closure/lessons learned.</v>
      </c>
      <c r="M2063" t="str">
        <f>'Huong dan giao do an'!$B$33</f>
        <v>Tuần 1: 07.09–13.09.2026; Tuần 2: 14.09–20.09.2026; Tuần 3: 21.09–27.09.2026; Tuần 4: 28.09–04.10.2026; Tuần 5: 05.10–11.10.2026; Tuần 6: 12.10–18.10.2026; Tuần 7: 19.10–25.10.2026; Tuần 8: 26.10–01.11.2026.</v>
      </c>
      <c r="N20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3" s="17" t="str">
        <f t="shared" si="32"/>
        <v>Còn trống</v>
      </c>
    </row>
    <row r="2064" spans="1:16" x14ac:dyDescent="0.3">
      <c r="A2064">
        <v>2063</v>
      </c>
      <c r="B2064" t="s">
        <v>4604</v>
      </c>
      <c r="C2064" t="s">
        <v>4757</v>
      </c>
      <c r="D2064" t="s">
        <v>4758</v>
      </c>
      <c r="E2064" t="s">
        <v>33</v>
      </c>
      <c r="F2064" t="s">
        <v>4617</v>
      </c>
      <c r="G2064" t="s">
        <v>4618</v>
      </c>
      <c r="H2064" t="str">
        <f>'Huong dan giao do an'!$B$14</f>
        <v>5 SV (vai trò chính): 1 PM/Scrum Master kiêm Integration; 2 BA/PO; 3 UI-UX + Frontend; 4 Backend/API + DevOps; 5 Database + QA/Tester. Mỗi SV có nhiệm vụ phụ và minh chứng cá nhân.</v>
      </c>
      <c r="I2064" t="s">
        <v>36</v>
      </c>
      <c r="J2064" t="s">
        <v>4619</v>
      </c>
      <c r="K2064" t="str">
        <f>IF(I2064="Trung bình",'Huong dan giao do an'!$B$8,IF(I2064="Khá",'Huong dan giao do an'!$B$9,'Huong dan giao do an'!$B$10))</f>
        <v>Tối thiểu 3 actor; 8-10 use case; 6-8 bảng dữ liệu; 2 quy trình lõi; đăng nhập/RBAC; 1 dashboard; 1 báo cáo; &gt;=25 test case; triển khai bản demo.</v>
      </c>
      <c r="L2064" t="str">
        <f>'Huong dan giao do an'!$B$31</f>
        <v>Bắt buộc: Charter/PMP; SRS + scope/WBS; Gantt/baseline; effort-cost budget; RACI/timesheet; quality-test-defect; communication/minutes; risk register; procurement; change log; closure/lessons learned.</v>
      </c>
      <c r="M2064" t="str">
        <f>'Huong dan giao do an'!$B$33</f>
        <v>Tuần 1: 07.09–13.09.2026; Tuần 2: 14.09–20.09.2026; Tuần 3: 21.09–27.09.2026; Tuần 4: 28.09–04.10.2026; Tuần 5: 05.10–11.10.2026; Tuần 6: 12.10–18.10.2026; Tuần 7: 19.10–25.10.2026; Tuần 8: 26.10–01.11.2026.</v>
      </c>
      <c r="N20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4" s="17" t="str">
        <f t="shared" si="32"/>
        <v>Còn trống</v>
      </c>
    </row>
    <row r="2065" spans="1:16" x14ac:dyDescent="0.3">
      <c r="A2065">
        <v>2064</v>
      </c>
      <c r="B2065" t="s">
        <v>4604</v>
      </c>
      <c r="C2065" t="s">
        <v>4759</v>
      </c>
      <c r="D2065" t="s">
        <v>4760</v>
      </c>
      <c r="E2065" t="s">
        <v>40</v>
      </c>
      <c r="F2065" t="s">
        <v>4622</v>
      </c>
      <c r="G2065" t="s">
        <v>4623</v>
      </c>
      <c r="H2065" t="str">
        <f>'Huong dan giao do an'!$B$14</f>
        <v>5 SV (vai trò chính): 1 PM/Scrum Master kiêm Integration; 2 BA/PO; 3 UI-UX + Frontend; 4 Backend/API + DevOps; 5 Database + QA/Tester. Mỗi SV có nhiệm vụ phụ và minh chứng cá nhân.</v>
      </c>
      <c r="I2065" t="s">
        <v>22</v>
      </c>
      <c r="J2065" t="s">
        <v>4609</v>
      </c>
      <c r="K2065" t="str">
        <f>IF(I2065="Trung bình",'Huong dan giao do an'!$B$8,IF(I2065="Khá",'Huong dan giao do an'!$B$9,'Huong dan giao do an'!$B$10))</f>
        <v>Tối thiểu 4 actor; 10-14 use case; 8-12 bảng; 3 quy trình lõi; phân quyền chi tiết; 2 báo cáo; tích hợp 1 dịch vụ; &gt;=35 test case; CI/CD hoặc deploy cloud.</v>
      </c>
      <c r="L2065" t="str">
        <f>'Huong dan giao do an'!$B$31</f>
        <v>Bắt buộc: Charter/PMP; SRS + scope/WBS; Gantt/baseline; effort-cost budget; RACI/timesheet; quality-test-defect; communication/minutes; risk register; procurement; change log; closure/lessons learned.</v>
      </c>
      <c r="M2065" t="str">
        <f>'Huong dan giao do an'!$B$33</f>
        <v>Tuần 1: 07.09–13.09.2026; Tuần 2: 14.09–20.09.2026; Tuần 3: 21.09–27.09.2026; Tuần 4: 28.09–04.10.2026; Tuần 5: 05.10–11.10.2026; Tuần 6: 12.10–18.10.2026; Tuần 7: 19.10–25.10.2026; Tuần 8: 26.10–01.11.2026.</v>
      </c>
      <c r="N20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5" s="17" t="str">
        <f t="shared" si="32"/>
        <v>Còn trống</v>
      </c>
    </row>
    <row r="2066" spans="1:16" x14ac:dyDescent="0.3">
      <c r="A2066">
        <v>2065</v>
      </c>
      <c r="B2066" t="s">
        <v>4604</v>
      </c>
      <c r="C2066" t="s">
        <v>4761</v>
      </c>
      <c r="D2066" t="s">
        <v>4762</v>
      </c>
      <c r="E2066" t="s">
        <v>45</v>
      </c>
      <c r="F2066" t="s">
        <v>4626</v>
      </c>
      <c r="G2066" t="s">
        <v>4627</v>
      </c>
      <c r="H2066" t="str">
        <f>'Huong dan giao do an'!$B$14</f>
        <v>5 SV (vai trò chính): 1 PM/Scrum Master kiêm Integration; 2 BA/PO; 3 UI-UX + Frontend; 4 Backend/API + DevOps; 5 Database + QA/Tester. Mỗi SV có nhiệm vụ phụ và minh chứng cá nhân.</v>
      </c>
      <c r="I2066" t="s">
        <v>29</v>
      </c>
      <c r="J2066" t="s">
        <v>4614</v>
      </c>
      <c r="K2066" t="str">
        <f>IF(I2066="Trung bình",'Huong dan giao do an'!$B$8,IF(I2066="Khá",'Huong dan giao do an'!$B$9,'Huong dan giao do an'!$B$10))</f>
        <v>Tối thiểu 5 actor; 14-18 use case; 10-15 bảng; 4 quy trình; tích hợp ngoài/realtime hoặc xử lý nâng cao; 3 báo cáo; &gt;=45 test case; logging, backup và deploy.</v>
      </c>
      <c r="L2066" t="str">
        <f>'Huong dan giao do an'!$B$31</f>
        <v>Bắt buộc: Charter/PMP; SRS + scope/WBS; Gantt/baseline; effort-cost budget; RACI/timesheet; quality-test-defect; communication/minutes; risk register; procurement; change log; closure/lessons learned.</v>
      </c>
      <c r="M2066" t="str">
        <f>'Huong dan giao do an'!$B$33</f>
        <v>Tuần 1: 07.09–13.09.2026; Tuần 2: 14.09–20.09.2026; Tuần 3: 21.09–27.09.2026; Tuần 4: 28.09–04.10.2026; Tuần 5: 05.10–11.10.2026; Tuần 6: 12.10–18.10.2026; Tuần 7: 19.10–25.10.2026; Tuần 8: 26.10–01.11.2026.</v>
      </c>
      <c r="N20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6" s="17" t="str">
        <f t="shared" si="32"/>
        <v>Còn trống</v>
      </c>
    </row>
    <row r="2067" spans="1:16" x14ac:dyDescent="0.3">
      <c r="A2067">
        <v>2066</v>
      </c>
      <c r="B2067" t="s">
        <v>4604</v>
      </c>
      <c r="C2067" t="s">
        <v>4763</v>
      </c>
      <c r="D2067" t="s">
        <v>4764</v>
      </c>
      <c r="E2067" t="s">
        <v>19</v>
      </c>
      <c r="F2067" t="s">
        <v>4607</v>
      </c>
      <c r="G2067" t="s">
        <v>4630</v>
      </c>
      <c r="H2067" t="str">
        <f>'Huong dan giao do an'!$B$14</f>
        <v>5 SV (vai trò chính): 1 PM/Scrum Master kiêm Integration; 2 BA/PO; 3 UI-UX + Frontend; 4 Backend/API + DevOps; 5 Database + QA/Tester. Mỗi SV có nhiệm vụ phụ và minh chứng cá nhân.</v>
      </c>
      <c r="I2067" t="s">
        <v>36</v>
      </c>
      <c r="J2067" t="s">
        <v>4619</v>
      </c>
      <c r="K2067" t="str">
        <f>IF(I2067="Trung bình",'Huong dan giao do an'!$B$8,IF(I2067="Khá",'Huong dan giao do an'!$B$9,'Huong dan giao do an'!$B$10))</f>
        <v>Tối thiểu 3 actor; 8-10 use case; 6-8 bảng dữ liệu; 2 quy trình lõi; đăng nhập/RBAC; 1 dashboard; 1 báo cáo; &gt;=25 test case; triển khai bản demo.</v>
      </c>
      <c r="L2067" t="str">
        <f>'Huong dan giao do an'!$B$31</f>
        <v>Bắt buộc: Charter/PMP; SRS + scope/WBS; Gantt/baseline; effort-cost budget; RACI/timesheet; quality-test-defect; communication/minutes; risk register; procurement; change log; closure/lessons learned.</v>
      </c>
      <c r="M2067" t="str">
        <f>'Huong dan giao do an'!$B$33</f>
        <v>Tuần 1: 07.09–13.09.2026; Tuần 2: 14.09–20.09.2026; Tuần 3: 21.09–27.09.2026; Tuần 4: 28.09–04.10.2026; Tuần 5: 05.10–11.10.2026; Tuần 6: 12.10–18.10.2026; Tuần 7: 19.10–25.10.2026; Tuần 8: 26.10–01.11.2026.</v>
      </c>
      <c r="N20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7" s="17" t="str">
        <f t="shared" si="32"/>
        <v>Còn trống</v>
      </c>
    </row>
    <row r="2068" spans="1:16" x14ac:dyDescent="0.3">
      <c r="A2068">
        <v>2067</v>
      </c>
      <c r="B2068" t="s">
        <v>4604</v>
      </c>
      <c r="C2068" t="s">
        <v>4765</v>
      </c>
      <c r="D2068" t="s">
        <v>4766</v>
      </c>
      <c r="E2068" t="s">
        <v>26</v>
      </c>
      <c r="F2068" t="s">
        <v>4612</v>
      </c>
      <c r="G2068" t="s">
        <v>4633</v>
      </c>
      <c r="H2068" t="str">
        <f>'Huong dan giao do an'!$B$14</f>
        <v>5 SV (vai trò chính): 1 PM/Scrum Master kiêm Integration; 2 BA/PO; 3 UI-UX + Frontend; 4 Backend/API + DevOps; 5 Database + QA/Tester. Mỗi SV có nhiệm vụ phụ và minh chứng cá nhân.</v>
      </c>
      <c r="I2068" t="s">
        <v>22</v>
      </c>
      <c r="J2068" t="s">
        <v>4609</v>
      </c>
      <c r="K2068" t="str">
        <f>IF(I2068="Trung bình",'Huong dan giao do an'!$B$8,IF(I2068="Khá",'Huong dan giao do an'!$B$9,'Huong dan giao do an'!$B$10))</f>
        <v>Tối thiểu 4 actor; 10-14 use case; 8-12 bảng; 3 quy trình lõi; phân quyền chi tiết; 2 báo cáo; tích hợp 1 dịch vụ; &gt;=35 test case; CI/CD hoặc deploy cloud.</v>
      </c>
      <c r="L2068" t="str">
        <f>'Huong dan giao do an'!$B$31</f>
        <v>Bắt buộc: Charter/PMP; SRS + scope/WBS; Gantt/baseline; effort-cost budget; RACI/timesheet; quality-test-defect; communication/minutes; risk register; procurement; change log; closure/lessons learned.</v>
      </c>
      <c r="M2068" t="str">
        <f>'Huong dan giao do an'!$B$33</f>
        <v>Tuần 1: 07.09–13.09.2026; Tuần 2: 14.09–20.09.2026; Tuần 3: 21.09–27.09.2026; Tuần 4: 28.09–04.10.2026; Tuần 5: 05.10–11.10.2026; Tuần 6: 12.10–18.10.2026; Tuần 7: 19.10–25.10.2026; Tuần 8: 26.10–01.11.2026.</v>
      </c>
      <c r="N20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8" s="17" t="str">
        <f t="shared" si="32"/>
        <v>Còn trống</v>
      </c>
    </row>
    <row r="2069" spans="1:16" x14ac:dyDescent="0.3">
      <c r="A2069">
        <v>2068</v>
      </c>
      <c r="B2069" t="s">
        <v>4604</v>
      </c>
      <c r="C2069" t="s">
        <v>4767</v>
      </c>
      <c r="D2069" t="s">
        <v>4768</v>
      </c>
      <c r="E2069" t="s">
        <v>33</v>
      </c>
      <c r="F2069" t="s">
        <v>4617</v>
      </c>
      <c r="G2069" t="s">
        <v>4636</v>
      </c>
      <c r="H2069" t="str">
        <f>'Huong dan giao do an'!$B$14</f>
        <v>5 SV (vai trò chính): 1 PM/Scrum Master kiêm Integration; 2 BA/PO; 3 UI-UX + Frontend; 4 Backend/API + DevOps; 5 Database + QA/Tester. Mỗi SV có nhiệm vụ phụ và minh chứng cá nhân.</v>
      </c>
      <c r="I2069" t="s">
        <v>29</v>
      </c>
      <c r="J2069" t="s">
        <v>4614</v>
      </c>
      <c r="K2069" t="str">
        <f>IF(I2069="Trung bình",'Huong dan giao do an'!$B$8,IF(I2069="Khá",'Huong dan giao do an'!$B$9,'Huong dan giao do an'!$B$10))</f>
        <v>Tối thiểu 5 actor; 14-18 use case; 10-15 bảng; 4 quy trình; tích hợp ngoài/realtime hoặc xử lý nâng cao; 3 báo cáo; &gt;=45 test case; logging, backup và deploy.</v>
      </c>
      <c r="L2069" t="str">
        <f>'Huong dan giao do an'!$B$31</f>
        <v>Bắt buộc: Charter/PMP; SRS + scope/WBS; Gantt/baseline; effort-cost budget; RACI/timesheet; quality-test-defect; communication/minutes; risk register; procurement; change log; closure/lessons learned.</v>
      </c>
      <c r="M2069" t="str">
        <f>'Huong dan giao do an'!$B$33</f>
        <v>Tuần 1: 07.09–13.09.2026; Tuần 2: 14.09–20.09.2026; Tuần 3: 21.09–27.09.2026; Tuần 4: 28.09–04.10.2026; Tuần 5: 05.10–11.10.2026; Tuần 6: 12.10–18.10.2026; Tuần 7: 19.10–25.10.2026; Tuần 8: 26.10–01.11.2026.</v>
      </c>
      <c r="N20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69" s="17" t="str">
        <f t="shared" si="32"/>
        <v>Còn trống</v>
      </c>
    </row>
    <row r="2070" spans="1:16" x14ac:dyDescent="0.3">
      <c r="A2070">
        <v>2069</v>
      </c>
      <c r="B2070" t="s">
        <v>4604</v>
      </c>
      <c r="C2070" t="s">
        <v>4769</v>
      </c>
      <c r="D2070" t="s">
        <v>4770</v>
      </c>
      <c r="E2070" t="s">
        <v>40</v>
      </c>
      <c r="F2070" t="s">
        <v>4622</v>
      </c>
      <c r="G2070" t="s">
        <v>4639</v>
      </c>
      <c r="H2070" t="str">
        <f>'Huong dan giao do an'!$B$14</f>
        <v>5 SV (vai trò chính): 1 PM/Scrum Master kiêm Integration; 2 BA/PO; 3 UI-UX + Frontend; 4 Backend/API + DevOps; 5 Database + QA/Tester. Mỗi SV có nhiệm vụ phụ và minh chứng cá nhân.</v>
      </c>
      <c r="I2070" t="s">
        <v>36</v>
      </c>
      <c r="J2070" t="s">
        <v>4619</v>
      </c>
      <c r="K2070" t="str">
        <f>IF(I2070="Trung bình",'Huong dan giao do an'!$B$8,IF(I2070="Khá",'Huong dan giao do an'!$B$9,'Huong dan giao do an'!$B$10))</f>
        <v>Tối thiểu 3 actor; 8-10 use case; 6-8 bảng dữ liệu; 2 quy trình lõi; đăng nhập/RBAC; 1 dashboard; 1 báo cáo; &gt;=25 test case; triển khai bản demo.</v>
      </c>
      <c r="L2070" t="str">
        <f>'Huong dan giao do an'!$B$31</f>
        <v>Bắt buộc: Charter/PMP; SRS + scope/WBS; Gantt/baseline; effort-cost budget; RACI/timesheet; quality-test-defect; communication/minutes; risk register; procurement; change log; closure/lessons learned.</v>
      </c>
      <c r="M2070" t="str">
        <f>'Huong dan giao do an'!$B$33</f>
        <v>Tuần 1: 07.09–13.09.2026; Tuần 2: 14.09–20.09.2026; Tuần 3: 21.09–27.09.2026; Tuần 4: 28.09–04.10.2026; Tuần 5: 05.10–11.10.2026; Tuần 6: 12.10–18.10.2026; Tuần 7: 19.10–25.10.2026; Tuần 8: 26.10–01.11.2026.</v>
      </c>
      <c r="N20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0" s="17" t="str">
        <f t="shared" si="32"/>
        <v>Còn trống</v>
      </c>
    </row>
    <row r="2071" spans="1:16" x14ac:dyDescent="0.3">
      <c r="A2071">
        <v>2070</v>
      </c>
      <c r="B2071" t="s">
        <v>4604</v>
      </c>
      <c r="C2071" t="s">
        <v>4771</v>
      </c>
      <c r="D2071" t="s">
        <v>4772</v>
      </c>
      <c r="E2071" t="s">
        <v>45</v>
      </c>
      <c r="F2071" t="s">
        <v>4626</v>
      </c>
      <c r="G2071" t="s">
        <v>4642</v>
      </c>
      <c r="H2071" t="str">
        <f>'Huong dan giao do an'!$B$14</f>
        <v>5 SV (vai trò chính): 1 PM/Scrum Master kiêm Integration; 2 BA/PO; 3 UI-UX + Frontend; 4 Backend/API + DevOps; 5 Database + QA/Tester. Mỗi SV có nhiệm vụ phụ và minh chứng cá nhân.</v>
      </c>
      <c r="I2071" t="s">
        <v>22</v>
      </c>
      <c r="J2071" t="s">
        <v>4609</v>
      </c>
      <c r="K2071" t="str">
        <f>IF(I2071="Trung bình",'Huong dan giao do an'!$B$8,IF(I2071="Khá",'Huong dan giao do an'!$B$9,'Huong dan giao do an'!$B$10))</f>
        <v>Tối thiểu 4 actor; 10-14 use case; 8-12 bảng; 3 quy trình lõi; phân quyền chi tiết; 2 báo cáo; tích hợp 1 dịch vụ; &gt;=35 test case; CI/CD hoặc deploy cloud.</v>
      </c>
      <c r="L2071" t="str">
        <f>'Huong dan giao do an'!$B$31</f>
        <v>Bắt buộc: Charter/PMP; SRS + scope/WBS; Gantt/baseline; effort-cost budget; RACI/timesheet; quality-test-defect; communication/minutes; risk register; procurement; change log; closure/lessons learned.</v>
      </c>
      <c r="M2071" t="str">
        <f>'Huong dan giao do an'!$B$33</f>
        <v>Tuần 1: 07.09–13.09.2026; Tuần 2: 14.09–20.09.2026; Tuần 3: 21.09–27.09.2026; Tuần 4: 28.09–04.10.2026; Tuần 5: 05.10–11.10.2026; Tuần 6: 12.10–18.10.2026; Tuần 7: 19.10–25.10.2026; Tuần 8: 26.10–01.11.2026.</v>
      </c>
      <c r="N20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1" s="17" t="str">
        <f t="shared" si="32"/>
        <v>Còn trống</v>
      </c>
    </row>
    <row r="2072" spans="1:16" x14ac:dyDescent="0.3">
      <c r="A2072">
        <v>2071</v>
      </c>
      <c r="B2072" t="s">
        <v>4604</v>
      </c>
      <c r="C2072" t="s">
        <v>4773</v>
      </c>
      <c r="D2072" t="s">
        <v>4774</v>
      </c>
      <c r="E2072" t="s">
        <v>19</v>
      </c>
      <c r="F2072" t="s">
        <v>4607</v>
      </c>
      <c r="G2072" t="s">
        <v>4645</v>
      </c>
      <c r="H2072" t="str">
        <f>'Huong dan giao do an'!$B$14</f>
        <v>5 SV (vai trò chính): 1 PM/Scrum Master kiêm Integration; 2 BA/PO; 3 UI-UX + Frontend; 4 Backend/API + DevOps; 5 Database + QA/Tester. Mỗi SV có nhiệm vụ phụ và minh chứng cá nhân.</v>
      </c>
      <c r="I2072" t="s">
        <v>29</v>
      </c>
      <c r="J2072" t="s">
        <v>4614</v>
      </c>
      <c r="K2072" t="str">
        <f>IF(I2072="Trung bình",'Huong dan giao do an'!$B$8,IF(I2072="Khá",'Huong dan giao do an'!$B$9,'Huong dan giao do an'!$B$10))</f>
        <v>Tối thiểu 5 actor; 14-18 use case; 10-15 bảng; 4 quy trình; tích hợp ngoài/realtime hoặc xử lý nâng cao; 3 báo cáo; &gt;=45 test case; logging, backup và deploy.</v>
      </c>
      <c r="L2072" t="str">
        <f>'Huong dan giao do an'!$B$31</f>
        <v>Bắt buộc: Charter/PMP; SRS + scope/WBS; Gantt/baseline; effort-cost budget; RACI/timesheet; quality-test-defect; communication/minutes; risk register; procurement; change log; closure/lessons learned.</v>
      </c>
      <c r="M2072" t="str">
        <f>'Huong dan giao do an'!$B$33</f>
        <v>Tuần 1: 07.09–13.09.2026; Tuần 2: 14.09–20.09.2026; Tuần 3: 21.09–27.09.2026; Tuần 4: 28.09–04.10.2026; Tuần 5: 05.10–11.10.2026; Tuần 6: 12.10–18.10.2026; Tuần 7: 19.10–25.10.2026; Tuần 8: 26.10–01.11.2026.</v>
      </c>
      <c r="N20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2" s="17" t="str">
        <f t="shared" si="32"/>
        <v>Còn trống</v>
      </c>
    </row>
    <row r="2073" spans="1:16" x14ac:dyDescent="0.3">
      <c r="A2073">
        <v>2072</v>
      </c>
      <c r="B2073" t="s">
        <v>4604</v>
      </c>
      <c r="C2073" t="s">
        <v>4775</v>
      </c>
      <c r="D2073" t="s">
        <v>4776</v>
      </c>
      <c r="E2073" t="s">
        <v>26</v>
      </c>
      <c r="F2073" t="s">
        <v>4612</v>
      </c>
      <c r="G2073" t="s">
        <v>4648</v>
      </c>
      <c r="H2073" t="str">
        <f>'Huong dan giao do an'!$B$14</f>
        <v>5 SV (vai trò chính): 1 PM/Scrum Master kiêm Integration; 2 BA/PO; 3 UI-UX + Frontend; 4 Backend/API + DevOps; 5 Database + QA/Tester. Mỗi SV có nhiệm vụ phụ và minh chứng cá nhân.</v>
      </c>
      <c r="I2073" t="s">
        <v>36</v>
      </c>
      <c r="J2073" t="s">
        <v>4619</v>
      </c>
      <c r="K2073" t="str">
        <f>IF(I2073="Trung bình",'Huong dan giao do an'!$B$8,IF(I2073="Khá",'Huong dan giao do an'!$B$9,'Huong dan giao do an'!$B$10))</f>
        <v>Tối thiểu 3 actor; 8-10 use case; 6-8 bảng dữ liệu; 2 quy trình lõi; đăng nhập/RBAC; 1 dashboard; 1 báo cáo; &gt;=25 test case; triển khai bản demo.</v>
      </c>
      <c r="L2073" t="str">
        <f>'Huong dan giao do an'!$B$31</f>
        <v>Bắt buộc: Charter/PMP; SRS + scope/WBS; Gantt/baseline; effort-cost budget; RACI/timesheet; quality-test-defect; communication/minutes; risk register; procurement; change log; closure/lessons learned.</v>
      </c>
      <c r="M2073" t="str">
        <f>'Huong dan giao do an'!$B$33</f>
        <v>Tuần 1: 07.09–13.09.2026; Tuần 2: 14.09–20.09.2026; Tuần 3: 21.09–27.09.2026; Tuần 4: 28.09–04.10.2026; Tuần 5: 05.10–11.10.2026; Tuần 6: 12.10–18.10.2026; Tuần 7: 19.10–25.10.2026; Tuần 8: 26.10–01.11.2026.</v>
      </c>
      <c r="N20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3" s="17" t="str">
        <f t="shared" si="32"/>
        <v>Còn trống</v>
      </c>
    </row>
    <row r="2074" spans="1:16" x14ac:dyDescent="0.3">
      <c r="A2074">
        <v>2073</v>
      </c>
      <c r="B2074" t="s">
        <v>4604</v>
      </c>
      <c r="C2074" t="s">
        <v>4777</v>
      </c>
      <c r="D2074" t="s">
        <v>4778</v>
      </c>
      <c r="E2074" t="s">
        <v>33</v>
      </c>
      <c r="F2074" t="s">
        <v>4617</v>
      </c>
      <c r="G2074" t="s">
        <v>4651</v>
      </c>
      <c r="H2074" t="str">
        <f>'Huong dan giao do an'!$B$14</f>
        <v>5 SV (vai trò chính): 1 PM/Scrum Master kiêm Integration; 2 BA/PO; 3 UI-UX + Frontend; 4 Backend/API + DevOps; 5 Database + QA/Tester. Mỗi SV có nhiệm vụ phụ và minh chứng cá nhân.</v>
      </c>
      <c r="I2074" t="s">
        <v>22</v>
      </c>
      <c r="J2074" t="s">
        <v>4609</v>
      </c>
      <c r="K2074" t="str">
        <f>IF(I2074="Trung bình",'Huong dan giao do an'!$B$8,IF(I2074="Khá",'Huong dan giao do an'!$B$9,'Huong dan giao do an'!$B$10))</f>
        <v>Tối thiểu 4 actor; 10-14 use case; 8-12 bảng; 3 quy trình lõi; phân quyền chi tiết; 2 báo cáo; tích hợp 1 dịch vụ; &gt;=35 test case; CI/CD hoặc deploy cloud.</v>
      </c>
      <c r="L2074" t="str">
        <f>'Huong dan giao do an'!$B$31</f>
        <v>Bắt buộc: Charter/PMP; SRS + scope/WBS; Gantt/baseline; effort-cost budget; RACI/timesheet; quality-test-defect; communication/minutes; risk register; procurement; change log; closure/lessons learned.</v>
      </c>
      <c r="M2074" t="str">
        <f>'Huong dan giao do an'!$B$33</f>
        <v>Tuần 1: 07.09–13.09.2026; Tuần 2: 14.09–20.09.2026; Tuần 3: 21.09–27.09.2026; Tuần 4: 28.09–04.10.2026; Tuần 5: 05.10–11.10.2026; Tuần 6: 12.10–18.10.2026; Tuần 7: 19.10–25.10.2026; Tuần 8: 26.10–01.11.2026.</v>
      </c>
      <c r="N20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4" s="17" t="str">
        <f t="shared" si="32"/>
        <v>Còn trống</v>
      </c>
    </row>
    <row r="2075" spans="1:16" x14ac:dyDescent="0.3">
      <c r="A2075">
        <v>2074</v>
      </c>
      <c r="B2075" t="s">
        <v>4604</v>
      </c>
      <c r="C2075" t="s">
        <v>4779</v>
      </c>
      <c r="D2075" t="s">
        <v>4780</v>
      </c>
      <c r="E2075" t="s">
        <v>40</v>
      </c>
      <c r="F2075" t="s">
        <v>4622</v>
      </c>
      <c r="G2075" t="s">
        <v>4654</v>
      </c>
      <c r="H2075" t="str">
        <f>'Huong dan giao do an'!$B$14</f>
        <v>5 SV (vai trò chính): 1 PM/Scrum Master kiêm Integration; 2 BA/PO; 3 UI-UX + Frontend; 4 Backend/API + DevOps; 5 Database + QA/Tester. Mỗi SV có nhiệm vụ phụ và minh chứng cá nhân.</v>
      </c>
      <c r="I2075" t="s">
        <v>29</v>
      </c>
      <c r="J2075" t="s">
        <v>4614</v>
      </c>
      <c r="K2075" t="str">
        <f>IF(I2075="Trung bình",'Huong dan giao do an'!$B$8,IF(I2075="Khá",'Huong dan giao do an'!$B$9,'Huong dan giao do an'!$B$10))</f>
        <v>Tối thiểu 5 actor; 14-18 use case; 10-15 bảng; 4 quy trình; tích hợp ngoài/realtime hoặc xử lý nâng cao; 3 báo cáo; &gt;=45 test case; logging, backup và deploy.</v>
      </c>
      <c r="L2075" t="str">
        <f>'Huong dan giao do an'!$B$31</f>
        <v>Bắt buộc: Charter/PMP; SRS + scope/WBS; Gantt/baseline; effort-cost budget; RACI/timesheet; quality-test-defect; communication/minutes; risk register; procurement; change log; closure/lessons learned.</v>
      </c>
      <c r="M2075" t="str">
        <f>'Huong dan giao do an'!$B$33</f>
        <v>Tuần 1: 07.09–13.09.2026; Tuần 2: 14.09–20.09.2026; Tuần 3: 21.09–27.09.2026; Tuần 4: 28.09–04.10.2026; Tuần 5: 05.10–11.10.2026; Tuần 6: 12.10–18.10.2026; Tuần 7: 19.10–25.10.2026; Tuần 8: 26.10–01.11.2026.</v>
      </c>
      <c r="N20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5" s="17" t="str">
        <f t="shared" si="32"/>
        <v>Còn trống</v>
      </c>
    </row>
    <row r="2076" spans="1:16" x14ac:dyDescent="0.3">
      <c r="A2076">
        <v>2075</v>
      </c>
      <c r="B2076" t="s">
        <v>4604</v>
      </c>
      <c r="C2076" t="s">
        <v>4781</v>
      </c>
      <c r="D2076" t="s">
        <v>4782</v>
      </c>
      <c r="E2076" t="s">
        <v>45</v>
      </c>
      <c r="F2076" t="s">
        <v>4626</v>
      </c>
      <c r="G2076" t="s">
        <v>4657</v>
      </c>
      <c r="H2076" t="str">
        <f>'Huong dan giao do an'!$B$14</f>
        <v>5 SV (vai trò chính): 1 PM/Scrum Master kiêm Integration; 2 BA/PO; 3 UI-UX + Frontend; 4 Backend/API + DevOps; 5 Database + QA/Tester. Mỗi SV có nhiệm vụ phụ và minh chứng cá nhân.</v>
      </c>
      <c r="I2076" t="s">
        <v>36</v>
      </c>
      <c r="J2076" t="s">
        <v>4619</v>
      </c>
      <c r="K2076" t="str">
        <f>IF(I2076="Trung bình",'Huong dan giao do an'!$B$8,IF(I2076="Khá",'Huong dan giao do an'!$B$9,'Huong dan giao do an'!$B$10))</f>
        <v>Tối thiểu 3 actor; 8-10 use case; 6-8 bảng dữ liệu; 2 quy trình lõi; đăng nhập/RBAC; 1 dashboard; 1 báo cáo; &gt;=25 test case; triển khai bản demo.</v>
      </c>
      <c r="L2076" t="str">
        <f>'Huong dan giao do an'!$B$31</f>
        <v>Bắt buộc: Charter/PMP; SRS + scope/WBS; Gantt/baseline; effort-cost budget; RACI/timesheet; quality-test-defect; communication/minutes; risk register; procurement; change log; closure/lessons learned.</v>
      </c>
      <c r="M2076" t="str">
        <f>'Huong dan giao do an'!$B$33</f>
        <v>Tuần 1: 07.09–13.09.2026; Tuần 2: 14.09–20.09.2026; Tuần 3: 21.09–27.09.2026; Tuần 4: 28.09–04.10.2026; Tuần 5: 05.10–11.10.2026; Tuần 6: 12.10–18.10.2026; Tuần 7: 19.10–25.10.2026; Tuần 8: 26.10–01.11.2026.</v>
      </c>
      <c r="N20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6" s="17" t="str">
        <f t="shared" si="32"/>
        <v>Còn trống</v>
      </c>
    </row>
    <row r="2077" spans="1:16" x14ac:dyDescent="0.3">
      <c r="A2077">
        <v>2076</v>
      </c>
      <c r="B2077" t="s">
        <v>4604</v>
      </c>
      <c r="C2077" t="s">
        <v>4783</v>
      </c>
      <c r="D2077" t="s">
        <v>4784</v>
      </c>
      <c r="E2077" t="s">
        <v>19</v>
      </c>
      <c r="F2077" t="s">
        <v>4607</v>
      </c>
      <c r="G2077" t="s">
        <v>4660</v>
      </c>
      <c r="H2077" t="str">
        <f>'Huong dan giao do an'!$B$14</f>
        <v>5 SV (vai trò chính): 1 PM/Scrum Master kiêm Integration; 2 BA/PO; 3 UI-UX + Frontend; 4 Backend/API + DevOps; 5 Database + QA/Tester. Mỗi SV có nhiệm vụ phụ và minh chứng cá nhân.</v>
      </c>
      <c r="I2077" t="s">
        <v>22</v>
      </c>
      <c r="J2077" t="s">
        <v>4609</v>
      </c>
      <c r="K2077" t="str">
        <f>IF(I2077="Trung bình",'Huong dan giao do an'!$B$8,IF(I2077="Khá",'Huong dan giao do an'!$B$9,'Huong dan giao do an'!$B$10))</f>
        <v>Tối thiểu 4 actor; 10-14 use case; 8-12 bảng; 3 quy trình lõi; phân quyền chi tiết; 2 báo cáo; tích hợp 1 dịch vụ; &gt;=35 test case; CI/CD hoặc deploy cloud.</v>
      </c>
      <c r="L2077" t="str">
        <f>'Huong dan giao do an'!$B$31</f>
        <v>Bắt buộc: Charter/PMP; SRS + scope/WBS; Gantt/baseline; effort-cost budget; RACI/timesheet; quality-test-defect; communication/minutes; risk register; procurement; change log; closure/lessons learned.</v>
      </c>
      <c r="M2077" t="str">
        <f>'Huong dan giao do an'!$B$33</f>
        <v>Tuần 1: 07.09–13.09.2026; Tuần 2: 14.09–20.09.2026; Tuần 3: 21.09–27.09.2026; Tuần 4: 28.09–04.10.2026; Tuần 5: 05.10–11.10.2026; Tuần 6: 12.10–18.10.2026; Tuần 7: 19.10–25.10.2026; Tuần 8: 26.10–01.11.2026.</v>
      </c>
      <c r="N20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7" s="17" t="str">
        <f t="shared" si="32"/>
        <v>Còn trống</v>
      </c>
    </row>
    <row r="2078" spans="1:16" x14ac:dyDescent="0.3">
      <c r="A2078">
        <v>2077</v>
      </c>
      <c r="B2078" t="s">
        <v>4604</v>
      </c>
      <c r="C2078" t="s">
        <v>4785</v>
      </c>
      <c r="D2078" t="s">
        <v>4786</v>
      </c>
      <c r="E2078" t="s">
        <v>26</v>
      </c>
      <c r="F2078" t="s">
        <v>4612</v>
      </c>
      <c r="G2078" t="s">
        <v>4663</v>
      </c>
      <c r="H2078" t="str">
        <f>'Huong dan giao do an'!$B$14</f>
        <v>5 SV (vai trò chính): 1 PM/Scrum Master kiêm Integration; 2 BA/PO; 3 UI-UX + Frontend; 4 Backend/API + DevOps; 5 Database + QA/Tester. Mỗi SV có nhiệm vụ phụ và minh chứng cá nhân.</v>
      </c>
      <c r="I2078" t="s">
        <v>29</v>
      </c>
      <c r="J2078" t="s">
        <v>4614</v>
      </c>
      <c r="K2078" t="str">
        <f>IF(I2078="Trung bình",'Huong dan giao do an'!$B$8,IF(I2078="Khá",'Huong dan giao do an'!$B$9,'Huong dan giao do an'!$B$10))</f>
        <v>Tối thiểu 5 actor; 14-18 use case; 10-15 bảng; 4 quy trình; tích hợp ngoài/realtime hoặc xử lý nâng cao; 3 báo cáo; &gt;=45 test case; logging, backup và deploy.</v>
      </c>
      <c r="L2078" t="str">
        <f>'Huong dan giao do an'!$B$31</f>
        <v>Bắt buộc: Charter/PMP; SRS + scope/WBS; Gantt/baseline; effort-cost budget; RACI/timesheet; quality-test-defect; communication/minutes; risk register; procurement; change log; closure/lessons learned.</v>
      </c>
      <c r="M2078" t="str">
        <f>'Huong dan giao do an'!$B$33</f>
        <v>Tuần 1: 07.09–13.09.2026; Tuần 2: 14.09–20.09.2026; Tuần 3: 21.09–27.09.2026; Tuần 4: 28.09–04.10.2026; Tuần 5: 05.10–11.10.2026; Tuần 6: 12.10–18.10.2026; Tuần 7: 19.10–25.10.2026; Tuần 8: 26.10–01.11.2026.</v>
      </c>
      <c r="N20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8" s="17" t="str">
        <f t="shared" si="32"/>
        <v>Còn trống</v>
      </c>
    </row>
    <row r="2079" spans="1:16" x14ac:dyDescent="0.3">
      <c r="A2079">
        <v>2078</v>
      </c>
      <c r="B2079" t="s">
        <v>4604</v>
      </c>
      <c r="C2079" t="s">
        <v>4787</v>
      </c>
      <c r="D2079" t="s">
        <v>4788</v>
      </c>
      <c r="E2079" t="s">
        <v>33</v>
      </c>
      <c r="F2079" t="s">
        <v>4617</v>
      </c>
      <c r="G2079" t="s">
        <v>4666</v>
      </c>
      <c r="H2079" t="str">
        <f>'Huong dan giao do an'!$B$14</f>
        <v>5 SV (vai trò chính): 1 PM/Scrum Master kiêm Integration; 2 BA/PO; 3 UI-UX + Frontend; 4 Backend/API + DevOps; 5 Database + QA/Tester. Mỗi SV có nhiệm vụ phụ và minh chứng cá nhân.</v>
      </c>
      <c r="I2079" t="s">
        <v>36</v>
      </c>
      <c r="J2079" t="s">
        <v>4619</v>
      </c>
      <c r="K2079" t="str">
        <f>IF(I2079="Trung bình",'Huong dan giao do an'!$B$8,IF(I2079="Khá",'Huong dan giao do an'!$B$9,'Huong dan giao do an'!$B$10))</f>
        <v>Tối thiểu 3 actor; 8-10 use case; 6-8 bảng dữ liệu; 2 quy trình lõi; đăng nhập/RBAC; 1 dashboard; 1 báo cáo; &gt;=25 test case; triển khai bản demo.</v>
      </c>
      <c r="L2079" t="str">
        <f>'Huong dan giao do an'!$B$31</f>
        <v>Bắt buộc: Charter/PMP; SRS + scope/WBS; Gantt/baseline; effort-cost budget; RACI/timesheet; quality-test-defect; communication/minutes; risk register; procurement; change log; closure/lessons learned.</v>
      </c>
      <c r="M2079" t="str">
        <f>'Huong dan giao do an'!$B$33</f>
        <v>Tuần 1: 07.09–13.09.2026; Tuần 2: 14.09–20.09.2026; Tuần 3: 21.09–27.09.2026; Tuần 4: 28.09–04.10.2026; Tuần 5: 05.10–11.10.2026; Tuần 6: 12.10–18.10.2026; Tuần 7: 19.10–25.10.2026; Tuần 8: 26.10–01.11.2026.</v>
      </c>
      <c r="N20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79" s="17" t="str">
        <f t="shared" si="32"/>
        <v>Còn trống</v>
      </c>
    </row>
    <row r="2080" spans="1:16" x14ac:dyDescent="0.3">
      <c r="A2080">
        <v>2079</v>
      </c>
      <c r="B2080" t="s">
        <v>4604</v>
      </c>
      <c r="C2080" t="s">
        <v>4789</v>
      </c>
      <c r="D2080" t="s">
        <v>4790</v>
      </c>
      <c r="E2080" t="s">
        <v>40</v>
      </c>
      <c r="F2080" t="s">
        <v>4622</v>
      </c>
      <c r="G2080" t="s">
        <v>4669</v>
      </c>
      <c r="H2080" t="str">
        <f>'Huong dan giao do an'!$B$14</f>
        <v>5 SV (vai trò chính): 1 PM/Scrum Master kiêm Integration; 2 BA/PO; 3 UI-UX + Frontend; 4 Backend/API + DevOps; 5 Database + QA/Tester. Mỗi SV có nhiệm vụ phụ và minh chứng cá nhân.</v>
      </c>
      <c r="I2080" t="s">
        <v>22</v>
      </c>
      <c r="J2080" t="s">
        <v>4609</v>
      </c>
      <c r="K2080" t="str">
        <f>IF(I2080="Trung bình",'Huong dan giao do an'!$B$8,IF(I2080="Khá",'Huong dan giao do an'!$B$9,'Huong dan giao do an'!$B$10))</f>
        <v>Tối thiểu 4 actor; 10-14 use case; 8-12 bảng; 3 quy trình lõi; phân quyền chi tiết; 2 báo cáo; tích hợp 1 dịch vụ; &gt;=35 test case; CI/CD hoặc deploy cloud.</v>
      </c>
      <c r="L2080" t="str">
        <f>'Huong dan giao do an'!$B$31</f>
        <v>Bắt buộc: Charter/PMP; SRS + scope/WBS; Gantt/baseline; effort-cost budget; RACI/timesheet; quality-test-defect; communication/minutes; risk register; procurement; change log; closure/lessons learned.</v>
      </c>
      <c r="M2080" t="str">
        <f>'Huong dan giao do an'!$B$33</f>
        <v>Tuần 1: 07.09–13.09.2026; Tuần 2: 14.09–20.09.2026; Tuần 3: 21.09–27.09.2026; Tuần 4: 28.09–04.10.2026; Tuần 5: 05.10–11.10.2026; Tuần 6: 12.10–18.10.2026; Tuần 7: 19.10–25.10.2026; Tuần 8: 26.10–01.11.2026.</v>
      </c>
      <c r="N20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0" s="17" t="str">
        <f t="shared" si="32"/>
        <v>Còn trống</v>
      </c>
    </row>
    <row r="2081" spans="1:16" x14ac:dyDescent="0.3">
      <c r="A2081">
        <v>2080</v>
      </c>
      <c r="B2081" t="s">
        <v>4604</v>
      </c>
      <c r="C2081" t="s">
        <v>4791</v>
      </c>
      <c r="D2081" t="s">
        <v>4792</v>
      </c>
      <c r="E2081" t="s">
        <v>45</v>
      </c>
      <c r="F2081" t="s">
        <v>4626</v>
      </c>
      <c r="G2081" t="s">
        <v>4672</v>
      </c>
      <c r="H2081" t="str">
        <f>'Huong dan giao do an'!$B$14</f>
        <v>5 SV (vai trò chính): 1 PM/Scrum Master kiêm Integration; 2 BA/PO; 3 UI-UX + Frontend; 4 Backend/API + DevOps; 5 Database + QA/Tester. Mỗi SV có nhiệm vụ phụ và minh chứng cá nhân.</v>
      </c>
      <c r="I2081" t="s">
        <v>29</v>
      </c>
      <c r="J2081" t="s">
        <v>4614</v>
      </c>
      <c r="K2081" t="str">
        <f>IF(I2081="Trung bình",'Huong dan giao do an'!$B$8,IF(I2081="Khá",'Huong dan giao do an'!$B$9,'Huong dan giao do an'!$B$10))</f>
        <v>Tối thiểu 5 actor; 14-18 use case; 10-15 bảng; 4 quy trình; tích hợp ngoài/realtime hoặc xử lý nâng cao; 3 báo cáo; &gt;=45 test case; logging, backup và deploy.</v>
      </c>
      <c r="L2081" t="str">
        <f>'Huong dan giao do an'!$B$31</f>
        <v>Bắt buộc: Charter/PMP; SRS + scope/WBS; Gantt/baseline; effort-cost budget; RACI/timesheet; quality-test-defect; communication/minutes; risk register; procurement; change log; closure/lessons learned.</v>
      </c>
      <c r="M2081" t="str">
        <f>'Huong dan giao do an'!$B$33</f>
        <v>Tuần 1: 07.09–13.09.2026; Tuần 2: 14.09–20.09.2026; Tuần 3: 21.09–27.09.2026; Tuần 4: 28.09–04.10.2026; Tuần 5: 05.10–11.10.2026; Tuần 6: 12.10–18.10.2026; Tuần 7: 19.10–25.10.2026; Tuần 8: 26.10–01.11.2026.</v>
      </c>
      <c r="N20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1" s="17" t="str">
        <f t="shared" si="32"/>
        <v>Còn trống</v>
      </c>
    </row>
    <row r="2082" spans="1:16" x14ac:dyDescent="0.3">
      <c r="A2082">
        <v>2081</v>
      </c>
      <c r="B2082" t="s">
        <v>4604</v>
      </c>
      <c r="C2082" t="s">
        <v>4793</v>
      </c>
      <c r="D2082" t="s">
        <v>4794</v>
      </c>
      <c r="E2082" t="s">
        <v>19</v>
      </c>
      <c r="F2082" t="s">
        <v>4607</v>
      </c>
      <c r="G2082" t="s">
        <v>4608</v>
      </c>
      <c r="H2082" t="str">
        <f>'Huong dan giao do an'!$B$14</f>
        <v>5 SV (vai trò chính): 1 PM/Scrum Master kiêm Integration; 2 BA/PO; 3 UI-UX + Frontend; 4 Backend/API + DevOps; 5 Database + QA/Tester. Mỗi SV có nhiệm vụ phụ và minh chứng cá nhân.</v>
      </c>
      <c r="I2082" t="s">
        <v>22</v>
      </c>
      <c r="J2082" t="s">
        <v>4609</v>
      </c>
      <c r="K2082" t="str">
        <f>IF(I2082="Trung bình",'Huong dan giao do an'!$B$8,IF(I2082="Khá",'Huong dan giao do an'!$B$9,'Huong dan giao do an'!$B$10))</f>
        <v>Tối thiểu 4 actor; 10-14 use case; 8-12 bảng; 3 quy trình lõi; phân quyền chi tiết; 2 báo cáo; tích hợp 1 dịch vụ; &gt;=35 test case; CI/CD hoặc deploy cloud.</v>
      </c>
      <c r="L2082" t="str">
        <f>'Huong dan giao do an'!$B$31</f>
        <v>Bắt buộc: Charter/PMP; SRS + scope/WBS; Gantt/baseline; effort-cost budget; RACI/timesheet; quality-test-defect; communication/minutes; risk register; procurement; change log; closure/lessons learned.</v>
      </c>
      <c r="M2082" t="str">
        <f>'Huong dan giao do an'!$B$33</f>
        <v>Tuần 1: 07.09–13.09.2026; Tuần 2: 14.09–20.09.2026; Tuần 3: 21.09–27.09.2026; Tuần 4: 28.09–04.10.2026; Tuần 5: 05.10–11.10.2026; Tuần 6: 12.10–18.10.2026; Tuần 7: 19.10–25.10.2026; Tuần 8: 26.10–01.11.2026.</v>
      </c>
      <c r="N20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2" s="17" t="str">
        <f t="shared" si="32"/>
        <v>Còn trống</v>
      </c>
    </row>
    <row r="2083" spans="1:16" x14ac:dyDescent="0.3">
      <c r="A2083">
        <v>2082</v>
      </c>
      <c r="B2083" t="s">
        <v>4604</v>
      </c>
      <c r="C2083" t="s">
        <v>4795</v>
      </c>
      <c r="D2083" t="s">
        <v>4796</v>
      </c>
      <c r="E2083" t="s">
        <v>26</v>
      </c>
      <c r="F2083" t="s">
        <v>4612</v>
      </c>
      <c r="G2083" t="s">
        <v>4613</v>
      </c>
      <c r="H2083" t="str">
        <f>'Huong dan giao do an'!$B$14</f>
        <v>5 SV (vai trò chính): 1 PM/Scrum Master kiêm Integration; 2 BA/PO; 3 UI-UX + Frontend; 4 Backend/API + DevOps; 5 Database + QA/Tester. Mỗi SV có nhiệm vụ phụ và minh chứng cá nhân.</v>
      </c>
      <c r="I2083" t="s">
        <v>29</v>
      </c>
      <c r="J2083" t="s">
        <v>4614</v>
      </c>
      <c r="K2083" t="str">
        <f>IF(I2083="Trung bình",'Huong dan giao do an'!$B$8,IF(I2083="Khá",'Huong dan giao do an'!$B$9,'Huong dan giao do an'!$B$10))</f>
        <v>Tối thiểu 5 actor; 14-18 use case; 10-15 bảng; 4 quy trình; tích hợp ngoài/realtime hoặc xử lý nâng cao; 3 báo cáo; &gt;=45 test case; logging, backup và deploy.</v>
      </c>
      <c r="L2083" t="str">
        <f>'Huong dan giao do an'!$B$31</f>
        <v>Bắt buộc: Charter/PMP; SRS + scope/WBS; Gantt/baseline; effort-cost budget; RACI/timesheet; quality-test-defect; communication/minutes; risk register; procurement; change log; closure/lessons learned.</v>
      </c>
      <c r="M2083" t="str">
        <f>'Huong dan giao do an'!$B$33</f>
        <v>Tuần 1: 07.09–13.09.2026; Tuần 2: 14.09–20.09.2026; Tuần 3: 21.09–27.09.2026; Tuần 4: 28.09–04.10.2026; Tuần 5: 05.10–11.10.2026; Tuần 6: 12.10–18.10.2026; Tuần 7: 19.10–25.10.2026; Tuần 8: 26.10–01.11.2026.</v>
      </c>
      <c r="N20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3" s="17" t="str">
        <f t="shared" si="32"/>
        <v>Còn trống</v>
      </c>
    </row>
    <row r="2084" spans="1:16" x14ac:dyDescent="0.3">
      <c r="A2084">
        <v>2083</v>
      </c>
      <c r="B2084" t="s">
        <v>4604</v>
      </c>
      <c r="C2084" t="s">
        <v>4797</v>
      </c>
      <c r="D2084" t="s">
        <v>4798</v>
      </c>
      <c r="E2084" t="s">
        <v>33</v>
      </c>
      <c r="F2084" t="s">
        <v>4617</v>
      </c>
      <c r="G2084" t="s">
        <v>4618</v>
      </c>
      <c r="H2084" t="str">
        <f>'Huong dan giao do an'!$B$14</f>
        <v>5 SV (vai trò chính): 1 PM/Scrum Master kiêm Integration; 2 BA/PO; 3 UI-UX + Frontend; 4 Backend/API + DevOps; 5 Database + QA/Tester. Mỗi SV có nhiệm vụ phụ và minh chứng cá nhân.</v>
      </c>
      <c r="I2084" t="s">
        <v>36</v>
      </c>
      <c r="J2084" t="s">
        <v>4619</v>
      </c>
      <c r="K2084" t="str">
        <f>IF(I2084="Trung bình",'Huong dan giao do an'!$B$8,IF(I2084="Khá",'Huong dan giao do an'!$B$9,'Huong dan giao do an'!$B$10))</f>
        <v>Tối thiểu 3 actor; 8-10 use case; 6-8 bảng dữ liệu; 2 quy trình lõi; đăng nhập/RBAC; 1 dashboard; 1 báo cáo; &gt;=25 test case; triển khai bản demo.</v>
      </c>
      <c r="L2084" t="str">
        <f>'Huong dan giao do an'!$B$31</f>
        <v>Bắt buộc: Charter/PMP; SRS + scope/WBS; Gantt/baseline; effort-cost budget; RACI/timesheet; quality-test-defect; communication/minutes; risk register; procurement; change log; closure/lessons learned.</v>
      </c>
      <c r="M2084" t="str">
        <f>'Huong dan giao do an'!$B$33</f>
        <v>Tuần 1: 07.09–13.09.2026; Tuần 2: 14.09–20.09.2026; Tuần 3: 21.09–27.09.2026; Tuần 4: 28.09–04.10.2026; Tuần 5: 05.10–11.10.2026; Tuần 6: 12.10–18.10.2026; Tuần 7: 19.10–25.10.2026; Tuần 8: 26.10–01.11.2026.</v>
      </c>
      <c r="N20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4" s="17" t="str">
        <f t="shared" si="32"/>
        <v>Còn trống</v>
      </c>
    </row>
    <row r="2085" spans="1:16" x14ac:dyDescent="0.3">
      <c r="A2085">
        <v>2084</v>
      </c>
      <c r="B2085" t="s">
        <v>4604</v>
      </c>
      <c r="C2085" t="s">
        <v>4799</v>
      </c>
      <c r="D2085" t="s">
        <v>4800</v>
      </c>
      <c r="E2085" t="s">
        <v>40</v>
      </c>
      <c r="F2085" t="s">
        <v>4622</v>
      </c>
      <c r="G2085" t="s">
        <v>4623</v>
      </c>
      <c r="H2085" t="str">
        <f>'Huong dan giao do an'!$B$14</f>
        <v>5 SV (vai trò chính): 1 PM/Scrum Master kiêm Integration; 2 BA/PO; 3 UI-UX + Frontend; 4 Backend/API + DevOps; 5 Database + QA/Tester. Mỗi SV có nhiệm vụ phụ và minh chứng cá nhân.</v>
      </c>
      <c r="I2085" t="s">
        <v>22</v>
      </c>
      <c r="J2085" t="s">
        <v>4609</v>
      </c>
      <c r="K2085" t="str">
        <f>IF(I2085="Trung bình",'Huong dan giao do an'!$B$8,IF(I2085="Khá",'Huong dan giao do an'!$B$9,'Huong dan giao do an'!$B$10))</f>
        <v>Tối thiểu 4 actor; 10-14 use case; 8-12 bảng; 3 quy trình lõi; phân quyền chi tiết; 2 báo cáo; tích hợp 1 dịch vụ; &gt;=35 test case; CI/CD hoặc deploy cloud.</v>
      </c>
      <c r="L2085" t="str">
        <f>'Huong dan giao do an'!$B$31</f>
        <v>Bắt buộc: Charter/PMP; SRS + scope/WBS; Gantt/baseline; effort-cost budget; RACI/timesheet; quality-test-defect; communication/minutes; risk register; procurement; change log; closure/lessons learned.</v>
      </c>
      <c r="M2085" t="str">
        <f>'Huong dan giao do an'!$B$33</f>
        <v>Tuần 1: 07.09–13.09.2026; Tuần 2: 14.09–20.09.2026; Tuần 3: 21.09–27.09.2026; Tuần 4: 28.09–04.10.2026; Tuần 5: 05.10–11.10.2026; Tuần 6: 12.10–18.10.2026; Tuần 7: 19.10–25.10.2026; Tuần 8: 26.10–01.11.2026.</v>
      </c>
      <c r="N20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5" s="17" t="str">
        <f t="shared" si="32"/>
        <v>Còn trống</v>
      </c>
    </row>
    <row r="2086" spans="1:16" x14ac:dyDescent="0.3">
      <c r="A2086">
        <v>2085</v>
      </c>
      <c r="B2086" t="s">
        <v>4604</v>
      </c>
      <c r="C2086" t="s">
        <v>4801</v>
      </c>
      <c r="D2086" t="s">
        <v>4802</v>
      </c>
      <c r="E2086" t="s">
        <v>45</v>
      </c>
      <c r="F2086" t="s">
        <v>4626</v>
      </c>
      <c r="G2086" t="s">
        <v>4627</v>
      </c>
      <c r="H2086" t="str">
        <f>'Huong dan giao do an'!$B$14</f>
        <v>5 SV (vai trò chính): 1 PM/Scrum Master kiêm Integration; 2 BA/PO; 3 UI-UX + Frontend; 4 Backend/API + DevOps; 5 Database + QA/Tester. Mỗi SV có nhiệm vụ phụ và minh chứng cá nhân.</v>
      </c>
      <c r="I2086" t="s">
        <v>29</v>
      </c>
      <c r="J2086" t="s">
        <v>4614</v>
      </c>
      <c r="K2086" t="str">
        <f>IF(I2086="Trung bình",'Huong dan giao do an'!$B$8,IF(I2086="Khá",'Huong dan giao do an'!$B$9,'Huong dan giao do an'!$B$10))</f>
        <v>Tối thiểu 5 actor; 14-18 use case; 10-15 bảng; 4 quy trình; tích hợp ngoài/realtime hoặc xử lý nâng cao; 3 báo cáo; &gt;=45 test case; logging, backup và deploy.</v>
      </c>
      <c r="L2086" t="str">
        <f>'Huong dan giao do an'!$B$31</f>
        <v>Bắt buộc: Charter/PMP; SRS + scope/WBS; Gantt/baseline; effort-cost budget; RACI/timesheet; quality-test-defect; communication/minutes; risk register; procurement; change log; closure/lessons learned.</v>
      </c>
      <c r="M2086" t="str">
        <f>'Huong dan giao do an'!$B$33</f>
        <v>Tuần 1: 07.09–13.09.2026; Tuần 2: 14.09–20.09.2026; Tuần 3: 21.09–27.09.2026; Tuần 4: 28.09–04.10.2026; Tuần 5: 05.10–11.10.2026; Tuần 6: 12.10–18.10.2026; Tuần 7: 19.10–25.10.2026; Tuần 8: 26.10–01.11.2026.</v>
      </c>
      <c r="N20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6" s="17" t="str">
        <f t="shared" si="32"/>
        <v>Còn trống</v>
      </c>
    </row>
    <row r="2087" spans="1:16" x14ac:dyDescent="0.3">
      <c r="A2087">
        <v>2086</v>
      </c>
      <c r="B2087" t="s">
        <v>4604</v>
      </c>
      <c r="C2087" t="s">
        <v>4803</v>
      </c>
      <c r="D2087" t="s">
        <v>4804</v>
      </c>
      <c r="E2087" t="s">
        <v>19</v>
      </c>
      <c r="F2087" t="s">
        <v>4607</v>
      </c>
      <c r="G2087" t="s">
        <v>4630</v>
      </c>
      <c r="H2087" t="str">
        <f>'Huong dan giao do an'!$B$14</f>
        <v>5 SV (vai trò chính): 1 PM/Scrum Master kiêm Integration; 2 BA/PO; 3 UI-UX + Frontend; 4 Backend/API + DevOps; 5 Database + QA/Tester. Mỗi SV có nhiệm vụ phụ và minh chứng cá nhân.</v>
      </c>
      <c r="I2087" t="s">
        <v>36</v>
      </c>
      <c r="J2087" t="s">
        <v>4619</v>
      </c>
      <c r="K2087" t="str">
        <f>IF(I2087="Trung bình",'Huong dan giao do an'!$B$8,IF(I2087="Khá",'Huong dan giao do an'!$B$9,'Huong dan giao do an'!$B$10))</f>
        <v>Tối thiểu 3 actor; 8-10 use case; 6-8 bảng dữ liệu; 2 quy trình lõi; đăng nhập/RBAC; 1 dashboard; 1 báo cáo; &gt;=25 test case; triển khai bản demo.</v>
      </c>
      <c r="L2087" t="str">
        <f>'Huong dan giao do an'!$B$31</f>
        <v>Bắt buộc: Charter/PMP; SRS + scope/WBS; Gantt/baseline; effort-cost budget; RACI/timesheet; quality-test-defect; communication/minutes; risk register; procurement; change log; closure/lessons learned.</v>
      </c>
      <c r="M2087" t="str">
        <f>'Huong dan giao do an'!$B$33</f>
        <v>Tuần 1: 07.09–13.09.2026; Tuần 2: 14.09–20.09.2026; Tuần 3: 21.09–27.09.2026; Tuần 4: 28.09–04.10.2026; Tuần 5: 05.10–11.10.2026; Tuần 6: 12.10–18.10.2026; Tuần 7: 19.10–25.10.2026; Tuần 8: 26.10–01.11.2026.</v>
      </c>
      <c r="N20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7" s="17" t="str">
        <f t="shared" si="32"/>
        <v>Còn trống</v>
      </c>
    </row>
    <row r="2088" spans="1:16" x14ac:dyDescent="0.3">
      <c r="A2088">
        <v>2087</v>
      </c>
      <c r="B2088" t="s">
        <v>4604</v>
      </c>
      <c r="C2088" t="s">
        <v>4805</v>
      </c>
      <c r="D2088" t="s">
        <v>4806</v>
      </c>
      <c r="E2088" t="s">
        <v>26</v>
      </c>
      <c r="F2088" t="s">
        <v>4612</v>
      </c>
      <c r="G2088" t="s">
        <v>4633</v>
      </c>
      <c r="H2088" t="str">
        <f>'Huong dan giao do an'!$B$14</f>
        <v>5 SV (vai trò chính): 1 PM/Scrum Master kiêm Integration; 2 BA/PO; 3 UI-UX + Frontend; 4 Backend/API + DevOps; 5 Database + QA/Tester. Mỗi SV có nhiệm vụ phụ và minh chứng cá nhân.</v>
      </c>
      <c r="I2088" t="s">
        <v>22</v>
      </c>
      <c r="J2088" t="s">
        <v>4609</v>
      </c>
      <c r="K2088" t="str">
        <f>IF(I2088="Trung bình",'Huong dan giao do an'!$B$8,IF(I2088="Khá",'Huong dan giao do an'!$B$9,'Huong dan giao do an'!$B$10))</f>
        <v>Tối thiểu 4 actor; 10-14 use case; 8-12 bảng; 3 quy trình lõi; phân quyền chi tiết; 2 báo cáo; tích hợp 1 dịch vụ; &gt;=35 test case; CI/CD hoặc deploy cloud.</v>
      </c>
      <c r="L2088" t="str">
        <f>'Huong dan giao do an'!$B$31</f>
        <v>Bắt buộc: Charter/PMP; SRS + scope/WBS; Gantt/baseline; effort-cost budget; RACI/timesheet; quality-test-defect; communication/minutes; risk register; procurement; change log; closure/lessons learned.</v>
      </c>
      <c r="M2088" t="str">
        <f>'Huong dan giao do an'!$B$33</f>
        <v>Tuần 1: 07.09–13.09.2026; Tuần 2: 14.09–20.09.2026; Tuần 3: 21.09–27.09.2026; Tuần 4: 28.09–04.10.2026; Tuần 5: 05.10–11.10.2026; Tuần 6: 12.10–18.10.2026; Tuần 7: 19.10–25.10.2026; Tuần 8: 26.10–01.11.2026.</v>
      </c>
      <c r="N20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8" s="17" t="str">
        <f t="shared" si="32"/>
        <v>Còn trống</v>
      </c>
    </row>
    <row r="2089" spans="1:16" x14ac:dyDescent="0.3">
      <c r="A2089">
        <v>2088</v>
      </c>
      <c r="B2089" t="s">
        <v>4604</v>
      </c>
      <c r="C2089" t="s">
        <v>4807</v>
      </c>
      <c r="D2089" t="s">
        <v>4808</v>
      </c>
      <c r="E2089" t="s">
        <v>33</v>
      </c>
      <c r="F2089" t="s">
        <v>4617</v>
      </c>
      <c r="G2089" t="s">
        <v>4636</v>
      </c>
      <c r="H2089" t="str">
        <f>'Huong dan giao do an'!$B$14</f>
        <v>5 SV (vai trò chính): 1 PM/Scrum Master kiêm Integration; 2 BA/PO; 3 UI-UX + Frontend; 4 Backend/API + DevOps; 5 Database + QA/Tester. Mỗi SV có nhiệm vụ phụ và minh chứng cá nhân.</v>
      </c>
      <c r="I2089" t="s">
        <v>29</v>
      </c>
      <c r="J2089" t="s">
        <v>4614</v>
      </c>
      <c r="K2089" t="str">
        <f>IF(I2089="Trung bình",'Huong dan giao do an'!$B$8,IF(I2089="Khá",'Huong dan giao do an'!$B$9,'Huong dan giao do an'!$B$10))</f>
        <v>Tối thiểu 5 actor; 14-18 use case; 10-15 bảng; 4 quy trình; tích hợp ngoài/realtime hoặc xử lý nâng cao; 3 báo cáo; &gt;=45 test case; logging, backup và deploy.</v>
      </c>
      <c r="L2089" t="str">
        <f>'Huong dan giao do an'!$B$31</f>
        <v>Bắt buộc: Charter/PMP; SRS + scope/WBS; Gantt/baseline; effort-cost budget; RACI/timesheet; quality-test-defect; communication/minutes; risk register; procurement; change log; closure/lessons learned.</v>
      </c>
      <c r="M2089" t="str">
        <f>'Huong dan giao do an'!$B$33</f>
        <v>Tuần 1: 07.09–13.09.2026; Tuần 2: 14.09–20.09.2026; Tuần 3: 21.09–27.09.2026; Tuần 4: 28.09–04.10.2026; Tuần 5: 05.10–11.10.2026; Tuần 6: 12.10–18.10.2026; Tuần 7: 19.10–25.10.2026; Tuần 8: 26.10–01.11.2026.</v>
      </c>
      <c r="N20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89" s="17" t="str">
        <f t="shared" si="32"/>
        <v>Còn trống</v>
      </c>
    </row>
    <row r="2090" spans="1:16" x14ac:dyDescent="0.3">
      <c r="A2090">
        <v>2089</v>
      </c>
      <c r="B2090" t="s">
        <v>4604</v>
      </c>
      <c r="C2090" t="s">
        <v>4809</v>
      </c>
      <c r="D2090" t="s">
        <v>4810</v>
      </c>
      <c r="E2090" t="s">
        <v>40</v>
      </c>
      <c r="F2090" t="s">
        <v>4622</v>
      </c>
      <c r="G2090" t="s">
        <v>4639</v>
      </c>
      <c r="H2090" t="str">
        <f>'Huong dan giao do an'!$B$14</f>
        <v>5 SV (vai trò chính): 1 PM/Scrum Master kiêm Integration; 2 BA/PO; 3 UI-UX + Frontend; 4 Backend/API + DevOps; 5 Database + QA/Tester. Mỗi SV có nhiệm vụ phụ và minh chứng cá nhân.</v>
      </c>
      <c r="I2090" t="s">
        <v>36</v>
      </c>
      <c r="J2090" t="s">
        <v>4619</v>
      </c>
      <c r="K2090" t="str">
        <f>IF(I2090="Trung bình",'Huong dan giao do an'!$B$8,IF(I2090="Khá",'Huong dan giao do an'!$B$9,'Huong dan giao do an'!$B$10))</f>
        <v>Tối thiểu 3 actor; 8-10 use case; 6-8 bảng dữ liệu; 2 quy trình lõi; đăng nhập/RBAC; 1 dashboard; 1 báo cáo; &gt;=25 test case; triển khai bản demo.</v>
      </c>
      <c r="L2090" t="str">
        <f>'Huong dan giao do an'!$B$31</f>
        <v>Bắt buộc: Charter/PMP; SRS + scope/WBS; Gantt/baseline; effort-cost budget; RACI/timesheet; quality-test-defect; communication/minutes; risk register; procurement; change log; closure/lessons learned.</v>
      </c>
      <c r="M2090" t="str">
        <f>'Huong dan giao do an'!$B$33</f>
        <v>Tuần 1: 07.09–13.09.2026; Tuần 2: 14.09–20.09.2026; Tuần 3: 21.09–27.09.2026; Tuần 4: 28.09–04.10.2026; Tuần 5: 05.10–11.10.2026; Tuần 6: 12.10–18.10.2026; Tuần 7: 19.10–25.10.2026; Tuần 8: 26.10–01.11.2026.</v>
      </c>
      <c r="N20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0" s="17" t="str">
        <f t="shared" si="32"/>
        <v>Còn trống</v>
      </c>
    </row>
    <row r="2091" spans="1:16" x14ac:dyDescent="0.3">
      <c r="A2091">
        <v>2090</v>
      </c>
      <c r="B2091" t="s">
        <v>4604</v>
      </c>
      <c r="C2091" t="s">
        <v>4811</v>
      </c>
      <c r="D2091" t="s">
        <v>4812</v>
      </c>
      <c r="E2091" t="s">
        <v>45</v>
      </c>
      <c r="F2091" t="s">
        <v>4626</v>
      </c>
      <c r="G2091" t="s">
        <v>4642</v>
      </c>
      <c r="H2091" t="str">
        <f>'Huong dan giao do an'!$B$14</f>
        <v>5 SV (vai trò chính): 1 PM/Scrum Master kiêm Integration; 2 BA/PO; 3 UI-UX + Frontend; 4 Backend/API + DevOps; 5 Database + QA/Tester. Mỗi SV có nhiệm vụ phụ và minh chứng cá nhân.</v>
      </c>
      <c r="I2091" t="s">
        <v>22</v>
      </c>
      <c r="J2091" t="s">
        <v>4609</v>
      </c>
      <c r="K2091" t="str">
        <f>IF(I2091="Trung bình",'Huong dan giao do an'!$B$8,IF(I2091="Khá",'Huong dan giao do an'!$B$9,'Huong dan giao do an'!$B$10))</f>
        <v>Tối thiểu 4 actor; 10-14 use case; 8-12 bảng; 3 quy trình lõi; phân quyền chi tiết; 2 báo cáo; tích hợp 1 dịch vụ; &gt;=35 test case; CI/CD hoặc deploy cloud.</v>
      </c>
      <c r="L2091" t="str">
        <f>'Huong dan giao do an'!$B$31</f>
        <v>Bắt buộc: Charter/PMP; SRS + scope/WBS; Gantt/baseline; effort-cost budget; RACI/timesheet; quality-test-defect; communication/minutes; risk register; procurement; change log; closure/lessons learned.</v>
      </c>
      <c r="M2091" t="str">
        <f>'Huong dan giao do an'!$B$33</f>
        <v>Tuần 1: 07.09–13.09.2026; Tuần 2: 14.09–20.09.2026; Tuần 3: 21.09–27.09.2026; Tuần 4: 28.09–04.10.2026; Tuần 5: 05.10–11.10.2026; Tuần 6: 12.10–18.10.2026; Tuần 7: 19.10–25.10.2026; Tuần 8: 26.10–01.11.2026.</v>
      </c>
      <c r="N20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1" s="17" t="str">
        <f t="shared" si="32"/>
        <v>Còn trống</v>
      </c>
    </row>
    <row r="2092" spans="1:16" x14ac:dyDescent="0.3">
      <c r="A2092">
        <v>2091</v>
      </c>
      <c r="B2092" t="s">
        <v>4604</v>
      </c>
      <c r="C2092" t="s">
        <v>4813</v>
      </c>
      <c r="D2092" t="s">
        <v>4814</v>
      </c>
      <c r="E2092" t="s">
        <v>19</v>
      </c>
      <c r="F2092" t="s">
        <v>4607</v>
      </c>
      <c r="G2092" t="s">
        <v>4645</v>
      </c>
      <c r="H2092" t="str">
        <f>'Huong dan giao do an'!$B$14</f>
        <v>5 SV (vai trò chính): 1 PM/Scrum Master kiêm Integration; 2 BA/PO; 3 UI-UX + Frontend; 4 Backend/API + DevOps; 5 Database + QA/Tester. Mỗi SV có nhiệm vụ phụ và minh chứng cá nhân.</v>
      </c>
      <c r="I2092" t="s">
        <v>29</v>
      </c>
      <c r="J2092" t="s">
        <v>4614</v>
      </c>
      <c r="K2092" t="str">
        <f>IF(I2092="Trung bình",'Huong dan giao do an'!$B$8,IF(I2092="Khá",'Huong dan giao do an'!$B$9,'Huong dan giao do an'!$B$10))</f>
        <v>Tối thiểu 5 actor; 14-18 use case; 10-15 bảng; 4 quy trình; tích hợp ngoài/realtime hoặc xử lý nâng cao; 3 báo cáo; &gt;=45 test case; logging, backup và deploy.</v>
      </c>
      <c r="L2092" t="str">
        <f>'Huong dan giao do an'!$B$31</f>
        <v>Bắt buộc: Charter/PMP; SRS + scope/WBS; Gantt/baseline; effort-cost budget; RACI/timesheet; quality-test-defect; communication/minutes; risk register; procurement; change log; closure/lessons learned.</v>
      </c>
      <c r="M2092" t="str">
        <f>'Huong dan giao do an'!$B$33</f>
        <v>Tuần 1: 07.09–13.09.2026; Tuần 2: 14.09–20.09.2026; Tuần 3: 21.09–27.09.2026; Tuần 4: 28.09–04.10.2026; Tuần 5: 05.10–11.10.2026; Tuần 6: 12.10–18.10.2026; Tuần 7: 19.10–25.10.2026; Tuần 8: 26.10–01.11.2026.</v>
      </c>
      <c r="N20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2" s="17" t="str">
        <f t="shared" si="32"/>
        <v>Còn trống</v>
      </c>
    </row>
    <row r="2093" spans="1:16" x14ac:dyDescent="0.3">
      <c r="A2093">
        <v>2092</v>
      </c>
      <c r="B2093" t="s">
        <v>4604</v>
      </c>
      <c r="C2093" t="s">
        <v>4815</v>
      </c>
      <c r="D2093" t="s">
        <v>4816</v>
      </c>
      <c r="E2093" t="s">
        <v>26</v>
      </c>
      <c r="F2093" t="s">
        <v>4612</v>
      </c>
      <c r="G2093" t="s">
        <v>4648</v>
      </c>
      <c r="H2093" t="str">
        <f>'Huong dan giao do an'!$B$14</f>
        <v>5 SV (vai trò chính): 1 PM/Scrum Master kiêm Integration; 2 BA/PO; 3 UI-UX + Frontend; 4 Backend/API + DevOps; 5 Database + QA/Tester. Mỗi SV có nhiệm vụ phụ và minh chứng cá nhân.</v>
      </c>
      <c r="I2093" t="s">
        <v>36</v>
      </c>
      <c r="J2093" t="s">
        <v>4619</v>
      </c>
      <c r="K2093" t="str">
        <f>IF(I2093="Trung bình",'Huong dan giao do an'!$B$8,IF(I2093="Khá",'Huong dan giao do an'!$B$9,'Huong dan giao do an'!$B$10))</f>
        <v>Tối thiểu 3 actor; 8-10 use case; 6-8 bảng dữ liệu; 2 quy trình lõi; đăng nhập/RBAC; 1 dashboard; 1 báo cáo; &gt;=25 test case; triển khai bản demo.</v>
      </c>
      <c r="L2093" t="str">
        <f>'Huong dan giao do an'!$B$31</f>
        <v>Bắt buộc: Charter/PMP; SRS + scope/WBS; Gantt/baseline; effort-cost budget; RACI/timesheet; quality-test-defect; communication/minutes; risk register; procurement; change log; closure/lessons learned.</v>
      </c>
      <c r="M2093" t="str">
        <f>'Huong dan giao do an'!$B$33</f>
        <v>Tuần 1: 07.09–13.09.2026; Tuần 2: 14.09–20.09.2026; Tuần 3: 21.09–27.09.2026; Tuần 4: 28.09–04.10.2026; Tuần 5: 05.10–11.10.2026; Tuần 6: 12.10–18.10.2026; Tuần 7: 19.10–25.10.2026; Tuần 8: 26.10–01.11.2026.</v>
      </c>
      <c r="N20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3" s="17" t="str">
        <f t="shared" si="32"/>
        <v>Còn trống</v>
      </c>
    </row>
    <row r="2094" spans="1:16" x14ac:dyDescent="0.3">
      <c r="A2094">
        <v>2093</v>
      </c>
      <c r="B2094" t="s">
        <v>4604</v>
      </c>
      <c r="C2094" t="s">
        <v>4817</v>
      </c>
      <c r="D2094" t="s">
        <v>4818</v>
      </c>
      <c r="E2094" t="s">
        <v>33</v>
      </c>
      <c r="F2094" t="s">
        <v>4617</v>
      </c>
      <c r="G2094" t="s">
        <v>4651</v>
      </c>
      <c r="H2094" t="str">
        <f>'Huong dan giao do an'!$B$14</f>
        <v>5 SV (vai trò chính): 1 PM/Scrum Master kiêm Integration; 2 BA/PO; 3 UI-UX + Frontend; 4 Backend/API + DevOps; 5 Database + QA/Tester. Mỗi SV có nhiệm vụ phụ và minh chứng cá nhân.</v>
      </c>
      <c r="I2094" t="s">
        <v>22</v>
      </c>
      <c r="J2094" t="s">
        <v>4609</v>
      </c>
      <c r="K2094" t="str">
        <f>IF(I2094="Trung bình",'Huong dan giao do an'!$B$8,IF(I2094="Khá",'Huong dan giao do an'!$B$9,'Huong dan giao do an'!$B$10))</f>
        <v>Tối thiểu 4 actor; 10-14 use case; 8-12 bảng; 3 quy trình lõi; phân quyền chi tiết; 2 báo cáo; tích hợp 1 dịch vụ; &gt;=35 test case; CI/CD hoặc deploy cloud.</v>
      </c>
      <c r="L2094" t="str">
        <f>'Huong dan giao do an'!$B$31</f>
        <v>Bắt buộc: Charter/PMP; SRS + scope/WBS; Gantt/baseline; effort-cost budget; RACI/timesheet; quality-test-defect; communication/minutes; risk register; procurement; change log; closure/lessons learned.</v>
      </c>
      <c r="M2094" t="str">
        <f>'Huong dan giao do an'!$B$33</f>
        <v>Tuần 1: 07.09–13.09.2026; Tuần 2: 14.09–20.09.2026; Tuần 3: 21.09–27.09.2026; Tuần 4: 28.09–04.10.2026; Tuần 5: 05.10–11.10.2026; Tuần 6: 12.10–18.10.2026; Tuần 7: 19.10–25.10.2026; Tuần 8: 26.10–01.11.2026.</v>
      </c>
      <c r="N20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4" s="17" t="str">
        <f t="shared" si="32"/>
        <v>Còn trống</v>
      </c>
    </row>
    <row r="2095" spans="1:16" x14ac:dyDescent="0.3">
      <c r="A2095">
        <v>2094</v>
      </c>
      <c r="B2095" t="s">
        <v>4604</v>
      </c>
      <c r="C2095" t="s">
        <v>4819</v>
      </c>
      <c r="D2095" t="s">
        <v>4820</v>
      </c>
      <c r="E2095" t="s">
        <v>40</v>
      </c>
      <c r="F2095" t="s">
        <v>4622</v>
      </c>
      <c r="G2095" t="s">
        <v>4654</v>
      </c>
      <c r="H2095" t="str">
        <f>'Huong dan giao do an'!$B$14</f>
        <v>5 SV (vai trò chính): 1 PM/Scrum Master kiêm Integration; 2 BA/PO; 3 UI-UX + Frontend; 4 Backend/API + DevOps; 5 Database + QA/Tester. Mỗi SV có nhiệm vụ phụ và minh chứng cá nhân.</v>
      </c>
      <c r="I2095" t="s">
        <v>29</v>
      </c>
      <c r="J2095" t="s">
        <v>4614</v>
      </c>
      <c r="K2095" t="str">
        <f>IF(I2095="Trung bình",'Huong dan giao do an'!$B$8,IF(I2095="Khá",'Huong dan giao do an'!$B$9,'Huong dan giao do an'!$B$10))</f>
        <v>Tối thiểu 5 actor; 14-18 use case; 10-15 bảng; 4 quy trình; tích hợp ngoài/realtime hoặc xử lý nâng cao; 3 báo cáo; &gt;=45 test case; logging, backup và deploy.</v>
      </c>
      <c r="L2095" t="str">
        <f>'Huong dan giao do an'!$B$31</f>
        <v>Bắt buộc: Charter/PMP; SRS + scope/WBS; Gantt/baseline; effort-cost budget; RACI/timesheet; quality-test-defect; communication/minutes; risk register; procurement; change log; closure/lessons learned.</v>
      </c>
      <c r="M2095" t="str">
        <f>'Huong dan giao do an'!$B$33</f>
        <v>Tuần 1: 07.09–13.09.2026; Tuần 2: 14.09–20.09.2026; Tuần 3: 21.09–27.09.2026; Tuần 4: 28.09–04.10.2026; Tuần 5: 05.10–11.10.2026; Tuần 6: 12.10–18.10.2026; Tuần 7: 19.10–25.10.2026; Tuần 8: 26.10–01.11.2026.</v>
      </c>
      <c r="N20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5" s="17" t="str">
        <f t="shared" si="32"/>
        <v>Còn trống</v>
      </c>
    </row>
    <row r="2096" spans="1:16" x14ac:dyDescent="0.3">
      <c r="A2096">
        <v>2095</v>
      </c>
      <c r="B2096" t="s">
        <v>4604</v>
      </c>
      <c r="C2096" t="s">
        <v>4821</v>
      </c>
      <c r="D2096" t="s">
        <v>4822</v>
      </c>
      <c r="E2096" t="s">
        <v>45</v>
      </c>
      <c r="F2096" t="s">
        <v>4626</v>
      </c>
      <c r="G2096" t="s">
        <v>4657</v>
      </c>
      <c r="H2096" t="str">
        <f>'Huong dan giao do an'!$B$14</f>
        <v>5 SV (vai trò chính): 1 PM/Scrum Master kiêm Integration; 2 BA/PO; 3 UI-UX + Frontend; 4 Backend/API + DevOps; 5 Database + QA/Tester. Mỗi SV có nhiệm vụ phụ và minh chứng cá nhân.</v>
      </c>
      <c r="I2096" t="s">
        <v>36</v>
      </c>
      <c r="J2096" t="s">
        <v>4619</v>
      </c>
      <c r="K2096" t="str">
        <f>IF(I2096="Trung bình",'Huong dan giao do an'!$B$8,IF(I2096="Khá",'Huong dan giao do an'!$B$9,'Huong dan giao do an'!$B$10))</f>
        <v>Tối thiểu 3 actor; 8-10 use case; 6-8 bảng dữ liệu; 2 quy trình lõi; đăng nhập/RBAC; 1 dashboard; 1 báo cáo; &gt;=25 test case; triển khai bản demo.</v>
      </c>
      <c r="L2096" t="str">
        <f>'Huong dan giao do an'!$B$31</f>
        <v>Bắt buộc: Charter/PMP; SRS + scope/WBS; Gantt/baseline; effort-cost budget; RACI/timesheet; quality-test-defect; communication/minutes; risk register; procurement; change log; closure/lessons learned.</v>
      </c>
      <c r="M2096" t="str">
        <f>'Huong dan giao do an'!$B$33</f>
        <v>Tuần 1: 07.09–13.09.2026; Tuần 2: 14.09–20.09.2026; Tuần 3: 21.09–27.09.2026; Tuần 4: 28.09–04.10.2026; Tuần 5: 05.10–11.10.2026; Tuần 6: 12.10–18.10.2026; Tuần 7: 19.10–25.10.2026; Tuần 8: 26.10–01.11.2026.</v>
      </c>
      <c r="N20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6" s="17" t="str">
        <f t="shared" si="32"/>
        <v>Còn trống</v>
      </c>
    </row>
    <row r="2097" spans="1:16" x14ac:dyDescent="0.3">
      <c r="A2097">
        <v>2096</v>
      </c>
      <c r="B2097" t="s">
        <v>4604</v>
      </c>
      <c r="C2097" t="s">
        <v>4823</v>
      </c>
      <c r="D2097" t="s">
        <v>4824</v>
      </c>
      <c r="E2097" t="s">
        <v>19</v>
      </c>
      <c r="F2097" t="s">
        <v>4607</v>
      </c>
      <c r="G2097" t="s">
        <v>4660</v>
      </c>
      <c r="H2097" t="str">
        <f>'Huong dan giao do an'!$B$14</f>
        <v>5 SV (vai trò chính): 1 PM/Scrum Master kiêm Integration; 2 BA/PO; 3 UI-UX + Frontend; 4 Backend/API + DevOps; 5 Database + QA/Tester. Mỗi SV có nhiệm vụ phụ và minh chứng cá nhân.</v>
      </c>
      <c r="I2097" t="s">
        <v>22</v>
      </c>
      <c r="J2097" t="s">
        <v>4609</v>
      </c>
      <c r="K2097" t="str">
        <f>IF(I2097="Trung bình",'Huong dan giao do an'!$B$8,IF(I2097="Khá",'Huong dan giao do an'!$B$9,'Huong dan giao do an'!$B$10))</f>
        <v>Tối thiểu 4 actor; 10-14 use case; 8-12 bảng; 3 quy trình lõi; phân quyền chi tiết; 2 báo cáo; tích hợp 1 dịch vụ; &gt;=35 test case; CI/CD hoặc deploy cloud.</v>
      </c>
      <c r="L2097" t="str">
        <f>'Huong dan giao do an'!$B$31</f>
        <v>Bắt buộc: Charter/PMP; SRS + scope/WBS; Gantt/baseline; effort-cost budget; RACI/timesheet; quality-test-defect; communication/minutes; risk register; procurement; change log; closure/lessons learned.</v>
      </c>
      <c r="M2097" t="str">
        <f>'Huong dan giao do an'!$B$33</f>
        <v>Tuần 1: 07.09–13.09.2026; Tuần 2: 14.09–20.09.2026; Tuần 3: 21.09–27.09.2026; Tuần 4: 28.09–04.10.2026; Tuần 5: 05.10–11.10.2026; Tuần 6: 12.10–18.10.2026; Tuần 7: 19.10–25.10.2026; Tuần 8: 26.10–01.11.2026.</v>
      </c>
      <c r="N20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7" s="17" t="str">
        <f t="shared" si="32"/>
        <v>Còn trống</v>
      </c>
    </row>
    <row r="2098" spans="1:16" x14ac:dyDescent="0.3">
      <c r="A2098">
        <v>2097</v>
      </c>
      <c r="B2098" t="s">
        <v>4604</v>
      </c>
      <c r="C2098" t="s">
        <v>4825</v>
      </c>
      <c r="D2098" t="s">
        <v>4826</v>
      </c>
      <c r="E2098" t="s">
        <v>26</v>
      </c>
      <c r="F2098" t="s">
        <v>4612</v>
      </c>
      <c r="G2098" t="s">
        <v>4663</v>
      </c>
      <c r="H2098" t="str">
        <f>'Huong dan giao do an'!$B$14</f>
        <v>5 SV (vai trò chính): 1 PM/Scrum Master kiêm Integration; 2 BA/PO; 3 UI-UX + Frontend; 4 Backend/API + DevOps; 5 Database + QA/Tester. Mỗi SV có nhiệm vụ phụ và minh chứng cá nhân.</v>
      </c>
      <c r="I2098" t="s">
        <v>29</v>
      </c>
      <c r="J2098" t="s">
        <v>4614</v>
      </c>
      <c r="K2098" t="str">
        <f>IF(I2098="Trung bình",'Huong dan giao do an'!$B$8,IF(I2098="Khá",'Huong dan giao do an'!$B$9,'Huong dan giao do an'!$B$10))</f>
        <v>Tối thiểu 5 actor; 14-18 use case; 10-15 bảng; 4 quy trình; tích hợp ngoài/realtime hoặc xử lý nâng cao; 3 báo cáo; &gt;=45 test case; logging, backup và deploy.</v>
      </c>
      <c r="L2098" t="str">
        <f>'Huong dan giao do an'!$B$31</f>
        <v>Bắt buộc: Charter/PMP; SRS + scope/WBS; Gantt/baseline; effort-cost budget; RACI/timesheet; quality-test-defect; communication/minutes; risk register; procurement; change log; closure/lessons learned.</v>
      </c>
      <c r="M2098" t="str">
        <f>'Huong dan giao do an'!$B$33</f>
        <v>Tuần 1: 07.09–13.09.2026; Tuần 2: 14.09–20.09.2026; Tuần 3: 21.09–27.09.2026; Tuần 4: 28.09–04.10.2026; Tuần 5: 05.10–11.10.2026; Tuần 6: 12.10–18.10.2026; Tuần 7: 19.10–25.10.2026; Tuần 8: 26.10–01.11.2026.</v>
      </c>
      <c r="N20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8" s="17" t="str">
        <f t="shared" si="32"/>
        <v>Còn trống</v>
      </c>
    </row>
    <row r="2099" spans="1:16" x14ac:dyDescent="0.3">
      <c r="A2099">
        <v>2098</v>
      </c>
      <c r="B2099" t="s">
        <v>4604</v>
      </c>
      <c r="C2099" t="s">
        <v>4827</v>
      </c>
      <c r="D2099" t="s">
        <v>4828</v>
      </c>
      <c r="E2099" t="s">
        <v>33</v>
      </c>
      <c r="F2099" t="s">
        <v>4617</v>
      </c>
      <c r="G2099" t="s">
        <v>4666</v>
      </c>
      <c r="H2099" t="str">
        <f>'Huong dan giao do an'!$B$14</f>
        <v>5 SV (vai trò chính): 1 PM/Scrum Master kiêm Integration; 2 BA/PO; 3 UI-UX + Frontend; 4 Backend/API + DevOps; 5 Database + QA/Tester. Mỗi SV có nhiệm vụ phụ và minh chứng cá nhân.</v>
      </c>
      <c r="I2099" t="s">
        <v>36</v>
      </c>
      <c r="J2099" t="s">
        <v>4619</v>
      </c>
      <c r="K2099" t="str">
        <f>IF(I2099="Trung bình",'Huong dan giao do an'!$B$8,IF(I2099="Khá",'Huong dan giao do an'!$B$9,'Huong dan giao do an'!$B$10))</f>
        <v>Tối thiểu 3 actor; 8-10 use case; 6-8 bảng dữ liệu; 2 quy trình lõi; đăng nhập/RBAC; 1 dashboard; 1 báo cáo; &gt;=25 test case; triển khai bản demo.</v>
      </c>
      <c r="L2099" t="str">
        <f>'Huong dan giao do an'!$B$31</f>
        <v>Bắt buộc: Charter/PMP; SRS + scope/WBS; Gantt/baseline; effort-cost budget; RACI/timesheet; quality-test-defect; communication/minutes; risk register; procurement; change log; closure/lessons learned.</v>
      </c>
      <c r="M2099" t="str">
        <f>'Huong dan giao do an'!$B$33</f>
        <v>Tuần 1: 07.09–13.09.2026; Tuần 2: 14.09–20.09.2026; Tuần 3: 21.09–27.09.2026; Tuần 4: 28.09–04.10.2026; Tuần 5: 05.10–11.10.2026; Tuần 6: 12.10–18.10.2026; Tuần 7: 19.10–25.10.2026; Tuần 8: 26.10–01.11.2026.</v>
      </c>
      <c r="N20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099" s="17" t="str">
        <f t="shared" si="32"/>
        <v>Còn trống</v>
      </c>
    </row>
    <row r="2100" spans="1:16" x14ac:dyDescent="0.3">
      <c r="A2100">
        <v>2099</v>
      </c>
      <c r="B2100" t="s">
        <v>4604</v>
      </c>
      <c r="C2100" t="s">
        <v>4829</v>
      </c>
      <c r="D2100" t="s">
        <v>4830</v>
      </c>
      <c r="E2100" t="s">
        <v>40</v>
      </c>
      <c r="F2100" t="s">
        <v>4622</v>
      </c>
      <c r="G2100" t="s">
        <v>4669</v>
      </c>
      <c r="H2100" t="str">
        <f>'Huong dan giao do an'!$B$14</f>
        <v>5 SV (vai trò chính): 1 PM/Scrum Master kiêm Integration; 2 BA/PO; 3 UI-UX + Frontend; 4 Backend/API + DevOps; 5 Database + QA/Tester. Mỗi SV có nhiệm vụ phụ và minh chứng cá nhân.</v>
      </c>
      <c r="I2100" t="s">
        <v>22</v>
      </c>
      <c r="J2100" t="s">
        <v>4609</v>
      </c>
      <c r="K2100" t="str">
        <f>IF(I2100="Trung bình",'Huong dan giao do an'!$B$8,IF(I2100="Khá",'Huong dan giao do an'!$B$9,'Huong dan giao do an'!$B$10))</f>
        <v>Tối thiểu 4 actor; 10-14 use case; 8-12 bảng; 3 quy trình lõi; phân quyền chi tiết; 2 báo cáo; tích hợp 1 dịch vụ; &gt;=35 test case; CI/CD hoặc deploy cloud.</v>
      </c>
      <c r="L2100" t="str">
        <f>'Huong dan giao do an'!$B$31</f>
        <v>Bắt buộc: Charter/PMP; SRS + scope/WBS; Gantt/baseline; effort-cost budget; RACI/timesheet; quality-test-defect; communication/minutes; risk register; procurement; change log; closure/lessons learned.</v>
      </c>
      <c r="M2100" t="str">
        <f>'Huong dan giao do an'!$B$33</f>
        <v>Tuần 1: 07.09–13.09.2026; Tuần 2: 14.09–20.09.2026; Tuần 3: 21.09–27.09.2026; Tuần 4: 28.09–04.10.2026; Tuần 5: 05.10–11.10.2026; Tuần 6: 12.10–18.10.2026; Tuần 7: 19.10–25.10.2026; Tuần 8: 26.10–01.11.2026.</v>
      </c>
      <c r="N21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0" s="17" t="str">
        <f t="shared" si="32"/>
        <v>Còn trống</v>
      </c>
    </row>
    <row r="2101" spans="1:16" x14ac:dyDescent="0.3">
      <c r="A2101">
        <v>2100</v>
      </c>
      <c r="B2101" t="s">
        <v>4604</v>
      </c>
      <c r="C2101" t="s">
        <v>4831</v>
      </c>
      <c r="D2101" t="s">
        <v>4832</v>
      </c>
      <c r="E2101" t="s">
        <v>45</v>
      </c>
      <c r="F2101" t="s">
        <v>4626</v>
      </c>
      <c r="G2101" t="s">
        <v>4672</v>
      </c>
      <c r="H2101" t="str">
        <f>'Huong dan giao do an'!$B$14</f>
        <v>5 SV (vai trò chính): 1 PM/Scrum Master kiêm Integration; 2 BA/PO; 3 UI-UX + Frontend; 4 Backend/API + DevOps; 5 Database + QA/Tester. Mỗi SV có nhiệm vụ phụ và minh chứng cá nhân.</v>
      </c>
      <c r="I2101" t="s">
        <v>29</v>
      </c>
      <c r="J2101" t="s">
        <v>4614</v>
      </c>
      <c r="K2101" t="str">
        <f>IF(I2101="Trung bình",'Huong dan giao do an'!$B$8,IF(I2101="Khá",'Huong dan giao do an'!$B$9,'Huong dan giao do an'!$B$10))</f>
        <v>Tối thiểu 5 actor; 14-18 use case; 10-15 bảng; 4 quy trình; tích hợp ngoài/realtime hoặc xử lý nâng cao; 3 báo cáo; &gt;=45 test case; logging, backup và deploy.</v>
      </c>
      <c r="L2101" t="str">
        <f>'Huong dan giao do an'!$B$31</f>
        <v>Bắt buộc: Charter/PMP; SRS + scope/WBS; Gantt/baseline; effort-cost budget; RACI/timesheet; quality-test-defect; communication/minutes; risk register; procurement; change log; closure/lessons learned.</v>
      </c>
      <c r="M2101" t="str">
        <f>'Huong dan giao do an'!$B$33</f>
        <v>Tuần 1: 07.09–13.09.2026; Tuần 2: 14.09–20.09.2026; Tuần 3: 21.09–27.09.2026; Tuần 4: 28.09–04.10.2026; Tuần 5: 05.10–11.10.2026; Tuần 6: 12.10–18.10.2026; Tuần 7: 19.10–25.10.2026; Tuần 8: 26.10–01.11.2026.</v>
      </c>
      <c r="N21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1" s="17" t="str">
        <f t="shared" si="32"/>
        <v>Còn trống</v>
      </c>
    </row>
    <row r="2102" spans="1:16" x14ac:dyDescent="0.3">
      <c r="A2102">
        <v>2101</v>
      </c>
      <c r="B2102" t="s">
        <v>4833</v>
      </c>
      <c r="C2102" t="s">
        <v>4834</v>
      </c>
      <c r="D2102" t="s">
        <v>4835</v>
      </c>
      <c r="E2102" t="s">
        <v>26</v>
      </c>
      <c r="F2102" t="s">
        <v>4836</v>
      </c>
      <c r="G2102" t="s">
        <v>4837</v>
      </c>
      <c r="H2102" t="str">
        <f>'Huong dan giao do an'!$B$14</f>
        <v>5 SV (vai trò chính): 1 PM/Scrum Master kiêm Integration; 2 BA/PO; 3 UI-UX + Frontend; 4 Backend/API + DevOps; 5 Database + QA/Tester. Mỗi SV có nhiệm vụ phụ và minh chứng cá nhân.</v>
      </c>
      <c r="I2102" t="s">
        <v>22</v>
      </c>
      <c r="J2102" t="s">
        <v>4838</v>
      </c>
      <c r="K2102" t="str">
        <f>IF(I2102="Trung bình",'Huong dan giao do an'!$B$8,IF(I2102="Khá",'Huong dan giao do an'!$B$9,'Huong dan giao do an'!$B$10))</f>
        <v>Tối thiểu 4 actor; 10-14 use case; 8-12 bảng; 3 quy trình lõi; phân quyền chi tiết; 2 báo cáo; tích hợp 1 dịch vụ; &gt;=35 test case; CI/CD hoặc deploy cloud.</v>
      </c>
      <c r="L2102" t="str">
        <f>'Huong dan giao do an'!$B$31</f>
        <v>Bắt buộc: Charter/PMP; SRS + scope/WBS; Gantt/baseline; effort-cost budget; RACI/timesheet; quality-test-defect; communication/minutes; risk register; procurement; change log; closure/lessons learned.</v>
      </c>
      <c r="M2102" t="str">
        <f>'Huong dan giao do an'!$B$33</f>
        <v>Tuần 1: 07.09–13.09.2026; Tuần 2: 14.09–20.09.2026; Tuần 3: 21.09–27.09.2026; Tuần 4: 28.09–04.10.2026; Tuần 5: 05.10–11.10.2026; Tuần 6: 12.10–18.10.2026; Tuần 7: 19.10–25.10.2026; Tuần 8: 26.10–01.11.2026.</v>
      </c>
      <c r="N21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2" s="17" t="str">
        <f t="shared" si="32"/>
        <v>Còn trống</v>
      </c>
    </row>
    <row r="2103" spans="1:16" x14ac:dyDescent="0.3">
      <c r="A2103">
        <v>2102</v>
      </c>
      <c r="B2103" t="s">
        <v>4833</v>
      </c>
      <c r="C2103" t="s">
        <v>4839</v>
      </c>
      <c r="D2103" t="s">
        <v>4840</v>
      </c>
      <c r="E2103" t="s">
        <v>33</v>
      </c>
      <c r="F2103" t="s">
        <v>4841</v>
      </c>
      <c r="G2103" t="s">
        <v>4842</v>
      </c>
      <c r="H2103" t="str">
        <f>'Huong dan giao do an'!$B$14</f>
        <v>5 SV (vai trò chính): 1 PM/Scrum Master kiêm Integration; 2 BA/PO; 3 UI-UX + Frontend; 4 Backend/API + DevOps; 5 Database + QA/Tester. Mỗi SV có nhiệm vụ phụ và minh chứng cá nhân.</v>
      </c>
      <c r="I2103" t="s">
        <v>29</v>
      </c>
      <c r="J2103" t="s">
        <v>4843</v>
      </c>
      <c r="K2103" t="str">
        <f>IF(I2103="Trung bình",'Huong dan giao do an'!$B$8,IF(I2103="Khá",'Huong dan giao do an'!$B$9,'Huong dan giao do an'!$B$10))</f>
        <v>Tối thiểu 5 actor; 14-18 use case; 10-15 bảng; 4 quy trình; tích hợp ngoài/realtime hoặc xử lý nâng cao; 3 báo cáo; &gt;=45 test case; logging, backup và deploy.</v>
      </c>
      <c r="L2103" t="str">
        <f>'Huong dan giao do an'!$B$31</f>
        <v>Bắt buộc: Charter/PMP; SRS + scope/WBS; Gantt/baseline; effort-cost budget; RACI/timesheet; quality-test-defect; communication/minutes; risk register; procurement; change log; closure/lessons learned.</v>
      </c>
      <c r="M2103" t="str">
        <f>'Huong dan giao do an'!$B$33</f>
        <v>Tuần 1: 07.09–13.09.2026; Tuần 2: 14.09–20.09.2026; Tuần 3: 21.09–27.09.2026; Tuần 4: 28.09–04.10.2026; Tuần 5: 05.10–11.10.2026; Tuần 6: 12.10–18.10.2026; Tuần 7: 19.10–25.10.2026; Tuần 8: 26.10–01.11.2026.</v>
      </c>
      <c r="N21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3" s="17" t="str">
        <f t="shared" si="32"/>
        <v>Còn trống</v>
      </c>
    </row>
    <row r="2104" spans="1:16" x14ac:dyDescent="0.3">
      <c r="A2104">
        <v>2103</v>
      </c>
      <c r="B2104" t="s">
        <v>4833</v>
      </c>
      <c r="C2104" t="s">
        <v>4844</v>
      </c>
      <c r="D2104" t="s">
        <v>4845</v>
      </c>
      <c r="E2104" t="s">
        <v>40</v>
      </c>
      <c r="F2104" t="s">
        <v>4846</v>
      </c>
      <c r="G2104" t="s">
        <v>4847</v>
      </c>
      <c r="H2104" t="str">
        <f>'Huong dan giao do an'!$B$14</f>
        <v>5 SV (vai trò chính): 1 PM/Scrum Master kiêm Integration; 2 BA/PO; 3 UI-UX + Frontend; 4 Backend/API + DevOps; 5 Database + QA/Tester. Mỗi SV có nhiệm vụ phụ và minh chứng cá nhân.</v>
      </c>
      <c r="I2104" t="s">
        <v>36</v>
      </c>
      <c r="J2104" t="s">
        <v>4848</v>
      </c>
      <c r="K2104" t="str">
        <f>IF(I2104="Trung bình",'Huong dan giao do an'!$B$8,IF(I2104="Khá",'Huong dan giao do an'!$B$9,'Huong dan giao do an'!$B$10))</f>
        <v>Tối thiểu 3 actor; 8-10 use case; 6-8 bảng dữ liệu; 2 quy trình lõi; đăng nhập/RBAC; 1 dashboard; 1 báo cáo; &gt;=25 test case; triển khai bản demo.</v>
      </c>
      <c r="L2104" t="str">
        <f>'Huong dan giao do an'!$B$31</f>
        <v>Bắt buộc: Charter/PMP; SRS + scope/WBS; Gantt/baseline; effort-cost budget; RACI/timesheet; quality-test-defect; communication/minutes; risk register; procurement; change log; closure/lessons learned.</v>
      </c>
      <c r="M2104" t="str">
        <f>'Huong dan giao do an'!$B$33</f>
        <v>Tuần 1: 07.09–13.09.2026; Tuần 2: 14.09–20.09.2026; Tuần 3: 21.09–27.09.2026; Tuần 4: 28.09–04.10.2026; Tuần 5: 05.10–11.10.2026; Tuần 6: 12.10–18.10.2026; Tuần 7: 19.10–25.10.2026; Tuần 8: 26.10–01.11.2026.</v>
      </c>
      <c r="N21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4" s="17" t="str">
        <f t="shared" si="32"/>
        <v>Còn trống</v>
      </c>
    </row>
    <row r="2105" spans="1:16" x14ac:dyDescent="0.3">
      <c r="A2105">
        <v>2104</v>
      </c>
      <c r="B2105" t="s">
        <v>4833</v>
      </c>
      <c r="C2105" t="s">
        <v>4849</v>
      </c>
      <c r="D2105" t="s">
        <v>4850</v>
      </c>
      <c r="E2105" t="s">
        <v>45</v>
      </c>
      <c r="F2105" t="s">
        <v>4851</v>
      </c>
      <c r="G2105" t="s">
        <v>4852</v>
      </c>
      <c r="H2105" t="str">
        <f>'Huong dan giao do an'!$B$14</f>
        <v>5 SV (vai trò chính): 1 PM/Scrum Master kiêm Integration; 2 BA/PO; 3 UI-UX + Frontend; 4 Backend/API + DevOps; 5 Database + QA/Tester. Mỗi SV có nhiệm vụ phụ và minh chứng cá nhân.</v>
      </c>
      <c r="I2105" t="s">
        <v>22</v>
      </c>
      <c r="J2105" t="s">
        <v>4838</v>
      </c>
      <c r="K2105" t="str">
        <f>IF(I2105="Trung bình",'Huong dan giao do an'!$B$8,IF(I2105="Khá",'Huong dan giao do an'!$B$9,'Huong dan giao do an'!$B$10))</f>
        <v>Tối thiểu 4 actor; 10-14 use case; 8-12 bảng; 3 quy trình lõi; phân quyền chi tiết; 2 báo cáo; tích hợp 1 dịch vụ; &gt;=35 test case; CI/CD hoặc deploy cloud.</v>
      </c>
      <c r="L2105" t="str">
        <f>'Huong dan giao do an'!$B$31</f>
        <v>Bắt buộc: Charter/PMP; SRS + scope/WBS; Gantt/baseline; effort-cost budget; RACI/timesheet; quality-test-defect; communication/minutes; risk register; procurement; change log; closure/lessons learned.</v>
      </c>
      <c r="M2105" t="str">
        <f>'Huong dan giao do an'!$B$33</f>
        <v>Tuần 1: 07.09–13.09.2026; Tuần 2: 14.09–20.09.2026; Tuần 3: 21.09–27.09.2026; Tuần 4: 28.09–04.10.2026; Tuần 5: 05.10–11.10.2026; Tuần 6: 12.10–18.10.2026; Tuần 7: 19.10–25.10.2026; Tuần 8: 26.10–01.11.2026.</v>
      </c>
      <c r="N21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5" s="17" t="str">
        <f t="shared" si="32"/>
        <v>Còn trống</v>
      </c>
    </row>
    <row r="2106" spans="1:16" x14ac:dyDescent="0.3">
      <c r="A2106">
        <v>2105</v>
      </c>
      <c r="B2106" t="s">
        <v>4833</v>
      </c>
      <c r="C2106" t="s">
        <v>4853</v>
      </c>
      <c r="D2106" t="s">
        <v>4854</v>
      </c>
      <c r="E2106" t="s">
        <v>19</v>
      </c>
      <c r="F2106" t="s">
        <v>4855</v>
      </c>
      <c r="G2106" t="s">
        <v>4856</v>
      </c>
      <c r="H2106" t="str">
        <f>'Huong dan giao do an'!$B$14</f>
        <v>5 SV (vai trò chính): 1 PM/Scrum Master kiêm Integration; 2 BA/PO; 3 UI-UX + Frontend; 4 Backend/API + DevOps; 5 Database + QA/Tester. Mỗi SV có nhiệm vụ phụ và minh chứng cá nhân.</v>
      </c>
      <c r="I2106" t="s">
        <v>29</v>
      </c>
      <c r="J2106" t="s">
        <v>4843</v>
      </c>
      <c r="K2106" t="str">
        <f>IF(I2106="Trung bình",'Huong dan giao do an'!$B$8,IF(I2106="Khá",'Huong dan giao do an'!$B$9,'Huong dan giao do an'!$B$10))</f>
        <v>Tối thiểu 5 actor; 14-18 use case; 10-15 bảng; 4 quy trình; tích hợp ngoài/realtime hoặc xử lý nâng cao; 3 báo cáo; &gt;=45 test case; logging, backup và deploy.</v>
      </c>
      <c r="L2106" t="str">
        <f>'Huong dan giao do an'!$B$31</f>
        <v>Bắt buộc: Charter/PMP; SRS + scope/WBS; Gantt/baseline; effort-cost budget; RACI/timesheet; quality-test-defect; communication/minutes; risk register; procurement; change log; closure/lessons learned.</v>
      </c>
      <c r="M2106" t="str">
        <f>'Huong dan giao do an'!$B$33</f>
        <v>Tuần 1: 07.09–13.09.2026; Tuần 2: 14.09–20.09.2026; Tuần 3: 21.09–27.09.2026; Tuần 4: 28.09–04.10.2026; Tuần 5: 05.10–11.10.2026; Tuần 6: 12.10–18.10.2026; Tuần 7: 19.10–25.10.2026; Tuần 8: 26.10–01.11.2026.</v>
      </c>
      <c r="N21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6" s="17" t="str">
        <f t="shared" si="32"/>
        <v>Còn trống</v>
      </c>
    </row>
    <row r="2107" spans="1:16" x14ac:dyDescent="0.3">
      <c r="A2107">
        <v>2106</v>
      </c>
      <c r="B2107" t="s">
        <v>4833</v>
      </c>
      <c r="C2107" t="s">
        <v>4857</v>
      </c>
      <c r="D2107" t="s">
        <v>4858</v>
      </c>
      <c r="E2107" t="s">
        <v>26</v>
      </c>
      <c r="F2107" t="s">
        <v>4836</v>
      </c>
      <c r="G2107" t="s">
        <v>4859</v>
      </c>
      <c r="H2107" t="str">
        <f>'Huong dan giao do an'!$B$14</f>
        <v>5 SV (vai trò chính): 1 PM/Scrum Master kiêm Integration; 2 BA/PO; 3 UI-UX + Frontend; 4 Backend/API + DevOps; 5 Database + QA/Tester. Mỗi SV có nhiệm vụ phụ và minh chứng cá nhân.</v>
      </c>
      <c r="I2107" t="s">
        <v>36</v>
      </c>
      <c r="J2107" t="s">
        <v>4848</v>
      </c>
      <c r="K2107" t="str">
        <f>IF(I2107="Trung bình",'Huong dan giao do an'!$B$8,IF(I2107="Khá",'Huong dan giao do an'!$B$9,'Huong dan giao do an'!$B$10))</f>
        <v>Tối thiểu 3 actor; 8-10 use case; 6-8 bảng dữ liệu; 2 quy trình lõi; đăng nhập/RBAC; 1 dashboard; 1 báo cáo; &gt;=25 test case; triển khai bản demo.</v>
      </c>
      <c r="L2107" t="str">
        <f>'Huong dan giao do an'!$B$31</f>
        <v>Bắt buộc: Charter/PMP; SRS + scope/WBS; Gantt/baseline; effort-cost budget; RACI/timesheet; quality-test-defect; communication/minutes; risk register; procurement; change log; closure/lessons learned.</v>
      </c>
      <c r="M2107" t="str">
        <f>'Huong dan giao do an'!$B$33</f>
        <v>Tuần 1: 07.09–13.09.2026; Tuần 2: 14.09–20.09.2026; Tuần 3: 21.09–27.09.2026; Tuần 4: 28.09–04.10.2026; Tuần 5: 05.10–11.10.2026; Tuần 6: 12.10–18.10.2026; Tuần 7: 19.10–25.10.2026; Tuần 8: 26.10–01.11.2026.</v>
      </c>
      <c r="N21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7" s="17" t="str">
        <f t="shared" si="32"/>
        <v>Còn trống</v>
      </c>
    </row>
    <row r="2108" spans="1:16" x14ac:dyDescent="0.3">
      <c r="A2108">
        <v>2107</v>
      </c>
      <c r="B2108" t="s">
        <v>4833</v>
      </c>
      <c r="C2108" t="s">
        <v>4860</v>
      </c>
      <c r="D2108" t="s">
        <v>4861</v>
      </c>
      <c r="E2108" t="s">
        <v>33</v>
      </c>
      <c r="F2108" t="s">
        <v>4841</v>
      </c>
      <c r="G2108" t="s">
        <v>4862</v>
      </c>
      <c r="H2108" t="str">
        <f>'Huong dan giao do an'!$B$14</f>
        <v>5 SV (vai trò chính): 1 PM/Scrum Master kiêm Integration; 2 BA/PO; 3 UI-UX + Frontend; 4 Backend/API + DevOps; 5 Database + QA/Tester. Mỗi SV có nhiệm vụ phụ và minh chứng cá nhân.</v>
      </c>
      <c r="I2108" t="s">
        <v>22</v>
      </c>
      <c r="J2108" t="s">
        <v>4838</v>
      </c>
      <c r="K2108" t="str">
        <f>IF(I2108="Trung bình",'Huong dan giao do an'!$B$8,IF(I2108="Khá",'Huong dan giao do an'!$B$9,'Huong dan giao do an'!$B$10))</f>
        <v>Tối thiểu 4 actor; 10-14 use case; 8-12 bảng; 3 quy trình lõi; phân quyền chi tiết; 2 báo cáo; tích hợp 1 dịch vụ; &gt;=35 test case; CI/CD hoặc deploy cloud.</v>
      </c>
      <c r="L2108" t="str">
        <f>'Huong dan giao do an'!$B$31</f>
        <v>Bắt buộc: Charter/PMP; SRS + scope/WBS; Gantt/baseline; effort-cost budget; RACI/timesheet; quality-test-defect; communication/minutes; risk register; procurement; change log; closure/lessons learned.</v>
      </c>
      <c r="M2108" t="str">
        <f>'Huong dan giao do an'!$B$33</f>
        <v>Tuần 1: 07.09–13.09.2026; Tuần 2: 14.09–20.09.2026; Tuần 3: 21.09–27.09.2026; Tuần 4: 28.09–04.10.2026; Tuần 5: 05.10–11.10.2026; Tuần 6: 12.10–18.10.2026; Tuần 7: 19.10–25.10.2026; Tuần 8: 26.10–01.11.2026.</v>
      </c>
      <c r="N21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8" s="17" t="str">
        <f t="shared" si="32"/>
        <v>Còn trống</v>
      </c>
    </row>
    <row r="2109" spans="1:16" x14ac:dyDescent="0.3">
      <c r="A2109">
        <v>2108</v>
      </c>
      <c r="B2109" t="s">
        <v>4833</v>
      </c>
      <c r="C2109" t="s">
        <v>4863</v>
      </c>
      <c r="D2109" t="s">
        <v>4864</v>
      </c>
      <c r="E2109" t="s">
        <v>40</v>
      </c>
      <c r="F2109" t="s">
        <v>4846</v>
      </c>
      <c r="G2109" t="s">
        <v>4865</v>
      </c>
      <c r="H2109" t="str">
        <f>'Huong dan giao do an'!$B$14</f>
        <v>5 SV (vai trò chính): 1 PM/Scrum Master kiêm Integration; 2 BA/PO; 3 UI-UX + Frontend; 4 Backend/API + DevOps; 5 Database + QA/Tester. Mỗi SV có nhiệm vụ phụ và minh chứng cá nhân.</v>
      </c>
      <c r="I2109" t="s">
        <v>29</v>
      </c>
      <c r="J2109" t="s">
        <v>4843</v>
      </c>
      <c r="K2109" t="str">
        <f>IF(I2109="Trung bình",'Huong dan giao do an'!$B$8,IF(I2109="Khá",'Huong dan giao do an'!$B$9,'Huong dan giao do an'!$B$10))</f>
        <v>Tối thiểu 5 actor; 14-18 use case; 10-15 bảng; 4 quy trình; tích hợp ngoài/realtime hoặc xử lý nâng cao; 3 báo cáo; &gt;=45 test case; logging, backup và deploy.</v>
      </c>
      <c r="L2109" t="str">
        <f>'Huong dan giao do an'!$B$31</f>
        <v>Bắt buộc: Charter/PMP; SRS + scope/WBS; Gantt/baseline; effort-cost budget; RACI/timesheet; quality-test-defect; communication/minutes; risk register; procurement; change log; closure/lessons learned.</v>
      </c>
      <c r="M2109" t="str">
        <f>'Huong dan giao do an'!$B$33</f>
        <v>Tuần 1: 07.09–13.09.2026; Tuần 2: 14.09–20.09.2026; Tuần 3: 21.09–27.09.2026; Tuần 4: 28.09–04.10.2026; Tuần 5: 05.10–11.10.2026; Tuần 6: 12.10–18.10.2026; Tuần 7: 19.10–25.10.2026; Tuần 8: 26.10–01.11.2026.</v>
      </c>
      <c r="N21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09" s="17" t="str">
        <f t="shared" si="32"/>
        <v>Còn trống</v>
      </c>
    </row>
    <row r="2110" spans="1:16" x14ac:dyDescent="0.3">
      <c r="A2110">
        <v>2109</v>
      </c>
      <c r="B2110" t="s">
        <v>4833</v>
      </c>
      <c r="C2110" t="s">
        <v>4866</v>
      </c>
      <c r="D2110" t="s">
        <v>4867</v>
      </c>
      <c r="E2110" t="s">
        <v>45</v>
      </c>
      <c r="F2110" t="s">
        <v>4851</v>
      </c>
      <c r="G2110" t="s">
        <v>4868</v>
      </c>
      <c r="H2110" t="str">
        <f>'Huong dan giao do an'!$B$14</f>
        <v>5 SV (vai trò chính): 1 PM/Scrum Master kiêm Integration; 2 BA/PO; 3 UI-UX + Frontend; 4 Backend/API + DevOps; 5 Database + QA/Tester. Mỗi SV có nhiệm vụ phụ và minh chứng cá nhân.</v>
      </c>
      <c r="I2110" t="s">
        <v>36</v>
      </c>
      <c r="J2110" t="s">
        <v>4848</v>
      </c>
      <c r="K2110" t="str">
        <f>IF(I2110="Trung bình",'Huong dan giao do an'!$B$8,IF(I2110="Khá",'Huong dan giao do an'!$B$9,'Huong dan giao do an'!$B$10))</f>
        <v>Tối thiểu 3 actor; 8-10 use case; 6-8 bảng dữ liệu; 2 quy trình lõi; đăng nhập/RBAC; 1 dashboard; 1 báo cáo; &gt;=25 test case; triển khai bản demo.</v>
      </c>
      <c r="L2110" t="str">
        <f>'Huong dan giao do an'!$B$31</f>
        <v>Bắt buộc: Charter/PMP; SRS + scope/WBS; Gantt/baseline; effort-cost budget; RACI/timesheet; quality-test-defect; communication/minutes; risk register; procurement; change log; closure/lessons learned.</v>
      </c>
      <c r="M2110" t="str">
        <f>'Huong dan giao do an'!$B$33</f>
        <v>Tuần 1: 07.09–13.09.2026; Tuần 2: 14.09–20.09.2026; Tuần 3: 21.09–27.09.2026; Tuần 4: 28.09–04.10.2026; Tuần 5: 05.10–11.10.2026; Tuần 6: 12.10–18.10.2026; Tuần 7: 19.10–25.10.2026; Tuần 8: 26.10–01.11.2026.</v>
      </c>
      <c r="N21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0" s="17" t="str">
        <f t="shared" si="32"/>
        <v>Còn trống</v>
      </c>
    </row>
    <row r="2111" spans="1:16" x14ac:dyDescent="0.3">
      <c r="A2111">
        <v>2110</v>
      </c>
      <c r="B2111" t="s">
        <v>4833</v>
      </c>
      <c r="C2111" t="s">
        <v>4869</v>
      </c>
      <c r="D2111" t="s">
        <v>4870</v>
      </c>
      <c r="E2111" t="s">
        <v>19</v>
      </c>
      <c r="F2111" t="s">
        <v>4855</v>
      </c>
      <c r="G2111" t="s">
        <v>4871</v>
      </c>
      <c r="H2111" t="str">
        <f>'Huong dan giao do an'!$B$14</f>
        <v>5 SV (vai trò chính): 1 PM/Scrum Master kiêm Integration; 2 BA/PO; 3 UI-UX + Frontend; 4 Backend/API + DevOps; 5 Database + QA/Tester. Mỗi SV có nhiệm vụ phụ và minh chứng cá nhân.</v>
      </c>
      <c r="I2111" t="s">
        <v>22</v>
      </c>
      <c r="J2111" t="s">
        <v>4838</v>
      </c>
      <c r="K2111" t="str">
        <f>IF(I2111="Trung bình",'Huong dan giao do an'!$B$8,IF(I2111="Khá",'Huong dan giao do an'!$B$9,'Huong dan giao do an'!$B$10))</f>
        <v>Tối thiểu 4 actor; 10-14 use case; 8-12 bảng; 3 quy trình lõi; phân quyền chi tiết; 2 báo cáo; tích hợp 1 dịch vụ; &gt;=35 test case; CI/CD hoặc deploy cloud.</v>
      </c>
      <c r="L2111" t="str">
        <f>'Huong dan giao do an'!$B$31</f>
        <v>Bắt buộc: Charter/PMP; SRS + scope/WBS; Gantt/baseline; effort-cost budget; RACI/timesheet; quality-test-defect; communication/minutes; risk register; procurement; change log; closure/lessons learned.</v>
      </c>
      <c r="M2111" t="str">
        <f>'Huong dan giao do an'!$B$33</f>
        <v>Tuần 1: 07.09–13.09.2026; Tuần 2: 14.09–20.09.2026; Tuần 3: 21.09–27.09.2026; Tuần 4: 28.09–04.10.2026; Tuần 5: 05.10–11.10.2026; Tuần 6: 12.10–18.10.2026; Tuần 7: 19.10–25.10.2026; Tuần 8: 26.10–01.11.2026.</v>
      </c>
      <c r="N21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1" s="17" t="str">
        <f t="shared" si="32"/>
        <v>Còn trống</v>
      </c>
    </row>
    <row r="2112" spans="1:16" x14ac:dyDescent="0.3">
      <c r="A2112">
        <v>2111</v>
      </c>
      <c r="B2112" t="s">
        <v>4833</v>
      </c>
      <c r="C2112" t="s">
        <v>4872</v>
      </c>
      <c r="D2112" t="s">
        <v>4873</v>
      </c>
      <c r="E2112" t="s">
        <v>26</v>
      </c>
      <c r="F2112" t="s">
        <v>4836</v>
      </c>
      <c r="G2112" t="s">
        <v>4874</v>
      </c>
      <c r="H2112" t="str">
        <f>'Huong dan giao do an'!$B$14</f>
        <v>5 SV (vai trò chính): 1 PM/Scrum Master kiêm Integration; 2 BA/PO; 3 UI-UX + Frontend; 4 Backend/API + DevOps; 5 Database + QA/Tester. Mỗi SV có nhiệm vụ phụ và minh chứng cá nhân.</v>
      </c>
      <c r="I2112" t="s">
        <v>29</v>
      </c>
      <c r="J2112" t="s">
        <v>4843</v>
      </c>
      <c r="K2112" t="str">
        <f>IF(I2112="Trung bình",'Huong dan giao do an'!$B$8,IF(I2112="Khá",'Huong dan giao do an'!$B$9,'Huong dan giao do an'!$B$10))</f>
        <v>Tối thiểu 5 actor; 14-18 use case; 10-15 bảng; 4 quy trình; tích hợp ngoài/realtime hoặc xử lý nâng cao; 3 báo cáo; &gt;=45 test case; logging, backup và deploy.</v>
      </c>
      <c r="L2112" t="str">
        <f>'Huong dan giao do an'!$B$31</f>
        <v>Bắt buộc: Charter/PMP; SRS + scope/WBS; Gantt/baseline; effort-cost budget; RACI/timesheet; quality-test-defect; communication/minutes; risk register; procurement; change log; closure/lessons learned.</v>
      </c>
      <c r="M2112" t="str">
        <f>'Huong dan giao do an'!$B$33</f>
        <v>Tuần 1: 07.09–13.09.2026; Tuần 2: 14.09–20.09.2026; Tuần 3: 21.09–27.09.2026; Tuần 4: 28.09–04.10.2026; Tuần 5: 05.10–11.10.2026; Tuần 6: 12.10–18.10.2026; Tuần 7: 19.10–25.10.2026; Tuần 8: 26.10–01.11.2026.</v>
      </c>
      <c r="N21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2" s="17" t="str">
        <f t="shared" si="32"/>
        <v>Còn trống</v>
      </c>
    </row>
    <row r="2113" spans="1:16" x14ac:dyDescent="0.3">
      <c r="A2113">
        <v>2112</v>
      </c>
      <c r="B2113" t="s">
        <v>4833</v>
      </c>
      <c r="C2113" t="s">
        <v>4875</v>
      </c>
      <c r="D2113" t="s">
        <v>4876</v>
      </c>
      <c r="E2113" t="s">
        <v>33</v>
      </c>
      <c r="F2113" t="s">
        <v>4841</v>
      </c>
      <c r="G2113" t="s">
        <v>4877</v>
      </c>
      <c r="H2113" t="str">
        <f>'Huong dan giao do an'!$B$14</f>
        <v>5 SV (vai trò chính): 1 PM/Scrum Master kiêm Integration; 2 BA/PO; 3 UI-UX + Frontend; 4 Backend/API + DevOps; 5 Database + QA/Tester. Mỗi SV có nhiệm vụ phụ và minh chứng cá nhân.</v>
      </c>
      <c r="I2113" t="s">
        <v>36</v>
      </c>
      <c r="J2113" t="s">
        <v>4848</v>
      </c>
      <c r="K2113" t="str">
        <f>IF(I2113="Trung bình",'Huong dan giao do an'!$B$8,IF(I2113="Khá",'Huong dan giao do an'!$B$9,'Huong dan giao do an'!$B$10))</f>
        <v>Tối thiểu 3 actor; 8-10 use case; 6-8 bảng dữ liệu; 2 quy trình lõi; đăng nhập/RBAC; 1 dashboard; 1 báo cáo; &gt;=25 test case; triển khai bản demo.</v>
      </c>
      <c r="L2113" t="str">
        <f>'Huong dan giao do an'!$B$31</f>
        <v>Bắt buộc: Charter/PMP; SRS + scope/WBS; Gantt/baseline; effort-cost budget; RACI/timesheet; quality-test-defect; communication/minutes; risk register; procurement; change log; closure/lessons learned.</v>
      </c>
      <c r="M2113" t="str">
        <f>'Huong dan giao do an'!$B$33</f>
        <v>Tuần 1: 07.09–13.09.2026; Tuần 2: 14.09–20.09.2026; Tuần 3: 21.09–27.09.2026; Tuần 4: 28.09–04.10.2026; Tuần 5: 05.10–11.10.2026; Tuần 6: 12.10–18.10.2026; Tuần 7: 19.10–25.10.2026; Tuần 8: 26.10–01.11.2026.</v>
      </c>
      <c r="N21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3" s="17" t="str">
        <f t="shared" si="32"/>
        <v>Còn trống</v>
      </c>
    </row>
    <row r="2114" spans="1:16" x14ac:dyDescent="0.3">
      <c r="A2114">
        <v>2113</v>
      </c>
      <c r="B2114" t="s">
        <v>4833</v>
      </c>
      <c r="C2114" t="s">
        <v>4878</v>
      </c>
      <c r="D2114" t="s">
        <v>4879</v>
      </c>
      <c r="E2114" t="s">
        <v>40</v>
      </c>
      <c r="F2114" t="s">
        <v>4846</v>
      </c>
      <c r="G2114" t="s">
        <v>4880</v>
      </c>
      <c r="H2114" t="str">
        <f>'Huong dan giao do an'!$B$14</f>
        <v>5 SV (vai trò chính): 1 PM/Scrum Master kiêm Integration; 2 BA/PO; 3 UI-UX + Frontend; 4 Backend/API + DevOps; 5 Database + QA/Tester. Mỗi SV có nhiệm vụ phụ và minh chứng cá nhân.</v>
      </c>
      <c r="I2114" t="s">
        <v>22</v>
      </c>
      <c r="J2114" t="s">
        <v>4838</v>
      </c>
      <c r="K2114" t="str">
        <f>IF(I2114="Trung bình",'Huong dan giao do an'!$B$8,IF(I2114="Khá",'Huong dan giao do an'!$B$9,'Huong dan giao do an'!$B$10))</f>
        <v>Tối thiểu 4 actor; 10-14 use case; 8-12 bảng; 3 quy trình lõi; phân quyền chi tiết; 2 báo cáo; tích hợp 1 dịch vụ; &gt;=35 test case; CI/CD hoặc deploy cloud.</v>
      </c>
      <c r="L2114" t="str">
        <f>'Huong dan giao do an'!$B$31</f>
        <v>Bắt buộc: Charter/PMP; SRS + scope/WBS; Gantt/baseline; effort-cost budget; RACI/timesheet; quality-test-defect; communication/minutes; risk register; procurement; change log; closure/lessons learned.</v>
      </c>
      <c r="M2114" t="str">
        <f>'Huong dan giao do an'!$B$33</f>
        <v>Tuần 1: 07.09–13.09.2026; Tuần 2: 14.09–20.09.2026; Tuần 3: 21.09–27.09.2026; Tuần 4: 28.09–04.10.2026; Tuần 5: 05.10–11.10.2026; Tuần 6: 12.10–18.10.2026; Tuần 7: 19.10–25.10.2026; Tuần 8: 26.10–01.11.2026.</v>
      </c>
      <c r="N21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4" s="17" t="str">
        <f t="shared" si="32"/>
        <v>Còn trống</v>
      </c>
    </row>
    <row r="2115" spans="1:16" x14ac:dyDescent="0.3">
      <c r="A2115">
        <v>2114</v>
      </c>
      <c r="B2115" t="s">
        <v>4833</v>
      </c>
      <c r="C2115" t="s">
        <v>4881</v>
      </c>
      <c r="D2115" t="s">
        <v>4882</v>
      </c>
      <c r="E2115" t="s">
        <v>45</v>
      </c>
      <c r="F2115" t="s">
        <v>4851</v>
      </c>
      <c r="G2115" t="s">
        <v>4883</v>
      </c>
      <c r="H2115" t="str">
        <f>'Huong dan giao do an'!$B$14</f>
        <v>5 SV (vai trò chính): 1 PM/Scrum Master kiêm Integration; 2 BA/PO; 3 UI-UX + Frontend; 4 Backend/API + DevOps; 5 Database + QA/Tester. Mỗi SV có nhiệm vụ phụ và minh chứng cá nhân.</v>
      </c>
      <c r="I2115" t="s">
        <v>29</v>
      </c>
      <c r="J2115" t="s">
        <v>4843</v>
      </c>
      <c r="K2115" t="str">
        <f>IF(I2115="Trung bình",'Huong dan giao do an'!$B$8,IF(I2115="Khá",'Huong dan giao do an'!$B$9,'Huong dan giao do an'!$B$10))</f>
        <v>Tối thiểu 5 actor; 14-18 use case; 10-15 bảng; 4 quy trình; tích hợp ngoài/realtime hoặc xử lý nâng cao; 3 báo cáo; &gt;=45 test case; logging, backup và deploy.</v>
      </c>
      <c r="L2115" t="str">
        <f>'Huong dan giao do an'!$B$31</f>
        <v>Bắt buộc: Charter/PMP; SRS + scope/WBS; Gantt/baseline; effort-cost budget; RACI/timesheet; quality-test-defect; communication/minutes; risk register; procurement; change log; closure/lessons learned.</v>
      </c>
      <c r="M2115" t="str">
        <f>'Huong dan giao do an'!$B$33</f>
        <v>Tuần 1: 07.09–13.09.2026; Tuần 2: 14.09–20.09.2026; Tuần 3: 21.09–27.09.2026; Tuần 4: 28.09–04.10.2026; Tuần 5: 05.10–11.10.2026; Tuần 6: 12.10–18.10.2026; Tuần 7: 19.10–25.10.2026; Tuần 8: 26.10–01.11.2026.</v>
      </c>
      <c r="N21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5" s="17" t="str">
        <f t="shared" ref="P2115:P2178" si="33">IF(O2115="","Còn trống","Đã đăng ký")</f>
        <v>Còn trống</v>
      </c>
    </row>
    <row r="2116" spans="1:16" x14ac:dyDescent="0.3">
      <c r="A2116">
        <v>2115</v>
      </c>
      <c r="B2116" t="s">
        <v>4833</v>
      </c>
      <c r="C2116" t="s">
        <v>4884</v>
      </c>
      <c r="D2116" t="s">
        <v>4885</v>
      </c>
      <c r="E2116" t="s">
        <v>19</v>
      </c>
      <c r="F2116" t="s">
        <v>4855</v>
      </c>
      <c r="G2116" t="s">
        <v>4886</v>
      </c>
      <c r="H2116" t="str">
        <f>'Huong dan giao do an'!$B$14</f>
        <v>5 SV (vai trò chính): 1 PM/Scrum Master kiêm Integration; 2 BA/PO; 3 UI-UX + Frontend; 4 Backend/API + DevOps; 5 Database + QA/Tester. Mỗi SV có nhiệm vụ phụ và minh chứng cá nhân.</v>
      </c>
      <c r="I2116" t="s">
        <v>36</v>
      </c>
      <c r="J2116" t="s">
        <v>4848</v>
      </c>
      <c r="K2116" t="str">
        <f>IF(I2116="Trung bình",'Huong dan giao do an'!$B$8,IF(I2116="Khá",'Huong dan giao do an'!$B$9,'Huong dan giao do an'!$B$10))</f>
        <v>Tối thiểu 3 actor; 8-10 use case; 6-8 bảng dữ liệu; 2 quy trình lõi; đăng nhập/RBAC; 1 dashboard; 1 báo cáo; &gt;=25 test case; triển khai bản demo.</v>
      </c>
      <c r="L2116" t="str">
        <f>'Huong dan giao do an'!$B$31</f>
        <v>Bắt buộc: Charter/PMP; SRS + scope/WBS; Gantt/baseline; effort-cost budget; RACI/timesheet; quality-test-defect; communication/minutes; risk register; procurement; change log; closure/lessons learned.</v>
      </c>
      <c r="M2116" t="str">
        <f>'Huong dan giao do an'!$B$33</f>
        <v>Tuần 1: 07.09–13.09.2026; Tuần 2: 14.09–20.09.2026; Tuần 3: 21.09–27.09.2026; Tuần 4: 28.09–04.10.2026; Tuần 5: 05.10–11.10.2026; Tuần 6: 12.10–18.10.2026; Tuần 7: 19.10–25.10.2026; Tuần 8: 26.10–01.11.2026.</v>
      </c>
      <c r="N21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6" s="17" t="str">
        <f t="shared" si="33"/>
        <v>Còn trống</v>
      </c>
    </row>
    <row r="2117" spans="1:16" x14ac:dyDescent="0.3">
      <c r="A2117">
        <v>2116</v>
      </c>
      <c r="B2117" t="s">
        <v>4833</v>
      </c>
      <c r="C2117" t="s">
        <v>4887</v>
      </c>
      <c r="D2117" t="s">
        <v>4888</v>
      </c>
      <c r="E2117" t="s">
        <v>26</v>
      </c>
      <c r="F2117" t="s">
        <v>4836</v>
      </c>
      <c r="G2117" t="s">
        <v>4889</v>
      </c>
      <c r="H2117" t="str">
        <f>'Huong dan giao do an'!$B$14</f>
        <v>5 SV (vai trò chính): 1 PM/Scrum Master kiêm Integration; 2 BA/PO; 3 UI-UX + Frontend; 4 Backend/API + DevOps; 5 Database + QA/Tester. Mỗi SV có nhiệm vụ phụ và minh chứng cá nhân.</v>
      </c>
      <c r="I2117" t="s">
        <v>22</v>
      </c>
      <c r="J2117" t="s">
        <v>4838</v>
      </c>
      <c r="K2117" t="str">
        <f>IF(I2117="Trung bình",'Huong dan giao do an'!$B$8,IF(I2117="Khá",'Huong dan giao do an'!$B$9,'Huong dan giao do an'!$B$10))</f>
        <v>Tối thiểu 4 actor; 10-14 use case; 8-12 bảng; 3 quy trình lõi; phân quyền chi tiết; 2 báo cáo; tích hợp 1 dịch vụ; &gt;=35 test case; CI/CD hoặc deploy cloud.</v>
      </c>
      <c r="L2117" t="str">
        <f>'Huong dan giao do an'!$B$31</f>
        <v>Bắt buộc: Charter/PMP; SRS + scope/WBS; Gantt/baseline; effort-cost budget; RACI/timesheet; quality-test-defect; communication/minutes; risk register; procurement; change log; closure/lessons learned.</v>
      </c>
      <c r="M2117" t="str">
        <f>'Huong dan giao do an'!$B$33</f>
        <v>Tuần 1: 07.09–13.09.2026; Tuần 2: 14.09–20.09.2026; Tuần 3: 21.09–27.09.2026; Tuần 4: 28.09–04.10.2026; Tuần 5: 05.10–11.10.2026; Tuần 6: 12.10–18.10.2026; Tuần 7: 19.10–25.10.2026; Tuần 8: 26.10–01.11.2026.</v>
      </c>
      <c r="N21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7" s="17" t="str">
        <f t="shared" si="33"/>
        <v>Còn trống</v>
      </c>
    </row>
    <row r="2118" spans="1:16" x14ac:dyDescent="0.3">
      <c r="A2118">
        <v>2117</v>
      </c>
      <c r="B2118" t="s">
        <v>4833</v>
      </c>
      <c r="C2118" t="s">
        <v>4890</v>
      </c>
      <c r="D2118" t="s">
        <v>4891</v>
      </c>
      <c r="E2118" t="s">
        <v>33</v>
      </c>
      <c r="F2118" t="s">
        <v>4841</v>
      </c>
      <c r="G2118" t="s">
        <v>4892</v>
      </c>
      <c r="H2118" t="str">
        <f>'Huong dan giao do an'!$B$14</f>
        <v>5 SV (vai trò chính): 1 PM/Scrum Master kiêm Integration; 2 BA/PO; 3 UI-UX + Frontend; 4 Backend/API + DevOps; 5 Database + QA/Tester. Mỗi SV có nhiệm vụ phụ và minh chứng cá nhân.</v>
      </c>
      <c r="I2118" t="s">
        <v>29</v>
      </c>
      <c r="J2118" t="s">
        <v>4843</v>
      </c>
      <c r="K2118" t="str">
        <f>IF(I2118="Trung bình",'Huong dan giao do an'!$B$8,IF(I2118="Khá",'Huong dan giao do an'!$B$9,'Huong dan giao do an'!$B$10))</f>
        <v>Tối thiểu 5 actor; 14-18 use case; 10-15 bảng; 4 quy trình; tích hợp ngoài/realtime hoặc xử lý nâng cao; 3 báo cáo; &gt;=45 test case; logging, backup và deploy.</v>
      </c>
      <c r="L2118" t="str">
        <f>'Huong dan giao do an'!$B$31</f>
        <v>Bắt buộc: Charter/PMP; SRS + scope/WBS; Gantt/baseline; effort-cost budget; RACI/timesheet; quality-test-defect; communication/minutes; risk register; procurement; change log; closure/lessons learned.</v>
      </c>
      <c r="M2118" t="str">
        <f>'Huong dan giao do an'!$B$33</f>
        <v>Tuần 1: 07.09–13.09.2026; Tuần 2: 14.09–20.09.2026; Tuần 3: 21.09–27.09.2026; Tuần 4: 28.09–04.10.2026; Tuần 5: 05.10–11.10.2026; Tuần 6: 12.10–18.10.2026; Tuần 7: 19.10–25.10.2026; Tuần 8: 26.10–01.11.2026.</v>
      </c>
      <c r="N21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8" s="17" t="str">
        <f t="shared" si="33"/>
        <v>Còn trống</v>
      </c>
    </row>
    <row r="2119" spans="1:16" x14ac:dyDescent="0.3">
      <c r="A2119">
        <v>2118</v>
      </c>
      <c r="B2119" t="s">
        <v>4833</v>
      </c>
      <c r="C2119" t="s">
        <v>4893</v>
      </c>
      <c r="D2119" t="s">
        <v>4894</v>
      </c>
      <c r="E2119" t="s">
        <v>40</v>
      </c>
      <c r="F2119" t="s">
        <v>4846</v>
      </c>
      <c r="G2119" t="s">
        <v>4895</v>
      </c>
      <c r="H2119" t="str">
        <f>'Huong dan giao do an'!$B$14</f>
        <v>5 SV (vai trò chính): 1 PM/Scrum Master kiêm Integration; 2 BA/PO; 3 UI-UX + Frontend; 4 Backend/API + DevOps; 5 Database + QA/Tester. Mỗi SV có nhiệm vụ phụ và minh chứng cá nhân.</v>
      </c>
      <c r="I2119" t="s">
        <v>36</v>
      </c>
      <c r="J2119" t="s">
        <v>4848</v>
      </c>
      <c r="K2119" t="str">
        <f>IF(I2119="Trung bình",'Huong dan giao do an'!$B$8,IF(I2119="Khá",'Huong dan giao do an'!$B$9,'Huong dan giao do an'!$B$10))</f>
        <v>Tối thiểu 3 actor; 8-10 use case; 6-8 bảng dữ liệu; 2 quy trình lõi; đăng nhập/RBAC; 1 dashboard; 1 báo cáo; &gt;=25 test case; triển khai bản demo.</v>
      </c>
      <c r="L2119" t="str">
        <f>'Huong dan giao do an'!$B$31</f>
        <v>Bắt buộc: Charter/PMP; SRS + scope/WBS; Gantt/baseline; effort-cost budget; RACI/timesheet; quality-test-defect; communication/minutes; risk register; procurement; change log; closure/lessons learned.</v>
      </c>
      <c r="M2119" t="str">
        <f>'Huong dan giao do an'!$B$33</f>
        <v>Tuần 1: 07.09–13.09.2026; Tuần 2: 14.09–20.09.2026; Tuần 3: 21.09–27.09.2026; Tuần 4: 28.09–04.10.2026; Tuần 5: 05.10–11.10.2026; Tuần 6: 12.10–18.10.2026; Tuần 7: 19.10–25.10.2026; Tuần 8: 26.10–01.11.2026.</v>
      </c>
      <c r="N21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19" s="17" t="str">
        <f t="shared" si="33"/>
        <v>Còn trống</v>
      </c>
    </row>
    <row r="2120" spans="1:16" x14ac:dyDescent="0.3">
      <c r="A2120">
        <v>2119</v>
      </c>
      <c r="B2120" t="s">
        <v>4833</v>
      </c>
      <c r="C2120" t="s">
        <v>4896</v>
      </c>
      <c r="D2120" t="s">
        <v>4897</v>
      </c>
      <c r="E2120" t="s">
        <v>45</v>
      </c>
      <c r="F2120" t="s">
        <v>4851</v>
      </c>
      <c r="G2120" t="s">
        <v>4898</v>
      </c>
      <c r="H2120" t="str">
        <f>'Huong dan giao do an'!$B$14</f>
        <v>5 SV (vai trò chính): 1 PM/Scrum Master kiêm Integration; 2 BA/PO; 3 UI-UX + Frontend; 4 Backend/API + DevOps; 5 Database + QA/Tester. Mỗi SV có nhiệm vụ phụ và minh chứng cá nhân.</v>
      </c>
      <c r="I2120" t="s">
        <v>22</v>
      </c>
      <c r="J2120" t="s">
        <v>4838</v>
      </c>
      <c r="K2120" t="str">
        <f>IF(I2120="Trung bình",'Huong dan giao do an'!$B$8,IF(I2120="Khá",'Huong dan giao do an'!$B$9,'Huong dan giao do an'!$B$10))</f>
        <v>Tối thiểu 4 actor; 10-14 use case; 8-12 bảng; 3 quy trình lõi; phân quyền chi tiết; 2 báo cáo; tích hợp 1 dịch vụ; &gt;=35 test case; CI/CD hoặc deploy cloud.</v>
      </c>
      <c r="L2120" t="str">
        <f>'Huong dan giao do an'!$B$31</f>
        <v>Bắt buộc: Charter/PMP; SRS + scope/WBS; Gantt/baseline; effort-cost budget; RACI/timesheet; quality-test-defect; communication/minutes; risk register; procurement; change log; closure/lessons learned.</v>
      </c>
      <c r="M2120" t="str">
        <f>'Huong dan giao do an'!$B$33</f>
        <v>Tuần 1: 07.09–13.09.2026; Tuần 2: 14.09–20.09.2026; Tuần 3: 21.09–27.09.2026; Tuần 4: 28.09–04.10.2026; Tuần 5: 05.10–11.10.2026; Tuần 6: 12.10–18.10.2026; Tuần 7: 19.10–25.10.2026; Tuần 8: 26.10–01.11.2026.</v>
      </c>
      <c r="N21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0" s="17" t="str">
        <f t="shared" si="33"/>
        <v>Còn trống</v>
      </c>
    </row>
    <row r="2121" spans="1:16" x14ac:dyDescent="0.3">
      <c r="A2121">
        <v>2120</v>
      </c>
      <c r="B2121" t="s">
        <v>4833</v>
      </c>
      <c r="C2121" t="s">
        <v>4899</v>
      </c>
      <c r="D2121" t="s">
        <v>4900</v>
      </c>
      <c r="E2121" t="s">
        <v>19</v>
      </c>
      <c r="F2121" t="s">
        <v>4855</v>
      </c>
      <c r="G2121" t="s">
        <v>4901</v>
      </c>
      <c r="H2121" t="str">
        <f>'Huong dan giao do an'!$B$14</f>
        <v>5 SV (vai trò chính): 1 PM/Scrum Master kiêm Integration; 2 BA/PO; 3 UI-UX + Frontend; 4 Backend/API + DevOps; 5 Database + QA/Tester. Mỗi SV có nhiệm vụ phụ và minh chứng cá nhân.</v>
      </c>
      <c r="I2121" t="s">
        <v>29</v>
      </c>
      <c r="J2121" t="s">
        <v>4843</v>
      </c>
      <c r="K2121" t="str">
        <f>IF(I2121="Trung bình",'Huong dan giao do an'!$B$8,IF(I2121="Khá",'Huong dan giao do an'!$B$9,'Huong dan giao do an'!$B$10))</f>
        <v>Tối thiểu 5 actor; 14-18 use case; 10-15 bảng; 4 quy trình; tích hợp ngoài/realtime hoặc xử lý nâng cao; 3 báo cáo; &gt;=45 test case; logging, backup và deploy.</v>
      </c>
      <c r="L2121" t="str">
        <f>'Huong dan giao do an'!$B$31</f>
        <v>Bắt buộc: Charter/PMP; SRS + scope/WBS; Gantt/baseline; effort-cost budget; RACI/timesheet; quality-test-defect; communication/minutes; risk register; procurement; change log; closure/lessons learned.</v>
      </c>
      <c r="M2121" t="str">
        <f>'Huong dan giao do an'!$B$33</f>
        <v>Tuần 1: 07.09–13.09.2026; Tuần 2: 14.09–20.09.2026; Tuần 3: 21.09–27.09.2026; Tuần 4: 28.09–04.10.2026; Tuần 5: 05.10–11.10.2026; Tuần 6: 12.10–18.10.2026; Tuần 7: 19.10–25.10.2026; Tuần 8: 26.10–01.11.2026.</v>
      </c>
      <c r="N21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1" s="17" t="str">
        <f t="shared" si="33"/>
        <v>Còn trống</v>
      </c>
    </row>
    <row r="2122" spans="1:16" x14ac:dyDescent="0.3">
      <c r="A2122">
        <v>2121</v>
      </c>
      <c r="B2122" t="s">
        <v>4833</v>
      </c>
      <c r="C2122" t="s">
        <v>4902</v>
      </c>
      <c r="D2122" t="s">
        <v>4903</v>
      </c>
      <c r="E2122" t="s">
        <v>26</v>
      </c>
      <c r="F2122" t="s">
        <v>4836</v>
      </c>
      <c r="G2122" t="s">
        <v>4837</v>
      </c>
      <c r="H2122" t="str">
        <f>'Huong dan giao do an'!$B$14</f>
        <v>5 SV (vai trò chính): 1 PM/Scrum Master kiêm Integration; 2 BA/PO; 3 UI-UX + Frontend; 4 Backend/API + DevOps; 5 Database + QA/Tester. Mỗi SV có nhiệm vụ phụ và minh chứng cá nhân.</v>
      </c>
      <c r="I2122" t="s">
        <v>22</v>
      </c>
      <c r="J2122" t="s">
        <v>4838</v>
      </c>
      <c r="K2122" t="str">
        <f>IF(I2122="Trung bình",'Huong dan giao do an'!$B$8,IF(I2122="Khá",'Huong dan giao do an'!$B$9,'Huong dan giao do an'!$B$10))</f>
        <v>Tối thiểu 4 actor; 10-14 use case; 8-12 bảng; 3 quy trình lõi; phân quyền chi tiết; 2 báo cáo; tích hợp 1 dịch vụ; &gt;=35 test case; CI/CD hoặc deploy cloud.</v>
      </c>
      <c r="L2122" t="str">
        <f>'Huong dan giao do an'!$B$31</f>
        <v>Bắt buộc: Charter/PMP; SRS + scope/WBS; Gantt/baseline; effort-cost budget; RACI/timesheet; quality-test-defect; communication/minutes; risk register; procurement; change log; closure/lessons learned.</v>
      </c>
      <c r="M2122" t="str">
        <f>'Huong dan giao do an'!$B$33</f>
        <v>Tuần 1: 07.09–13.09.2026; Tuần 2: 14.09–20.09.2026; Tuần 3: 21.09–27.09.2026; Tuần 4: 28.09–04.10.2026; Tuần 5: 05.10–11.10.2026; Tuần 6: 12.10–18.10.2026; Tuần 7: 19.10–25.10.2026; Tuần 8: 26.10–01.11.2026.</v>
      </c>
      <c r="N21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2" s="17" t="str">
        <f t="shared" si="33"/>
        <v>Còn trống</v>
      </c>
    </row>
    <row r="2123" spans="1:16" x14ac:dyDescent="0.3">
      <c r="A2123">
        <v>2122</v>
      </c>
      <c r="B2123" t="s">
        <v>4833</v>
      </c>
      <c r="C2123" t="s">
        <v>4904</v>
      </c>
      <c r="D2123" t="s">
        <v>4905</v>
      </c>
      <c r="E2123" t="s">
        <v>33</v>
      </c>
      <c r="F2123" t="s">
        <v>4841</v>
      </c>
      <c r="G2123" t="s">
        <v>4842</v>
      </c>
      <c r="H2123" t="str">
        <f>'Huong dan giao do an'!$B$14</f>
        <v>5 SV (vai trò chính): 1 PM/Scrum Master kiêm Integration; 2 BA/PO; 3 UI-UX + Frontend; 4 Backend/API + DevOps; 5 Database + QA/Tester. Mỗi SV có nhiệm vụ phụ và minh chứng cá nhân.</v>
      </c>
      <c r="I2123" t="s">
        <v>29</v>
      </c>
      <c r="J2123" t="s">
        <v>4843</v>
      </c>
      <c r="K2123" t="str">
        <f>IF(I2123="Trung bình",'Huong dan giao do an'!$B$8,IF(I2123="Khá",'Huong dan giao do an'!$B$9,'Huong dan giao do an'!$B$10))</f>
        <v>Tối thiểu 5 actor; 14-18 use case; 10-15 bảng; 4 quy trình; tích hợp ngoài/realtime hoặc xử lý nâng cao; 3 báo cáo; &gt;=45 test case; logging, backup và deploy.</v>
      </c>
      <c r="L2123" t="str">
        <f>'Huong dan giao do an'!$B$31</f>
        <v>Bắt buộc: Charter/PMP; SRS + scope/WBS; Gantt/baseline; effort-cost budget; RACI/timesheet; quality-test-defect; communication/minutes; risk register; procurement; change log; closure/lessons learned.</v>
      </c>
      <c r="M2123" t="str">
        <f>'Huong dan giao do an'!$B$33</f>
        <v>Tuần 1: 07.09–13.09.2026; Tuần 2: 14.09–20.09.2026; Tuần 3: 21.09–27.09.2026; Tuần 4: 28.09–04.10.2026; Tuần 5: 05.10–11.10.2026; Tuần 6: 12.10–18.10.2026; Tuần 7: 19.10–25.10.2026; Tuần 8: 26.10–01.11.2026.</v>
      </c>
      <c r="N21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3" s="17" t="str">
        <f t="shared" si="33"/>
        <v>Còn trống</v>
      </c>
    </row>
    <row r="2124" spans="1:16" x14ac:dyDescent="0.3">
      <c r="A2124">
        <v>2123</v>
      </c>
      <c r="B2124" t="s">
        <v>4833</v>
      </c>
      <c r="C2124" t="s">
        <v>4906</v>
      </c>
      <c r="D2124" t="s">
        <v>4907</v>
      </c>
      <c r="E2124" t="s">
        <v>40</v>
      </c>
      <c r="F2124" t="s">
        <v>4846</v>
      </c>
      <c r="G2124" t="s">
        <v>4847</v>
      </c>
      <c r="H2124" t="str">
        <f>'Huong dan giao do an'!$B$14</f>
        <v>5 SV (vai trò chính): 1 PM/Scrum Master kiêm Integration; 2 BA/PO; 3 UI-UX + Frontend; 4 Backend/API + DevOps; 5 Database + QA/Tester. Mỗi SV có nhiệm vụ phụ và minh chứng cá nhân.</v>
      </c>
      <c r="I2124" t="s">
        <v>36</v>
      </c>
      <c r="J2124" t="s">
        <v>4848</v>
      </c>
      <c r="K2124" t="str">
        <f>IF(I2124="Trung bình",'Huong dan giao do an'!$B$8,IF(I2124="Khá",'Huong dan giao do an'!$B$9,'Huong dan giao do an'!$B$10))</f>
        <v>Tối thiểu 3 actor; 8-10 use case; 6-8 bảng dữ liệu; 2 quy trình lõi; đăng nhập/RBAC; 1 dashboard; 1 báo cáo; &gt;=25 test case; triển khai bản demo.</v>
      </c>
      <c r="L2124" t="str">
        <f>'Huong dan giao do an'!$B$31</f>
        <v>Bắt buộc: Charter/PMP; SRS + scope/WBS; Gantt/baseline; effort-cost budget; RACI/timesheet; quality-test-defect; communication/minutes; risk register; procurement; change log; closure/lessons learned.</v>
      </c>
      <c r="M2124" t="str">
        <f>'Huong dan giao do an'!$B$33</f>
        <v>Tuần 1: 07.09–13.09.2026; Tuần 2: 14.09–20.09.2026; Tuần 3: 21.09–27.09.2026; Tuần 4: 28.09–04.10.2026; Tuần 5: 05.10–11.10.2026; Tuần 6: 12.10–18.10.2026; Tuần 7: 19.10–25.10.2026; Tuần 8: 26.10–01.11.2026.</v>
      </c>
      <c r="N21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4" s="17" t="str">
        <f t="shared" si="33"/>
        <v>Còn trống</v>
      </c>
    </row>
    <row r="2125" spans="1:16" x14ac:dyDescent="0.3">
      <c r="A2125">
        <v>2124</v>
      </c>
      <c r="B2125" t="s">
        <v>4833</v>
      </c>
      <c r="C2125" t="s">
        <v>4908</v>
      </c>
      <c r="D2125" t="s">
        <v>4909</v>
      </c>
      <c r="E2125" t="s">
        <v>45</v>
      </c>
      <c r="F2125" t="s">
        <v>4851</v>
      </c>
      <c r="G2125" t="s">
        <v>4852</v>
      </c>
      <c r="H2125" t="str">
        <f>'Huong dan giao do an'!$B$14</f>
        <v>5 SV (vai trò chính): 1 PM/Scrum Master kiêm Integration; 2 BA/PO; 3 UI-UX + Frontend; 4 Backend/API + DevOps; 5 Database + QA/Tester. Mỗi SV có nhiệm vụ phụ và minh chứng cá nhân.</v>
      </c>
      <c r="I2125" t="s">
        <v>22</v>
      </c>
      <c r="J2125" t="s">
        <v>4838</v>
      </c>
      <c r="K2125" t="str">
        <f>IF(I2125="Trung bình",'Huong dan giao do an'!$B$8,IF(I2125="Khá",'Huong dan giao do an'!$B$9,'Huong dan giao do an'!$B$10))</f>
        <v>Tối thiểu 4 actor; 10-14 use case; 8-12 bảng; 3 quy trình lõi; phân quyền chi tiết; 2 báo cáo; tích hợp 1 dịch vụ; &gt;=35 test case; CI/CD hoặc deploy cloud.</v>
      </c>
      <c r="L2125" t="str">
        <f>'Huong dan giao do an'!$B$31</f>
        <v>Bắt buộc: Charter/PMP; SRS + scope/WBS; Gantt/baseline; effort-cost budget; RACI/timesheet; quality-test-defect; communication/minutes; risk register; procurement; change log; closure/lessons learned.</v>
      </c>
      <c r="M2125" t="str">
        <f>'Huong dan giao do an'!$B$33</f>
        <v>Tuần 1: 07.09–13.09.2026; Tuần 2: 14.09–20.09.2026; Tuần 3: 21.09–27.09.2026; Tuần 4: 28.09–04.10.2026; Tuần 5: 05.10–11.10.2026; Tuần 6: 12.10–18.10.2026; Tuần 7: 19.10–25.10.2026; Tuần 8: 26.10–01.11.2026.</v>
      </c>
      <c r="N21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5" s="17" t="str">
        <f t="shared" si="33"/>
        <v>Còn trống</v>
      </c>
    </row>
    <row r="2126" spans="1:16" x14ac:dyDescent="0.3">
      <c r="A2126">
        <v>2125</v>
      </c>
      <c r="B2126" t="s">
        <v>4833</v>
      </c>
      <c r="C2126" t="s">
        <v>4910</v>
      </c>
      <c r="D2126" t="s">
        <v>4911</v>
      </c>
      <c r="E2126" t="s">
        <v>19</v>
      </c>
      <c r="F2126" t="s">
        <v>4855</v>
      </c>
      <c r="G2126" t="s">
        <v>4856</v>
      </c>
      <c r="H2126" t="str">
        <f>'Huong dan giao do an'!$B$14</f>
        <v>5 SV (vai trò chính): 1 PM/Scrum Master kiêm Integration; 2 BA/PO; 3 UI-UX + Frontend; 4 Backend/API + DevOps; 5 Database + QA/Tester. Mỗi SV có nhiệm vụ phụ và minh chứng cá nhân.</v>
      </c>
      <c r="I2126" t="s">
        <v>29</v>
      </c>
      <c r="J2126" t="s">
        <v>4843</v>
      </c>
      <c r="K2126" t="str">
        <f>IF(I2126="Trung bình",'Huong dan giao do an'!$B$8,IF(I2126="Khá",'Huong dan giao do an'!$B$9,'Huong dan giao do an'!$B$10))</f>
        <v>Tối thiểu 5 actor; 14-18 use case; 10-15 bảng; 4 quy trình; tích hợp ngoài/realtime hoặc xử lý nâng cao; 3 báo cáo; &gt;=45 test case; logging, backup và deploy.</v>
      </c>
      <c r="L2126" t="str">
        <f>'Huong dan giao do an'!$B$31</f>
        <v>Bắt buộc: Charter/PMP; SRS + scope/WBS; Gantt/baseline; effort-cost budget; RACI/timesheet; quality-test-defect; communication/minutes; risk register; procurement; change log; closure/lessons learned.</v>
      </c>
      <c r="M2126" t="str">
        <f>'Huong dan giao do an'!$B$33</f>
        <v>Tuần 1: 07.09–13.09.2026; Tuần 2: 14.09–20.09.2026; Tuần 3: 21.09–27.09.2026; Tuần 4: 28.09–04.10.2026; Tuần 5: 05.10–11.10.2026; Tuần 6: 12.10–18.10.2026; Tuần 7: 19.10–25.10.2026; Tuần 8: 26.10–01.11.2026.</v>
      </c>
      <c r="N21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6" s="17" t="str">
        <f t="shared" si="33"/>
        <v>Còn trống</v>
      </c>
    </row>
    <row r="2127" spans="1:16" x14ac:dyDescent="0.3">
      <c r="A2127">
        <v>2126</v>
      </c>
      <c r="B2127" t="s">
        <v>4833</v>
      </c>
      <c r="C2127" t="s">
        <v>4912</v>
      </c>
      <c r="D2127" t="s">
        <v>4913</v>
      </c>
      <c r="E2127" t="s">
        <v>26</v>
      </c>
      <c r="F2127" t="s">
        <v>4836</v>
      </c>
      <c r="G2127" t="s">
        <v>4859</v>
      </c>
      <c r="H2127" t="str">
        <f>'Huong dan giao do an'!$B$14</f>
        <v>5 SV (vai trò chính): 1 PM/Scrum Master kiêm Integration; 2 BA/PO; 3 UI-UX + Frontend; 4 Backend/API + DevOps; 5 Database + QA/Tester. Mỗi SV có nhiệm vụ phụ và minh chứng cá nhân.</v>
      </c>
      <c r="I2127" t="s">
        <v>36</v>
      </c>
      <c r="J2127" t="s">
        <v>4848</v>
      </c>
      <c r="K2127" t="str">
        <f>IF(I2127="Trung bình",'Huong dan giao do an'!$B$8,IF(I2127="Khá",'Huong dan giao do an'!$B$9,'Huong dan giao do an'!$B$10))</f>
        <v>Tối thiểu 3 actor; 8-10 use case; 6-8 bảng dữ liệu; 2 quy trình lõi; đăng nhập/RBAC; 1 dashboard; 1 báo cáo; &gt;=25 test case; triển khai bản demo.</v>
      </c>
      <c r="L2127" t="str">
        <f>'Huong dan giao do an'!$B$31</f>
        <v>Bắt buộc: Charter/PMP; SRS + scope/WBS; Gantt/baseline; effort-cost budget; RACI/timesheet; quality-test-defect; communication/minutes; risk register; procurement; change log; closure/lessons learned.</v>
      </c>
      <c r="M2127" t="str">
        <f>'Huong dan giao do an'!$B$33</f>
        <v>Tuần 1: 07.09–13.09.2026; Tuần 2: 14.09–20.09.2026; Tuần 3: 21.09–27.09.2026; Tuần 4: 28.09–04.10.2026; Tuần 5: 05.10–11.10.2026; Tuần 6: 12.10–18.10.2026; Tuần 7: 19.10–25.10.2026; Tuần 8: 26.10–01.11.2026.</v>
      </c>
      <c r="N21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7" s="17" t="str">
        <f t="shared" si="33"/>
        <v>Còn trống</v>
      </c>
    </row>
    <row r="2128" spans="1:16" x14ac:dyDescent="0.3">
      <c r="A2128">
        <v>2127</v>
      </c>
      <c r="B2128" t="s">
        <v>4833</v>
      </c>
      <c r="C2128" t="s">
        <v>4914</v>
      </c>
      <c r="D2128" t="s">
        <v>4915</v>
      </c>
      <c r="E2128" t="s">
        <v>33</v>
      </c>
      <c r="F2128" t="s">
        <v>4841</v>
      </c>
      <c r="G2128" t="s">
        <v>4862</v>
      </c>
      <c r="H2128" t="str">
        <f>'Huong dan giao do an'!$B$14</f>
        <v>5 SV (vai trò chính): 1 PM/Scrum Master kiêm Integration; 2 BA/PO; 3 UI-UX + Frontend; 4 Backend/API + DevOps; 5 Database + QA/Tester. Mỗi SV có nhiệm vụ phụ và minh chứng cá nhân.</v>
      </c>
      <c r="I2128" t="s">
        <v>22</v>
      </c>
      <c r="J2128" t="s">
        <v>4838</v>
      </c>
      <c r="K2128" t="str">
        <f>IF(I2128="Trung bình",'Huong dan giao do an'!$B$8,IF(I2128="Khá",'Huong dan giao do an'!$B$9,'Huong dan giao do an'!$B$10))</f>
        <v>Tối thiểu 4 actor; 10-14 use case; 8-12 bảng; 3 quy trình lõi; phân quyền chi tiết; 2 báo cáo; tích hợp 1 dịch vụ; &gt;=35 test case; CI/CD hoặc deploy cloud.</v>
      </c>
      <c r="L2128" t="str">
        <f>'Huong dan giao do an'!$B$31</f>
        <v>Bắt buộc: Charter/PMP; SRS + scope/WBS; Gantt/baseline; effort-cost budget; RACI/timesheet; quality-test-defect; communication/minutes; risk register; procurement; change log; closure/lessons learned.</v>
      </c>
      <c r="M2128" t="str">
        <f>'Huong dan giao do an'!$B$33</f>
        <v>Tuần 1: 07.09–13.09.2026; Tuần 2: 14.09–20.09.2026; Tuần 3: 21.09–27.09.2026; Tuần 4: 28.09–04.10.2026; Tuần 5: 05.10–11.10.2026; Tuần 6: 12.10–18.10.2026; Tuần 7: 19.10–25.10.2026; Tuần 8: 26.10–01.11.2026.</v>
      </c>
      <c r="N21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8" s="17" t="str">
        <f t="shared" si="33"/>
        <v>Còn trống</v>
      </c>
    </row>
    <row r="2129" spans="1:16" x14ac:dyDescent="0.3">
      <c r="A2129">
        <v>2128</v>
      </c>
      <c r="B2129" t="s">
        <v>4833</v>
      </c>
      <c r="C2129" t="s">
        <v>4916</v>
      </c>
      <c r="D2129" t="s">
        <v>4917</v>
      </c>
      <c r="E2129" t="s">
        <v>40</v>
      </c>
      <c r="F2129" t="s">
        <v>4846</v>
      </c>
      <c r="G2129" t="s">
        <v>4865</v>
      </c>
      <c r="H2129" t="str">
        <f>'Huong dan giao do an'!$B$14</f>
        <v>5 SV (vai trò chính): 1 PM/Scrum Master kiêm Integration; 2 BA/PO; 3 UI-UX + Frontend; 4 Backend/API + DevOps; 5 Database + QA/Tester. Mỗi SV có nhiệm vụ phụ và minh chứng cá nhân.</v>
      </c>
      <c r="I2129" t="s">
        <v>29</v>
      </c>
      <c r="J2129" t="s">
        <v>4843</v>
      </c>
      <c r="K2129" t="str">
        <f>IF(I2129="Trung bình",'Huong dan giao do an'!$B$8,IF(I2129="Khá",'Huong dan giao do an'!$B$9,'Huong dan giao do an'!$B$10))</f>
        <v>Tối thiểu 5 actor; 14-18 use case; 10-15 bảng; 4 quy trình; tích hợp ngoài/realtime hoặc xử lý nâng cao; 3 báo cáo; &gt;=45 test case; logging, backup và deploy.</v>
      </c>
      <c r="L2129" t="str">
        <f>'Huong dan giao do an'!$B$31</f>
        <v>Bắt buộc: Charter/PMP; SRS + scope/WBS; Gantt/baseline; effort-cost budget; RACI/timesheet; quality-test-defect; communication/minutes; risk register; procurement; change log; closure/lessons learned.</v>
      </c>
      <c r="M2129" t="str">
        <f>'Huong dan giao do an'!$B$33</f>
        <v>Tuần 1: 07.09–13.09.2026; Tuần 2: 14.09–20.09.2026; Tuần 3: 21.09–27.09.2026; Tuần 4: 28.09–04.10.2026; Tuần 5: 05.10–11.10.2026; Tuần 6: 12.10–18.10.2026; Tuần 7: 19.10–25.10.2026; Tuần 8: 26.10–01.11.2026.</v>
      </c>
      <c r="N21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29" s="17" t="str">
        <f t="shared" si="33"/>
        <v>Còn trống</v>
      </c>
    </row>
    <row r="2130" spans="1:16" x14ac:dyDescent="0.3">
      <c r="A2130">
        <v>2129</v>
      </c>
      <c r="B2130" t="s">
        <v>4833</v>
      </c>
      <c r="C2130" t="s">
        <v>4918</v>
      </c>
      <c r="D2130" t="s">
        <v>4919</v>
      </c>
      <c r="E2130" t="s">
        <v>45</v>
      </c>
      <c r="F2130" t="s">
        <v>4851</v>
      </c>
      <c r="G2130" t="s">
        <v>4868</v>
      </c>
      <c r="H2130" t="str">
        <f>'Huong dan giao do an'!$B$14</f>
        <v>5 SV (vai trò chính): 1 PM/Scrum Master kiêm Integration; 2 BA/PO; 3 UI-UX + Frontend; 4 Backend/API + DevOps; 5 Database + QA/Tester. Mỗi SV có nhiệm vụ phụ và minh chứng cá nhân.</v>
      </c>
      <c r="I2130" t="s">
        <v>36</v>
      </c>
      <c r="J2130" t="s">
        <v>4848</v>
      </c>
      <c r="K2130" t="str">
        <f>IF(I2130="Trung bình",'Huong dan giao do an'!$B$8,IF(I2130="Khá",'Huong dan giao do an'!$B$9,'Huong dan giao do an'!$B$10))</f>
        <v>Tối thiểu 3 actor; 8-10 use case; 6-8 bảng dữ liệu; 2 quy trình lõi; đăng nhập/RBAC; 1 dashboard; 1 báo cáo; &gt;=25 test case; triển khai bản demo.</v>
      </c>
      <c r="L2130" t="str">
        <f>'Huong dan giao do an'!$B$31</f>
        <v>Bắt buộc: Charter/PMP; SRS + scope/WBS; Gantt/baseline; effort-cost budget; RACI/timesheet; quality-test-defect; communication/minutes; risk register; procurement; change log; closure/lessons learned.</v>
      </c>
      <c r="M2130" t="str">
        <f>'Huong dan giao do an'!$B$33</f>
        <v>Tuần 1: 07.09–13.09.2026; Tuần 2: 14.09–20.09.2026; Tuần 3: 21.09–27.09.2026; Tuần 4: 28.09–04.10.2026; Tuần 5: 05.10–11.10.2026; Tuần 6: 12.10–18.10.2026; Tuần 7: 19.10–25.10.2026; Tuần 8: 26.10–01.11.2026.</v>
      </c>
      <c r="N21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0" s="17" t="str">
        <f t="shared" si="33"/>
        <v>Còn trống</v>
      </c>
    </row>
    <row r="2131" spans="1:16" x14ac:dyDescent="0.3">
      <c r="A2131">
        <v>2130</v>
      </c>
      <c r="B2131" t="s">
        <v>4833</v>
      </c>
      <c r="C2131" t="s">
        <v>4920</v>
      </c>
      <c r="D2131" t="s">
        <v>4921</v>
      </c>
      <c r="E2131" t="s">
        <v>19</v>
      </c>
      <c r="F2131" t="s">
        <v>4855</v>
      </c>
      <c r="G2131" t="s">
        <v>4871</v>
      </c>
      <c r="H2131" t="str">
        <f>'Huong dan giao do an'!$B$14</f>
        <v>5 SV (vai trò chính): 1 PM/Scrum Master kiêm Integration; 2 BA/PO; 3 UI-UX + Frontend; 4 Backend/API + DevOps; 5 Database + QA/Tester. Mỗi SV có nhiệm vụ phụ và minh chứng cá nhân.</v>
      </c>
      <c r="I2131" t="s">
        <v>22</v>
      </c>
      <c r="J2131" t="s">
        <v>4838</v>
      </c>
      <c r="K2131" t="str">
        <f>IF(I2131="Trung bình",'Huong dan giao do an'!$B$8,IF(I2131="Khá",'Huong dan giao do an'!$B$9,'Huong dan giao do an'!$B$10))</f>
        <v>Tối thiểu 4 actor; 10-14 use case; 8-12 bảng; 3 quy trình lõi; phân quyền chi tiết; 2 báo cáo; tích hợp 1 dịch vụ; &gt;=35 test case; CI/CD hoặc deploy cloud.</v>
      </c>
      <c r="L2131" t="str">
        <f>'Huong dan giao do an'!$B$31</f>
        <v>Bắt buộc: Charter/PMP; SRS + scope/WBS; Gantt/baseline; effort-cost budget; RACI/timesheet; quality-test-defect; communication/minutes; risk register; procurement; change log; closure/lessons learned.</v>
      </c>
      <c r="M2131" t="str">
        <f>'Huong dan giao do an'!$B$33</f>
        <v>Tuần 1: 07.09–13.09.2026; Tuần 2: 14.09–20.09.2026; Tuần 3: 21.09–27.09.2026; Tuần 4: 28.09–04.10.2026; Tuần 5: 05.10–11.10.2026; Tuần 6: 12.10–18.10.2026; Tuần 7: 19.10–25.10.2026; Tuần 8: 26.10–01.11.2026.</v>
      </c>
      <c r="N21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1" s="17" t="str">
        <f t="shared" si="33"/>
        <v>Còn trống</v>
      </c>
    </row>
    <row r="2132" spans="1:16" x14ac:dyDescent="0.3">
      <c r="A2132">
        <v>2131</v>
      </c>
      <c r="B2132" t="s">
        <v>4833</v>
      </c>
      <c r="C2132" t="s">
        <v>4922</v>
      </c>
      <c r="D2132" t="s">
        <v>4923</v>
      </c>
      <c r="E2132" t="s">
        <v>26</v>
      </c>
      <c r="F2132" t="s">
        <v>4836</v>
      </c>
      <c r="G2132" t="s">
        <v>4874</v>
      </c>
      <c r="H2132" t="str">
        <f>'Huong dan giao do an'!$B$14</f>
        <v>5 SV (vai trò chính): 1 PM/Scrum Master kiêm Integration; 2 BA/PO; 3 UI-UX + Frontend; 4 Backend/API + DevOps; 5 Database + QA/Tester. Mỗi SV có nhiệm vụ phụ và minh chứng cá nhân.</v>
      </c>
      <c r="I2132" t="s">
        <v>29</v>
      </c>
      <c r="J2132" t="s">
        <v>4843</v>
      </c>
      <c r="K2132" t="str">
        <f>IF(I2132="Trung bình",'Huong dan giao do an'!$B$8,IF(I2132="Khá",'Huong dan giao do an'!$B$9,'Huong dan giao do an'!$B$10))</f>
        <v>Tối thiểu 5 actor; 14-18 use case; 10-15 bảng; 4 quy trình; tích hợp ngoài/realtime hoặc xử lý nâng cao; 3 báo cáo; &gt;=45 test case; logging, backup và deploy.</v>
      </c>
      <c r="L2132" t="str">
        <f>'Huong dan giao do an'!$B$31</f>
        <v>Bắt buộc: Charter/PMP; SRS + scope/WBS; Gantt/baseline; effort-cost budget; RACI/timesheet; quality-test-defect; communication/minutes; risk register; procurement; change log; closure/lessons learned.</v>
      </c>
      <c r="M2132" t="str">
        <f>'Huong dan giao do an'!$B$33</f>
        <v>Tuần 1: 07.09–13.09.2026; Tuần 2: 14.09–20.09.2026; Tuần 3: 21.09–27.09.2026; Tuần 4: 28.09–04.10.2026; Tuần 5: 05.10–11.10.2026; Tuần 6: 12.10–18.10.2026; Tuần 7: 19.10–25.10.2026; Tuần 8: 26.10–01.11.2026.</v>
      </c>
      <c r="N21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2" s="17" t="str">
        <f t="shared" si="33"/>
        <v>Còn trống</v>
      </c>
    </row>
    <row r="2133" spans="1:16" x14ac:dyDescent="0.3">
      <c r="A2133">
        <v>2132</v>
      </c>
      <c r="B2133" t="s">
        <v>4833</v>
      </c>
      <c r="C2133" t="s">
        <v>4924</v>
      </c>
      <c r="D2133" t="s">
        <v>4925</v>
      </c>
      <c r="E2133" t="s">
        <v>33</v>
      </c>
      <c r="F2133" t="s">
        <v>4841</v>
      </c>
      <c r="G2133" t="s">
        <v>4877</v>
      </c>
      <c r="H2133" t="str">
        <f>'Huong dan giao do an'!$B$14</f>
        <v>5 SV (vai trò chính): 1 PM/Scrum Master kiêm Integration; 2 BA/PO; 3 UI-UX + Frontend; 4 Backend/API + DevOps; 5 Database + QA/Tester. Mỗi SV có nhiệm vụ phụ và minh chứng cá nhân.</v>
      </c>
      <c r="I2133" t="s">
        <v>36</v>
      </c>
      <c r="J2133" t="s">
        <v>4848</v>
      </c>
      <c r="K2133" t="str">
        <f>IF(I2133="Trung bình",'Huong dan giao do an'!$B$8,IF(I2133="Khá",'Huong dan giao do an'!$B$9,'Huong dan giao do an'!$B$10))</f>
        <v>Tối thiểu 3 actor; 8-10 use case; 6-8 bảng dữ liệu; 2 quy trình lõi; đăng nhập/RBAC; 1 dashboard; 1 báo cáo; &gt;=25 test case; triển khai bản demo.</v>
      </c>
      <c r="L2133" t="str">
        <f>'Huong dan giao do an'!$B$31</f>
        <v>Bắt buộc: Charter/PMP; SRS + scope/WBS; Gantt/baseline; effort-cost budget; RACI/timesheet; quality-test-defect; communication/minutes; risk register; procurement; change log; closure/lessons learned.</v>
      </c>
      <c r="M2133" t="str">
        <f>'Huong dan giao do an'!$B$33</f>
        <v>Tuần 1: 07.09–13.09.2026; Tuần 2: 14.09–20.09.2026; Tuần 3: 21.09–27.09.2026; Tuần 4: 28.09–04.10.2026; Tuần 5: 05.10–11.10.2026; Tuần 6: 12.10–18.10.2026; Tuần 7: 19.10–25.10.2026; Tuần 8: 26.10–01.11.2026.</v>
      </c>
      <c r="N21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3" s="17" t="str">
        <f t="shared" si="33"/>
        <v>Còn trống</v>
      </c>
    </row>
    <row r="2134" spans="1:16" x14ac:dyDescent="0.3">
      <c r="A2134">
        <v>2133</v>
      </c>
      <c r="B2134" t="s">
        <v>4833</v>
      </c>
      <c r="C2134" t="s">
        <v>4926</v>
      </c>
      <c r="D2134" t="s">
        <v>4927</v>
      </c>
      <c r="E2134" t="s">
        <v>40</v>
      </c>
      <c r="F2134" t="s">
        <v>4846</v>
      </c>
      <c r="G2134" t="s">
        <v>4880</v>
      </c>
      <c r="H2134" t="str">
        <f>'Huong dan giao do an'!$B$14</f>
        <v>5 SV (vai trò chính): 1 PM/Scrum Master kiêm Integration; 2 BA/PO; 3 UI-UX + Frontend; 4 Backend/API + DevOps; 5 Database + QA/Tester. Mỗi SV có nhiệm vụ phụ và minh chứng cá nhân.</v>
      </c>
      <c r="I2134" t="s">
        <v>22</v>
      </c>
      <c r="J2134" t="s">
        <v>4838</v>
      </c>
      <c r="K2134" t="str">
        <f>IF(I2134="Trung bình",'Huong dan giao do an'!$B$8,IF(I2134="Khá",'Huong dan giao do an'!$B$9,'Huong dan giao do an'!$B$10))</f>
        <v>Tối thiểu 4 actor; 10-14 use case; 8-12 bảng; 3 quy trình lõi; phân quyền chi tiết; 2 báo cáo; tích hợp 1 dịch vụ; &gt;=35 test case; CI/CD hoặc deploy cloud.</v>
      </c>
      <c r="L2134" t="str">
        <f>'Huong dan giao do an'!$B$31</f>
        <v>Bắt buộc: Charter/PMP; SRS + scope/WBS; Gantt/baseline; effort-cost budget; RACI/timesheet; quality-test-defect; communication/minutes; risk register; procurement; change log; closure/lessons learned.</v>
      </c>
      <c r="M2134" t="str">
        <f>'Huong dan giao do an'!$B$33</f>
        <v>Tuần 1: 07.09–13.09.2026; Tuần 2: 14.09–20.09.2026; Tuần 3: 21.09–27.09.2026; Tuần 4: 28.09–04.10.2026; Tuần 5: 05.10–11.10.2026; Tuần 6: 12.10–18.10.2026; Tuần 7: 19.10–25.10.2026; Tuần 8: 26.10–01.11.2026.</v>
      </c>
      <c r="N21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4" s="17" t="str">
        <f t="shared" si="33"/>
        <v>Còn trống</v>
      </c>
    </row>
    <row r="2135" spans="1:16" x14ac:dyDescent="0.3">
      <c r="A2135">
        <v>2134</v>
      </c>
      <c r="B2135" t="s">
        <v>4833</v>
      </c>
      <c r="C2135" t="s">
        <v>4928</v>
      </c>
      <c r="D2135" t="s">
        <v>4929</v>
      </c>
      <c r="E2135" t="s">
        <v>45</v>
      </c>
      <c r="F2135" t="s">
        <v>4851</v>
      </c>
      <c r="G2135" t="s">
        <v>4883</v>
      </c>
      <c r="H2135" t="str">
        <f>'Huong dan giao do an'!$B$14</f>
        <v>5 SV (vai trò chính): 1 PM/Scrum Master kiêm Integration; 2 BA/PO; 3 UI-UX + Frontend; 4 Backend/API + DevOps; 5 Database + QA/Tester. Mỗi SV có nhiệm vụ phụ và minh chứng cá nhân.</v>
      </c>
      <c r="I2135" t="s">
        <v>29</v>
      </c>
      <c r="J2135" t="s">
        <v>4843</v>
      </c>
      <c r="K2135" t="str">
        <f>IF(I2135="Trung bình",'Huong dan giao do an'!$B$8,IF(I2135="Khá",'Huong dan giao do an'!$B$9,'Huong dan giao do an'!$B$10))</f>
        <v>Tối thiểu 5 actor; 14-18 use case; 10-15 bảng; 4 quy trình; tích hợp ngoài/realtime hoặc xử lý nâng cao; 3 báo cáo; &gt;=45 test case; logging, backup và deploy.</v>
      </c>
      <c r="L2135" t="str">
        <f>'Huong dan giao do an'!$B$31</f>
        <v>Bắt buộc: Charter/PMP; SRS + scope/WBS; Gantt/baseline; effort-cost budget; RACI/timesheet; quality-test-defect; communication/minutes; risk register; procurement; change log; closure/lessons learned.</v>
      </c>
      <c r="M2135" t="str">
        <f>'Huong dan giao do an'!$B$33</f>
        <v>Tuần 1: 07.09–13.09.2026; Tuần 2: 14.09–20.09.2026; Tuần 3: 21.09–27.09.2026; Tuần 4: 28.09–04.10.2026; Tuần 5: 05.10–11.10.2026; Tuần 6: 12.10–18.10.2026; Tuần 7: 19.10–25.10.2026; Tuần 8: 26.10–01.11.2026.</v>
      </c>
      <c r="N21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5" s="17" t="str">
        <f t="shared" si="33"/>
        <v>Còn trống</v>
      </c>
    </row>
    <row r="2136" spans="1:16" x14ac:dyDescent="0.3">
      <c r="A2136">
        <v>2135</v>
      </c>
      <c r="B2136" t="s">
        <v>4833</v>
      </c>
      <c r="C2136" t="s">
        <v>4930</v>
      </c>
      <c r="D2136" t="s">
        <v>4931</v>
      </c>
      <c r="E2136" t="s">
        <v>19</v>
      </c>
      <c r="F2136" t="s">
        <v>4855</v>
      </c>
      <c r="G2136" t="s">
        <v>4886</v>
      </c>
      <c r="H2136" t="str">
        <f>'Huong dan giao do an'!$B$14</f>
        <v>5 SV (vai trò chính): 1 PM/Scrum Master kiêm Integration; 2 BA/PO; 3 UI-UX + Frontend; 4 Backend/API + DevOps; 5 Database + QA/Tester. Mỗi SV có nhiệm vụ phụ và minh chứng cá nhân.</v>
      </c>
      <c r="I2136" t="s">
        <v>36</v>
      </c>
      <c r="J2136" t="s">
        <v>4848</v>
      </c>
      <c r="K2136" t="str">
        <f>IF(I2136="Trung bình",'Huong dan giao do an'!$B$8,IF(I2136="Khá",'Huong dan giao do an'!$B$9,'Huong dan giao do an'!$B$10))</f>
        <v>Tối thiểu 3 actor; 8-10 use case; 6-8 bảng dữ liệu; 2 quy trình lõi; đăng nhập/RBAC; 1 dashboard; 1 báo cáo; &gt;=25 test case; triển khai bản demo.</v>
      </c>
      <c r="L2136" t="str">
        <f>'Huong dan giao do an'!$B$31</f>
        <v>Bắt buộc: Charter/PMP; SRS + scope/WBS; Gantt/baseline; effort-cost budget; RACI/timesheet; quality-test-defect; communication/minutes; risk register; procurement; change log; closure/lessons learned.</v>
      </c>
      <c r="M2136" t="str">
        <f>'Huong dan giao do an'!$B$33</f>
        <v>Tuần 1: 07.09–13.09.2026; Tuần 2: 14.09–20.09.2026; Tuần 3: 21.09–27.09.2026; Tuần 4: 28.09–04.10.2026; Tuần 5: 05.10–11.10.2026; Tuần 6: 12.10–18.10.2026; Tuần 7: 19.10–25.10.2026; Tuần 8: 26.10–01.11.2026.</v>
      </c>
      <c r="N21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6" s="17" t="str">
        <f t="shared" si="33"/>
        <v>Còn trống</v>
      </c>
    </row>
    <row r="2137" spans="1:16" x14ac:dyDescent="0.3">
      <c r="A2137">
        <v>2136</v>
      </c>
      <c r="B2137" t="s">
        <v>4833</v>
      </c>
      <c r="C2137" t="s">
        <v>4932</v>
      </c>
      <c r="D2137" t="s">
        <v>4933</v>
      </c>
      <c r="E2137" t="s">
        <v>26</v>
      </c>
      <c r="F2137" t="s">
        <v>4836</v>
      </c>
      <c r="G2137" t="s">
        <v>4889</v>
      </c>
      <c r="H2137" t="str">
        <f>'Huong dan giao do an'!$B$14</f>
        <v>5 SV (vai trò chính): 1 PM/Scrum Master kiêm Integration; 2 BA/PO; 3 UI-UX + Frontend; 4 Backend/API + DevOps; 5 Database + QA/Tester. Mỗi SV có nhiệm vụ phụ và minh chứng cá nhân.</v>
      </c>
      <c r="I2137" t="s">
        <v>22</v>
      </c>
      <c r="J2137" t="s">
        <v>4838</v>
      </c>
      <c r="K2137" t="str">
        <f>IF(I2137="Trung bình",'Huong dan giao do an'!$B$8,IF(I2137="Khá",'Huong dan giao do an'!$B$9,'Huong dan giao do an'!$B$10))</f>
        <v>Tối thiểu 4 actor; 10-14 use case; 8-12 bảng; 3 quy trình lõi; phân quyền chi tiết; 2 báo cáo; tích hợp 1 dịch vụ; &gt;=35 test case; CI/CD hoặc deploy cloud.</v>
      </c>
      <c r="L2137" t="str">
        <f>'Huong dan giao do an'!$B$31</f>
        <v>Bắt buộc: Charter/PMP; SRS + scope/WBS; Gantt/baseline; effort-cost budget; RACI/timesheet; quality-test-defect; communication/minutes; risk register; procurement; change log; closure/lessons learned.</v>
      </c>
      <c r="M2137" t="str">
        <f>'Huong dan giao do an'!$B$33</f>
        <v>Tuần 1: 07.09–13.09.2026; Tuần 2: 14.09–20.09.2026; Tuần 3: 21.09–27.09.2026; Tuần 4: 28.09–04.10.2026; Tuần 5: 05.10–11.10.2026; Tuần 6: 12.10–18.10.2026; Tuần 7: 19.10–25.10.2026; Tuần 8: 26.10–01.11.2026.</v>
      </c>
      <c r="N21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7" s="17" t="str">
        <f t="shared" si="33"/>
        <v>Còn trống</v>
      </c>
    </row>
    <row r="2138" spans="1:16" x14ac:dyDescent="0.3">
      <c r="A2138">
        <v>2137</v>
      </c>
      <c r="B2138" t="s">
        <v>4833</v>
      </c>
      <c r="C2138" t="s">
        <v>4934</v>
      </c>
      <c r="D2138" t="s">
        <v>4935</v>
      </c>
      <c r="E2138" t="s">
        <v>33</v>
      </c>
      <c r="F2138" t="s">
        <v>4841</v>
      </c>
      <c r="G2138" t="s">
        <v>4892</v>
      </c>
      <c r="H2138" t="str">
        <f>'Huong dan giao do an'!$B$14</f>
        <v>5 SV (vai trò chính): 1 PM/Scrum Master kiêm Integration; 2 BA/PO; 3 UI-UX + Frontend; 4 Backend/API + DevOps; 5 Database + QA/Tester. Mỗi SV có nhiệm vụ phụ và minh chứng cá nhân.</v>
      </c>
      <c r="I2138" t="s">
        <v>29</v>
      </c>
      <c r="J2138" t="s">
        <v>4843</v>
      </c>
      <c r="K2138" t="str">
        <f>IF(I2138="Trung bình",'Huong dan giao do an'!$B$8,IF(I2138="Khá",'Huong dan giao do an'!$B$9,'Huong dan giao do an'!$B$10))</f>
        <v>Tối thiểu 5 actor; 14-18 use case; 10-15 bảng; 4 quy trình; tích hợp ngoài/realtime hoặc xử lý nâng cao; 3 báo cáo; &gt;=45 test case; logging, backup và deploy.</v>
      </c>
      <c r="L2138" t="str">
        <f>'Huong dan giao do an'!$B$31</f>
        <v>Bắt buộc: Charter/PMP; SRS + scope/WBS; Gantt/baseline; effort-cost budget; RACI/timesheet; quality-test-defect; communication/minutes; risk register; procurement; change log; closure/lessons learned.</v>
      </c>
      <c r="M2138" t="str">
        <f>'Huong dan giao do an'!$B$33</f>
        <v>Tuần 1: 07.09–13.09.2026; Tuần 2: 14.09–20.09.2026; Tuần 3: 21.09–27.09.2026; Tuần 4: 28.09–04.10.2026; Tuần 5: 05.10–11.10.2026; Tuần 6: 12.10–18.10.2026; Tuần 7: 19.10–25.10.2026; Tuần 8: 26.10–01.11.2026.</v>
      </c>
      <c r="N21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8" s="17" t="str">
        <f t="shared" si="33"/>
        <v>Còn trống</v>
      </c>
    </row>
    <row r="2139" spans="1:16" x14ac:dyDescent="0.3">
      <c r="A2139">
        <v>2138</v>
      </c>
      <c r="B2139" t="s">
        <v>4833</v>
      </c>
      <c r="C2139" t="s">
        <v>4936</v>
      </c>
      <c r="D2139" t="s">
        <v>4937</v>
      </c>
      <c r="E2139" t="s">
        <v>40</v>
      </c>
      <c r="F2139" t="s">
        <v>4846</v>
      </c>
      <c r="G2139" t="s">
        <v>4895</v>
      </c>
      <c r="H2139" t="str">
        <f>'Huong dan giao do an'!$B$14</f>
        <v>5 SV (vai trò chính): 1 PM/Scrum Master kiêm Integration; 2 BA/PO; 3 UI-UX + Frontend; 4 Backend/API + DevOps; 5 Database + QA/Tester. Mỗi SV có nhiệm vụ phụ và minh chứng cá nhân.</v>
      </c>
      <c r="I2139" t="s">
        <v>36</v>
      </c>
      <c r="J2139" t="s">
        <v>4848</v>
      </c>
      <c r="K2139" t="str">
        <f>IF(I2139="Trung bình",'Huong dan giao do an'!$B$8,IF(I2139="Khá",'Huong dan giao do an'!$B$9,'Huong dan giao do an'!$B$10))</f>
        <v>Tối thiểu 3 actor; 8-10 use case; 6-8 bảng dữ liệu; 2 quy trình lõi; đăng nhập/RBAC; 1 dashboard; 1 báo cáo; &gt;=25 test case; triển khai bản demo.</v>
      </c>
      <c r="L2139" t="str">
        <f>'Huong dan giao do an'!$B$31</f>
        <v>Bắt buộc: Charter/PMP; SRS + scope/WBS; Gantt/baseline; effort-cost budget; RACI/timesheet; quality-test-defect; communication/minutes; risk register; procurement; change log; closure/lessons learned.</v>
      </c>
      <c r="M2139" t="str">
        <f>'Huong dan giao do an'!$B$33</f>
        <v>Tuần 1: 07.09–13.09.2026; Tuần 2: 14.09–20.09.2026; Tuần 3: 21.09–27.09.2026; Tuần 4: 28.09–04.10.2026; Tuần 5: 05.10–11.10.2026; Tuần 6: 12.10–18.10.2026; Tuần 7: 19.10–25.10.2026; Tuần 8: 26.10–01.11.2026.</v>
      </c>
      <c r="N21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39" s="17" t="str">
        <f t="shared" si="33"/>
        <v>Còn trống</v>
      </c>
    </row>
    <row r="2140" spans="1:16" x14ac:dyDescent="0.3">
      <c r="A2140">
        <v>2139</v>
      </c>
      <c r="B2140" t="s">
        <v>4833</v>
      </c>
      <c r="C2140" t="s">
        <v>4938</v>
      </c>
      <c r="D2140" t="s">
        <v>4939</v>
      </c>
      <c r="E2140" t="s">
        <v>45</v>
      </c>
      <c r="F2140" t="s">
        <v>4851</v>
      </c>
      <c r="G2140" t="s">
        <v>4898</v>
      </c>
      <c r="H2140" t="str">
        <f>'Huong dan giao do an'!$B$14</f>
        <v>5 SV (vai trò chính): 1 PM/Scrum Master kiêm Integration; 2 BA/PO; 3 UI-UX + Frontend; 4 Backend/API + DevOps; 5 Database + QA/Tester. Mỗi SV có nhiệm vụ phụ và minh chứng cá nhân.</v>
      </c>
      <c r="I2140" t="s">
        <v>22</v>
      </c>
      <c r="J2140" t="s">
        <v>4838</v>
      </c>
      <c r="K2140" t="str">
        <f>IF(I2140="Trung bình",'Huong dan giao do an'!$B$8,IF(I2140="Khá",'Huong dan giao do an'!$B$9,'Huong dan giao do an'!$B$10))</f>
        <v>Tối thiểu 4 actor; 10-14 use case; 8-12 bảng; 3 quy trình lõi; phân quyền chi tiết; 2 báo cáo; tích hợp 1 dịch vụ; &gt;=35 test case; CI/CD hoặc deploy cloud.</v>
      </c>
      <c r="L2140" t="str">
        <f>'Huong dan giao do an'!$B$31</f>
        <v>Bắt buộc: Charter/PMP; SRS + scope/WBS; Gantt/baseline; effort-cost budget; RACI/timesheet; quality-test-defect; communication/minutes; risk register; procurement; change log; closure/lessons learned.</v>
      </c>
      <c r="M2140" t="str">
        <f>'Huong dan giao do an'!$B$33</f>
        <v>Tuần 1: 07.09–13.09.2026; Tuần 2: 14.09–20.09.2026; Tuần 3: 21.09–27.09.2026; Tuần 4: 28.09–04.10.2026; Tuần 5: 05.10–11.10.2026; Tuần 6: 12.10–18.10.2026; Tuần 7: 19.10–25.10.2026; Tuần 8: 26.10–01.11.2026.</v>
      </c>
      <c r="N21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0" s="17" t="str">
        <f t="shared" si="33"/>
        <v>Còn trống</v>
      </c>
    </row>
    <row r="2141" spans="1:16" x14ac:dyDescent="0.3">
      <c r="A2141">
        <v>2140</v>
      </c>
      <c r="B2141" t="s">
        <v>4833</v>
      </c>
      <c r="C2141" t="s">
        <v>4940</v>
      </c>
      <c r="D2141" t="s">
        <v>4941</v>
      </c>
      <c r="E2141" t="s">
        <v>19</v>
      </c>
      <c r="F2141" t="s">
        <v>4855</v>
      </c>
      <c r="G2141" t="s">
        <v>4901</v>
      </c>
      <c r="H2141" t="str">
        <f>'Huong dan giao do an'!$B$14</f>
        <v>5 SV (vai trò chính): 1 PM/Scrum Master kiêm Integration; 2 BA/PO; 3 UI-UX + Frontend; 4 Backend/API + DevOps; 5 Database + QA/Tester. Mỗi SV có nhiệm vụ phụ và minh chứng cá nhân.</v>
      </c>
      <c r="I2141" t="s">
        <v>29</v>
      </c>
      <c r="J2141" t="s">
        <v>4843</v>
      </c>
      <c r="K2141" t="str">
        <f>IF(I2141="Trung bình",'Huong dan giao do an'!$B$8,IF(I2141="Khá",'Huong dan giao do an'!$B$9,'Huong dan giao do an'!$B$10))</f>
        <v>Tối thiểu 5 actor; 14-18 use case; 10-15 bảng; 4 quy trình; tích hợp ngoài/realtime hoặc xử lý nâng cao; 3 báo cáo; &gt;=45 test case; logging, backup và deploy.</v>
      </c>
      <c r="L2141" t="str">
        <f>'Huong dan giao do an'!$B$31</f>
        <v>Bắt buộc: Charter/PMP; SRS + scope/WBS; Gantt/baseline; effort-cost budget; RACI/timesheet; quality-test-defect; communication/minutes; risk register; procurement; change log; closure/lessons learned.</v>
      </c>
      <c r="M2141" t="str">
        <f>'Huong dan giao do an'!$B$33</f>
        <v>Tuần 1: 07.09–13.09.2026; Tuần 2: 14.09–20.09.2026; Tuần 3: 21.09–27.09.2026; Tuần 4: 28.09–04.10.2026; Tuần 5: 05.10–11.10.2026; Tuần 6: 12.10–18.10.2026; Tuần 7: 19.10–25.10.2026; Tuần 8: 26.10–01.11.2026.</v>
      </c>
      <c r="N21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1" s="17" t="str">
        <f t="shared" si="33"/>
        <v>Còn trống</v>
      </c>
    </row>
    <row r="2142" spans="1:16" x14ac:dyDescent="0.3">
      <c r="A2142">
        <v>2141</v>
      </c>
      <c r="B2142" t="s">
        <v>4833</v>
      </c>
      <c r="C2142" t="s">
        <v>4942</v>
      </c>
      <c r="D2142" t="s">
        <v>4943</v>
      </c>
      <c r="E2142" t="s">
        <v>26</v>
      </c>
      <c r="F2142" t="s">
        <v>4836</v>
      </c>
      <c r="G2142" t="s">
        <v>4837</v>
      </c>
      <c r="H2142" t="str">
        <f>'Huong dan giao do an'!$B$14</f>
        <v>5 SV (vai trò chính): 1 PM/Scrum Master kiêm Integration; 2 BA/PO; 3 UI-UX + Frontend; 4 Backend/API + DevOps; 5 Database + QA/Tester. Mỗi SV có nhiệm vụ phụ và minh chứng cá nhân.</v>
      </c>
      <c r="I2142" t="s">
        <v>22</v>
      </c>
      <c r="J2142" t="s">
        <v>4838</v>
      </c>
      <c r="K2142" t="str">
        <f>IF(I2142="Trung bình",'Huong dan giao do an'!$B$8,IF(I2142="Khá",'Huong dan giao do an'!$B$9,'Huong dan giao do an'!$B$10))</f>
        <v>Tối thiểu 4 actor; 10-14 use case; 8-12 bảng; 3 quy trình lõi; phân quyền chi tiết; 2 báo cáo; tích hợp 1 dịch vụ; &gt;=35 test case; CI/CD hoặc deploy cloud.</v>
      </c>
      <c r="L2142" t="str">
        <f>'Huong dan giao do an'!$B$31</f>
        <v>Bắt buộc: Charter/PMP; SRS + scope/WBS; Gantt/baseline; effort-cost budget; RACI/timesheet; quality-test-defect; communication/minutes; risk register; procurement; change log; closure/lessons learned.</v>
      </c>
      <c r="M2142" t="str">
        <f>'Huong dan giao do an'!$B$33</f>
        <v>Tuần 1: 07.09–13.09.2026; Tuần 2: 14.09–20.09.2026; Tuần 3: 21.09–27.09.2026; Tuần 4: 28.09–04.10.2026; Tuần 5: 05.10–11.10.2026; Tuần 6: 12.10–18.10.2026; Tuần 7: 19.10–25.10.2026; Tuần 8: 26.10–01.11.2026.</v>
      </c>
      <c r="N21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2" s="17" t="str">
        <f t="shared" si="33"/>
        <v>Còn trống</v>
      </c>
    </row>
    <row r="2143" spans="1:16" x14ac:dyDescent="0.3">
      <c r="A2143">
        <v>2142</v>
      </c>
      <c r="B2143" t="s">
        <v>4833</v>
      </c>
      <c r="C2143" t="s">
        <v>4944</v>
      </c>
      <c r="D2143" t="s">
        <v>4945</v>
      </c>
      <c r="E2143" t="s">
        <v>33</v>
      </c>
      <c r="F2143" t="s">
        <v>4841</v>
      </c>
      <c r="G2143" t="s">
        <v>4842</v>
      </c>
      <c r="H2143" t="str">
        <f>'Huong dan giao do an'!$B$14</f>
        <v>5 SV (vai trò chính): 1 PM/Scrum Master kiêm Integration; 2 BA/PO; 3 UI-UX + Frontend; 4 Backend/API + DevOps; 5 Database + QA/Tester. Mỗi SV có nhiệm vụ phụ và minh chứng cá nhân.</v>
      </c>
      <c r="I2143" t="s">
        <v>29</v>
      </c>
      <c r="J2143" t="s">
        <v>4843</v>
      </c>
      <c r="K2143" t="str">
        <f>IF(I2143="Trung bình",'Huong dan giao do an'!$B$8,IF(I2143="Khá",'Huong dan giao do an'!$B$9,'Huong dan giao do an'!$B$10))</f>
        <v>Tối thiểu 5 actor; 14-18 use case; 10-15 bảng; 4 quy trình; tích hợp ngoài/realtime hoặc xử lý nâng cao; 3 báo cáo; &gt;=45 test case; logging, backup và deploy.</v>
      </c>
      <c r="L2143" t="str">
        <f>'Huong dan giao do an'!$B$31</f>
        <v>Bắt buộc: Charter/PMP; SRS + scope/WBS; Gantt/baseline; effort-cost budget; RACI/timesheet; quality-test-defect; communication/minutes; risk register; procurement; change log; closure/lessons learned.</v>
      </c>
      <c r="M2143" t="str">
        <f>'Huong dan giao do an'!$B$33</f>
        <v>Tuần 1: 07.09–13.09.2026; Tuần 2: 14.09–20.09.2026; Tuần 3: 21.09–27.09.2026; Tuần 4: 28.09–04.10.2026; Tuần 5: 05.10–11.10.2026; Tuần 6: 12.10–18.10.2026; Tuần 7: 19.10–25.10.2026; Tuần 8: 26.10–01.11.2026.</v>
      </c>
      <c r="N21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3" s="17" t="str">
        <f t="shared" si="33"/>
        <v>Còn trống</v>
      </c>
    </row>
    <row r="2144" spans="1:16" x14ac:dyDescent="0.3">
      <c r="A2144">
        <v>2143</v>
      </c>
      <c r="B2144" t="s">
        <v>4833</v>
      </c>
      <c r="C2144" t="s">
        <v>4946</v>
      </c>
      <c r="D2144" t="s">
        <v>4947</v>
      </c>
      <c r="E2144" t="s">
        <v>40</v>
      </c>
      <c r="F2144" t="s">
        <v>4846</v>
      </c>
      <c r="G2144" t="s">
        <v>4847</v>
      </c>
      <c r="H2144" t="str">
        <f>'Huong dan giao do an'!$B$14</f>
        <v>5 SV (vai trò chính): 1 PM/Scrum Master kiêm Integration; 2 BA/PO; 3 UI-UX + Frontend; 4 Backend/API + DevOps; 5 Database + QA/Tester. Mỗi SV có nhiệm vụ phụ và minh chứng cá nhân.</v>
      </c>
      <c r="I2144" t="s">
        <v>36</v>
      </c>
      <c r="J2144" t="s">
        <v>4848</v>
      </c>
      <c r="K2144" t="str">
        <f>IF(I2144="Trung bình",'Huong dan giao do an'!$B$8,IF(I2144="Khá",'Huong dan giao do an'!$B$9,'Huong dan giao do an'!$B$10))</f>
        <v>Tối thiểu 3 actor; 8-10 use case; 6-8 bảng dữ liệu; 2 quy trình lõi; đăng nhập/RBAC; 1 dashboard; 1 báo cáo; &gt;=25 test case; triển khai bản demo.</v>
      </c>
      <c r="L2144" t="str">
        <f>'Huong dan giao do an'!$B$31</f>
        <v>Bắt buộc: Charter/PMP; SRS + scope/WBS; Gantt/baseline; effort-cost budget; RACI/timesheet; quality-test-defect; communication/minutes; risk register; procurement; change log; closure/lessons learned.</v>
      </c>
      <c r="M2144" t="str">
        <f>'Huong dan giao do an'!$B$33</f>
        <v>Tuần 1: 07.09–13.09.2026; Tuần 2: 14.09–20.09.2026; Tuần 3: 21.09–27.09.2026; Tuần 4: 28.09–04.10.2026; Tuần 5: 05.10–11.10.2026; Tuần 6: 12.10–18.10.2026; Tuần 7: 19.10–25.10.2026; Tuần 8: 26.10–01.11.2026.</v>
      </c>
      <c r="N21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4" s="17" t="str">
        <f t="shared" si="33"/>
        <v>Còn trống</v>
      </c>
    </row>
    <row r="2145" spans="1:16" x14ac:dyDescent="0.3">
      <c r="A2145">
        <v>2144</v>
      </c>
      <c r="B2145" t="s">
        <v>4833</v>
      </c>
      <c r="C2145" t="s">
        <v>4948</v>
      </c>
      <c r="D2145" t="s">
        <v>4949</v>
      </c>
      <c r="E2145" t="s">
        <v>45</v>
      </c>
      <c r="F2145" t="s">
        <v>4851</v>
      </c>
      <c r="G2145" t="s">
        <v>4852</v>
      </c>
      <c r="H2145" t="str">
        <f>'Huong dan giao do an'!$B$14</f>
        <v>5 SV (vai trò chính): 1 PM/Scrum Master kiêm Integration; 2 BA/PO; 3 UI-UX + Frontend; 4 Backend/API + DevOps; 5 Database + QA/Tester. Mỗi SV có nhiệm vụ phụ và minh chứng cá nhân.</v>
      </c>
      <c r="I2145" t="s">
        <v>22</v>
      </c>
      <c r="J2145" t="s">
        <v>4838</v>
      </c>
      <c r="K2145" t="str">
        <f>IF(I2145="Trung bình",'Huong dan giao do an'!$B$8,IF(I2145="Khá",'Huong dan giao do an'!$B$9,'Huong dan giao do an'!$B$10))</f>
        <v>Tối thiểu 4 actor; 10-14 use case; 8-12 bảng; 3 quy trình lõi; phân quyền chi tiết; 2 báo cáo; tích hợp 1 dịch vụ; &gt;=35 test case; CI/CD hoặc deploy cloud.</v>
      </c>
      <c r="L2145" t="str">
        <f>'Huong dan giao do an'!$B$31</f>
        <v>Bắt buộc: Charter/PMP; SRS + scope/WBS; Gantt/baseline; effort-cost budget; RACI/timesheet; quality-test-defect; communication/minutes; risk register; procurement; change log; closure/lessons learned.</v>
      </c>
      <c r="M2145" t="str">
        <f>'Huong dan giao do an'!$B$33</f>
        <v>Tuần 1: 07.09–13.09.2026; Tuần 2: 14.09–20.09.2026; Tuần 3: 21.09–27.09.2026; Tuần 4: 28.09–04.10.2026; Tuần 5: 05.10–11.10.2026; Tuần 6: 12.10–18.10.2026; Tuần 7: 19.10–25.10.2026; Tuần 8: 26.10–01.11.2026.</v>
      </c>
      <c r="N21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5" s="17" t="str">
        <f t="shared" si="33"/>
        <v>Còn trống</v>
      </c>
    </row>
    <row r="2146" spans="1:16" x14ac:dyDescent="0.3">
      <c r="A2146">
        <v>2145</v>
      </c>
      <c r="B2146" t="s">
        <v>4833</v>
      </c>
      <c r="C2146" t="s">
        <v>4950</v>
      </c>
      <c r="D2146" t="s">
        <v>4951</v>
      </c>
      <c r="E2146" t="s">
        <v>19</v>
      </c>
      <c r="F2146" t="s">
        <v>4855</v>
      </c>
      <c r="G2146" t="s">
        <v>4856</v>
      </c>
      <c r="H2146" t="str">
        <f>'Huong dan giao do an'!$B$14</f>
        <v>5 SV (vai trò chính): 1 PM/Scrum Master kiêm Integration; 2 BA/PO; 3 UI-UX + Frontend; 4 Backend/API + DevOps; 5 Database + QA/Tester. Mỗi SV có nhiệm vụ phụ và minh chứng cá nhân.</v>
      </c>
      <c r="I2146" t="s">
        <v>29</v>
      </c>
      <c r="J2146" t="s">
        <v>4843</v>
      </c>
      <c r="K2146" t="str">
        <f>IF(I2146="Trung bình",'Huong dan giao do an'!$B$8,IF(I2146="Khá",'Huong dan giao do an'!$B$9,'Huong dan giao do an'!$B$10))</f>
        <v>Tối thiểu 5 actor; 14-18 use case; 10-15 bảng; 4 quy trình; tích hợp ngoài/realtime hoặc xử lý nâng cao; 3 báo cáo; &gt;=45 test case; logging, backup và deploy.</v>
      </c>
      <c r="L2146" t="str">
        <f>'Huong dan giao do an'!$B$31</f>
        <v>Bắt buộc: Charter/PMP; SRS + scope/WBS; Gantt/baseline; effort-cost budget; RACI/timesheet; quality-test-defect; communication/minutes; risk register; procurement; change log; closure/lessons learned.</v>
      </c>
      <c r="M2146" t="str">
        <f>'Huong dan giao do an'!$B$33</f>
        <v>Tuần 1: 07.09–13.09.2026; Tuần 2: 14.09–20.09.2026; Tuần 3: 21.09–27.09.2026; Tuần 4: 28.09–04.10.2026; Tuần 5: 05.10–11.10.2026; Tuần 6: 12.10–18.10.2026; Tuần 7: 19.10–25.10.2026; Tuần 8: 26.10–01.11.2026.</v>
      </c>
      <c r="N21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6" s="17" t="str">
        <f t="shared" si="33"/>
        <v>Còn trống</v>
      </c>
    </row>
    <row r="2147" spans="1:16" x14ac:dyDescent="0.3">
      <c r="A2147">
        <v>2146</v>
      </c>
      <c r="B2147" t="s">
        <v>4833</v>
      </c>
      <c r="C2147" t="s">
        <v>4952</v>
      </c>
      <c r="D2147" t="s">
        <v>4953</v>
      </c>
      <c r="E2147" t="s">
        <v>26</v>
      </c>
      <c r="F2147" t="s">
        <v>4836</v>
      </c>
      <c r="G2147" t="s">
        <v>4859</v>
      </c>
      <c r="H2147" t="str">
        <f>'Huong dan giao do an'!$B$14</f>
        <v>5 SV (vai trò chính): 1 PM/Scrum Master kiêm Integration; 2 BA/PO; 3 UI-UX + Frontend; 4 Backend/API + DevOps; 5 Database + QA/Tester. Mỗi SV có nhiệm vụ phụ và minh chứng cá nhân.</v>
      </c>
      <c r="I2147" t="s">
        <v>36</v>
      </c>
      <c r="J2147" t="s">
        <v>4848</v>
      </c>
      <c r="K2147" t="str">
        <f>IF(I2147="Trung bình",'Huong dan giao do an'!$B$8,IF(I2147="Khá",'Huong dan giao do an'!$B$9,'Huong dan giao do an'!$B$10))</f>
        <v>Tối thiểu 3 actor; 8-10 use case; 6-8 bảng dữ liệu; 2 quy trình lõi; đăng nhập/RBAC; 1 dashboard; 1 báo cáo; &gt;=25 test case; triển khai bản demo.</v>
      </c>
      <c r="L2147" t="str">
        <f>'Huong dan giao do an'!$B$31</f>
        <v>Bắt buộc: Charter/PMP; SRS + scope/WBS; Gantt/baseline; effort-cost budget; RACI/timesheet; quality-test-defect; communication/minutes; risk register; procurement; change log; closure/lessons learned.</v>
      </c>
      <c r="M2147" t="str">
        <f>'Huong dan giao do an'!$B$33</f>
        <v>Tuần 1: 07.09–13.09.2026; Tuần 2: 14.09–20.09.2026; Tuần 3: 21.09–27.09.2026; Tuần 4: 28.09–04.10.2026; Tuần 5: 05.10–11.10.2026; Tuần 6: 12.10–18.10.2026; Tuần 7: 19.10–25.10.2026; Tuần 8: 26.10–01.11.2026.</v>
      </c>
      <c r="N21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7" s="17" t="str">
        <f t="shared" si="33"/>
        <v>Còn trống</v>
      </c>
    </row>
    <row r="2148" spans="1:16" x14ac:dyDescent="0.3">
      <c r="A2148">
        <v>2147</v>
      </c>
      <c r="B2148" t="s">
        <v>4833</v>
      </c>
      <c r="C2148" t="s">
        <v>4954</v>
      </c>
      <c r="D2148" t="s">
        <v>4955</v>
      </c>
      <c r="E2148" t="s">
        <v>33</v>
      </c>
      <c r="F2148" t="s">
        <v>4841</v>
      </c>
      <c r="G2148" t="s">
        <v>4862</v>
      </c>
      <c r="H2148" t="str">
        <f>'Huong dan giao do an'!$B$14</f>
        <v>5 SV (vai trò chính): 1 PM/Scrum Master kiêm Integration; 2 BA/PO; 3 UI-UX + Frontend; 4 Backend/API + DevOps; 5 Database + QA/Tester. Mỗi SV có nhiệm vụ phụ và minh chứng cá nhân.</v>
      </c>
      <c r="I2148" t="s">
        <v>22</v>
      </c>
      <c r="J2148" t="s">
        <v>4838</v>
      </c>
      <c r="K2148" t="str">
        <f>IF(I2148="Trung bình",'Huong dan giao do an'!$B$8,IF(I2148="Khá",'Huong dan giao do an'!$B$9,'Huong dan giao do an'!$B$10))</f>
        <v>Tối thiểu 4 actor; 10-14 use case; 8-12 bảng; 3 quy trình lõi; phân quyền chi tiết; 2 báo cáo; tích hợp 1 dịch vụ; &gt;=35 test case; CI/CD hoặc deploy cloud.</v>
      </c>
      <c r="L2148" t="str">
        <f>'Huong dan giao do an'!$B$31</f>
        <v>Bắt buộc: Charter/PMP; SRS + scope/WBS; Gantt/baseline; effort-cost budget; RACI/timesheet; quality-test-defect; communication/minutes; risk register; procurement; change log; closure/lessons learned.</v>
      </c>
      <c r="M2148" t="str">
        <f>'Huong dan giao do an'!$B$33</f>
        <v>Tuần 1: 07.09–13.09.2026; Tuần 2: 14.09–20.09.2026; Tuần 3: 21.09–27.09.2026; Tuần 4: 28.09–04.10.2026; Tuần 5: 05.10–11.10.2026; Tuần 6: 12.10–18.10.2026; Tuần 7: 19.10–25.10.2026; Tuần 8: 26.10–01.11.2026.</v>
      </c>
      <c r="N21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8" s="17" t="str">
        <f t="shared" si="33"/>
        <v>Còn trống</v>
      </c>
    </row>
    <row r="2149" spans="1:16" x14ac:dyDescent="0.3">
      <c r="A2149">
        <v>2148</v>
      </c>
      <c r="B2149" t="s">
        <v>4833</v>
      </c>
      <c r="C2149" t="s">
        <v>4956</v>
      </c>
      <c r="D2149" t="s">
        <v>4957</v>
      </c>
      <c r="E2149" t="s">
        <v>40</v>
      </c>
      <c r="F2149" t="s">
        <v>4846</v>
      </c>
      <c r="G2149" t="s">
        <v>4865</v>
      </c>
      <c r="H2149" t="str">
        <f>'Huong dan giao do an'!$B$14</f>
        <v>5 SV (vai trò chính): 1 PM/Scrum Master kiêm Integration; 2 BA/PO; 3 UI-UX + Frontend; 4 Backend/API + DevOps; 5 Database + QA/Tester. Mỗi SV có nhiệm vụ phụ và minh chứng cá nhân.</v>
      </c>
      <c r="I2149" t="s">
        <v>29</v>
      </c>
      <c r="J2149" t="s">
        <v>4843</v>
      </c>
      <c r="K2149" t="str">
        <f>IF(I2149="Trung bình",'Huong dan giao do an'!$B$8,IF(I2149="Khá",'Huong dan giao do an'!$B$9,'Huong dan giao do an'!$B$10))</f>
        <v>Tối thiểu 5 actor; 14-18 use case; 10-15 bảng; 4 quy trình; tích hợp ngoài/realtime hoặc xử lý nâng cao; 3 báo cáo; &gt;=45 test case; logging, backup và deploy.</v>
      </c>
      <c r="L2149" t="str">
        <f>'Huong dan giao do an'!$B$31</f>
        <v>Bắt buộc: Charter/PMP; SRS + scope/WBS; Gantt/baseline; effort-cost budget; RACI/timesheet; quality-test-defect; communication/minutes; risk register; procurement; change log; closure/lessons learned.</v>
      </c>
      <c r="M2149" t="str">
        <f>'Huong dan giao do an'!$B$33</f>
        <v>Tuần 1: 07.09–13.09.2026; Tuần 2: 14.09–20.09.2026; Tuần 3: 21.09–27.09.2026; Tuần 4: 28.09–04.10.2026; Tuần 5: 05.10–11.10.2026; Tuần 6: 12.10–18.10.2026; Tuần 7: 19.10–25.10.2026; Tuần 8: 26.10–01.11.2026.</v>
      </c>
      <c r="N21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49" s="17" t="str">
        <f t="shared" si="33"/>
        <v>Còn trống</v>
      </c>
    </row>
    <row r="2150" spans="1:16" x14ac:dyDescent="0.3">
      <c r="A2150">
        <v>2149</v>
      </c>
      <c r="B2150" t="s">
        <v>4833</v>
      </c>
      <c r="C2150" t="s">
        <v>4958</v>
      </c>
      <c r="D2150" t="s">
        <v>4959</v>
      </c>
      <c r="E2150" t="s">
        <v>45</v>
      </c>
      <c r="F2150" t="s">
        <v>4851</v>
      </c>
      <c r="G2150" t="s">
        <v>4868</v>
      </c>
      <c r="H2150" t="str">
        <f>'Huong dan giao do an'!$B$14</f>
        <v>5 SV (vai trò chính): 1 PM/Scrum Master kiêm Integration; 2 BA/PO; 3 UI-UX + Frontend; 4 Backend/API + DevOps; 5 Database + QA/Tester. Mỗi SV có nhiệm vụ phụ và minh chứng cá nhân.</v>
      </c>
      <c r="I2150" t="s">
        <v>36</v>
      </c>
      <c r="J2150" t="s">
        <v>4848</v>
      </c>
      <c r="K2150" t="str">
        <f>IF(I2150="Trung bình",'Huong dan giao do an'!$B$8,IF(I2150="Khá",'Huong dan giao do an'!$B$9,'Huong dan giao do an'!$B$10))</f>
        <v>Tối thiểu 3 actor; 8-10 use case; 6-8 bảng dữ liệu; 2 quy trình lõi; đăng nhập/RBAC; 1 dashboard; 1 báo cáo; &gt;=25 test case; triển khai bản demo.</v>
      </c>
      <c r="L2150" t="str">
        <f>'Huong dan giao do an'!$B$31</f>
        <v>Bắt buộc: Charter/PMP; SRS + scope/WBS; Gantt/baseline; effort-cost budget; RACI/timesheet; quality-test-defect; communication/minutes; risk register; procurement; change log; closure/lessons learned.</v>
      </c>
      <c r="M2150" t="str">
        <f>'Huong dan giao do an'!$B$33</f>
        <v>Tuần 1: 07.09–13.09.2026; Tuần 2: 14.09–20.09.2026; Tuần 3: 21.09–27.09.2026; Tuần 4: 28.09–04.10.2026; Tuần 5: 05.10–11.10.2026; Tuần 6: 12.10–18.10.2026; Tuần 7: 19.10–25.10.2026; Tuần 8: 26.10–01.11.2026.</v>
      </c>
      <c r="N21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0" s="17" t="str">
        <f t="shared" si="33"/>
        <v>Còn trống</v>
      </c>
    </row>
    <row r="2151" spans="1:16" x14ac:dyDescent="0.3">
      <c r="A2151">
        <v>2150</v>
      </c>
      <c r="B2151" t="s">
        <v>4833</v>
      </c>
      <c r="C2151" t="s">
        <v>4960</v>
      </c>
      <c r="D2151" t="s">
        <v>4961</v>
      </c>
      <c r="E2151" t="s">
        <v>19</v>
      </c>
      <c r="F2151" t="s">
        <v>4855</v>
      </c>
      <c r="G2151" t="s">
        <v>4871</v>
      </c>
      <c r="H2151" t="str">
        <f>'Huong dan giao do an'!$B$14</f>
        <v>5 SV (vai trò chính): 1 PM/Scrum Master kiêm Integration; 2 BA/PO; 3 UI-UX + Frontend; 4 Backend/API + DevOps; 5 Database + QA/Tester. Mỗi SV có nhiệm vụ phụ và minh chứng cá nhân.</v>
      </c>
      <c r="I2151" t="s">
        <v>22</v>
      </c>
      <c r="J2151" t="s">
        <v>4838</v>
      </c>
      <c r="K2151" t="str">
        <f>IF(I2151="Trung bình",'Huong dan giao do an'!$B$8,IF(I2151="Khá",'Huong dan giao do an'!$B$9,'Huong dan giao do an'!$B$10))</f>
        <v>Tối thiểu 4 actor; 10-14 use case; 8-12 bảng; 3 quy trình lõi; phân quyền chi tiết; 2 báo cáo; tích hợp 1 dịch vụ; &gt;=35 test case; CI/CD hoặc deploy cloud.</v>
      </c>
      <c r="L2151" t="str">
        <f>'Huong dan giao do an'!$B$31</f>
        <v>Bắt buộc: Charter/PMP; SRS + scope/WBS; Gantt/baseline; effort-cost budget; RACI/timesheet; quality-test-defect; communication/minutes; risk register; procurement; change log; closure/lessons learned.</v>
      </c>
      <c r="M2151" t="str">
        <f>'Huong dan giao do an'!$B$33</f>
        <v>Tuần 1: 07.09–13.09.2026; Tuần 2: 14.09–20.09.2026; Tuần 3: 21.09–27.09.2026; Tuần 4: 28.09–04.10.2026; Tuần 5: 05.10–11.10.2026; Tuần 6: 12.10–18.10.2026; Tuần 7: 19.10–25.10.2026; Tuần 8: 26.10–01.11.2026.</v>
      </c>
      <c r="N21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1" s="17" t="str">
        <f t="shared" si="33"/>
        <v>Còn trống</v>
      </c>
    </row>
    <row r="2152" spans="1:16" x14ac:dyDescent="0.3">
      <c r="A2152">
        <v>2151</v>
      </c>
      <c r="B2152" t="s">
        <v>4833</v>
      </c>
      <c r="C2152" t="s">
        <v>4962</v>
      </c>
      <c r="D2152" t="s">
        <v>4963</v>
      </c>
      <c r="E2152" t="s">
        <v>26</v>
      </c>
      <c r="F2152" t="s">
        <v>4836</v>
      </c>
      <c r="G2152" t="s">
        <v>4874</v>
      </c>
      <c r="H2152" t="str">
        <f>'Huong dan giao do an'!$B$14</f>
        <v>5 SV (vai trò chính): 1 PM/Scrum Master kiêm Integration; 2 BA/PO; 3 UI-UX + Frontend; 4 Backend/API + DevOps; 5 Database + QA/Tester. Mỗi SV có nhiệm vụ phụ và minh chứng cá nhân.</v>
      </c>
      <c r="I2152" t="s">
        <v>29</v>
      </c>
      <c r="J2152" t="s">
        <v>4843</v>
      </c>
      <c r="K2152" t="str">
        <f>IF(I2152="Trung bình",'Huong dan giao do an'!$B$8,IF(I2152="Khá",'Huong dan giao do an'!$B$9,'Huong dan giao do an'!$B$10))</f>
        <v>Tối thiểu 5 actor; 14-18 use case; 10-15 bảng; 4 quy trình; tích hợp ngoài/realtime hoặc xử lý nâng cao; 3 báo cáo; &gt;=45 test case; logging, backup và deploy.</v>
      </c>
      <c r="L2152" t="str">
        <f>'Huong dan giao do an'!$B$31</f>
        <v>Bắt buộc: Charter/PMP; SRS + scope/WBS; Gantt/baseline; effort-cost budget; RACI/timesheet; quality-test-defect; communication/minutes; risk register; procurement; change log; closure/lessons learned.</v>
      </c>
      <c r="M2152" t="str">
        <f>'Huong dan giao do an'!$B$33</f>
        <v>Tuần 1: 07.09–13.09.2026; Tuần 2: 14.09–20.09.2026; Tuần 3: 21.09–27.09.2026; Tuần 4: 28.09–04.10.2026; Tuần 5: 05.10–11.10.2026; Tuần 6: 12.10–18.10.2026; Tuần 7: 19.10–25.10.2026; Tuần 8: 26.10–01.11.2026.</v>
      </c>
      <c r="N21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2" s="17" t="str">
        <f t="shared" si="33"/>
        <v>Còn trống</v>
      </c>
    </row>
    <row r="2153" spans="1:16" x14ac:dyDescent="0.3">
      <c r="A2153">
        <v>2152</v>
      </c>
      <c r="B2153" t="s">
        <v>4833</v>
      </c>
      <c r="C2153" t="s">
        <v>4964</v>
      </c>
      <c r="D2153" t="s">
        <v>4965</v>
      </c>
      <c r="E2153" t="s">
        <v>33</v>
      </c>
      <c r="F2153" t="s">
        <v>4841</v>
      </c>
      <c r="G2153" t="s">
        <v>4877</v>
      </c>
      <c r="H2153" t="str">
        <f>'Huong dan giao do an'!$B$14</f>
        <v>5 SV (vai trò chính): 1 PM/Scrum Master kiêm Integration; 2 BA/PO; 3 UI-UX + Frontend; 4 Backend/API + DevOps; 5 Database + QA/Tester. Mỗi SV có nhiệm vụ phụ và minh chứng cá nhân.</v>
      </c>
      <c r="I2153" t="s">
        <v>36</v>
      </c>
      <c r="J2153" t="s">
        <v>4848</v>
      </c>
      <c r="K2153" t="str">
        <f>IF(I2153="Trung bình",'Huong dan giao do an'!$B$8,IF(I2153="Khá",'Huong dan giao do an'!$B$9,'Huong dan giao do an'!$B$10))</f>
        <v>Tối thiểu 3 actor; 8-10 use case; 6-8 bảng dữ liệu; 2 quy trình lõi; đăng nhập/RBAC; 1 dashboard; 1 báo cáo; &gt;=25 test case; triển khai bản demo.</v>
      </c>
      <c r="L2153" t="str">
        <f>'Huong dan giao do an'!$B$31</f>
        <v>Bắt buộc: Charter/PMP; SRS + scope/WBS; Gantt/baseline; effort-cost budget; RACI/timesheet; quality-test-defect; communication/minutes; risk register; procurement; change log; closure/lessons learned.</v>
      </c>
      <c r="M2153" t="str">
        <f>'Huong dan giao do an'!$B$33</f>
        <v>Tuần 1: 07.09–13.09.2026; Tuần 2: 14.09–20.09.2026; Tuần 3: 21.09–27.09.2026; Tuần 4: 28.09–04.10.2026; Tuần 5: 05.10–11.10.2026; Tuần 6: 12.10–18.10.2026; Tuần 7: 19.10–25.10.2026; Tuần 8: 26.10–01.11.2026.</v>
      </c>
      <c r="N21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3" s="17" t="str">
        <f t="shared" si="33"/>
        <v>Còn trống</v>
      </c>
    </row>
    <row r="2154" spans="1:16" x14ac:dyDescent="0.3">
      <c r="A2154">
        <v>2153</v>
      </c>
      <c r="B2154" t="s">
        <v>4833</v>
      </c>
      <c r="C2154" t="s">
        <v>4966</v>
      </c>
      <c r="D2154" t="s">
        <v>4967</v>
      </c>
      <c r="E2154" t="s">
        <v>40</v>
      </c>
      <c r="F2154" t="s">
        <v>4846</v>
      </c>
      <c r="G2154" t="s">
        <v>4880</v>
      </c>
      <c r="H2154" t="str">
        <f>'Huong dan giao do an'!$B$14</f>
        <v>5 SV (vai trò chính): 1 PM/Scrum Master kiêm Integration; 2 BA/PO; 3 UI-UX + Frontend; 4 Backend/API + DevOps; 5 Database + QA/Tester. Mỗi SV có nhiệm vụ phụ và minh chứng cá nhân.</v>
      </c>
      <c r="I2154" t="s">
        <v>22</v>
      </c>
      <c r="J2154" t="s">
        <v>4838</v>
      </c>
      <c r="K2154" t="str">
        <f>IF(I2154="Trung bình",'Huong dan giao do an'!$B$8,IF(I2154="Khá",'Huong dan giao do an'!$B$9,'Huong dan giao do an'!$B$10))</f>
        <v>Tối thiểu 4 actor; 10-14 use case; 8-12 bảng; 3 quy trình lõi; phân quyền chi tiết; 2 báo cáo; tích hợp 1 dịch vụ; &gt;=35 test case; CI/CD hoặc deploy cloud.</v>
      </c>
      <c r="L2154" t="str">
        <f>'Huong dan giao do an'!$B$31</f>
        <v>Bắt buộc: Charter/PMP; SRS + scope/WBS; Gantt/baseline; effort-cost budget; RACI/timesheet; quality-test-defect; communication/minutes; risk register; procurement; change log; closure/lessons learned.</v>
      </c>
      <c r="M2154" t="str">
        <f>'Huong dan giao do an'!$B$33</f>
        <v>Tuần 1: 07.09–13.09.2026; Tuần 2: 14.09–20.09.2026; Tuần 3: 21.09–27.09.2026; Tuần 4: 28.09–04.10.2026; Tuần 5: 05.10–11.10.2026; Tuần 6: 12.10–18.10.2026; Tuần 7: 19.10–25.10.2026; Tuần 8: 26.10–01.11.2026.</v>
      </c>
      <c r="N21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4" s="17" t="str">
        <f t="shared" si="33"/>
        <v>Còn trống</v>
      </c>
    </row>
    <row r="2155" spans="1:16" x14ac:dyDescent="0.3">
      <c r="A2155">
        <v>2154</v>
      </c>
      <c r="B2155" t="s">
        <v>4833</v>
      </c>
      <c r="C2155" t="s">
        <v>4968</v>
      </c>
      <c r="D2155" t="s">
        <v>4969</v>
      </c>
      <c r="E2155" t="s">
        <v>45</v>
      </c>
      <c r="F2155" t="s">
        <v>4851</v>
      </c>
      <c r="G2155" t="s">
        <v>4883</v>
      </c>
      <c r="H2155" t="str">
        <f>'Huong dan giao do an'!$B$14</f>
        <v>5 SV (vai trò chính): 1 PM/Scrum Master kiêm Integration; 2 BA/PO; 3 UI-UX + Frontend; 4 Backend/API + DevOps; 5 Database + QA/Tester. Mỗi SV có nhiệm vụ phụ và minh chứng cá nhân.</v>
      </c>
      <c r="I2155" t="s">
        <v>29</v>
      </c>
      <c r="J2155" t="s">
        <v>4843</v>
      </c>
      <c r="K2155" t="str">
        <f>IF(I2155="Trung bình",'Huong dan giao do an'!$B$8,IF(I2155="Khá",'Huong dan giao do an'!$B$9,'Huong dan giao do an'!$B$10))</f>
        <v>Tối thiểu 5 actor; 14-18 use case; 10-15 bảng; 4 quy trình; tích hợp ngoài/realtime hoặc xử lý nâng cao; 3 báo cáo; &gt;=45 test case; logging, backup và deploy.</v>
      </c>
      <c r="L2155" t="str">
        <f>'Huong dan giao do an'!$B$31</f>
        <v>Bắt buộc: Charter/PMP; SRS + scope/WBS; Gantt/baseline; effort-cost budget; RACI/timesheet; quality-test-defect; communication/minutes; risk register; procurement; change log; closure/lessons learned.</v>
      </c>
      <c r="M2155" t="str">
        <f>'Huong dan giao do an'!$B$33</f>
        <v>Tuần 1: 07.09–13.09.2026; Tuần 2: 14.09–20.09.2026; Tuần 3: 21.09–27.09.2026; Tuần 4: 28.09–04.10.2026; Tuần 5: 05.10–11.10.2026; Tuần 6: 12.10–18.10.2026; Tuần 7: 19.10–25.10.2026; Tuần 8: 26.10–01.11.2026.</v>
      </c>
      <c r="N21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5" s="17" t="str">
        <f t="shared" si="33"/>
        <v>Còn trống</v>
      </c>
    </row>
    <row r="2156" spans="1:16" x14ac:dyDescent="0.3">
      <c r="A2156">
        <v>2155</v>
      </c>
      <c r="B2156" t="s">
        <v>4833</v>
      </c>
      <c r="C2156" t="s">
        <v>4970</v>
      </c>
      <c r="D2156" t="s">
        <v>4971</v>
      </c>
      <c r="E2156" t="s">
        <v>19</v>
      </c>
      <c r="F2156" t="s">
        <v>4855</v>
      </c>
      <c r="G2156" t="s">
        <v>4886</v>
      </c>
      <c r="H2156" t="str">
        <f>'Huong dan giao do an'!$B$14</f>
        <v>5 SV (vai trò chính): 1 PM/Scrum Master kiêm Integration; 2 BA/PO; 3 UI-UX + Frontend; 4 Backend/API + DevOps; 5 Database + QA/Tester. Mỗi SV có nhiệm vụ phụ và minh chứng cá nhân.</v>
      </c>
      <c r="I2156" t="s">
        <v>36</v>
      </c>
      <c r="J2156" t="s">
        <v>4848</v>
      </c>
      <c r="K2156" t="str">
        <f>IF(I2156="Trung bình",'Huong dan giao do an'!$B$8,IF(I2156="Khá",'Huong dan giao do an'!$B$9,'Huong dan giao do an'!$B$10))</f>
        <v>Tối thiểu 3 actor; 8-10 use case; 6-8 bảng dữ liệu; 2 quy trình lõi; đăng nhập/RBAC; 1 dashboard; 1 báo cáo; &gt;=25 test case; triển khai bản demo.</v>
      </c>
      <c r="L2156" t="str">
        <f>'Huong dan giao do an'!$B$31</f>
        <v>Bắt buộc: Charter/PMP; SRS + scope/WBS; Gantt/baseline; effort-cost budget; RACI/timesheet; quality-test-defect; communication/minutes; risk register; procurement; change log; closure/lessons learned.</v>
      </c>
      <c r="M2156" t="str">
        <f>'Huong dan giao do an'!$B$33</f>
        <v>Tuần 1: 07.09–13.09.2026; Tuần 2: 14.09–20.09.2026; Tuần 3: 21.09–27.09.2026; Tuần 4: 28.09–04.10.2026; Tuần 5: 05.10–11.10.2026; Tuần 6: 12.10–18.10.2026; Tuần 7: 19.10–25.10.2026; Tuần 8: 26.10–01.11.2026.</v>
      </c>
      <c r="N21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6" s="17" t="str">
        <f t="shared" si="33"/>
        <v>Còn trống</v>
      </c>
    </row>
    <row r="2157" spans="1:16" x14ac:dyDescent="0.3">
      <c r="A2157">
        <v>2156</v>
      </c>
      <c r="B2157" t="s">
        <v>4833</v>
      </c>
      <c r="C2157" t="s">
        <v>4972</v>
      </c>
      <c r="D2157" t="s">
        <v>4973</v>
      </c>
      <c r="E2157" t="s">
        <v>26</v>
      </c>
      <c r="F2157" t="s">
        <v>4836</v>
      </c>
      <c r="G2157" t="s">
        <v>4889</v>
      </c>
      <c r="H2157" t="str">
        <f>'Huong dan giao do an'!$B$14</f>
        <v>5 SV (vai trò chính): 1 PM/Scrum Master kiêm Integration; 2 BA/PO; 3 UI-UX + Frontend; 4 Backend/API + DevOps; 5 Database + QA/Tester. Mỗi SV có nhiệm vụ phụ và minh chứng cá nhân.</v>
      </c>
      <c r="I2157" t="s">
        <v>22</v>
      </c>
      <c r="J2157" t="s">
        <v>4838</v>
      </c>
      <c r="K2157" t="str">
        <f>IF(I2157="Trung bình",'Huong dan giao do an'!$B$8,IF(I2157="Khá",'Huong dan giao do an'!$B$9,'Huong dan giao do an'!$B$10))</f>
        <v>Tối thiểu 4 actor; 10-14 use case; 8-12 bảng; 3 quy trình lõi; phân quyền chi tiết; 2 báo cáo; tích hợp 1 dịch vụ; &gt;=35 test case; CI/CD hoặc deploy cloud.</v>
      </c>
      <c r="L2157" t="str">
        <f>'Huong dan giao do an'!$B$31</f>
        <v>Bắt buộc: Charter/PMP; SRS + scope/WBS; Gantt/baseline; effort-cost budget; RACI/timesheet; quality-test-defect; communication/minutes; risk register; procurement; change log; closure/lessons learned.</v>
      </c>
      <c r="M2157" t="str">
        <f>'Huong dan giao do an'!$B$33</f>
        <v>Tuần 1: 07.09–13.09.2026; Tuần 2: 14.09–20.09.2026; Tuần 3: 21.09–27.09.2026; Tuần 4: 28.09–04.10.2026; Tuần 5: 05.10–11.10.2026; Tuần 6: 12.10–18.10.2026; Tuần 7: 19.10–25.10.2026; Tuần 8: 26.10–01.11.2026.</v>
      </c>
      <c r="N21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7" s="17" t="str">
        <f t="shared" si="33"/>
        <v>Còn trống</v>
      </c>
    </row>
    <row r="2158" spans="1:16" x14ac:dyDescent="0.3">
      <c r="A2158">
        <v>2157</v>
      </c>
      <c r="B2158" t="s">
        <v>4833</v>
      </c>
      <c r="C2158" t="s">
        <v>4974</v>
      </c>
      <c r="D2158" t="s">
        <v>4975</v>
      </c>
      <c r="E2158" t="s">
        <v>33</v>
      </c>
      <c r="F2158" t="s">
        <v>4841</v>
      </c>
      <c r="G2158" t="s">
        <v>4892</v>
      </c>
      <c r="H2158" t="str">
        <f>'Huong dan giao do an'!$B$14</f>
        <v>5 SV (vai trò chính): 1 PM/Scrum Master kiêm Integration; 2 BA/PO; 3 UI-UX + Frontend; 4 Backend/API + DevOps; 5 Database + QA/Tester. Mỗi SV có nhiệm vụ phụ và minh chứng cá nhân.</v>
      </c>
      <c r="I2158" t="s">
        <v>29</v>
      </c>
      <c r="J2158" t="s">
        <v>4843</v>
      </c>
      <c r="K2158" t="str">
        <f>IF(I2158="Trung bình",'Huong dan giao do an'!$B$8,IF(I2158="Khá",'Huong dan giao do an'!$B$9,'Huong dan giao do an'!$B$10))</f>
        <v>Tối thiểu 5 actor; 14-18 use case; 10-15 bảng; 4 quy trình; tích hợp ngoài/realtime hoặc xử lý nâng cao; 3 báo cáo; &gt;=45 test case; logging, backup và deploy.</v>
      </c>
      <c r="L2158" t="str">
        <f>'Huong dan giao do an'!$B$31</f>
        <v>Bắt buộc: Charter/PMP; SRS + scope/WBS; Gantt/baseline; effort-cost budget; RACI/timesheet; quality-test-defect; communication/minutes; risk register; procurement; change log; closure/lessons learned.</v>
      </c>
      <c r="M2158" t="str">
        <f>'Huong dan giao do an'!$B$33</f>
        <v>Tuần 1: 07.09–13.09.2026; Tuần 2: 14.09–20.09.2026; Tuần 3: 21.09–27.09.2026; Tuần 4: 28.09–04.10.2026; Tuần 5: 05.10–11.10.2026; Tuần 6: 12.10–18.10.2026; Tuần 7: 19.10–25.10.2026; Tuần 8: 26.10–01.11.2026.</v>
      </c>
      <c r="N21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8" s="17" t="str">
        <f t="shared" si="33"/>
        <v>Còn trống</v>
      </c>
    </row>
    <row r="2159" spans="1:16" x14ac:dyDescent="0.3">
      <c r="A2159">
        <v>2158</v>
      </c>
      <c r="B2159" t="s">
        <v>4833</v>
      </c>
      <c r="C2159" t="s">
        <v>4976</v>
      </c>
      <c r="D2159" t="s">
        <v>4977</v>
      </c>
      <c r="E2159" t="s">
        <v>40</v>
      </c>
      <c r="F2159" t="s">
        <v>4846</v>
      </c>
      <c r="G2159" t="s">
        <v>4895</v>
      </c>
      <c r="H2159" t="str">
        <f>'Huong dan giao do an'!$B$14</f>
        <v>5 SV (vai trò chính): 1 PM/Scrum Master kiêm Integration; 2 BA/PO; 3 UI-UX + Frontend; 4 Backend/API + DevOps; 5 Database + QA/Tester. Mỗi SV có nhiệm vụ phụ và minh chứng cá nhân.</v>
      </c>
      <c r="I2159" t="s">
        <v>36</v>
      </c>
      <c r="J2159" t="s">
        <v>4848</v>
      </c>
      <c r="K2159" t="str">
        <f>IF(I2159="Trung bình",'Huong dan giao do an'!$B$8,IF(I2159="Khá",'Huong dan giao do an'!$B$9,'Huong dan giao do an'!$B$10))</f>
        <v>Tối thiểu 3 actor; 8-10 use case; 6-8 bảng dữ liệu; 2 quy trình lõi; đăng nhập/RBAC; 1 dashboard; 1 báo cáo; &gt;=25 test case; triển khai bản demo.</v>
      </c>
      <c r="L2159" t="str">
        <f>'Huong dan giao do an'!$B$31</f>
        <v>Bắt buộc: Charter/PMP; SRS + scope/WBS; Gantt/baseline; effort-cost budget; RACI/timesheet; quality-test-defect; communication/minutes; risk register; procurement; change log; closure/lessons learned.</v>
      </c>
      <c r="M2159" t="str">
        <f>'Huong dan giao do an'!$B$33</f>
        <v>Tuần 1: 07.09–13.09.2026; Tuần 2: 14.09–20.09.2026; Tuần 3: 21.09–27.09.2026; Tuần 4: 28.09–04.10.2026; Tuần 5: 05.10–11.10.2026; Tuần 6: 12.10–18.10.2026; Tuần 7: 19.10–25.10.2026; Tuần 8: 26.10–01.11.2026.</v>
      </c>
      <c r="N21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59" s="17" t="str">
        <f t="shared" si="33"/>
        <v>Còn trống</v>
      </c>
    </row>
    <row r="2160" spans="1:16" x14ac:dyDescent="0.3">
      <c r="A2160">
        <v>2159</v>
      </c>
      <c r="B2160" t="s">
        <v>4833</v>
      </c>
      <c r="C2160" t="s">
        <v>4978</v>
      </c>
      <c r="D2160" t="s">
        <v>4979</v>
      </c>
      <c r="E2160" t="s">
        <v>45</v>
      </c>
      <c r="F2160" t="s">
        <v>4851</v>
      </c>
      <c r="G2160" t="s">
        <v>4898</v>
      </c>
      <c r="H2160" t="str">
        <f>'Huong dan giao do an'!$B$14</f>
        <v>5 SV (vai trò chính): 1 PM/Scrum Master kiêm Integration; 2 BA/PO; 3 UI-UX + Frontend; 4 Backend/API + DevOps; 5 Database + QA/Tester. Mỗi SV có nhiệm vụ phụ và minh chứng cá nhân.</v>
      </c>
      <c r="I2160" t="s">
        <v>22</v>
      </c>
      <c r="J2160" t="s">
        <v>4838</v>
      </c>
      <c r="K2160" t="str">
        <f>IF(I2160="Trung bình",'Huong dan giao do an'!$B$8,IF(I2160="Khá",'Huong dan giao do an'!$B$9,'Huong dan giao do an'!$B$10))</f>
        <v>Tối thiểu 4 actor; 10-14 use case; 8-12 bảng; 3 quy trình lõi; phân quyền chi tiết; 2 báo cáo; tích hợp 1 dịch vụ; &gt;=35 test case; CI/CD hoặc deploy cloud.</v>
      </c>
      <c r="L2160" t="str">
        <f>'Huong dan giao do an'!$B$31</f>
        <v>Bắt buộc: Charter/PMP; SRS + scope/WBS; Gantt/baseline; effort-cost budget; RACI/timesheet; quality-test-defect; communication/minutes; risk register; procurement; change log; closure/lessons learned.</v>
      </c>
      <c r="M2160" t="str">
        <f>'Huong dan giao do an'!$B$33</f>
        <v>Tuần 1: 07.09–13.09.2026; Tuần 2: 14.09–20.09.2026; Tuần 3: 21.09–27.09.2026; Tuần 4: 28.09–04.10.2026; Tuần 5: 05.10–11.10.2026; Tuần 6: 12.10–18.10.2026; Tuần 7: 19.10–25.10.2026; Tuần 8: 26.10–01.11.2026.</v>
      </c>
      <c r="N21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0" s="17" t="str">
        <f t="shared" si="33"/>
        <v>Còn trống</v>
      </c>
    </row>
    <row r="2161" spans="1:16" x14ac:dyDescent="0.3">
      <c r="A2161">
        <v>2160</v>
      </c>
      <c r="B2161" t="s">
        <v>4833</v>
      </c>
      <c r="C2161" t="s">
        <v>4980</v>
      </c>
      <c r="D2161" t="s">
        <v>4981</v>
      </c>
      <c r="E2161" t="s">
        <v>19</v>
      </c>
      <c r="F2161" t="s">
        <v>4855</v>
      </c>
      <c r="G2161" t="s">
        <v>4901</v>
      </c>
      <c r="H2161" t="str">
        <f>'Huong dan giao do an'!$B$14</f>
        <v>5 SV (vai trò chính): 1 PM/Scrum Master kiêm Integration; 2 BA/PO; 3 UI-UX + Frontend; 4 Backend/API + DevOps; 5 Database + QA/Tester. Mỗi SV có nhiệm vụ phụ và minh chứng cá nhân.</v>
      </c>
      <c r="I2161" t="s">
        <v>29</v>
      </c>
      <c r="J2161" t="s">
        <v>4843</v>
      </c>
      <c r="K2161" t="str">
        <f>IF(I2161="Trung bình",'Huong dan giao do an'!$B$8,IF(I2161="Khá",'Huong dan giao do an'!$B$9,'Huong dan giao do an'!$B$10))</f>
        <v>Tối thiểu 5 actor; 14-18 use case; 10-15 bảng; 4 quy trình; tích hợp ngoài/realtime hoặc xử lý nâng cao; 3 báo cáo; &gt;=45 test case; logging, backup và deploy.</v>
      </c>
      <c r="L2161" t="str">
        <f>'Huong dan giao do an'!$B$31</f>
        <v>Bắt buộc: Charter/PMP; SRS + scope/WBS; Gantt/baseline; effort-cost budget; RACI/timesheet; quality-test-defect; communication/minutes; risk register; procurement; change log; closure/lessons learned.</v>
      </c>
      <c r="M2161" t="str">
        <f>'Huong dan giao do an'!$B$33</f>
        <v>Tuần 1: 07.09–13.09.2026; Tuần 2: 14.09–20.09.2026; Tuần 3: 21.09–27.09.2026; Tuần 4: 28.09–04.10.2026; Tuần 5: 05.10–11.10.2026; Tuần 6: 12.10–18.10.2026; Tuần 7: 19.10–25.10.2026; Tuần 8: 26.10–01.11.2026.</v>
      </c>
      <c r="N21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1" s="17" t="str">
        <f t="shared" si="33"/>
        <v>Còn trống</v>
      </c>
    </row>
    <row r="2162" spans="1:16" x14ac:dyDescent="0.3">
      <c r="A2162">
        <v>2161</v>
      </c>
      <c r="B2162" t="s">
        <v>4833</v>
      </c>
      <c r="C2162" t="s">
        <v>4982</v>
      </c>
      <c r="D2162" t="s">
        <v>4983</v>
      </c>
      <c r="E2162" t="s">
        <v>26</v>
      </c>
      <c r="F2162" t="s">
        <v>4836</v>
      </c>
      <c r="G2162" t="s">
        <v>4837</v>
      </c>
      <c r="H2162" t="str">
        <f>'Huong dan giao do an'!$B$14</f>
        <v>5 SV (vai trò chính): 1 PM/Scrum Master kiêm Integration; 2 BA/PO; 3 UI-UX + Frontend; 4 Backend/API + DevOps; 5 Database + QA/Tester. Mỗi SV có nhiệm vụ phụ và minh chứng cá nhân.</v>
      </c>
      <c r="I2162" t="s">
        <v>22</v>
      </c>
      <c r="J2162" t="s">
        <v>4838</v>
      </c>
      <c r="K2162" t="str">
        <f>IF(I2162="Trung bình",'Huong dan giao do an'!$B$8,IF(I2162="Khá",'Huong dan giao do an'!$B$9,'Huong dan giao do an'!$B$10))</f>
        <v>Tối thiểu 4 actor; 10-14 use case; 8-12 bảng; 3 quy trình lõi; phân quyền chi tiết; 2 báo cáo; tích hợp 1 dịch vụ; &gt;=35 test case; CI/CD hoặc deploy cloud.</v>
      </c>
      <c r="L2162" t="str">
        <f>'Huong dan giao do an'!$B$31</f>
        <v>Bắt buộc: Charter/PMP; SRS + scope/WBS; Gantt/baseline; effort-cost budget; RACI/timesheet; quality-test-defect; communication/minutes; risk register; procurement; change log; closure/lessons learned.</v>
      </c>
      <c r="M2162" t="str">
        <f>'Huong dan giao do an'!$B$33</f>
        <v>Tuần 1: 07.09–13.09.2026; Tuần 2: 14.09–20.09.2026; Tuần 3: 21.09–27.09.2026; Tuần 4: 28.09–04.10.2026; Tuần 5: 05.10–11.10.2026; Tuần 6: 12.10–18.10.2026; Tuần 7: 19.10–25.10.2026; Tuần 8: 26.10–01.11.2026.</v>
      </c>
      <c r="N21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2" s="17" t="str">
        <f t="shared" si="33"/>
        <v>Còn trống</v>
      </c>
    </row>
    <row r="2163" spans="1:16" x14ac:dyDescent="0.3">
      <c r="A2163">
        <v>2162</v>
      </c>
      <c r="B2163" t="s">
        <v>4833</v>
      </c>
      <c r="C2163" t="s">
        <v>4984</v>
      </c>
      <c r="D2163" t="s">
        <v>4985</v>
      </c>
      <c r="E2163" t="s">
        <v>33</v>
      </c>
      <c r="F2163" t="s">
        <v>4841</v>
      </c>
      <c r="G2163" t="s">
        <v>4842</v>
      </c>
      <c r="H2163" t="str">
        <f>'Huong dan giao do an'!$B$14</f>
        <v>5 SV (vai trò chính): 1 PM/Scrum Master kiêm Integration; 2 BA/PO; 3 UI-UX + Frontend; 4 Backend/API + DevOps; 5 Database + QA/Tester. Mỗi SV có nhiệm vụ phụ và minh chứng cá nhân.</v>
      </c>
      <c r="I2163" t="s">
        <v>29</v>
      </c>
      <c r="J2163" t="s">
        <v>4843</v>
      </c>
      <c r="K2163" t="str">
        <f>IF(I2163="Trung bình",'Huong dan giao do an'!$B$8,IF(I2163="Khá",'Huong dan giao do an'!$B$9,'Huong dan giao do an'!$B$10))</f>
        <v>Tối thiểu 5 actor; 14-18 use case; 10-15 bảng; 4 quy trình; tích hợp ngoài/realtime hoặc xử lý nâng cao; 3 báo cáo; &gt;=45 test case; logging, backup và deploy.</v>
      </c>
      <c r="L2163" t="str">
        <f>'Huong dan giao do an'!$B$31</f>
        <v>Bắt buộc: Charter/PMP; SRS + scope/WBS; Gantt/baseline; effort-cost budget; RACI/timesheet; quality-test-defect; communication/minutes; risk register; procurement; change log; closure/lessons learned.</v>
      </c>
      <c r="M2163" t="str">
        <f>'Huong dan giao do an'!$B$33</f>
        <v>Tuần 1: 07.09–13.09.2026; Tuần 2: 14.09–20.09.2026; Tuần 3: 21.09–27.09.2026; Tuần 4: 28.09–04.10.2026; Tuần 5: 05.10–11.10.2026; Tuần 6: 12.10–18.10.2026; Tuần 7: 19.10–25.10.2026; Tuần 8: 26.10–01.11.2026.</v>
      </c>
      <c r="N21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3" s="17" t="str">
        <f t="shared" si="33"/>
        <v>Còn trống</v>
      </c>
    </row>
    <row r="2164" spans="1:16" x14ac:dyDescent="0.3">
      <c r="A2164">
        <v>2163</v>
      </c>
      <c r="B2164" t="s">
        <v>4833</v>
      </c>
      <c r="C2164" t="s">
        <v>4986</v>
      </c>
      <c r="D2164" t="s">
        <v>4987</v>
      </c>
      <c r="E2164" t="s">
        <v>40</v>
      </c>
      <c r="F2164" t="s">
        <v>4846</v>
      </c>
      <c r="G2164" t="s">
        <v>4847</v>
      </c>
      <c r="H2164" t="str">
        <f>'Huong dan giao do an'!$B$14</f>
        <v>5 SV (vai trò chính): 1 PM/Scrum Master kiêm Integration; 2 BA/PO; 3 UI-UX + Frontend; 4 Backend/API + DevOps; 5 Database + QA/Tester. Mỗi SV có nhiệm vụ phụ và minh chứng cá nhân.</v>
      </c>
      <c r="I2164" t="s">
        <v>36</v>
      </c>
      <c r="J2164" t="s">
        <v>4848</v>
      </c>
      <c r="K2164" t="str">
        <f>IF(I2164="Trung bình",'Huong dan giao do an'!$B$8,IF(I2164="Khá",'Huong dan giao do an'!$B$9,'Huong dan giao do an'!$B$10))</f>
        <v>Tối thiểu 3 actor; 8-10 use case; 6-8 bảng dữ liệu; 2 quy trình lõi; đăng nhập/RBAC; 1 dashboard; 1 báo cáo; &gt;=25 test case; triển khai bản demo.</v>
      </c>
      <c r="L2164" t="str">
        <f>'Huong dan giao do an'!$B$31</f>
        <v>Bắt buộc: Charter/PMP; SRS + scope/WBS; Gantt/baseline; effort-cost budget; RACI/timesheet; quality-test-defect; communication/minutes; risk register; procurement; change log; closure/lessons learned.</v>
      </c>
      <c r="M2164" t="str">
        <f>'Huong dan giao do an'!$B$33</f>
        <v>Tuần 1: 07.09–13.09.2026; Tuần 2: 14.09–20.09.2026; Tuần 3: 21.09–27.09.2026; Tuần 4: 28.09–04.10.2026; Tuần 5: 05.10–11.10.2026; Tuần 6: 12.10–18.10.2026; Tuần 7: 19.10–25.10.2026; Tuần 8: 26.10–01.11.2026.</v>
      </c>
      <c r="N21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4" s="17" t="str">
        <f t="shared" si="33"/>
        <v>Còn trống</v>
      </c>
    </row>
    <row r="2165" spans="1:16" x14ac:dyDescent="0.3">
      <c r="A2165">
        <v>2164</v>
      </c>
      <c r="B2165" t="s">
        <v>4833</v>
      </c>
      <c r="C2165" t="s">
        <v>4988</v>
      </c>
      <c r="D2165" t="s">
        <v>4989</v>
      </c>
      <c r="E2165" t="s">
        <v>45</v>
      </c>
      <c r="F2165" t="s">
        <v>4851</v>
      </c>
      <c r="G2165" t="s">
        <v>4852</v>
      </c>
      <c r="H2165" t="str">
        <f>'Huong dan giao do an'!$B$14</f>
        <v>5 SV (vai trò chính): 1 PM/Scrum Master kiêm Integration; 2 BA/PO; 3 UI-UX + Frontend; 4 Backend/API + DevOps; 5 Database + QA/Tester. Mỗi SV có nhiệm vụ phụ và minh chứng cá nhân.</v>
      </c>
      <c r="I2165" t="s">
        <v>22</v>
      </c>
      <c r="J2165" t="s">
        <v>4838</v>
      </c>
      <c r="K2165" t="str">
        <f>IF(I2165="Trung bình",'Huong dan giao do an'!$B$8,IF(I2165="Khá",'Huong dan giao do an'!$B$9,'Huong dan giao do an'!$B$10))</f>
        <v>Tối thiểu 4 actor; 10-14 use case; 8-12 bảng; 3 quy trình lõi; phân quyền chi tiết; 2 báo cáo; tích hợp 1 dịch vụ; &gt;=35 test case; CI/CD hoặc deploy cloud.</v>
      </c>
      <c r="L2165" t="str">
        <f>'Huong dan giao do an'!$B$31</f>
        <v>Bắt buộc: Charter/PMP; SRS + scope/WBS; Gantt/baseline; effort-cost budget; RACI/timesheet; quality-test-defect; communication/minutes; risk register; procurement; change log; closure/lessons learned.</v>
      </c>
      <c r="M2165" t="str">
        <f>'Huong dan giao do an'!$B$33</f>
        <v>Tuần 1: 07.09–13.09.2026; Tuần 2: 14.09–20.09.2026; Tuần 3: 21.09–27.09.2026; Tuần 4: 28.09–04.10.2026; Tuần 5: 05.10–11.10.2026; Tuần 6: 12.10–18.10.2026; Tuần 7: 19.10–25.10.2026; Tuần 8: 26.10–01.11.2026.</v>
      </c>
      <c r="N21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5" s="17" t="str">
        <f t="shared" si="33"/>
        <v>Còn trống</v>
      </c>
    </row>
    <row r="2166" spans="1:16" x14ac:dyDescent="0.3">
      <c r="A2166">
        <v>2165</v>
      </c>
      <c r="B2166" t="s">
        <v>4833</v>
      </c>
      <c r="C2166" t="s">
        <v>4990</v>
      </c>
      <c r="D2166" t="s">
        <v>4991</v>
      </c>
      <c r="E2166" t="s">
        <v>19</v>
      </c>
      <c r="F2166" t="s">
        <v>4855</v>
      </c>
      <c r="G2166" t="s">
        <v>4856</v>
      </c>
      <c r="H2166" t="str">
        <f>'Huong dan giao do an'!$B$14</f>
        <v>5 SV (vai trò chính): 1 PM/Scrum Master kiêm Integration; 2 BA/PO; 3 UI-UX + Frontend; 4 Backend/API + DevOps; 5 Database + QA/Tester. Mỗi SV có nhiệm vụ phụ và minh chứng cá nhân.</v>
      </c>
      <c r="I2166" t="s">
        <v>29</v>
      </c>
      <c r="J2166" t="s">
        <v>4843</v>
      </c>
      <c r="K2166" t="str">
        <f>IF(I2166="Trung bình",'Huong dan giao do an'!$B$8,IF(I2166="Khá",'Huong dan giao do an'!$B$9,'Huong dan giao do an'!$B$10))</f>
        <v>Tối thiểu 5 actor; 14-18 use case; 10-15 bảng; 4 quy trình; tích hợp ngoài/realtime hoặc xử lý nâng cao; 3 báo cáo; &gt;=45 test case; logging, backup và deploy.</v>
      </c>
      <c r="L2166" t="str">
        <f>'Huong dan giao do an'!$B$31</f>
        <v>Bắt buộc: Charter/PMP; SRS + scope/WBS; Gantt/baseline; effort-cost budget; RACI/timesheet; quality-test-defect; communication/minutes; risk register; procurement; change log; closure/lessons learned.</v>
      </c>
      <c r="M2166" t="str">
        <f>'Huong dan giao do an'!$B$33</f>
        <v>Tuần 1: 07.09–13.09.2026; Tuần 2: 14.09–20.09.2026; Tuần 3: 21.09–27.09.2026; Tuần 4: 28.09–04.10.2026; Tuần 5: 05.10–11.10.2026; Tuần 6: 12.10–18.10.2026; Tuần 7: 19.10–25.10.2026; Tuần 8: 26.10–01.11.2026.</v>
      </c>
      <c r="N21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6" s="17" t="str">
        <f t="shared" si="33"/>
        <v>Còn trống</v>
      </c>
    </row>
    <row r="2167" spans="1:16" x14ac:dyDescent="0.3">
      <c r="A2167">
        <v>2166</v>
      </c>
      <c r="B2167" t="s">
        <v>4833</v>
      </c>
      <c r="C2167" t="s">
        <v>4992</v>
      </c>
      <c r="D2167" t="s">
        <v>4993</v>
      </c>
      <c r="E2167" t="s">
        <v>26</v>
      </c>
      <c r="F2167" t="s">
        <v>4836</v>
      </c>
      <c r="G2167" t="s">
        <v>4859</v>
      </c>
      <c r="H2167" t="str">
        <f>'Huong dan giao do an'!$B$14</f>
        <v>5 SV (vai trò chính): 1 PM/Scrum Master kiêm Integration; 2 BA/PO; 3 UI-UX + Frontend; 4 Backend/API + DevOps; 5 Database + QA/Tester. Mỗi SV có nhiệm vụ phụ và minh chứng cá nhân.</v>
      </c>
      <c r="I2167" t="s">
        <v>36</v>
      </c>
      <c r="J2167" t="s">
        <v>4848</v>
      </c>
      <c r="K2167" t="str">
        <f>IF(I2167="Trung bình",'Huong dan giao do an'!$B$8,IF(I2167="Khá",'Huong dan giao do an'!$B$9,'Huong dan giao do an'!$B$10))</f>
        <v>Tối thiểu 3 actor; 8-10 use case; 6-8 bảng dữ liệu; 2 quy trình lõi; đăng nhập/RBAC; 1 dashboard; 1 báo cáo; &gt;=25 test case; triển khai bản demo.</v>
      </c>
      <c r="L2167" t="str">
        <f>'Huong dan giao do an'!$B$31</f>
        <v>Bắt buộc: Charter/PMP; SRS + scope/WBS; Gantt/baseline; effort-cost budget; RACI/timesheet; quality-test-defect; communication/minutes; risk register; procurement; change log; closure/lessons learned.</v>
      </c>
      <c r="M2167" t="str">
        <f>'Huong dan giao do an'!$B$33</f>
        <v>Tuần 1: 07.09–13.09.2026; Tuần 2: 14.09–20.09.2026; Tuần 3: 21.09–27.09.2026; Tuần 4: 28.09–04.10.2026; Tuần 5: 05.10–11.10.2026; Tuần 6: 12.10–18.10.2026; Tuần 7: 19.10–25.10.2026; Tuần 8: 26.10–01.11.2026.</v>
      </c>
      <c r="N21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7" s="17" t="str">
        <f t="shared" si="33"/>
        <v>Còn trống</v>
      </c>
    </row>
    <row r="2168" spans="1:16" x14ac:dyDescent="0.3">
      <c r="A2168">
        <v>2167</v>
      </c>
      <c r="B2168" t="s">
        <v>4833</v>
      </c>
      <c r="C2168" t="s">
        <v>4994</v>
      </c>
      <c r="D2168" t="s">
        <v>4995</v>
      </c>
      <c r="E2168" t="s">
        <v>33</v>
      </c>
      <c r="F2168" t="s">
        <v>4841</v>
      </c>
      <c r="G2168" t="s">
        <v>4862</v>
      </c>
      <c r="H2168" t="str">
        <f>'Huong dan giao do an'!$B$14</f>
        <v>5 SV (vai trò chính): 1 PM/Scrum Master kiêm Integration; 2 BA/PO; 3 UI-UX + Frontend; 4 Backend/API + DevOps; 5 Database + QA/Tester. Mỗi SV có nhiệm vụ phụ và minh chứng cá nhân.</v>
      </c>
      <c r="I2168" t="s">
        <v>22</v>
      </c>
      <c r="J2168" t="s">
        <v>4838</v>
      </c>
      <c r="K2168" t="str">
        <f>IF(I2168="Trung bình",'Huong dan giao do an'!$B$8,IF(I2168="Khá",'Huong dan giao do an'!$B$9,'Huong dan giao do an'!$B$10))</f>
        <v>Tối thiểu 4 actor; 10-14 use case; 8-12 bảng; 3 quy trình lõi; phân quyền chi tiết; 2 báo cáo; tích hợp 1 dịch vụ; &gt;=35 test case; CI/CD hoặc deploy cloud.</v>
      </c>
      <c r="L2168" t="str">
        <f>'Huong dan giao do an'!$B$31</f>
        <v>Bắt buộc: Charter/PMP; SRS + scope/WBS; Gantt/baseline; effort-cost budget; RACI/timesheet; quality-test-defect; communication/minutes; risk register; procurement; change log; closure/lessons learned.</v>
      </c>
      <c r="M2168" t="str">
        <f>'Huong dan giao do an'!$B$33</f>
        <v>Tuần 1: 07.09–13.09.2026; Tuần 2: 14.09–20.09.2026; Tuần 3: 21.09–27.09.2026; Tuần 4: 28.09–04.10.2026; Tuần 5: 05.10–11.10.2026; Tuần 6: 12.10–18.10.2026; Tuần 7: 19.10–25.10.2026; Tuần 8: 26.10–01.11.2026.</v>
      </c>
      <c r="N21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8" s="17" t="str">
        <f t="shared" si="33"/>
        <v>Còn trống</v>
      </c>
    </row>
    <row r="2169" spans="1:16" x14ac:dyDescent="0.3">
      <c r="A2169">
        <v>2168</v>
      </c>
      <c r="B2169" t="s">
        <v>4833</v>
      </c>
      <c r="C2169" t="s">
        <v>4996</v>
      </c>
      <c r="D2169" t="s">
        <v>4997</v>
      </c>
      <c r="E2169" t="s">
        <v>40</v>
      </c>
      <c r="F2169" t="s">
        <v>4846</v>
      </c>
      <c r="G2169" t="s">
        <v>4865</v>
      </c>
      <c r="H2169" t="str">
        <f>'Huong dan giao do an'!$B$14</f>
        <v>5 SV (vai trò chính): 1 PM/Scrum Master kiêm Integration; 2 BA/PO; 3 UI-UX + Frontend; 4 Backend/API + DevOps; 5 Database + QA/Tester. Mỗi SV có nhiệm vụ phụ và minh chứng cá nhân.</v>
      </c>
      <c r="I2169" t="s">
        <v>29</v>
      </c>
      <c r="J2169" t="s">
        <v>4843</v>
      </c>
      <c r="K2169" t="str">
        <f>IF(I2169="Trung bình",'Huong dan giao do an'!$B$8,IF(I2169="Khá",'Huong dan giao do an'!$B$9,'Huong dan giao do an'!$B$10))</f>
        <v>Tối thiểu 5 actor; 14-18 use case; 10-15 bảng; 4 quy trình; tích hợp ngoài/realtime hoặc xử lý nâng cao; 3 báo cáo; &gt;=45 test case; logging, backup và deploy.</v>
      </c>
      <c r="L2169" t="str">
        <f>'Huong dan giao do an'!$B$31</f>
        <v>Bắt buộc: Charter/PMP; SRS + scope/WBS; Gantt/baseline; effort-cost budget; RACI/timesheet; quality-test-defect; communication/minutes; risk register; procurement; change log; closure/lessons learned.</v>
      </c>
      <c r="M2169" t="str">
        <f>'Huong dan giao do an'!$B$33</f>
        <v>Tuần 1: 07.09–13.09.2026; Tuần 2: 14.09–20.09.2026; Tuần 3: 21.09–27.09.2026; Tuần 4: 28.09–04.10.2026; Tuần 5: 05.10–11.10.2026; Tuần 6: 12.10–18.10.2026; Tuần 7: 19.10–25.10.2026; Tuần 8: 26.10–01.11.2026.</v>
      </c>
      <c r="N21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69" s="17" t="str">
        <f t="shared" si="33"/>
        <v>Còn trống</v>
      </c>
    </row>
    <row r="2170" spans="1:16" x14ac:dyDescent="0.3">
      <c r="A2170">
        <v>2169</v>
      </c>
      <c r="B2170" t="s">
        <v>4833</v>
      </c>
      <c r="C2170" t="s">
        <v>4998</v>
      </c>
      <c r="D2170" t="s">
        <v>4999</v>
      </c>
      <c r="E2170" t="s">
        <v>45</v>
      </c>
      <c r="F2170" t="s">
        <v>4851</v>
      </c>
      <c r="G2170" t="s">
        <v>4868</v>
      </c>
      <c r="H2170" t="str">
        <f>'Huong dan giao do an'!$B$14</f>
        <v>5 SV (vai trò chính): 1 PM/Scrum Master kiêm Integration; 2 BA/PO; 3 UI-UX + Frontend; 4 Backend/API + DevOps; 5 Database + QA/Tester. Mỗi SV có nhiệm vụ phụ và minh chứng cá nhân.</v>
      </c>
      <c r="I2170" t="s">
        <v>36</v>
      </c>
      <c r="J2170" t="s">
        <v>4848</v>
      </c>
      <c r="K2170" t="str">
        <f>IF(I2170="Trung bình",'Huong dan giao do an'!$B$8,IF(I2170="Khá",'Huong dan giao do an'!$B$9,'Huong dan giao do an'!$B$10))</f>
        <v>Tối thiểu 3 actor; 8-10 use case; 6-8 bảng dữ liệu; 2 quy trình lõi; đăng nhập/RBAC; 1 dashboard; 1 báo cáo; &gt;=25 test case; triển khai bản demo.</v>
      </c>
      <c r="L2170" t="str">
        <f>'Huong dan giao do an'!$B$31</f>
        <v>Bắt buộc: Charter/PMP; SRS + scope/WBS; Gantt/baseline; effort-cost budget; RACI/timesheet; quality-test-defect; communication/minutes; risk register; procurement; change log; closure/lessons learned.</v>
      </c>
      <c r="M2170" t="str">
        <f>'Huong dan giao do an'!$B$33</f>
        <v>Tuần 1: 07.09–13.09.2026; Tuần 2: 14.09–20.09.2026; Tuần 3: 21.09–27.09.2026; Tuần 4: 28.09–04.10.2026; Tuần 5: 05.10–11.10.2026; Tuần 6: 12.10–18.10.2026; Tuần 7: 19.10–25.10.2026; Tuần 8: 26.10–01.11.2026.</v>
      </c>
      <c r="N21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0" s="17" t="str">
        <f t="shared" si="33"/>
        <v>Còn trống</v>
      </c>
    </row>
    <row r="2171" spans="1:16" x14ac:dyDescent="0.3">
      <c r="A2171">
        <v>2170</v>
      </c>
      <c r="B2171" t="s">
        <v>4833</v>
      </c>
      <c r="C2171" t="s">
        <v>5000</v>
      </c>
      <c r="D2171" t="s">
        <v>5001</v>
      </c>
      <c r="E2171" t="s">
        <v>19</v>
      </c>
      <c r="F2171" t="s">
        <v>4855</v>
      </c>
      <c r="G2171" t="s">
        <v>4871</v>
      </c>
      <c r="H2171" t="str">
        <f>'Huong dan giao do an'!$B$14</f>
        <v>5 SV (vai trò chính): 1 PM/Scrum Master kiêm Integration; 2 BA/PO; 3 UI-UX + Frontend; 4 Backend/API + DevOps; 5 Database + QA/Tester. Mỗi SV có nhiệm vụ phụ và minh chứng cá nhân.</v>
      </c>
      <c r="I2171" t="s">
        <v>22</v>
      </c>
      <c r="J2171" t="s">
        <v>4838</v>
      </c>
      <c r="K2171" t="str">
        <f>IF(I2171="Trung bình",'Huong dan giao do an'!$B$8,IF(I2171="Khá",'Huong dan giao do an'!$B$9,'Huong dan giao do an'!$B$10))</f>
        <v>Tối thiểu 4 actor; 10-14 use case; 8-12 bảng; 3 quy trình lõi; phân quyền chi tiết; 2 báo cáo; tích hợp 1 dịch vụ; &gt;=35 test case; CI/CD hoặc deploy cloud.</v>
      </c>
      <c r="L2171" t="str">
        <f>'Huong dan giao do an'!$B$31</f>
        <v>Bắt buộc: Charter/PMP; SRS + scope/WBS; Gantt/baseline; effort-cost budget; RACI/timesheet; quality-test-defect; communication/minutes; risk register; procurement; change log; closure/lessons learned.</v>
      </c>
      <c r="M2171" t="str">
        <f>'Huong dan giao do an'!$B$33</f>
        <v>Tuần 1: 07.09–13.09.2026; Tuần 2: 14.09–20.09.2026; Tuần 3: 21.09–27.09.2026; Tuần 4: 28.09–04.10.2026; Tuần 5: 05.10–11.10.2026; Tuần 6: 12.10–18.10.2026; Tuần 7: 19.10–25.10.2026; Tuần 8: 26.10–01.11.2026.</v>
      </c>
      <c r="N21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1" s="17" t="str">
        <f t="shared" si="33"/>
        <v>Còn trống</v>
      </c>
    </row>
    <row r="2172" spans="1:16" x14ac:dyDescent="0.3">
      <c r="A2172">
        <v>2171</v>
      </c>
      <c r="B2172" t="s">
        <v>4833</v>
      </c>
      <c r="C2172" t="s">
        <v>5002</v>
      </c>
      <c r="D2172" t="s">
        <v>5003</v>
      </c>
      <c r="E2172" t="s">
        <v>26</v>
      </c>
      <c r="F2172" t="s">
        <v>4836</v>
      </c>
      <c r="G2172" t="s">
        <v>4874</v>
      </c>
      <c r="H2172" t="str">
        <f>'Huong dan giao do an'!$B$14</f>
        <v>5 SV (vai trò chính): 1 PM/Scrum Master kiêm Integration; 2 BA/PO; 3 UI-UX + Frontend; 4 Backend/API + DevOps; 5 Database + QA/Tester. Mỗi SV có nhiệm vụ phụ và minh chứng cá nhân.</v>
      </c>
      <c r="I2172" t="s">
        <v>29</v>
      </c>
      <c r="J2172" t="s">
        <v>4843</v>
      </c>
      <c r="K2172" t="str">
        <f>IF(I2172="Trung bình",'Huong dan giao do an'!$B$8,IF(I2172="Khá",'Huong dan giao do an'!$B$9,'Huong dan giao do an'!$B$10))</f>
        <v>Tối thiểu 5 actor; 14-18 use case; 10-15 bảng; 4 quy trình; tích hợp ngoài/realtime hoặc xử lý nâng cao; 3 báo cáo; &gt;=45 test case; logging, backup và deploy.</v>
      </c>
      <c r="L2172" t="str">
        <f>'Huong dan giao do an'!$B$31</f>
        <v>Bắt buộc: Charter/PMP; SRS + scope/WBS; Gantt/baseline; effort-cost budget; RACI/timesheet; quality-test-defect; communication/minutes; risk register; procurement; change log; closure/lessons learned.</v>
      </c>
      <c r="M2172" t="str">
        <f>'Huong dan giao do an'!$B$33</f>
        <v>Tuần 1: 07.09–13.09.2026; Tuần 2: 14.09–20.09.2026; Tuần 3: 21.09–27.09.2026; Tuần 4: 28.09–04.10.2026; Tuần 5: 05.10–11.10.2026; Tuần 6: 12.10–18.10.2026; Tuần 7: 19.10–25.10.2026; Tuần 8: 26.10–01.11.2026.</v>
      </c>
      <c r="N21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2" s="17" t="str">
        <f t="shared" si="33"/>
        <v>Còn trống</v>
      </c>
    </row>
    <row r="2173" spans="1:16" x14ac:dyDescent="0.3">
      <c r="A2173">
        <v>2172</v>
      </c>
      <c r="B2173" t="s">
        <v>4833</v>
      </c>
      <c r="C2173" t="s">
        <v>5004</v>
      </c>
      <c r="D2173" t="s">
        <v>5005</v>
      </c>
      <c r="E2173" t="s">
        <v>33</v>
      </c>
      <c r="F2173" t="s">
        <v>4841</v>
      </c>
      <c r="G2173" t="s">
        <v>4877</v>
      </c>
      <c r="H2173" t="str">
        <f>'Huong dan giao do an'!$B$14</f>
        <v>5 SV (vai trò chính): 1 PM/Scrum Master kiêm Integration; 2 BA/PO; 3 UI-UX + Frontend; 4 Backend/API + DevOps; 5 Database + QA/Tester. Mỗi SV có nhiệm vụ phụ và minh chứng cá nhân.</v>
      </c>
      <c r="I2173" t="s">
        <v>36</v>
      </c>
      <c r="J2173" t="s">
        <v>4848</v>
      </c>
      <c r="K2173" t="str">
        <f>IF(I2173="Trung bình",'Huong dan giao do an'!$B$8,IF(I2173="Khá",'Huong dan giao do an'!$B$9,'Huong dan giao do an'!$B$10))</f>
        <v>Tối thiểu 3 actor; 8-10 use case; 6-8 bảng dữ liệu; 2 quy trình lõi; đăng nhập/RBAC; 1 dashboard; 1 báo cáo; &gt;=25 test case; triển khai bản demo.</v>
      </c>
      <c r="L2173" t="str">
        <f>'Huong dan giao do an'!$B$31</f>
        <v>Bắt buộc: Charter/PMP; SRS + scope/WBS; Gantt/baseline; effort-cost budget; RACI/timesheet; quality-test-defect; communication/minutes; risk register; procurement; change log; closure/lessons learned.</v>
      </c>
      <c r="M2173" t="str">
        <f>'Huong dan giao do an'!$B$33</f>
        <v>Tuần 1: 07.09–13.09.2026; Tuần 2: 14.09–20.09.2026; Tuần 3: 21.09–27.09.2026; Tuần 4: 28.09–04.10.2026; Tuần 5: 05.10–11.10.2026; Tuần 6: 12.10–18.10.2026; Tuần 7: 19.10–25.10.2026; Tuần 8: 26.10–01.11.2026.</v>
      </c>
      <c r="N21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3" s="17" t="str">
        <f t="shared" si="33"/>
        <v>Còn trống</v>
      </c>
    </row>
    <row r="2174" spans="1:16" x14ac:dyDescent="0.3">
      <c r="A2174">
        <v>2173</v>
      </c>
      <c r="B2174" t="s">
        <v>4833</v>
      </c>
      <c r="C2174" t="s">
        <v>5006</v>
      </c>
      <c r="D2174" t="s">
        <v>5007</v>
      </c>
      <c r="E2174" t="s">
        <v>40</v>
      </c>
      <c r="F2174" t="s">
        <v>4846</v>
      </c>
      <c r="G2174" t="s">
        <v>4880</v>
      </c>
      <c r="H2174" t="str">
        <f>'Huong dan giao do an'!$B$14</f>
        <v>5 SV (vai trò chính): 1 PM/Scrum Master kiêm Integration; 2 BA/PO; 3 UI-UX + Frontend; 4 Backend/API + DevOps; 5 Database + QA/Tester. Mỗi SV có nhiệm vụ phụ và minh chứng cá nhân.</v>
      </c>
      <c r="I2174" t="s">
        <v>22</v>
      </c>
      <c r="J2174" t="s">
        <v>4838</v>
      </c>
      <c r="K2174" t="str">
        <f>IF(I2174="Trung bình",'Huong dan giao do an'!$B$8,IF(I2174="Khá",'Huong dan giao do an'!$B$9,'Huong dan giao do an'!$B$10))</f>
        <v>Tối thiểu 4 actor; 10-14 use case; 8-12 bảng; 3 quy trình lõi; phân quyền chi tiết; 2 báo cáo; tích hợp 1 dịch vụ; &gt;=35 test case; CI/CD hoặc deploy cloud.</v>
      </c>
      <c r="L2174" t="str">
        <f>'Huong dan giao do an'!$B$31</f>
        <v>Bắt buộc: Charter/PMP; SRS + scope/WBS; Gantt/baseline; effort-cost budget; RACI/timesheet; quality-test-defect; communication/minutes; risk register; procurement; change log; closure/lessons learned.</v>
      </c>
      <c r="M2174" t="str">
        <f>'Huong dan giao do an'!$B$33</f>
        <v>Tuần 1: 07.09–13.09.2026; Tuần 2: 14.09–20.09.2026; Tuần 3: 21.09–27.09.2026; Tuần 4: 28.09–04.10.2026; Tuần 5: 05.10–11.10.2026; Tuần 6: 12.10–18.10.2026; Tuần 7: 19.10–25.10.2026; Tuần 8: 26.10–01.11.2026.</v>
      </c>
      <c r="N21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4" s="17" t="str">
        <f t="shared" si="33"/>
        <v>Còn trống</v>
      </c>
    </row>
    <row r="2175" spans="1:16" x14ac:dyDescent="0.3">
      <c r="A2175">
        <v>2174</v>
      </c>
      <c r="B2175" t="s">
        <v>4833</v>
      </c>
      <c r="C2175" t="s">
        <v>5008</v>
      </c>
      <c r="D2175" t="s">
        <v>5009</v>
      </c>
      <c r="E2175" t="s">
        <v>45</v>
      </c>
      <c r="F2175" t="s">
        <v>4851</v>
      </c>
      <c r="G2175" t="s">
        <v>4883</v>
      </c>
      <c r="H2175" t="str">
        <f>'Huong dan giao do an'!$B$14</f>
        <v>5 SV (vai trò chính): 1 PM/Scrum Master kiêm Integration; 2 BA/PO; 3 UI-UX + Frontend; 4 Backend/API + DevOps; 5 Database + QA/Tester. Mỗi SV có nhiệm vụ phụ và minh chứng cá nhân.</v>
      </c>
      <c r="I2175" t="s">
        <v>29</v>
      </c>
      <c r="J2175" t="s">
        <v>4843</v>
      </c>
      <c r="K2175" t="str">
        <f>IF(I2175="Trung bình",'Huong dan giao do an'!$B$8,IF(I2175="Khá",'Huong dan giao do an'!$B$9,'Huong dan giao do an'!$B$10))</f>
        <v>Tối thiểu 5 actor; 14-18 use case; 10-15 bảng; 4 quy trình; tích hợp ngoài/realtime hoặc xử lý nâng cao; 3 báo cáo; &gt;=45 test case; logging, backup và deploy.</v>
      </c>
      <c r="L2175" t="str">
        <f>'Huong dan giao do an'!$B$31</f>
        <v>Bắt buộc: Charter/PMP; SRS + scope/WBS; Gantt/baseline; effort-cost budget; RACI/timesheet; quality-test-defect; communication/minutes; risk register; procurement; change log; closure/lessons learned.</v>
      </c>
      <c r="M2175" t="str">
        <f>'Huong dan giao do an'!$B$33</f>
        <v>Tuần 1: 07.09–13.09.2026; Tuần 2: 14.09–20.09.2026; Tuần 3: 21.09–27.09.2026; Tuần 4: 28.09–04.10.2026; Tuần 5: 05.10–11.10.2026; Tuần 6: 12.10–18.10.2026; Tuần 7: 19.10–25.10.2026; Tuần 8: 26.10–01.11.2026.</v>
      </c>
      <c r="N21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5" s="17" t="str">
        <f t="shared" si="33"/>
        <v>Còn trống</v>
      </c>
    </row>
    <row r="2176" spans="1:16" x14ac:dyDescent="0.3">
      <c r="A2176">
        <v>2175</v>
      </c>
      <c r="B2176" t="s">
        <v>4833</v>
      </c>
      <c r="C2176" t="s">
        <v>5010</v>
      </c>
      <c r="D2176" t="s">
        <v>5011</v>
      </c>
      <c r="E2176" t="s">
        <v>19</v>
      </c>
      <c r="F2176" t="s">
        <v>4855</v>
      </c>
      <c r="G2176" t="s">
        <v>4886</v>
      </c>
      <c r="H2176" t="str">
        <f>'Huong dan giao do an'!$B$14</f>
        <v>5 SV (vai trò chính): 1 PM/Scrum Master kiêm Integration; 2 BA/PO; 3 UI-UX + Frontend; 4 Backend/API + DevOps; 5 Database + QA/Tester. Mỗi SV có nhiệm vụ phụ và minh chứng cá nhân.</v>
      </c>
      <c r="I2176" t="s">
        <v>36</v>
      </c>
      <c r="J2176" t="s">
        <v>4848</v>
      </c>
      <c r="K2176" t="str">
        <f>IF(I2176="Trung bình",'Huong dan giao do an'!$B$8,IF(I2176="Khá",'Huong dan giao do an'!$B$9,'Huong dan giao do an'!$B$10))</f>
        <v>Tối thiểu 3 actor; 8-10 use case; 6-8 bảng dữ liệu; 2 quy trình lõi; đăng nhập/RBAC; 1 dashboard; 1 báo cáo; &gt;=25 test case; triển khai bản demo.</v>
      </c>
      <c r="L2176" t="str">
        <f>'Huong dan giao do an'!$B$31</f>
        <v>Bắt buộc: Charter/PMP; SRS + scope/WBS; Gantt/baseline; effort-cost budget; RACI/timesheet; quality-test-defect; communication/minutes; risk register; procurement; change log; closure/lessons learned.</v>
      </c>
      <c r="M2176" t="str">
        <f>'Huong dan giao do an'!$B$33</f>
        <v>Tuần 1: 07.09–13.09.2026; Tuần 2: 14.09–20.09.2026; Tuần 3: 21.09–27.09.2026; Tuần 4: 28.09–04.10.2026; Tuần 5: 05.10–11.10.2026; Tuần 6: 12.10–18.10.2026; Tuần 7: 19.10–25.10.2026; Tuần 8: 26.10–01.11.2026.</v>
      </c>
      <c r="N21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6" s="17" t="str">
        <f t="shared" si="33"/>
        <v>Còn trống</v>
      </c>
    </row>
    <row r="2177" spans="1:16" x14ac:dyDescent="0.3">
      <c r="A2177">
        <v>2176</v>
      </c>
      <c r="B2177" t="s">
        <v>4833</v>
      </c>
      <c r="C2177" t="s">
        <v>5012</v>
      </c>
      <c r="D2177" t="s">
        <v>5013</v>
      </c>
      <c r="E2177" t="s">
        <v>26</v>
      </c>
      <c r="F2177" t="s">
        <v>4836</v>
      </c>
      <c r="G2177" t="s">
        <v>4889</v>
      </c>
      <c r="H2177" t="str">
        <f>'Huong dan giao do an'!$B$14</f>
        <v>5 SV (vai trò chính): 1 PM/Scrum Master kiêm Integration; 2 BA/PO; 3 UI-UX + Frontend; 4 Backend/API + DevOps; 5 Database + QA/Tester. Mỗi SV có nhiệm vụ phụ và minh chứng cá nhân.</v>
      </c>
      <c r="I2177" t="s">
        <v>22</v>
      </c>
      <c r="J2177" t="s">
        <v>4838</v>
      </c>
      <c r="K2177" t="str">
        <f>IF(I2177="Trung bình",'Huong dan giao do an'!$B$8,IF(I2177="Khá",'Huong dan giao do an'!$B$9,'Huong dan giao do an'!$B$10))</f>
        <v>Tối thiểu 4 actor; 10-14 use case; 8-12 bảng; 3 quy trình lõi; phân quyền chi tiết; 2 báo cáo; tích hợp 1 dịch vụ; &gt;=35 test case; CI/CD hoặc deploy cloud.</v>
      </c>
      <c r="L2177" t="str">
        <f>'Huong dan giao do an'!$B$31</f>
        <v>Bắt buộc: Charter/PMP; SRS + scope/WBS; Gantt/baseline; effort-cost budget; RACI/timesheet; quality-test-defect; communication/minutes; risk register; procurement; change log; closure/lessons learned.</v>
      </c>
      <c r="M2177" t="str">
        <f>'Huong dan giao do an'!$B$33</f>
        <v>Tuần 1: 07.09–13.09.2026; Tuần 2: 14.09–20.09.2026; Tuần 3: 21.09–27.09.2026; Tuần 4: 28.09–04.10.2026; Tuần 5: 05.10–11.10.2026; Tuần 6: 12.10–18.10.2026; Tuần 7: 19.10–25.10.2026; Tuần 8: 26.10–01.11.2026.</v>
      </c>
      <c r="N21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7" s="17" t="str">
        <f t="shared" si="33"/>
        <v>Còn trống</v>
      </c>
    </row>
    <row r="2178" spans="1:16" x14ac:dyDescent="0.3">
      <c r="A2178">
        <v>2177</v>
      </c>
      <c r="B2178" t="s">
        <v>4833</v>
      </c>
      <c r="C2178" t="s">
        <v>5014</v>
      </c>
      <c r="D2178" t="s">
        <v>5015</v>
      </c>
      <c r="E2178" t="s">
        <v>33</v>
      </c>
      <c r="F2178" t="s">
        <v>4841</v>
      </c>
      <c r="G2178" t="s">
        <v>4892</v>
      </c>
      <c r="H2178" t="str">
        <f>'Huong dan giao do an'!$B$14</f>
        <v>5 SV (vai trò chính): 1 PM/Scrum Master kiêm Integration; 2 BA/PO; 3 UI-UX + Frontend; 4 Backend/API + DevOps; 5 Database + QA/Tester. Mỗi SV có nhiệm vụ phụ và minh chứng cá nhân.</v>
      </c>
      <c r="I2178" t="s">
        <v>29</v>
      </c>
      <c r="J2178" t="s">
        <v>4843</v>
      </c>
      <c r="K2178" t="str">
        <f>IF(I2178="Trung bình",'Huong dan giao do an'!$B$8,IF(I2178="Khá",'Huong dan giao do an'!$B$9,'Huong dan giao do an'!$B$10))</f>
        <v>Tối thiểu 5 actor; 14-18 use case; 10-15 bảng; 4 quy trình; tích hợp ngoài/realtime hoặc xử lý nâng cao; 3 báo cáo; &gt;=45 test case; logging, backup và deploy.</v>
      </c>
      <c r="L2178" t="str">
        <f>'Huong dan giao do an'!$B$31</f>
        <v>Bắt buộc: Charter/PMP; SRS + scope/WBS; Gantt/baseline; effort-cost budget; RACI/timesheet; quality-test-defect; communication/minutes; risk register; procurement; change log; closure/lessons learned.</v>
      </c>
      <c r="M2178" t="str">
        <f>'Huong dan giao do an'!$B$33</f>
        <v>Tuần 1: 07.09–13.09.2026; Tuần 2: 14.09–20.09.2026; Tuần 3: 21.09–27.09.2026; Tuần 4: 28.09–04.10.2026; Tuần 5: 05.10–11.10.2026; Tuần 6: 12.10–18.10.2026; Tuần 7: 19.10–25.10.2026; Tuần 8: 26.10–01.11.2026.</v>
      </c>
      <c r="N21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8" s="17" t="str">
        <f t="shared" si="33"/>
        <v>Còn trống</v>
      </c>
    </row>
    <row r="2179" spans="1:16" x14ac:dyDescent="0.3">
      <c r="A2179">
        <v>2178</v>
      </c>
      <c r="B2179" t="s">
        <v>4833</v>
      </c>
      <c r="C2179" t="s">
        <v>5016</v>
      </c>
      <c r="D2179" t="s">
        <v>5017</v>
      </c>
      <c r="E2179" t="s">
        <v>40</v>
      </c>
      <c r="F2179" t="s">
        <v>4846</v>
      </c>
      <c r="G2179" t="s">
        <v>4895</v>
      </c>
      <c r="H2179" t="str">
        <f>'Huong dan giao do an'!$B$14</f>
        <v>5 SV (vai trò chính): 1 PM/Scrum Master kiêm Integration; 2 BA/PO; 3 UI-UX + Frontend; 4 Backend/API + DevOps; 5 Database + QA/Tester. Mỗi SV có nhiệm vụ phụ và minh chứng cá nhân.</v>
      </c>
      <c r="I2179" t="s">
        <v>36</v>
      </c>
      <c r="J2179" t="s">
        <v>4848</v>
      </c>
      <c r="K2179" t="str">
        <f>IF(I2179="Trung bình",'Huong dan giao do an'!$B$8,IF(I2179="Khá",'Huong dan giao do an'!$B$9,'Huong dan giao do an'!$B$10))</f>
        <v>Tối thiểu 3 actor; 8-10 use case; 6-8 bảng dữ liệu; 2 quy trình lõi; đăng nhập/RBAC; 1 dashboard; 1 báo cáo; &gt;=25 test case; triển khai bản demo.</v>
      </c>
      <c r="L2179" t="str">
        <f>'Huong dan giao do an'!$B$31</f>
        <v>Bắt buộc: Charter/PMP; SRS + scope/WBS; Gantt/baseline; effort-cost budget; RACI/timesheet; quality-test-defect; communication/minutes; risk register; procurement; change log; closure/lessons learned.</v>
      </c>
      <c r="M2179" t="str">
        <f>'Huong dan giao do an'!$B$33</f>
        <v>Tuần 1: 07.09–13.09.2026; Tuần 2: 14.09–20.09.2026; Tuần 3: 21.09–27.09.2026; Tuần 4: 28.09–04.10.2026; Tuần 5: 05.10–11.10.2026; Tuần 6: 12.10–18.10.2026; Tuần 7: 19.10–25.10.2026; Tuần 8: 26.10–01.11.2026.</v>
      </c>
      <c r="N21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79" s="17" t="str">
        <f t="shared" ref="P2179:P2242" si="34">IF(O2179="","Còn trống","Đã đăng ký")</f>
        <v>Còn trống</v>
      </c>
    </row>
    <row r="2180" spans="1:16" x14ac:dyDescent="0.3">
      <c r="A2180">
        <v>2179</v>
      </c>
      <c r="B2180" t="s">
        <v>4833</v>
      </c>
      <c r="C2180" t="s">
        <v>5018</v>
      </c>
      <c r="D2180" t="s">
        <v>5019</v>
      </c>
      <c r="E2180" t="s">
        <v>45</v>
      </c>
      <c r="F2180" t="s">
        <v>4851</v>
      </c>
      <c r="G2180" t="s">
        <v>4898</v>
      </c>
      <c r="H2180" t="str">
        <f>'Huong dan giao do an'!$B$14</f>
        <v>5 SV (vai trò chính): 1 PM/Scrum Master kiêm Integration; 2 BA/PO; 3 UI-UX + Frontend; 4 Backend/API + DevOps; 5 Database + QA/Tester. Mỗi SV có nhiệm vụ phụ và minh chứng cá nhân.</v>
      </c>
      <c r="I2180" t="s">
        <v>22</v>
      </c>
      <c r="J2180" t="s">
        <v>4838</v>
      </c>
      <c r="K2180" t="str">
        <f>IF(I2180="Trung bình",'Huong dan giao do an'!$B$8,IF(I2180="Khá",'Huong dan giao do an'!$B$9,'Huong dan giao do an'!$B$10))</f>
        <v>Tối thiểu 4 actor; 10-14 use case; 8-12 bảng; 3 quy trình lõi; phân quyền chi tiết; 2 báo cáo; tích hợp 1 dịch vụ; &gt;=35 test case; CI/CD hoặc deploy cloud.</v>
      </c>
      <c r="L2180" t="str">
        <f>'Huong dan giao do an'!$B$31</f>
        <v>Bắt buộc: Charter/PMP; SRS + scope/WBS; Gantt/baseline; effort-cost budget; RACI/timesheet; quality-test-defect; communication/minutes; risk register; procurement; change log; closure/lessons learned.</v>
      </c>
      <c r="M2180" t="str">
        <f>'Huong dan giao do an'!$B$33</f>
        <v>Tuần 1: 07.09–13.09.2026; Tuần 2: 14.09–20.09.2026; Tuần 3: 21.09–27.09.2026; Tuần 4: 28.09–04.10.2026; Tuần 5: 05.10–11.10.2026; Tuần 6: 12.10–18.10.2026; Tuần 7: 19.10–25.10.2026; Tuần 8: 26.10–01.11.2026.</v>
      </c>
      <c r="N21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0" s="17" t="str">
        <f t="shared" si="34"/>
        <v>Còn trống</v>
      </c>
    </row>
    <row r="2181" spans="1:16" x14ac:dyDescent="0.3">
      <c r="A2181">
        <v>2180</v>
      </c>
      <c r="B2181" t="s">
        <v>4833</v>
      </c>
      <c r="C2181" t="s">
        <v>5020</v>
      </c>
      <c r="D2181" t="s">
        <v>5021</v>
      </c>
      <c r="E2181" t="s">
        <v>19</v>
      </c>
      <c r="F2181" t="s">
        <v>4855</v>
      </c>
      <c r="G2181" t="s">
        <v>4901</v>
      </c>
      <c r="H2181" t="str">
        <f>'Huong dan giao do an'!$B$14</f>
        <v>5 SV (vai trò chính): 1 PM/Scrum Master kiêm Integration; 2 BA/PO; 3 UI-UX + Frontend; 4 Backend/API + DevOps; 5 Database + QA/Tester. Mỗi SV có nhiệm vụ phụ và minh chứng cá nhân.</v>
      </c>
      <c r="I2181" t="s">
        <v>29</v>
      </c>
      <c r="J2181" t="s">
        <v>4843</v>
      </c>
      <c r="K2181" t="str">
        <f>IF(I2181="Trung bình",'Huong dan giao do an'!$B$8,IF(I2181="Khá",'Huong dan giao do an'!$B$9,'Huong dan giao do an'!$B$10))</f>
        <v>Tối thiểu 5 actor; 14-18 use case; 10-15 bảng; 4 quy trình; tích hợp ngoài/realtime hoặc xử lý nâng cao; 3 báo cáo; &gt;=45 test case; logging, backup và deploy.</v>
      </c>
      <c r="L2181" t="str">
        <f>'Huong dan giao do an'!$B$31</f>
        <v>Bắt buộc: Charter/PMP; SRS + scope/WBS; Gantt/baseline; effort-cost budget; RACI/timesheet; quality-test-defect; communication/minutes; risk register; procurement; change log; closure/lessons learned.</v>
      </c>
      <c r="M2181" t="str">
        <f>'Huong dan giao do an'!$B$33</f>
        <v>Tuần 1: 07.09–13.09.2026; Tuần 2: 14.09–20.09.2026; Tuần 3: 21.09–27.09.2026; Tuần 4: 28.09–04.10.2026; Tuần 5: 05.10–11.10.2026; Tuần 6: 12.10–18.10.2026; Tuần 7: 19.10–25.10.2026; Tuần 8: 26.10–01.11.2026.</v>
      </c>
      <c r="N21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1" s="17" t="str">
        <f t="shared" si="34"/>
        <v>Còn trống</v>
      </c>
    </row>
    <row r="2182" spans="1:16" x14ac:dyDescent="0.3">
      <c r="A2182">
        <v>2181</v>
      </c>
      <c r="B2182" t="s">
        <v>4833</v>
      </c>
      <c r="C2182" t="s">
        <v>5022</v>
      </c>
      <c r="D2182" t="s">
        <v>5023</v>
      </c>
      <c r="E2182" t="s">
        <v>26</v>
      </c>
      <c r="F2182" t="s">
        <v>4836</v>
      </c>
      <c r="G2182" t="s">
        <v>4837</v>
      </c>
      <c r="H2182" t="str">
        <f>'Huong dan giao do an'!$B$14</f>
        <v>5 SV (vai trò chính): 1 PM/Scrum Master kiêm Integration; 2 BA/PO; 3 UI-UX + Frontend; 4 Backend/API + DevOps; 5 Database + QA/Tester. Mỗi SV có nhiệm vụ phụ và minh chứng cá nhân.</v>
      </c>
      <c r="I2182" t="s">
        <v>22</v>
      </c>
      <c r="J2182" t="s">
        <v>4838</v>
      </c>
      <c r="K2182" t="str">
        <f>IF(I2182="Trung bình",'Huong dan giao do an'!$B$8,IF(I2182="Khá",'Huong dan giao do an'!$B$9,'Huong dan giao do an'!$B$10))</f>
        <v>Tối thiểu 4 actor; 10-14 use case; 8-12 bảng; 3 quy trình lõi; phân quyền chi tiết; 2 báo cáo; tích hợp 1 dịch vụ; &gt;=35 test case; CI/CD hoặc deploy cloud.</v>
      </c>
      <c r="L2182" t="str">
        <f>'Huong dan giao do an'!$B$31</f>
        <v>Bắt buộc: Charter/PMP; SRS + scope/WBS; Gantt/baseline; effort-cost budget; RACI/timesheet; quality-test-defect; communication/minutes; risk register; procurement; change log; closure/lessons learned.</v>
      </c>
      <c r="M2182" t="str">
        <f>'Huong dan giao do an'!$B$33</f>
        <v>Tuần 1: 07.09–13.09.2026; Tuần 2: 14.09–20.09.2026; Tuần 3: 21.09–27.09.2026; Tuần 4: 28.09–04.10.2026; Tuần 5: 05.10–11.10.2026; Tuần 6: 12.10–18.10.2026; Tuần 7: 19.10–25.10.2026; Tuần 8: 26.10–01.11.2026.</v>
      </c>
      <c r="N21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2" s="17" t="str">
        <f t="shared" si="34"/>
        <v>Còn trống</v>
      </c>
    </row>
    <row r="2183" spans="1:16" x14ac:dyDescent="0.3">
      <c r="A2183">
        <v>2182</v>
      </c>
      <c r="B2183" t="s">
        <v>4833</v>
      </c>
      <c r="C2183" t="s">
        <v>5024</v>
      </c>
      <c r="D2183" t="s">
        <v>5025</v>
      </c>
      <c r="E2183" t="s">
        <v>33</v>
      </c>
      <c r="F2183" t="s">
        <v>4841</v>
      </c>
      <c r="G2183" t="s">
        <v>4842</v>
      </c>
      <c r="H2183" t="str">
        <f>'Huong dan giao do an'!$B$14</f>
        <v>5 SV (vai trò chính): 1 PM/Scrum Master kiêm Integration; 2 BA/PO; 3 UI-UX + Frontend; 4 Backend/API + DevOps; 5 Database + QA/Tester. Mỗi SV có nhiệm vụ phụ và minh chứng cá nhân.</v>
      </c>
      <c r="I2183" t="s">
        <v>29</v>
      </c>
      <c r="J2183" t="s">
        <v>4843</v>
      </c>
      <c r="K2183" t="str">
        <f>IF(I2183="Trung bình",'Huong dan giao do an'!$B$8,IF(I2183="Khá",'Huong dan giao do an'!$B$9,'Huong dan giao do an'!$B$10))</f>
        <v>Tối thiểu 5 actor; 14-18 use case; 10-15 bảng; 4 quy trình; tích hợp ngoài/realtime hoặc xử lý nâng cao; 3 báo cáo; &gt;=45 test case; logging, backup và deploy.</v>
      </c>
      <c r="L2183" t="str">
        <f>'Huong dan giao do an'!$B$31</f>
        <v>Bắt buộc: Charter/PMP; SRS + scope/WBS; Gantt/baseline; effort-cost budget; RACI/timesheet; quality-test-defect; communication/minutes; risk register; procurement; change log; closure/lessons learned.</v>
      </c>
      <c r="M2183" t="str">
        <f>'Huong dan giao do an'!$B$33</f>
        <v>Tuần 1: 07.09–13.09.2026; Tuần 2: 14.09–20.09.2026; Tuần 3: 21.09–27.09.2026; Tuần 4: 28.09–04.10.2026; Tuần 5: 05.10–11.10.2026; Tuần 6: 12.10–18.10.2026; Tuần 7: 19.10–25.10.2026; Tuần 8: 26.10–01.11.2026.</v>
      </c>
      <c r="N21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3" s="17" t="str">
        <f t="shared" si="34"/>
        <v>Còn trống</v>
      </c>
    </row>
    <row r="2184" spans="1:16" x14ac:dyDescent="0.3">
      <c r="A2184">
        <v>2183</v>
      </c>
      <c r="B2184" t="s">
        <v>4833</v>
      </c>
      <c r="C2184" t="s">
        <v>5026</v>
      </c>
      <c r="D2184" t="s">
        <v>5027</v>
      </c>
      <c r="E2184" t="s">
        <v>40</v>
      </c>
      <c r="F2184" t="s">
        <v>4846</v>
      </c>
      <c r="G2184" t="s">
        <v>4847</v>
      </c>
      <c r="H2184" t="str">
        <f>'Huong dan giao do an'!$B$14</f>
        <v>5 SV (vai trò chính): 1 PM/Scrum Master kiêm Integration; 2 BA/PO; 3 UI-UX + Frontend; 4 Backend/API + DevOps; 5 Database + QA/Tester. Mỗi SV có nhiệm vụ phụ và minh chứng cá nhân.</v>
      </c>
      <c r="I2184" t="s">
        <v>36</v>
      </c>
      <c r="J2184" t="s">
        <v>4848</v>
      </c>
      <c r="K2184" t="str">
        <f>IF(I2184="Trung bình",'Huong dan giao do an'!$B$8,IF(I2184="Khá",'Huong dan giao do an'!$B$9,'Huong dan giao do an'!$B$10))</f>
        <v>Tối thiểu 3 actor; 8-10 use case; 6-8 bảng dữ liệu; 2 quy trình lõi; đăng nhập/RBAC; 1 dashboard; 1 báo cáo; &gt;=25 test case; triển khai bản demo.</v>
      </c>
      <c r="L2184" t="str">
        <f>'Huong dan giao do an'!$B$31</f>
        <v>Bắt buộc: Charter/PMP; SRS + scope/WBS; Gantt/baseline; effort-cost budget; RACI/timesheet; quality-test-defect; communication/minutes; risk register; procurement; change log; closure/lessons learned.</v>
      </c>
      <c r="M2184" t="str">
        <f>'Huong dan giao do an'!$B$33</f>
        <v>Tuần 1: 07.09–13.09.2026; Tuần 2: 14.09–20.09.2026; Tuần 3: 21.09–27.09.2026; Tuần 4: 28.09–04.10.2026; Tuần 5: 05.10–11.10.2026; Tuần 6: 12.10–18.10.2026; Tuần 7: 19.10–25.10.2026; Tuần 8: 26.10–01.11.2026.</v>
      </c>
      <c r="N21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4" s="17" t="str">
        <f t="shared" si="34"/>
        <v>Còn trống</v>
      </c>
    </row>
    <row r="2185" spans="1:16" x14ac:dyDescent="0.3">
      <c r="A2185">
        <v>2184</v>
      </c>
      <c r="B2185" t="s">
        <v>4833</v>
      </c>
      <c r="C2185" t="s">
        <v>5028</v>
      </c>
      <c r="D2185" t="s">
        <v>5029</v>
      </c>
      <c r="E2185" t="s">
        <v>45</v>
      </c>
      <c r="F2185" t="s">
        <v>4851</v>
      </c>
      <c r="G2185" t="s">
        <v>4852</v>
      </c>
      <c r="H2185" t="str">
        <f>'Huong dan giao do an'!$B$14</f>
        <v>5 SV (vai trò chính): 1 PM/Scrum Master kiêm Integration; 2 BA/PO; 3 UI-UX + Frontend; 4 Backend/API + DevOps; 5 Database + QA/Tester. Mỗi SV có nhiệm vụ phụ và minh chứng cá nhân.</v>
      </c>
      <c r="I2185" t="s">
        <v>22</v>
      </c>
      <c r="J2185" t="s">
        <v>4838</v>
      </c>
      <c r="K2185" t="str">
        <f>IF(I2185="Trung bình",'Huong dan giao do an'!$B$8,IF(I2185="Khá",'Huong dan giao do an'!$B$9,'Huong dan giao do an'!$B$10))</f>
        <v>Tối thiểu 4 actor; 10-14 use case; 8-12 bảng; 3 quy trình lõi; phân quyền chi tiết; 2 báo cáo; tích hợp 1 dịch vụ; &gt;=35 test case; CI/CD hoặc deploy cloud.</v>
      </c>
      <c r="L2185" t="str">
        <f>'Huong dan giao do an'!$B$31</f>
        <v>Bắt buộc: Charter/PMP; SRS + scope/WBS; Gantt/baseline; effort-cost budget; RACI/timesheet; quality-test-defect; communication/minutes; risk register; procurement; change log; closure/lessons learned.</v>
      </c>
      <c r="M2185" t="str">
        <f>'Huong dan giao do an'!$B$33</f>
        <v>Tuần 1: 07.09–13.09.2026; Tuần 2: 14.09–20.09.2026; Tuần 3: 21.09–27.09.2026; Tuần 4: 28.09–04.10.2026; Tuần 5: 05.10–11.10.2026; Tuần 6: 12.10–18.10.2026; Tuần 7: 19.10–25.10.2026; Tuần 8: 26.10–01.11.2026.</v>
      </c>
      <c r="N21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5" s="17" t="str">
        <f t="shared" si="34"/>
        <v>Còn trống</v>
      </c>
    </row>
    <row r="2186" spans="1:16" x14ac:dyDescent="0.3">
      <c r="A2186">
        <v>2185</v>
      </c>
      <c r="B2186" t="s">
        <v>4833</v>
      </c>
      <c r="C2186" t="s">
        <v>5030</v>
      </c>
      <c r="D2186" t="s">
        <v>5031</v>
      </c>
      <c r="E2186" t="s">
        <v>19</v>
      </c>
      <c r="F2186" t="s">
        <v>4855</v>
      </c>
      <c r="G2186" t="s">
        <v>4856</v>
      </c>
      <c r="H2186" t="str">
        <f>'Huong dan giao do an'!$B$14</f>
        <v>5 SV (vai trò chính): 1 PM/Scrum Master kiêm Integration; 2 BA/PO; 3 UI-UX + Frontend; 4 Backend/API + DevOps; 5 Database + QA/Tester. Mỗi SV có nhiệm vụ phụ và minh chứng cá nhân.</v>
      </c>
      <c r="I2186" t="s">
        <v>29</v>
      </c>
      <c r="J2186" t="s">
        <v>4843</v>
      </c>
      <c r="K2186" t="str">
        <f>IF(I2186="Trung bình",'Huong dan giao do an'!$B$8,IF(I2186="Khá",'Huong dan giao do an'!$B$9,'Huong dan giao do an'!$B$10))</f>
        <v>Tối thiểu 5 actor; 14-18 use case; 10-15 bảng; 4 quy trình; tích hợp ngoài/realtime hoặc xử lý nâng cao; 3 báo cáo; &gt;=45 test case; logging, backup và deploy.</v>
      </c>
      <c r="L2186" t="str">
        <f>'Huong dan giao do an'!$B$31</f>
        <v>Bắt buộc: Charter/PMP; SRS + scope/WBS; Gantt/baseline; effort-cost budget; RACI/timesheet; quality-test-defect; communication/minutes; risk register; procurement; change log; closure/lessons learned.</v>
      </c>
      <c r="M2186" t="str">
        <f>'Huong dan giao do an'!$B$33</f>
        <v>Tuần 1: 07.09–13.09.2026; Tuần 2: 14.09–20.09.2026; Tuần 3: 21.09–27.09.2026; Tuần 4: 28.09–04.10.2026; Tuần 5: 05.10–11.10.2026; Tuần 6: 12.10–18.10.2026; Tuần 7: 19.10–25.10.2026; Tuần 8: 26.10–01.11.2026.</v>
      </c>
      <c r="N21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6" s="17" t="str">
        <f t="shared" si="34"/>
        <v>Còn trống</v>
      </c>
    </row>
    <row r="2187" spans="1:16" x14ac:dyDescent="0.3">
      <c r="A2187">
        <v>2186</v>
      </c>
      <c r="B2187" t="s">
        <v>4833</v>
      </c>
      <c r="C2187" t="s">
        <v>5032</v>
      </c>
      <c r="D2187" t="s">
        <v>5033</v>
      </c>
      <c r="E2187" t="s">
        <v>26</v>
      </c>
      <c r="F2187" t="s">
        <v>4836</v>
      </c>
      <c r="G2187" t="s">
        <v>4859</v>
      </c>
      <c r="H2187" t="str">
        <f>'Huong dan giao do an'!$B$14</f>
        <v>5 SV (vai trò chính): 1 PM/Scrum Master kiêm Integration; 2 BA/PO; 3 UI-UX + Frontend; 4 Backend/API + DevOps; 5 Database + QA/Tester. Mỗi SV có nhiệm vụ phụ và minh chứng cá nhân.</v>
      </c>
      <c r="I2187" t="s">
        <v>36</v>
      </c>
      <c r="J2187" t="s">
        <v>4848</v>
      </c>
      <c r="K2187" t="str">
        <f>IF(I2187="Trung bình",'Huong dan giao do an'!$B$8,IF(I2187="Khá",'Huong dan giao do an'!$B$9,'Huong dan giao do an'!$B$10))</f>
        <v>Tối thiểu 3 actor; 8-10 use case; 6-8 bảng dữ liệu; 2 quy trình lõi; đăng nhập/RBAC; 1 dashboard; 1 báo cáo; &gt;=25 test case; triển khai bản demo.</v>
      </c>
      <c r="L2187" t="str">
        <f>'Huong dan giao do an'!$B$31</f>
        <v>Bắt buộc: Charter/PMP; SRS + scope/WBS; Gantt/baseline; effort-cost budget; RACI/timesheet; quality-test-defect; communication/minutes; risk register; procurement; change log; closure/lessons learned.</v>
      </c>
      <c r="M2187" t="str">
        <f>'Huong dan giao do an'!$B$33</f>
        <v>Tuần 1: 07.09–13.09.2026; Tuần 2: 14.09–20.09.2026; Tuần 3: 21.09–27.09.2026; Tuần 4: 28.09–04.10.2026; Tuần 5: 05.10–11.10.2026; Tuần 6: 12.10–18.10.2026; Tuần 7: 19.10–25.10.2026; Tuần 8: 26.10–01.11.2026.</v>
      </c>
      <c r="N21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7" s="17" t="str">
        <f t="shared" si="34"/>
        <v>Còn trống</v>
      </c>
    </row>
    <row r="2188" spans="1:16" x14ac:dyDescent="0.3">
      <c r="A2188">
        <v>2187</v>
      </c>
      <c r="B2188" t="s">
        <v>4833</v>
      </c>
      <c r="C2188" t="s">
        <v>5034</v>
      </c>
      <c r="D2188" t="s">
        <v>5035</v>
      </c>
      <c r="E2188" t="s">
        <v>33</v>
      </c>
      <c r="F2188" t="s">
        <v>4841</v>
      </c>
      <c r="G2188" t="s">
        <v>4862</v>
      </c>
      <c r="H2188" t="str">
        <f>'Huong dan giao do an'!$B$14</f>
        <v>5 SV (vai trò chính): 1 PM/Scrum Master kiêm Integration; 2 BA/PO; 3 UI-UX + Frontend; 4 Backend/API + DevOps; 5 Database + QA/Tester. Mỗi SV có nhiệm vụ phụ và minh chứng cá nhân.</v>
      </c>
      <c r="I2188" t="s">
        <v>22</v>
      </c>
      <c r="J2188" t="s">
        <v>4838</v>
      </c>
      <c r="K2188" t="str">
        <f>IF(I2188="Trung bình",'Huong dan giao do an'!$B$8,IF(I2188="Khá",'Huong dan giao do an'!$B$9,'Huong dan giao do an'!$B$10))</f>
        <v>Tối thiểu 4 actor; 10-14 use case; 8-12 bảng; 3 quy trình lõi; phân quyền chi tiết; 2 báo cáo; tích hợp 1 dịch vụ; &gt;=35 test case; CI/CD hoặc deploy cloud.</v>
      </c>
      <c r="L2188" t="str">
        <f>'Huong dan giao do an'!$B$31</f>
        <v>Bắt buộc: Charter/PMP; SRS + scope/WBS; Gantt/baseline; effort-cost budget; RACI/timesheet; quality-test-defect; communication/minutes; risk register; procurement; change log; closure/lessons learned.</v>
      </c>
      <c r="M2188" t="str">
        <f>'Huong dan giao do an'!$B$33</f>
        <v>Tuần 1: 07.09–13.09.2026; Tuần 2: 14.09–20.09.2026; Tuần 3: 21.09–27.09.2026; Tuần 4: 28.09–04.10.2026; Tuần 5: 05.10–11.10.2026; Tuần 6: 12.10–18.10.2026; Tuần 7: 19.10–25.10.2026; Tuần 8: 26.10–01.11.2026.</v>
      </c>
      <c r="N21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8" s="17" t="str">
        <f t="shared" si="34"/>
        <v>Còn trống</v>
      </c>
    </row>
    <row r="2189" spans="1:16" x14ac:dyDescent="0.3">
      <c r="A2189">
        <v>2188</v>
      </c>
      <c r="B2189" t="s">
        <v>4833</v>
      </c>
      <c r="C2189" t="s">
        <v>5036</v>
      </c>
      <c r="D2189" t="s">
        <v>5037</v>
      </c>
      <c r="E2189" t="s">
        <v>40</v>
      </c>
      <c r="F2189" t="s">
        <v>4846</v>
      </c>
      <c r="G2189" t="s">
        <v>4865</v>
      </c>
      <c r="H2189" t="str">
        <f>'Huong dan giao do an'!$B$14</f>
        <v>5 SV (vai trò chính): 1 PM/Scrum Master kiêm Integration; 2 BA/PO; 3 UI-UX + Frontend; 4 Backend/API + DevOps; 5 Database + QA/Tester. Mỗi SV có nhiệm vụ phụ và minh chứng cá nhân.</v>
      </c>
      <c r="I2189" t="s">
        <v>29</v>
      </c>
      <c r="J2189" t="s">
        <v>4843</v>
      </c>
      <c r="K2189" t="str">
        <f>IF(I2189="Trung bình",'Huong dan giao do an'!$B$8,IF(I2189="Khá",'Huong dan giao do an'!$B$9,'Huong dan giao do an'!$B$10))</f>
        <v>Tối thiểu 5 actor; 14-18 use case; 10-15 bảng; 4 quy trình; tích hợp ngoài/realtime hoặc xử lý nâng cao; 3 báo cáo; &gt;=45 test case; logging, backup và deploy.</v>
      </c>
      <c r="L2189" t="str">
        <f>'Huong dan giao do an'!$B$31</f>
        <v>Bắt buộc: Charter/PMP; SRS + scope/WBS; Gantt/baseline; effort-cost budget; RACI/timesheet; quality-test-defect; communication/minutes; risk register; procurement; change log; closure/lessons learned.</v>
      </c>
      <c r="M2189" t="str">
        <f>'Huong dan giao do an'!$B$33</f>
        <v>Tuần 1: 07.09–13.09.2026; Tuần 2: 14.09–20.09.2026; Tuần 3: 21.09–27.09.2026; Tuần 4: 28.09–04.10.2026; Tuần 5: 05.10–11.10.2026; Tuần 6: 12.10–18.10.2026; Tuần 7: 19.10–25.10.2026; Tuần 8: 26.10–01.11.2026.</v>
      </c>
      <c r="N21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89" s="17" t="str">
        <f t="shared" si="34"/>
        <v>Còn trống</v>
      </c>
    </row>
    <row r="2190" spans="1:16" x14ac:dyDescent="0.3">
      <c r="A2190">
        <v>2189</v>
      </c>
      <c r="B2190" t="s">
        <v>4833</v>
      </c>
      <c r="C2190" t="s">
        <v>5038</v>
      </c>
      <c r="D2190" t="s">
        <v>5039</v>
      </c>
      <c r="E2190" t="s">
        <v>45</v>
      </c>
      <c r="F2190" t="s">
        <v>4851</v>
      </c>
      <c r="G2190" t="s">
        <v>4868</v>
      </c>
      <c r="H2190" t="str">
        <f>'Huong dan giao do an'!$B$14</f>
        <v>5 SV (vai trò chính): 1 PM/Scrum Master kiêm Integration; 2 BA/PO; 3 UI-UX + Frontend; 4 Backend/API + DevOps; 5 Database + QA/Tester. Mỗi SV có nhiệm vụ phụ và minh chứng cá nhân.</v>
      </c>
      <c r="I2190" t="s">
        <v>36</v>
      </c>
      <c r="J2190" t="s">
        <v>4848</v>
      </c>
      <c r="K2190" t="str">
        <f>IF(I2190="Trung bình",'Huong dan giao do an'!$B$8,IF(I2190="Khá",'Huong dan giao do an'!$B$9,'Huong dan giao do an'!$B$10))</f>
        <v>Tối thiểu 3 actor; 8-10 use case; 6-8 bảng dữ liệu; 2 quy trình lõi; đăng nhập/RBAC; 1 dashboard; 1 báo cáo; &gt;=25 test case; triển khai bản demo.</v>
      </c>
      <c r="L2190" t="str">
        <f>'Huong dan giao do an'!$B$31</f>
        <v>Bắt buộc: Charter/PMP; SRS + scope/WBS; Gantt/baseline; effort-cost budget; RACI/timesheet; quality-test-defect; communication/minutes; risk register; procurement; change log; closure/lessons learned.</v>
      </c>
      <c r="M2190" t="str">
        <f>'Huong dan giao do an'!$B$33</f>
        <v>Tuần 1: 07.09–13.09.2026; Tuần 2: 14.09–20.09.2026; Tuần 3: 21.09–27.09.2026; Tuần 4: 28.09–04.10.2026; Tuần 5: 05.10–11.10.2026; Tuần 6: 12.10–18.10.2026; Tuần 7: 19.10–25.10.2026; Tuần 8: 26.10–01.11.2026.</v>
      </c>
      <c r="N21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0" s="17" t="str">
        <f t="shared" si="34"/>
        <v>Còn trống</v>
      </c>
    </row>
    <row r="2191" spans="1:16" x14ac:dyDescent="0.3">
      <c r="A2191">
        <v>2190</v>
      </c>
      <c r="B2191" t="s">
        <v>4833</v>
      </c>
      <c r="C2191" t="s">
        <v>5040</v>
      </c>
      <c r="D2191" t="s">
        <v>5041</v>
      </c>
      <c r="E2191" t="s">
        <v>19</v>
      </c>
      <c r="F2191" t="s">
        <v>4855</v>
      </c>
      <c r="G2191" t="s">
        <v>4871</v>
      </c>
      <c r="H2191" t="str">
        <f>'Huong dan giao do an'!$B$14</f>
        <v>5 SV (vai trò chính): 1 PM/Scrum Master kiêm Integration; 2 BA/PO; 3 UI-UX + Frontend; 4 Backend/API + DevOps; 5 Database + QA/Tester. Mỗi SV có nhiệm vụ phụ và minh chứng cá nhân.</v>
      </c>
      <c r="I2191" t="s">
        <v>22</v>
      </c>
      <c r="J2191" t="s">
        <v>4838</v>
      </c>
      <c r="K2191" t="str">
        <f>IF(I2191="Trung bình",'Huong dan giao do an'!$B$8,IF(I2191="Khá",'Huong dan giao do an'!$B$9,'Huong dan giao do an'!$B$10))</f>
        <v>Tối thiểu 4 actor; 10-14 use case; 8-12 bảng; 3 quy trình lõi; phân quyền chi tiết; 2 báo cáo; tích hợp 1 dịch vụ; &gt;=35 test case; CI/CD hoặc deploy cloud.</v>
      </c>
      <c r="L2191" t="str">
        <f>'Huong dan giao do an'!$B$31</f>
        <v>Bắt buộc: Charter/PMP; SRS + scope/WBS; Gantt/baseline; effort-cost budget; RACI/timesheet; quality-test-defect; communication/minutes; risk register; procurement; change log; closure/lessons learned.</v>
      </c>
      <c r="M2191" t="str">
        <f>'Huong dan giao do an'!$B$33</f>
        <v>Tuần 1: 07.09–13.09.2026; Tuần 2: 14.09–20.09.2026; Tuần 3: 21.09–27.09.2026; Tuần 4: 28.09–04.10.2026; Tuần 5: 05.10–11.10.2026; Tuần 6: 12.10–18.10.2026; Tuần 7: 19.10–25.10.2026; Tuần 8: 26.10–01.11.2026.</v>
      </c>
      <c r="N21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1" s="17" t="str">
        <f t="shared" si="34"/>
        <v>Còn trống</v>
      </c>
    </row>
    <row r="2192" spans="1:16" x14ac:dyDescent="0.3">
      <c r="A2192">
        <v>2191</v>
      </c>
      <c r="B2192" t="s">
        <v>4833</v>
      </c>
      <c r="C2192" t="s">
        <v>5042</v>
      </c>
      <c r="D2192" t="s">
        <v>5043</v>
      </c>
      <c r="E2192" t="s">
        <v>26</v>
      </c>
      <c r="F2192" t="s">
        <v>4836</v>
      </c>
      <c r="G2192" t="s">
        <v>4874</v>
      </c>
      <c r="H2192" t="str">
        <f>'Huong dan giao do an'!$B$14</f>
        <v>5 SV (vai trò chính): 1 PM/Scrum Master kiêm Integration; 2 BA/PO; 3 UI-UX + Frontend; 4 Backend/API + DevOps; 5 Database + QA/Tester. Mỗi SV có nhiệm vụ phụ và minh chứng cá nhân.</v>
      </c>
      <c r="I2192" t="s">
        <v>29</v>
      </c>
      <c r="J2192" t="s">
        <v>4843</v>
      </c>
      <c r="K2192" t="str">
        <f>IF(I2192="Trung bình",'Huong dan giao do an'!$B$8,IF(I2192="Khá",'Huong dan giao do an'!$B$9,'Huong dan giao do an'!$B$10))</f>
        <v>Tối thiểu 5 actor; 14-18 use case; 10-15 bảng; 4 quy trình; tích hợp ngoài/realtime hoặc xử lý nâng cao; 3 báo cáo; &gt;=45 test case; logging, backup và deploy.</v>
      </c>
      <c r="L2192" t="str">
        <f>'Huong dan giao do an'!$B$31</f>
        <v>Bắt buộc: Charter/PMP; SRS + scope/WBS; Gantt/baseline; effort-cost budget; RACI/timesheet; quality-test-defect; communication/minutes; risk register; procurement; change log; closure/lessons learned.</v>
      </c>
      <c r="M2192" t="str">
        <f>'Huong dan giao do an'!$B$33</f>
        <v>Tuần 1: 07.09–13.09.2026; Tuần 2: 14.09–20.09.2026; Tuần 3: 21.09–27.09.2026; Tuần 4: 28.09–04.10.2026; Tuần 5: 05.10–11.10.2026; Tuần 6: 12.10–18.10.2026; Tuần 7: 19.10–25.10.2026; Tuần 8: 26.10–01.11.2026.</v>
      </c>
      <c r="N21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2" s="17" t="str">
        <f t="shared" si="34"/>
        <v>Còn trống</v>
      </c>
    </row>
    <row r="2193" spans="1:16" x14ac:dyDescent="0.3">
      <c r="A2193">
        <v>2192</v>
      </c>
      <c r="B2193" t="s">
        <v>4833</v>
      </c>
      <c r="C2193" t="s">
        <v>5044</v>
      </c>
      <c r="D2193" t="s">
        <v>5045</v>
      </c>
      <c r="E2193" t="s">
        <v>33</v>
      </c>
      <c r="F2193" t="s">
        <v>4841</v>
      </c>
      <c r="G2193" t="s">
        <v>4877</v>
      </c>
      <c r="H2193" t="str">
        <f>'Huong dan giao do an'!$B$14</f>
        <v>5 SV (vai trò chính): 1 PM/Scrum Master kiêm Integration; 2 BA/PO; 3 UI-UX + Frontend; 4 Backend/API + DevOps; 5 Database + QA/Tester. Mỗi SV có nhiệm vụ phụ và minh chứng cá nhân.</v>
      </c>
      <c r="I2193" t="s">
        <v>36</v>
      </c>
      <c r="J2193" t="s">
        <v>4848</v>
      </c>
      <c r="K2193" t="str">
        <f>IF(I2193="Trung bình",'Huong dan giao do an'!$B$8,IF(I2193="Khá",'Huong dan giao do an'!$B$9,'Huong dan giao do an'!$B$10))</f>
        <v>Tối thiểu 3 actor; 8-10 use case; 6-8 bảng dữ liệu; 2 quy trình lõi; đăng nhập/RBAC; 1 dashboard; 1 báo cáo; &gt;=25 test case; triển khai bản demo.</v>
      </c>
      <c r="L2193" t="str">
        <f>'Huong dan giao do an'!$B$31</f>
        <v>Bắt buộc: Charter/PMP; SRS + scope/WBS; Gantt/baseline; effort-cost budget; RACI/timesheet; quality-test-defect; communication/minutes; risk register; procurement; change log; closure/lessons learned.</v>
      </c>
      <c r="M2193" t="str">
        <f>'Huong dan giao do an'!$B$33</f>
        <v>Tuần 1: 07.09–13.09.2026; Tuần 2: 14.09–20.09.2026; Tuần 3: 21.09–27.09.2026; Tuần 4: 28.09–04.10.2026; Tuần 5: 05.10–11.10.2026; Tuần 6: 12.10–18.10.2026; Tuần 7: 19.10–25.10.2026; Tuần 8: 26.10–01.11.2026.</v>
      </c>
      <c r="N21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3" s="17" t="str">
        <f t="shared" si="34"/>
        <v>Còn trống</v>
      </c>
    </row>
    <row r="2194" spans="1:16" x14ac:dyDescent="0.3">
      <c r="A2194">
        <v>2193</v>
      </c>
      <c r="B2194" t="s">
        <v>4833</v>
      </c>
      <c r="C2194" t="s">
        <v>5046</v>
      </c>
      <c r="D2194" t="s">
        <v>5047</v>
      </c>
      <c r="E2194" t="s">
        <v>40</v>
      </c>
      <c r="F2194" t="s">
        <v>4846</v>
      </c>
      <c r="G2194" t="s">
        <v>4880</v>
      </c>
      <c r="H2194" t="str">
        <f>'Huong dan giao do an'!$B$14</f>
        <v>5 SV (vai trò chính): 1 PM/Scrum Master kiêm Integration; 2 BA/PO; 3 UI-UX + Frontend; 4 Backend/API + DevOps; 5 Database + QA/Tester. Mỗi SV có nhiệm vụ phụ và minh chứng cá nhân.</v>
      </c>
      <c r="I2194" t="s">
        <v>22</v>
      </c>
      <c r="J2194" t="s">
        <v>4838</v>
      </c>
      <c r="K2194" t="str">
        <f>IF(I2194="Trung bình",'Huong dan giao do an'!$B$8,IF(I2194="Khá",'Huong dan giao do an'!$B$9,'Huong dan giao do an'!$B$10))</f>
        <v>Tối thiểu 4 actor; 10-14 use case; 8-12 bảng; 3 quy trình lõi; phân quyền chi tiết; 2 báo cáo; tích hợp 1 dịch vụ; &gt;=35 test case; CI/CD hoặc deploy cloud.</v>
      </c>
      <c r="L2194" t="str">
        <f>'Huong dan giao do an'!$B$31</f>
        <v>Bắt buộc: Charter/PMP; SRS + scope/WBS; Gantt/baseline; effort-cost budget; RACI/timesheet; quality-test-defect; communication/minutes; risk register; procurement; change log; closure/lessons learned.</v>
      </c>
      <c r="M2194" t="str">
        <f>'Huong dan giao do an'!$B$33</f>
        <v>Tuần 1: 07.09–13.09.2026; Tuần 2: 14.09–20.09.2026; Tuần 3: 21.09–27.09.2026; Tuần 4: 28.09–04.10.2026; Tuần 5: 05.10–11.10.2026; Tuần 6: 12.10–18.10.2026; Tuần 7: 19.10–25.10.2026; Tuần 8: 26.10–01.11.2026.</v>
      </c>
      <c r="N21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4" s="17" t="str">
        <f t="shared" si="34"/>
        <v>Còn trống</v>
      </c>
    </row>
    <row r="2195" spans="1:16" x14ac:dyDescent="0.3">
      <c r="A2195">
        <v>2194</v>
      </c>
      <c r="B2195" t="s">
        <v>4833</v>
      </c>
      <c r="C2195" t="s">
        <v>5048</v>
      </c>
      <c r="D2195" t="s">
        <v>5049</v>
      </c>
      <c r="E2195" t="s">
        <v>45</v>
      </c>
      <c r="F2195" t="s">
        <v>4851</v>
      </c>
      <c r="G2195" t="s">
        <v>4883</v>
      </c>
      <c r="H2195" t="str">
        <f>'Huong dan giao do an'!$B$14</f>
        <v>5 SV (vai trò chính): 1 PM/Scrum Master kiêm Integration; 2 BA/PO; 3 UI-UX + Frontend; 4 Backend/API + DevOps; 5 Database + QA/Tester. Mỗi SV có nhiệm vụ phụ và minh chứng cá nhân.</v>
      </c>
      <c r="I2195" t="s">
        <v>29</v>
      </c>
      <c r="J2195" t="s">
        <v>4843</v>
      </c>
      <c r="K2195" t="str">
        <f>IF(I2195="Trung bình",'Huong dan giao do an'!$B$8,IF(I2195="Khá",'Huong dan giao do an'!$B$9,'Huong dan giao do an'!$B$10))</f>
        <v>Tối thiểu 5 actor; 14-18 use case; 10-15 bảng; 4 quy trình; tích hợp ngoài/realtime hoặc xử lý nâng cao; 3 báo cáo; &gt;=45 test case; logging, backup và deploy.</v>
      </c>
      <c r="L2195" t="str">
        <f>'Huong dan giao do an'!$B$31</f>
        <v>Bắt buộc: Charter/PMP; SRS + scope/WBS; Gantt/baseline; effort-cost budget; RACI/timesheet; quality-test-defect; communication/minutes; risk register; procurement; change log; closure/lessons learned.</v>
      </c>
      <c r="M2195" t="str">
        <f>'Huong dan giao do an'!$B$33</f>
        <v>Tuần 1: 07.09–13.09.2026; Tuần 2: 14.09–20.09.2026; Tuần 3: 21.09–27.09.2026; Tuần 4: 28.09–04.10.2026; Tuần 5: 05.10–11.10.2026; Tuần 6: 12.10–18.10.2026; Tuần 7: 19.10–25.10.2026; Tuần 8: 26.10–01.11.2026.</v>
      </c>
      <c r="N21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5" s="17" t="str">
        <f t="shared" si="34"/>
        <v>Còn trống</v>
      </c>
    </row>
    <row r="2196" spans="1:16" x14ac:dyDescent="0.3">
      <c r="A2196">
        <v>2195</v>
      </c>
      <c r="B2196" t="s">
        <v>4833</v>
      </c>
      <c r="C2196" t="s">
        <v>5050</v>
      </c>
      <c r="D2196" t="s">
        <v>5051</v>
      </c>
      <c r="E2196" t="s">
        <v>19</v>
      </c>
      <c r="F2196" t="s">
        <v>4855</v>
      </c>
      <c r="G2196" t="s">
        <v>4886</v>
      </c>
      <c r="H2196" t="str">
        <f>'Huong dan giao do an'!$B$14</f>
        <v>5 SV (vai trò chính): 1 PM/Scrum Master kiêm Integration; 2 BA/PO; 3 UI-UX + Frontend; 4 Backend/API + DevOps; 5 Database + QA/Tester. Mỗi SV có nhiệm vụ phụ và minh chứng cá nhân.</v>
      </c>
      <c r="I2196" t="s">
        <v>36</v>
      </c>
      <c r="J2196" t="s">
        <v>4848</v>
      </c>
      <c r="K2196" t="str">
        <f>IF(I2196="Trung bình",'Huong dan giao do an'!$B$8,IF(I2196="Khá",'Huong dan giao do an'!$B$9,'Huong dan giao do an'!$B$10))</f>
        <v>Tối thiểu 3 actor; 8-10 use case; 6-8 bảng dữ liệu; 2 quy trình lõi; đăng nhập/RBAC; 1 dashboard; 1 báo cáo; &gt;=25 test case; triển khai bản demo.</v>
      </c>
      <c r="L2196" t="str">
        <f>'Huong dan giao do an'!$B$31</f>
        <v>Bắt buộc: Charter/PMP; SRS + scope/WBS; Gantt/baseline; effort-cost budget; RACI/timesheet; quality-test-defect; communication/minutes; risk register; procurement; change log; closure/lessons learned.</v>
      </c>
      <c r="M2196" t="str">
        <f>'Huong dan giao do an'!$B$33</f>
        <v>Tuần 1: 07.09–13.09.2026; Tuần 2: 14.09–20.09.2026; Tuần 3: 21.09–27.09.2026; Tuần 4: 28.09–04.10.2026; Tuần 5: 05.10–11.10.2026; Tuần 6: 12.10–18.10.2026; Tuần 7: 19.10–25.10.2026; Tuần 8: 26.10–01.11.2026.</v>
      </c>
      <c r="N21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6" s="17" t="str">
        <f t="shared" si="34"/>
        <v>Còn trống</v>
      </c>
    </row>
    <row r="2197" spans="1:16" x14ac:dyDescent="0.3">
      <c r="A2197">
        <v>2196</v>
      </c>
      <c r="B2197" t="s">
        <v>4833</v>
      </c>
      <c r="C2197" t="s">
        <v>5052</v>
      </c>
      <c r="D2197" t="s">
        <v>5053</v>
      </c>
      <c r="E2197" t="s">
        <v>26</v>
      </c>
      <c r="F2197" t="s">
        <v>4836</v>
      </c>
      <c r="G2197" t="s">
        <v>4889</v>
      </c>
      <c r="H2197" t="str">
        <f>'Huong dan giao do an'!$B$14</f>
        <v>5 SV (vai trò chính): 1 PM/Scrum Master kiêm Integration; 2 BA/PO; 3 UI-UX + Frontend; 4 Backend/API + DevOps; 5 Database + QA/Tester. Mỗi SV có nhiệm vụ phụ và minh chứng cá nhân.</v>
      </c>
      <c r="I2197" t="s">
        <v>22</v>
      </c>
      <c r="J2197" t="s">
        <v>4838</v>
      </c>
      <c r="K2197" t="str">
        <f>IF(I2197="Trung bình",'Huong dan giao do an'!$B$8,IF(I2197="Khá",'Huong dan giao do an'!$B$9,'Huong dan giao do an'!$B$10))</f>
        <v>Tối thiểu 4 actor; 10-14 use case; 8-12 bảng; 3 quy trình lõi; phân quyền chi tiết; 2 báo cáo; tích hợp 1 dịch vụ; &gt;=35 test case; CI/CD hoặc deploy cloud.</v>
      </c>
      <c r="L2197" t="str">
        <f>'Huong dan giao do an'!$B$31</f>
        <v>Bắt buộc: Charter/PMP; SRS + scope/WBS; Gantt/baseline; effort-cost budget; RACI/timesheet; quality-test-defect; communication/minutes; risk register; procurement; change log; closure/lessons learned.</v>
      </c>
      <c r="M2197" t="str">
        <f>'Huong dan giao do an'!$B$33</f>
        <v>Tuần 1: 07.09–13.09.2026; Tuần 2: 14.09–20.09.2026; Tuần 3: 21.09–27.09.2026; Tuần 4: 28.09–04.10.2026; Tuần 5: 05.10–11.10.2026; Tuần 6: 12.10–18.10.2026; Tuần 7: 19.10–25.10.2026; Tuần 8: 26.10–01.11.2026.</v>
      </c>
      <c r="N21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7" s="17" t="str">
        <f t="shared" si="34"/>
        <v>Còn trống</v>
      </c>
    </row>
    <row r="2198" spans="1:16" x14ac:dyDescent="0.3">
      <c r="A2198">
        <v>2197</v>
      </c>
      <c r="B2198" t="s">
        <v>4833</v>
      </c>
      <c r="C2198" t="s">
        <v>5054</v>
      </c>
      <c r="D2198" t="s">
        <v>5055</v>
      </c>
      <c r="E2198" t="s">
        <v>33</v>
      </c>
      <c r="F2198" t="s">
        <v>4841</v>
      </c>
      <c r="G2198" t="s">
        <v>4892</v>
      </c>
      <c r="H2198" t="str">
        <f>'Huong dan giao do an'!$B$14</f>
        <v>5 SV (vai trò chính): 1 PM/Scrum Master kiêm Integration; 2 BA/PO; 3 UI-UX + Frontend; 4 Backend/API + DevOps; 5 Database + QA/Tester. Mỗi SV có nhiệm vụ phụ và minh chứng cá nhân.</v>
      </c>
      <c r="I2198" t="s">
        <v>29</v>
      </c>
      <c r="J2198" t="s">
        <v>4843</v>
      </c>
      <c r="K2198" t="str">
        <f>IF(I2198="Trung bình",'Huong dan giao do an'!$B$8,IF(I2198="Khá",'Huong dan giao do an'!$B$9,'Huong dan giao do an'!$B$10))</f>
        <v>Tối thiểu 5 actor; 14-18 use case; 10-15 bảng; 4 quy trình; tích hợp ngoài/realtime hoặc xử lý nâng cao; 3 báo cáo; &gt;=45 test case; logging, backup và deploy.</v>
      </c>
      <c r="L2198" t="str">
        <f>'Huong dan giao do an'!$B$31</f>
        <v>Bắt buộc: Charter/PMP; SRS + scope/WBS; Gantt/baseline; effort-cost budget; RACI/timesheet; quality-test-defect; communication/minutes; risk register; procurement; change log; closure/lessons learned.</v>
      </c>
      <c r="M2198" t="str">
        <f>'Huong dan giao do an'!$B$33</f>
        <v>Tuần 1: 07.09–13.09.2026; Tuần 2: 14.09–20.09.2026; Tuần 3: 21.09–27.09.2026; Tuần 4: 28.09–04.10.2026; Tuần 5: 05.10–11.10.2026; Tuần 6: 12.10–18.10.2026; Tuần 7: 19.10–25.10.2026; Tuần 8: 26.10–01.11.2026.</v>
      </c>
      <c r="N21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8" s="17" t="str">
        <f t="shared" si="34"/>
        <v>Còn trống</v>
      </c>
    </row>
    <row r="2199" spans="1:16" x14ac:dyDescent="0.3">
      <c r="A2199">
        <v>2198</v>
      </c>
      <c r="B2199" t="s">
        <v>4833</v>
      </c>
      <c r="C2199" t="s">
        <v>5056</v>
      </c>
      <c r="D2199" t="s">
        <v>5057</v>
      </c>
      <c r="E2199" t="s">
        <v>40</v>
      </c>
      <c r="F2199" t="s">
        <v>4846</v>
      </c>
      <c r="G2199" t="s">
        <v>4895</v>
      </c>
      <c r="H2199" t="str">
        <f>'Huong dan giao do an'!$B$14</f>
        <v>5 SV (vai trò chính): 1 PM/Scrum Master kiêm Integration; 2 BA/PO; 3 UI-UX + Frontend; 4 Backend/API + DevOps; 5 Database + QA/Tester. Mỗi SV có nhiệm vụ phụ và minh chứng cá nhân.</v>
      </c>
      <c r="I2199" t="s">
        <v>36</v>
      </c>
      <c r="J2199" t="s">
        <v>4848</v>
      </c>
      <c r="K2199" t="str">
        <f>IF(I2199="Trung bình",'Huong dan giao do an'!$B$8,IF(I2199="Khá",'Huong dan giao do an'!$B$9,'Huong dan giao do an'!$B$10))</f>
        <v>Tối thiểu 3 actor; 8-10 use case; 6-8 bảng dữ liệu; 2 quy trình lõi; đăng nhập/RBAC; 1 dashboard; 1 báo cáo; &gt;=25 test case; triển khai bản demo.</v>
      </c>
      <c r="L2199" t="str">
        <f>'Huong dan giao do an'!$B$31</f>
        <v>Bắt buộc: Charter/PMP; SRS + scope/WBS; Gantt/baseline; effort-cost budget; RACI/timesheet; quality-test-defect; communication/minutes; risk register; procurement; change log; closure/lessons learned.</v>
      </c>
      <c r="M2199" t="str">
        <f>'Huong dan giao do an'!$B$33</f>
        <v>Tuần 1: 07.09–13.09.2026; Tuần 2: 14.09–20.09.2026; Tuần 3: 21.09–27.09.2026; Tuần 4: 28.09–04.10.2026; Tuần 5: 05.10–11.10.2026; Tuần 6: 12.10–18.10.2026; Tuần 7: 19.10–25.10.2026; Tuần 8: 26.10–01.11.2026.</v>
      </c>
      <c r="N21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199" s="17" t="str">
        <f t="shared" si="34"/>
        <v>Còn trống</v>
      </c>
    </row>
    <row r="2200" spans="1:16" x14ac:dyDescent="0.3">
      <c r="A2200">
        <v>2199</v>
      </c>
      <c r="B2200" t="s">
        <v>4833</v>
      </c>
      <c r="C2200" t="s">
        <v>5058</v>
      </c>
      <c r="D2200" t="s">
        <v>5059</v>
      </c>
      <c r="E2200" t="s">
        <v>45</v>
      </c>
      <c r="F2200" t="s">
        <v>4851</v>
      </c>
      <c r="G2200" t="s">
        <v>4898</v>
      </c>
      <c r="H2200" t="str">
        <f>'Huong dan giao do an'!$B$14</f>
        <v>5 SV (vai trò chính): 1 PM/Scrum Master kiêm Integration; 2 BA/PO; 3 UI-UX + Frontend; 4 Backend/API + DevOps; 5 Database + QA/Tester. Mỗi SV có nhiệm vụ phụ và minh chứng cá nhân.</v>
      </c>
      <c r="I2200" t="s">
        <v>22</v>
      </c>
      <c r="J2200" t="s">
        <v>4838</v>
      </c>
      <c r="K2200" t="str">
        <f>IF(I2200="Trung bình",'Huong dan giao do an'!$B$8,IF(I2200="Khá",'Huong dan giao do an'!$B$9,'Huong dan giao do an'!$B$10))</f>
        <v>Tối thiểu 4 actor; 10-14 use case; 8-12 bảng; 3 quy trình lõi; phân quyền chi tiết; 2 báo cáo; tích hợp 1 dịch vụ; &gt;=35 test case; CI/CD hoặc deploy cloud.</v>
      </c>
      <c r="L2200" t="str">
        <f>'Huong dan giao do an'!$B$31</f>
        <v>Bắt buộc: Charter/PMP; SRS + scope/WBS; Gantt/baseline; effort-cost budget; RACI/timesheet; quality-test-defect; communication/minutes; risk register; procurement; change log; closure/lessons learned.</v>
      </c>
      <c r="M2200" t="str">
        <f>'Huong dan giao do an'!$B$33</f>
        <v>Tuần 1: 07.09–13.09.2026; Tuần 2: 14.09–20.09.2026; Tuần 3: 21.09–27.09.2026; Tuần 4: 28.09–04.10.2026; Tuần 5: 05.10–11.10.2026; Tuần 6: 12.10–18.10.2026; Tuần 7: 19.10–25.10.2026; Tuần 8: 26.10–01.11.2026.</v>
      </c>
      <c r="N22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0" s="17" t="str">
        <f t="shared" si="34"/>
        <v>Còn trống</v>
      </c>
    </row>
    <row r="2201" spans="1:16" x14ac:dyDescent="0.3">
      <c r="A2201">
        <v>2200</v>
      </c>
      <c r="B2201" t="s">
        <v>4833</v>
      </c>
      <c r="C2201" t="s">
        <v>5060</v>
      </c>
      <c r="D2201" t="s">
        <v>5061</v>
      </c>
      <c r="E2201" t="s">
        <v>19</v>
      </c>
      <c r="F2201" t="s">
        <v>4855</v>
      </c>
      <c r="G2201" t="s">
        <v>4901</v>
      </c>
      <c r="H2201" t="str">
        <f>'Huong dan giao do an'!$B$14</f>
        <v>5 SV (vai trò chính): 1 PM/Scrum Master kiêm Integration; 2 BA/PO; 3 UI-UX + Frontend; 4 Backend/API + DevOps; 5 Database + QA/Tester. Mỗi SV có nhiệm vụ phụ và minh chứng cá nhân.</v>
      </c>
      <c r="I2201" t="s">
        <v>29</v>
      </c>
      <c r="J2201" t="s">
        <v>4843</v>
      </c>
      <c r="K2201" t="str">
        <f>IF(I2201="Trung bình",'Huong dan giao do an'!$B$8,IF(I2201="Khá",'Huong dan giao do an'!$B$9,'Huong dan giao do an'!$B$10))</f>
        <v>Tối thiểu 5 actor; 14-18 use case; 10-15 bảng; 4 quy trình; tích hợp ngoài/realtime hoặc xử lý nâng cao; 3 báo cáo; &gt;=45 test case; logging, backup và deploy.</v>
      </c>
      <c r="L2201" t="str">
        <f>'Huong dan giao do an'!$B$31</f>
        <v>Bắt buộc: Charter/PMP; SRS + scope/WBS; Gantt/baseline; effort-cost budget; RACI/timesheet; quality-test-defect; communication/minutes; risk register; procurement; change log; closure/lessons learned.</v>
      </c>
      <c r="M2201" t="str">
        <f>'Huong dan giao do an'!$B$33</f>
        <v>Tuần 1: 07.09–13.09.2026; Tuần 2: 14.09–20.09.2026; Tuần 3: 21.09–27.09.2026; Tuần 4: 28.09–04.10.2026; Tuần 5: 05.10–11.10.2026; Tuần 6: 12.10–18.10.2026; Tuần 7: 19.10–25.10.2026; Tuần 8: 26.10–01.11.2026.</v>
      </c>
      <c r="N22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1" s="17" t="str">
        <f t="shared" si="34"/>
        <v>Còn trống</v>
      </c>
    </row>
    <row r="2202" spans="1:16" x14ac:dyDescent="0.3">
      <c r="A2202">
        <v>2201</v>
      </c>
      <c r="B2202" t="s">
        <v>5062</v>
      </c>
      <c r="C2202" t="s">
        <v>5063</v>
      </c>
      <c r="D2202" t="s">
        <v>5064</v>
      </c>
      <c r="E2202" t="s">
        <v>33</v>
      </c>
      <c r="F2202" t="s">
        <v>5065</v>
      </c>
      <c r="G2202" t="s">
        <v>5066</v>
      </c>
      <c r="H2202" t="str">
        <f>'Huong dan giao do an'!$B$14</f>
        <v>5 SV (vai trò chính): 1 PM/Scrum Master kiêm Integration; 2 BA/PO; 3 UI-UX + Frontend; 4 Backend/API + DevOps; 5 Database + QA/Tester. Mỗi SV có nhiệm vụ phụ và minh chứng cá nhân.</v>
      </c>
      <c r="I2202" t="s">
        <v>22</v>
      </c>
      <c r="J2202" t="s">
        <v>5067</v>
      </c>
      <c r="K2202" t="str">
        <f>IF(I2202="Trung bình",'Huong dan giao do an'!$B$8,IF(I2202="Khá",'Huong dan giao do an'!$B$9,'Huong dan giao do an'!$B$10))</f>
        <v>Tối thiểu 4 actor; 10-14 use case; 8-12 bảng; 3 quy trình lõi; phân quyền chi tiết; 2 báo cáo; tích hợp 1 dịch vụ; &gt;=35 test case; CI/CD hoặc deploy cloud.</v>
      </c>
      <c r="L2202" t="str">
        <f>'Huong dan giao do an'!$B$31</f>
        <v>Bắt buộc: Charter/PMP; SRS + scope/WBS; Gantt/baseline; effort-cost budget; RACI/timesheet; quality-test-defect; communication/minutes; risk register; procurement; change log; closure/lessons learned.</v>
      </c>
      <c r="M2202" t="str">
        <f>'Huong dan giao do an'!$B$33</f>
        <v>Tuần 1: 07.09–13.09.2026; Tuần 2: 14.09–20.09.2026; Tuần 3: 21.09–27.09.2026; Tuần 4: 28.09–04.10.2026; Tuần 5: 05.10–11.10.2026; Tuần 6: 12.10–18.10.2026; Tuần 7: 19.10–25.10.2026; Tuần 8: 26.10–01.11.2026.</v>
      </c>
      <c r="N22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2" s="17" t="str">
        <f t="shared" si="34"/>
        <v>Còn trống</v>
      </c>
    </row>
    <row r="2203" spans="1:16" x14ac:dyDescent="0.3">
      <c r="A2203">
        <v>2202</v>
      </c>
      <c r="B2203" t="s">
        <v>5062</v>
      </c>
      <c r="C2203" t="s">
        <v>5068</v>
      </c>
      <c r="D2203" t="s">
        <v>5069</v>
      </c>
      <c r="E2203" t="s">
        <v>40</v>
      </c>
      <c r="F2203" t="s">
        <v>5070</v>
      </c>
      <c r="G2203" t="s">
        <v>5071</v>
      </c>
      <c r="H2203" t="str">
        <f>'Huong dan giao do an'!$B$14</f>
        <v>5 SV (vai trò chính): 1 PM/Scrum Master kiêm Integration; 2 BA/PO; 3 UI-UX + Frontend; 4 Backend/API + DevOps; 5 Database + QA/Tester. Mỗi SV có nhiệm vụ phụ và minh chứng cá nhân.</v>
      </c>
      <c r="I2203" t="s">
        <v>29</v>
      </c>
      <c r="J2203" t="s">
        <v>5072</v>
      </c>
      <c r="K2203" t="str">
        <f>IF(I2203="Trung bình",'Huong dan giao do an'!$B$8,IF(I2203="Khá",'Huong dan giao do an'!$B$9,'Huong dan giao do an'!$B$10))</f>
        <v>Tối thiểu 5 actor; 14-18 use case; 10-15 bảng; 4 quy trình; tích hợp ngoài/realtime hoặc xử lý nâng cao; 3 báo cáo; &gt;=45 test case; logging, backup và deploy.</v>
      </c>
      <c r="L2203" t="str">
        <f>'Huong dan giao do an'!$B$31</f>
        <v>Bắt buộc: Charter/PMP; SRS + scope/WBS; Gantt/baseline; effort-cost budget; RACI/timesheet; quality-test-defect; communication/minutes; risk register; procurement; change log; closure/lessons learned.</v>
      </c>
      <c r="M2203" t="str">
        <f>'Huong dan giao do an'!$B$33</f>
        <v>Tuần 1: 07.09–13.09.2026; Tuần 2: 14.09–20.09.2026; Tuần 3: 21.09–27.09.2026; Tuần 4: 28.09–04.10.2026; Tuần 5: 05.10–11.10.2026; Tuần 6: 12.10–18.10.2026; Tuần 7: 19.10–25.10.2026; Tuần 8: 26.10–01.11.2026.</v>
      </c>
      <c r="N22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3" s="17" t="str">
        <f t="shared" si="34"/>
        <v>Còn trống</v>
      </c>
    </row>
    <row r="2204" spans="1:16" x14ac:dyDescent="0.3">
      <c r="A2204">
        <v>2203</v>
      </c>
      <c r="B2204" t="s">
        <v>5062</v>
      </c>
      <c r="C2204" t="s">
        <v>5073</v>
      </c>
      <c r="D2204" t="s">
        <v>5074</v>
      </c>
      <c r="E2204" t="s">
        <v>45</v>
      </c>
      <c r="F2204" t="s">
        <v>5075</v>
      </c>
      <c r="G2204" t="s">
        <v>5076</v>
      </c>
      <c r="H2204" t="str">
        <f>'Huong dan giao do an'!$B$14</f>
        <v>5 SV (vai trò chính): 1 PM/Scrum Master kiêm Integration; 2 BA/PO; 3 UI-UX + Frontend; 4 Backend/API + DevOps; 5 Database + QA/Tester. Mỗi SV có nhiệm vụ phụ và minh chứng cá nhân.</v>
      </c>
      <c r="I2204" t="s">
        <v>36</v>
      </c>
      <c r="J2204" t="s">
        <v>5077</v>
      </c>
      <c r="K2204" t="str">
        <f>IF(I2204="Trung bình",'Huong dan giao do an'!$B$8,IF(I2204="Khá",'Huong dan giao do an'!$B$9,'Huong dan giao do an'!$B$10))</f>
        <v>Tối thiểu 3 actor; 8-10 use case; 6-8 bảng dữ liệu; 2 quy trình lõi; đăng nhập/RBAC; 1 dashboard; 1 báo cáo; &gt;=25 test case; triển khai bản demo.</v>
      </c>
      <c r="L2204" t="str">
        <f>'Huong dan giao do an'!$B$31</f>
        <v>Bắt buộc: Charter/PMP; SRS + scope/WBS; Gantt/baseline; effort-cost budget; RACI/timesheet; quality-test-defect; communication/minutes; risk register; procurement; change log; closure/lessons learned.</v>
      </c>
      <c r="M2204" t="str">
        <f>'Huong dan giao do an'!$B$33</f>
        <v>Tuần 1: 07.09–13.09.2026; Tuần 2: 14.09–20.09.2026; Tuần 3: 21.09–27.09.2026; Tuần 4: 28.09–04.10.2026; Tuần 5: 05.10–11.10.2026; Tuần 6: 12.10–18.10.2026; Tuần 7: 19.10–25.10.2026; Tuần 8: 26.10–01.11.2026.</v>
      </c>
      <c r="N22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4" s="17" t="str">
        <f t="shared" si="34"/>
        <v>Còn trống</v>
      </c>
    </row>
    <row r="2205" spans="1:16" x14ac:dyDescent="0.3">
      <c r="A2205">
        <v>2204</v>
      </c>
      <c r="B2205" t="s">
        <v>5062</v>
      </c>
      <c r="C2205" t="s">
        <v>5078</v>
      </c>
      <c r="D2205" t="s">
        <v>5079</v>
      </c>
      <c r="E2205" t="s">
        <v>19</v>
      </c>
      <c r="F2205" t="s">
        <v>5080</v>
      </c>
      <c r="G2205" t="s">
        <v>5081</v>
      </c>
      <c r="H2205" t="str">
        <f>'Huong dan giao do an'!$B$14</f>
        <v>5 SV (vai trò chính): 1 PM/Scrum Master kiêm Integration; 2 BA/PO; 3 UI-UX + Frontend; 4 Backend/API + DevOps; 5 Database + QA/Tester. Mỗi SV có nhiệm vụ phụ và minh chứng cá nhân.</v>
      </c>
      <c r="I2205" t="s">
        <v>22</v>
      </c>
      <c r="J2205" t="s">
        <v>5067</v>
      </c>
      <c r="K2205" t="str">
        <f>IF(I2205="Trung bình",'Huong dan giao do an'!$B$8,IF(I2205="Khá",'Huong dan giao do an'!$B$9,'Huong dan giao do an'!$B$10))</f>
        <v>Tối thiểu 4 actor; 10-14 use case; 8-12 bảng; 3 quy trình lõi; phân quyền chi tiết; 2 báo cáo; tích hợp 1 dịch vụ; &gt;=35 test case; CI/CD hoặc deploy cloud.</v>
      </c>
      <c r="L2205" t="str">
        <f>'Huong dan giao do an'!$B$31</f>
        <v>Bắt buộc: Charter/PMP; SRS + scope/WBS; Gantt/baseline; effort-cost budget; RACI/timesheet; quality-test-defect; communication/minutes; risk register; procurement; change log; closure/lessons learned.</v>
      </c>
      <c r="M2205" t="str">
        <f>'Huong dan giao do an'!$B$33</f>
        <v>Tuần 1: 07.09–13.09.2026; Tuần 2: 14.09–20.09.2026; Tuần 3: 21.09–27.09.2026; Tuần 4: 28.09–04.10.2026; Tuần 5: 05.10–11.10.2026; Tuần 6: 12.10–18.10.2026; Tuần 7: 19.10–25.10.2026; Tuần 8: 26.10–01.11.2026.</v>
      </c>
      <c r="N22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5" s="17" t="str">
        <f t="shared" si="34"/>
        <v>Còn trống</v>
      </c>
    </row>
    <row r="2206" spans="1:16" x14ac:dyDescent="0.3">
      <c r="A2206">
        <v>2205</v>
      </c>
      <c r="B2206" t="s">
        <v>5062</v>
      </c>
      <c r="C2206" t="s">
        <v>5082</v>
      </c>
      <c r="D2206" t="s">
        <v>5083</v>
      </c>
      <c r="E2206" t="s">
        <v>26</v>
      </c>
      <c r="F2206" t="s">
        <v>5084</v>
      </c>
      <c r="G2206" t="s">
        <v>5085</v>
      </c>
      <c r="H2206" t="str">
        <f>'Huong dan giao do an'!$B$14</f>
        <v>5 SV (vai trò chính): 1 PM/Scrum Master kiêm Integration; 2 BA/PO; 3 UI-UX + Frontend; 4 Backend/API + DevOps; 5 Database + QA/Tester. Mỗi SV có nhiệm vụ phụ và minh chứng cá nhân.</v>
      </c>
      <c r="I2206" t="s">
        <v>29</v>
      </c>
      <c r="J2206" t="s">
        <v>5072</v>
      </c>
      <c r="K2206" t="str">
        <f>IF(I2206="Trung bình",'Huong dan giao do an'!$B$8,IF(I2206="Khá",'Huong dan giao do an'!$B$9,'Huong dan giao do an'!$B$10))</f>
        <v>Tối thiểu 5 actor; 14-18 use case; 10-15 bảng; 4 quy trình; tích hợp ngoài/realtime hoặc xử lý nâng cao; 3 báo cáo; &gt;=45 test case; logging, backup và deploy.</v>
      </c>
      <c r="L2206" t="str">
        <f>'Huong dan giao do an'!$B$31</f>
        <v>Bắt buộc: Charter/PMP; SRS + scope/WBS; Gantt/baseline; effort-cost budget; RACI/timesheet; quality-test-defect; communication/minutes; risk register; procurement; change log; closure/lessons learned.</v>
      </c>
      <c r="M2206" t="str">
        <f>'Huong dan giao do an'!$B$33</f>
        <v>Tuần 1: 07.09–13.09.2026; Tuần 2: 14.09–20.09.2026; Tuần 3: 21.09–27.09.2026; Tuần 4: 28.09–04.10.2026; Tuần 5: 05.10–11.10.2026; Tuần 6: 12.10–18.10.2026; Tuần 7: 19.10–25.10.2026; Tuần 8: 26.10–01.11.2026.</v>
      </c>
      <c r="N22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6" s="17" t="str">
        <f t="shared" si="34"/>
        <v>Còn trống</v>
      </c>
    </row>
    <row r="2207" spans="1:16" x14ac:dyDescent="0.3">
      <c r="A2207">
        <v>2206</v>
      </c>
      <c r="B2207" t="s">
        <v>5062</v>
      </c>
      <c r="C2207" t="s">
        <v>5086</v>
      </c>
      <c r="D2207" t="s">
        <v>5087</v>
      </c>
      <c r="E2207" t="s">
        <v>33</v>
      </c>
      <c r="F2207" t="s">
        <v>5065</v>
      </c>
      <c r="G2207" t="s">
        <v>5088</v>
      </c>
      <c r="H2207" t="str">
        <f>'Huong dan giao do an'!$B$14</f>
        <v>5 SV (vai trò chính): 1 PM/Scrum Master kiêm Integration; 2 BA/PO; 3 UI-UX + Frontend; 4 Backend/API + DevOps; 5 Database + QA/Tester. Mỗi SV có nhiệm vụ phụ và minh chứng cá nhân.</v>
      </c>
      <c r="I2207" t="s">
        <v>36</v>
      </c>
      <c r="J2207" t="s">
        <v>5077</v>
      </c>
      <c r="K2207" t="str">
        <f>IF(I2207="Trung bình",'Huong dan giao do an'!$B$8,IF(I2207="Khá",'Huong dan giao do an'!$B$9,'Huong dan giao do an'!$B$10))</f>
        <v>Tối thiểu 3 actor; 8-10 use case; 6-8 bảng dữ liệu; 2 quy trình lõi; đăng nhập/RBAC; 1 dashboard; 1 báo cáo; &gt;=25 test case; triển khai bản demo.</v>
      </c>
      <c r="L2207" t="str">
        <f>'Huong dan giao do an'!$B$31</f>
        <v>Bắt buộc: Charter/PMP; SRS + scope/WBS; Gantt/baseline; effort-cost budget; RACI/timesheet; quality-test-defect; communication/minutes; risk register; procurement; change log; closure/lessons learned.</v>
      </c>
      <c r="M2207" t="str">
        <f>'Huong dan giao do an'!$B$33</f>
        <v>Tuần 1: 07.09–13.09.2026; Tuần 2: 14.09–20.09.2026; Tuần 3: 21.09–27.09.2026; Tuần 4: 28.09–04.10.2026; Tuần 5: 05.10–11.10.2026; Tuần 6: 12.10–18.10.2026; Tuần 7: 19.10–25.10.2026; Tuần 8: 26.10–01.11.2026.</v>
      </c>
      <c r="N22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7" s="17" t="str">
        <f t="shared" si="34"/>
        <v>Còn trống</v>
      </c>
    </row>
    <row r="2208" spans="1:16" x14ac:dyDescent="0.3">
      <c r="A2208">
        <v>2207</v>
      </c>
      <c r="B2208" t="s">
        <v>5062</v>
      </c>
      <c r="C2208" t="s">
        <v>5089</v>
      </c>
      <c r="D2208" t="s">
        <v>5090</v>
      </c>
      <c r="E2208" t="s">
        <v>40</v>
      </c>
      <c r="F2208" t="s">
        <v>5070</v>
      </c>
      <c r="G2208" t="s">
        <v>5091</v>
      </c>
      <c r="H2208" t="str">
        <f>'Huong dan giao do an'!$B$14</f>
        <v>5 SV (vai trò chính): 1 PM/Scrum Master kiêm Integration; 2 BA/PO; 3 UI-UX + Frontend; 4 Backend/API + DevOps; 5 Database + QA/Tester. Mỗi SV có nhiệm vụ phụ và minh chứng cá nhân.</v>
      </c>
      <c r="I2208" t="s">
        <v>22</v>
      </c>
      <c r="J2208" t="s">
        <v>5067</v>
      </c>
      <c r="K2208" t="str">
        <f>IF(I2208="Trung bình",'Huong dan giao do an'!$B$8,IF(I2208="Khá",'Huong dan giao do an'!$B$9,'Huong dan giao do an'!$B$10))</f>
        <v>Tối thiểu 4 actor; 10-14 use case; 8-12 bảng; 3 quy trình lõi; phân quyền chi tiết; 2 báo cáo; tích hợp 1 dịch vụ; &gt;=35 test case; CI/CD hoặc deploy cloud.</v>
      </c>
      <c r="L2208" t="str">
        <f>'Huong dan giao do an'!$B$31</f>
        <v>Bắt buộc: Charter/PMP; SRS + scope/WBS; Gantt/baseline; effort-cost budget; RACI/timesheet; quality-test-defect; communication/minutes; risk register; procurement; change log; closure/lessons learned.</v>
      </c>
      <c r="M2208" t="str">
        <f>'Huong dan giao do an'!$B$33</f>
        <v>Tuần 1: 07.09–13.09.2026; Tuần 2: 14.09–20.09.2026; Tuần 3: 21.09–27.09.2026; Tuần 4: 28.09–04.10.2026; Tuần 5: 05.10–11.10.2026; Tuần 6: 12.10–18.10.2026; Tuần 7: 19.10–25.10.2026; Tuần 8: 26.10–01.11.2026.</v>
      </c>
      <c r="N22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8" s="17" t="str">
        <f t="shared" si="34"/>
        <v>Còn trống</v>
      </c>
    </row>
    <row r="2209" spans="1:16" x14ac:dyDescent="0.3">
      <c r="A2209">
        <v>2208</v>
      </c>
      <c r="B2209" t="s">
        <v>5062</v>
      </c>
      <c r="C2209" t="s">
        <v>5092</v>
      </c>
      <c r="D2209" t="s">
        <v>5093</v>
      </c>
      <c r="E2209" t="s">
        <v>45</v>
      </c>
      <c r="F2209" t="s">
        <v>5075</v>
      </c>
      <c r="G2209" t="s">
        <v>5094</v>
      </c>
      <c r="H2209" t="str">
        <f>'Huong dan giao do an'!$B$14</f>
        <v>5 SV (vai trò chính): 1 PM/Scrum Master kiêm Integration; 2 BA/PO; 3 UI-UX + Frontend; 4 Backend/API + DevOps; 5 Database + QA/Tester. Mỗi SV có nhiệm vụ phụ và minh chứng cá nhân.</v>
      </c>
      <c r="I2209" t="s">
        <v>29</v>
      </c>
      <c r="J2209" t="s">
        <v>5072</v>
      </c>
      <c r="K2209" t="str">
        <f>IF(I2209="Trung bình",'Huong dan giao do an'!$B$8,IF(I2209="Khá",'Huong dan giao do an'!$B$9,'Huong dan giao do an'!$B$10))</f>
        <v>Tối thiểu 5 actor; 14-18 use case; 10-15 bảng; 4 quy trình; tích hợp ngoài/realtime hoặc xử lý nâng cao; 3 báo cáo; &gt;=45 test case; logging, backup và deploy.</v>
      </c>
      <c r="L2209" t="str">
        <f>'Huong dan giao do an'!$B$31</f>
        <v>Bắt buộc: Charter/PMP; SRS + scope/WBS; Gantt/baseline; effort-cost budget; RACI/timesheet; quality-test-defect; communication/minutes; risk register; procurement; change log; closure/lessons learned.</v>
      </c>
      <c r="M2209" t="str">
        <f>'Huong dan giao do an'!$B$33</f>
        <v>Tuần 1: 07.09–13.09.2026; Tuần 2: 14.09–20.09.2026; Tuần 3: 21.09–27.09.2026; Tuần 4: 28.09–04.10.2026; Tuần 5: 05.10–11.10.2026; Tuần 6: 12.10–18.10.2026; Tuần 7: 19.10–25.10.2026; Tuần 8: 26.10–01.11.2026.</v>
      </c>
      <c r="N22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09" s="17" t="str">
        <f t="shared" si="34"/>
        <v>Còn trống</v>
      </c>
    </row>
    <row r="2210" spans="1:16" x14ac:dyDescent="0.3">
      <c r="A2210">
        <v>2209</v>
      </c>
      <c r="B2210" t="s">
        <v>5062</v>
      </c>
      <c r="C2210" t="s">
        <v>5095</v>
      </c>
      <c r="D2210" t="s">
        <v>5096</v>
      </c>
      <c r="E2210" t="s">
        <v>19</v>
      </c>
      <c r="F2210" t="s">
        <v>5080</v>
      </c>
      <c r="G2210" t="s">
        <v>5097</v>
      </c>
      <c r="H2210" t="str">
        <f>'Huong dan giao do an'!$B$14</f>
        <v>5 SV (vai trò chính): 1 PM/Scrum Master kiêm Integration; 2 BA/PO; 3 UI-UX + Frontend; 4 Backend/API + DevOps; 5 Database + QA/Tester. Mỗi SV có nhiệm vụ phụ và minh chứng cá nhân.</v>
      </c>
      <c r="I2210" t="s">
        <v>36</v>
      </c>
      <c r="J2210" t="s">
        <v>5077</v>
      </c>
      <c r="K2210" t="str">
        <f>IF(I2210="Trung bình",'Huong dan giao do an'!$B$8,IF(I2210="Khá",'Huong dan giao do an'!$B$9,'Huong dan giao do an'!$B$10))</f>
        <v>Tối thiểu 3 actor; 8-10 use case; 6-8 bảng dữ liệu; 2 quy trình lõi; đăng nhập/RBAC; 1 dashboard; 1 báo cáo; &gt;=25 test case; triển khai bản demo.</v>
      </c>
      <c r="L2210" t="str">
        <f>'Huong dan giao do an'!$B$31</f>
        <v>Bắt buộc: Charter/PMP; SRS + scope/WBS; Gantt/baseline; effort-cost budget; RACI/timesheet; quality-test-defect; communication/minutes; risk register; procurement; change log; closure/lessons learned.</v>
      </c>
      <c r="M2210" t="str">
        <f>'Huong dan giao do an'!$B$33</f>
        <v>Tuần 1: 07.09–13.09.2026; Tuần 2: 14.09–20.09.2026; Tuần 3: 21.09–27.09.2026; Tuần 4: 28.09–04.10.2026; Tuần 5: 05.10–11.10.2026; Tuần 6: 12.10–18.10.2026; Tuần 7: 19.10–25.10.2026; Tuần 8: 26.10–01.11.2026.</v>
      </c>
      <c r="N22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0" s="17" t="str">
        <f t="shared" si="34"/>
        <v>Còn trống</v>
      </c>
    </row>
    <row r="2211" spans="1:16" x14ac:dyDescent="0.3">
      <c r="A2211">
        <v>2210</v>
      </c>
      <c r="B2211" t="s">
        <v>5062</v>
      </c>
      <c r="C2211" t="s">
        <v>5098</v>
      </c>
      <c r="D2211" t="s">
        <v>5099</v>
      </c>
      <c r="E2211" t="s">
        <v>26</v>
      </c>
      <c r="F2211" t="s">
        <v>5084</v>
      </c>
      <c r="G2211" t="s">
        <v>5100</v>
      </c>
      <c r="H2211" t="str">
        <f>'Huong dan giao do an'!$B$14</f>
        <v>5 SV (vai trò chính): 1 PM/Scrum Master kiêm Integration; 2 BA/PO; 3 UI-UX + Frontend; 4 Backend/API + DevOps; 5 Database + QA/Tester. Mỗi SV có nhiệm vụ phụ và minh chứng cá nhân.</v>
      </c>
      <c r="I2211" t="s">
        <v>22</v>
      </c>
      <c r="J2211" t="s">
        <v>5067</v>
      </c>
      <c r="K2211" t="str">
        <f>IF(I2211="Trung bình",'Huong dan giao do an'!$B$8,IF(I2211="Khá",'Huong dan giao do an'!$B$9,'Huong dan giao do an'!$B$10))</f>
        <v>Tối thiểu 4 actor; 10-14 use case; 8-12 bảng; 3 quy trình lõi; phân quyền chi tiết; 2 báo cáo; tích hợp 1 dịch vụ; &gt;=35 test case; CI/CD hoặc deploy cloud.</v>
      </c>
      <c r="L2211" t="str">
        <f>'Huong dan giao do an'!$B$31</f>
        <v>Bắt buộc: Charter/PMP; SRS + scope/WBS; Gantt/baseline; effort-cost budget; RACI/timesheet; quality-test-defect; communication/minutes; risk register; procurement; change log; closure/lessons learned.</v>
      </c>
      <c r="M2211" t="str">
        <f>'Huong dan giao do an'!$B$33</f>
        <v>Tuần 1: 07.09–13.09.2026; Tuần 2: 14.09–20.09.2026; Tuần 3: 21.09–27.09.2026; Tuần 4: 28.09–04.10.2026; Tuần 5: 05.10–11.10.2026; Tuần 6: 12.10–18.10.2026; Tuần 7: 19.10–25.10.2026; Tuần 8: 26.10–01.11.2026.</v>
      </c>
      <c r="N22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1" s="17" t="str">
        <f t="shared" si="34"/>
        <v>Còn trống</v>
      </c>
    </row>
    <row r="2212" spans="1:16" x14ac:dyDescent="0.3">
      <c r="A2212">
        <v>2211</v>
      </c>
      <c r="B2212" t="s">
        <v>5062</v>
      </c>
      <c r="C2212" t="s">
        <v>5101</v>
      </c>
      <c r="D2212" t="s">
        <v>5102</v>
      </c>
      <c r="E2212" t="s">
        <v>33</v>
      </c>
      <c r="F2212" t="s">
        <v>5065</v>
      </c>
      <c r="G2212" t="s">
        <v>5103</v>
      </c>
      <c r="H2212" t="str">
        <f>'Huong dan giao do an'!$B$14</f>
        <v>5 SV (vai trò chính): 1 PM/Scrum Master kiêm Integration; 2 BA/PO; 3 UI-UX + Frontend; 4 Backend/API + DevOps; 5 Database + QA/Tester. Mỗi SV có nhiệm vụ phụ và minh chứng cá nhân.</v>
      </c>
      <c r="I2212" t="s">
        <v>29</v>
      </c>
      <c r="J2212" t="s">
        <v>5072</v>
      </c>
      <c r="K2212" t="str">
        <f>IF(I2212="Trung bình",'Huong dan giao do an'!$B$8,IF(I2212="Khá",'Huong dan giao do an'!$B$9,'Huong dan giao do an'!$B$10))</f>
        <v>Tối thiểu 5 actor; 14-18 use case; 10-15 bảng; 4 quy trình; tích hợp ngoài/realtime hoặc xử lý nâng cao; 3 báo cáo; &gt;=45 test case; logging, backup và deploy.</v>
      </c>
      <c r="L2212" t="str">
        <f>'Huong dan giao do an'!$B$31</f>
        <v>Bắt buộc: Charter/PMP; SRS + scope/WBS; Gantt/baseline; effort-cost budget; RACI/timesheet; quality-test-defect; communication/minutes; risk register; procurement; change log; closure/lessons learned.</v>
      </c>
      <c r="M2212" t="str">
        <f>'Huong dan giao do an'!$B$33</f>
        <v>Tuần 1: 07.09–13.09.2026; Tuần 2: 14.09–20.09.2026; Tuần 3: 21.09–27.09.2026; Tuần 4: 28.09–04.10.2026; Tuần 5: 05.10–11.10.2026; Tuần 6: 12.10–18.10.2026; Tuần 7: 19.10–25.10.2026; Tuần 8: 26.10–01.11.2026.</v>
      </c>
      <c r="N22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2" s="17" t="str">
        <f t="shared" si="34"/>
        <v>Còn trống</v>
      </c>
    </row>
    <row r="2213" spans="1:16" x14ac:dyDescent="0.3">
      <c r="A2213">
        <v>2212</v>
      </c>
      <c r="B2213" t="s">
        <v>5062</v>
      </c>
      <c r="C2213" t="s">
        <v>5104</v>
      </c>
      <c r="D2213" t="s">
        <v>5105</v>
      </c>
      <c r="E2213" t="s">
        <v>40</v>
      </c>
      <c r="F2213" t="s">
        <v>5070</v>
      </c>
      <c r="G2213" t="s">
        <v>5106</v>
      </c>
      <c r="H2213" t="str">
        <f>'Huong dan giao do an'!$B$14</f>
        <v>5 SV (vai trò chính): 1 PM/Scrum Master kiêm Integration; 2 BA/PO; 3 UI-UX + Frontend; 4 Backend/API + DevOps; 5 Database + QA/Tester. Mỗi SV có nhiệm vụ phụ và minh chứng cá nhân.</v>
      </c>
      <c r="I2213" t="s">
        <v>36</v>
      </c>
      <c r="J2213" t="s">
        <v>5077</v>
      </c>
      <c r="K2213" t="str">
        <f>IF(I2213="Trung bình",'Huong dan giao do an'!$B$8,IF(I2213="Khá",'Huong dan giao do an'!$B$9,'Huong dan giao do an'!$B$10))</f>
        <v>Tối thiểu 3 actor; 8-10 use case; 6-8 bảng dữ liệu; 2 quy trình lõi; đăng nhập/RBAC; 1 dashboard; 1 báo cáo; &gt;=25 test case; triển khai bản demo.</v>
      </c>
      <c r="L2213" t="str">
        <f>'Huong dan giao do an'!$B$31</f>
        <v>Bắt buộc: Charter/PMP; SRS + scope/WBS; Gantt/baseline; effort-cost budget; RACI/timesheet; quality-test-defect; communication/minutes; risk register; procurement; change log; closure/lessons learned.</v>
      </c>
      <c r="M2213" t="str">
        <f>'Huong dan giao do an'!$B$33</f>
        <v>Tuần 1: 07.09–13.09.2026; Tuần 2: 14.09–20.09.2026; Tuần 3: 21.09–27.09.2026; Tuần 4: 28.09–04.10.2026; Tuần 5: 05.10–11.10.2026; Tuần 6: 12.10–18.10.2026; Tuần 7: 19.10–25.10.2026; Tuần 8: 26.10–01.11.2026.</v>
      </c>
      <c r="N22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3" s="17" t="str">
        <f t="shared" si="34"/>
        <v>Còn trống</v>
      </c>
    </row>
    <row r="2214" spans="1:16" x14ac:dyDescent="0.3">
      <c r="A2214">
        <v>2213</v>
      </c>
      <c r="B2214" t="s">
        <v>5062</v>
      </c>
      <c r="C2214" t="s">
        <v>5107</v>
      </c>
      <c r="D2214" t="s">
        <v>5108</v>
      </c>
      <c r="E2214" t="s">
        <v>45</v>
      </c>
      <c r="F2214" t="s">
        <v>5075</v>
      </c>
      <c r="G2214" t="s">
        <v>5109</v>
      </c>
      <c r="H2214" t="str">
        <f>'Huong dan giao do an'!$B$14</f>
        <v>5 SV (vai trò chính): 1 PM/Scrum Master kiêm Integration; 2 BA/PO; 3 UI-UX + Frontend; 4 Backend/API + DevOps; 5 Database + QA/Tester. Mỗi SV có nhiệm vụ phụ và minh chứng cá nhân.</v>
      </c>
      <c r="I2214" t="s">
        <v>22</v>
      </c>
      <c r="J2214" t="s">
        <v>5067</v>
      </c>
      <c r="K2214" t="str">
        <f>IF(I2214="Trung bình",'Huong dan giao do an'!$B$8,IF(I2214="Khá",'Huong dan giao do an'!$B$9,'Huong dan giao do an'!$B$10))</f>
        <v>Tối thiểu 4 actor; 10-14 use case; 8-12 bảng; 3 quy trình lõi; phân quyền chi tiết; 2 báo cáo; tích hợp 1 dịch vụ; &gt;=35 test case; CI/CD hoặc deploy cloud.</v>
      </c>
      <c r="L2214" t="str">
        <f>'Huong dan giao do an'!$B$31</f>
        <v>Bắt buộc: Charter/PMP; SRS + scope/WBS; Gantt/baseline; effort-cost budget; RACI/timesheet; quality-test-defect; communication/minutes; risk register; procurement; change log; closure/lessons learned.</v>
      </c>
      <c r="M2214" t="str">
        <f>'Huong dan giao do an'!$B$33</f>
        <v>Tuần 1: 07.09–13.09.2026; Tuần 2: 14.09–20.09.2026; Tuần 3: 21.09–27.09.2026; Tuần 4: 28.09–04.10.2026; Tuần 5: 05.10–11.10.2026; Tuần 6: 12.10–18.10.2026; Tuần 7: 19.10–25.10.2026; Tuần 8: 26.10–01.11.2026.</v>
      </c>
      <c r="N22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4" s="17" t="str">
        <f t="shared" si="34"/>
        <v>Còn trống</v>
      </c>
    </row>
    <row r="2215" spans="1:16" x14ac:dyDescent="0.3">
      <c r="A2215">
        <v>2214</v>
      </c>
      <c r="B2215" t="s">
        <v>5062</v>
      </c>
      <c r="C2215" t="s">
        <v>5110</v>
      </c>
      <c r="D2215" t="s">
        <v>5111</v>
      </c>
      <c r="E2215" t="s">
        <v>19</v>
      </c>
      <c r="F2215" t="s">
        <v>5080</v>
      </c>
      <c r="G2215" t="s">
        <v>5112</v>
      </c>
      <c r="H2215" t="str">
        <f>'Huong dan giao do an'!$B$14</f>
        <v>5 SV (vai trò chính): 1 PM/Scrum Master kiêm Integration; 2 BA/PO; 3 UI-UX + Frontend; 4 Backend/API + DevOps; 5 Database + QA/Tester. Mỗi SV có nhiệm vụ phụ và minh chứng cá nhân.</v>
      </c>
      <c r="I2215" t="s">
        <v>29</v>
      </c>
      <c r="J2215" t="s">
        <v>5072</v>
      </c>
      <c r="K2215" t="str">
        <f>IF(I2215="Trung bình",'Huong dan giao do an'!$B$8,IF(I2215="Khá",'Huong dan giao do an'!$B$9,'Huong dan giao do an'!$B$10))</f>
        <v>Tối thiểu 5 actor; 14-18 use case; 10-15 bảng; 4 quy trình; tích hợp ngoài/realtime hoặc xử lý nâng cao; 3 báo cáo; &gt;=45 test case; logging, backup và deploy.</v>
      </c>
      <c r="L2215" t="str">
        <f>'Huong dan giao do an'!$B$31</f>
        <v>Bắt buộc: Charter/PMP; SRS + scope/WBS; Gantt/baseline; effort-cost budget; RACI/timesheet; quality-test-defect; communication/minutes; risk register; procurement; change log; closure/lessons learned.</v>
      </c>
      <c r="M2215" t="str">
        <f>'Huong dan giao do an'!$B$33</f>
        <v>Tuần 1: 07.09–13.09.2026; Tuần 2: 14.09–20.09.2026; Tuần 3: 21.09–27.09.2026; Tuần 4: 28.09–04.10.2026; Tuần 5: 05.10–11.10.2026; Tuần 6: 12.10–18.10.2026; Tuần 7: 19.10–25.10.2026; Tuần 8: 26.10–01.11.2026.</v>
      </c>
      <c r="N22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5" s="17" t="str">
        <f t="shared" si="34"/>
        <v>Còn trống</v>
      </c>
    </row>
    <row r="2216" spans="1:16" x14ac:dyDescent="0.3">
      <c r="A2216">
        <v>2215</v>
      </c>
      <c r="B2216" t="s">
        <v>5062</v>
      </c>
      <c r="C2216" t="s">
        <v>5113</v>
      </c>
      <c r="D2216" t="s">
        <v>5114</v>
      </c>
      <c r="E2216" t="s">
        <v>26</v>
      </c>
      <c r="F2216" t="s">
        <v>5084</v>
      </c>
      <c r="G2216" t="s">
        <v>5115</v>
      </c>
      <c r="H2216" t="str">
        <f>'Huong dan giao do an'!$B$14</f>
        <v>5 SV (vai trò chính): 1 PM/Scrum Master kiêm Integration; 2 BA/PO; 3 UI-UX + Frontend; 4 Backend/API + DevOps; 5 Database + QA/Tester. Mỗi SV có nhiệm vụ phụ và minh chứng cá nhân.</v>
      </c>
      <c r="I2216" t="s">
        <v>36</v>
      </c>
      <c r="J2216" t="s">
        <v>5077</v>
      </c>
      <c r="K2216" t="str">
        <f>IF(I2216="Trung bình",'Huong dan giao do an'!$B$8,IF(I2216="Khá",'Huong dan giao do an'!$B$9,'Huong dan giao do an'!$B$10))</f>
        <v>Tối thiểu 3 actor; 8-10 use case; 6-8 bảng dữ liệu; 2 quy trình lõi; đăng nhập/RBAC; 1 dashboard; 1 báo cáo; &gt;=25 test case; triển khai bản demo.</v>
      </c>
      <c r="L2216" t="str">
        <f>'Huong dan giao do an'!$B$31</f>
        <v>Bắt buộc: Charter/PMP; SRS + scope/WBS; Gantt/baseline; effort-cost budget; RACI/timesheet; quality-test-defect; communication/minutes; risk register; procurement; change log; closure/lessons learned.</v>
      </c>
      <c r="M2216" t="str">
        <f>'Huong dan giao do an'!$B$33</f>
        <v>Tuần 1: 07.09–13.09.2026; Tuần 2: 14.09–20.09.2026; Tuần 3: 21.09–27.09.2026; Tuần 4: 28.09–04.10.2026; Tuần 5: 05.10–11.10.2026; Tuần 6: 12.10–18.10.2026; Tuần 7: 19.10–25.10.2026; Tuần 8: 26.10–01.11.2026.</v>
      </c>
      <c r="N22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6" s="17" t="str">
        <f t="shared" si="34"/>
        <v>Còn trống</v>
      </c>
    </row>
    <row r="2217" spans="1:16" x14ac:dyDescent="0.3">
      <c r="A2217">
        <v>2216</v>
      </c>
      <c r="B2217" t="s">
        <v>5062</v>
      </c>
      <c r="C2217" t="s">
        <v>5116</v>
      </c>
      <c r="D2217" t="s">
        <v>5117</v>
      </c>
      <c r="E2217" t="s">
        <v>33</v>
      </c>
      <c r="F2217" t="s">
        <v>5065</v>
      </c>
      <c r="G2217" t="s">
        <v>5118</v>
      </c>
      <c r="H2217" t="str">
        <f>'Huong dan giao do an'!$B$14</f>
        <v>5 SV (vai trò chính): 1 PM/Scrum Master kiêm Integration; 2 BA/PO; 3 UI-UX + Frontend; 4 Backend/API + DevOps; 5 Database + QA/Tester. Mỗi SV có nhiệm vụ phụ và minh chứng cá nhân.</v>
      </c>
      <c r="I2217" t="s">
        <v>22</v>
      </c>
      <c r="J2217" t="s">
        <v>5067</v>
      </c>
      <c r="K2217" t="str">
        <f>IF(I2217="Trung bình",'Huong dan giao do an'!$B$8,IF(I2217="Khá",'Huong dan giao do an'!$B$9,'Huong dan giao do an'!$B$10))</f>
        <v>Tối thiểu 4 actor; 10-14 use case; 8-12 bảng; 3 quy trình lõi; phân quyền chi tiết; 2 báo cáo; tích hợp 1 dịch vụ; &gt;=35 test case; CI/CD hoặc deploy cloud.</v>
      </c>
      <c r="L2217" t="str">
        <f>'Huong dan giao do an'!$B$31</f>
        <v>Bắt buộc: Charter/PMP; SRS + scope/WBS; Gantt/baseline; effort-cost budget; RACI/timesheet; quality-test-defect; communication/minutes; risk register; procurement; change log; closure/lessons learned.</v>
      </c>
      <c r="M2217" t="str">
        <f>'Huong dan giao do an'!$B$33</f>
        <v>Tuần 1: 07.09–13.09.2026; Tuần 2: 14.09–20.09.2026; Tuần 3: 21.09–27.09.2026; Tuần 4: 28.09–04.10.2026; Tuần 5: 05.10–11.10.2026; Tuần 6: 12.10–18.10.2026; Tuần 7: 19.10–25.10.2026; Tuần 8: 26.10–01.11.2026.</v>
      </c>
      <c r="N22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7" s="17" t="str">
        <f t="shared" si="34"/>
        <v>Còn trống</v>
      </c>
    </row>
    <row r="2218" spans="1:16" x14ac:dyDescent="0.3">
      <c r="A2218">
        <v>2217</v>
      </c>
      <c r="B2218" t="s">
        <v>5062</v>
      </c>
      <c r="C2218" t="s">
        <v>5119</v>
      </c>
      <c r="D2218" t="s">
        <v>5120</v>
      </c>
      <c r="E2218" t="s">
        <v>40</v>
      </c>
      <c r="F2218" t="s">
        <v>5070</v>
      </c>
      <c r="G2218" t="s">
        <v>5121</v>
      </c>
      <c r="H2218" t="str">
        <f>'Huong dan giao do an'!$B$14</f>
        <v>5 SV (vai trò chính): 1 PM/Scrum Master kiêm Integration; 2 BA/PO; 3 UI-UX + Frontend; 4 Backend/API + DevOps; 5 Database + QA/Tester. Mỗi SV có nhiệm vụ phụ và minh chứng cá nhân.</v>
      </c>
      <c r="I2218" t="s">
        <v>29</v>
      </c>
      <c r="J2218" t="s">
        <v>5072</v>
      </c>
      <c r="K2218" t="str">
        <f>IF(I2218="Trung bình",'Huong dan giao do an'!$B$8,IF(I2218="Khá",'Huong dan giao do an'!$B$9,'Huong dan giao do an'!$B$10))</f>
        <v>Tối thiểu 5 actor; 14-18 use case; 10-15 bảng; 4 quy trình; tích hợp ngoài/realtime hoặc xử lý nâng cao; 3 báo cáo; &gt;=45 test case; logging, backup và deploy.</v>
      </c>
      <c r="L2218" t="str">
        <f>'Huong dan giao do an'!$B$31</f>
        <v>Bắt buộc: Charter/PMP; SRS + scope/WBS; Gantt/baseline; effort-cost budget; RACI/timesheet; quality-test-defect; communication/minutes; risk register; procurement; change log; closure/lessons learned.</v>
      </c>
      <c r="M2218" t="str">
        <f>'Huong dan giao do an'!$B$33</f>
        <v>Tuần 1: 07.09–13.09.2026; Tuần 2: 14.09–20.09.2026; Tuần 3: 21.09–27.09.2026; Tuần 4: 28.09–04.10.2026; Tuần 5: 05.10–11.10.2026; Tuần 6: 12.10–18.10.2026; Tuần 7: 19.10–25.10.2026; Tuần 8: 26.10–01.11.2026.</v>
      </c>
      <c r="N22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8" s="17" t="str">
        <f t="shared" si="34"/>
        <v>Còn trống</v>
      </c>
    </row>
    <row r="2219" spans="1:16" x14ac:dyDescent="0.3">
      <c r="A2219">
        <v>2218</v>
      </c>
      <c r="B2219" t="s">
        <v>5062</v>
      </c>
      <c r="C2219" t="s">
        <v>5122</v>
      </c>
      <c r="D2219" t="s">
        <v>5123</v>
      </c>
      <c r="E2219" t="s">
        <v>45</v>
      </c>
      <c r="F2219" t="s">
        <v>5075</v>
      </c>
      <c r="G2219" t="s">
        <v>5124</v>
      </c>
      <c r="H2219" t="str">
        <f>'Huong dan giao do an'!$B$14</f>
        <v>5 SV (vai trò chính): 1 PM/Scrum Master kiêm Integration; 2 BA/PO; 3 UI-UX + Frontend; 4 Backend/API + DevOps; 5 Database + QA/Tester. Mỗi SV có nhiệm vụ phụ và minh chứng cá nhân.</v>
      </c>
      <c r="I2219" t="s">
        <v>36</v>
      </c>
      <c r="J2219" t="s">
        <v>5077</v>
      </c>
      <c r="K2219" t="str">
        <f>IF(I2219="Trung bình",'Huong dan giao do an'!$B$8,IF(I2219="Khá",'Huong dan giao do an'!$B$9,'Huong dan giao do an'!$B$10))</f>
        <v>Tối thiểu 3 actor; 8-10 use case; 6-8 bảng dữ liệu; 2 quy trình lõi; đăng nhập/RBAC; 1 dashboard; 1 báo cáo; &gt;=25 test case; triển khai bản demo.</v>
      </c>
      <c r="L2219" t="str">
        <f>'Huong dan giao do an'!$B$31</f>
        <v>Bắt buộc: Charter/PMP; SRS + scope/WBS; Gantt/baseline; effort-cost budget; RACI/timesheet; quality-test-defect; communication/minutes; risk register; procurement; change log; closure/lessons learned.</v>
      </c>
      <c r="M2219" t="str">
        <f>'Huong dan giao do an'!$B$33</f>
        <v>Tuần 1: 07.09–13.09.2026; Tuần 2: 14.09–20.09.2026; Tuần 3: 21.09–27.09.2026; Tuần 4: 28.09–04.10.2026; Tuần 5: 05.10–11.10.2026; Tuần 6: 12.10–18.10.2026; Tuần 7: 19.10–25.10.2026; Tuần 8: 26.10–01.11.2026.</v>
      </c>
      <c r="N22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19" s="17" t="str">
        <f t="shared" si="34"/>
        <v>Còn trống</v>
      </c>
    </row>
    <row r="2220" spans="1:16" x14ac:dyDescent="0.3">
      <c r="A2220">
        <v>2219</v>
      </c>
      <c r="B2220" t="s">
        <v>5062</v>
      </c>
      <c r="C2220" t="s">
        <v>5125</v>
      </c>
      <c r="D2220" t="s">
        <v>5126</v>
      </c>
      <c r="E2220" t="s">
        <v>19</v>
      </c>
      <c r="F2220" t="s">
        <v>5080</v>
      </c>
      <c r="G2220" t="s">
        <v>5127</v>
      </c>
      <c r="H2220" t="str">
        <f>'Huong dan giao do an'!$B$14</f>
        <v>5 SV (vai trò chính): 1 PM/Scrum Master kiêm Integration; 2 BA/PO; 3 UI-UX + Frontend; 4 Backend/API + DevOps; 5 Database + QA/Tester. Mỗi SV có nhiệm vụ phụ và minh chứng cá nhân.</v>
      </c>
      <c r="I2220" t="s">
        <v>22</v>
      </c>
      <c r="J2220" t="s">
        <v>5067</v>
      </c>
      <c r="K2220" t="str">
        <f>IF(I2220="Trung bình",'Huong dan giao do an'!$B$8,IF(I2220="Khá",'Huong dan giao do an'!$B$9,'Huong dan giao do an'!$B$10))</f>
        <v>Tối thiểu 4 actor; 10-14 use case; 8-12 bảng; 3 quy trình lõi; phân quyền chi tiết; 2 báo cáo; tích hợp 1 dịch vụ; &gt;=35 test case; CI/CD hoặc deploy cloud.</v>
      </c>
      <c r="L2220" t="str">
        <f>'Huong dan giao do an'!$B$31</f>
        <v>Bắt buộc: Charter/PMP; SRS + scope/WBS; Gantt/baseline; effort-cost budget; RACI/timesheet; quality-test-defect; communication/minutes; risk register; procurement; change log; closure/lessons learned.</v>
      </c>
      <c r="M2220" t="str">
        <f>'Huong dan giao do an'!$B$33</f>
        <v>Tuần 1: 07.09–13.09.2026; Tuần 2: 14.09–20.09.2026; Tuần 3: 21.09–27.09.2026; Tuần 4: 28.09–04.10.2026; Tuần 5: 05.10–11.10.2026; Tuần 6: 12.10–18.10.2026; Tuần 7: 19.10–25.10.2026; Tuần 8: 26.10–01.11.2026.</v>
      </c>
      <c r="N22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0" s="17" t="str">
        <f t="shared" si="34"/>
        <v>Còn trống</v>
      </c>
    </row>
    <row r="2221" spans="1:16" x14ac:dyDescent="0.3">
      <c r="A2221">
        <v>2220</v>
      </c>
      <c r="B2221" t="s">
        <v>5062</v>
      </c>
      <c r="C2221" t="s">
        <v>5128</v>
      </c>
      <c r="D2221" t="s">
        <v>5129</v>
      </c>
      <c r="E2221" t="s">
        <v>26</v>
      </c>
      <c r="F2221" t="s">
        <v>5084</v>
      </c>
      <c r="G2221" t="s">
        <v>5130</v>
      </c>
      <c r="H2221" t="str">
        <f>'Huong dan giao do an'!$B$14</f>
        <v>5 SV (vai trò chính): 1 PM/Scrum Master kiêm Integration; 2 BA/PO; 3 UI-UX + Frontend; 4 Backend/API + DevOps; 5 Database + QA/Tester. Mỗi SV có nhiệm vụ phụ và minh chứng cá nhân.</v>
      </c>
      <c r="I2221" t="s">
        <v>29</v>
      </c>
      <c r="J2221" t="s">
        <v>5072</v>
      </c>
      <c r="K2221" t="str">
        <f>IF(I2221="Trung bình",'Huong dan giao do an'!$B$8,IF(I2221="Khá",'Huong dan giao do an'!$B$9,'Huong dan giao do an'!$B$10))</f>
        <v>Tối thiểu 5 actor; 14-18 use case; 10-15 bảng; 4 quy trình; tích hợp ngoài/realtime hoặc xử lý nâng cao; 3 báo cáo; &gt;=45 test case; logging, backup và deploy.</v>
      </c>
      <c r="L2221" t="str">
        <f>'Huong dan giao do an'!$B$31</f>
        <v>Bắt buộc: Charter/PMP; SRS + scope/WBS; Gantt/baseline; effort-cost budget; RACI/timesheet; quality-test-defect; communication/minutes; risk register; procurement; change log; closure/lessons learned.</v>
      </c>
      <c r="M2221" t="str">
        <f>'Huong dan giao do an'!$B$33</f>
        <v>Tuần 1: 07.09–13.09.2026; Tuần 2: 14.09–20.09.2026; Tuần 3: 21.09–27.09.2026; Tuần 4: 28.09–04.10.2026; Tuần 5: 05.10–11.10.2026; Tuần 6: 12.10–18.10.2026; Tuần 7: 19.10–25.10.2026; Tuần 8: 26.10–01.11.2026.</v>
      </c>
      <c r="N22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1" s="17" t="str">
        <f t="shared" si="34"/>
        <v>Còn trống</v>
      </c>
    </row>
    <row r="2222" spans="1:16" x14ac:dyDescent="0.3">
      <c r="A2222">
        <v>2221</v>
      </c>
      <c r="B2222" t="s">
        <v>5062</v>
      </c>
      <c r="C2222" t="s">
        <v>5131</v>
      </c>
      <c r="D2222" t="s">
        <v>5132</v>
      </c>
      <c r="E2222" t="s">
        <v>33</v>
      </c>
      <c r="F2222" t="s">
        <v>5065</v>
      </c>
      <c r="G2222" t="s">
        <v>5066</v>
      </c>
      <c r="H2222" t="str">
        <f>'Huong dan giao do an'!$B$14</f>
        <v>5 SV (vai trò chính): 1 PM/Scrum Master kiêm Integration; 2 BA/PO; 3 UI-UX + Frontend; 4 Backend/API + DevOps; 5 Database + QA/Tester. Mỗi SV có nhiệm vụ phụ và minh chứng cá nhân.</v>
      </c>
      <c r="I2222" t="s">
        <v>22</v>
      </c>
      <c r="J2222" t="s">
        <v>5067</v>
      </c>
      <c r="K2222" t="str">
        <f>IF(I2222="Trung bình",'Huong dan giao do an'!$B$8,IF(I2222="Khá",'Huong dan giao do an'!$B$9,'Huong dan giao do an'!$B$10))</f>
        <v>Tối thiểu 4 actor; 10-14 use case; 8-12 bảng; 3 quy trình lõi; phân quyền chi tiết; 2 báo cáo; tích hợp 1 dịch vụ; &gt;=35 test case; CI/CD hoặc deploy cloud.</v>
      </c>
      <c r="L2222" t="str">
        <f>'Huong dan giao do an'!$B$31</f>
        <v>Bắt buộc: Charter/PMP; SRS + scope/WBS; Gantt/baseline; effort-cost budget; RACI/timesheet; quality-test-defect; communication/minutes; risk register; procurement; change log; closure/lessons learned.</v>
      </c>
      <c r="M2222" t="str">
        <f>'Huong dan giao do an'!$B$33</f>
        <v>Tuần 1: 07.09–13.09.2026; Tuần 2: 14.09–20.09.2026; Tuần 3: 21.09–27.09.2026; Tuần 4: 28.09–04.10.2026; Tuần 5: 05.10–11.10.2026; Tuần 6: 12.10–18.10.2026; Tuần 7: 19.10–25.10.2026; Tuần 8: 26.10–01.11.2026.</v>
      </c>
      <c r="N22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2" s="17" t="str">
        <f t="shared" si="34"/>
        <v>Còn trống</v>
      </c>
    </row>
    <row r="2223" spans="1:16" x14ac:dyDescent="0.3">
      <c r="A2223">
        <v>2222</v>
      </c>
      <c r="B2223" t="s">
        <v>5062</v>
      </c>
      <c r="C2223" t="s">
        <v>5133</v>
      </c>
      <c r="D2223" t="s">
        <v>5134</v>
      </c>
      <c r="E2223" t="s">
        <v>40</v>
      </c>
      <c r="F2223" t="s">
        <v>5070</v>
      </c>
      <c r="G2223" t="s">
        <v>5071</v>
      </c>
      <c r="H2223" t="str">
        <f>'Huong dan giao do an'!$B$14</f>
        <v>5 SV (vai trò chính): 1 PM/Scrum Master kiêm Integration; 2 BA/PO; 3 UI-UX + Frontend; 4 Backend/API + DevOps; 5 Database + QA/Tester. Mỗi SV có nhiệm vụ phụ và minh chứng cá nhân.</v>
      </c>
      <c r="I2223" t="s">
        <v>29</v>
      </c>
      <c r="J2223" t="s">
        <v>5072</v>
      </c>
      <c r="K2223" t="str">
        <f>IF(I2223="Trung bình",'Huong dan giao do an'!$B$8,IF(I2223="Khá",'Huong dan giao do an'!$B$9,'Huong dan giao do an'!$B$10))</f>
        <v>Tối thiểu 5 actor; 14-18 use case; 10-15 bảng; 4 quy trình; tích hợp ngoài/realtime hoặc xử lý nâng cao; 3 báo cáo; &gt;=45 test case; logging, backup và deploy.</v>
      </c>
      <c r="L2223" t="str">
        <f>'Huong dan giao do an'!$B$31</f>
        <v>Bắt buộc: Charter/PMP; SRS + scope/WBS; Gantt/baseline; effort-cost budget; RACI/timesheet; quality-test-defect; communication/minutes; risk register; procurement; change log; closure/lessons learned.</v>
      </c>
      <c r="M2223" t="str">
        <f>'Huong dan giao do an'!$B$33</f>
        <v>Tuần 1: 07.09–13.09.2026; Tuần 2: 14.09–20.09.2026; Tuần 3: 21.09–27.09.2026; Tuần 4: 28.09–04.10.2026; Tuần 5: 05.10–11.10.2026; Tuần 6: 12.10–18.10.2026; Tuần 7: 19.10–25.10.2026; Tuần 8: 26.10–01.11.2026.</v>
      </c>
      <c r="N22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3" s="17" t="str">
        <f t="shared" si="34"/>
        <v>Còn trống</v>
      </c>
    </row>
    <row r="2224" spans="1:16" x14ac:dyDescent="0.3">
      <c r="A2224">
        <v>2223</v>
      </c>
      <c r="B2224" t="s">
        <v>5062</v>
      </c>
      <c r="C2224" t="s">
        <v>5135</v>
      </c>
      <c r="D2224" t="s">
        <v>5136</v>
      </c>
      <c r="E2224" t="s">
        <v>45</v>
      </c>
      <c r="F2224" t="s">
        <v>5075</v>
      </c>
      <c r="G2224" t="s">
        <v>5076</v>
      </c>
      <c r="H2224" t="str">
        <f>'Huong dan giao do an'!$B$14</f>
        <v>5 SV (vai trò chính): 1 PM/Scrum Master kiêm Integration; 2 BA/PO; 3 UI-UX + Frontend; 4 Backend/API + DevOps; 5 Database + QA/Tester. Mỗi SV có nhiệm vụ phụ và minh chứng cá nhân.</v>
      </c>
      <c r="I2224" t="s">
        <v>36</v>
      </c>
      <c r="J2224" t="s">
        <v>5077</v>
      </c>
      <c r="K2224" t="str">
        <f>IF(I2224="Trung bình",'Huong dan giao do an'!$B$8,IF(I2224="Khá",'Huong dan giao do an'!$B$9,'Huong dan giao do an'!$B$10))</f>
        <v>Tối thiểu 3 actor; 8-10 use case; 6-8 bảng dữ liệu; 2 quy trình lõi; đăng nhập/RBAC; 1 dashboard; 1 báo cáo; &gt;=25 test case; triển khai bản demo.</v>
      </c>
      <c r="L2224" t="str">
        <f>'Huong dan giao do an'!$B$31</f>
        <v>Bắt buộc: Charter/PMP; SRS + scope/WBS; Gantt/baseline; effort-cost budget; RACI/timesheet; quality-test-defect; communication/minutes; risk register; procurement; change log; closure/lessons learned.</v>
      </c>
      <c r="M2224" t="str">
        <f>'Huong dan giao do an'!$B$33</f>
        <v>Tuần 1: 07.09–13.09.2026; Tuần 2: 14.09–20.09.2026; Tuần 3: 21.09–27.09.2026; Tuần 4: 28.09–04.10.2026; Tuần 5: 05.10–11.10.2026; Tuần 6: 12.10–18.10.2026; Tuần 7: 19.10–25.10.2026; Tuần 8: 26.10–01.11.2026.</v>
      </c>
      <c r="N22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4" s="17" t="str">
        <f t="shared" si="34"/>
        <v>Còn trống</v>
      </c>
    </row>
    <row r="2225" spans="1:16" x14ac:dyDescent="0.3">
      <c r="A2225">
        <v>2224</v>
      </c>
      <c r="B2225" t="s">
        <v>5062</v>
      </c>
      <c r="C2225" t="s">
        <v>5137</v>
      </c>
      <c r="D2225" t="s">
        <v>5138</v>
      </c>
      <c r="E2225" t="s">
        <v>19</v>
      </c>
      <c r="F2225" t="s">
        <v>5080</v>
      </c>
      <c r="G2225" t="s">
        <v>5081</v>
      </c>
      <c r="H2225" t="str">
        <f>'Huong dan giao do an'!$B$14</f>
        <v>5 SV (vai trò chính): 1 PM/Scrum Master kiêm Integration; 2 BA/PO; 3 UI-UX + Frontend; 4 Backend/API + DevOps; 5 Database + QA/Tester. Mỗi SV có nhiệm vụ phụ và minh chứng cá nhân.</v>
      </c>
      <c r="I2225" t="s">
        <v>22</v>
      </c>
      <c r="J2225" t="s">
        <v>5067</v>
      </c>
      <c r="K2225" t="str">
        <f>IF(I2225="Trung bình",'Huong dan giao do an'!$B$8,IF(I2225="Khá",'Huong dan giao do an'!$B$9,'Huong dan giao do an'!$B$10))</f>
        <v>Tối thiểu 4 actor; 10-14 use case; 8-12 bảng; 3 quy trình lõi; phân quyền chi tiết; 2 báo cáo; tích hợp 1 dịch vụ; &gt;=35 test case; CI/CD hoặc deploy cloud.</v>
      </c>
      <c r="L2225" t="str">
        <f>'Huong dan giao do an'!$B$31</f>
        <v>Bắt buộc: Charter/PMP; SRS + scope/WBS; Gantt/baseline; effort-cost budget; RACI/timesheet; quality-test-defect; communication/minutes; risk register; procurement; change log; closure/lessons learned.</v>
      </c>
      <c r="M2225" t="str">
        <f>'Huong dan giao do an'!$B$33</f>
        <v>Tuần 1: 07.09–13.09.2026; Tuần 2: 14.09–20.09.2026; Tuần 3: 21.09–27.09.2026; Tuần 4: 28.09–04.10.2026; Tuần 5: 05.10–11.10.2026; Tuần 6: 12.10–18.10.2026; Tuần 7: 19.10–25.10.2026; Tuần 8: 26.10–01.11.2026.</v>
      </c>
      <c r="N22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5" s="17" t="str">
        <f t="shared" si="34"/>
        <v>Còn trống</v>
      </c>
    </row>
    <row r="2226" spans="1:16" x14ac:dyDescent="0.3">
      <c r="A2226">
        <v>2225</v>
      </c>
      <c r="B2226" t="s">
        <v>5062</v>
      </c>
      <c r="C2226" t="s">
        <v>5139</v>
      </c>
      <c r="D2226" t="s">
        <v>5140</v>
      </c>
      <c r="E2226" t="s">
        <v>26</v>
      </c>
      <c r="F2226" t="s">
        <v>5084</v>
      </c>
      <c r="G2226" t="s">
        <v>5085</v>
      </c>
      <c r="H2226" t="str">
        <f>'Huong dan giao do an'!$B$14</f>
        <v>5 SV (vai trò chính): 1 PM/Scrum Master kiêm Integration; 2 BA/PO; 3 UI-UX + Frontend; 4 Backend/API + DevOps; 5 Database + QA/Tester. Mỗi SV có nhiệm vụ phụ và minh chứng cá nhân.</v>
      </c>
      <c r="I2226" t="s">
        <v>29</v>
      </c>
      <c r="J2226" t="s">
        <v>5072</v>
      </c>
      <c r="K2226" t="str">
        <f>IF(I2226="Trung bình",'Huong dan giao do an'!$B$8,IF(I2226="Khá",'Huong dan giao do an'!$B$9,'Huong dan giao do an'!$B$10))</f>
        <v>Tối thiểu 5 actor; 14-18 use case; 10-15 bảng; 4 quy trình; tích hợp ngoài/realtime hoặc xử lý nâng cao; 3 báo cáo; &gt;=45 test case; logging, backup và deploy.</v>
      </c>
      <c r="L2226" t="str">
        <f>'Huong dan giao do an'!$B$31</f>
        <v>Bắt buộc: Charter/PMP; SRS + scope/WBS; Gantt/baseline; effort-cost budget; RACI/timesheet; quality-test-defect; communication/minutes; risk register; procurement; change log; closure/lessons learned.</v>
      </c>
      <c r="M2226" t="str">
        <f>'Huong dan giao do an'!$B$33</f>
        <v>Tuần 1: 07.09–13.09.2026; Tuần 2: 14.09–20.09.2026; Tuần 3: 21.09–27.09.2026; Tuần 4: 28.09–04.10.2026; Tuần 5: 05.10–11.10.2026; Tuần 6: 12.10–18.10.2026; Tuần 7: 19.10–25.10.2026; Tuần 8: 26.10–01.11.2026.</v>
      </c>
      <c r="N22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6" s="17" t="str">
        <f t="shared" si="34"/>
        <v>Còn trống</v>
      </c>
    </row>
    <row r="2227" spans="1:16" x14ac:dyDescent="0.3">
      <c r="A2227">
        <v>2226</v>
      </c>
      <c r="B2227" t="s">
        <v>5062</v>
      </c>
      <c r="C2227" t="s">
        <v>5141</v>
      </c>
      <c r="D2227" t="s">
        <v>5142</v>
      </c>
      <c r="E2227" t="s">
        <v>33</v>
      </c>
      <c r="F2227" t="s">
        <v>5065</v>
      </c>
      <c r="G2227" t="s">
        <v>5088</v>
      </c>
      <c r="H2227" t="str">
        <f>'Huong dan giao do an'!$B$14</f>
        <v>5 SV (vai trò chính): 1 PM/Scrum Master kiêm Integration; 2 BA/PO; 3 UI-UX + Frontend; 4 Backend/API + DevOps; 5 Database + QA/Tester. Mỗi SV có nhiệm vụ phụ và minh chứng cá nhân.</v>
      </c>
      <c r="I2227" t="s">
        <v>36</v>
      </c>
      <c r="J2227" t="s">
        <v>5077</v>
      </c>
      <c r="K2227" t="str">
        <f>IF(I2227="Trung bình",'Huong dan giao do an'!$B$8,IF(I2227="Khá",'Huong dan giao do an'!$B$9,'Huong dan giao do an'!$B$10))</f>
        <v>Tối thiểu 3 actor; 8-10 use case; 6-8 bảng dữ liệu; 2 quy trình lõi; đăng nhập/RBAC; 1 dashboard; 1 báo cáo; &gt;=25 test case; triển khai bản demo.</v>
      </c>
      <c r="L2227" t="str">
        <f>'Huong dan giao do an'!$B$31</f>
        <v>Bắt buộc: Charter/PMP; SRS + scope/WBS; Gantt/baseline; effort-cost budget; RACI/timesheet; quality-test-defect; communication/minutes; risk register; procurement; change log; closure/lessons learned.</v>
      </c>
      <c r="M2227" t="str">
        <f>'Huong dan giao do an'!$B$33</f>
        <v>Tuần 1: 07.09–13.09.2026; Tuần 2: 14.09–20.09.2026; Tuần 3: 21.09–27.09.2026; Tuần 4: 28.09–04.10.2026; Tuần 5: 05.10–11.10.2026; Tuần 6: 12.10–18.10.2026; Tuần 7: 19.10–25.10.2026; Tuần 8: 26.10–01.11.2026.</v>
      </c>
      <c r="N22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7" s="17" t="str">
        <f t="shared" si="34"/>
        <v>Còn trống</v>
      </c>
    </row>
    <row r="2228" spans="1:16" x14ac:dyDescent="0.3">
      <c r="A2228">
        <v>2227</v>
      </c>
      <c r="B2228" t="s">
        <v>5062</v>
      </c>
      <c r="C2228" t="s">
        <v>5143</v>
      </c>
      <c r="D2228" t="s">
        <v>5144</v>
      </c>
      <c r="E2228" t="s">
        <v>40</v>
      </c>
      <c r="F2228" t="s">
        <v>5070</v>
      </c>
      <c r="G2228" t="s">
        <v>5091</v>
      </c>
      <c r="H2228" t="str">
        <f>'Huong dan giao do an'!$B$14</f>
        <v>5 SV (vai trò chính): 1 PM/Scrum Master kiêm Integration; 2 BA/PO; 3 UI-UX + Frontend; 4 Backend/API + DevOps; 5 Database + QA/Tester. Mỗi SV có nhiệm vụ phụ và minh chứng cá nhân.</v>
      </c>
      <c r="I2228" t="s">
        <v>22</v>
      </c>
      <c r="J2228" t="s">
        <v>5067</v>
      </c>
      <c r="K2228" t="str">
        <f>IF(I2228="Trung bình",'Huong dan giao do an'!$B$8,IF(I2228="Khá",'Huong dan giao do an'!$B$9,'Huong dan giao do an'!$B$10))</f>
        <v>Tối thiểu 4 actor; 10-14 use case; 8-12 bảng; 3 quy trình lõi; phân quyền chi tiết; 2 báo cáo; tích hợp 1 dịch vụ; &gt;=35 test case; CI/CD hoặc deploy cloud.</v>
      </c>
      <c r="L2228" t="str">
        <f>'Huong dan giao do an'!$B$31</f>
        <v>Bắt buộc: Charter/PMP; SRS + scope/WBS; Gantt/baseline; effort-cost budget; RACI/timesheet; quality-test-defect; communication/minutes; risk register; procurement; change log; closure/lessons learned.</v>
      </c>
      <c r="M2228" t="str">
        <f>'Huong dan giao do an'!$B$33</f>
        <v>Tuần 1: 07.09–13.09.2026; Tuần 2: 14.09–20.09.2026; Tuần 3: 21.09–27.09.2026; Tuần 4: 28.09–04.10.2026; Tuần 5: 05.10–11.10.2026; Tuần 6: 12.10–18.10.2026; Tuần 7: 19.10–25.10.2026; Tuần 8: 26.10–01.11.2026.</v>
      </c>
      <c r="N22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8" s="17" t="str">
        <f t="shared" si="34"/>
        <v>Còn trống</v>
      </c>
    </row>
    <row r="2229" spans="1:16" x14ac:dyDescent="0.3">
      <c r="A2229">
        <v>2228</v>
      </c>
      <c r="B2229" t="s">
        <v>5062</v>
      </c>
      <c r="C2229" t="s">
        <v>5145</v>
      </c>
      <c r="D2229" t="s">
        <v>5146</v>
      </c>
      <c r="E2229" t="s">
        <v>45</v>
      </c>
      <c r="F2229" t="s">
        <v>5075</v>
      </c>
      <c r="G2229" t="s">
        <v>5094</v>
      </c>
      <c r="H2229" t="str">
        <f>'Huong dan giao do an'!$B$14</f>
        <v>5 SV (vai trò chính): 1 PM/Scrum Master kiêm Integration; 2 BA/PO; 3 UI-UX + Frontend; 4 Backend/API + DevOps; 5 Database + QA/Tester. Mỗi SV có nhiệm vụ phụ và minh chứng cá nhân.</v>
      </c>
      <c r="I2229" t="s">
        <v>29</v>
      </c>
      <c r="J2229" t="s">
        <v>5072</v>
      </c>
      <c r="K2229" t="str">
        <f>IF(I2229="Trung bình",'Huong dan giao do an'!$B$8,IF(I2229="Khá",'Huong dan giao do an'!$B$9,'Huong dan giao do an'!$B$10))</f>
        <v>Tối thiểu 5 actor; 14-18 use case; 10-15 bảng; 4 quy trình; tích hợp ngoài/realtime hoặc xử lý nâng cao; 3 báo cáo; &gt;=45 test case; logging, backup và deploy.</v>
      </c>
      <c r="L2229" t="str">
        <f>'Huong dan giao do an'!$B$31</f>
        <v>Bắt buộc: Charter/PMP; SRS + scope/WBS; Gantt/baseline; effort-cost budget; RACI/timesheet; quality-test-defect; communication/minutes; risk register; procurement; change log; closure/lessons learned.</v>
      </c>
      <c r="M2229" t="str">
        <f>'Huong dan giao do an'!$B$33</f>
        <v>Tuần 1: 07.09–13.09.2026; Tuần 2: 14.09–20.09.2026; Tuần 3: 21.09–27.09.2026; Tuần 4: 28.09–04.10.2026; Tuần 5: 05.10–11.10.2026; Tuần 6: 12.10–18.10.2026; Tuần 7: 19.10–25.10.2026; Tuần 8: 26.10–01.11.2026.</v>
      </c>
      <c r="N22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29" s="17" t="str">
        <f t="shared" si="34"/>
        <v>Còn trống</v>
      </c>
    </row>
    <row r="2230" spans="1:16" x14ac:dyDescent="0.3">
      <c r="A2230">
        <v>2229</v>
      </c>
      <c r="B2230" t="s">
        <v>5062</v>
      </c>
      <c r="C2230" t="s">
        <v>5147</v>
      </c>
      <c r="D2230" t="s">
        <v>5148</v>
      </c>
      <c r="E2230" t="s">
        <v>19</v>
      </c>
      <c r="F2230" t="s">
        <v>5080</v>
      </c>
      <c r="G2230" t="s">
        <v>5097</v>
      </c>
      <c r="H2230" t="str">
        <f>'Huong dan giao do an'!$B$14</f>
        <v>5 SV (vai trò chính): 1 PM/Scrum Master kiêm Integration; 2 BA/PO; 3 UI-UX + Frontend; 4 Backend/API + DevOps; 5 Database + QA/Tester. Mỗi SV có nhiệm vụ phụ và minh chứng cá nhân.</v>
      </c>
      <c r="I2230" t="s">
        <v>36</v>
      </c>
      <c r="J2230" t="s">
        <v>5077</v>
      </c>
      <c r="K2230" t="str">
        <f>IF(I2230="Trung bình",'Huong dan giao do an'!$B$8,IF(I2230="Khá",'Huong dan giao do an'!$B$9,'Huong dan giao do an'!$B$10))</f>
        <v>Tối thiểu 3 actor; 8-10 use case; 6-8 bảng dữ liệu; 2 quy trình lõi; đăng nhập/RBAC; 1 dashboard; 1 báo cáo; &gt;=25 test case; triển khai bản demo.</v>
      </c>
      <c r="L2230" t="str">
        <f>'Huong dan giao do an'!$B$31</f>
        <v>Bắt buộc: Charter/PMP; SRS + scope/WBS; Gantt/baseline; effort-cost budget; RACI/timesheet; quality-test-defect; communication/minutes; risk register; procurement; change log; closure/lessons learned.</v>
      </c>
      <c r="M2230" t="str">
        <f>'Huong dan giao do an'!$B$33</f>
        <v>Tuần 1: 07.09–13.09.2026; Tuần 2: 14.09–20.09.2026; Tuần 3: 21.09–27.09.2026; Tuần 4: 28.09–04.10.2026; Tuần 5: 05.10–11.10.2026; Tuần 6: 12.10–18.10.2026; Tuần 7: 19.10–25.10.2026; Tuần 8: 26.10–01.11.2026.</v>
      </c>
      <c r="N22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0" s="17" t="str">
        <f t="shared" si="34"/>
        <v>Còn trống</v>
      </c>
    </row>
    <row r="2231" spans="1:16" x14ac:dyDescent="0.3">
      <c r="A2231">
        <v>2230</v>
      </c>
      <c r="B2231" t="s">
        <v>5062</v>
      </c>
      <c r="C2231" t="s">
        <v>5149</v>
      </c>
      <c r="D2231" t="s">
        <v>5150</v>
      </c>
      <c r="E2231" t="s">
        <v>26</v>
      </c>
      <c r="F2231" t="s">
        <v>5084</v>
      </c>
      <c r="G2231" t="s">
        <v>5100</v>
      </c>
      <c r="H2231" t="str">
        <f>'Huong dan giao do an'!$B$14</f>
        <v>5 SV (vai trò chính): 1 PM/Scrum Master kiêm Integration; 2 BA/PO; 3 UI-UX + Frontend; 4 Backend/API + DevOps; 5 Database + QA/Tester. Mỗi SV có nhiệm vụ phụ và minh chứng cá nhân.</v>
      </c>
      <c r="I2231" t="s">
        <v>22</v>
      </c>
      <c r="J2231" t="s">
        <v>5067</v>
      </c>
      <c r="K2231" t="str">
        <f>IF(I2231="Trung bình",'Huong dan giao do an'!$B$8,IF(I2231="Khá",'Huong dan giao do an'!$B$9,'Huong dan giao do an'!$B$10))</f>
        <v>Tối thiểu 4 actor; 10-14 use case; 8-12 bảng; 3 quy trình lõi; phân quyền chi tiết; 2 báo cáo; tích hợp 1 dịch vụ; &gt;=35 test case; CI/CD hoặc deploy cloud.</v>
      </c>
      <c r="L2231" t="str">
        <f>'Huong dan giao do an'!$B$31</f>
        <v>Bắt buộc: Charter/PMP; SRS + scope/WBS; Gantt/baseline; effort-cost budget; RACI/timesheet; quality-test-defect; communication/minutes; risk register; procurement; change log; closure/lessons learned.</v>
      </c>
      <c r="M2231" t="str">
        <f>'Huong dan giao do an'!$B$33</f>
        <v>Tuần 1: 07.09–13.09.2026; Tuần 2: 14.09–20.09.2026; Tuần 3: 21.09–27.09.2026; Tuần 4: 28.09–04.10.2026; Tuần 5: 05.10–11.10.2026; Tuần 6: 12.10–18.10.2026; Tuần 7: 19.10–25.10.2026; Tuần 8: 26.10–01.11.2026.</v>
      </c>
      <c r="N22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1" s="17" t="str">
        <f t="shared" si="34"/>
        <v>Còn trống</v>
      </c>
    </row>
    <row r="2232" spans="1:16" x14ac:dyDescent="0.3">
      <c r="A2232">
        <v>2231</v>
      </c>
      <c r="B2232" t="s">
        <v>5062</v>
      </c>
      <c r="C2232" t="s">
        <v>5151</v>
      </c>
      <c r="D2232" t="s">
        <v>5152</v>
      </c>
      <c r="E2232" t="s">
        <v>33</v>
      </c>
      <c r="F2232" t="s">
        <v>5065</v>
      </c>
      <c r="G2232" t="s">
        <v>5103</v>
      </c>
      <c r="H2232" t="str">
        <f>'Huong dan giao do an'!$B$14</f>
        <v>5 SV (vai trò chính): 1 PM/Scrum Master kiêm Integration; 2 BA/PO; 3 UI-UX + Frontend; 4 Backend/API + DevOps; 5 Database + QA/Tester. Mỗi SV có nhiệm vụ phụ và minh chứng cá nhân.</v>
      </c>
      <c r="I2232" t="s">
        <v>29</v>
      </c>
      <c r="J2232" t="s">
        <v>5072</v>
      </c>
      <c r="K2232" t="str">
        <f>IF(I2232="Trung bình",'Huong dan giao do an'!$B$8,IF(I2232="Khá",'Huong dan giao do an'!$B$9,'Huong dan giao do an'!$B$10))</f>
        <v>Tối thiểu 5 actor; 14-18 use case; 10-15 bảng; 4 quy trình; tích hợp ngoài/realtime hoặc xử lý nâng cao; 3 báo cáo; &gt;=45 test case; logging, backup và deploy.</v>
      </c>
      <c r="L2232" t="str">
        <f>'Huong dan giao do an'!$B$31</f>
        <v>Bắt buộc: Charter/PMP; SRS + scope/WBS; Gantt/baseline; effort-cost budget; RACI/timesheet; quality-test-defect; communication/minutes; risk register; procurement; change log; closure/lessons learned.</v>
      </c>
      <c r="M2232" t="str">
        <f>'Huong dan giao do an'!$B$33</f>
        <v>Tuần 1: 07.09–13.09.2026; Tuần 2: 14.09–20.09.2026; Tuần 3: 21.09–27.09.2026; Tuần 4: 28.09–04.10.2026; Tuần 5: 05.10–11.10.2026; Tuần 6: 12.10–18.10.2026; Tuần 7: 19.10–25.10.2026; Tuần 8: 26.10–01.11.2026.</v>
      </c>
      <c r="N22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2" s="17" t="str">
        <f t="shared" si="34"/>
        <v>Còn trống</v>
      </c>
    </row>
    <row r="2233" spans="1:16" x14ac:dyDescent="0.3">
      <c r="A2233">
        <v>2232</v>
      </c>
      <c r="B2233" t="s">
        <v>5062</v>
      </c>
      <c r="C2233" t="s">
        <v>5153</v>
      </c>
      <c r="D2233" t="s">
        <v>5154</v>
      </c>
      <c r="E2233" t="s">
        <v>40</v>
      </c>
      <c r="F2233" t="s">
        <v>5070</v>
      </c>
      <c r="G2233" t="s">
        <v>5106</v>
      </c>
      <c r="H2233" t="str">
        <f>'Huong dan giao do an'!$B$14</f>
        <v>5 SV (vai trò chính): 1 PM/Scrum Master kiêm Integration; 2 BA/PO; 3 UI-UX + Frontend; 4 Backend/API + DevOps; 5 Database + QA/Tester. Mỗi SV có nhiệm vụ phụ và minh chứng cá nhân.</v>
      </c>
      <c r="I2233" t="s">
        <v>36</v>
      </c>
      <c r="J2233" t="s">
        <v>5077</v>
      </c>
      <c r="K2233" t="str">
        <f>IF(I2233="Trung bình",'Huong dan giao do an'!$B$8,IF(I2233="Khá",'Huong dan giao do an'!$B$9,'Huong dan giao do an'!$B$10))</f>
        <v>Tối thiểu 3 actor; 8-10 use case; 6-8 bảng dữ liệu; 2 quy trình lõi; đăng nhập/RBAC; 1 dashboard; 1 báo cáo; &gt;=25 test case; triển khai bản demo.</v>
      </c>
      <c r="L2233" t="str">
        <f>'Huong dan giao do an'!$B$31</f>
        <v>Bắt buộc: Charter/PMP; SRS + scope/WBS; Gantt/baseline; effort-cost budget; RACI/timesheet; quality-test-defect; communication/minutes; risk register; procurement; change log; closure/lessons learned.</v>
      </c>
      <c r="M2233" t="str">
        <f>'Huong dan giao do an'!$B$33</f>
        <v>Tuần 1: 07.09–13.09.2026; Tuần 2: 14.09–20.09.2026; Tuần 3: 21.09–27.09.2026; Tuần 4: 28.09–04.10.2026; Tuần 5: 05.10–11.10.2026; Tuần 6: 12.10–18.10.2026; Tuần 7: 19.10–25.10.2026; Tuần 8: 26.10–01.11.2026.</v>
      </c>
      <c r="N22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3" s="17" t="str">
        <f t="shared" si="34"/>
        <v>Còn trống</v>
      </c>
    </row>
    <row r="2234" spans="1:16" x14ac:dyDescent="0.3">
      <c r="A2234">
        <v>2233</v>
      </c>
      <c r="B2234" t="s">
        <v>5062</v>
      </c>
      <c r="C2234" t="s">
        <v>5155</v>
      </c>
      <c r="D2234" t="s">
        <v>5156</v>
      </c>
      <c r="E2234" t="s">
        <v>45</v>
      </c>
      <c r="F2234" t="s">
        <v>5075</v>
      </c>
      <c r="G2234" t="s">
        <v>5109</v>
      </c>
      <c r="H2234" t="str">
        <f>'Huong dan giao do an'!$B$14</f>
        <v>5 SV (vai trò chính): 1 PM/Scrum Master kiêm Integration; 2 BA/PO; 3 UI-UX + Frontend; 4 Backend/API + DevOps; 5 Database + QA/Tester. Mỗi SV có nhiệm vụ phụ và minh chứng cá nhân.</v>
      </c>
      <c r="I2234" t="s">
        <v>22</v>
      </c>
      <c r="J2234" t="s">
        <v>5067</v>
      </c>
      <c r="K2234" t="str">
        <f>IF(I2234="Trung bình",'Huong dan giao do an'!$B$8,IF(I2234="Khá",'Huong dan giao do an'!$B$9,'Huong dan giao do an'!$B$10))</f>
        <v>Tối thiểu 4 actor; 10-14 use case; 8-12 bảng; 3 quy trình lõi; phân quyền chi tiết; 2 báo cáo; tích hợp 1 dịch vụ; &gt;=35 test case; CI/CD hoặc deploy cloud.</v>
      </c>
      <c r="L2234" t="str">
        <f>'Huong dan giao do an'!$B$31</f>
        <v>Bắt buộc: Charter/PMP; SRS + scope/WBS; Gantt/baseline; effort-cost budget; RACI/timesheet; quality-test-defect; communication/minutes; risk register; procurement; change log; closure/lessons learned.</v>
      </c>
      <c r="M2234" t="str">
        <f>'Huong dan giao do an'!$B$33</f>
        <v>Tuần 1: 07.09–13.09.2026; Tuần 2: 14.09–20.09.2026; Tuần 3: 21.09–27.09.2026; Tuần 4: 28.09–04.10.2026; Tuần 5: 05.10–11.10.2026; Tuần 6: 12.10–18.10.2026; Tuần 7: 19.10–25.10.2026; Tuần 8: 26.10–01.11.2026.</v>
      </c>
      <c r="N22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4" s="17" t="str">
        <f t="shared" si="34"/>
        <v>Còn trống</v>
      </c>
    </row>
    <row r="2235" spans="1:16" x14ac:dyDescent="0.3">
      <c r="A2235">
        <v>2234</v>
      </c>
      <c r="B2235" t="s">
        <v>5062</v>
      </c>
      <c r="C2235" t="s">
        <v>5157</v>
      </c>
      <c r="D2235" t="s">
        <v>5158</v>
      </c>
      <c r="E2235" t="s">
        <v>19</v>
      </c>
      <c r="F2235" t="s">
        <v>5080</v>
      </c>
      <c r="G2235" t="s">
        <v>5112</v>
      </c>
      <c r="H2235" t="str">
        <f>'Huong dan giao do an'!$B$14</f>
        <v>5 SV (vai trò chính): 1 PM/Scrum Master kiêm Integration; 2 BA/PO; 3 UI-UX + Frontend; 4 Backend/API + DevOps; 5 Database + QA/Tester. Mỗi SV có nhiệm vụ phụ và minh chứng cá nhân.</v>
      </c>
      <c r="I2235" t="s">
        <v>29</v>
      </c>
      <c r="J2235" t="s">
        <v>5072</v>
      </c>
      <c r="K2235" t="str">
        <f>IF(I2235="Trung bình",'Huong dan giao do an'!$B$8,IF(I2235="Khá",'Huong dan giao do an'!$B$9,'Huong dan giao do an'!$B$10))</f>
        <v>Tối thiểu 5 actor; 14-18 use case; 10-15 bảng; 4 quy trình; tích hợp ngoài/realtime hoặc xử lý nâng cao; 3 báo cáo; &gt;=45 test case; logging, backup và deploy.</v>
      </c>
      <c r="L2235" t="str">
        <f>'Huong dan giao do an'!$B$31</f>
        <v>Bắt buộc: Charter/PMP; SRS + scope/WBS; Gantt/baseline; effort-cost budget; RACI/timesheet; quality-test-defect; communication/minutes; risk register; procurement; change log; closure/lessons learned.</v>
      </c>
      <c r="M2235" t="str">
        <f>'Huong dan giao do an'!$B$33</f>
        <v>Tuần 1: 07.09–13.09.2026; Tuần 2: 14.09–20.09.2026; Tuần 3: 21.09–27.09.2026; Tuần 4: 28.09–04.10.2026; Tuần 5: 05.10–11.10.2026; Tuần 6: 12.10–18.10.2026; Tuần 7: 19.10–25.10.2026; Tuần 8: 26.10–01.11.2026.</v>
      </c>
      <c r="N22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5" s="17" t="str">
        <f t="shared" si="34"/>
        <v>Còn trống</v>
      </c>
    </row>
    <row r="2236" spans="1:16" x14ac:dyDescent="0.3">
      <c r="A2236">
        <v>2235</v>
      </c>
      <c r="B2236" t="s">
        <v>5062</v>
      </c>
      <c r="C2236" t="s">
        <v>5159</v>
      </c>
      <c r="D2236" t="s">
        <v>5160</v>
      </c>
      <c r="E2236" t="s">
        <v>26</v>
      </c>
      <c r="F2236" t="s">
        <v>5084</v>
      </c>
      <c r="G2236" t="s">
        <v>5115</v>
      </c>
      <c r="H2236" t="str">
        <f>'Huong dan giao do an'!$B$14</f>
        <v>5 SV (vai trò chính): 1 PM/Scrum Master kiêm Integration; 2 BA/PO; 3 UI-UX + Frontend; 4 Backend/API + DevOps; 5 Database + QA/Tester. Mỗi SV có nhiệm vụ phụ và minh chứng cá nhân.</v>
      </c>
      <c r="I2236" t="s">
        <v>36</v>
      </c>
      <c r="J2236" t="s">
        <v>5077</v>
      </c>
      <c r="K2236" t="str">
        <f>IF(I2236="Trung bình",'Huong dan giao do an'!$B$8,IF(I2236="Khá",'Huong dan giao do an'!$B$9,'Huong dan giao do an'!$B$10))</f>
        <v>Tối thiểu 3 actor; 8-10 use case; 6-8 bảng dữ liệu; 2 quy trình lõi; đăng nhập/RBAC; 1 dashboard; 1 báo cáo; &gt;=25 test case; triển khai bản demo.</v>
      </c>
      <c r="L2236" t="str">
        <f>'Huong dan giao do an'!$B$31</f>
        <v>Bắt buộc: Charter/PMP; SRS + scope/WBS; Gantt/baseline; effort-cost budget; RACI/timesheet; quality-test-defect; communication/minutes; risk register; procurement; change log; closure/lessons learned.</v>
      </c>
      <c r="M2236" t="str">
        <f>'Huong dan giao do an'!$B$33</f>
        <v>Tuần 1: 07.09–13.09.2026; Tuần 2: 14.09–20.09.2026; Tuần 3: 21.09–27.09.2026; Tuần 4: 28.09–04.10.2026; Tuần 5: 05.10–11.10.2026; Tuần 6: 12.10–18.10.2026; Tuần 7: 19.10–25.10.2026; Tuần 8: 26.10–01.11.2026.</v>
      </c>
      <c r="N22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6" s="17" t="str">
        <f t="shared" si="34"/>
        <v>Còn trống</v>
      </c>
    </row>
    <row r="2237" spans="1:16" x14ac:dyDescent="0.3">
      <c r="A2237">
        <v>2236</v>
      </c>
      <c r="B2237" t="s">
        <v>5062</v>
      </c>
      <c r="C2237" t="s">
        <v>5161</v>
      </c>
      <c r="D2237" t="s">
        <v>5162</v>
      </c>
      <c r="E2237" t="s">
        <v>33</v>
      </c>
      <c r="F2237" t="s">
        <v>5065</v>
      </c>
      <c r="G2237" t="s">
        <v>5118</v>
      </c>
      <c r="H2237" t="str">
        <f>'Huong dan giao do an'!$B$14</f>
        <v>5 SV (vai trò chính): 1 PM/Scrum Master kiêm Integration; 2 BA/PO; 3 UI-UX + Frontend; 4 Backend/API + DevOps; 5 Database + QA/Tester. Mỗi SV có nhiệm vụ phụ và minh chứng cá nhân.</v>
      </c>
      <c r="I2237" t="s">
        <v>22</v>
      </c>
      <c r="J2237" t="s">
        <v>5067</v>
      </c>
      <c r="K2237" t="str">
        <f>IF(I2237="Trung bình",'Huong dan giao do an'!$B$8,IF(I2237="Khá",'Huong dan giao do an'!$B$9,'Huong dan giao do an'!$B$10))</f>
        <v>Tối thiểu 4 actor; 10-14 use case; 8-12 bảng; 3 quy trình lõi; phân quyền chi tiết; 2 báo cáo; tích hợp 1 dịch vụ; &gt;=35 test case; CI/CD hoặc deploy cloud.</v>
      </c>
      <c r="L2237" t="str">
        <f>'Huong dan giao do an'!$B$31</f>
        <v>Bắt buộc: Charter/PMP; SRS + scope/WBS; Gantt/baseline; effort-cost budget; RACI/timesheet; quality-test-defect; communication/minutes; risk register; procurement; change log; closure/lessons learned.</v>
      </c>
      <c r="M2237" t="str">
        <f>'Huong dan giao do an'!$B$33</f>
        <v>Tuần 1: 07.09–13.09.2026; Tuần 2: 14.09–20.09.2026; Tuần 3: 21.09–27.09.2026; Tuần 4: 28.09–04.10.2026; Tuần 5: 05.10–11.10.2026; Tuần 6: 12.10–18.10.2026; Tuần 7: 19.10–25.10.2026; Tuần 8: 26.10–01.11.2026.</v>
      </c>
      <c r="N22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7" s="17" t="str">
        <f t="shared" si="34"/>
        <v>Còn trống</v>
      </c>
    </row>
    <row r="2238" spans="1:16" x14ac:dyDescent="0.3">
      <c r="A2238">
        <v>2237</v>
      </c>
      <c r="B2238" t="s">
        <v>5062</v>
      </c>
      <c r="C2238" t="s">
        <v>5163</v>
      </c>
      <c r="D2238" t="s">
        <v>5164</v>
      </c>
      <c r="E2238" t="s">
        <v>40</v>
      </c>
      <c r="F2238" t="s">
        <v>5070</v>
      </c>
      <c r="G2238" t="s">
        <v>5121</v>
      </c>
      <c r="H2238" t="str">
        <f>'Huong dan giao do an'!$B$14</f>
        <v>5 SV (vai trò chính): 1 PM/Scrum Master kiêm Integration; 2 BA/PO; 3 UI-UX + Frontend; 4 Backend/API + DevOps; 5 Database + QA/Tester. Mỗi SV có nhiệm vụ phụ và minh chứng cá nhân.</v>
      </c>
      <c r="I2238" t="s">
        <v>29</v>
      </c>
      <c r="J2238" t="s">
        <v>5072</v>
      </c>
      <c r="K2238" t="str">
        <f>IF(I2238="Trung bình",'Huong dan giao do an'!$B$8,IF(I2238="Khá",'Huong dan giao do an'!$B$9,'Huong dan giao do an'!$B$10))</f>
        <v>Tối thiểu 5 actor; 14-18 use case; 10-15 bảng; 4 quy trình; tích hợp ngoài/realtime hoặc xử lý nâng cao; 3 báo cáo; &gt;=45 test case; logging, backup và deploy.</v>
      </c>
      <c r="L2238" t="str">
        <f>'Huong dan giao do an'!$B$31</f>
        <v>Bắt buộc: Charter/PMP; SRS + scope/WBS; Gantt/baseline; effort-cost budget; RACI/timesheet; quality-test-defect; communication/minutes; risk register; procurement; change log; closure/lessons learned.</v>
      </c>
      <c r="M2238" t="str">
        <f>'Huong dan giao do an'!$B$33</f>
        <v>Tuần 1: 07.09–13.09.2026; Tuần 2: 14.09–20.09.2026; Tuần 3: 21.09–27.09.2026; Tuần 4: 28.09–04.10.2026; Tuần 5: 05.10–11.10.2026; Tuần 6: 12.10–18.10.2026; Tuần 7: 19.10–25.10.2026; Tuần 8: 26.10–01.11.2026.</v>
      </c>
      <c r="N22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8" s="17" t="str">
        <f t="shared" si="34"/>
        <v>Còn trống</v>
      </c>
    </row>
    <row r="2239" spans="1:16" x14ac:dyDescent="0.3">
      <c r="A2239">
        <v>2238</v>
      </c>
      <c r="B2239" t="s">
        <v>5062</v>
      </c>
      <c r="C2239" t="s">
        <v>5165</v>
      </c>
      <c r="D2239" t="s">
        <v>5166</v>
      </c>
      <c r="E2239" t="s">
        <v>45</v>
      </c>
      <c r="F2239" t="s">
        <v>5075</v>
      </c>
      <c r="G2239" t="s">
        <v>5124</v>
      </c>
      <c r="H2239" t="str">
        <f>'Huong dan giao do an'!$B$14</f>
        <v>5 SV (vai trò chính): 1 PM/Scrum Master kiêm Integration; 2 BA/PO; 3 UI-UX + Frontend; 4 Backend/API + DevOps; 5 Database + QA/Tester. Mỗi SV có nhiệm vụ phụ và minh chứng cá nhân.</v>
      </c>
      <c r="I2239" t="s">
        <v>36</v>
      </c>
      <c r="J2239" t="s">
        <v>5077</v>
      </c>
      <c r="K2239" t="str">
        <f>IF(I2239="Trung bình",'Huong dan giao do an'!$B$8,IF(I2239="Khá",'Huong dan giao do an'!$B$9,'Huong dan giao do an'!$B$10))</f>
        <v>Tối thiểu 3 actor; 8-10 use case; 6-8 bảng dữ liệu; 2 quy trình lõi; đăng nhập/RBAC; 1 dashboard; 1 báo cáo; &gt;=25 test case; triển khai bản demo.</v>
      </c>
      <c r="L2239" t="str">
        <f>'Huong dan giao do an'!$B$31</f>
        <v>Bắt buộc: Charter/PMP; SRS + scope/WBS; Gantt/baseline; effort-cost budget; RACI/timesheet; quality-test-defect; communication/minutes; risk register; procurement; change log; closure/lessons learned.</v>
      </c>
      <c r="M2239" t="str">
        <f>'Huong dan giao do an'!$B$33</f>
        <v>Tuần 1: 07.09–13.09.2026; Tuần 2: 14.09–20.09.2026; Tuần 3: 21.09–27.09.2026; Tuần 4: 28.09–04.10.2026; Tuần 5: 05.10–11.10.2026; Tuần 6: 12.10–18.10.2026; Tuần 7: 19.10–25.10.2026; Tuần 8: 26.10–01.11.2026.</v>
      </c>
      <c r="N22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39" s="17" t="str">
        <f t="shared" si="34"/>
        <v>Còn trống</v>
      </c>
    </row>
    <row r="2240" spans="1:16" x14ac:dyDescent="0.3">
      <c r="A2240">
        <v>2239</v>
      </c>
      <c r="B2240" t="s">
        <v>5062</v>
      </c>
      <c r="C2240" t="s">
        <v>5167</v>
      </c>
      <c r="D2240" t="s">
        <v>5168</v>
      </c>
      <c r="E2240" t="s">
        <v>19</v>
      </c>
      <c r="F2240" t="s">
        <v>5080</v>
      </c>
      <c r="G2240" t="s">
        <v>5127</v>
      </c>
      <c r="H2240" t="str">
        <f>'Huong dan giao do an'!$B$14</f>
        <v>5 SV (vai trò chính): 1 PM/Scrum Master kiêm Integration; 2 BA/PO; 3 UI-UX + Frontend; 4 Backend/API + DevOps; 5 Database + QA/Tester. Mỗi SV có nhiệm vụ phụ và minh chứng cá nhân.</v>
      </c>
      <c r="I2240" t="s">
        <v>22</v>
      </c>
      <c r="J2240" t="s">
        <v>5067</v>
      </c>
      <c r="K2240" t="str">
        <f>IF(I2240="Trung bình",'Huong dan giao do an'!$B$8,IF(I2240="Khá",'Huong dan giao do an'!$B$9,'Huong dan giao do an'!$B$10))</f>
        <v>Tối thiểu 4 actor; 10-14 use case; 8-12 bảng; 3 quy trình lõi; phân quyền chi tiết; 2 báo cáo; tích hợp 1 dịch vụ; &gt;=35 test case; CI/CD hoặc deploy cloud.</v>
      </c>
      <c r="L2240" t="str">
        <f>'Huong dan giao do an'!$B$31</f>
        <v>Bắt buộc: Charter/PMP; SRS + scope/WBS; Gantt/baseline; effort-cost budget; RACI/timesheet; quality-test-defect; communication/minutes; risk register; procurement; change log; closure/lessons learned.</v>
      </c>
      <c r="M2240" t="str">
        <f>'Huong dan giao do an'!$B$33</f>
        <v>Tuần 1: 07.09–13.09.2026; Tuần 2: 14.09–20.09.2026; Tuần 3: 21.09–27.09.2026; Tuần 4: 28.09–04.10.2026; Tuần 5: 05.10–11.10.2026; Tuần 6: 12.10–18.10.2026; Tuần 7: 19.10–25.10.2026; Tuần 8: 26.10–01.11.2026.</v>
      </c>
      <c r="N22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0" s="17" t="str">
        <f t="shared" si="34"/>
        <v>Còn trống</v>
      </c>
    </row>
    <row r="2241" spans="1:16" x14ac:dyDescent="0.3">
      <c r="A2241">
        <v>2240</v>
      </c>
      <c r="B2241" t="s">
        <v>5062</v>
      </c>
      <c r="C2241" t="s">
        <v>5169</v>
      </c>
      <c r="D2241" t="s">
        <v>5170</v>
      </c>
      <c r="E2241" t="s">
        <v>26</v>
      </c>
      <c r="F2241" t="s">
        <v>5084</v>
      </c>
      <c r="G2241" t="s">
        <v>5130</v>
      </c>
      <c r="H2241" t="str">
        <f>'Huong dan giao do an'!$B$14</f>
        <v>5 SV (vai trò chính): 1 PM/Scrum Master kiêm Integration; 2 BA/PO; 3 UI-UX + Frontend; 4 Backend/API + DevOps; 5 Database + QA/Tester. Mỗi SV có nhiệm vụ phụ và minh chứng cá nhân.</v>
      </c>
      <c r="I2241" t="s">
        <v>29</v>
      </c>
      <c r="J2241" t="s">
        <v>5072</v>
      </c>
      <c r="K2241" t="str">
        <f>IF(I2241="Trung bình",'Huong dan giao do an'!$B$8,IF(I2241="Khá",'Huong dan giao do an'!$B$9,'Huong dan giao do an'!$B$10))</f>
        <v>Tối thiểu 5 actor; 14-18 use case; 10-15 bảng; 4 quy trình; tích hợp ngoài/realtime hoặc xử lý nâng cao; 3 báo cáo; &gt;=45 test case; logging, backup và deploy.</v>
      </c>
      <c r="L2241" t="str">
        <f>'Huong dan giao do an'!$B$31</f>
        <v>Bắt buộc: Charter/PMP; SRS + scope/WBS; Gantt/baseline; effort-cost budget; RACI/timesheet; quality-test-defect; communication/minutes; risk register; procurement; change log; closure/lessons learned.</v>
      </c>
      <c r="M2241" t="str">
        <f>'Huong dan giao do an'!$B$33</f>
        <v>Tuần 1: 07.09–13.09.2026; Tuần 2: 14.09–20.09.2026; Tuần 3: 21.09–27.09.2026; Tuần 4: 28.09–04.10.2026; Tuần 5: 05.10–11.10.2026; Tuần 6: 12.10–18.10.2026; Tuần 7: 19.10–25.10.2026; Tuần 8: 26.10–01.11.2026.</v>
      </c>
      <c r="N22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1" s="17" t="str">
        <f t="shared" si="34"/>
        <v>Còn trống</v>
      </c>
    </row>
    <row r="2242" spans="1:16" x14ac:dyDescent="0.3">
      <c r="A2242">
        <v>2241</v>
      </c>
      <c r="B2242" t="s">
        <v>5062</v>
      </c>
      <c r="C2242" t="s">
        <v>5171</v>
      </c>
      <c r="D2242" t="s">
        <v>5172</v>
      </c>
      <c r="E2242" t="s">
        <v>33</v>
      </c>
      <c r="F2242" t="s">
        <v>5065</v>
      </c>
      <c r="G2242" t="s">
        <v>5066</v>
      </c>
      <c r="H2242" t="str">
        <f>'Huong dan giao do an'!$B$14</f>
        <v>5 SV (vai trò chính): 1 PM/Scrum Master kiêm Integration; 2 BA/PO; 3 UI-UX + Frontend; 4 Backend/API + DevOps; 5 Database + QA/Tester. Mỗi SV có nhiệm vụ phụ và minh chứng cá nhân.</v>
      </c>
      <c r="I2242" t="s">
        <v>22</v>
      </c>
      <c r="J2242" t="s">
        <v>5067</v>
      </c>
      <c r="K2242" t="str">
        <f>IF(I2242="Trung bình",'Huong dan giao do an'!$B$8,IF(I2242="Khá",'Huong dan giao do an'!$B$9,'Huong dan giao do an'!$B$10))</f>
        <v>Tối thiểu 4 actor; 10-14 use case; 8-12 bảng; 3 quy trình lõi; phân quyền chi tiết; 2 báo cáo; tích hợp 1 dịch vụ; &gt;=35 test case; CI/CD hoặc deploy cloud.</v>
      </c>
      <c r="L2242" t="str">
        <f>'Huong dan giao do an'!$B$31</f>
        <v>Bắt buộc: Charter/PMP; SRS + scope/WBS; Gantt/baseline; effort-cost budget; RACI/timesheet; quality-test-defect; communication/minutes; risk register; procurement; change log; closure/lessons learned.</v>
      </c>
      <c r="M2242" t="str">
        <f>'Huong dan giao do an'!$B$33</f>
        <v>Tuần 1: 07.09–13.09.2026; Tuần 2: 14.09–20.09.2026; Tuần 3: 21.09–27.09.2026; Tuần 4: 28.09–04.10.2026; Tuần 5: 05.10–11.10.2026; Tuần 6: 12.10–18.10.2026; Tuần 7: 19.10–25.10.2026; Tuần 8: 26.10–01.11.2026.</v>
      </c>
      <c r="N22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2" s="17" t="str">
        <f t="shared" si="34"/>
        <v>Còn trống</v>
      </c>
    </row>
    <row r="2243" spans="1:16" x14ac:dyDescent="0.3">
      <c r="A2243">
        <v>2242</v>
      </c>
      <c r="B2243" t="s">
        <v>5062</v>
      </c>
      <c r="C2243" t="s">
        <v>5173</v>
      </c>
      <c r="D2243" t="s">
        <v>5174</v>
      </c>
      <c r="E2243" t="s">
        <v>40</v>
      </c>
      <c r="F2243" t="s">
        <v>5070</v>
      </c>
      <c r="G2243" t="s">
        <v>5071</v>
      </c>
      <c r="H2243" t="str">
        <f>'Huong dan giao do an'!$B$14</f>
        <v>5 SV (vai trò chính): 1 PM/Scrum Master kiêm Integration; 2 BA/PO; 3 UI-UX + Frontend; 4 Backend/API + DevOps; 5 Database + QA/Tester. Mỗi SV có nhiệm vụ phụ và minh chứng cá nhân.</v>
      </c>
      <c r="I2243" t="s">
        <v>29</v>
      </c>
      <c r="J2243" t="s">
        <v>5072</v>
      </c>
      <c r="K2243" t="str">
        <f>IF(I2243="Trung bình",'Huong dan giao do an'!$B$8,IF(I2243="Khá",'Huong dan giao do an'!$B$9,'Huong dan giao do an'!$B$10))</f>
        <v>Tối thiểu 5 actor; 14-18 use case; 10-15 bảng; 4 quy trình; tích hợp ngoài/realtime hoặc xử lý nâng cao; 3 báo cáo; &gt;=45 test case; logging, backup và deploy.</v>
      </c>
      <c r="L2243" t="str">
        <f>'Huong dan giao do an'!$B$31</f>
        <v>Bắt buộc: Charter/PMP; SRS + scope/WBS; Gantt/baseline; effort-cost budget; RACI/timesheet; quality-test-defect; communication/minutes; risk register; procurement; change log; closure/lessons learned.</v>
      </c>
      <c r="M2243" t="str">
        <f>'Huong dan giao do an'!$B$33</f>
        <v>Tuần 1: 07.09–13.09.2026; Tuần 2: 14.09–20.09.2026; Tuần 3: 21.09–27.09.2026; Tuần 4: 28.09–04.10.2026; Tuần 5: 05.10–11.10.2026; Tuần 6: 12.10–18.10.2026; Tuần 7: 19.10–25.10.2026; Tuần 8: 26.10–01.11.2026.</v>
      </c>
      <c r="N22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3" s="17" t="str">
        <f t="shared" ref="P2243:P2306" si="35">IF(O2243="","Còn trống","Đã đăng ký")</f>
        <v>Còn trống</v>
      </c>
    </row>
    <row r="2244" spans="1:16" x14ac:dyDescent="0.3">
      <c r="A2244">
        <v>2243</v>
      </c>
      <c r="B2244" t="s">
        <v>5062</v>
      </c>
      <c r="C2244" t="s">
        <v>5175</v>
      </c>
      <c r="D2244" t="s">
        <v>5176</v>
      </c>
      <c r="E2244" t="s">
        <v>45</v>
      </c>
      <c r="F2244" t="s">
        <v>5075</v>
      </c>
      <c r="G2244" t="s">
        <v>5076</v>
      </c>
      <c r="H2244" t="str">
        <f>'Huong dan giao do an'!$B$14</f>
        <v>5 SV (vai trò chính): 1 PM/Scrum Master kiêm Integration; 2 BA/PO; 3 UI-UX + Frontend; 4 Backend/API + DevOps; 5 Database + QA/Tester. Mỗi SV có nhiệm vụ phụ và minh chứng cá nhân.</v>
      </c>
      <c r="I2244" t="s">
        <v>36</v>
      </c>
      <c r="J2244" t="s">
        <v>5077</v>
      </c>
      <c r="K2244" t="str">
        <f>IF(I2244="Trung bình",'Huong dan giao do an'!$B$8,IF(I2244="Khá",'Huong dan giao do an'!$B$9,'Huong dan giao do an'!$B$10))</f>
        <v>Tối thiểu 3 actor; 8-10 use case; 6-8 bảng dữ liệu; 2 quy trình lõi; đăng nhập/RBAC; 1 dashboard; 1 báo cáo; &gt;=25 test case; triển khai bản demo.</v>
      </c>
      <c r="L2244" t="str">
        <f>'Huong dan giao do an'!$B$31</f>
        <v>Bắt buộc: Charter/PMP; SRS + scope/WBS; Gantt/baseline; effort-cost budget; RACI/timesheet; quality-test-defect; communication/minutes; risk register; procurement; change log; closure/lessons learned.</v>
      </c>
      <c r="M2244" t="str">
        <f>'Huong dan giao do an'!$B$33</f>
        <v>Tuần 1: 07.09–13.09.2026; Tuần 2: 14.09–20.09.2026; Tuần 3: 21.09–27.09.2026; Tuần 4: 28.09–04.10.2026; Tuần 5: 05.10–11.10.2026; Tuần 6: 12.10–18.10.2026; Tuần 7: 19.10–25.10.2026; Tuần 8: 26.10–01.11.2026.</v>
      </c>
      <c r="N22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4" s="17" t="str">
        <f t="shared" si="35"/>
        <v>Còn trống</v>
      </c>
    </row>
    <row r="2245" spans="1:16" x14ac:dyDescent="0.3">
      <c r="A2245">
        <v>2244</v>
      </c>
      <c r="B2245" t="s">
        <v>5062</v>
      </c>
      <c r="C2245" t="s">
        <v>5177</v>
      </c>
      <c r="D2245" t="s">
        <v>5178</v>
      </c>
      <c r="E2245" t="s">
        <v>19</v>
      </c>
      <c r="F2245" t="s">
        <v>5080</v>
      </c>
      <c r="G2245" t="s">
        <v>5081</v>
      </c>
      <c r="H2245" t="str">
        <f>'Huong dan giao do an'!$B$14</f>
        <v>5 SV (vai trò chính): 1 PM/Scrum Master kiêm Integration; 2 BA/PO; 3 UI-UX + Frontend; 4 Backend/API + DevOps; 5 Database + QA/Tester. Mỗi SV có nhiệm vụ phụ và minh chứng cá nhân.</v>
      </c>
      <c r="I2245" t="s">
        <v>22</v>
      </c>
      <c r="J2245" t="s">
        <v>5067</v>
      </c>
      <c r="K2245" t="str">
        <f>IF(I2245="Trung bình",'Huong dan giao do an'!$B$8,IF(I2245="Khá",'Huong dan giao do an'!$B$9,'Huong dan giao do an'!$B$10))</f>
        <v>Tối thiểu 4 actor; 10-14 use case; 8-12 bảng; 3 quy trình lõi; phân quyền chi tiết; 2 báo cáo; tích hợp 1 dịch vụ; &gt;=35 test case; CI/CD hoặc deploy cloud.</v>
      </c>
      <c r="L2245" t="str">
        <f>'Huong dan giao do an'!$B$31</f>
        <v>Bắt buộc: Charter/PMP; SRS + scope/WBS; Gantt/baseline; effort-cost budget; RACI/timesheet; quality-test-defect; communication/minutes; risk register; procurement; change log; closure/lessons learned.</v>
      </c>
      <c r="M2245" t="str">
        <f>'Huong dan giao do an'!$B$33</f>
        <v>Tuần 1: 07.09–13.09.2026; Tuần 2: 14.09–20.09.2026; Tuần 3: 21.09–27.09.2026; Tuần 4: 28.09–04.10.2026; Tuần 5: 05.10–11.10.2026; Tuần 6: 12.10–18.10.2026; Tuần 7: 19.10–25.10.2026; Tuần 8: 26.10–01.11.2026.</v>
      </c>
      <c r="N22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5" s="17" t="str">
        <f t="shared" si="35"/>
        <v>Còn trống</v>
      </c>
    </row>
    <row r="2246" spans="1:16" x14ac:dyDescent="0.3">
      <c r="A2246">
        <v>2245</v>
      </c>
      <c r="B2246" t="s">
        <v>5062</v>
      </c>
      <c r="C2246" t="s">
        <v>5179</v>
      </c>
      <c r="D2246" t="s">
        <v>5180</v>
      </c>
      <c r="E2246" t="s">
        <v>26</v>
      </c>
      <c r="F2246" t="s">
        <v>5084</v>
      </c>
      <c r="G2246" t="s">
        <v>5085</v>
      </c>
      <c r="H2246" t="str">
        <f>'Huong dan giao do an'!$B$14</f>
        <v>5 SV (vai trò chính): 1 PM/Scrum Master kiêm Integration; 2 BA/PO; 3 UI-UX + Frontend; 4 Backend/API + DevOps; 5 Database + QA/Tester. Mỗi SV có nhiệm vụ phụ và minh chứng cá nhân.</v>
      </c>
      <c r="I2246" t="s">
        <v>29</v>
      </c>
      <c r="J2246" t="s">
        <v>5072</v>
      </c>
      <c r="K2246" t="str">
        <f>IF(I2246="Trung bình",'Huong dan giao do an'!$B$8,IF(I2246="Khá",'Huong dan giao do an'!$B$9,'Huong dan giao do an'!$B$10))</f>
        <v>Tối thiểu 5 actor; 14-18 use case; 10-15 bảng; 4 quy trình; tích hợp ngoài/realtime hoặc xử lý nâng cao; 3 báo cáo; &gt;=45 test case; logging, backup và deploy.</v>
      </c>
      <c r="L2246" t="str">
        <f>'Huong dan giao do an'!$B$31</f>
        <v>Bắt buộc: Charter/PMP; SRS + scope/WBS; Gantt/baseline; effort-cost budget; RACI/timesheet; quality-test-defect; communication/minutes; risk register; procurement; change log; closure/lessons learned.</v>
      </c>
      <c r="M2246" t="str">
        <f>'Huong dan giao do an'!$B$33</f>
        <v>Tuần 1: 07.09–13.09.2026; Tuần 2: 14.09–20.09.2026; Tuần 3: 21.09–27.09.2026; Tuần 4: 28.09–04.10.2026; Tuần 5: 05.10–11.10.2026; Tuần 6: 12.10–18.10.2026; Tuần 7: 19.10–25.10.2026; Tuần 8: 26.10–01.11.2026.</v>
      </c>
      <c r="N22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6" s="17" t="str">
        <f t="shared" si="35"/>
        <v>Còn trống</v>
      </c>
    </row>
    <row r="2247" spans="1:16" x14ac:dyDescent="0.3">
      <c r="A2247">
        <v>2246</v>
      </c>
      <c r="B2247" t="s">
        <v>5062</v>
      </c>
      <c r="C2247" t="s">
        <v>5181</v>
      </c>
      <c r="D2247" t="s">
        <v>5182</v>
      </c>
      <c r="E2247" t="s">
        <v>33</v>
      </c>
      <c r="F2247" t="s">
        <v>5065</v>
      </c>
      <c r="G2247" t="s">
        <v>5088</v>
      </c>
      <c r="H2247" t="str">
        <f>'Huong dan giao do an'!$B$14</f>
        <v>5 SV (vai trò chính): 1 PM/Scrum Master kiêm Integration; 2 BA/PO; 3 UI-UX + Frontend; 4 Backend/API + DevOps; 5 Database + QA/Tester. Mỗi SV có nhiệm vụ phụ và minh chứng cá nhân.</v>
      </c>
      <c r="I2247" t="s">
        <v>36</v>
      </c>
      <c r="J2247" t="s">
        <v>5077</v>
      </c>
      <c r="K2247" t="str">
        <f>IF(I2247="Trung bình",'Huong dan giao do an'!$B$8,IF(I2247="Khá",'Huong dan giao do an'!$B$9,'Huong dan giao do an'!$B$10))</f>
        <v>Tối thiểu 3 actor; 8-10 use case; 6-8 bảng dữ liệu; 2 quy trình lõi; đăng nhập/RBAC; 1 dashboard; 1 báo cáo; &gt;=25 test case; triển khai bản demo.</v>
      </c>
      <c r="L2247" t="str">
        <f>'Huong dan giao do an'!$B$31</f>
        <v>Bắt buộc: Charter/PMP; SRS + scope/WBS; Gantt/baseline; effort-cost budget; RACI/timesheet; quality-test-defect; communication/minutes; risk register; procurement; change log; closure/lessons learned.</v>
      </c>
      <c r="M2247" t="str">
        <f>'Huong dan giao do an'!$B$33</f>
        <v>Tuần 1: 07.09–13.09.2026; Tuần 2: 14.09–20.09.2026; Tuần 3: 21.09–27.09.2026; Tuần 4: 28.09–04.10.2026; Tuần 5: 05.10–11.10.2026; Tuần 6: 12.10–18.10.2026; Tuần 7: 19.10–25.10.2026; Tuần 8: 26.10–01.11.2026.</v>
      </c>
      <c r="N22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7" s="17" t="str">
        <f t="shared" si="35"/>
        <v>Còn trống</v>
      </c>
    </row>
    <row r="2248" spans="1:16" x14ac:dyDescent="0.3">
      <c r="A2248">
        <v>2247</v>
      </c>
      <c r="B2248" t="s">
        <v>5062</v>
      </c>
      <c r="C2248" t="s">
        <v>5183</v>
      </c>
      <c r="D2248" t="s">
        <v>5184</v>
      </c>
      <c r="E2248" t="s">
        <v>40</v>
      </c>
      <c r="F2248" t="s">
        <v>5070</v>
      </c>
      <c r="G2248" t="s">
        <v>5091</v>
      </c>
      <c r="H2248" t="str">
        <f>'Huong dan giao do an'!$B$14</f>
        <v>5 SV (vai trò chính): 1 PM/Scrum Master kiêm Integration; 2 BA/PO; 3 UI-UX + Frontend; 4 Backend/API + DevOps; 5 Database + QA/Tester. Mỗi SV có nhiệm vụ phụ và minh chứng cá nhân.</v>
      </c>
      <c r="I2248" t="s">
        <v>22</v>
      </c>
      <c r="J2248" t="s">
        <v>5067</v>
      </c>
      <c r="K2248" t="str">
        <f>IF(I2248="Trung bình",'Huong dan giao do an'!$B$8,IF(I2248="Khá",'Huong dan giao do an'!$B$9,'Huong dan giao do an'!$B$10))</f>
        <v>Tối thiểu 4 actor; 10-14 use case; 8-12 bảng; 3 quy trình lõi; phân quyền chi tiết; 2 báo cáo; tích hợp 1 dịch vụ; &gt;=35 test case; CI/CD hoặc deploy cloud.</v>
      </c>
      <c r="L2248" t="str">
        <f>'Huong dan giao do an'!$B$31</f>
        <v>Bắt buộc: Charter/PMP; SRS + scope/WBS; Gantt/baseline; effort-cost budget; RACI/timesheet; quality-test-defect; communication/minutes; risk register; procurement; change log; closure/lessons learned.</v>
      </c>
      <c r="M2248" t="str">
        <f>'Huong dan giao do an'!$B$33</f>
        <v>Tuần 1: 07.09–13.09.2026; Tuần 2: 14.09–20.09.2026; Tuần 3: 21.09–27.09.2026; Tuần 4: 28.09–04.10.2026; Tuần 5: 05.10–11.10.2026; Tuần 6: 12.10–18.10.2026; Tuần 7: 19.10–25.10.2026; Tuần 8: 26.10–01.11.2026.</v>
      </c>
      <c r="N22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8" s="17" t="str">
        <f t="shared" si="35"/>
        <v>Còn trống</v>
      </c>
    </row>
    <row r="2249" spans="1:16" x14ac:dyDescent="0.3">
      <c r="A2249">
        <v>2248</v>
      </c>
      <c r="B2249" t="s">
        <v>5062</v>
      </c>
      <c r="C2249" t="s">
        <v>5185</v>
      </c>
      <c r="D2249" t="s">
        <v>5186</v>
      </c>
      <c r="E2249" t="s">
        <v>45</v>
      </c>
      <c r="F2249" t="s">
        <v>5075</v>
      </c>
      <c r="G2249" t="s">
        <v>5094</v>
      </c>
      <c r="H2249" t="str">
        <f>'Huong dan giao do an'!$B$14</f>
        <v>5 SV (vai trò chính): 1 PM/Scrum Master kiêm Integration; 2 BA/PO; 3 UI-UX + Frontend; 4 Backend/API + DevOps; 5 Database + QA/Tester. Mỗi SV có nhiệm vụ phụ và minh chứng cá nhân.</v>
      </c>
      <c r="I2249" t="s">
        <v>29</v>
      </c>
      <c r="J2249" t="s">
        <v>5072</v>
      </c>
      <c r="K2249" t="str">
        <f>IF(I2249="Trung bình",'Huong dan giao do an'!$B$8,IF(I2249="Khá",'Huong dan giao do an'!$B$9,'Huong dan giao do an'!$B$10))</f>
        <v>Tối thiểu 5 actor; 14-18 use case; 10-15 bảng; 4 quy trình; tích hợp ngoài/realtime hoặc xử lý nâng cao; 3 báo cáo; &gt;=45 test case; logging, backup và deploy.</v>
      </c>
      <c r="L2249" t="str">
        <f>'Huong dan giao do an'!$B$31</f>
        <v>Bắt buộc: Charter/PMP; SRS + scope/WBS; Gantt/baseline; effort-cost budget; RACI/timesheet; quality-test-defect; communication/minutes; risk register; procurement; change log; closure/lessons learned.</v>
      </c>
      <c r="M2249" t="str">
        <f>'Huong dan giao do an'!$B$33</f>
        <v>Tuần 1: 07.09–13.09.2026; Tuần 2: 14.09–20.09.2026; Tuần 3: 21.09–27.09.2026; Tuần 4: 28.09–04.10.2026; Tuần 5: 05.10–11.10.2026; Tuần 6: 12.10–18.10.2026; Tuần 7: 19.10–25.10.2026; Tuần 8: 26.10–01.11.2026.</v>
      </c>
      <c r="N22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49" s="17" t="str">
        <f t="shared" si="35"/>
        <v>Còn trống</v>
      </c>
    </row>
    <row r="2250" spans="1:16" x14ac:dyDescent="0.3">
      <c r="A2250">
        <v>2249</v>
      </c>
      <c r="B2250" t="s">
        <v>5062</v>
      </c>
      <c r="C2250" t="s">
        <v>5187</v>
      </c>
      <c r="D2250" t="s">
        <v>5188</v>
      </c>
      <c r="E2250" t="s">
        <v>19</v>
      </c>
      <c r="F2250" t="s">
        <v>5080</v>
      </c>
      <c r="G2250" t="s">
        <v>5097</v>
      </c>
      <c r="H2250" t="str">
        <f>'Huong dan giao do an'!$B$14</f>
        <v>5 SV (vai trò chính): 1 PM/Scrum Master kiêm Integration; 2 BA/PO; 3 UI-UX + Frontend; 4 Backend/API + DevOps; 5 Database + QA/Tester. Mỗi SV có nhiệm vụ phụ và minh chứng cá nhân.</v>
      </c>
      <c r="I2250" t="s">
        <v>36</v>
      </c>
      <c r="J2250" t="s">
        <v>5077</v>
      </c>
      <c r="K2250" t="str">
        <f>IF(I2250="Trung bình",'Huong dan giao do an'!$B$8,IF(I2250="Khá",'Huong dan giao do an'!$B$9,'Huong dan giao do an'!$B$10))</f>
        <v>Tối thiểu 3 actor; 8-10 use case; 6-8 bảng dữ liệu; 2 quy trình lõi; đăng nhập/RBAC; 1 dashboard; 1 báo cáo; &gt;=25 test case; triển khai bản demo.</v>
      </c>
      <c r="L2250" t="str">
        <f>'Huong dan giao do an'!$B$31</f>
        <v>Bắt buộc: Charter/PMP; SRS + scope/WBS; Gantt/baseline; effort-cost budget; RACI/timesheet; quality-test-defect; communication/minutes; risk register; procurement; change log; closure/lessons learned.</v>
      </c>
      <c r="M2250" t="str">
        <f>'Huong dan giao do an'!$B$33</f>
        <v>Tuần 1: 07.09–13.09.2026; Tuần 2: 14.09–20.09.2026; Tuần 3: 21.09–27.09.2026; Tuần 4: 28.09–04.10.2026; Tuần 5: 05.10–11.10.2026; Tuần 6: 12.10–18.10.2026; Tuần 7: 19.10–25.10.2026; Tuần 8: 26.10–01.11.2026.</v>
      </c>
      <c r="N22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0" s="17" t="str">
        <f t="shared" si="35"/>
        <v>Còn trống</v>
      </c>
    </row>
    <row r="2251" spans="1:16" x14ac:dyDescent="0.3">
      <c r="A2251">
        <v>2250</v>
      </c>
      <c r="B2251" t="s">
        <v>5062</v>
      </c>
      <c r="C2251" t="s">
        <v>5189</v>
      </c>
      <c r="D2251" t="s">
        <v>5190</v>
      </c>
      <c r="E2251" t="s">
        <v>26</v>
      </c>
      <c r="F2251" t="s">
        <v>5084</v>
      </c>
      <c r="G2251" t="s">
        <v>5100</v>
      </c>
      <c r="H2251" t="str">
        <f>'Huong dan giao do an'!$B$14</f>
        <v>5 SV (vai trò chính): 1 PM/Scrum Master kiêm Integration; 2 BA/PO; 3 UI-UX + Frontend; 4 Backend/API + DevOps; 5 Database + QA/Tester. Mỗi SV có nhiệm vụ phụ và minh chứng cá nhân.</v>
      </c>
      <c r="I2251" t="s">
        <v>22</v>
      </c>
      <c r="J2251" t="s">
        <v>5067</v>
      </c>
      <c r="K2251" t="str">
        <f>IF(I2251="Trung bình",'Huong dan giao do an'!$B$8,IF(I2251="Khá",'Huong dan giao do an'!$B$9,'Huong dan giao do an'!$B$10))</f>
        <v>Tối thiểu 4 actor; 10-14 use case; 8-12 bảng; 3 quy trình lõi; phân quyền chi tiết; 2 báo cáo; tích hợp 1 dịch vụ; &gt;=35 test case; CI/CD hoặc deploy cloud.</v>
      </c>
      <c r="L2251" t="str">
        <f>'Huong dan giao do an'!$B$31</f>
        <v>Bắt buộc: Charter/PMP; SRS + scope/WBS; Gantt/baseline; effort-cost budget; RACI/timesheet; quality-test-defect; communication/minutes; risk register; procurement; change log; closure/lessons learned.</v>
      </c>
      <c r="M2251" t="str">
        <f>'Huong dan giao do an'!$B$33</f>
        <v>Tuần 1: 07.09–13.09.2026; Tuần 2: 14.09–20.09.2026; Tuần 3: 21.09–27.09.2026; Tuần 4: 28.09–04.10.2026; Tuần 5: 05.10–11.10.2026; Tuần 6: 12.10–18.10.2026; Tuần 7: 19.10–25.10.2026; Tuần 8: 26.10–01.11.2026.</v>
      </c>
      <c r="N22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1" s="17" t="str">
        <f t="shared" si="35"/>
        <v>Còn trống</v>
      </c>
    </row>
    <row r="2252" spans="1:16" x14ac:dyDescent="0.3">
      <c r="A2252">
        <v>2251</v>
      </c>
      <c r="B2252" t="s">
        <v>5062</v>
      </c>
      <c r="C2252" t="s">
        <v>5191</v>
      </c>
      <c r="D2252" t="s">
        <v>5192</v>
      </c>
      <c r="E2252" t="s">
        <v>33</v>
      </c>
      <c r="F2252" t="s">
        <v>5065</v>
      </c>
      <c r="G2252" t="s">
        <v>5103</v>
      </c>
      <c r="H2252" t="str">
        <f>'Huong dan giao do an'!$B$14</f>
        <v>5 SV (vai trò chính): 1 PM/Scrum Master kiêm Integration; 2 BA/PO; 3 UI-UX + Frontend; 4 Backend/API + DevOps; 5 Database + QA/Tester. Mỗi SV có nhiệm vụ phụ và minh chứng cá nhân.</v>
      </c>
      <c r="I2252" t="s">
        <v>29</v>
      </c>
      <c r="J2252" t="s">
        <v>5072</v>
      </c>
      <c r="K2252" t="str">
        <f>IF(I2252="Trung bình",'Huong dan giao do an'!$B$8,IF(I2252="Khá",'Huong dan giao do an'!$B$9,'Huong dan giao do an'!$B$10))</f>
        <v>Tối thiểu 5 actor; 14-18 use case; 10-15 bảng; 4 quy trình; tích hợp ngoài/realtime hoặc xử lý nâng cao; 3 báo cáo; &gt;=45 test case; logging, backup và deploy.</v>
      </c>
      <c r="L2252" t="str">
        <f>'Huong dan giao do an'!$B$31</f>
        <v>Bắt buộc: Charter/PMP; SRS + scope/WBS; Gantt/baseline; effort-cost budget; RACI/timesheet; quality-test-defect; communication/minutes; risk register; procurement; change log; closure/lessons learned.</v>
      </c>
      <c r="M2252" t="str">
        <f>'Huong dan giao do an'!$B$33</f>
        <v>Tuần 1: 07.09–13.09.2026; Tuần 2: 14.09–20.09.2026; Tuần 3: 21.09–27.09.2026; Tuần 4: 28.09–04.10.2026; Tuần 5: 05.10–11.10.2026; Tuần 6: 12.10–18.10.2026; Tuần 7: 19.10–25.10.2026; Tuần 8: 26.10–01.11.2026.</v>
      </c>
      <c r="N22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2" s="17" t="str">
        <f t="shared" si="35"/>
        <v>Còn trống</v>
      </c>
    </row>
    <row r="2253" spans="1:16" x14ac:dyDescent="0.3">
      <c r="A2253">
        <v>2252</v>
      </c>
      <c r="B2253" t="s">
        <v>5062</v>
      </c>
      <c r="C2253" t="s">
        <v>5193</v>
      </c>
      <c r="D2253" t="s">
        <v>5194</v>
      </c>
      <c r="E2253" t="s">
        <v>40</v>
      </c>
      <c r="F2253" t="s">
        <v>5070</v>
      </c>
      <c r="G2253" t="s">
        <v>5106</v>
      </c>
      <c r="H2253" t="str">
        <f>'Huong dan giao do an'!$B$14</f>
        <v>5 SV (vai trò chính): 1 PM/Scrum Master kiêm Integration; 2 BA/PO; 3 UI-UX + Frontend; 4 Backend/API + DevOps; 5 Database + QA/Tester. Mỗi SV có nhiệm vụ phụ và minh chứng cá nhân.</v>
      </c>
      <c r="I2253" t="s">
        <v>36</v>
      </c>
      <c r="J2253" t="s">
        <v>5077</v>
      </c>
      <c r="K2253" t="str">
        <f>IF(I2253="Trung bình",'Huong dan giao do an'!$B$8,IF(I2253="Khá",'Huong dan giao do an'!$B$9,'Huong dan giao do an'!$B$10))</f>
        <v>Tối thiểu 3 actor; 8-10 use case; 6-8 bảng dữ liệu; 2 quy trình lõi; đăng nhập/RBAC; 1 dashboard; 1 báo cáo; &gt;=25 test case; triển khai bản demo.</v>
      </c>
      <c r="L2253" t="str">
        <f>'Huong dan giao do an'!$B$31</f>
        <v>Bắt buộc: Charter/PMP; SRS + scope/WBS; Gantt/baseline; effort-cost budget; RACI/timesheet; quality-test-defect; communication/minutes; risk register; procurement; change log; closure/lessons learned.</v>
      </c>
      <c r="M2253" t="str">
        <f>'Huong dan giao do an'!$B$33</f>
        <v>Tuần 1: 07.09–13.09.2026; Tuần 2: 14.09–20.09.2026; Tuần 3: 21.09–27.09.2026; Tuần 4: 28.09–04.10.2026; Tuần 5: 05.10–11.10.2026; Tuần 6: 12.10–18.10.2026; Tuần 7: 19.10–25.10.2026; Tuần 8: 26.10–01.11.2026.</v>
      </c>
      <c r="N22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3" s="17" t="str">
        <f t="shared" si="35"/>
        <v>Còn trống</v>
      </c>
    </row>
    <row r="2254" spans="1:16" x14ac:dyDescent="0.3">
      <c r="A2254">
        <v>2253</v>
      </c>
      <c r="B2254" t="s">
        <v>5062</v>
      </c>
      <c r="C2254" t="s">
        <v>5195</v>
      </c>
      <c r="D2254" t="s">
        <v>5196</v>
      </c>
      <c r="E2254" t="s">
        <v>45</v>
      </c>
      <c r="F2254" t="s">
        <v>5075</v>
      </c>
      <c r="G2254" t="s">
        <v>5109</v>
      </c>
      <c r="H2254" t="str">
        <f>'Huong dan giao do an'!$B$14</f>
        <v>5 SV (vai trò chính): 1 PM/Scrum Master kiêm Integration; 2 BA/PO; 3 UI-UX + Frontend; 4 Backend/API + DevOps; 5 Database + QA/Tester. Mỗi SV có nhiệm vụ phụ và minh chứng cá nhân.</v>
      </c>
      <c r="I2254" t="s">
        <v>22</v>
      </c>
      <c r="J2254" t="s">
        <v>5067</v>
      </c>
      <c r="K2254" t="str">
        <f>IF(I2254="Trung bình",'Huong dan giao do an'!$B$8,IF(I2254="Khá",'Huong dan giao do an'!$B$9,'Huong dan giao do an'!$B$10))</f>
        <v>Tối thiểu 4 actor; 10-14 use case; 8-12 bảng; 3 quy trình lõi; phân quyền chi tiết; 2 báo cáo; tích hợp 1 dịch vụ; &gt;=35 test case; CI/CD hoặc deploy cloud.</v>
      </c>
      <c r="L2254" t="str">
        <f>'Huong dan giao do an'!$B$31</f>
        <v>Bắt buộc: Charter/PMP; SRS + scope/WBS; Gantt/baseline; effort-cost budget; RACI/timesheet; quality-test-defect; communication/minutes; risk register; procurement; change log; closure/lessons learned.</v>
      </c>
      <c r="M2254" t="str">
        <f>'Huong dan giao do an'!$B$33</f>
        <v>Tuần 1: 07.09–13.09.2026; Tuần 2: 14.09–20.09.2026; Tuần 3: 21.09–27.09.2026; Tuần 4: 28.09–04.10.2026; Tuần 5: 05.10–11.10.2026; Tuần 6: 12.10–18.10.2026; Tuần 7: 19.10–25.10.2026; Tuần 8: 26.10–01.11.2026.</v>
      </c>
      <c r="N22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4" s="17" t="str">
        <f t="shared" si="35"/>
        <v>Còn trống</v>
      </c>
    </row>
    <row r="2255" spans="1:16" x14ac:dyDescent="0.3">
      <c r="A2255">
        <v>2254</v>
      </c>
      <c r="B2255" t="s">
        <v>5062</v>
      </c>
      <c r="C2255" t="s">
        <v>5197</v>
      </c>
      <c r="D2255" t="s">
        <v>5198</v>
      </c>
      <c r="E2255" t="s">
        <v>19</v>
      </c>
      <c r="F2255" t="s">
        <v>5080</v>
      </c>
      <c r="G2255" t="s">
        <v>5112</v>
      </c>
      <c r="H2255" t="str">
        <f>'Huong dan giao do an'!$B$14</f>
        <v>5 SV (vai trò chính): 1 PM/Scrum Master kiêm Integration; 2 BA/PO; 3 UI-UX + Frontend; 4 Backend/API + DevOps; 5 Database + QA/Tester. Mỗi SV có nhiệm vụ phụ và minh chứng cá nhân.</v>
      </c>
      <c r="I2255" t="s">
        <v>29</v>
      </c>
      <c r="J2255" t="s">
        <v>5072</v>
      </c>
      <c r="K2255" t="str">
        <f>IF(I2255="Trung bình",'Huong dan giao do an'!$B$8,IF(I2255="Khá",'Huong dan giao do an'!$B$9,'Huong dan giao do an'!$B$10))</f>
        <v>Tối thiểu 5 actor; 14-18 use case; 10-15 bảng; 4 quy trình; tích hợp ngoài/realtime hoặc xử lý nâng cao; 3 báo cáo; &gt;=45 test case; logging, backup và deploy.</v>
      </c>
      <c r="L2255" t="str">
        <f>'Huong dan giao do an'!$B$31</f>
        <v>Bắt buộc: Charter/PMP; SRS + scope/WBS; Gantt/baseline; effort-cost budget; RACI/timesheet; quality-test-defect; communication/minutes; risk register; procurement; change log; closure/lessons learned.</v>
      </c>
      <c r="M2255" t="str">
        <f>'Huong dan giao do an'!$B$33</f>
        <v>Tuần 1: 07.09–13.09.2026; Tuần 2: 14.09–20.09.2026; Tuần 3: 21.09–27.09.2026; Tuần 4: 28.09–04.10.2026; Tuần 5: 05.10–11.10.2026; Tuần 6: 12.10–18.10.2026; Tuần 7: 19.10–25.10.2026; Tuần 8: 26.10–01.11.2026.</v>
      </c>
      <c r="N22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5" s="17" t="str">
        <f t="shared" si="35"/>
        <v>Còn trống</v>
      </c>
    </row>
    <row r="2256" spans="1:16" x14ac:dyDescent="0.3">
      <c r="A2256">
        <v>2255</v>
      </c>
      <c r="B2256" t="s">
        <v>5062</v>
      </c>
      <c r="C2256" t="s">
        <v>5199</v>
      </c>
      <c r="D2256" t="s">
        <v>5200</v>
      </c>
      <c r="E2256" t="s">
        <v>26</v>
      </c>
      <c r="F2256" t="s">
        <v>5084</v>
      </c>
      <c r="G2256" t="s">
        <v>5115</v>
      </c>
      <c r="H2256" t="str">
        <f>'Huong dan giao do an'!$B$14</f>
        <v>5 SV (vai trò chính): 1 PM/Scrum Master kiêm Integration; 2 BA/PO; 3 UI-UX + Frontend; 4 Backend/API + DevOps; 5 Database + QA/Tester. Mỗi SV có nhiệm vụ phụ và minh chứng cá nhân.</v>
      </c>
      <c r="I2256" t="s">
        <v>36</v>
      </c>
      <c r="J2256" t="s">
        <v>5077</v>
      </c>
      <c r="K2256" t="str">
        <f>IF(I2256="Trung bình",'Huong dan giao do an'!$B$8,IF(I2256="Khá",'Huong dan giao do an'!$B$9,'Huong dan giao do an'!$B$10))</f>
        <v>Tối thiểu 3 actor; 8-10 use case; 6-8 bảng dữ liệu; 2 quy trình lõi; đăng nhập/RBAC; 1 dashboard; 1 báo cáo; &gt;=25 test case; triển khai bản demo.</v>
      </c>
      <c r="L2256" t="str">
        <f>'Huong dan giao do an'!$B$31</f>
        <v>Bắt buộc: Charter/PMP; SRS + scope/WBS; Gantt/baseline; effort-cost budget; RACI/timesheet; quality-test-defect; communication/minutes; risk register; procurement; change log; closure/lessons learned.</v>
      </c>
      <c r="M2256" t="str">
        <f>'Huong dan giao do an'!$B$33</f>
        <v>Tuần 1: 07.09–13.09.2026; Tuần 2: 14.09–20.09.2026; Tuần 3: 21.09–27.09.2026; Tuần 4: 28.09–04.10.2026; Tuần 5: 05.10–11.10.2026; Tuần 6: 12.10–18.10.2026; Tuần 7: 19.10–25.10.2026; Tuần 8: 26.10–01.11.2026.</v>
      </c>
      <c r="N22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6" s="17" t="str">
        <f t="shared" si="35"/>
        <v>Còn trống</v>
      </c>
    </row>
    <row r="2257" spans="1:16" x14ac:dyDescent="0.3">
      <c r="A2257">
        <v>2256</v>
      </c>
      <c r="B2257" t="s">
        <v>5062</v>
      </c>
      <c r="C2257" t="s">
        <v>5201</v>
      </c>
      <c r="D2257" t="s">
        <v>5202</v>
      </c>
      <c r="E2257" t="s">
        <v>33</v>
      </c>
      <c r="F2257" t="s">
        <v>5065</v>
      </c>
      <c r="G2257" t="s">
        <v>5118</v>
      </c>
      <c r="H2257" t="str">
        <f>'Huong dan giao do an'!$B$14</f>
        <v>5 SV (vai trò chính): 1 PM/Scrum Master kiêm Integration; 2 BA/PO; 3 UI-UX + Frontend; 4 Backend/API + DevOps; 5 Database + QA/Tester. Mỗi SV có nhiệm vụ phụ và minh chứng cá nhân.</v>
      </c>
      <c r="I2257" t="s">
        <v>22</v>
      </c>
      <c r="J2257" t="s">
        <v>5067</v>
      </c>
      <c r="K2257" t="str">
        <f>IF(I2257="Trung bình",'Huong dan giao do an'!$B$8,IF(I2257="Khá",'Huong dan giao do an'!$B$9,'Huong dan giao do an'!$B$10))</f>
        <v>Tối thiểu 4 actor; 10-14 use case; 8-12 bảng; 3 quy trình lõi; phân quyền chi tiết; 2 báo cáo; tích hợp 1 dịch vụ; &gt;=35 test case; CI/CD hoặc deploy cloud.</v>
      </c>
      <c r="L2257" t="str">
        <f>'Huong dan giao do an'!$B$31</f>
        <v>Bắt buộc: Charter/PMP; SRS + scope/WBS; Gantt/baseline; effort-cost budget; RACI/timesheet; quality-test-defect; communication/minutes; risk register; procurement; change log; closure/lessons learned.</v>
      </c>
      <c r="M2257" t="str">
        <f>'Huong dan giao do an'!$B$33</f>
        <v>Tuần 1: 07.09–13.09.2026; Tuần 2: 14.09–20.09.2026; Tuần 3: 21.09–27.09.2026; Tuần 4: 28.09–04.10.2026; Tuần 5: 05.10–11.10.2026; Tuần 6: 12.10–18.10.2026; Tuần 7: 19.10–25.10.2026; Tuần 8: 26.10–01.11.2026.</v>
      </c>
      <c r="N22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7" s="17" t="str">
        <f t="shared" si="35"/>
        <v>Còn trống</v>
      </c>
    </row>
    <row r="2258" spans="1:16" x14ac:dyDescent="0.3">
      <c r="A2258">
        <v>2257</v>
      </c>
      <c r="B2258" t="s">
        <v>5062</v>
      </c>
      <c r="C2258" t="s">
        <v>5203</v>
      </c>
      <c r="D2258" t="s">
        <v>5204</v>
      </c>
      <c r="E2258" t="s">
        <v>40</v>
      </c>
      <c r="F2258" t="s">
        <v>5070</v>
      </c>
      <c r="G2258" t="s">
        <v>5121</v>
      </c>
      <c r="H2258" t="str">
        <f>'Huong dan giao do an'!$B$14</f>
        <v>5 SV (vai trò chính): 1 PM/Scrum Master kiêm Integration; 2 BA/PO; 3 UI-UX + Frontend; 4 Backend/API + DevOps; 5 Database + QA/Tester. Mỗi SV có nhiệm vụ phụ và minh chứng cá nhân.</v>
      </c>
      <c r="I2258" t="s">
        <v>29</v>
      </c>
      <c r="J2258" t="s">
        <v>5072</v>
      </c>
      <c r="K2258" t="str">
        <f>IF(I2258="Trung bình",'Huong dan giao do an'!$B$8,IF(I2258="Khá",'Huong dan giao do an'!$B$9,'Huong dan giao do an'!$B$10))</f>
        <v>Tối thiểu 5 actor; 14-18 use case; 10-15 bảng; 4 quy trình; tích hợp ngoài/realtime hoặc xử lý nâng cao; 3 báo cáo; &gt;=45 test case; logging, backup và deploy.</v>
      </c>
      <c r="L2258" t="str">
        <f>'Huong dan giao do an'!$B$31</f>
        <v>Bắt buộc: Charter/PMP; SRS + scope/WBS; Gantt/baseline; effort-cost budget; RACI/timesheet; quality-test-defect; communication/minutes; risk register; procurement; change log; closure/lessons learned.</v>
      </c>
      <c r="M2258" t="str">
        <f>'Huong dan giao do an'!$B$33</f>
        <v>Tuần 1: 07.09–13.09.2026; Tuần 2: 14.09–20.09.2026; Tuần 3: 21.09–27.09.2026; Tuần 4: 28.09–04.10.2026; Tuần 5: 05.10–11.10.2026; Tuần 6: 12.10–18.10.2026; Tuần 7: 19.10–25.10.2026; Tuần 8: 26.10–01.11.2026.</v>
      </c>
      <c r="N22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8" s="17" t="str">
        <f t="shared" si="35"/>
        <v>Còn trống</v>
      </c>
    </row>
    <row r="2259" spans="1:16" x14ac:dyDescent="0.3">
      <c r="A2259">
        <v>2258</v>
      </c>
      <c r="B2259" t="s">
        <v>5062</v>
      </c>
      <c r="C2259" t="s">
        <v>5205</v>
      </c>
      <c r="D2259" t="s">
        <v>5206</v>
      </c>
      <c r="E2259" t="s">
        <v>45</v>
      </c>
      <c r="F2259" t="s">
        <v>5075</v>
      </c>
      <c r="G2259" t="s">
        <v>5124</v>
      </c>
      <c r="H2259" t="str">
        <f>'Huong dan giao do an'!$B$14</f>
        <v>5 SV (vai trò chính): 1 PM/Scrum Master kiêm Integration; 2 BA/PO; 3 UI-UX + Frontend; 4 Backend/API + DevOps; 5 Database + QA/Tester. Mỗi SV có nhiệm vụ phụ và minh chứng cá nhân.</v>
      </c>
      <c r="I2259" t="s">
        <v>36</v>
      </c>
      <c r="J2259" t="s">
        <v>5077</v>
      </c>
      <c r="K2259" t="str">
        <f>IF(I2259="Trung bình",'Huong dan giao do an'!$B$8,IF(I2259="Khá",'Huong dan giao do an'!$B$9,'Huong dan giao do an'!$B$10))</f>
        <v>Tối thiểu 3 actor; 8-10 use case; 6-8 bảng dữ liệu; 2 quy trình lõi; đăng nhập/RBAC; 1 dashboard; 1 báo cáo; &gt;=25 test case; triển khai bản demo.</v>
      </c>
      <c r="L2259" t="str">
        <f>'Huong dan giao do an'!$B$31</f>
        <v>Bắt buộc: Charter/PMP; SRS + scope/WBS; Gantt/baseline; effort-cost budget; RACI/timesheet; quality-test-defect; communication/minutes; risk register; procurement; change log; closure/lessons learned.</v>
      </c>
      <c r="M2259" t="str">
        <f>'Huong dan giao do an'!$B$33</f>
        <v>Tuần 1: 07.09–13.09.2026; Tuần 2: 14.09–20.09.2026; Tuần 3: 21.09–27.09.2026; Tuần 4: 28.09–04.10.2026; Tuần 5: 05.10–11.10.2026; Tuần 6: 12.10–18.10.2026; Tuần 7: 19.10–25.10.2026; Tuần 8: 26.10–01.11.2026.</v>
      </c>
      <c r="N22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59" s="17" t="str">
        <f t="shared" si="35"/>
        <v>Còn trống</v>
      </c>
    </row>
    <row r="2260" spans="1:16" x14ac:dyDescent="0.3">
      <c r="A2260">
        <v>2259</v>
      </c>
      <c r="B2260" t="s">
        <v>5062</v>
      </c>
      <c r="C2260" t="s">
        <v>5207</v>
      </c>
      <c r="D2260" t="s">
        <v>5208</v>
      </c>
      <c r="E2260" t="s">
        <v>19</v>
      </c>
      <c r="F2260" t="s">
        <v>5080</v>
      </c>
      <c r="G2260" t="s">
        <v>5127</v>
      </c>
      <c r="H2260" t="str">
        <f>'Huong dan giao do an'!$B$14</f>
        <v>5 SV (vai trò chính): 1 PM/Scrum Master kiêm Integration; 2 BA/PO; 3 UI-UX + Frontend; 4 Backend/API + DevOps; 5 Database + QA/Tester. Mỗi SV có nhiệm vụ phụ và minh chứng cá nhân.</v>
      </c>
      <c r="I2260" t="s">
        <v>22</v>
      </c>
      <c r="J2260" t="s">
        <v>5067</v>
      </c>
      <c r="K2260" t="str">
        <f>IF(I2260="Trung bình",'Huong dan giao do an'!$B$8,IF(I2260="Khá",'Huong dan giao do an'!$B$9,'Huong dan giao do an'!$B$10))</f>
        <v>Tối thiểu 4 actor; 10-14 use case; 8-12 bảng; 3 quy trình lõi; phân quyền chi tiết; 2 báo cáo; tích hợp 1 dịch vụ; &gt;=35 test case; CI/CD hoặc deploy cloud.</v>
      </c>
      <c r="L2260" t="str">
        <f>'Huong dan giao do an'!$B$31</f>
        <v>Bắt buộc: Charter/PMP; SRS + scope/WBS; Gantt/baseline; effort-cost budget; RACI/timesheet; quality-test-defect; communication/minutes; risk register; procurement; change log; closure/lessons learned.</v>
      </c>
      <c r="M2260" t="str">
        <f>'Huong dan giao do an'!$B$33</f>
        <v>Tuần 1: 07.09–13.09.2026; Tuần 2: 14.09–20.09.2026; Tuần 3: 21.09–27.09.2026; Tuần 4: 28.09–04.10.2026; Tuần 5: 05.10–11.10.2026; Tuần 6: 12.10–18.10.2026; Tuần 7: 19.10–25.10.2026; Tuần 8: 26.10–01.11.2026.</v>
      </c>
      <c r="N22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0" s="17" t="str">
        <f t="shared" si="35"/>
        <v>Còn trống</v>
      </c>
    </row>
    <row r="2261" spans="1:16" x14ac:dyDescent="0.3">
      <c r="A2261">
        <v>2260</v>
      </c>
      <c r="B2261" t="s">
        <v>5062</v>
      </c>
      <c r="C2261" t="s">
        <v>5209</v>
      </c>
      <c r="D2261" t="s">
        <v>5210</v>
      </c>
      <c r="E2261" t="s">
        <v>26</v>
      </c>
      <c r="F2261" t="s">
        <v>5084</v>
      </c>
      <c r="G2261" t="s">
        <v>5130</v>
      </c>
      <c r="H2261" t="str">
        <f>'Huong dan giao do an'!$B$14</f>
        <v>5 SV (vai trò chính): 1 PM/Scrum Master kiêm Integration; 2 BA/PO; 3 UI-UX + Frontend; 4 Backend/API + DevOps; 5 Database + QA/Tester. Mỗi SV có nhiệm vụ phụ và minh chứng cá nhân.</v>
      </c>
      <c r="I2261" t="s">
        <v>29</v>
      </c>
      <c r="J2261" t="s">
        <v>5072</v>
      </c>
      <c r="K2261" t="str">
        <f>IF(I2261="Trung bình",'Huong dan giao do an'!$B$8,IF(I2261="Khá",'Huong dan giao do an'!$B$9,'Huong dan giao do an'!$B$10))</f>
        <v>Tối thiểu 5 actor; 14-18 use case; 10-15 bảng; 4 quy trình; tích hợp ngoài/realtime hoặc xử lý nâng cao; 3 báo cáo; &gt;=45 test case; logging, backup và deploy.</v>
      </c>
      <c r="L2261" t="str">
        <f>'Huong dan giao do an'!$B$31</f>
        <v>Bắt buộc: Charter/PMP; SRS + scope/WBS; Gantt/baseline; effort-cost budget; RACI/timesheet; quality-test-defect; communication/minutes; risk register; procurement; change log; closure/lessons learned.</v>
      </c>
      <c r="M2261" t="str">
        <f>'Huong dan giao do an'!$B$33</f>
        <v>Tuần 1: 07.09–13.09.2026; Tuần 2: 14.09–20.09.2026; Tuần 3: 21.09–27.09.2026; Tuần 4: 28.09–04.10.2026; Tuần 5: 05.10–11.10.2026; Tuần 6: 12.10–18.10.2026; Tuần 7: 19.10–25.10.2026; Tuần 8: 26.10–01.11.2026.</v>
      </c>
      <c r="N22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1" s="17" t="str">
        <f t="shared" si="35"/>
        <v>Còn trống</v>
      </c>
    </row>
    <row r="2262" spans="1:16" x14ac:dyDescent="0.3">
      <c r="A2262">
        <v>2261</v>
      </c>
      <c r="B2262" t="s">
        <v>5062</v>
      </c>
      <c r="C2262" t="s">
        <v>5211</v>
      </c>
      <c r="D2262" t="s">
        <v>5212</v>
      </c>
      <c r="E2262" t="s">
        <v>33</v>
      </c>
      <c r="F2262" t="s">
        <v>5065</v>
      </c>
      <c r="G2262" t="s">
        <v>5066</v>
      </c>
      <c r="H2262" t="str">
        <f>'Huong dan giao do an'!$B$14</f>
        <v>5 SV (vai trò chính): 1 PM/Scrum Master kiêm Integration; 2 BA/PO; 3 UI-UX + Frontend; 4 Backend/API + DevOps; 5 Database + QA/Tester. Mỗi SV có nhiệm vụ phụ và minh chứng cá nhân.</v>
      </c>
      <c r="I2262" t="s">
        <v>22</v>
      </c>
      <c r="J2262" t="s">
        <v>5067</v>
      </c>
      <c r="K2262" t="str">
        <f>IF(I2262="Trung bình",'Huong dan giao do an'!$B$8,IF(I2262="Khá",'Huong dan giao do an'!$B$9,'Huong dan giao do an'!$B$10))</f>
        <v>Tối thiểu 4 actor; 10-14 use case; 8-12 bảng; 3 quy trình lõi; phân quyền chi tiết; 2 báo cáo; tích hợp 1 dịch vụ; &gt;=35 test case; CI/CD hoặc deploy cloud.</v>
      </c>
      <c r="L2262" t="str">
        <f>'Huong dan giao do an'!$B$31</f>
        <v>Bắt buộc: Charter/PMP; SRS + scope/WBS; Gantt/baseline; effort-cost budget; RACI/timesheet; quality-test-defect; communication/minutes; risk register; procurement; change log; closure/lessons learned.</v>
      </c>
      <c r="M2262" t="str">
        <f>'Huong dan giao do an'!$B$33</f>
        <v>Tuần 1: 07.09–13.09.2026; Tuần 2: 14.09–20.09.2026; Tuần 3: 21.09–27.09.2026; Tuần 4: 28.09–04.10.2026; Tuần 5: 05.10–11.10.2026; Tuần 6: 12.10–18.10.2026; Tuần 7: 19.10–25.10.2026; Tuần 8: 26.10–01.11.2026.</v>
      </c>
      <c r="N22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2" s="17" t="str">
        <f t="shared" si="35"/>
        <v>Còn trống</v>
      </c>
    </row>
    <row r="2263" spans="1:16" x14ac:dyDescent="0.3">
      <c r="A2263">
        <v>2262</v>
      </c>
      <c r="B2263" t="s">
        <v>5062</v>
      </c>
      <c r="C2263" t="s">
        <v>5213</v>
      </c>
      <c r="D2263" t="s">
        <v>5214</v>
      </c>
      <c r="E2263" t="s">
        <v>40</v>
      </c>
      <c r="F2263" t="s">
        <v>5070</v>
      </c>
      <c r="G2263" t="s">
        <v>5071</v>
      </c>
      <c r="H2263" t="str">
        <f>'Huong dan giao do an'!$B$14</f>
        <v>5 SV (vai trò chính): 1 PM/Scrum Master kiêm Integration; 2 BA/PO; 3 UI-UX + Frontend; 4 Backend/API + DevOps; 5 Database + QA/Tester. Mỗi SV có nhiệm vụ phụ và minh chứng cá nhân.</v>
      </c>
      <c r="I2263" t="s">
        <v>29</v>
      </c>
      <c r="J2263" t="s">
        <v>5072</v>
      </c>
      <c r="K2263" t="str">
        <f>IF(I2263="Trung bình",'Huong dan giao do an'!$B$8,IF(I2263="Khá",'Huong dan giao do an'!$B$9,'Huong dan giao do an'!$B$10))</f>
        <v>Tối thiểu 5 actor; 14-18 use case; 10-15 bảng; 4 quy trình; tích hợp ngoài/realtime hoặc xử lý nâng cao; 3 báo cáo; &gt;=45 test case; logging, backup và deploy.</v>
      </c>
      <c r="L2263" t="str">
        <f>'Huong dan giao do an'!$B$31</f>
        <v>Bắt buộc: Charter/PMP; SRS + scope/WBS; Gantt/baseline; effort-cost budget; RACI/timesheet; quality-test-defect; communication/minutes; risk register; procurement; change log; closure/lessons learned.</v>
      </c>
      <c r="M2263" t="str">
        <f>'Huong dan giao do an'!$B$33</f>
        <v>Tuần 1: 07.09–13.09.2026; Tuần 2: 14.09–20.09.2026; Tuần 3: 21.09–27.09.2026; Tuần 4: 28.09–04.10.2026; Tuần 5: 05.10–11.10.2026; Tuần 6: 12.10–18.10.2026; Tuần 7: 19.10–25.10.2026; Tuần 8: 26.10–01.11.2026.</v>
      </c>
      <c r="N22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3" s="17" t="str">
        <f t="shared" si="35"/>
        <v>Còn trống</v>
      </c>
    </row>
    <row r="2264" spans="1:16" x14ac:dyDescent="0.3">
      <c r="A2264">
        <v>2263</v>
      </c>
      <c r="B2264" t="s">
        <v>5062</v>
      </c>
      <c r="C2264" t="s">
        <v>5215</v>
      </c>
      <c r="D2264" t="s">
        <v>5216</v>
      </c>
      <c r="E2264" t="s">
        <v>45</v>
      </c>
      <c r="F2264" t="s">
        <v>5075</v>
      </c>
      <c r="G2264" t="s">
        <v>5076</v>
      </c>
      <c r="H2264" t="str">
        <f>'Huong dan giao do an'!$B$14</f>
        <v>5 SV (vai trò chính): 1 PM/Scrum Master kiêm Integration; 2 BA/PO; 3 UI-UX + Frontend; 4 Backend/API + DevOps; 5 Database + QA/Tester. Mỗi SV có nhiệm vụ phụ và minh chứng cá nhân.</v>
      </c>
      <c r="I2264" t="s">
        <v>36</v>
      </c>
      <c r="J2264" t="s">
        <v>5077</v>
      </c>
      <c r="K2264" t="str">
        <f>IF(I2264="Trung bình",'Huong dan giao do an'!$B$8,IF(I2264="Khá",'Huong dan giao do an'!$B$9,'Huong dan giao do an'!$B$10))</f>
        <v>Tối thiểu 3 actor; 8-10 use case; 6-8 bảng dữ liệu; 2 quy trình lõi; đăng nhập/RBAC; 1 dashboard; 1 báo cáo; &gt;=25 test case; triển khai bản demo.</v>
      </c>
      <c r="L2264" t="str">
        <f>'Huong dan giao do an'!$B$31</f>
        <v>Bắt buộc: Charter/PMP; SRS + scope/WBS; Gantt/baseline; effort-cost budget; RACI/timesheet; quality-test-defect; communication/minutes; risk register; procurement; change log; closure/lessons learned.</v>
      </c>
      <c r="M2264" t="str">
        <f>'Huong dan giao do an'!$B$33</f>
        <v>Tuần 1: 07.09–13.09.2026; Tuần 2: 14.09–20.09.2026; Tuần 3: 21.09–27.09.2026; Tuần 4: 28.09–04.10.2026; Tuần 5: 05.10–11.10.2026; Tuần 6: 12.10–18.10.2026; Tuần 7: 19.10–25.10.2026; Tuần 8: 26.10–01.11.2026.</v>
      </c>
      <c r="N22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4" s="17" t="str">
        <f t="shared" si="35"/>
        <v>Còn trống</v>
      </c>
    </row>
    <row r="2265" spans="1:16" x14ac:dyDescent="0.3">
      <c r="A2265">
        <v>2264</v>
      </c>
      <c r="B2265" t="s">
        <v>5062</v>
      </c>
      <c r="C2265" t="s">
        <v>5217</v>
      </c>
      <c r="D2265" t="s">
        <v>5218</v>
      </c>
      <c r="E2265" t="s">
        <v>19</v>
      </c>
      <c r="F2265" t="s">
        <v>5080</v>
      </c>
      <c r="G2265" t="s">
        <v>5081</v>
      </c>
      <c r="H2265" t="str">
        <f>'Huong dan giao do an'!$B$14</f>
        <v>5 SV (vai trò chính): 1 PM/Scrum Master kiêm Integration; 2 BA/PO; 3 UI-UX + Frontend; 4 Backend/API + DevOps; 5 Database + QA/Tester. Mỗi SV có nhiệm vụ phụ và minh chứng cá nhân.</v>
      </c>
      <c r="I2265" t="s">
        <v>22</v>
      </c>
      <c r="J2265" t="s">
        <v>5067</v>
      </c>
      <c r="K2265" t="str">
        <f>IF(I2265="Trung bình",'Huong dan giao do an'!$B$8,IF(I2265="Khá",'Huong dan giao do an'!$B$9,'Huong dan giao do an'!$B$10))</f>
        <v>Tối thiểu 4 actor; 10-14 use case; 8-12 bảng; 3 quy trình lõi; phân quyền chi tiết; 2 báo cáo; tích hợp 1 dịch vụ; &gt;=35 test case; CI/CD hoặc deploy cloud.</v>
      </c>
      <c r="L2265" t="str">
        <f>'Huong dan giao do an'!$B$31</f>
        <v>Bắt buộc: Charter/PMP; SRS + scope/WBS; Gantt/baseline; effort-cost budget; RACI/timesheet; quality-test-defect; communication/minutes; risk register; procurement; change log; closure/lessons learned.</v>
      </c>
      <c r="M2265" t="str">
        <f>'Huong dan giao do an'!$B$33</f>
        <v>Tuần 1: 07.09–13.09.2026; Tuần 2: 14.09–20.09.2026; Tuần 3: 21.09–27.09.2026; Tuần 4: 28.09–04.10.2026; Tuần 5: 05.10–11.10.2026; Tuần 6: 12.10–18.10.2026; Tuần 7: 19.10–25.10.2026; Tuần 8: 26.10–01.11.2026.</v>
      </c>
      <c r="N22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5" s="17" t="str">
        <f t="shared" si="35"/>
        <v>Còn trống</v>
      </c>
    </row>
    <row r="2266" spans="1:16" x14ac:dyDescent="0.3">
      <c r="A2266">
        <v>2265</v>
      </c>
      <c r="B2266" t="s">
        <v>5062</v>
      </c>
      <c r="C2266" t="s">
        <v>5219</v>
      </c>
      <c r="D2266" t="s">
        <v>5220</v>
      </c>
      <c r="E2266" t="s">
        <v>26</v>
      </c>
      <c r="F2266" t="s">
        <v>5084</v>
      </c>
      <c r="G2266" t="s">
        <v>5085</v>
      </c>
      <c r="H2266" t="str">
        <f>'Huong dan giao do an'!$B$14</f>
        <v>5 SV (vai trò chính): 1 PM/Scrum Master kiêm Integration; 2 BA/PO; 3 UI-UX + Frontend; 4 Backend/API + DevOps; 5 Database + QA/Tester. Mỗi SV có nhiệm vụ phụ và minh chứng cá nhân.</v>
      </c>
      <c r="I2266" t="s">
        <v>29</v>
      </c>
      <c r="J2266" t="s">
        <v>5072</v>
      </c>
      <c r="K2266" t="str">
        <f>IF(I2266="Trung bình",'Huong dan giao do an'!$B$8,IF(I2266="Khá",'Huong dan giao do an'!$B$9,'Huong dan giao do an'!$B$10))</f>
        <v>Tối thiểu 5 actor; 14-18 use case; 10-15 bảng; 4 quy trình; tích hợp ngoài/realtime hoặc xử lý nâng cao; 3 báo cáo; &gt;=45 test case; logging, backup và deploy.</v>
      </c>
      <c r="L2266" t="str">
        <f>'Huong dan giao do an'!$B$31</f>
        <v>Bắt buộc: Charter/PMP; SRS + scope/WBS; Gantt/baseline; effort-cost budget; RACI/timesheet; quality-test-defect; communication/minutes; risk register; procurement; change log; closure/lessons learned.</v>
      </c>
      <c r="M2266" t="str">
        <f>'Huong dan giao do an'!$B$33</f>
        <v>Tuần 1: 07.09–13.09.2026; Tuần 2: 14.09–20.09.2026; Tuần 3: 21.09–27.09.2026; Tuần 4: 28.09–04.10.2026; Tuần 5: 05.10–11.10.2026; Tuần 6: 12.10–18.10.2026; Tuần 7: 19.10–25.10.2026; Tuần 8: 26.10–01.11.2026.</v>
      </c>
      <c r="N22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6" s="17" t="str">
        <f t="shared" si="35"/>
        <v>Còn trống</v>
      </c>
    </row>
    <row r="2267" spans="1:16" x14ac:dyDescent="0.3">
      <c r="A2267">
        <v>2266</v>
      </c>
      <c r="B2267" t="s">
        <v>5062</v>
      </c>
      <c r="C2267" t="s">
        <v>5221</v>
      </c>
      <c r="D2267" t="s">
        <v>5222</v>
      </c>
      <c r="E2267" t="s">
        <v>33</v>
      </c>
      <c r="F2267" t="s">
        <v>5065</v>
      </c>
      <c r="G2267" t="s">
        <v>5088</v>
      </c>
      <c r="H2267" t="str">
        <f>'Huong dan giao do an'!$B$14</f>
        <v>5 SV (vai trò chính): 1 PM/Scrum Master kiêm Integration; 2 BA/PO; 3 UI-UX + Frontend; 4 Backend/API + DevOps; 5 Database + QA/Tester. Mỗi SV có nhiệm vụ phụ và minh chứng cá nhân.</v>
      </c>
      <c r="I2267" t="s">
        <v>36</v>
      </c>
      <c r="J2267" t="s">
        <v>5077</v>
      </c>
      <c r="K2267" t="str">
        <f>IF(I2267="Trung bình",'Huong dan giao do an'!$B$8,IF(I2267="Khá",'Huong dan giao do an'!$B$9,'Huong dan giao do an'!$B$10))</f>
        <v>Tối thiểu 3 actor; 8-10 use case; 6-8 bảng dữ liệu; 2 quy trình lõi; đăng nhập/RBAC; 1 dashboard; 1 báo cáo; &gt;=25 test case; triển khai bản demo.</v>
      </c>
      <c r="L2267" t="str">
        <f>'Huong dan giao do an'!$B$31</f>
        <v>Bắt buộc: Charter/PMP; SRS + scope/WBS; Gantt/baseline; effort-cost budget; RACI/timesheet; quality-test-defect; communication/minutes; risk register; procurement; change log; closure/lessons learned.</v>
      </c>
      <c r="M2267" t="str">
        <f>'Huong dan giao do an'!$B$33</f>
        <v>Tuần 1: 07.09–13.09.2026; Tuần 2: 14.09–20.09.2026; Tuần 3: 21.09–27.09.2026; Tuần 4: 28.09–04.10.2026; Tuần 5: 05.10–11.10.2026; Tuần 6: 12.10–18.10.2026; Tuần 7: 19.10–25.10.2026; Tuần 8: 26.10–01.11.2026.</v>
      </c>
      <c r="N22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7" s="17" t="str">
        <f t="shared" si="35"/>
        <v>Còn trống</v>
      </c>
    </row>
    <row r="2268" spans="1:16" x14ac:dyDescent="0.3">
      <c r="A2268">
        <v>2267</v>
      </c>
      <c r="B2268" t="s">
        <v>5062</v>
      </c>
      <c r="C2268" t="s">
        <v>5223</v>
      </c>
      <c r="D2268" t="s">
        <v>5224</v>
      </c>
      <c r="E2268" t="s">
        <v>40</v>
      </c>
      <c r="F2268" t="s">
        <v>5070</v>
      </c>
      <c r="G2268" t="s">
        <v>5091</v>
      </c>
      <c r="H2268" t="str">
        <f>'Huong dan giao do an'!$B$14</f>
        <v>5 SV (vai trò chính): 1 PM/Scrum Master kiêm Integration; 2 BA/PO; 3 UI-UX + Frontend; 4 Backend/API + DevOps; 5 Database + QA/Tester. Mỗi SV có nhiệm vụ phụ và minh chứng cá nhân.</v>
      </c>
      <c r="I2268" t="s">
        <v>22</v>
      </c>
      <c r="J2268" t="s">
        <v>5067</v>
      </c>
      <c r="K2268" t="str">
        <f>IF(I2268="Trung bình",'Huong dan giao do an'!$B$8,IF(I2268="Khá",'Huong dan giao do an'!$B$9,'Huong dan giao do an'!$B$10))</f>
        <v>Tối thiểu 4 actor; 10-14 use case; 8-12 bảng; 3 quy trình lõi; phân quyền chi tiết; 2 báo cáo; tích hợp 1 dịch vụ; &gt;=35 test case; CI/CD hoặc deploy cloud.</v>
      </c>
      <c r="L2268" t="str">
        <f>'Huong dan giao do an'!$B$31</f>
        <v>Bắt buộc: Charter/PMP; SRS + scope/WBS; Gantt/baseline; effort-cost budget; RACI/timesheet; quality-test-defect; communication/minutes; risk register; procurement; change log; closure/lessons learned.</v>
      </c>
      <c r="M2268" t="str">
        <f>'Huong dan giao do an'!$B$33</f>
        <v>Tuần 1: 07.09–13.09.2026; Tuần 2: 14.09–20.09.2026; Tuần 3: 21.09–27.09.2026; Tuần 4: 28.09–04.10.2026; Tuần 5: 05.10–11.10.2026; Tuần 6: 12.10–18.10.2026; Tuần 7: 19.10–25.10.2026; Tuần 8: 26.10–01.11.2026.</v>
      </c>
      <c r="N22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8" s="17" t="str">
        <f t="shared" si="35"/>
        <v>Còn trống</v>
      </c>
    </row>
    <row r="2269" spans="1:16" x14ac:dyDescent="0.3">
      <c r="A2269">
        <v>2268</v>
      </c>
      <c r="B2269" t="s">
        <v>5062</v>
      </c>
      <c r="C2269" t="s">
        <v>5225</v>
      </c>
      <c r="D2269" t="s">
        <v>5226</v>
      </c>
      <c r="E2269" t="s">
        <v>45</v>
      </c>
      <c r="F2269" t="s">
        <v>5075</v>
      </c>
      <c r="G2269" t="s">
        <v>5094</v>
      </c>
      <c r="H2269" t="str">
        <f>'Huong dan giao do an'!$B$14</f>
        <v>5 SV (vai trò chính): 1 PM/Scrum Master kiêm Integration; 2 BA/PO; 3 UI-UX + Frontend; 4 Backend/API + DevOps; 5 Database + QA/Tester. Mỗi SV có nhiệm vụ phụ và minh chứng cá nhân.</v>
      </c>
      <c r="I2269" t="s">
        <v>29</v>
      </c>
      <c r="J2269" t="s">
        <v>5072</v>
      </c>
      <c r="K2269" t="str">
        <f>IF(I2269="Trung bình",'Huong dan giao do an'!$B$8,IF(I2269="Khá",'Huong dan giao do an'!$B$9,'Huong dan giao do an'!$B$10))</f>
        <v>Tối thiểu 5 actor; 14-18 use case; 10-15 bảng; 4 quy trình; tích hợp ngoài/realtime hoặc xử lý nâng cao; 3 báo cáo; &gt;=45 test case; logging, backup và deploy.</v>
      </c>
      <c r="L2269" t="str">
        <f>'Huong dan giao do an'!$B$31</f>
        <v>Bắt buộc: Charter/PMP; SRS + scope/WBS; Gantt/baseline; effort-cost budget; RACI/timesheet; quality-test-defect; communication/minutes; risk register; procurement; change log; closure/lessons learned.</v>
      </c>
      <c r="M2269" t="str">
        <f>'Huong dan giao do an'!$B$33</f>
        <v>Tuần 1: 07.09–13.09.2026; Tuần 2: 14.09–20.09.2026; Tuần 3: 21.09–27.09.2026; Tuần 4: 28.09–04.10.2026; Tuần 5: 05.10–11.10.2026; Tuần 6: 12.10–18.10.2026; Tuần 7: 19.10–25.10.2026; Tuần 8: 26.10–01.11.2026.</v>
      </c>
      <c r="N22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69" s="17" t="str">
        <f t="shared" si="35"/>
        <v>Còn trống</v>
      </c>
    </row>
    <row r="2270" spans="1:16" x14ac:dyDescent="0.3">
      <c r="A2270">
        <v>2269</v>
      </c>
      <c r="B2270" t="s">
        <v>5062</v>
      </c>
      <c r="C2270" t="s">
        <v>5227</v>
      </c>
      <c r="D2270" t="s">
        <v>5228</v>
      </c>
      <c r="E2270" t="s">
        <v>19</v>
      </c>
      <c r="F2270" t="s">
        <v>5080</v>
      </c>
      <c r="G2270" t="s">
        <v>5097</v>
      </c>
      <c r="H2270" t="str">
        <f>'Huong dan giao do an'!$B$14</f>
        <v>5 SV (vai trò chính): 1 PM/Scrum Master kiêm Integration; 2 BA/PO; 3 UI-UX + Frontend; 4 Backend/API + DevOps; 5 Database + QA/Tester. Mỗi SV có nhiệm vụ phụ và minh chứng cá nhân.</v>
      </c>
      <c r="I2270" t="s">
        <v>36</v>
      </c>
      <c r="J2270" t="s">
        <v>5077</v>
      </c>
      <c r="K2270" t="str">
        <f>IF(I2270="Trung bình",'Huong dan giao do an'!$B$8,IF(I2270="Khá",'Huong dan giao do an'!$B$9,'Huong dan giao do an'!$B$10))</f>
        <v>Tối thiểu 3 actor; 8-10 use case; 6-8 bảng dữ liệu; 2 quy trình lõi; đăng nhập/RBAC; 1 dashboard; 1 báo cáo; &gt;=25 test case; triển khai bản demo.</v>
      </c>
      <c r="L2270" t="str">
        <f>'Huong dan giao do an'!$B$31</f>
        <v>Bắt buộc: Charter/PMP; SRS + scope/WBS; Gantt/baseline; effort-cost budget; RACI/timesheet; quality-test-defect; communication/minutes; risk register; procurement; change log; closure/lessons learned.</v>
      </c>
      <c r="M2270" t="str">
        <f>'Huong dan giao do an'!$B$33</f>
        <v>Tuần 1: 07.09–13.09.2026; Tuần 2: 14.09–20.09.2026; Tuần 3: 21.09–27.09.2026; Tuần 4: 28.09–04.10.2026; Tuần 5: 05.10–11.10.2026; Tuần 6: 12.10–18.10.2026; Tuần 7: 19.10–25.10.2026; Tuần 8: 26.10–01.11.2026.</v>
      </c>
      <c r="N22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0" s="17" t="str">
        <f t="shared" si="35"/>
        <v>Còn trống</v>
      </c>
    </row>
    <row r="2271" spans="1:16" x14ac:dyDescent="0.3">
      <c r="A2271">
        <v>2270</v>
      </c>
      <c r="B2271" t="s">
        <v>5062</v>
      </c>
      <c r="C2271" t="s">
        <v>5229</v>
      </c>
      <c r="D2271" t="s">
        <v>5230</v>
      </c>
      <c r="E2271" t="s">
        <v>26</v>
      </c>
      <c r="F2271" t="s">
        <v>5084</v>
      </c>
      <c r="G2271" t="s">
        <v>5100</v>
      </c>
      <c r="H2271" t="str">
        <f>'Huong dan giao do an'!$B$14</f>
        <v>5 SV (vai trò chính): 1 PM/Scrum Master kiêm Integration; 2 BA/PO; 3 UI-UX + Frontend; 4 Backend/API + DevOps; 5 Database + QA/Tester. Mỗi SV có nhiệm vụ phụ và minh chứng cá nhân.</v>
      </c>
      <c r="I2271" t="s">
        <v>22</v>
      </c>
      <c r="J2271" t="s">
        <v>5067</v>
      </c>
      <c r="K2271" t="str">
        <f>IF(I2271="Trung bình",'Huong dan giao do an'!$B$8,IF(I2271="Khá",'Huong dan giao do an'!$B$9,'Huong dan giao do an'!$B$10))</f>
        <v>Tối thiểu 4 actor; 10-14 use case; 8-12 bảng; 3 quy trình lõi; phân quyền chi tiết; 2 báo cáo; tích hợp 1 dịch vụ; &gt;=35 test case; CI/CD hoặc deploy cloud.</v>
      </c>
      <c r="L2271" t="str">
        <f>'Huong dan giao do an'!$B$31</f>
        <v>Bắt buộc: Charter/PMP; SRS + scope/WBS; Gantt/baseline; effort-cost budget; RACI/timesheet; quality-test-defect; communication/minutes; risk register; procurement; change log; closure/lessons learned.</v>
      </c>
      <c r="M2271" t="str">
        <f>'Huong dan giao do an'!$B$33</f>
        <v>Tuần 1: 07.09–13.09.2026; Tuần 2: 14.09–20.09.2026; Tuần 3: 21.09–27.09.2026; Tuần 4: 28.09–04.10.2026; Tuần 5: 05.10–11.10.2026; Tuần 6: 12.10–18.10.2026; Tuần 7: 19.10–25.10.2026; Tuần 8: 26.10–01.11.2026.</v>
      </c>
      <c r="N22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1" s="17" t="str">
        <f t="shared" si="35"/>
        <v>Còn trống</v>
      </c>
    </row>
    <row r="2272" spans="1:16" x14ac:dyDescent="0.3">
      <c r="A2272">
        <v>2271</v>
      </c>
      <c r="B2272" t="s">
        <v>5062</v>
      </c>
      <c r="C2272" t="s">
        <v>5231</v>
      </c>
      <c r="D2272" t="s">
        <v>5232</v>
      </c>
      <c r="E2272" t="s">
        <v>33</v>
      </c>
      <c r="F2272" t="s">
        <v>5065</v>
      </c>
      <c r="G2272" t="s">
        <v>5103</v>
      </c>
      <c r="H2272" t="str">
        <f>'Huong dan giao do an'!$B$14</f>
        <v>5 SV (vai trò chính): 1 PM/Scrum Master kiêm Integration; 2 BA/PO; 3 UI-UX + Frontend; 4 Backend/API + DevOps; 5 Database + QA/Tester. Mỗi SV có nhiệm vụ phụ và minh chứng cá nhân.</v>
      </c>
      <c r="I2272" t="s">
        <v>29</v>
      </c>
      <c r="J2272" t="s">
        <v>5072</v>
      </c>
      <c r="K2272" t="str">
        <f>IF(I2272="Trung bình",'Huong dan giao do an'!$B$8,IF(I2272="Khá",'Huong dan giao do an'!$B$9,'Huong dan giao do an'!$B$10))</f>
        <v>Tối thiểu 5 actor; 14-18 use case; 10-15 bảng; 4 quy trình; tích hợp ngoài/realtime hoặc xử lý nâng cao; 3 báo cáo; &gt;=45 test case; logging, backup và deploy.</v>
      </c>
      <c r="L2272" t="str">
        <f>'Huong dan giao do an'!$B$31</f>
        <v>Bắt buộc: Charter/PMP; SRS + scope/WBS; Gantt/baseline; effort-cost budget; RACI/timesheet; quality-test-defect; communication/minutes; risk register; procurement; change log; closure/lessons learned.</v>
      </c>
      <c r="M2272" t="str">
        <f>'Huong dan giao do an'!$B$33</f>
        <v>Tuần 1: 07.09–13.09.2026; Tuần 2: 14.09–20.09.2026; Tuần 3: 21.09–27.09.2026; Tuần 4: 28.09–04.10.2026; Tuần 5: 05.10–11.10.2026; Tuần 6: 12.10–18.10.2026; Tuần 7: 19.10–25.10.2026; Tuần 8: 26.10–01.11.2026.</v>
      </c>
      <c r="N22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2" s="17" t="str">
        <f t="shared" si="35"/>
        <v>Còn trống</v>
      </c>
    </row>
    <row r="2273" spans="1:16" x14ac:dyDescent="0.3">
      <c r="A2273">
        <v>2272</v>
      </c>
      <c r="B2273" t="s">
        <v>5062</v>
      </c>
      <c r="C2273" t="s">
        <v>5233</v>
      </c>
      <c r="D2273" t="s">
        <v>5234</v>
      </c>
      <c r="E2273" t="s">
        <v>40</v>
      </c>
      <c r="F2273" t="s">
        <v>5070</v>
      </c>
      <c r="G2273" t="s">
        <v>5106</v>
      </c>
      <c r="H2273" t="str">
        <f>'Huong dan giao do an'!$B$14</f>
        <v>5 SV (vai trò chính): 1 PM/Scrum Master kiêm Integration; 2 BA/PO; 3 UI-UX + Frontend; 4 Backend/API + DevOps; 5 Database + QA/Tester. Mỗi SV có nhiệm vụ phụ và minh chứng cá nhân.</v>
      </c>
      <c r="I2273" t="s">
        <v>36</v>
      </c>
      <c r="J2273" t="s">
        <v>5077</v>
      </c>
      <c r="K2273" t="str">
        <f>IF(I2273="Trung bình",'Huong dan giao do an'!$B$8,IF(I2273="Khá",'Huong dan giao do an'!$B$9,'Huong dan giao do an'!$B$10))</f>
        <v>Tối thiểu 3 actor; 8-10 use case; 6-8 bảng dữ liệu; 2 quy trình lõi; đăng nhập/RBAC; 1 dashboard; 1 báo cáo; &gt;=25 test case; triển khai bản demo.</v>
      </c>
      <c r="L2273" t="str">
        <f>'Huong dan giao do an'!$B$31</f>
        <v>Bắt buộc: Charter/PMP; SRS + scope/WBS; Gantt/baseline; effort-cost budget; RACI/timesheet; quality-test-defect; communication/minutes; risk register; procurement; change log; closure/lessons learned.</v>
      </c>
      <c r="M2273" t="str">
        <f>'Huong dan giao do an'!$B$33</f>
        <v>Tuần 1: 07.09–13.09.2026; Tuần 2: 14.09–20.09.2026; Tuần 3: 21.09–27.09.2026; Tuần 4: 28.09–04.10.2026; Tuần 5: 05.10–11.10.2026; Tuần 6: 12.10–18.10.2026; Tuần 7: 19.10–25.10.2026; Tuần 8: 26.10–01.11.2026.</v>
      </c>
      <c r="N22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3" s="17" t="str">
        <f t="shared" si="35"/>
        <v>Còn trống</v>
      </c>
    </row>
    <row r="2274" spans="1:16" x14ac:dyDescent="0.3">
      <c r="A2274">
        <v>2273</v>
      </c>
      <c r="B2274" t="s">
        <v>5062</v>
      </c>
      <c r="C2274" t="s">
        <v>5235</v>
      </c>
      <c r="D2274" t="s">
        <v>5236</v>
      </c>
      <c r="E2274" t="s">
        <v>45</v>
      </c>
      <c r="F2274" t="s">
        <v>5075</v>
      </c>
      <c r="G2274" t="s">
        <v>5109</v>
      </c>
      <c r="H2274" t="str">
        <f>'Huong dan giao do an'!$B$14</f>
        <v>5 SV (vai trò chính): 1 PM/Scrum Master kiêm Integration; 2 BA/PO; 3 UI-UX + Frontend; 4 Backend/API + DevOps; 5 Database + QA/Tester. Mỗi SV có nhiệm vụ phụ và minh chứng cá nhân.</v>
      </c>
      <c r="I2274" t="s">
        <v>22</v>
      </c>
      <c r="J2274" t="s">
        <v>5067</v>
      </c>
      <c r="K2274" t="str">
        <f>IF(I2274="Trung bình",'Huong dan giao do an'!$B$8,IF(I2274="Khá",'Huong dan giao do an'!$B$9,'Huong dan giao do an'!$B$10))</f>
        <v>Tối thiểu 4 actor; 10-14 use case; 8-12 bảng; 3 quy trình lõi; phân quyền chi tiết; 2 báo cáo; tích hợp 1 dịch vụ; &gt;=35 test case; CI/CD hoặc deploy cloud.</v>
      </c>
      <c r="L2274" t="str">
        <f>'Huong dan giao do an'!$B$31</f>
        <v>Bắt buộc: Charter/PMP; SRS + scope/WBS; Gantt/baseline; effort-cost budget; RACI/timesheet; quality-test-defect; communication/minutes; risk register; procurement; change log; closure/lessons learned.</v>
      </c>
      <c r="M2274" t="str">
        <f>'Huong dan giao do an'!$B$33</f>
        <v>Tuần 1: 07.09–13.09.2026; Tuần 2: 14.09–20.09.2026; Tuần 3: 21.09–27.09.2026; Tuần 4: 28.09–04.10.2026; Tuần 5: 05.10–11.10.2026; Tuần 6: 12.10–18.10.2026; Tuần 7: 19.10–25.10.2026; Tuần 8: 26.10–01.11.2026.</v>
      </c>
      <c r="N22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4" s="17" t="str">
        <f t="shared" si="35"/>
        <v>Còn trống</v>
      </c>
    </row>
    <row r="2275" spans="1:16" x14ac:dyDescent="0.3">
      <c r="A2275">
        <v>2274</v>
      </c>
      <c r="B2275" t="s">
        <v>5062</v>
      </c>
      <c r="C2275" t="s">
        <v>5237</v>
      </c>
      <c r="D2275" t="s">
        <v>5238</v>
      </c>
      <c r="E2275" t="s">
        <v>19</v>
      </c>
      <c r="F2275" t="s">
        <v>5080</v>
      </c>
      <c r="G2275" t="s">
        <v>5112</v>
      </c>
      <c r="H2275" t="str">
        <f>'Huong dan giao do an'!$B$14</f>
        <v>5 SV (vai trò chính): 1 PM/Scrum Master kiêm Integration; 2 BA/PO; 3 UI-UX + Frontend; 4 Backend/API + DevOps; 5 Database + QA/Tester. Mỗi SV có nhiệm vụ phụ và minh chứng cá nhân.</v>
      </c>
      <c r="I2275" t="s">
        <v>29</v>
      </c>
      <c r="J2275" t="s">
        <v>5072</v>
      </c>
      <c r="K2275" t="str">
        <f>IF(I2275="Trung bình",'Huong dan giao do an'!$B$8,IF(I2275="Khá",'Huong dan giao do an'!$B$9,'Huong dan giao do an'!$B$10))</f>
        <v>Tối thiểu 5 actor; 14-18 use case; 10-15 bảng; 4 quy trình; tích hợp ngoài/realtime hoặc xử lý nâng cao; 3 báo cáo; &gt;=45 test case; logging, backup và deploy.</v>
      </c>
      <c r="L2275" t="str">
        <f>'Huong dan giao do an'!$B$31</f>
        <v>Bắt buộc: Charter/PMP; SRS + scope/WBS; Gantt/baseline; effort-cost budget; RACI/timesheet; quality-test-defect; communication/minutes; risk register; procurement; change log; closure/lessons learned.</v>
      </c>
      <c r="M2275" t="str">
        <f>'Huong dan giao do an'!$B$33</f>
        <v>Tuần 1: 07.09–13.09.2026; Tuần 2: 14.09–20.09.2026; Tuần 3: 21.09–27.09.2026; Tuần 4: 28.09–04.10.2026; Tuần 5: 05.10–11.10.2026; Tuần 6: 12.10–18.10.2026; Tuần 7: 19.10–25.10.2026; Tuần 8: 26.10–01.11.2026.</v>
      </c>
      <c r="N22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5" s="17" t="str">
        <f t="shared" si="35"/>
        <v>Còn trống</v>
      </c>
    </row>
    <row r="2276" spans="1:16" x14ac:dyDescent="0.3">
      <c r="A2276">
        <v>2275</v>
      </c>
      <c r="B2276" t="s">
        <v>5062</v>
      </c>
      <c r="C2276" t="s">
        <v>5239</v>
      </c>
      <c r="D2276" t="s">
        <v>5240</v>
      </c>
      <c r="E2276" t="s">
        <v>26</v>
      </c>
      <c r="F2276" t="s">
        <v>5084</v>
      </c>
      <c r="G2276" t="s">
        <v>5115</v>
      </c>
      <c r="H2276" t="str">
        <f>'Huong dan giao do an'!$B$14</f>
        <v>5 SV (vai trò chính): 1 PM/Scrum Master kiêm Integration; 2 BA/PO; 3 UI-UX + Frontend; 4 Backend/API + DevOps; 5 Database + QA/Tester. Mỗi SV có nhiệm vụ phụ và minh chứng cá nhân.</v>
      </c>
      <c r="I2276" t="s">
        <v>36</v>
      </c>
      <c r="J2276" t="s">
        <v>5077</v>
      </c>
      <c r="K2276" t="str">
        <f>IF(I2276="Trung bình",'Huong dan giao do an'!$B$8,IF(I2276="Khá",'Huong dan giao do an'!$B$9,'Huong dan giao do an'!$B$10))</f>
        <v>Tối thiểu 3 actor; 8-10 use case; 6-8 bảng dữ liệu; 2 quy trình lõi; đăng nhập/RBAC; 1 dashboard; 1 báo cáo; &gt;=25 test case; triển khai bản demo.</v>
      </c>
      <c r="L2276" t="str">
        <f>'Huong dan giao do an'!$B$31</f>
        <v>Bắt buộc: Charter/PMP; SRS + scope/WBS; Gantt/baseline; effort-cost budget; RACI/timesheet; quality-test-defect; communication/minutes; risk register; procurement; change log; closure/lessons learned.</v>
      </c>
      <c r="M2276" t="str">
        <f>'Huong dan giao do an'!$B$33</f>
        <v>Tuần 1: 07.09–13.09.2026; Tuần 2: 14.09–20.09.2026; Tuần 3: 21.09–27.09.2026; Tuần 4: 28.09–04.10.2026; Tuần 5: 05.10–11.10.2026; Tuần 6: 12.10–18.10.2026; Tuần 7: 19.10–25.10.2026; Tuần 8: 26.10–01.11.2026.</v>
      </c>
      <c r="N22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6" s="17" t="str">
        <f t="shared" si="35"/>
        <v>Còn trống</v>
      </c>
    </row>
    <row r="2277" spans="1:16" x14ac:dyDescent="0.3">
      <c r="A2277">
        <v>2276</v>
      </c>
      <c r="B2277" t="s">
        <v>5062</v>
      </c>
      <c r="C2277" t="s">
        <v>5241</v>
      </c>
      <c r="D2277" t="s">
        <v>5242</v>
      </c>
      <c r="E2277" t="s">
        <v>33</v>
      </c>
      <c r="F2277" t="s">
        <v>5065</v>
      </c>
      <c r="G2277" t="s">
        <v>5118</v>
      </c>
      <c r="H2277" t="str">
        <f>'Huong dan giao do an'!$B$14</f>
        <v>5 SV (vai trò chính): 1 PM/Scrum Master kiêm Integration; 2 BA/PO; 3 UI-UX + Frontend; 4 Backend/API + DevOps; 5 Database + QA/Tester. Mỗi SV có nhiệm vụ phụ và minh chứng cá nhân.</v>
      </c>
      <c r="I2277" t="s">
        <v>22</v>
      </c>
      <c r="J2277" t="s">
        <v>5067</v>
      </c>
      <c r="K2277" t="str">
        <f>IF(I2277="Trung bình",'Huong dan giao do an'!$B$8,IF(I2277="Khá",'Huong dan giao do an'!$B$9,'Huong dan giao do an'!$B$10))</f>
        <v>Tối thiểu 4 actor; 10-14 use case; 8-12 bảng; 3 quy trình lõi; phân quyền chi tiết; 2 báo cáo; tích hợp 1 dịch vụ; &gt;=35 test case; CI/CD hoặc deploy cloud.</v>
      </c>
      <c r="L2277" t="str">
        <f>'Huong dan giao do an'!$B$31</f>
        <v>Bắt buộc: Charter/PMP; SRS + scope/WBS; Gantt/baseline; effort-cost budget; RACI/timesheet; quality-test-defect; communication/minutes; risk register; procurement; change log; closure/lessons learned.</v>
      </c>
      <c r="M2277" t="str">
        <f>'Huong dan giao do an'!$B$33</f>
        <v>Tuần 1: 07.09–13.09.2026; Tuần 2: 14.09–20.09.2026; Tuần 3: 21.09–27.09.2026; Tuần 4: 28.09–04.10.2026; Tuần 5: 05.10–11.10.2026; Tuần 6: 12.10–18.10.2026; Tuần 7: 19.10–25.10.2026; Tuần 8: 26.10–01.11.2026.</v>
      </c>
      <c r="N22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7" s="17" t="str">
        <f t="shared" si="35"/>
        <v>Còn trống</v>
      </c>
    </row>
    <row r="2278" spans="1:16" x14ac:dyDescent="0.3">
      <c r="A2278">
        <v>2277</v>
      </c>
      <c r="B2278" t="s">
        <v>5062</v>
      </c>
      <c r="C2278" t="s">
        <v>5243</v>
      </c>
      <c r="D2278" t="s">
        <v>5244</v>
      </c>
      <c r="E2278" t="s">
        <v>40</v>
      </c>
      <c r="F2278" t="s">
        <v>5070</v>
      </c>
      <c r="G2278" t="s">
        <v>5121</v>
      </c>
      <c r="H2278" t="str">
        <f>'Huong dan giao do an'!$B$14</f>
        <v>5 SV (vai trò chính): 1 PM/Scrum Master kiêm Integration; 2 BA/PO; 3 UI-UX + Frontend; 4 Backend/API + DevOps; 5 Database + QA/Tester. Mỗi SV có nhiệm vụ phụ và minh chứng cá nhân.</v>
      </c>
      <c r="I2278" t="s">
        <v>29</v>
      </c>
      <c r="J2278" t="s">
        <v>5072</v>
      </c>
      <c r="K2278" t="str">
        <f>IF(I2278="Trung bình",'Huong dan giao do an'!$B$8,IF(I2278="Khá",'Huong dan giao do an'!$B$9,'Huong dan giao do an'!$B$10))</f>
        <v>Tối thiểu 5 actor; 14-18 use case; 10-15 bảng; 4 quy trình; tích hợp ngoài/realtime hoặc xử lý nâng cao; 3 báo cáo; &gt;=45 test case; logging, backup và deploy.</v>
      </c>
      <c r="L2278" t="str">
        <f>'Huong dan giao do an'!$B$31</f>
        <v>Bắt buộc: Charter/PMP; SRS + scope/WBS; Gantt/baseline; effort-cost budget; RACI/timesheet; quality-test-defect; communication/minutes; risk register; procurement; change log; closure/lessons learned.</v>
      </c>
      <c r="M2278" t="str">
        <f>'Huong dan giao do an'!$B$33</f>
        <v>Tuần 1: 07.09–13.09.2026; Tuần 2: 14.09–20.09.2026; Tuần 3: 21.09–27.09.2026; Tuần 4: 28.09–04.10.2026; Tuần 5: 05.10–11.10.2026; Tuần 6: 12.10–18.10.2026; Tuần 7: 19.10–25.10.2026; Tuần 8: 26.10–01.11.2026.</v>
      </c>
      <c r="N22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8" s="17" t="str">
        <f t="shared" si="35"/>
        <v>Còn trống</v>
      </c>
    </row>
    <row r="2279" spans="1:16" x14ac:dyDescent="0.3">
      <c r="A2279">
        <v>2278</v>
      </c>
      <c r="B2279" t="s">
        <v>5062</v>
      </c>
      <c r="C2279" t="s">
        <v>5245</v>
      </c>
      <c r="D2279" t="s">
        <v>5246</v>
      </c>
      <c r="E2279" t="s">
        <v>45</v>
      </c>
      <c r="F2279" t="s">
        <v>5075</v>
      </c>
      <c r="G2279" t="s">
        <v>5124</v>
      </c>
      <c r="H2279" t="str">
        <f>'Huong dan giao do an'!$B$14</f>
        <v>5 SV (vai trò chính): 1 PM/Scrum Master kiêm Integration; 2 BA/PO; 3 UI-UX + Frontend; 4 Backend/API + DevOps; 5 Database + QA/Tester. Mỗi SV có nhiệm vụ phụ và minh chứng cá nhân.</v>
      </c>
      <c r="I2279" t="s">
        <v>36</v>
      </c>
      <c r="J2279" t="s">
        <v>5077</v>
      </c>
      <c r="K2279" t="str">
        <f>IF(I2279="Trung bình",'Huong dan giao do an'!$B$8,IF(I2279="Khá",'Huong dan giao do an'!$B$9,'Huong dan giao do an'!$B$10))</f>
        <v>Tối thiểu 3 actor; 8-10 use case; 6-8 bảng dữ liệu; 2 quy trình lõi; đăng nhập/RBAC; 1 dashboard; 1 báo cáo; &gt;=25 test case; triển khai bản demo.</v>
      </c>
      <c r="L2279" t="str">
        <f>'Huong dan giao do an'!$B$31</f>
        <v>Bắt buộc: Charter/PMP; SRS + scope/WBS; Gantt/baseline; effort-cost budget; RACI/timesheet; quality-test-defect; communication/minutes; risk register; procurement; change log; closure/lessons learned.</v>
      </c>
      <c r="M2279" t="str">
        <f>'Huong dan giao do an'!$B$33</f>
        <v>Tuần 1: 07.09–13.09.2026; Tuần 2: 14.09–20.09.2026; Tuần 3: 21.09–27.09.2026; Tuần 4: 28.09–04.10.2026; Tuần 5: 05.10–11.10.2026; Tuần 6: 12.10–18.10.2026; Tuần 7: 19.10–25.10.2026; Tuần 8: 26.10–01.11.2026.</v>
      </c>
      <c r="N22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79" s="17" t="str">
        <f t="shared" si="35"/>
        <v>Còn trống</v>
      </c>
    </row>
    <row r="2280" spans="1:16" x14ac:dyDescent="0.3">
      <c r="A2280">
        <v>2279</v>
      </c>
      <c r="B2280" t="s">
        <v>5062</v>
      </c>
      <c r="C2280" t="s">
        <v>5247</v>
      </c>
      <c r="D2280" t="s">
        <v>5248</v>
      </c>
      <c r="E2280" t="s">
        <v>19</v>
      </c>
      <c r="F2280" t="s">
        <v>5080</v>
      </c>
      <c r="G2280" t="s">
        <v>5127</v>
      </c>
      <c r="H2280" t="str">
        <f>'Huong dan giao do an'!$B$14</f>
        <v>5 SV (vai trò chính): 1 PM/Scrum Master kiêm Integration; 2 BA/PO; 3 UI-UX + Frontend; 4 Backend/API + DevOps; 5 Database + QA/Tester. Mỗi SV có nhiệm vụ phụ và minh chứng cá nhân.</v>
      </c>
      <c r="I2280" t="s">
        <v>22</v>
      </c>
      <c r="J2280" t="s">
        <v>5067</v>
      </c>
      <c r="K2280" t="str">
        <f>IF(I2280="Trung bình",'Huong dan giao do an'!$B$8,IF(I2280="Khá",'Huong dan giao do an'!$B$9,'Huong dan giao do an'!$B$10))</f>
        <v>Tối thiểu 4 actor; 10-14 use case; 8-12 bảng; 3 quy trình lõi; phân quyền chi tiết; 2 báo cáo; tích hợp 1 dịch vụ; &gt;=35 test case; CI/CD hoặc deploy cloud.</v>
      </c>
      <c r="L2280" t="str">
        <f>'Huong dan giao do an'!$B$31</f>
        <v>Bắt buộc: Charter/PMP; SRS + scope/WBS; Gantt/baseline; effort-cost budget; RACI/timesheet; quality-test-defect; communication/minutes; risk register; procurement; change log; closure/lessons learned.</v>
      </c>
      <c r="M2280" t="str">
        <f>'Huong dan giao do an'!$B$33</f>
        <v>Tuần 1: 07.09–13.09.2026; Tuần 2: 14.09–20.09.2026; Tuần 3: 21.09–27.09.2026; Tuần 4: 28.09–04.10.2026; Tuần 5: 05.10–11.10.2026; Tuần 6: 12.10–18.10.2026; Tuần 7: 19.10–25.10.2026; Tuần 8: 26.10–01.11.2026.</v>
      </c>
      <c r="N22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0" s="17" t="str">
        <f t="shared" si="35"/>
        <v>Còn trống</v>
      </c>
    </row>
    <row r="2281" spans="1:16" x14ac:dyDescent="0.3">
      <c r="A2281">
        <v>2280</v>
      </c>
      <c r="B2281" t="s">
        <v>5062</v>
      </c>
      <c r="C2281" t="s">
        <v>5249</v>
      </c>
      <c r="D2281" t="s">
        <v>5250</v>
      </c>
      <c r="E2281" t="s">
        <v>26</v>
      </c>
      <c r="F2281" t="s">
        <v>5084</v>
      </c>
      <c r="G2281" t="s">
        <v>5130</v>
      </c>
      <c r="H2281" t="str">
        <f>'Huong dan giao do an'!$B$14</f>
        <v>5 SV (vai trò chính): 1 PM/Scrum Master kiêm Integration; 2 BA/PO; 3 UI-UX + Frontend; 4 Backend/API + DevOps; 5 Database + QA/Tester. Mỗi SV có nhiệm vụ phụ và minh chứng cá nhân.</v>
      </c>
      <c r="I2281" t="s">
        <v>29</v>
      </c>
      <c r="J2281" t="s">
        <v>5072</v>
      </c>
      <c r="K2281" t="str">
        <f>IF(I2281="Trung bình",'Huong dan giao do an'!$B$8,IF(I2281="Khá",'Huong dan giao do an'!$B$9,'Huong dan giao do an'!$B$10))</f>
        <v>Tối thiểu 5 actor; 14-18 use case; 10-15 bảng; 4 quy trình; tích hợp ngoài/realtime hoặc xử lý nâng cao; 3 báo cáo; &gt;=45 test case; logging, backup và deploy.</v>
      </c>
      <c r="L2281" t="str">
        <f>'Huong dan giao do an'!$B$31</f>
        <v>Bắt buộc: Charter/PMP; SRS + scope/WBS; Gantt/baseline; effort-cost budget; RACI/timesheet; quality-test-defect; communication/minutes; risk register; procurement; change log; closure/lessons learned.</v>
      </c>
      <c r="M2281" t="str">
        <f>'Huong dan giao do an'!$B$33</f>
        <v>Tuần 1: 07.09–13.09.2026; Tuần 2: 14.09–20.09.2026; Tuần 3: 21.09–27.09.2026; Tuần 4: 28.09–04.10.2026; Tuần 5: 05.10–11.10.2026; Tuần 6: 12.10–18.10.2026; Tuần 7: 19.10–25.10.2026; Tuần 8: 26.10–01.11.2026.</v>
      </c>
      <c r="N22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1" s="17" t="str">
        <f t="shared" si="35"/>
        <v>Còn trống</v>
      </c>
    </row>
    <row r="2282" spans="1:16" x14ac:dyDescent="0.3">
      <c r="A2282">
        <v>2281</v>
      </c>
      <c r="B2282" t="s">
        <v>5062</v>
      </c>
      <c r="C2282" t="s">
        <v>5251</v>
      </c>
      <c r="D2282" t="s">
        <v>5252</v>
      </c>
      <c r="E2282" t="s">
        <v>33</v>
      </c>
      <c r="F2282" t="s">
        <v>5065</v>
      </c>
      <c r="G2282" t="s">
        <v>5066</v>
      </c>
      <c r="H2282" t="str">
        <f>'Huong dan giao do an'!$B$14</f>
        <v>5 SV (vai trò chính): 1 PM/Scrum Master kiêm Integration; 2 BA/PO; 3 UI-UX + Frontend; 4 Backend/API + DevOps; 5 Database + QA/Tester. Mỗi SV có nhiệm vụ phụ và minh chứng cá nhân.</v>
      </c>
      <c r="I2282" t="s">
        <v>22</v>
      </c>
      <c r="J2282" t="s">
        <v>5067</v>
      </c>
      <c r="K2282" t="str">
        <f>IF(I2282="Trung bình",'Huong dan giao do an'!$B$8,IF(I2282="Khá",'Huong dan giao do an'!$B$9,'Huong dan giao do an'!$B$10))</f>
        <v>Tối thiểu 4 actor; 10-14 use case; 8-12 bảng; 3 quy trình lõi; phân quyền chi tiết; 2 báo cáo; tích hợp 1 dịch vụ; &gt;=35 test case; CI/CD hoặc deploy cloud.</v>
      </c>
      <c r="L2282" t="str">
        <f>'Huong dan giao do an'!$B$31</f>
        <v>Bắt buộc: Charter/PMP; SRS + scope/WBS; Gantt/baseline; effort-cost budget; RACI/timesheet; quality-test-defect; communication/minutes; risk register; procurement; change log; closure/lessons learned.</v>
      </c>
      <c r="M2282" t="str">
        <f>'Huong dan giao do an'!$B$33</f>
        <v>Tuần 1: 07.09–13.09.2026; Tuần 2: 14.09–20.09.2026; Tuần 3: 21.09–27.09.2026; Tuần 4: 28.09–04.10.2026; Tuần 5: 05.10–11.10.2026; Tuần 6: 12.10–18.10.2026; Tuần 7: 19.10–25.10.2026; Tuần 8: 26.10–01.11.2026.</v>
      </c>
      <c r="N22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2" s="17" t="str">
        <f t="shared" si="35"/>
        <v>Còn trống</v>
      </c>
    </row>
    <row r="2283" spans="1:16" x14ac:dyDescent="0.3">
      <c r="A2283">
        <v>2282</v>
      </c>
      <c r="B2283" t="s">
        <v>5062</v>
      </c>
      <c r="C2283" t="s">
        <v>5253</v>
      </c>
      <c r="D2283" t="s">
        <v>5254</v>
      </c>
      <c r="E2283" t="s">
        <v>40</v>
      </c>
      <c r="F2283" t="s">
        <v>5070</v>
      </c>
      <c r="G2283" t="s">
        <v>5071</v>
      </c>
      <c r="H2283" t="str">
        <f>'Huong dan giao do an'!$B$14</f>
        <v>5 SV (vai trò chính): 1 PM/Scrum Master kiêm Integration; 2 BA/PO; 3 UI-UX + Frontend; 4 Backend/API + DevOps; 5 Database + QA/Tester. Mỗi SV có nhiệm vụ phụ và minh chứng cá nhân.</v>
      </c>
      <c r="I2283" t="s">
        <v>29</v>
      </c>
      <c r="J2283" t="s">
        <v>5072</v>
      </c>
      <c r="K2283" t="str">
        <f>IF(I2283="Trung bình",'Huong dan giao do an'!$B$8,IF(I2283="Khá",'Huong dan giao do an'!$B$9,'Huong dan giao do an'!$B$10))</f>
        <v>Tối thiểu 5 actor; 14-18 use case; 10-15 bảng; 4 quy trình; tích hợp ngoài/realtime hoặc xử lý nâng cao; 3 báo cáo; &gt;=45 test case; logging, backup và deploy.</v>
      </c>
      <c r="L2283" t="str">
        <f>'Huong dan giao do an'!$B$31</f>
        <v>Bắt buộc: Charter/PMP; SRS + scope/WBS; Gantt/baseline; effort-cost budget; RACI/timesheet; quality-test-defect; communication/minutes; risk register; procurement; change log; closure/lessons learned.</v>
      </c>
      <c r="M2283" t="str">
        <f>'Huong dan giao do an'!$B$33</f>
        <v>Tuần 1: 07.09–13.09.2026; Tuần 2: 14.09–20.09.2026; Tuần 3: 21.09–27.09.2026; Tuần 4: 28.09–04.10.2026; Tuần 5: 05.10–11.10.2026; Tuần 6: 12.10–18.10.2026; Tuần 7: 19.10–25.10.2026; Tuần 8: 26.10–01.11.2026.</v>
      </c>
      <c r="N22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3" s="17" t="str">
        <f t="shared" si="35"/>
        <v>Còn trống</v>
      </c>
    </row>
    <row r="2284" spans="1:16" x14ac:dyDescent="0.3">
      <c r="A2284">
        <v>2283</v>
      </c>
      <c r="B2284" t="s">
        <v>5062</v>
      </c>
      <c r="C2284" t="s">
        <v>5255</v>
      </c>
      <c r="D2284" t="s">
        <v>5256</v>
      </c>
      <c r="E2284" t="s">
        <v>45</v>
      </c>
      <c r="F2284" t="s">
        <v>5075</v>
      </c>
      <c r="G2284" t="s">
        <v>5076</v>
      </c>
      <c r="H2284" t="str">
        <f>'Huong dan giao do an'!$B$14</f>
        <v>5 SV (vai trò chính): 1 PM/Scrum Master kiêm Integration; 2 BA/PO; 3 UI-UX + Frontend; 4 Backend/API + DevOps; 5 Database + QA/Tester. Mỗi SV có nhiệm vụ phụ và minh chứng cá nhân.</v>
      </c>
      <c r="I2284" t="s">
        <v>36</v>
      </c>
      <c r="J2284" t="s">
        <v>5077</v>
      </c>
      <c r="K2284" t="str">
        <f>IF(I2284="Trung bình",'Huong dan giao do an'!$B$8,IF(I2284="Khá",'Huong dan giao do an'!$B$9,'Huong dan giao do an'!$B$10))</f>
        <v>Tối thiểu 3 actor; 8-10 use case; 6-8 bảng dữ liệu; 2 quy trình lõi; đăng nhập/RBAC; 1 dashboard; 1 báo cáo; &gt;=25 test case; triển khai bản demo.</v>
      </c>
      <c r="L2284" t="str">
        <f>'Huong dan giao do an'!$B$31</f>
        <v>Bắt buộc: Charter/PMP; SRS + scope/WBS; Gantt/baseline; effort-cost budget; RACI/timesheet; quality-test-defect; communication/minutes; risk register; procurement; change log; closure/lessons learned.</v>
      </c>
      <c r="M2284" t="str">
        <f>'Huong dan giao do an'!$B$33</f>
        <v>Tuần 1: 07.09–13.09.2026; Tuần 2: 14.09–20.09.2026; Tuần 3: 21.09–27.09.2026; Tuần 4: 28.09–04.10.2026; Tuần 5: 05.10–11.10.2026; Tuần 6: 12.10–18.10.2026; Tuần 7: 19.10–25.10.2026; Tuần 8: 26.10–01.11.2026.</v>
      </c>
      <c r="N22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4" s="17" t="str">
        <f t="shared" si="35"/>
        <v>Còn trống</v>
      </c>
    </row>
    <row r="2285" spans="1:16" x14ac:dyDescent="0.3">
      <c r="A2285">
        <v>2284</v>
      </c>
      <c r="B2285" t="s">
        <v>5062</v>
      </c>
      <c r="C2285" t="s">
        <v>5257</v>
      </c>
      <c r="D2285" t="s">
        <v>5258</v>
      </c>
      <c r="E2285" t="s">
        <v>19</v>
      </c>
      <c r="F2285" t="s">
        <v>5080</v>
      </c>
      <c r="G2285" t="s">
        <v>5081</v>
      </c>
      <c r="H2285" t="str">
        <f>'Huong dan giao do an'!$B$14</f>
        <v>5 SV (vai trò chính): 1 PM/Scrum Master kiêm Integration; 2 BA/PO; 3 UI-UX + Frontend; 4 Backend/API + DevOps; 5 Database + QA/Tester. Mỗi SV có nhiệm vụ phụ và minh chứng cá nhân.</v>
      </c>
      <c r="I2285" t="s">
        <v>22</v>
      </c>
      <c r="J2285" t="s">
        <v>5067</v>
      </c>
      <c r="K2285" t="str">
        <f>IF(I2285="Trung bình",'Huong dan giao do an'!$B$8,IF(I2285="Khá",'Huong dan giao do an'!$B$9,'Huong dan giao do an'!$B$10))</f>
        <v>Tối thiểu 4 actor; 10-14 use case; 8-12 bảng; 3 quy trình lõi; phân quyền chi tiết; 2 báo cáo; tích hợp 1 dịch vụ; &gt;=35 test case; CI/CD hoặc deploy cloud.</v>
      </c>
      <c r="L2285" t="str">
        <f>'Huong dan giao do an'!$B$31</f>
        <v>Bắt buộc: Charter/PMP; SRS + scope/WBS; Gantt/baseline; effort-cost budget; RACI/timesheet; quality-test-defect; communication/minutes; risk register; procurement; change log; closure/lessons learned.</v>
      </c>
      <c r="M2285" t="str">
        <f>'Huong dan giao do an'!$B$33</f>
        <v>Tuần 1: 07.09–13.09.2026; Tuần 2: 14.09–20.09.2026; Tuần 3: 21.09–27.09.2026; Tuần 4: 28.09–04.10.2026; Tuần 5: 05.10–11.10.2026; Tuần 6: 12.10–18.10.2026; Tuần 7: 19.10–25.10.2026; Tuần 8: 26.10–01.11.2026.</v>
      </c>
      <c r="N22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5" s="17" t="str">
        <f t="shared" si="35"/>
        <v>Còn trống</v>
      </c>
    </row>
    <row r="2286" spans="1:16" x14ac:dyDescent="0.3">
      <c r="A2286">
        <v>2285</v>
      </c>
      <c r="B2286" t="s">
        <v>5062</v>
      </c>
      <c r="C2286" t="s">
        <v>5259</v>
      </c>
      <c r="D2286" t="s">
        <v>5260</v>
      </c>
      <c r="E2286" t="s">
        <v>26</v>
      </c>
      <c r="F2286" t="s">
        <v>5084</v>
      </c>
      <c r="G2286" t="s">
        <v>5085</v>
      </c>
      <c r="H2286" t="str">
        <f>'Huong dan giao do an'!$B$14</f>
        <v>5 SV (vai trò chính): 1 PM/Scrum Master kiêm Integration; 2 BA/PO; 3 UI-UX + Frontend; 4 Backend/API + DevOps; 5 Database + QA/Tester. Mỗi SV có nhiệm vụ phụ và minh chứng cá nhân.</v>
      </c>
      <c r="I2286" t="s">
        <v>29</v>
      </c>
      <c r="J2286" t="s">
        <v>5072</v>
      </c>
      <c r="K2286" t="str">
        <f>IF(I2286="Trung bình",'Huong dan giao do an'!$B$8,IF(I2286="Khá",'Huong dan giao do an'!$B$9,'Huong dan giao do an'!$B$10))</f>
        <v>Tối thiểu 5 actor; 14-18 use case; 10-15 bảng; 4 quy trình; tích hợp ngoài/realtime hoặc xử lý nâng cao; 3 báo cáo; &gt;=45 test case; logging, backup và deploy.</v>
      </c>
      <c r="L2286" t="str">
        <f>'Huong dan giao do an'!$B$31</f>
        <v>Bắt buộc: Charter/PMP; SRS + scope/WBS; Gantt/baseline; effort-cost budget; RACI/timesheet; quality-test-defect; communication/minutes; risk register; procurement; change log; closure/lessons learned.</v>
      </c>
      <c r="M2286" t="str">
        <f>'Huong dan giao do an'!$B$33</f>
        <v>Tuần 1: 07.09–13.09.2026; Tuần 2: 14.09–20.09.2026; Tuần 3: 21.09–27.09.2026; Tuần 4: 28.09–04.10.2026; Tuần 5: 05.10–11.10.2026; Tuần 6: 12.10–18.10.2026; Tuần 7: 19.10–25.10.2026; Tuần 8: 26.10–01.11.2026.</v>
      </c>
      <c r="N22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6" s="17" t="str">
        <f t="shared" si="35"/>
        <v>Còn trống</v>
      </c>
    </row>
    <row r="2287" spans="1:16" x14ac:dyDescent="0.3">
      <c r="A2287">
        <v>2286</v>
      </c>
      <c r="B2287" t="s">
        <v>5062</v>
      </c>
      <c r="C2287" t="s">
        <v>5261</v>
      </c>
      <c r="D2287" t="s">
        <v>5262</v>
      </c>
      <c r="E2287" t="s">
        <v>33</v>
      </c>
      <c r="F2287" t="s">
        <v>5065</v>
      </c>
      <c r="G2287" t="s">
        <v>5088</v>
      </c>
      <c r="H2287" t="str">
        <f>'Huong dan giao do an'!$B$14</f>
        <v>5 SV (vai trò chính): 1 PM/Scrum Master kiêm Integration; 2 BA/PO; 3 UI-UX + Frontend; 4 Backend/API + DevOps; 5 Database + QA/Tester. Mỗi SV có nhiệm vụ phụ và minh chứng cá nhân.</v>
      </c>
      <c r="I2287" t="s">
        <v>36</v>
      </c>
      <c r="J2287" t="s">
        <v>5077</v>
      </c>
      <c r="K2287" t="str">
        <f>IF(I2287="Trung bình",'Huong dan giao do an'!$B$8,IF(I2287="Khá",'Huong dan giao do an'!$B$9,'Huong dan giao do an'!$B$10))</f>
        <v>Tối thiểu 3 actor; 8-10 use case; 6-8 bảng dữ liệu; 2 quy trình lõi; đăng nhập/RBAC; 1 dashboard; 1 báo cáo; &gt;=25 test case; triển khai bản demo.</v>
      </c>
      <c r="L2287" t="str">
        <f>'Huong dan giao do an'!$B$31</f>
        <v>Bắt buộc: Charter/PMP; SRS + scope/WBS; Gantt/baseline; effort-cost budget; RACI/timesheet; quality-test-defect; communication/minutes; risk register; procurement; change log; closure/lessons learned.</v>
      </c>
      <c r="M2287" t="str">
        <f>'Huong dan giao do an'!$B$33</f>
        <v>Tuần 1: 07.09–13.09.2026; Tuần 2: 14.09–20.09.2026; Tuần 3: 21.09–27.09.2026; Tuần 4: 28.09–04.10.2026; Tuần 5: 05.10–11.10.2026; Tuần 6: 12.10–18.10.2026; Tuần 7: 19.10–25.10.2026; Tuần 8: 26.10–01.11.2026.</v>
      </c>
      <c r="N22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7" s="17" t="str">
        <f t="shared" si="35"/>
        <v>Còn trống</v>
      </c>
    </row>
    <row r="2288" spans="1:16" x14ac:dyDescent="0.3">
      <c r="A2288">
        <v>2287</v>
      </c>
      <c r="B2288" t="s">
        <v>5062</v>
      </c>
      <c r="C2288" t="s">
        <v>5263</v>
      </c>
      <c r="D2288" t="s">
        <v>5264</v>
      </c>
      <c r="E2288" t="s">
        <v>40</v>
      </c>
      <c r="F2288" t="s">
        <v>5070</v>
      </c>
      <c r="G2288" t="s">
        <v>5091</v>
      </c>
      <c r="H2288" t="str">
        <f>'Huong dan giao do an'!$B$14</f>
        <v>5 SV (vai trò chính): 1 PM/Scrum Master kiêm Integration; 2 BA/PO; 3 UI-UX + Frontend; 4 Backend/API + DevOps; 5 Database + QA/Tester. Mỗi SV có nhiệm vụ phụ và minh chứng cá nhân.</v>
      </c>
      <c r="I2288" t="s">
        <v>22</v>
      </c>
      <c r="J2288" t="s">
        <v>5067</v>
      </c>
      <c r="K2288" t="str">
        <f>IF(I2288="Trung bình",'Huong dan giao do an'!$B$8,IF(I2288="Khá",'Huong dan giao do an'!$B$9,'Huong dan giao do an'!$B$10))</f>
        <v>Tối thiểu 4 actor; 10-14 use case; 8-12 bảng; 3 quy trình lõi; phân quyền chi tiết; 2 báo cáo; tích hợp 1 dịch vụ; &gt;=35 test case; CI/CD hoặc deploy cloud.</v>
      </c>
      <c r="L2288" t="str">
        <f>'Huong dan giao do an'!$B$31</f>
        <v>Bắt buộc: Charter/PMP; SRS + scope/WBS; Gantt/baseline; effort-cost budget; RACI/timesheet; quality-test-defect; communication/minutes; risk register; procurement; change log; closure/lessons learned.</v>
      </c>
      <c r="M2288" t="str">
        <f>'Huong dan giao do an'!$B$33</f>
        <v>Tuần 1: 07.09–13.09.2026; Tuần 2: 14.09–20.09.2026; Tuần 3: 21.09–27.09.2026; Tuần 4: 28.09–04.10.2026; Tuần 5: 05.10–11.10.2026; Tuần 6: 12.10–18.10.2026; Tuần 7: 19.10–25.10.2026; Tuần 8: 26.10–01.11.2026.</v>
      </c>
      <c r="N22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8" s="17" t="str">
        <f t="shared" si="35"/>
        <v>Còn trống</v>
      </c>
    </row>
    <row r="2289" spans="1:16" x14ac:dyDescent="0.3">
      <c r="A2289">
        <v>2288</v>
      </c>
      <c r="B2289" t="s">
        <v>5062</v>
      </c>
      <c r="C2289" t="s">
        <v>5265</v>
      </c>
      <c r="D2289" t="s">
        <v>5266</v>
      </c>
      <c r="E2289" t="s">
        <v>45</v>
      </c>
      <c r="F2289" t="s">
        <v>5075</v>
      </c>
      <c r="G2289" t="s">
        <v>5094</v>
      </c>
      <c r="H2289" t="str">
        <f>'Huong dan giao do an'!$B$14</f>
        <v>5 SV (vai trò chính): 1 PM/Scrum Master kiêm Integration; 2 BA/PO; 3 UI-UX + Frontend; 4 Backend/API + DevOps; 5 Database + QA/Tester. Mỗi SV có nhiệm vụ phụ và minh chứng cá nhân.</v>
      </c>
      <c r="I2289" t="s">
        <v>29</v>
      </c>
      <c r="J2289" t="s">
        <v>5072</v>
      </c>
      <c r="K2289" t="str">
        <f>IF(I2289="Trung bình",'Huong dan giao do an'!$B$8,IF(I2289="Khá",'Huong dan giao do an'!$B$9,'Huong dan giao do an'!$B$10))</f>
        <v>Tối thiểu 5 actor; 14-18 use case; 10-15 bảng; 4 quy trình; tích hợp ngoài/realtime hoặc xử lý nâng cao; 3 báo cáo; &gt;=45 test case; logging, backup và deploy.</v>
      </c>
      <c r="L2289" t="str">
        <f>'Huong dan giao do an'!$B$31</f>
        <v>Bắt buộc: Charter/PMP; SRS + scope/WBS; Gantt/baseline; effort-cost budget; RACI/timesheet; quality-test-defect; communication/minutes; risk register; procurement; change log; closure/lessons learned.</v>
      </c>
      <c r="M2289" t="str">
        <f>'Huong dan giao do an'!$B$33</f>
        <v>Tuần 1: 07.09–13.09.2026; Tuần 2: 14.09–20.09.2026; Tuần 3: 21.09–27.09.2026; Tuần 4: 28.09–04.10.2026; Tuần 5: 05.10–11.10.2026; Tuần 6: 12.10–18.10.2026; Tuần 7: 19.10–25.10.2026; Tuần 8: 26.10–01.11.2026.</v>
      </c>
      <c r="N22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89" s="17" t="str">
        <f t="shared" si="35"/>
        <v>Còn trống</v>
      </c>
    </row>
    <row r="2290" spans="1:16" x14ac:dyDescent="0.3">
      <c r="A2290">
        <v>2289</v>
      </c>
      <c r="B2290" t="s">
        <v>5062</v>
      </c>
      <c r="C2290" t="s">
        <v>5267</v>
      </c>
      <c r="D2290" t="s">
        <v>5268</v>
      </c>
      <c r="E2290" t="s">
        <v>19</v>
      </c>
      <c r="F2290" t="s">
        <v>5080</v>
      </c>
      <c r="G2290" t="s">
        <v>5097</v>
      </c>
      <c r="H2290" t="str">
        <f>'Huong dan giao do an'!$B$14</f>
        <v>5 SV (vai trò chính): 1 PM/Scrum Master kiêm Integration; 2 BA/PO; 3 UI-UX + Frontend; 4 Backend/API + DevOps; 5 Database + QA/Tester. Mỗi SV có nhiệm vụ phụ và minh chứng cá nhân.</v>
      </c>
      <c r="I2290" t="s">
        <v>36</v>
      </c>
      <c r="J2290" t="s">
        <v>5077</v>
      </c>
      <c r="K2290" t="str">
        <f>IF(I2290="Trung bình",'Huong dan giao do an'!$B$8,IF(I2290="Khá",'Huong dan giao do an'!$B$9,'Huong dan giao do an'!$B$10))</f>
        <v>Tối thiểu 3 actor; 8-10 use case; 6-8 bảng dữ liệu; 2 quy trình lõi; đăng nhập/RBAC; 1 dashboard; 1 báo cáo; &gt;=25 test case; triển khai bản demo.</v>
      </c>
      <c r="L2290" t="str">
        <f>'Huong dan giao do an'!$B$31</f>
        <v>Bắt buộc: Charter/PMP; SRS + scope/WBS; Gantt/baseline; effort-cost budget; RACI/timesheet; quality-test-defect; communication/minutes; risk register; procurement; change log; closure/lessons learned.</v>
      </c>
      <c r="M2290" t="str">
        <f>'Huong dan giao do an'!$B$33</f>
        <v>Tuần 1: 07.09–13.09.2026; Tuần 2: 14.09–20.09.2026; Tuần 3: 21.09–27.09.2026; Tuần 4: 28.09–04.10.2026; Tuần 5: 05.10–11.10.2026; Tuần 6: 12.10–18.10.2026; Tuần 7: 19.10–25.10.2026; Tuần 8: 26.10–01.11.2026.</v>
      </c>
      <c r="N22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0" s="17" t="str">
        <f t="shared" si="35"/>
        <v>Còn trống</v>
      </c>
    </row>
    <row r="2291" spans="1:16" x14ac:dyDescent="0.3">
      <c r="A2291">
        <v>2290</v>
      </c>
      <c r="B2291" t="s">
        <v>5062</v>
      </c>
      <c r="C2291" t="s">
        <v>5269</v>
      </c>
      <c r="D2291" t="s">
        <v>5270</v>
      </c>
      <c r="E2291" t="s">
        <v>26</v>
      </c>
      <c r="F2291" t="s">
        <v>5084</v>
      </c>
      <c r="G2291" t="s">
        <v>5100</v>
      </c>
      <c r="H2291" t="str">
        <f>'Huong dan giao do an'!$B$14</f>
        <v>5 SV (vai trò chính): 1 PM/Scrum Master kiêm Integration; 2 BA/PO; 3 UI-UX + Frontend; 4 Backend/API + DevOps; 5 Database + QA/Tester. Mỗi SV có nhiệm vụ phụ và minh chứng cá nhân.</v>
      </c>
      <c r="I2291" t="s">
        <v>22</v>
      </c>
      <c r="J2291" t="s">
        <v>5067</v>
      </c>
      <c r="K2291" t="str">
        <f>IF(I2291="Trung bình",'Huong dan giao do an'!$B$8,IF(I2291="Khá",'Huong dan giao do an'!$B$9,'Huong dan giao do an'!$B$10))</f>
        <v>Tối thiểu 4 actor; 10-14 use case; 8-12 bảng; 3 quy trình lõi; phân quyền chi tiết; 2 báo cáo; tích hợp 1 dịch vụ; &gt;=35 test case; CI/CD hoặc deploy cloud.</v>
      </c>
      <c r="L2291" t="str">
        <f>'Huong dan giao do an'!$B$31</f>
        <v>Bắt buộc: Charter/PMP; SRS + scope/WBS; Gantt/baseline; effort-cost budget; RACI/timesheet; quality-test-defect; communication/minutes; risk register; procurement; change log; closure/lessons learned.</v>
      </c>
      <c r="M2291" t="str">
        <f>'Huong dan giao do an'!$B$33</f>
        <v>Tuần 1: 07.09–13.09.2026; Tuần 2: 14.09–20.09.2026; Tuần 3: 21.09–27.09.2026; Tuần 4: 28.09–04.10.2026; Tuần 5: 05.10–11.10.2026; Tuần 6: 12.10–18.10.2026; Tuần 7: 19.10–25.10.2026; Tuần 8: 26.10–01.11.2026.</v>
      </c>
      <c r="N22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1" s="17" t="str">
        <f t="shared" si="35"/>
        <v>Còn trống</v>
      </c>
    </row>
    <row r="2292" spans="1:16" x14ac:dyDescent="0.3">
      <c r="A2292">
        <v>2291</v>
      </c>
      <c r="B2292" t="s">
        <v>5062</v>
      </c>
      <c r="C2292" t="s">
        <v>5271</v>
      </c>
      <c r="D2292" t="s">
        <v>5272</v>
      </c>
      <c r="E2292" t="s">
        <v>33</v>
      </c>
      <c r="F2292" t="s">
        <v>5065</v>
      </c>
      <c r="G2292" t="s">
        <v>5103</v>
      </c>
      <c r="H2292" t="str">
        <f>'Huong dan giao do an'!$B$14</f>
        <v>5 SV (vai trò chính): 1 PM/Scrum Master kiêm Integration; 2 BA/PO; 3 UI-UX + Frontend; 4 Backend/API + DevOps; 5 Database + QA/Tester. Mỗi SV có nhiệm vụ phụ và minh chứng cá nhân.</v>
      </c>
      <c r="I2292" t="s">
        <v>29</v>
      </c>
      <c r="J2292" t="s">
        <v>5072</v>
      </c>
      <c r="K2292" t="str">
        <f>IF(I2292="Trung bình",'Huong dan giao do an'!$B$8,IF(I2292="Khá",'Huong dan giao do an'!$B$9,'Huong dan giao do an'!$B$10))</f>
        <v>Tối thiểu 5 actor; 14-18 use case; 10-15 bảng; 4 quy trình; tích hợp ngoài/realtime hoặc xử lý nâng cao; 3 báo cáo; &gt;=45 test case; logging, backup và deploy.</v>
      </c>
      <c r="L2292" t="str">
        <f>'Huong dan giao do an'!$B$31</f>
        <v>Bắt buộc: Charter/PMP; SRS + scope/WBS; Gantt/baseline; effort-cost budget; RACI/timesheet; quality-test-defect; communication/minutes; risk register; procurement; change log; closure/lessons learned.</v>
      </c>
      <c r="M2292" t="str">
        <f>'Huong dan giao do an'!$B$33</f>
        <v>Tuần 1: 07.09–13.09.2026; Tuần 2: 14.09–20.09.2026; Tuần 3: 21.09–27.09.2026; Tuần 4: 28.09–04.10.2026; Tuần 5: 05.10–11.10.2026; Tuần 6: 12.10–18.10.2026; Tuần 7: 19.10–25.10.2026; Tuần 8: 26.10–01.11.2026.</v>
      </c>
      <c r="N22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2" s="17" t="str">
        <f t="shared" si="35"/>
        <v>Còn trống</v>
      </c>
    </row>
    <row r="2293" spans="1:16" x14ac:dyDescent="0.3">
      <c r="A2293">
        <v>2292</v>
      </c>
      <c r="B2293" t="s">
        <v>5062</v>
      </c>
      <c r="C2293" t="s">
        <v>5273</v>
      </c>
      <c r="D2293" t="s">
        <v>5274</v>
      </c>
      <c r="E2293" t="s">
        <v>40</v>
      </c>
      <c r="F2293" t="s">
        <v>5070</v>
      </c>
      <c r="G2293" t="s">
        <v>5106</v>
      </c>
      <c r="H2293" t="str">
        <f>'Huong dan giao do an'!$B$14</f>
        <v>5 SV (vai trò chính): 1 PM/Scrum Master kiêm Integration; 2 BA/PO; 3 UI-UX + Frontend; 4 Backend/API + DevOps; 5 Database + QA/Tester. Mỗi SV có nhiệm vụ phụ và minh chứng cá nhân.</v>
      </c>
      <c r="I2293" t="s">
        <v>36</v>
      </c>
      <c r="J2293" t="s">
        <v>5077</v>
      </c>
      <c r="K2293" t="str">
        <f>IF(I2293="Trung bình",'Huong dan giao do an'!$B$8,IF(I2293="Khá",'Huong dan giao do an'!$B$9,'Huong dan giao do an'!$B$10))</f>
        <v>Tối thiểu 3 actor; 8-10 use case; 6-8 bảng dữ liệu; 2 quy trình lõi; đăng nhập/RBAC; 1 dashboard; 1 báo cáo; &gt;=25 test case; triển khai bản demo.</v>
      </c>
      <c r="L2293" t="str">
        <f>'Huong dan giao do an'!$B$31</f>
        <v>Bắt buộc: Charter/PMP; SRS + scope/WBS; Gantt/baseline; effort-cost budget; RACI/timesheet; quality-test-defect; communication/minutes; risk register; procurement; change log; closure/lessons learned.</v>
      </c>
      <c r="M2293" t="str">
        <f>'Huong dan giao do an'!$B$33</f>
        <v>Tuần 1: 07.09–13.09.2026; Tuần 2: 14.09–20.09.2026; Tuần 3: 21.09–27.09.2026; Tuần 4: 28.09–04.10.2026; Tuần 5: 05.10–11.10.2026; Tuần 6: 12.10–18.10.2026; Tuần 7: 19.10–25.10.2026; Tuần 8: 26.10–01.11.2026.</v>
      </c>
      <c r="N22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3" s="17" t="str">
        <f t="shared" si="35"/>
        <v>Còn trống</v>
      </c>
    </row>
    <row r="2294" spans="1:16" x14ac:dyDescent="0.3">
      <c r="A2294">
        <v>2293</v>
      </c>
      <c r="B2294" t="s">
        <v>5062</v>
      </c>
      <c r="C2294" t="s">
        <v>5275</v>
      </c>
      <c r="D2294" t="s">
        <v>5276</v>
      </c>
      <c r="E2294" t="s">
        <v>45</v>
      </c>
      <c r="F2294" t="s">
        <v>5075</v>
      </c>
      <c r="G2294" t="s">
        <v>5109</v>
      </c>
      <c r="H2294" t="str">
        <f>'Huong dan giao do an'!$B$14</f>
        <v>5 SV (vai trò chính): 1 PM/Scrum Master kiêm Integration; 2 BA/PO; 3 UI-UX + Frontend; 4 Backend/API + DevOps; 5 Database + QA/Tester. Mỗi SV có nhiệm vụ phụ và minh chứng cá nhân.</v>
      </c>
      <c r="I2294" t="s">
        <v>22</v>
      </c>
      <c r="J2294" t="s">
        <v>5067</v>
      </c>
      <c r="K2294" t="str">
        <f>IF(I2294="Trung bình",'Huong dan giao do an'!$B$8,IF(I2294="Khá",'Huong dan giao do an'!$B$9,'Huong dan giao do an'!$B$10))</f>
        <v>Tối thiểu 4 actor; 10-14 use case; 8-12 bảng; 3 quy trình lõi; phân quyền chi tiết; 2 báo cáo; tích hợp 1 dịch vụ; &gt;=35 test case; CI/CD hoặc deploy cloud.</v>
      </c>
      <c r="L2294" t="str">
        <f>'Huong dan giao do an'!$B$31</f>
        <v>Bắt buộc: Charter/PMP; SRS + scope/WBS; Gantt/baseline; effort-cost budget; RACI/timesheet; quality-test-defect; communication/minutes; risk register; procurement; change log; closure/lessons learned.</v>
      </c>
      <c r="M2294" t="str">
        <f>'Huong dan giao do an'!$B$33</f>
        <v>Tuần 1: 07.09–13.09.2026; Tuần 2: 14.09–20.09.2026; Tuần 3: 21.09–27.09.2026; Tuần 4: 28.09–04.10.2026; Tuần 5: 05.10–11.10.2026; Tuần 6: 12.10–18.10.2026; Tuần 7: 19.10–25.10.2026; Tuần 8: 26.10–01.11.2026.</v>
      </c>
      <c r="N22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4" s="17" t="str">
        <f t="shared" si="35"/>
        <v>Còn trống</v>
      </c>
    </row>
    <row r="2295" spans="1:16" x14ac:dyDescent="0.3">
      <c r="A2295">
        <v>2294</v>
      </c>
      <c r="B2295" t="s">
        <v>5062</v>
      </c>
      <c r="C2295" t="s">
        <v>5277</v>
      </c>
      <c r="D2295" t="s">
        <v>5278</v>
      </c>
      <c r="E2295" t="s">
        <v>19</v>
      </c>
      <c r="F2295" t="s">
        <v>5080</v>
      </c>
      <c r="G2295" t="s">
        <v>5112</v>
      </c>
      <c r="H2295" t="str">
        <f>'Huong dan giao do an'!$B$14</f>
        <v>5 SV (vai trò chính): 1 PM/Scrum Master kiêm Integration; 2 BA/PO; 3 UI-UX + Frontend; 4 Backend/API + DevOps; 5 Database + QA/Tester. Mỗi SV có nhiệm vụ phụ và minh chứng cá nhân.</v>
      </c>
      <c r="I2295" t="s">
        <v>29</v>
      </c>
      <c r="J2295" t="s">
        <v>5072</v>
      </c>
      <c r="K2295" t="str">
        <f>IF(I2295="Trung bình",'Huong dan giao do an'!$B$8,IF(I2295="Khá",'Huong dan giao do an'!$B$9,'Huong dan giao do an'!$B$10))</f>
        <v>Tối thiểu 5 actor; 14-18 use case; 10-15 bảng; 4 quy trình; tích hợp ngoài/realtime hoặc xử lý nâng cao; 3 báo cáo; &gt;=45 test case; logging, backup và deploy.</v>
      </c>
      <c r="L2295" t="str">
        <f>'Huong dan giao do an'!$B$31</f>
        <v>Bắt buộc: Charter/PMP; SRS + scope/WBS; Gantt/baseline; effort-cost budget; RACI/timesheet; quality-test-defect; communication/minutes; risk register; procurement; change log; closure/lessons learned.</v>
      </c>
      <c r="M2295" t="str">
        <f>'Huong dan giao do an'!$B$33</f>
        <v>Tuần 1: 07.09–13.09.2026; Tuần 2: 14.09–20.09.2026; Tuần 3: 21.09–27.09.2026; Tuần 4: 28.09–04.10.2026; Tuần 5: 05.10–11.10.2026; Tuần 6: 12.10–18.10.2026; Tuần 7: 19.10–25.10.2026; Tuần 8: 26.10–01.11.2026.</v>
      </c>
      <c r="N22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5" s="17" t="str">
        <f t="shared" si="35"/>
        <v>Còn trống</v>
      </c>
    </row>
    <row r="2296" spans="1:16" x14ac:dyDescent="0.3">
      <c r="A2296">
        <v>2295</v>
      </c>
      <c r="B2296" t="s">
        <v>5062</v>
      </c>
      <c r="C2296" t="s">
        <v>5279</v>
      </c>
      <c r="D2296" t="s">
        <v>5280</v>
      </c>
      <c r="E2296" t="s">
        <v>26</v>
      </c>
      <c r="F2296" t="s">
        <v>5084</v>
      </c>
      <c r="G2296" t="s">
        <v>5115</v>
      </c>
      <c r="H2296" t="str">
        <f>'Huong dan giao do an'!$B$14</f>
        <v>5 SV (vai trò chính): 1 PM/Scrum Master kiêm Integration; 2 BA/PO; 3 UI-UX + Frontend; 4 Backend/API + DevOps; 5 Database + QA/Tester. Mỗi SV có nhiệm vụ phụ và minh chứng cá nhân.</v>
      </c>
      <c r="I2296" t="s">
        <v>36</v>
      </c>
      <c r="J2296" t="s">
        <v>5077</v>
      </c>
      <c r="K2296" t="str">
        <f>IF(I2296="Trung bình",'Huong dan giao do an'!$B$8,IF(I2296="Khá",'Huong dan giao do an'!$B$9,'Huong dan giao do an'!$B$10))</f>
        <v>Tối thiểu 3 actor; 8-10 use case; 6-8 bảng dữ liệu; 2 quy trình lõi; đăng nhập/RBAC; 1 dashboard; 1 báo cáo; &gt;=25 test case; triển khai bản demo.</v>
      </c>
      <c r="L2296" t="str">
        <f>'Huong dan giao do an'!$B$31</f>
        <v>Bắt buộc: Charter/PMP; SRS + scope/WBS; Gantt/baseline; effort-cost budget; RACI/timesheet; quality-test-defect; communication/minutes; risk register; procurement; change log; closure/lessons learned.</v>
      </c>
      <c r="M2296" t="str">
        <f>'Huong dan giao do an'!$B$33</f>
        <v>Tuần 1: 07.09–13.09.2026; Tuần 2: 14.09–20.09.2026; Tuần 3: 21.09–27.09.2026; Tuần 4: 28.09–04.10.2026; Tuần 5: 05.10–11.10.2026; Tuần 6: 12.10–18.10.2026; Tuần 7: 19.10–25.10.2026; Tuần 8: 26.10–01.11.2026.</v>
      </c>
      <c r="N22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6" s="17" t="str">
        <f t="shared" si="35"/>
        <v>Còn trống</v>
      </c>
    </row>
    <row r="2297" spans="1:16" x14ac:dyDescent="0.3">
      <c r="A2297">
        <v>2296</v>
      </c>
      <c r="B2297" t="s">
        <v>5062</v>
      </c>
      <c r="C2297" t="s">
        <v>5281</v>
      </c>
      <c r="D2297" t="s">
        <v>5282</v>
      </c>
      <c r="E2297" t="s">
        <v>33</v>
      </c>
      <c r="F2297" t="s">
        <v>5065</v>
      </c>
      <c r="G2297" t="s">
        <v>5118</v>
      </c>
      <c r="H2297" t="str">
        <f>'Huong dan giao do an'!$B$14</f>
        <v>5 SV (vai trò chính): 1 PM/Scrum Master kiêm Integration; 2 BA/PO; 3 UI-UX + Frontend; 4 Backend/API + DevOps; 5 Database + QA/Tester. Mỗi SV có nhiệm vụ phụ và minh chứng cá nhân.</v>
      </c>
      <c r="I2297" t="s">
        <v>22</v>
      </c>
      <c r="J2297" t="s">
        <v>5067</v>
      </c>
      <c r="K2297" t="str">
        <f>IF(I2297="Trung bình",'Huong dan giao do an'!$B$8,IF(I2297="Khá",'Huong dan giao do an'!$B$9,'Huong dan giao do an'!$B$10))</f>
        <v>Tối thiểu 4 actor; 10-14 use case; 8-12 bảng; 3 quy trình lõi; phân quyền chi tiết; 2 báo cáo; tích hợp 1 dịch vụ; &gt;=35 test case; CI/CD hoặc deploy cloud.</v>
      </c>
      <c r="L2297" t="str">
        <f>'Huong dan giao do an'!$B$31</f>
        <v>Bắt buộc: Charter/PMP; SRS + scope/WBS; Gantt/baseline; effort-cost budget; RACI/timesheet; quality-test-defect; communication/minutes; risk register; procurement; change log; closure/lessons learned.</v>
      </c>
      <c r="M2297" t="str">
        <f>'Huong dan giao do an'!$B$33</f>
        <v>Tuần 1: 07.09–13.09.2026; Tuần 2: 14.09–20.09.2026; Tuần 3: 21.09–27.09.2026; Tuần 4: 28.09–04.10.2026; Tuần 5: 05.10–11.10.2026; Tuần 6: 12.10–18.10.2026; Tuần 7: 19.10–25.10.2026; Tuần 8: 26.10–01.11.2026.</v>
      </c>
      <c r="N22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7" s="17" t="str">
        <f t="shared" si="35"/>
        <v>Còn trống</v>
      </c>
    </row>
    <row r="2298" spans="1:16" x14ac:dyDescent="0.3">
      <c r="A2298">
        <v>2297</v>
      </c>
      <c r="B2298" t="s">
        <v>5062</v>
      </c>
      <c r="C2298" t="s">
        <v>5283</v>
      </c>
      <c r="D2298" t="s">
        <v>5284</v>
      </c>
      <c r="E2298" t="s">
        <v>40</v>
      </c>
      <c r="F2298" t="s">
        <v>5070</v>
      </c>
      <c r="G2298" t="s">
        <v>5121</v>
      </c>
      <c r="H2298" t="str">
        <f>'Huong dan giao do an'!$B$14</f>
        <v>5 SV (vai trò chính): 1 PM/Scrum Master kiêm Integration; 2 BA/PO; 3 UI-UX + Frontend; 4 Backend/API + DevOps; 5 Database + QA/Tester. Mỗi SV có nhiệm vụ phụ và minh chứng cá nhân.</v>
      </c>
      <c r="I2298" t="s">
        <v>29</v>
      </c>
      <c r="J2298" t="s">
        <v>5072</v>
      </c>
      <c r="K2298" t="str">
        <f>IF(I2298="Trung bình",'Huong dan giao do an'!$B$8,IF(I2298="Khá",'Huong dan giao do an'!$B$9,'Huong dan giao do an'!$B$10))</f>
        <v>Tối thiểu 5 actor; 14-18 use case; 10-15 bảng; 4 quy trình; tích hợp ngoài/realtime hoặc xử lý nâng cao; 3 báo cáo; &gt;=45 test case; logging, backup và deploy.</v>
      </c>
      <c r="L2298" t="str">
        <f>'Huong dan giao do an'!$B$31</f>
        <v>Bắt buộc: Charter/PMP; SRS + scope/WBS; Gantt/baseline; effort-cost budget; RACI/timesheet; quality-test-defect; communication/minutes; risk register; procurement; change log; closure/lessons learned.</v>
      </c>
      <c r="M2298" t="str">
        <f>'Huong dan giao do an'!$B$33</f>
        <v>Tuần 1: 07.09–13.09.2026; Tuần 2: 14.09–20.09.2026; Tuần 3: 21.09–27.09.2026; Tuần 4: 28.09–04.10.2026; Tuần 5: 05.10–11.10.2026; Tuần 6: 12.10–18.10.2026; Tuần 7: 19.10–25.10.2026; Tuần 8: 26.10–01.11.2026.</v>
      </c>
      <c r="N22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8" s="17" t="str">
        <f t="shared" si="35"/>
        <v>Còn trống</v>
      </c>
    </row>
    <row r="2299" spans="1:16" x14ac:dyDescent="0.3">
      <c r="A2299">
        <v>2298</v>
      </c>
      <c r="B2299" t="s">
        <v>5062</v>
      </c>
      <c r="C2299" t="s">
        <v>5285</v>
      </c>
      <c r="D2299" t="s">
        <v>5286</v>
      </c>
      <c r="E2299" t="s">
        <v>45</v>
      </c>
      <c r="F2299" t="s">
        <v>5075</v>
      </c>
      <c r="G2299" t="s">
        <v>5124</v>
      </c>
      <c r="H2299" t="str">
        <f>'Huong dan giao do an'!$B$14</f>
        <v>5 SV (vai trò chính): 1 PM/Scrum Master kiêm Integration; 2 BA/PO; 3 UI-UX + Frontend; 4 Backend/API + DevOps; 5 Database + QA/Tester. Mỗi SV có nhiệm vụ phụ và minh chứng cá nhân.</v>
      </c>
      <c r="I2299" t="s">
        <v>36</v>
      </c>
      <c r="J2299" t="s">
        <v>5077</v>
      </c>
      <c r="K2299" t="str">
        <f>IF(I2299="Trung bình",'Huong dan giao do an'!$B$8,IF(I2299="Khá",'Huong dan giao do an'!$B$9,'Huong dan giao do an'!$B$10))</f>
        <v>Tối thiểu 3 actor; 8-10 use case; 6-8 bảng dữ liệu; 2 quy trình lõi; đăng nhập/RBAC; 1 dashboard; 1 báo cáo; &gt;=25 test case; triển khai bản demo.</v>
      </c>
      <c r="L2299" t="str">
        <f>'Huong dan giao do an'!$B$31</f>
        <v>Bắt buộc: Charter/PMP; SRS + scope/WBS; Gantt/baseline; effort-cost budget; RACI/timesheet; quality-test-defect; communication/minutes; risk register; procurement; change log; closure/lessons learned.</v>
      </c>
      <c r="M2299" t="str">
        <f>'Huong dan giao do an'!$B$33</f>
        <v>Tuần 1: 07.09–13.09.2026; Tuần 2: 14.09–20.09.2026; Tuần 3: 21.09–27.09.2026; Tuần 4: 28.09–04.10.2026; Tuần 5: 05.10–11.10.2026; Tuần 6: 12.10–18.10.2026; Tuần 7: 19.10–25.10.2026; Tuần 8: 26.10–01.11.2026.</v>
      </c>
      <c r="N22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299" s="17" t="str">
        <f t="shared" si="35"/>
        <v>Còn trống</v>
      </c>
    </row>
    <row r="2300" spans="1:16" x14ac:dyDescent="0.3">
      <c r="A2300">
        <v>2299</v>
      </c>
      <c r="B2300" t="s">
        <v>5062</v>
      </c>
      <c r="C2300" t="s">
        <v>5287</v>
      </c>
      <c r="D2300" t="s">
        <v>5288</v>
      </c>
      <c r="E2300" t="s">
        <v>19</v>
      </c>
      <c r="F2300" t="s">
        <v>5080</v>
      </c>
      <c r="G2300" t="s">
        <v>5127</v>
      </c>
      <c r="H2300" t="str">
        <f>'Huong dan giao do an'!$B$14</f>
        <v>5 SV (vai trò chính): 1 PM/Scrum Master kiêm Integration; 2 BA/PO; 3 UI-UX + Frontend; 4 Backend/API + DevOps; 5 Database + QA/Tester. Mỗi SV có nhiệm vụ phụ và minh chứng cá nhân.</v>
      </c>
      <c r="I2300" t="s">
        <v>22</v>
      </c>
      <c r="J2300" t="s">
        <v>5067</v>
      </c>
      <c r="K2300" t="str">
        <f>IF(I2300="Trung bình",'Huong dan giao do an'!$B$8,IF(I2300="Khá",'Huong dan giao do an'!$B$9,'Huong dan giao do an'!$B$10))</f>
        <v>Tối thiểu 4 actor; 10-14 use case; 8-12 bảng; 3 quy trình lõi; phân quyền chi tiết; 2 báo cáo; tích hợp 1 dịch vụ; &gt;=35 test case; CI/CD hoặc deploy cloud.</v>
      </c>
      <c r="L2300" t="str">
        <f>'Huong dan giao do an'!$B$31</f>
        <v>Bắt buộc: Charter/PMP; SRS + scope/WBS; Gantt/baseline; effort-cost budget; RACI/timesheet; quality-test-defect; communication/minutes; risk register; procurement; change log; closure/lessons learned.</v>
      </c>
      <c r="M2300" t="str">
        <f>'Huong dan giao do an'!$B$33</f>
        <v>Tuần 1: 07.09–13.09.2026; Tuần 2: 14.09–20.09.2026; Tuần 3: 21.09–27.09.2026; Tuần 4: 28.09–04.10.2026; Tuần 5: 05.10–11.10.2026; Tuần 6: 12.10–18.10.2026; Tuần 7: 19.10–25.10.2026; Tuần 8: 26.10–01.11.2026.</v>
      </c>
      <c r="N23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0" s="17" t="str">
        <f t="shared" si="35"/>
        <v>Còn trống</v>
      </c>
    </row>
    <row r="2301" spans="1:16" x14ac:dyDescent="0.3">
      <c r="A2301">
        <v>2300</v>
      </c>
      <c r="B2301" t="s">
        <v>5062</v>
      </c>
      <c r="C2301" t="s">
        <v>5289</v>
      </c>
      <c r="D2301" t="s">
        <v>5290</v>
      </c>
      <c r="E2301" t="s">
        <v>26</v>
      </c>
      <c r="F2301" t="s">
        <v>5084</v>
      </c>
      <c r="G2301" t="s">
        <v>5130</v>
      </c>
      <c r="H2301" t="str">
        <f>'Huong dan giao do an'!$B$14</f>
        <v>5 SV (vai trò chính): 1 PM/Scrum Master kiêm Integration; 2 BA/PO; 3 UI-UX + Frontend; 4 Backend/API + DevOps; 5 Database + QA/Tester. Mỗi SV có nhiệm vụ phụ và minh chứng cá nhân.</v>
      </c>
      <c r="I2301" t="s">
        <v>29</v>
      </c>
      <c r="J2301" t="s">
        <v>5072</v>
      </c>
      <c r="K2301" t="str">
        <f>IF(I2301="Trung bình",'Huong dan giao do an'!$B$8,IF(I2301="Khá",'Huong dan giao do an'!$B$9,'Huong dan giao do an'!$B$10))</f>
        <v>Tối thiểu 5 actor; 14-18 use case; 10-15 bảng; 4 quy trình; tích hợp ngoài/realtime hoặc xử lý nâng cao; 3 báo cáo; &gt;=45 test case; logging, backup và deploy.</v>
      </c>
      <c r="L2301" t="str">
        <f>'Huong dan giao do an'!$B$31</f>
        <v>Bắt buộc: Charter/PMP; SRS + scope/WBS; Gantt/baseline; effort-cost budget; RACI/timesheet; quality-test-defect; communication/minutes; risk register; procurement; change log; closure/lessons learned.</v>
      </c>
      <c r="M2301" t="str">
        <f>'Huong dan giao do an'!$B$33</f>
        <v>Tuần 1: 07.09–13.09.2026; Tuần 2: 14.09–20.09.2026; Tuần 3: 21.09–27.09.2026; Tuần 4: 28.09–04.10.2026; Tuần 5: 05.10–11.10.2026; Tuần 6: 12.10–18.10.2026; Tuần 7: 19.10–25.10.2026; Tuần 8: 26.10–01.11.2026.</v>
      </c>
      <c r="N23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1" s="17" t="str">
        <f t="shared" si="35"/>
        <v>Còn trống</v>
      </c>
    </row>
    <row r="2302" spans="1:16" x14ac:dyDescent="0.3">
      <c r="A2302">
        <v>2301</v>
      </c>
      <c r="B2302" t="s">
        <v>5291</v>
      </c>
      <c r="C2302" t="s">
        <v>5292</v>
      </c>
      <c r="D2302" t="s">
        <v>5293</v>
      </c>
      <c r="E2302" t="s">
        <v>40</v>
      </c>
      <c r="F2302" t="s">
        <v>5294</v>
      </c>
      <c r="G2302" t="s">
        <v>5295</v>
      </c>
      <c r="H2302" t="str">
        <f>'Huong dan giao do an'!$B$14</f>
        <v>5 SV (vai trò chính): 1 PM/Scrum Master kiêm Integration; 2 BA/PO; 3 UI-UX + Frontend; 4 Backend/API + DevOps; 5 Database + QA/Tester. Mỗi SV có nhiệm vụ phụ và minh chứng cá nhân.</v>
      </c>
      <c r="I2302" t="s">
        <v>22</v>
      </c>
      <c r="J2302" t="s">
        <v>5296</v>
      </c>
      <c r="K2302" t="str">
        <f>IF(I2302="Trung bình",'Huong dan giao do an'!$B$8,IF(I2302="Khá",'Huong dan giao do an'!$B$9,'Huong dan giao do an'!$B$10))</f>
        <v>Tối thiểu 4 actor; 10-14 use case; 8-12 bảng; 3 quy trình lõi; phân quyền chi tiết; 2 báo cáo; tích hợp 1 dịch vụ; &gt;=35 test case; CI/CD hoặc deploy cloud.</v>
      </c>
      <c r="L2302" t="str">
        <f>'Huong dan giao do an'!$B$31</f>
        <v>Bắt buộc: Charter/PMP; SRS + scope/WBS; Gantt/baseline; effort-cost budget; RACI/timesheet; quality-test-defect; communication/minutes; risk register; procurement; change log; closure/lessons learned.</v>
      </c>
      <c r="M2302" t="str">
        <f>'Huong dan giao do an'!$B$33</f>
        <v>Tuần 1: 07.09–13.09.2026; Tuần 2: 14.09–20.09.2026; Tuần 3: 21.09–27.09.2026; Tuần 4: 28.09–04.10.2026; Tuần 5: 05.10–11.10.2026; Tuần 6: 12.10–18.10.2026; Tuần 7: 19.10–25.10.2026; Tuần 8: 26.10–01.11.2026.</v>
      </c>
      <c r="N23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2" s="17" t="str">
        <f t="shared" si="35"/>
        <v>Còn trống</v>
      </c>
    </row>
    <row r="2303" spans="1:16" x14ac:dyDescent="0.3">
      <c r="A2303">
        <v>2302</v>
      </c>
      <c r="B2303" t="s">
        <v>5291</v>
      </c>
      <c r="C2303" t="s">
        <v>5297</v>
      </c>
      <c r="D2303" t="s">
        <v>5298</v>
      </c>
      <c r="E2303" t="s">
        <v>45</v>
      </c>
      <c r="F2303" t="s">
        <v>5299</v>
      </c>
      <c r="G2303" t="s">
        <v>5300</v>
      </c>
      <c r="H2303" t="str">
        <f>'Huong dan giao do an'!$B$14</f>
        <v>5 SV (vai trò chính): 1 PM/Scrum Master kiêm Integration; 2 BA/PO; 3 UI-UX + Frontend; 4 Backend/API + DevOps; 5 Database + QA/Tester. Mỗi SV có nhiệm vụ phụ và minh chứng cá nhân.</v>
      </c>
      <c r="I2303" t="s">
        <v>29</v>
      </c>
      <c r="J2303" t="s">
        <v>5301</v>
      </c>
      <c r="K2303" t="str">
        <f>IF(I2303="Trung bình",'Huong dan giao do an'!$B$8,IF(I2303="Khá",'Huong dan giao do an'!$B$9,'Huong dan giao do an'!$B$10))</f>
        <v>Tối thiểu 5 actor; 14-18 use case; 10-15 bảng; 4 quy trình; tích hợp ngoài/realtime hoặc xử lý nâng cao; 3 báo cáo; &gt;=45 test case; logging, backup và deploy.</v>
      </c>
      <c r="L2303" t="str">
        <f>'Huong dan giao do an'!$B$31</f>
        <v>Bắt buộc: Charter/PMP; SRS + scope/WBS; Gantt/baseline; effort-cost budget; RACI/timesheet; quality-test-defect; communication/minutes; risk register; procurement; change log; closure/lessons learned.</v>
      </c>
      <c r="M2303" t="str">
        <f>'Huong dan giao do an'!$B$33</f>
        <v>Tuần 1: 07.09–13.09.2026; Tuần 2: 14.09–20.09.2026; Tuần 3: 21.09–27.09.2026; Tuần 4: 28.09–04.10.2026; Tuần 5: 05.10–11.10.2026; Tuần 6: 12.10–18.10.2026; Tuần 7: 19.10–25.10.2026; Tuần 8: 26.10–01.11.2026.</v>
      </c>
      <c r="N23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3" s="17" t="str">
        <f t="shared" si="35"/>
        <v>Còn trống</v>
      </c>
    </row>
    <row r="2304" spans="1:16" x14ac:dyDescent="0.3">
      <c r="A2304">
        <v>2303</v>
      </c>
      <c r="B2304" t="s">
        <v>5291</v>
      </c>
      <c r="C2304" t="s">
        <v>5302</v>
      </c>
      <c r="D2304" t="s">
        <v>5303</v>
      </c>
      <c r="E2304" t="s">
        <v>19</v>
      </c>
      <c r="F2304" t="s">
        <v>5304</v>
      </c>
      <c r="G2304" t="s">
        <v>5305</v>
      </c>
      <c r="H2304" t="str">
        <f>'Huong dan giao do an'!$B$14</f>
        <v>5 SV (vai trò chính): 1 PM/Scrum Master kiêm Integration; 2 BA/PO; 3 UI-UX + Frontend; 4 Backend/API + DevOps; 5 Database + QA/Tester. Mỗi SV có nhiệm vụ phụ và minh chứng cá nhân.</v>
      </c>
      <c r="I2304" t="s">
        <v>36</v>
      </c>
      <c r="J2304" t="s">
        <v>5306</v>
      </c>
      <c r="K2304" t="str">
        <f>IF(I2304="Trung bình",'Huong dan giao do an'!$B$8,IF(I2304="Khá",'Huong dan giao do an'!$B$9,'Huong dan giao do an'!$B$10))</f>
        <v>Tối thiểu 3 actor; 8-10 use case; 6-8 bảng dữ liệu; 2 quy trình lõi; đăng nhập/RBAC; 1 dashboard; 1 báo cáo; &gt;=25 test case; triển khai bản demo.</v>
      </c>
      <c r="L2304" t="str">
        <f>'Huong dan giao do an'!$B$31</f>
        <v>Bắt buộc: Charter/PMP; SRS + scope/WBS; Gantt/baseline; effort-cost budget; RACI/timesheet; quality-test-defect; communication/minutes; risk register; procurement; change log; closure/lessons learned.</v>
      </c>
      <c r="M2304" t="str">
        <f>'Huong dan giao do an'!$B$33</f>
        <v>Tuần 1: 07.09–13.09.2026; Tuần 2: 14.09–20.09.2026; Tuần 3: 21.09–27.09.2026; Tuần 4: 28.09–04.10.2026; Tuần 5: 05.10–11.10.2026; Tuần 6: 12.10–18.10.2026; Tuần 7: 19.10–25.10.2026; Tuần 8: 26.10–01.11.2026.</v>
      </c>
      <c r="N23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4" s="17" t="str">
        <f t="shared" si="35"/>
        <v>Còn trống</v>
      </c>
    </row>
    <row r="2305" spans="1:16" x14ac:dyDescent="0.3">
      <c r="A2305">
        <v>2304</v>
      </c>
      <c r="B2305" t="s">
        <v>5291</v>
      </c>
      <c r="C2305" t="s">
        <v>5307</v>
      </c>
      <c r="D2305" t="s">
        <v>5308</v>
      </c>
      <c r="E2305" t="s">
        <v>26</v>
      </c>
      <c r="F2305" t="s">
        <v>5309</v>
      </c>
      <c r="G2305" t="s">
        <v>5310</v>
      </c>
      <c r="H2305" t="str">
        <f>'Huong dan giao do an'!$B$14</f>
        <v>5 SV (vai trò chính): 1 PM/Scrum Master kiêm Integration; 2 BA/PO; 3 UI-UX + Frontend; 4 Backend/API + DevOps; 5 Database + QA/Tester. Mỗi SV có nhiệm vụ phụ và minh chứng cá nhân.</v>
      </c>
      <c r="I2305" t="s">
        <v>22</v>
      </c>
      <c r="J2305" t="s">
        <v>5296</v>
      </c>
      <c r="K2305" t="str">
        <f>IF(I2305="Trung bình",'Huong dan giao do an'!$B$8,IF(I2305="Khá",'Huong dan giao do an'!$B$9,'Huong dan giao do an'!$B$10))</f>
        <v>Tối thiểu 4 actor; 10-14 use case; 8-12 bảng; 3 quy trình lõi; phân quyền chi tiết; 2 báo cáo; tích hợp 1 dịch vụ; &gt;=35 test case; CI/CD hoặc deploy cloud.</v>
      </c>
      <c r="L2305" t="str">
        <f>'Huong dan giao do an'!$B$31</f>
        <v>Bắt buộc: Charter/PMP; SRS + scope/WBS; Gantt/baseline; effort-cost budget; RACI/timesheet; quality-test-defect; communication/minutes; risk register; procurement; change log; closure/lessons learned.</v>
      </c>
      <c r="M2305" t="str">
        <f>'Huong dan giao do an'!$B$33</f>
        <v>Tuần 1: 07.09–13.09.2026; Tuần 2: 14.09–20.09.2026; Tuần 3: 21.09–27.09.2026; Tuần 4: 28.09–04.10.2026; Tuần 5: 05.10–11.10.2026; Tuần 6: 12.10–18.10.2026; Tuần 7: 19.10–25.10.2026; Tuần 8: 26.10–01.11.2026.</v>
      </c>
      <c r="N23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5" s="17" t="str">
        <f t="shared" si="35"/>
        <v>Còn trống</v>
      </c>
    </row>
    <row r="2306" spans="1:16" x14ac:dyDescent="0.3">
      <c r="A2306">
        <v>2305</v>
      </c>
      <c r="B2306" t="s">
        <v>5291</v>
      </c>
      <c r="C2306" t="s">
        <v>5311</v>
      </c>
      <c r="D2306" t="s">
        <v>5312</v>
      </c>
      <c r="E2306" t="s">
        <v>33</v>
      </c>
      <c r="F2306" t="s">
        <v>5313</v>
      </c>
      <c r="G2306" t="s">
        <v>5314</v>
      </c>
      <c r="H2306" t="str">
        <f>'Huong dan giao do an'!$B$14</f>
        <v>5 SV (vai trò chính): 1 PM/Scrum Master kiêm Integration; 2 BA/PO; 3 UI-UX + Frontend; 4 Backend/API + DevOps; 5 Database + QA/Tester. Mỗi SV có nhiệm vụ phụ và minh chứng cá nhân.</v>
      </c>
      <c r="I2306" t="s">
        <v>29</v>
      </c>
      <c r="J2306" t="s">
        <v>5301</v>
      </c>
      <c r="K2306" t="str">
        <f>IF(I2306="Trung bình",'Huong dan giao do an'!$B$8,IF(I2306="Khá",'Huong dan giao do an'!$B$9,'Huong dan giao do an'!$B$10))</f>
        <v>Tối thiểu 5 actor; 14-18 use case; 10-15 bảng; 4 quy trình; tích hợp ngoài/realtime hoặc xử lý nâng cao; 3 báo cáo; &gt;=45 test case; logging, backup và deploy.</v>
      </c>
      <c r="L2306" t="str">
        <f>'Huong dan giao do an'!$B$31</f>
        <v>Bắt buộc: Charter/PMP; SRS + scope/WBS; Gantt/baseline; effort-cost budget; RACI/timesheet; quality-test-defect; communication/minutes; risk register; procurement; change log; closure/lessons learned.</v>
      </c>
      <c r="M2306" t="str">
        <f>'Huong dan giao do an'!$B$33</f>
        <v>Tuần 1: 07.09–13.09.2026; Tuần 2: 14.09–20.09.2026; Tuần 3: 21.09–27.09.2026; Tuần 4: 28.09–04.10.2026; Tuần 5: 05.10–11.10.2026; Tuần 6: 12.10–18.10.2026; Tuần 7: 19.10–25.10.2026; Tuần 8: 26.10–01.11.2026.</v>
      </c>
      <c r="N23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6" s="17" t="str">
        <f t="shared" si="35"/>
        <v>Còn trống</v>
      </c>
    </row>
    <row r="2307" spans="1:16" x14ac:dyDescent="0.3">
      <c r="A2307">
        <v>2306</v>
      </c>
      <c r="B2307" t="s">
        <v>5291</v>
      </c>
      <c r="C2307" t="s">
        <v>5315</v>
      </c>
      <c r="D2307" t="s">
        <v>5316</v>
      </c>
      <c r="E2307" t="s">
        <v>40</v>
      </c>
      <c r="F2307" t="s">
        <v>5294</v>
      </c>
      <c r="G2307" t="s">
        <v>5317</v>
      </c>
      <c r="H2307" t="str">
        <f>'Huong dan giao do an'!$B$14</f>
        <v>5 SV (vai trò chính): 1 PM/Scrum Master kiêm Integration; 2 BA/PO; 3 UI-UX + Frontend; 4 Backend/API + DevOps; 5 Database + QA/Tester. Mỗi SV có nhiệm vụ phụ và minh chứng cá nhân.</v>
      </c>
      <c r="I2307" t="s">
        <v>36</v>
      </c>
      <c r="J2307" t="s">
        <v>5306</v>
      </c>
      <c r="K2307" t="str">
        <f>IF(I2307="Trung bình",'Huong dan giao do an'!$B$8,IF(I2307="Khá",'Huong dan giao do an'!$B$9,'Huong dan giao do an'!$B$10))</f>
        <v>Tối thiểu 3 actor; 8-10 use case; 6-8 bảng dữ liệu; 2 quy trình lõi; đăng nhập/RBAC; 1 dashboard; 1 báo cáo; &gt;=25 test case; triển khai bản demo.</v>
      </c>
      <c r="L2307" t="str">
        <f>'Huong dan giao do an'!$B$31</f>
        <v>Bắt buộc: Charter/PMP; SRS + scope/WBS; Gantt/baseline; effort-cost budget; RACI/timesheet; quality-test-defect; communication/minutes; risk register; procurement; change log; closure/lessons learned.</v>
      </c>
      <c r="M2307" t="str">
        <f>'Huong dan giao do an'!$B$33</f>
        <v>Tuần 1: 07.09–13.09.2026; Tuần 2: 14.09–20.09.2026; Tuần 3: 21.09–27.09.2026; Tuần 4: 28.09–04.10.2026; Tuần 5: 05.10–11.10.2026; Tuần 6: 12.10–18.10.2026; Tuần 7: 19.10–25.10.2026; Tuần 8: 26.10–01.11.2026.</v>
      </c>
      <c r="N23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7" s="17" t="str">
        <f t="shared" ref="P2307:P2370" si="36">IF(O2307="","Còn trống","Đã đăng ký")</f>
        <v>Còn trống</v>
      </c>
    </row>
    <row r="2308" spans="1:16" x14ac:dyDescent="0.3">
      <c r="A2308">
        <v>2307</v>
      </c>
      <c r="B2308" t="s">
        <v>5291</v>
      </c>
      <c r="C2308" t="s">
        <v>5318</v>
      </c>
      <c r="D2308" t="s">
        <v>5319</v>
      </c>
      <c r="E2308" t="s">
        <v>45</v>
      </c>
      <c r="F2308" t="s">
        <v>5299</v>
      </c>
      <c r="G2308" t="s">
        <v>5320</v>
      </c>
      <c r="H2308" t="str">
        <f>'Huong dan giao do an'!$B$14</f>
        <v>5 SV (vai trò chính): 1 PM/Scrum Master kiêm Integration; 2 BA/PO; 3 UI-UX + Frontend; 4 Backend/API + DevOps; 5 Database + QA/Tester. Mỗi SV có nhiệm vụ phụ và minh chứng cá nhân.</v>
      </c>
      <c r="I2308" t="s">
        <v>22</v>
      </c>
      <c r="J2308" t="s">
        <v>5296</v>
      </c>
      <c r="K2308" t="str">
        <f>IF(I2308="Trung bình",'Huong dan giao do an'!$B$8,IF(I2308="Khá",'Huong dan giao do an'!$B$9,'Huong dan giao do an'!$B$10))</f>
        <v>Tối thiểu 4 actor; 10-14 use case; 8-12 bảng; 3 quy trình lõi; phân quyền chi tiết; 2 báo cáo; tích hợp 1 dịch vụ; &gt;=35 test case; CI/CD hoặc deploy cloud.</v>
      </c>
      <c r="L2308" t="str">
        <f>'Huong dan giao do an'!$B$31</f>
        <v>Bắt buộc: Charter/PMP; SRS + scope/WBS; Gantt/baseline; effort-cost budget; RACI/timesheet; quality-test-defect; communication/minutes; risk register; procurement; change log; closure/lessons learned.</v>
      </c>
      <c r="M2308" t="str">
        <f>'Huong dan giao do an'!$B$33</f>
        <v>Tuần 1: 07.09–13.09.2026; Tuần 2: 14.09–20.09.2026; Tuần 3: 21.09–27.09.2026; Tuần 4: 28.09–04.10.2026; Tuần 5: 05.10–11.10.2026; Tuần 6: 12.10–18.10.2026; Tuần 7: 19.10–25.10.2026; Tuần 8: 26.10–01.11.2026.</v>
      </c>
      <c r="N23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8" s="17" t="str">
        <f t="shared" si="36"/>
        <v>Còn trống</v>
      </c>
    </row>
    <row r="2309" spans="1:16" x14ac:dyDescent="0.3">
      <c r="A2309">
        <v>2308</v>
      </c>
      <c r="B2309" t="s">
        <v>5291</v>
      </c>
      <c r="C2309" t="s">
        <v>5321</v>
      </c>
      <c r="D2309" t="s">
        <v>5322</v>
      </c>
      <c r="E2309" t="s">
        <v>19</v>
      </c>
      <c r="F2309" t="s">
        <v>5304</v>
      </c>
      <c r="G2309" t="s">
        <v>5323</v>
      </c>
      <c r="H2309" t="str">
        <f>'Huong dan giao do an'!$B$14</f>
        <v>5 SV (vai trò chính): 1 PM/Scrum Master kiêm Integration; 2 BA/PO; 3 UI-UX + Frontend; 4 Backend/API + DevOps; 5 Database + QA/Tester. Mỗi SV có nhiệm vụ phụ và minh chứng cá nhân.</v>
      </c>
      <c r="I2309" t="s">
        <v>29</v>
      </c>
      <c r="J2309" t="s">
        <v>5301</v>
      </c>
      <c r="K2309" t="str">
        <f>IF(I2309="Trung bình",'Huong dan giao do an'!$B$8,IF(I2309="Khá",'Huong dan giao do an'!$B$9,'Huong dan giao do an'!$B$10))</f>
        <v>Tối thiểu 5 actor; 14-18 use case; 10-15 bảng; 4 quy trình; tích hợp ngoài/realtime hoặc xử lý nâng cao; 3 báo cáo; &gt;=45 test case; logging, backup và deploy.</v>
      </c>
      <c r="L2309" t="str">
        <f>'Huong dan giao do an'!$B$31</f>
        <v>Bắt buộc: Charter/PMP; SRS + scope/WBS; Gantt/baseline; effort-cost budget; RACI/timesheet; quality-test-defect; communication/minutes; risk register; procurement; change log; closure/lessons learned.</v>
      </c>
      <c r="M2309" t="str">
        <f>'Huong dan giao do an'!$B$33</f>
        <v>Tuần 1: 07.09–13.09.2026; Tuần 2: 14.09–20.09.2026; Tuần 3: 21.09–27.09.2026; Tuần 4: 28.09–04.10.2026; Tuần 5: 05.10–11.10.2026; Tuần 6: 12.10–18.10.2026; Tuần 7: 19.10–25.10.2026; Tuần 8: 26.10–01.11.2026.</v>
      </c>
      <c r="N23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09" s="17" t="str">
        <f t="shared" si="36"/>
        <v>Còn trống</v>
      </c>
    </row>
    <row r="2310" spans="1:16" x14ac:dyDescent="0.3">
      <c r="A2310">
        <v>2309</v>
      </c>
      <c r="B2310" t="s">
        <v>5291</v>
      </c>
      <c r="C2310" t="s">
        <v>5324</v>
      </c>
      <c r="D2310" t="s">
        <v>5325</v>
      </c>
      <c r="E2310" t="s">
        <v>26</v>
      </c>
      <c r="F2310" t="s">
        <v>5309</v>
      </c>
      <c r="G2310" t="s">
        <v>5326</v>
      </c>
      <c r="H2310" t="str">
        <f>'Huong dan giao do an'!$B$14</f>
        <v>5 SV (vai trò chính): 1 PM/Scrum Master kiêm Integration; 2 BA/PO; 3 UI-UX + Frontend; 4 Backend/API + DevOps; 5 Database + QA/Tester. Mỗi SV có nhiệm vụ phụ và minh chứng cá nhân.</v>
      </c>
      <c r="I2310" t="s">
        <v>36</v>
      </c>
      <c r="J2310" t="s">
        <v>5306</v>
      </c>
      <c r="K2310" t="str">
        <f>IF(I2310="Trung bình",'Huong dan giao do an'!$B$8,IF(I2310="Khá",'Huong dan giao do an'!$B$9,'Huong dan giao do an'!$B$10))</f>
        <v>Tối thiểu 3 actor; 8-10 use case; 6-8 bảng dữ liệu; 2 quy trình lõi; đăng nhập/RBAC; 1 dashboard; 1 báo cáo; &gt;=25 test case; triển khai bản demo.</v>
      </c>
      <c r="L2310" t="str">
        <f>'Huong dan giao do an'!$B$31</f>
        <v>Bắt buộc: Charter/PMP; SRS + scope/WBS; Gantt/baseline; effort-cost budget; RACI/timesheet; quality-test-defect; communication/minutes; risk register; procurement; change log; closure/lessons learned.</v>
      </c>
      <c r="M2310" t="str">
        <f>'Huong dan giao do an'!$B$33</f>
        <v>Tuần 1: 07.09–13.09.2026; Tuần 2: 14.09–20.09.2026; Tuần 3: 21.09–27.09.2026; Tuần 4: 28.09–04.10.2026; Tuần 5: 05.10–11.10.2026; Tuần 6: 12.10–18.10.2026; Tuần 7: 19.10–25.10.2026; Tuần 8: 26.10–01.11.2026.</v>
      </c>
      <c r="N23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0" s="17" t="str">
        <f t="shared" si="36"/>
        <v>Còn trống</v>
      </c>
    </row>
    <row r="2311" spans="1:16" x14ac:dyDescent="0.3">
      <c r="A2311">
        <v>2310</v>
      </c>
      <c r="B2311" t="s">
        <v>5291</v>
      </c>
      <c r="C2311" t="s">
        <v>5327</v>
      </c>
      <c r="D2311" t="s">
        <v>5328</v>
      </c>
      <c r="E2311" t="s">
        <v>33</v>
      </c>
      <c r="F2311" t="s">
        <v>5313</v>
      </c>
      <c r="G2311" t="s">
        <v>5329</v>
      </c>
      <c r="H2311" t="str">
        <f>'Huong dan giao do an'!$B$14</f>
        <v>5 SV (vai trò chính): 1 PM/Scrum Master kiêm Integration; 2 BA/PO; 3 UI-UX + Frontend; 4 Backend/API + DevOps; 5 Database + QA/Tester. Mỗi SV có nhiệm vụ phụ và minh chứng cá nhân.</v>
      </c>
      <c r="I2311" t="s">
        <v>22</v>
      </c>
      <c r="J2311" t="s">
        <v>5296</v>
      </c>
      <c r="K2311" t="str">
        <f>IF(I2311="Trung bình",'Huong dan giao do an'!$B$8,IF(I2311="Khá",'Huong dan giao do an'!$B$9,'Huong dan giao do an'!$B$10))</f>
        <v>Tối thiểu 4 actor; 10-14 use case; 8-12 bảng; 3 quy trình lõi; phân quyền chi tiết; 2 báo cáo; tích hợp 1 dịch vụ; &gt;=35 test case; CI/CD hoặc deploy cloud.</v>
      </c>
      <c r="L2311" t="str">
        <f>'Huong dan giao do an'!$B$31</f>
        <v>Bắt buộc: Charter/PMP; SRS + scope/WBS; Gantt/baseline; effort-cost budget; RACI/timesheet; quality-test-defect; communication/minutes; risk register; procurement; change log; closure/lessons learned.</v>
      </c>
      <c r="M2311" t="str">
        <f>'Huong dan giao do an'!$B$33</f>
        <v>Tuần 1: 07.09–13.09.2026; Tuần 2: 14.09–20.09.2026; Tuần 3: 21.09–27.09.2026; Tuần 4: 28.09–04.10.2026; Tuần 5: 05.10–11.10.2026; Tuần 6: 12.10–18.10.2026; Tuần 7: 19.10–25.10.2026; Tuần 8: 26.10–01.11.2026.</v>
      </c>
      <c r="N23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1" s="17" t="str">
        <f t="shared" si="36"/>
        <v>Còn trống</v>
      </c>
    </row>
    <row r="2312" spans="1:16" x14ac:dyDescent="0.3">
      <c r="A2312">
        <v>2311</v>
      </c>
      <c r="B2312" t="s">
        <v>5291</v>
      </c>
      <c r="C2312" t="s">
        <v>5330</v>
      </c>
      <c r="D2312" t="s">
        <v>5331</v>
      </c>
      <c r="E2312" t="s">
        <v>40</v>
      </c>
      <c r="F2312" t="s">
        <v>5294</v>
      </c>
      <c r="G2312" t="s">
        <v>5332</v>
      </c>
      <c r="H2312" t="str">
        <f>'Huong dan giao do an'!$B$14</f>
        <v>5 SV (vai trò chính): 1 PM/Scrum Master kiêm Integration; 2 BA/PO; 3 UI-UX + Frontend; 4 Backend/API + DevOps; 5 Database + QA/Tester. Mỗi SV có nhiệm vụ phụ và minh chứng cá nhân.</v>
      </c>
      <c r="I2312" t="s">
        <v>29</v>
      </c>
      <c r="J2312" t="s">
        <v>5301</v>
      </c>
      <c r="K2312" t="str">
        <f>IF(I2312="Trung bình",'Huong dan giao do an'!$B$8,IF(I2312="Khá",'Huong dan giao do an'!$B$9,'Huong dan giao do an'!$B$10))</f>
        <v>Tối thiểu 5 actor; 14-18 use case; 10-15 bảng; 4 quy trình; tích hợp ngoài/realtime hoặc xử lý nâng cao; 3 báo cáo; &gt;=45 test case; logging, backup và deploy.</v>
      </c>
      <c r="L2312" t="str">
        <f>'Huong dan giao do an'!$B$31</f>
        <v>Bắt buộc: Charter/PMP; SRS + scope/WBS; Gantt/baseline; effort-cost budget; RACI/timesheet; quality-test-defect; communication/minutes; risk register; procurement; change log; closure/lessons learned.</v>
      </c>
      <c r="M2312" t="str">
        <f>'Huong dan giao do an'!$B$33</f>
        <v>Tuần 1: 07.09–13.09.2026; Tuần 2: 14.09–20.09.2026; Tuần 3: 21.09–27.09.2026; Tuần 4: 28.09–04.10.2026; Tuần 5: 05.10–11.10.2026; Tuần 6: 12.10–18.10.2026; Tuần 7: 19.10–25.10.2026; Tuần 8: 26.10–01.11.2026.</v>
      </c>
      <c r="N23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2" s="17" t="str">
        <f t="shared" si="36"/>
        <v>Còn trống</v>
      </c>
    </row>
    <row r="2313" spans="1:16" x14ac:dyDescent="0.3">
      <c r="A2313">
        <v>2312</v>
      </c>
      <c r="B2313" t="s">
        <v>5291</v>
      </c>
      <c r="C2313" t="s">
        <v>5333</v>
      </c>
      <c r="D2313" t="s">
        <v>5334</v>
      </c>
      <c r="E2313" t="s">
        <v>45</v>
      </c>
      <c r="F2313" t="s">
        <v>5299</v>
      </c>
      <c r="G2313" t="s">
        <v>5335</v>
      </c>
      <c r="H2313" t="str">
        <f>'Huong dan giao do an'!$B$14</f>
        <v>5 SV (vai trò chính): 1 PM/Scrum Master kiêm Integration; 2 BA/PO; 3 UI-UX + Frontend; 4 Backend/API + DevOps; 5 Database + QA/Tester. Mỗi SV có nhiệm vụ phụ và minh chứng cá nhân.</v>
      </c>
      <c r="I2313" t="s">
        <v>36</v>
      </c>
      <c r="J2313" t="s">
        <v>5306</v>
      </c>
      <c r="K2313" t="str">
        <f>IF(I2313="Trung bình",'Huong dan giao do an'!$B$8,IF(I2313="Khá",'Huong dan giao do an'!$B$9,'Huong dan giao do an'!$B$10))</f>
        <v>Tối thiểu 3 actor; 8-10 use case; 6-8 bảng dữ liệu; 2 quy trình lõi; đăng nhập/RBAC; 1 dashboard; 1 báo cáo; &gt;=25 test case; triển khai bản demo.</v>
      </c>
      <c r="L2313" t="str">
        <f>'Huong dan giao do an'!$B$31</f>
        <v>Bắt buộc: Charter/PMP; SRS + scope/WBS; Gantt/baseline; effort-cost budget; RACI/timesheet; quality-test-defect; communication/minutes; risk register; procurement; change log; closure/lessons learned.</v>
      </c>
      <c r="M2313" t="str">
        <f>'Huong dan giao do an'!$B$33</f>
        <v>Tuần 1: 07.09–13.09.2026; Tuần 2: 14.09–20.09.2026; Tuần 3: 21.09–27.09.2026; Tuần 4: 28.09–04.10.2026; Tuần 5: 05.10–11.10.2026; Tuần 6: 12.10–18.10.2026; Tuần 7: 19.10–25.10.2026; Tuần 8: 26.10–01.11.2026.</v>
      </c>
      <c r="N23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3" s="17" t="str">
        <f t="shared" si="36"/>
        <v>Còn trống</v>
      </c>
    </row>
    <row r="2314" spans="1:16" x14ac:dyDescent="0.3">
      <c r="A2314">
        <v>2313</v>
      </c>
      <c r="B2314" t="s">
        <v>5291</v>
      </c>
      <c r="C2314" t="s">
        <v>5336</v>
      </c>
      <c r="D2314" t="s">
        <v>5337</v>
      </c>
      <c r="E2314" t="s">
        <v>19</v>
      </c>
      <c r="F2314" t="s">
        <v>5304</v>
      </c>
      <c r="G2314" t="s">
        <v>5338</v>
      </c>
      <c r="H2314" t="str">
        <f>'Huong dan giao do an'!$B$14</f>
        <v>5 SV (vai trò chính): 1 PM/Scrum Master kiêm Integration; 2 BA/PO; 3 UI-UX + Frontend; 4 Backend/API + DevOps; 5 Database + QA/Tester. Mỗi SV có nhiệm vụ phụ và minh chứng cá nhân.</v>
      </c>
      <c r="I2314" t="s">
        <v>22</v>
      </c>
      <c r="J2314" t="s">
        <v>5296</v>
      </c>
      <c r="K2314" t="str">
        <f>IF(I2314="Trung bình",'Huong dan giao do an'!$B$8,IF(I2314="Khá",'Huong dan giao do an'!$B$9,'Huong dan giao do an'!$B$10))</f>
        <v>Tối thiểu 4 actor; 10-14 use case; 8-12 bảng; 3 quy trình lõi; phân quyền chi tiết; 2 báo cáo; tích hợp 1 dịch vụ; &gt;=35 test case; CI/CD hoặc deploy cloud.</v>
      </c>
      <c r="L2314" t="str">
        <f>'Huong dan giao do an'!$B$31</f>
        <v>Bắt buộc: Charter/PMP; SRS + scope/WBS; Gantt/baseline; effort-cost budget; RACI/timesheet; quality-test-defect; communication/minutes; risk register; procurement; change log; closure/lessons learned.</v>
      </c>
      <c r="M2314" t="str">
        <f>'Huong dan giao do an'!$B$33</f>
        <v>Tuần 1: 07.09–13.09.2026; Tuần 2: 14.09–20.09.2026; Tuần 3: 21.09–27.09.2026; Tuần 4: 28.09–04.10.2026; Tuần 5: 05.10–11.10.2026; Tuần 6: 12.10–18.10.2026; Tuần 7: 19.10–25.10.2026; Tuần 8: 26.10–01.11.2026.</v>
      </c>
      <c r="N23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4" s="17" t="str">
        <f t="shared" si="36"/>
        <v>Còn trống</v>
      </c>
    </row>
    <row r="2315" spans="1:16" x14ac:dyDescent="0.3">
      <c r="A2315">
        <v>2314</v>
      </c>
      <c r="B2315" t="s">
        <v>5291</v>
      </c>
      <c r="C2315" t="s">
        <v>5339</v>
      </c>
      <c r="D2315" t="s">
        <v>5340</v>
      </c>
      <c r="E2315" t="s">
        <v>26</v>
      </c>
      <c r="F2315" t="s">
        <v>5309</v>
      </c>
      <c r="G2315" t="s">
        <v>5341</v>
      </c>
      <c r="H2315" t="str">
        <f>'Huong dan giao do an'!$B$14</f>
        <v>5 SV (vai trò chính): 1 PM/Scrum Master kiêm Integration; 2 BA/PO; 3 UI-UX + Frontend; 4 Backend/API + DevOps; 5 Database + QA/Tester. Mỗi SV có nhiệm vụ phụ và minh chứng cá nhân.</v>
      </c>
      <c r="I2315" t="s">
        <v>29</v>
      </c>
      <c r="J2315" t="s">
        <v>5301</v>
      </c>
      <c r="K2315" t="str">
        <f>IF(I2315="Trung bình",'Huong dan giao do an'!$B$8,IF(I2315="Khá",'Huong dan giao do an'!$B$9,'Huong dan giao do an'!$B$10))</f>
        <v>Tối thiểu 5 actor; 14-18 use case; 10-15 bảng; 4 quy trình; tích hợp ngoài/realtime hoặc xử lý nâng cao; 3 báo cáo; &gt;=45 test case; logging, backup và deploy.</v>
      </c>
      <c r="L2315" t="str">
        <f>'Huong dan giao do an'!$B$31</f>
        <v>Bắt buộc: Charter/PMP; SRS + scope/WBS; Gantt/baseline; effort-cost budget; RACI/timesheet; quality-test-defect; communication/minutes; risk register; procurement; change log; closure/lessons learned.</v>
      </c>
      <c r="M2315" t="str">
        <f>'Huong dan giao do an'!$B$33</f>
        <v>Tuần 1: 07.09–13.09.2026; Tuần 2: 14.09–20.09.2026; Tuần 3: 21.09–27.09.2026; Tuần 4: 28.09–04.10.2026; Tuần 5: 05.10–11.10.2026; Tuần 6: 12.10–18.10.2026; Tuần 7: 19.10–25.10.2026; Tuần 8: 26.10–01.11.2026.</v>
      </c>
      <c r="N23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5" s="17" t="str">
        <f t="shared" si="36"/>
        <v>Còn trống</v>
      </c>
    </row>
    <row r="2316" spans="1:16" x14ac:dyDescent="0.3">
      <c r="A2316">
        <v>2315</v>
      </c>
      <c r="B2316" t="s">
        <v>5291</v>
      </c>
      <c r="C2316" t="s">
        <v>5342</v>
      </c>
      <c r="D2316" t="s">
        <v>5343</v>
      </c>
      <c r="E2316" t="s">
        <v>33</v>
      </c>
      <c r="F2316" t="s">
        <v>5313</v>
      </c>
      <c r="G2316" t="s">
        <v>5344</v>
      </c>
      <c r="H2316" t="str">
        <f>'Huong dan giao do an'!$B$14</f>
        <v>5 SV (vai trò chính): 1 PM/Scrum Master kiêm Integration; 2 BA/PO; 3 UI-UX + Frontend; 4 Backend/API + DevOps; 5 Database + QA/Tester. Mỗi SV có nhiệm vụ phụ và minh chứng cá nhân.</v>
      </c>
      <c r="I2316" t="s">
        <v>36</v>
      </c>
      <c r="J2316" t="s">
        <v>5306</v>
      </c>
      <c r="K2316" t="str">
        <f>IF(I2316="Trung bình",'Huong dan giao do an'!$B$8,IF(I2316="Khá",'Huong dan giao do an'!$B$9,'Huong dan giao do an'!$B$10))</f>
        <v>Tối thiểu 3 actor; 8-10 use case; 6-8 bảng dữ liệu; 2 quy trình lõi; đăng nhập/RBAC; 1 dashboard; 1 báo cáo; &gt;=25 test case; triển khai bản demo.</v>
      </c>
      <c r="L2316" t="str">
        <f>'Huong dan giao do an'!$B$31</f>
        <v>Bắt buộc: Charter/PMP; SRS + scope/WBS; Gantt/baseline; effort-cost budget; RACI/timesheet; quality-test-defect; communication/minutes; risk register; procurement; change log; closure/lessons learned.</v>
      </c>
      <c r="M2316" t="str">
        <f>'Huong dan giao do an'!$B$33</f>
        <v>Tuần 1: 07.09–13.09.2026; Tuần 2: 14.09–20.09.2026; Tuần 3: 21.09–27.09.2026; Tuần 4: 28.09–04.10.2026; Tuần 5: 05.10–11.10.2026; Tuần 6: 12.10–18.10.2026; Tuần 7: 19.10–25.10.2026; Tuần 8: 26.10–01.11.2026.</v>
      </c>
      <c r="N23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6" s="17" t="str">
        <f t="shared" si="36"/>
        <v>Còn trống</v>
      </c>
    </row>
    <row r="2317" spans="1:16" x14ac:dyDescent="0.3">
      <c r="A2317">
        <v>2316</v>
      </c>
      <c r="B2317" t="s">
        <v>5291</v>
      </c>
      <c r="C2317" t="s">
        <v>5345</v>
      </c>
      <c r="D2317" t="s">
        <v>5346</v>
      </c>
      <c r="E2317" t="s">
        <v>40</v>
      </c>
      <c r="F2317" t="s">
        <v>5294</v>
      </c>
      <c r="G2317" t="s">
        <v>5347</v>
      </c>
      <c r="H2317" t="str">
        <f>'Huong dan giao do an'!$B$14</f>
        <v>5 SV (vai trò chính): 1 PM/Scrum Master kiêm Integration; 2 BA/PO; 3 UI-UX + Frontend; 4 Backend/API + DevOps; 5 Database + QA/Tester. Mỗi SV có nhiệm vụ phụ và minh chứng cá nhân.</v>
      </c>
      <c r="I2317" t="s">
        <v>22</v>
      </c>
      <c r="J2317" t="s">
        <v>5296</v>
      </c>
      <c r="K2317" t="str">
        <f>IF(I2317="Trung bình",'Huong dan giao do an'!$B$8,IF(I2317="Khá",'Huong dan giao do an'!$B$9,'Huong dan giao do an'!$B$10))</f>
        <v>Tối thiểu 4 actor; 10-14 use case; 8-12 bảng; 3 quy trình lõi; phân quyền chi tiết; 2 báo cáo; tích hợp 1 dịch vụ; &gt;=35 test case; CI/CD hoặc deploy cloud.</v>
      </c>
      <c r="L2317" t="str">
        <f>'Huong dan giao do an'!$B$31</f>
        <v>Bắt buộc: Charter/PMP; SRS + scope/WBS; Gantt/baseline; effort-cost budget; RACI/timesheet; quality-test-defect; communication/minutes; risk register; procurement; change log; closure/lessons learned.</v>
      </c>
      <c r="M2317" t="str">
        <f>'Huong dan giao do an'!$B$33</f>
        <v>Tuần 1: 07.09–13.09.2026; Tuần 2: 14.09–20.09.2026; Tuần 3: 21.09–27.09.2026; Tuần 4: 28.09–04.10.2026; Tuần 5: 05.10–11.10.2026; Tuần 6: 12.10–18.10.2026; Tuần 7: 19.10–25.10.2026; Tuần 8: 26.10–01.11.2026.</v>
      </c>
      <c r="N23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7" s="17" t="str">
        <f t="shared" si="36"/>
        <v>Còn trống</v>
      </c>
    </row>
    <row r="2318" spans="1:16" x14ac:dyDescent="0.3">
      <c r="A2318">
        <v>2317</v>
      </c>
      <c r="B2318" t="s">
        <v>5291</v>
      </c>
      <c r="C2318" t="s">
        <v>5348</v>
      </c>
      <c r="D2318" t="s">
        <v>5349</v>
      </c>
      <c r="E2318" t="s">
        <v>45</v>
      </c>
      <c r="F2318" t="s">
        <v>5299</v>
      </c>
      <c r="G2318" t="s">
        <v>5350</v>
      </c>
      <c r="H2318" t="str">
        <f>'Huong dan giao do an'!$B$14</f>
        <v>5 SV (vai trò chính): 1 PM/Scrum Master kiêm Integration; 2 BA/PO; 3 UI-UX + Frontend; 4 Backend/API + DevOps; 5 Database + QA/Tester. Mỗi SV có nhiệm vụ phụ và minh chứng cá nhân.</v>
      </c>
      <c r="I2318" t="s">
        <v>29</v>
      </c>
      <c r="J2318" t="s">
        <v>5301</v>
      </c>
      <c r="K2318" t="str">
        <f>IF(I2318="Trung bình",'Huong dan giao do an'!$B$8,IF(I2318="Khá",'Huong dan giao do an'!$B$9,'Huong dan giao do an'!$B$10))</f>
        <v>Tối thiểu 5 actor; 14-18 use case; 10-15 bảng; 4 quy trình; tích hợp ngoài/realtime hoặc xử lý nâng cao; 3 báo cáo; &gt;=45 test case; logging, backup và deploy.</v>
      </c>
      <c r="L2318" t="str">
        <f>'Huong dan giao do an'!$B$31</f>
        <v>Bắt buộc: Charter/PMP; SRS + scope/WBS; Gantt/baseline; effort-cost budget; RACI/timesheet; quality-test-defect; communication/minutes; risk register; procurement; change log; closure/lessons learned.</v>
      </c>
      <c r="M2318" t="str">
        <f>'Huong dan giao do an'!$B$33</f>
        <v>Tuần 1: 07.09–13.09.2026; Tuần 2: 14.09–20.09.2026; Tuần 3: 21.09–27.09.2026; Tuần 4: 28.09–04.10.2026; Tuần 5: 05.10–11.10.2026; Tuần 6: 12.10–18.10.2026; Tuần 7: 19.10–25.10.2026; Tuần 8: 26.10–01.11.2026.</v>
      </c>
      <c r="N23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8" s="17" t="str">
        <f t="shared" si="36"/>
        <v>Còn trống</v>
      </c>
    </row>
    <row r="2319" spans="1:16" x14ac:dyDescent="0.3">
      <c r="A2319">
        <v>2318</v>
      </c>
      <c r="B2319" t="s">
        <v>5291</v>
      </c>
      <c r="C2319" t="s">
        <v>5351</v>
      </c>
      <c r="D2319" t="s">
        <v>5352</v>
      </c>
      <c r="E2319" t="s">
        <v>19</v>
      </c>
      <c r="F2319" t="s">
        <v>5304</v>
      </c>
      <c r="G2319" t="s">
        <v>5353</v>
      </c>
      <c r="H2319" t="str">
        <f>'Huong dan giao do an'!$B$14</f>
        <v>5 SV (vai trò chính): 1 PM/Scrum Master kiêm Integration; 2 BA/PO; 3 UI-UX + Frontend; 4 Backend/API + DevOps; 5 Database + QA/Tester. Mỗi SV có nhiệm vụ phụ và minh chứng cá nhân.</v>
      </c>
      <c r="I2319" t="s">
        <v>36</v>
      </c>
      <c r="J2319" t="s">
        <v>5306</v>
      </c>
      <c r="K2319" t="str">
        <f>IF(I2319="Trung bình",'Huong dan giao do an'!$B$8,IF(I2319="Khá",'Huong dan giao do an'!$B$9,'Huong dan giao do an'!$B$10))</f>
        <v>Tối thiểu 3 actor; 8-10 use case; 6-8 bảng dữ liệu; 2 quy trình lõi; đăng nhập/RBAC; 1 dashboard; 1 báo cáo; &gt;=25 test case; triển khai bản demo.</v>
      </c>
      <c r="L2319" t="str">
        <f>'Huong dan giao do an'!$B$31</f>
        <v>Bắt buộc: Charter/PMP; SRS + scope/WBS; Gantt/baseline; effort-cost budget; RACI/timesheet; quality-test-defect; communication/minutes; risk register; procurement; change log; closure/lessons learned.</v>
      </c>
      <c r="M2319" t="str">
        <f>'Huong dan giao do an'!$B$33</f>
        <v>Tuần 1: 07.09–13.09.2026; Tuần 2: 14.09–20.09.2026; Tuần 3: 21.09–27.09.2026; Tuần 4: 28.09–04.10.2026; Tuần 5: 05.10–11.10.2026; Tuần 6: 12.10–18.10.2026; Tuần 7: 19.10–25.10.2026; Tuần 8: 26.10–01.11.2026.</v>
      </c>
      <c r="N23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19" s="17" t="str">
        <f t="shared" si="36"/>
        <v>Còn trống</v>
      </c>
    </row>
    <row r="2320" spans="1:16" x14ac:dyDescent="0.3">
      <c r="A2320">
        <v>2319</v>
      </c>
      <c r="B2320" t="s">
        <v>5291</v>
      </c>
      <c r="C2320" t="s">
        <v>5354</v>
      </c>
      <c r="D2320" t="s">
        <v>5355</v>
      </c>
      <c r="E2320" t="s">
        <v>26</v>
      </c>
      <c r="F2320" t="s">
        <v>5309</v>
      </c>
      <c r="G2320" t="s">
        <v>5356</v>
      </c>
      <c r="H2320" t="str">
        <f>'Huong dan giao do an'!$B$14</f>
        <v>5 SV (vai trò chính): 1 PM/Scrum Master kiêm Integration; 2 BA/PO; 3 UI-UX + Frontend; 4 Backend/API + DevOps; 5 Database + QA/Tester. Mỗi SV có nhiệm vụ phụ và minh chứng cá nhân.</v>
      </c>
      <c r="I2320" t="s">
        <v>22</v>
      </c>
      <c r="J2320" t="s">
        <v>5296</v>
      </c>
      <c r="K2320" t="str">
        <f>IF(I2320="Trung bình",'Huong dan giao do an'!$B$8,IF(I2320="Khá",'Huong dan giao do an'!$B$9,'Huong dan giao do an'!$B$10))</f>
        <v>Tối thiểu 4 actor; 10-14 use case; 8-12 bảng; 3 quy trình lõi; phân quyền chi tiết; 2 báo cáo; tích hợp 1 dịch vụ; &gt;=35 test case; CI/CD hoặc deploy cloud.</v>
      </c>
      <c r="L2320" t="str">
        <f>'Huong dan giao do an'!$B$31</f>
        <v>Bắt buộc: Charter/PMP; SRS + scope/WBS; Gantt/baseline; effort-cost budget; RACI/timesheet; quality-test-defect; communication/minutes; risk register; procurement; change log; closure/lessons learned.</v>
      </c>
      <c r="M2320" t="str">
        <f>'Huong dan giao do an'!$B$33</f>
        <v>Tuần 1: 07.09–13.09.2026; Tuần 2: 14.09–20.09.2026; Tuần 3: 21.09–27.09.2026; Tuần 4: 28.09–04.10.2026; Tuần 5: 05.10–11.10.2026; Tuần 6: 12.10–18.10.2026; Tuần 7: 19.10–25.10.2026; Tuần 8: 26.10–01.11.2026.</v>
      </c>
      <c r="N23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0" s="17" t="str">
        <f t="shared" si="36"/>
        <v>Còn trống</v>
      </c>
    </row>
    <row r="2321" spans="1:16" x14ac:dyDescent="0.3">
      <c r="A2321">
        <v>2320</v>
      </c>
      <c r="B2321" t="s">
        <v>5291</v>
      </c>
      <c r="C2321" t="s">
        <v>5357</v>
      </c>
      <c r="D2321" t="s">
        <v>5358</v>
      </c>
      <c r="E2321" t="s">
        <v>33</v>
      </c>
      <c r="F2321" t="s">
        <v>5313</v>
      </c>
      <c r="G2321" t="s">
        <v>5359</v>
      </c>
      <c r="H2321" t="str">
        <f>'Huong dan giao do an'!$B$14</f>
        <v>5 SV (vai trò chính): 1 PM/Scrum Master kiêm Integration; 2 BA/PO; 3 UI-UX + Frontend; 4 Backend/API + DevOps; 5 Database + QA/Tester. Mỗi SV có nhiệm vụ phụ và minh chứng cá nhân.</v>
      </c>
      <c r="I2321" t="s">
        <v>29</v>
      </c>
      <c r="J2321" t="s">
        <v>5301</v>
      </c>
      <c r="K2321" t="str">
        <f>IF(I2321="Trung bình",'Huong dan giao do an'!$B$8,IF(I2321="Khá",'Huong dan giao do an'!$B$9,'Huong dan giao do an'!$B$10))</f>
        <v>Tối thiểu 5 actor; 14-18 use case; 10-15 bảng; 4 quy trình; tích hợp ngoài/realtime hoặc xử lý nâng cao; 3 báo cáo; &gt;=45 test case; logging, backup và deploy.</v>
      </c>
      <c r="L2321" t="str">
        <f>'Huong dan giao do an'!$B$31</f>
        <v>Bắt buộc: Charter/PMP; SRS + scope/WBS; Gantt/baseline; effort-cost budget; RACI/timesheet; quality-test-defect; communication/minutes; risk register; procurement; change log; closure/lessons learned.</v>
      </c>
      <c r="M2321" t="str">
        <f>'Huong dan giao do an'!$B$33</f>
        <v>Tuần 1: 07.09–13.09.2026; Tuần 2: 14.09–20.09.2026; Tuần 3: 21.09–27.09.2026; Tuần 4: 28.09–04.10.2026; Tuần 5: 05.10–11.10.2026; Tuần 6: 12.10–18.10.2026; Tuần 7: 19.10–25.10.2026; Tuần 8: 26.10–01.11.2026.</v>
      </c>
      <c r="N23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1" s="17" t="str">
        <f t="shared" si="36"/>
        <v>Còn trống</v>
      </c>
    </row>
    <row r="2322" spans="1:16" x14ac:dyDescent="0.3">
      <c r="A2322">
        <v>2321</v>
      </c>
      <c r="B2322" t="s">
        <v>5291</v>
      </c>
      <c r="C2322" t="s">
        <v>5360</v>
      </c>
      <c r="D2322" t="s">
        <v>5361</v>
      </c>
      <c r="E2322" t="s">
        <v>40</v>
      </c>
      <c r="F2322" t="s">
        <v>5294</v>
      </c>
      <c r="G2322" t="s">
        <v>5295</v>
      </c>
      <c r="H2322" t="str">
        <f>'Huong dan giao do an'!$B$14</f>
        <v>5 SV (vai trò chính): 1 PM/Scrum Master kiêm Integration; 2 BA/PO; 3 UI-UX + Frontend; 4 Backend/API + DevOps; 5 Database + QA/Tester. Mỗi SV có nhiệm vụ phụ và minh chứng cá nhân.</v>
      </c>
      <c r="I2322" t="s">
        <v>22</v>
      </c>
      <c r="J2322" t="s">
        <v>5296</v>
      </c>
      <c r="K2322" t="str">
        <f>IF(I2322="Trung bình",'Huong dan giao do an'!$B$8,IF(I2322="Khá",'Huong dan giao do an'!$B$9,'Huong dan giao do an'!$B$10))</f>
        <v>Tối thiểu 4 actor; 10-14 use case; 8-12 bảng; 3 quy trình lõi; phân quyền chi tiết; 2 báo cáo; tích hợp 1 dịch vụ; &gt;=35 test case; CI/CD hoặc deploy cloud.</v>
      </c>
      <c r="L2322" t="str">
        <f>'Huong dan giao do an'!$B$31</f>
        <v>Bắt buộc: Charter/PMP; SRS + scope/WBS; Gantt/baseline; effort-cost budget; RACI/timesheet; quality-test-defect; communication/minutes; risk register; procurement; change log; closure/lessons learned.</v>
      </c>
      <c r="M2322" t="str">
        <f>'Huong dan giao do an'!$B$33</f>
        <v>Tuần 1: 07.09–13.09.2026; Tuần 2: 14.09–20.09.2026; Tuần 3: 21.09–27.09.2026; Tuần 4: 28.09–04.10.2026; Tuần 5: 05.10–11.10.2026; Tuần 6: 12.10–18.10.2026; Tuần 7: 19.10–25.10.2026; Tuần 8: 26.10–01.11.2026.</v>
      </c>
      <c r="N23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2" s="17" t="str">
        <f t="shared" si="36"/>
        <v>Còn trống</v>
      </c>
    </row>
    <row r="2323" spans="1:16" x14ac:dyDescent="0.3">
      <c r="A2323">
        <v>2322</v>
      </c>
      <c r="B2323" t="s">
        <v>5291</v>
      </c>
      <c r="C2323" t="s">
        <v>5362</v>
      </c>
      <c r="D2323" t="s">
        <v>5363</v>
      </c>
      <c r="E2323" t="s">
        <v>45</v>
      </c>
      <c r="F2323" t="s">
        <v>5299</v>
      </c>
      <c r="G2323" t="s">
        <v>5300</v>
      </c>
      <c r="H2323" t="str">
        <f>'Huong dan giao do an'!$B$14</f>
        <v>5 SV (vai trò chính): 1 PM/Scrum Master kiêm Integration; 2 BA/PO; 3 UI-UX + Frontend; 4 Backend/API + DevOps; 5 Database + QA/Tester. Mỗi SV có nhiệm vụ phụ và minh chứng cá nhân.</v>
      </c>
      <c r="I2323" t="s">
        <v>29</v>
      </c>
      <c r="J2323" t="s">
        <v>5301</v>
      </c>
      <c r="K2323" t="str">
        <f>IF(I2323="Trung bình",'Huong dan giao do an'!$B$8,IF(I2323="Khá",'Huong dan giao do an'!$B$9,'Huong dan giao do an'!$B$10))</f>
        <v>Tối thiểu 5 actor; 14-18 use case; 10-15 bảng; 4 quy trình; tích hợp ngoài/realtime hoặc xử lý nâng cao; 3 báo cáo; &gt;=45 test case; logging, backup và deploy.</v>
      </c>
      <c r="L2323" t="str">
        <f>'Huong dan giao do an'!$B$31</f>
        <v>Bắt buộc: Charter/PMP; SRS + scope/WBS; Gantt/baseline; effort-cost budget; RACI/timesheet; quality-test-defect; communication/minutes; risk register; procurement; change log; closure/lessons learned.</v>
      </c>
      <c r="M2323" t="str">
        <f>'Huong dan giao do an'!$B$33</f>
        <v>Tuần 1: 07.09–13.09.2026; Tuần 2: 14.09–20.09.2026; Tuần 3: 21.09–27.09.2026; Tuần 4: 28.09–04.10.2026; Tuần 5: 05.10–11.10.2026; Tuần 6: 12.10–18.10.2026; Tuần 7: 19.10–25.10.2026; Tuần 8: 26.10–01.11.2026.</v>
      </c>
      <c r="N23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3" s="17" t="str">
        <f t="shared" si="36"/>
        <v>Còn trống</v>
      </c>
    </row>
    <row r="2324" spans="1:16" x14ac:dyDescent="0.3">
      <c r="A2324">
        <v>2323</v>
      </c>
      <c r="B2324" t="s">
        <v>5291</v>
      </c>
      <c r="C2324" t="s">
        <v>5364</v>
      </c>
      <c r="D2324" t="s">
        <v>5365</v>
      </c>
      <c r="E2324" t="s">
        <v>19</v>
      </c>
      <c r="F2324" t="s">
        <v>5304</v>
      </c>
      <c r="G2324" t="s">
        <v>5305</v>
      </c>
      <c r="H2324" t="str">
        <f>'Huong dan giao do an'!$B$14</f>
        <v>5 SV (vai trò chính): 1 PM/Scrum Master kiêm Integration; 2 BA/PO; 3 UI-UX + Frontend; 4 Backend/API + DevOps; 5 Database + QA/Tester. Mỗi SV có nhiệm vụ phụ và minh chứng cá nhân.</v>
      </c>
      <c r="I2324" t="s">
        <v>36</v>
      </c>
      <c r="J2324" t="s">
        <v>5306</v>
      </c>
      <c r="K2324" t="str">
        <f>IF(I2324="Trung bình",'Huong dan giao do an'!$B$8,IF(I2324="Khá",'Huong dan giao do an'!$B$9,'Huong dan giao do an'!$B$10))</f>
        <v>Tối thiểu 3 actor; 8-10 use case; 6-8 bảng dữ liệu; 2 quy trình lõi; đăng nhập/RBAC; 1 dashboard; 1 báo cáo; &gt;=25 test case; triển khai bản demo.</v>
      </c>
      <c r="L2324" t="str">
        <f>'Huong dan giao do an'!$B$31</f>
        <v>Bắt buộc: Charter/PMP; SRS + scope/WBS; Gantt/baseline; effort-cost budget; RACI/timesheet; quality-test-defect; communication/minutes; risk register; procurement; change log; closure/lessons learned.</v>
      </c>
      <c r="M2324" t="str">
        <f>'Huong dan giao do an'!$B$33</f>
        <v>Tuần 1: 07.09–13.09.2026; Tuần 2: 14.09–20.09.2026; Tuần 3: 21.09–27.09.2026; Tuần 4: 28.09–04.10.2026; Tuần 5: 05.10–11.10.2026; Tuần 6: 12.10–18.10.2026; Tuần 7: 19.10–25.10.2026; Tuần 8: 26.10–01.11.2026.</v>
      </c>
      <c r="N23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4" s="17" t="str">
        <f t="shared" si="36"/>
        <v>Còn trống</v>
      </c>
    </row>
    <row r="2325" spans="1:16" x14ac:dyDescent="0.3">
      <c r="A2325">
        <v>2324</v>
      </c>
      <c r="B2325" t="s">
        <v>5291</v>
      </c>
      <c r="C2325" t="s">
        <v>5366</v>
      </c>
      <c r="D2325" t="s">
        <v>5367</v>
      </c>
      <c r="E2325" t="s">
        <v>26</v>
      </c>
      <c r="F2325" t="s">
        <v>5309</v>
      </c>
      <c r="G2325" t="s">
        <v>5310</v>
      </c>
      <c r="H2325" t="str">
        <f>'Huong dan giao do an'!$B$14</f>
        <v>5 SV (vai trò chính): 1 PM/Scrum Master kiêm Integration; 2 BA/PO; 3 UI-UX + Frontend; 4 Backend/API + DevOps; 5 Database + QA/Tester. Mỗi SV có nhiệm vụ phụ và minh chứng cá nhân.</v>
      </c>
      <c r="I2325" t="s">
        <v>22</v>
      </c>
      <c r="J2325" t="s">
        <v>5296</v>
      </c>
      <c r="K2325" t="str">
        <f>IF(I2325="Trung bình",'Huong dan giao do an'!$B$8,IF(I2325="Khá",'Huong dan giao do an'!$B$9,'Huong dan giao do an'!$B$10))</f>
        <v>Tối thiểu 4 actor; 10-14 use case; 8-12 bảng; 3 quy trình lõi; phân quyền chi tiết; 2 báo cáo; tích hợp 1 dịch vụ; &gt;=35 test case; CI/CD hoặc deploy cloud.</v>
      </c>
      <c r="L2325" t="str">
        <f>'Huong dan giao do an'!$B$31</f>
        <v>Bắt buộc: Charter/PMP; SRS + scope/WBS; Gantt/baseline; effort-cost budget; RACI/timesheet; quality-test-defect; communication/minutes; risk register; procurement; change log; closure/lessons learned.</v>
      </c>
      <c r="M2325" t="str">
        <f>'Huong dan giao do an'!$B$33</f>
        <v>Tuần 1: 07.09–13.09.2026; Tuần 2: 14.09–20.09.2026; Tuần 3: 21.09–27.09.2026; Tuần 4: 28.09–04.10.2026; Tuần 5: 05.10–11.10.2026; Tuần 6: 12.10–18.10.2026; Tuần 7: 19.10–25.10.2026; Tuần 8: 26.10–01.11.2026.</v>
      </c>
      <c r="N23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5" s="17" t="str">
        <f t="shared" si="36"/>
        <v>Còn trống</v>
      </c>
    </row>
    <row r="2326" spans="1:16" x14ac:dyDescent="0.3">
      <c r="A2326">
        <v>2325</v>
      </c>
      <c r="B2326" t="s">
        <v>5291</v>
      </c>
      <c r="C2326" t="s">
        <v>5368</v>
      </c>
      <c r="D2326" t="s">
        <v>5369</v>
      </c>
      <c r="E2326" t="s">
        <v>33</v>
      </c>
      <c r="F2326" t="s">
        <v>5313</v>
      </c>
      <c r="G2326" t="s">
        <v>5314</v>
      </c>
      <c r="H2326" t="str">
        <f>'Huong dan giao do an'!$B$14</f>
        <v>5 SV (vai trò chính): 1 PM/Scrum Master kiêm Integration; 2 BA/PO; 3 UI-UX + Frontend; 4 Backend/API + DevOps; 5 Database + QA/Tester. Mỗi SV có nhiệm vụ phụ và minh chứng cá nhân.</v>
      </c>
      <c r="I2326" t="s">
        <v>29</v>
      </c>
      <c r="J2326" t="s">
        <v>5301</v>
      </c>
      <c r="K2326" t="str">
        <f>IF(I2326="Trung bình",'Huong dan giao do an'!$B$8,IF(I2326="Khá",'Huong dan giao do an'!$B$9,'Huong dan giao do an'!$B$10))</f>
        <v>Tối thiểu 5 actor; 14-18 use case; 10-15 bảng; 4 quy trình; tích hợp ngoài/realtime hoặc xử lý nâng cao; 3 báo cáo; &gt;=45 test case; logging, backup và deploy.</v>
      </c>
      <c r="L2326" t="str">
        <f>'Huong dan giao do an'!$B$31</f>
        <v>Bắt buộc: Charter/PMP; SRS + scope/WBS; Gantt/baseline; effort-cost budget; RACI/timesheet; quality-test-defect; communication/minutes; risk register; procurement; change log; closure/lessons learned.</v>
      </c>
      <c r="M2326" t="str">
        <f>'Huong dan giao do an'!$B$33</f>
        <v>Tuần 1: 07.09–13.09.2026; Tuần 2: 14.09–20.09.2026; Tuần 3: 21.09–27.09.2026; Tuần 4: 28.09–04.10.2026; Tuần 5: 05.10–11.10.2026; Tuần 6: 12.10–18.10.2026; Tuần 7: 19.10–25.10.2026; Tuần 8: 26.10–01.11.2026.</v>
      </c>
      <c r="N23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6" s="17" t="str">
        <f t="shared" si="36"/>
        <v>Còn trống</v>
      </c>
    </row>
    <row r="2327" spans="1:16" x14ac:dyDescent="0.3">
      <c r="A2327">
        <v>2326</v>
      </c>
      <c r="B2327" t="s">
        <v>5291</v>
      </c>
      <c r="C2327" t="s">
        <v>5370</v>
      </c>
      <c r="D2327" t="s">
        <v>5371</v>
      </c>
      <c r="E2327" t="s">
        <v>40</v>
      </c>
      <c r="F2327" t="s">
        <v>5294</v>
      </c>
      <c r="G2327" t="s">
        <v>5317</v>
      </c>
      <c r="H2327" t="str">
        <f>'Huong dan giao do an'!$B$14</f>
        <v>5 SV (vai trò chính): 1 PM/Scrum Master kiêm Integration; 2 BA/PO; 3 UI-UX + Frontend; 4 Backend/API + DevOps; 5 Database + QA/Tester. Mỗi SV có nhiệm vụ phụ và minh chứng cá nhân.</v>
      </c>
      <c r="I2327" t="s">
        <v>36</v>
      </c>
      <c r="J2327" t="s">
        <v>5306</v>
      </c>
      <c r="K2327" t="str">
        <f>IF(I2327="Trung bình",'Huong dan giao do an'!$B$8,IF(I2327="Khá",'Huong dan giao do an'!$B$9,'Huong dan giao do an'!$B$10))</f>
        <v>Tối thiểu 3 actor; 8-10 use case; 6-8 bảng dữ liệu; 2 quy trình lõi; đăng nhập/RBAC; 1 dashboard; 1 báo cáo; &gt;=25 test case; triển khai bản demo.</v>
      </c>
      <c r="L2327" t="str">
        <f>'Huong dan giao do an'!$B$31</f>
        <v>Bắt buộc: Charter/PMP; SRS + scope/WBS; Gantt/baseline; effort-cost budget; RACI/timesheet; quality-test-defect; communication/minutes; risk register; procurement; change log; closure/lessons learned.</v>
      </c>
      <c r="M2327" t="str">
        <f>'Huong dan giao do an'!$B$33</f>
        <v>Tuần 1: 07.09–13.09.2026; Tuần 2: 14.09–20.09.2026; Tuần 3: 21.09–27.09.2026; Tuần 4: 28.09–04.10.2026; Tuần 5: 05.10–11.10.2026; Tuần 6: 12.10–18.10.2026; Tuần 7: 19.10–25.10.2026; Tuần 8: 26.10–01.11.2026.</v>
      </c>
      <c r="N23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7" s="17" t="str">
        <f t="shared" si="36"/>
        <v>Còn trống</v>
      </c>
    </row>
    <row r="2328" spans="1:16" x14ac:dyDescent="0.3">
      <c r="A2328">
        <v>2327</v>
      </c>
      <c r="B2328" t="s">
        <v>5291</v>
      </c>
      <c r="C2328" t="s">
        <v>5372</v>
      </c>
      <c r="D2328" t="s">
        <v>5373</v>
      </c>
      <c r="E2328" t="s">
        <v>45</v>
      </c>
      <c r="F2328" t="s">
        <v>5299</v>
      </c>
      <c r="G2328" t="s">
        <v>5320</v>
      </c>
      <c r="H2328" t="str">
        <f>'Huong dan giao do an'!$B$14</f>
        <v>5 SV (vai trò chính): 1 PM/Scrum Master kiêm Integration; 2 BA/PO; 3 UI-UX + Frontend; 4 Backend/API + DevOps; 5 Database + QA/Tester. Mỗi SV có nhiệm vụ phụ và minh chứng cá nhân.</v>
      </c>
      <c r="I2328" t="s">
        <v>22</v>
      </c>
      <c r="J2328" t="s">
        <v>5296</v>
      </c>
      <c r="K2328" t="str">
        <f>IF(I2328="Trung bình",'Huong dan giao do an'!$B$8,IF(I2328="Khá",'Huong dan giao do an'!$B$9,'Huong dan giao do an'!$B$10))</f>
        <v>Tối thiểu 4 actor; 10-14 use case; 8-12 bảng; 3 quy trình lõi; phân quyền chi tiết; 2 báo cáo; tích hợp 1 dịch vụ; &gt;=35 test case; CI/CD hoặc deploy cloud.</v>
      </c>
      <c r="L2328" t="str">
        <f>'Huong dan giao do an'!$B$31</f>
        <v>Bắt buộc: Charter/PMP; SRS + scope/WBS; Gantt/baseline; effort-cost budget; RACI/timesheet; quality-test-defect; communication/minutes; risk register; procurement; change log; closure/lessons learned.</v>
      </c>
      <c r="M2328" t="str">
        <f>'Huong dan giao do an'!$B$33</f>
        <v>Tuần 1: 07.09–13.09.2026; Tuần 2: 14.09–20.09.2026; Tuần 3: 21.09–27.09.2026; Tuần 4: 28.09–04.10.2026; Tuần 5: 05.10–11.10.2026; Tuần 6: 12.10–18.10.2026; Tuần 7: 19.10–25.10.2026; Tuần 8: 26.10–01.11.2026.</v>
      </c>
      <c r="N23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8" s="17" t="str">
        <f t="shared" si="36"/>
        <v>Còn trống</v>
      </c>
    </row>
    <row r="2329" spans="1:16" x14ac:dyDescent="0.3">
      <c r="A2329">
        <v>2328</v>
      </c>
      <c r="B2329" t="s">
        <v>5291</v>
      </c>
      <c r="C2329" t="s">
        <v>5374</v>
      </c>
      <c r="D2329" t="s">
        <v>5375</v>
      </c>
      <c r="E2329" t="s">
        <v>19</v>
      </c>
      <c r="F2329" t="s">
        <v>5304</v>
      </c>
      <c r="G2329" t="s">
        <v>5323</v>
      </c>
      <c r="H2329" t="str">
        <f>'Huong dan giao do an'!$B$14</f>
        <v>5 SV (vai trò chính): 1 PM/Scrum Master kiêm Integration; 2 BA/PO; 3 UI-UX + Frontend; 4 Backend/API + DevOps; 5 Database + QA/Tester. Mỗi SV có nhiệm vụ phụ và minh chứng cá nhân.</v>
      </c>
      <c r="I2329" t="s">
        <v>29</v>
      </c>
      <c r="J2329" t="s">
        <v>5301</v>
      </c>
      <c r="K2329" t="str">
        <f>IF(I2329="Trung bình",'Huong dan giao do an'!$B$8,IF(I2329="Khá",'Huong dan giao do an'!$B$9,'Huong dan giao do an'!$B$10))</f>
        <v>Tối thiểu 5 actor; 14-18 use case; 10-15 bảng; 4 quy trình; tích hợp ngoài/realtime hoặc xử lý nâng cao; 3 báo cáo; &gt;=45 test case; logging, backup và deploy.</v>
      </c>
      <c r="L2329" t="str">
        <f>'Huong dan giao do an'!$B$31</f>
        <v>Bắt buộc: Charter/PMP; SRS + scope/WBS; Gantt/baseline; effort-cost budget; RACI/timesheet; quality-test-defect; communication/minutes; risk register; procurement; change log; closure/lessons learned.</v>
      </c>
      <c r="M2329" t="str">
        <f>'Huong dan giao do an'!$B$33</f>
        <v>Tuần 1: 07.09–13.09.2026; Tuần 2: 14.09–20.09.2026; Tuần 3: 21.09–27.09.2026; Tuần 4: 28.09–04.10.2026; Tuần 5: 05.10–11.10.2026; Tuần 6: 12.10–18.10.2026; Tuần 7: 19.10–25.10.2026; Tuần 8: 26.10–01.11.2026.</v>
      </c>
      <c r="N23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29" s="17" t="str">
        <f t="shared" si="36"/>
        <v>Còn trống</v>
      </c>
    </row>
    <row r="2330" spans="1:16" x14ac:dyDescent="0.3">
      <c r="A2330">
        <v>2329</v>
      </c>
      <c r="B2330" t="s">
        <v>5291</v>
      </c>
      <c r="C2330" t="s">
        <v>5376</v>
      </c>
      <c r="D2330" t="s">
        <v>5377</v>
      </c>
      <c r="E2330" t="s">
        <v>26</v>
      </c>
      <c r="F2330" t="s">
        <v>5309</v>
      </c>
      <c r="G2330" t="s">
        <v>5326</v>
      </c>
      <c r="H2330" t="str">
        <f>'Huong dan giao do an'!$B$14</f>
        <v>5 SV (vai trò chính): 1 PM/Scrum Master kiêm Integration; 2 BA/PO; 3 UI-UX + Frontend; 4 Backend/API + DevOps; 5 Database + QA/Tester. Mỗi SV có nhiệm vụ phụ và minh chứng cá nhân.</v>
      </c>
      <c r="I2330" t="s">
        <v>36</v>
      </c>
      <c r="J2330" t="s">
        <v>5306</v>
      </c>
      <c r="K2330" t="str">
        <f>IF(I2330="Trung bình",'Huong dan giao do an'!$B$8,IF(I2330="Khá",'Huong dan giao do an'!$B$9,'Huong dan giao do an'!$B$10))</f>
        <v>Tối thiểu 3 actor; 8-10 use case; 6-8 bảng dữ liệu; 2 quy trình lõi; đăng nhập/RBAC; 1 dashboard; 1 báo cáo; &gt;=25 test case; triển khai bản demo.</v>
      </c>
      <c r="L2330" t="str">
        <f>'Huong dan giao do an'!$B$31</f>
        <v>Bắt buộc: Charter/PMP; SRS + scope/WBS; Gantt/baseline; effort-cost budget; RACI/timesheet; quality-test-defect; communication/minutes; risk register; procurement; change log; closure/lessons learned.</v>
      </c>
      <c r="M2330" t="str">
        <f>'Huong dan giao do an'!$B$33</f>
        <v>Tuần 1: 07.09–13.09.2026; Tuần 2: 14.09–20.09.2026; Tuần 3: 21.09–27.09.2026; Tuần 4: 28.09–04.10.2026; Tuần 5: 05.10–11.10.2026; Tuần 6: 12.10–18.10.2026; Tuần 7: 19.10–25.10.2026; Tuần 8: 26.10–01.11.2026.</v>
      </c>
      <c r="N23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0" s="17" t="str">
        <f t="shared" si="36"/>
        <v>Còn trống</v>
      </c>
    </row>
    <row r="2331" spans="1:16" x14ac:dyDescent="0.3">
      <c r="A2331">
        <v>2330</v>
      </c>
      <c r="B2331" t="s">
        <v>5291</v>
      </c>
      <c r="C2331" t="s">
        <v>5378</v>
      </c>
      <c r="D2331" t="s">
        <v>5379</v>
      </c>
      <c r="E2331" t="s">
        <v>33</v>
      </c>
      <c r="F2331" t="s">
        <v>5313</v>
      </c>
      <c r="G2331" t="s">
        <v>5329</v>
      </c>
      <c r="H2331" t="str">
        <f>'Huong dan giao do an'!$B$14</f>
        <v>5 SV (vai trò chính): 1 PM/Scrum Master kiêm Integration; 2 BA/PO; 3 UI-UX + Frontend; 4 Backend/API + DevOps; 5 Database + QA/Tester. Mỗi SV có nhiệm vụ phụ và minh chứng cá nhân.</v>
      </c>
      <c r="I2331" t="s">
        <v>22</v>
      </c>
      <c r="J2331" t="s">
        <v>5296</v>
      </c>
      <c r="K2331" t="str">
        <f>IF(I2331="Trung bình",'Huong dan giao do an'!$B$8,IF(I2331="Khá",'Huong dan giao do an'!$B$9,'Huong dan giao do an'!$B$10))</f>
        <v>Tối thiểu 4 actor; 10-14 use case; 8-12 bảng; 3 quy trình lõi; phân quyền chi tiết; 2 báo cáo; tích hợp 1 dịch vụ; &gt;=35 test case; CI/CD hoặc deploy cloud.</v>
      </c>
      <c r="L2331" t="str">
        <f>'Huong dan giao do an'!$B$31</f>
        <v>Bắt buộc: Charter/PMP; SRS + scope/WBS; Gantt/baseline; effort-cost budget; RACI/timesheet; quality-test-defect; communication/minutes; risk register; procurement; change log; closure/lessons learned.</v>
      </c>
      <c r="M2331" t="str">
        <f>'Huong dan giao do an'!$B$33</f>
        <v>Tuần 1: 07.09–13.09.2026; Tuần 2: 14.09–20.09.2026; Tuần 3: 21.09–27.09.2026; Tuần 4: 28.09–04.10.2026; Tuần 5: 05.10–11.10.2026; Tuần 6: 12.10–18.10.2026; Tuần 7: 19.10–25.10.2026; Tuần 8: 26.10–01.11.2026.</v>
      </c>
      <c r="N23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1" s="17" t="str">
        <f t="shared" si="36"/>
        <v>Còn trống</v>
      </c>
    </row>
    <row r="2332" spans="1:16" x14ac:dyDescent="0.3">
      <c r="A2332">
        <v>2331</v>
      </c>
      <c r="B2332" t="s">
        <v>5291</v>
      </c>
      <c r="C2332" t="s">
        <v>5380</v>
      </c>
      <c r="D2332" t="s">
        <v>5381</v>
      </c>
      <c r="E2332" t="s">
        <v>40</v>
      </c>
      <c r="F2332" t="s">
        <v>5294</v>
      </c>
      <c r="G2332" t="s">
        <v>5332</v>
      </c>
      <c r="H2332" t="str">
        <f>'Huong dan giao do an'!$B$14</f>
        <v>5 SV (vai trò chính): 1 PM/Scrum Master kiêm Integration; 2 BA/PO; 3 UI-UX + Frontend; 4 Backend/API + DevOps; 5 Database + QA/Tester. Mỗi SV có nhiệm vụ phụ và minh chứng cá nhân.</v>
      </c>
      <c r="I2332" t="s">
        <v>29</v>
      </c>
      <c r="J2332" t="s">
        <v>5301</v>
      </c>
      <c r="K2332" t="str">
        <f>IF(I2332="Trung bình",'Huong dan giao do an'!$B$8,IF(I2332="Khá",'Huong dan giao do an'!$B$9,'Huong dan giao do an'!$B$10))</f>
        <v>Tối thiểu 5 actor; 14-18 use case; 10-15 bảng; 4 quy trình; tích hợp ngoài/realtime hoặc xử lý nâng cao; 3 báo cáo; &gt;=45 test case; logging, backup và deploy.</v>
      </c>
      <c r="L2332" t="str">
        <f>'Huong dan giao do an'!$B$31</f>
        <v>Bắt buộc: Charter/PMP; SRS + scope/WBS; Gantt/baseline; effort-cost budget; RACI/timesheet; quality-test-defect; communication/minutes; risk register; procurement; change log; closure/lessons learned.</v>
      </c>
      <c r="M2332" t="str">
        <f>'Huong dan giao do an'!$B$33</f>
        <v>Tuần 1: 07.09–13.09.2026; Tuần 2: 14.09–20.09.2026; Tuần 3: 21.09–27.09.2026; Tuần 4: 28.09–04.10.2026; Tuần 5: 05.10–11.10.2026; Tuần 6: 12.10–18.10.2026; Tuần 7: 19.10–25.10.2026; Tuần 8: 26.10–01.11.2026.</v>
      </c>
      <c r="N23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2" s="17" t="str">
        <f t="shared" si="36"/>
        <v>Còn trống</v>
      </c>
    </row>
    <row r="2333" spans="1:16" x14ac:dyDescent="0.3">
      <c r="A2333">
        <v>2332</v>
      </c>
      <c r="B2333" t="s">
        <v>5291</v>
      </c>
      <c r="C2333" t="s">
        <v>5382</v>
      </c>
      <c r="D2333" t="s">
        <v>5383</v>
      </c>
      <c r="E2333" t="s">
        <v>45</v>
      </c>
      <c r="F2333" t="s">
        <v>5299</v>
      </c>
      <c r="G2333" t="s">
        <v>5335</v>
      </c>
      <c r="H2333" t="str">
        <f>'Huong dan giao do an'!$B$14</f>
        <v>5 SV (vai trò chính): 1 PM/Scrum Master kiêm Integration; 2 BA/PO; 3 UI-UX + Frontend; 4 Backend/API + DevOps; 5 Database + QA/Tester. Mỗi SV có nhiệm vụ phụ và minh chứng cá nhân.</v>
      </c>
      <c r="I2333" t="s">
        <v>36</v>
      </c>
      <c r="J2333" t="s">
        <v>5306</v>
      </c>
      <c r="K2333" t="str">
        <f>IF(I2333="Trung bình",'Huong dan giao do an'!$B$8,IF(I2333="Khá",'Huong dan giao do an'!$B$9,'Huong dan giao do an'!$B$10))</f>
        <v>Tối thiểu 3 actor; 8-10 use case; 6-8 bảng dữ liệu; 2 quy trình lõi; đăng nhập/RBAC; 1 dashboard; 1 báo cáo; &gt;=25 test case; triển khai bản demo.</v>
      </c>
      <c r="L2333" t="str">
        <f>'Huong dan giao do an'!$B$31</f>
        <v>Bắt buộc: Charter/PMP; SRS + scope/WBS; Gantt/baseline; effort-cost budget; RACI/timesheet; quality-test-defect; communication/minutes; risk register; procurement; change log; closure/lessons learned.</v>
      </c>
      <c r="M2333" t="str">
        <f>'Huong dan giao do an'!$B$33</f>
        <v>Tuần 1: 07.09–13.09.2026; Tuần 2: 14.09–20.09.2026; Tuần 3: 21.09–27.09.2026; Tuần 4: 28.09–04.10.2026; Tuần 5: 05.10–11.10.2026; Tuần 6: 12.10–18.10.2026; Tuần 7: 19.10–25.10.2026; Tuần 8: 26.10–01.11.2026.</v>
      </c>
      <c r="N23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3" s="17" t="str">
        <f t="shared" si="36"/>
        <v>Còn trống</v>
      </c>
    </row>
    <row r="2334" spans="1:16" x14ac:dyDescent="0.3">
      <c r="A2334">
        <v>2333</v>
      </c>
      <c r="B2334" t="s">
        <v>5291</v>
      </c>
      <c r="C2334" t="s">
        <v>5384</v>
      </c>
      <c r="D2334" t="s">
        <v>5385</v>
      </c>
      <c r="E2334" t="s">
        <v>19</v>
      </c>
      <c r="F2334" t="s">
        <v>5304</v>
      </c>
      <c r="G2334" t="s">
        <v>5338</v>
      </c>
      <c r="H2334" t="str">
        <f>'Huong dan giao do an'!$B$14</f>
        <v>5 SV (vai trò chính): 1 PM/Scrum Master kiêm Integration; 2 BA/PO; 3 UI-UX + Frontend; 4 Backend/API + DevOps; 5 Database + QA/Tester. Mỗi SV có nhiệm vụ phụ và minh chứng cá nhân.</v>
      </c>
      <c r="I2334" t="s">
        <v>22</v>
      </c>
      <c r="J2334" t="s">
        <v>5296</v>
      </c>
      <c r="K2334" t="str">
        <f>IF(I2334="Trung bình",'Huong dan giao do an'!$B$8,IF(I2334="Khá",'Huong dan giao do an'!$B$9,'Huong dan giao do an'!$B$10))</f>
        <v>Tối thiểu 4 actor; 10-14 use case; 8-12 bảng; 3 quy trình lõi; phân quyền chi tiết; 2 báo cáo; tích hợp 1 dịch vụ; &gt;=35 test case; CI/CD hoặc deploy cloud.</v>
      </c>
      <c r="L2334" t="str">
        <f>'Huong dan giao do an'!$B$31</f>
        <v>Bắt buộc: Charter/PMP; SRS + scope/WBS; Gantt/baseline; effort-cost budget; RACI/timesheet; quality-test-defect; communication/minutes; risk register; procurement; change log; closure/lessons learned.</v>
      </c>
      <c r="M2334" t="str">
        <f>'Huong dan giao do an'!$B$33</f>
        <v>Tuần 1: 07.09–13.09.2026; Tuần 2: 14.09–20.09.2026; Tuần 3: 21.09–27.09.2026; Tuần 4: 28.09–04.10.2026; Tuần 5: 05.10–11.10.2026; Tuần 6: 12.10–18.10.2026; Tuần 7: 19.10–25.10.2026; Tuần 8: 26.10–01.11.2026.</v>
      </c>
      <c r="N23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4" s="17" t="str">
        <f t="shared" si="36"/>
        <v>Còn trống</v>
      </c>
    </row>
    <row r="2335" spans="1:16" x14ac:dyDescent="0.3">
      <c r="A2335">
        <v>2334</v>
      </c>
      <c r="B2335" t="s">
        <v>5291</v>
      </c>
      <c r="C2335" t="s">
        <v>5386</v>
      </c>
      <c r="D2335" t="s">
        <v>5387</v>
      </c>
      <c r="E2335" t="s">
        <v>26</v>
      </c>
      <c r="F2335" t="s">
        <v>5309</v>
      </c>
      <c r="G2335" t="s">
        <v>5341</v>
      </c>
      <c r="H2335" t="str">
        <f>'Huong dan giao do an'!$B$14</f>
        <v>5 SV (vai trò chính): 1 PM/Scrum Master kiêm Integration; 2 BA/PO; 3 UI-UX + Frontend; 4 Backend/API + DevOps; 5 Database + QA/Tester. Mỗi SV có nhiệm vụ phụ và minh chứng cá nhân.</v>
      </c>
      <c r="I2335" t="s">
        <v>29</v>
      </c>
      <c r="J2335" t="s">
        <v>5301</v>
      </c>
      <c r="K2335" t="str">
        <f>IF(I2335="Trung bình",'Huong dan giao do an'!$B$8,IF(I2335="Khá",'Huong dan giao do an'!$B$9,'Huong dan giao do an'!$B$10))</f>
        <v>Tối thiểu 5 actor; 14-18 use case; 10-15 bảng; 4 quy trình; tích hợp ngoài/realtime hoặc xử lý nâng cao; 3 báo cáo; &gt;=45 test case; logging, backup và deploy.</v>
      </c>
      <c r="L2335" t="str">
        <f>'Huong dan giao do an'!$B$31</f>
        <v>Bắt buộc: Charter/PMP; SRS + scope/WBS; Gantt/baseline; effort-cost budget; RACI/timesheet; quality-test-defect; communication/minutes; risk register; procurement; change log; closure/lessons learned.</v>
      </c>
      <c r="M2335" t="str">
        <f>'Huong dan giao do an'!$B$33</f>
        <v>Tuần 1: 07.09–13.09.2026; Tuần 2: 14.09–20.09.2026; Tuần 3: 21.09–27.09.2026; Tuần 4: 28.09–04.10.2026; Tuần 5: 05.10–11.10.2026; Tuần 6: 12.10–18.10.2026; Tuần 7: 19.10–25.10.2026; Tuần 8: 26.10–01.11.2026.</v>
      </c>
      <c r="N23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5" s="17" t="str">
        <f t="shared" si="36"/>
        <v>Còn trống</v>
      </c>
    </row>
    <row r="2336" spans="1:16" x14ac:dyDescent="0.3">
      <c r="A2336">
        <v>2335</v>
      </c>
      <c r="B2336" t="s">
        <v>5291</v>
      </c>
      <c r="C2336" t="s">
        <v>5388</v>
      </c>
      <c r="D2336" t="s">
        <v>5389</v>
      </c>
      <c r="E2336" t="s">
        <v>33</v>
      </c>
      <c r="F2336" t="s">
        <v>5313</v>
      </c>
      <c r="G2336" t="s">
        <v>5344</v>
      </c>
      <c r="H2336" t="str">
        <f>'Huong dan giao do an'!$B$14</f>
        <v>5 SV (vai trò chính): 1 PM/Scrum Master kiêm Integration; 2 BA/PO; 3 UI-UX + Frontend; 4 Backend/API + DevOps; 5 Database + QA/Tester. Mỗi SV có nhiệm vụ phụ và minh chứng cá nhân.</v>
      </c>
      <c r="I2336" t="s">
        <v>36</v>
      </c>
      <c r="J2336" t="s">
        <v>5306</v>
      </c>
      <c r="K2336" t="str">
        <f>IF(I2336="Trung bình",'Huong dan giao do an'!$B$8,IF(I2336="Khá",'Huong dan giao do an'!$B$9,'Huong dan giao do an'!$B$10))</f>
        <v>Tối thiểu 3 actor; 8-10 use case; 6-8 bảng dữ liệu; 2 quy trình lõi; đăng nhập/RBAC; 1 dashboard; 1 báo cáo; &gt;=25 test case; triển khai bản demo.</v>
      </c>
      <c r="L2336" t="str">
        <f>'Huong dan giao do an'!$B$31</f>
        <v>Bắt buộc: Charter/PMP; SRS + scope/WBS; Gantt/baseline; effort-cost budget; RACI/timesheet; quality-test-defect; communication/minutes; risk register; procurement; change log; closure/lessons learned.</v>
      </c>
      <c r="M2336" t="str">
        <f>'Huong dan giao do an'!$B$33</f>
        <v>Tuần 1: 07.09–13.09.2026; Tuần 2: 14.09–20.09.2026; Tuần 3: 21.09–27.09.2026; Tuần 4: 28.09–04.10.2026; Tuần 5: 05.10–11.10.2026; Tuần 6: 12.10–18.10.2026; Tuần 7: 19.10–25.10.2026; Tuần 8: 26.10–01.11.2026.</v>
      </c>
      <c r="N23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6" s="17" t="str">
        <f t="shared" si="36"/>
        <v>Còn trống</v>
      </c>
    </row>
    <row r="2337" spans="1:16" x14ac:dyDescent="0.3">
      <c r="A2337">
        <v>2336</v>
      </c>
      <c r="B2337" t="s">
        <v>5291</v>
      </c>
      <c r="C2337" t="s">
        <v>5390</v>
      </c>
      <c r="D2337" t="s">
        <v>5391</v>
      </c>
      <c r="E2337" t="s">
        <v>40</v>
      </c>
      <c r="F2337" t="s">
        <v>5294</v>
      </c>
      <c r="G2337" t="s">
        <v>5347</v>
      </c>
      <c r="H2337" t="str">
        <f>'Huong dan giao do an'!$B$14</f>
        <v>5 SV (vai trò chính): 1 PM/Scrum Master kiêm Integration; 2 BA/PO; 3 UI-UX + Frontend; 4 Backend/API + DevOps; 5 Database + QA/Tester. Mỗi SV có nhiệm vụ phụ và minh chứng cá nhân.</v>
      </c>
      <c r="I2337" t="s">
        <v>22</v>
      </c>
      <c r="J2337" t="s">
        <v>5296</v>
      </c>
      <c r="K2337" t="str">
        <f>IF(I2337="Trung bình",'Huong dan giao do an'!$B$8,IF(I2337="Khá",'Huong dan giao do an'!$B$9,'Huong dan giao do an'!$B$10))</f>
        <v>Tối thiểu 4 actor; 10-14 use case; 8-12 bảng; 3 quy trình lõi; phân quyền chi tiết; 2 báo cáo; tích hợp 1 dịch vụ; &gt;=35 test case; CI/CD hoặc deploy cloud.</v>
      </c>
      <c r="L2337" t="str">
        <f>'Huong dan giao do an'!$B$31</f>
        <v>Bắt buộc: Charter/PMP; SRS + scope/WBS; Gantt/baseline; effort-cost budget; RACI/timesheet; quality-test-defect; communication/minutes; risk register; procurement; change log; closure/lessons learned.</v>
      </c>
      <c r="M2337" t="str">
        <f>'Huong dan giao do an'!$B$33</f>
        <v>Tuần 1: 07.09–13.09.2026; Tuần 2: 14.09–20.09.2026; Tuần 3: 21.09–27.09.2026; Tuần 4: 28.09–04.10.2026; Tuần 5: 05.10–11.10.2026; Tuần 6: 12.10–18.10.2026; Tuần 7: 19.10–25.10.2026; Tuần 8: 26.10–01.11.2026.</v>
      </c>
      <c r="N23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7" s="17" t="str">
        <f t="shared" si="36"/>
        <v>Còn trống</v>
      </c>
    </row>
    <row r="2338" spans="1:16" x14ac:dyDescent="0.3">
      <c r="A2338">
        <v>2337</v>
      </c>
      <c r="B2338" t="s">
        <v>5291</v>
      </c>
      <c r="C2338" t="s">
        <v>5392</v>
      </c>
      <c r="D2338" t="s">
        <v>5393</v>
      </c>
      <c r="E2338" t="s">
        <v>45</v>
      </c>
      <c r="F2338" t="s">
        <v>5299</v>
      </c>
      <c r="G2338" t="s">
        <v>5350</v>
      </c>
      <c r="H2338" t="str">
        <f>'Huong dan giao do an'!$B$14</f>
        <v>5 SV (vai trò chính): 1 PM/Scrum Master kiêm Integration; 2 BA/PO; 3 UI-UX + Frontend; 4 Backend/API + DevOps; 5 Database + QA/Tester. Mỗi SV có nhiệm vụ phụ và minh chứng cá nhân.</v>
      </c>
      <c r="I2338" t="s">
        <v>29</v>
      </c>
      <c r="J2338" t="s">
        <v>5301</v>
      </c>
      <c r="K2338" t="str">
        <f>IF(I2338="Trung bình",'Huong dan giao do an'!$B$8,IF(I2338="Khá",'Huong dan giao do an'!$B$9,'Huong dan giao do an'!$B$10))</f>
        <v>Tối thiểu 5 actor; 14-18 use case; 10-15 bảng; 4 quy trình; tích hợp ngoài/realtime hoặc xử lý nâng cao; 3 báo cáo; &gt;=45 test case; logging, backup và deploy.</v>
      </c>
      <c r="L2338" t="str">
        <f>'Huong dan giao do an'!$B$31</f>
        <v>Bắt buộc: Charter/PMP; SRS + scope/WBS; Gantt/baseline; effort-cost budget; RACI/timesheet; quality-test-defect; communication/minutes; risk register; procurement; change log; closure/lessons learned.</v>
      </c>
      <c r="M2338" t="str">
        <f>'Huong dan giao do an'!$B$33</f>
        <v>Tuần 1: 07.09–13.09.2026; Tuần 2: 14.09–20.09.2026; Tuần 3: 21.09–27.09.2026; Tuần 4: 28.09–04.10.2026; Tuần 5: 05.10–11.10.2026; Tuần 6: 12.10–18.10.2026; Tuần 7: 19.10–25.10.2026; Tuần 8: 26.10–01.11.2026.</v>
      </c>
      <c r="N23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8" s="17" t="str">
        <f t="shared" si="36"/>
        <v>Còn trống</v>
      </c>
    </row>
    <row r="2339" spans="1:16" x14ac:dyDescent="0.3">
      <c r="A2339">
        <v>2338</v>
      </c>
      <c r="B2339" t="s">
        <v>5291</v>
      </c>
      <c r="C2339" t="s">
        <v>5394</v>
      </c>
      <c r="D2339" t="s">
        <v>5395</v>
      </c>
      <c r="E2339" t="s">
        <v>19</v>
      </c>
      <c r="F2339" t="s">
        <v>5304</v>
      </c>
      <c r="G2339" t="s">
        <v>5353</v>
      </c>
      <c r="H2339" t="str">
        <f>'Huong dan giao do an'!$B$14</f>
        <v>5 SV (vai trò chính): 1 PM/Scrum Master kiêm Integration; 2 BA/PO; 3 UI-UX + Frontend; 4 Backend/API + DevOps; 5 Database + QA/Tester. Mỗi SV có nhiệm vụ phụ và minh chứng cá nhân.</v>
      </c>
      <c r="I2339" t="s">
        <v>36</v>
      </c>
      <c r="J2339" t="s">
        <v>5306</v>
      </c>
      <c r="K2339" t="str">
        <f>IF(I2339="Trung bình",'Huong dan giao do an'!$B$8,IF(I2339="Khá",'Huong dan giao do an'!$B$9,'Huong dan giao do an'!$B$10))</f>
        <v>Tối thiểu 3 actor; 8-10 use case; 6-8 bảng dữ liệu; 2 quy trình lõi; đăng nhập/RBAC; 1 dashboard; 1 báo cáo; &gt;=25 test case; triển khai bản demo.</v>
      </c>
      <c r="L2339" t="str">
        <f>'Huong dan giao do an'!$B$31</f>
        <v>Bắt buộc: Charter/PMP; SRS + scope/WBS; Gantt/baseline; effort-cost budget; RACI/timesheet; quality-test-defect; communication/minutes; risk register; procurement; change log; closure/lessons learned.</v>
      </c>
      <c r="M2339" t="str">
        <f>'Huong dan giao do an'!$B$33</f>
        <v>Tuần 1: 07.09–13.09.2026; Tuần 2: 14.09–20.09.2026; Tuần 3: 21.09–27.09.2026; Tuần 4: 28.09–04.10.2026; Tuần 5: 05.10–11.10.2026; Tuần 6: 12.10–18.10.2026; Tuần 7: 19.10–25.10.2026; Tuần 8: 26.10–01.11.2026.</v>
      </c>
      <c r="N23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39" s="17" t="str">
        <f t="shared" si="36"/>
        <v>Còn trống</v>
      </c>
    </row>
    <row r="2340" spans="1:16" x14ac:dyDescent="0.3">
      <c r="A2340">
        <v>2339</v>
      </c>
      <c r="B2340" t="s">
        <v>5291</v>
      </c>
      <c r="C2340" t="s">
        <v>5396</v>
      </c>
      <c r="D2340" t="s">
        <v>5397</v>
      </c>
      <c r="E2340" t="s">
        <v>26</v>
      </c>
      <c r="F2340" t="s">
        <v>5309</v>
      </c>
      <c r="G2340" t="s">
        <v>5356</v>
      </c>
      <c r="H2340" t="str">
        <f>'Huong dan giao do an'!$B$14</f>
        <v>5 SV (vai trò chính): 1 PM/Scrum Master kiêm Integration; 2 BA/PO; 3 UI-UX + Frontend; 4 Backend/API + DevOps; 5 Database + QA/Tester. Mỗi SV có nhiệm vụ phụ và minh chứng cá nhân.</v>
      </c>
      <c r="I2340" t="s">
        <v>22</v>
      </c>
      <c r="J2340" t="s">
        <v>5296</v>
      </c>
      <c r="K2340" t="str">
        <f>IF(I2340="Trung bình",'Huong dan giao do an'!$B$8,IF(I2340="Khá",'Huong dan giao do an'!$B$9,'Huong dan giao do an'!$B$10))</f>
        <v>Tối thiểu 4 actor; 10-14 use case; 8-12 bảng; 3 quy trình lõi; phân quyền chi tiết; 2 báo cáo; tích hợp 1 dịch vụ; &gt;=35 test case; CI/CD hoặc deploy cloud.</v>
      </c>
      <c r="L2340" t="str">
        <f>'Huong dan giao do an'!$B$31</f>
        <v>Bắt buộc: Charter/PMP; SRS + scope/WBS; Gantt/baseline; effort-cost budget; RACI/timesheet; quality-test-defect; communication/minutes; risk register; procurement; change log; closure/lessons learned.</v>
      </c>
      <c r="M2340" t="str">
        <f>'Huong dan giao do an'!$B$33</f>
        <v>Tuần 1: 07.09–13.09.2026; Tuần 2: 14.09–20.09.2026; Tuần 3: 21.09–27.09.2026; Tuần 4: 28.09–04.10.2026; Tuần 5: 05.10–11.10.2026; Tuần 6: 12.10–18.10.2026; Tuần 7: 19.10–25.10.2026; Tuần 8: 26.10–01.11.2026.</v>
      </c>
      <c r="N23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0" s="17" t="str">
        <f t="shared" si="36"/>
        <v>Còn trống</v>
      </c>
    </row>
    <row r="2341" spans="1:16" x14ac:dyDescent="0.3">
      <c r="A2341">
        <v>2340</v>
      </c>
      <c r="B2341" t="s">
        <v>5291</v>
      </c>
      <c r="C2341" t="s">
        <v>5398</v>
      </c>
      <c r="D2341" t="s">
        <v>5399</v>
      </c>
      <c r="E2341" t="s">
        <v>33</v>
      </c>
      <c r="F2341" t="s">
        <v>5313</v>
      </c>
      <c r="G2341" t="s">
        <v>5359</v>
      </c>
      <c r="H2341" t="str">
        <f>'Huong dan giao do an'!$B$14</f>
        <v>5 SV (vai trò chính): 1 PM/Scrum Master kiêm Integration; 2 BA/PO; 3 UI-UX + Frontend; 4 Backend/API + DevOps; 5 Database + QA/Tester. Mỗi SV có nhiệm vụ phụ và minh chứng cá nhân.</v>
      </c>
      <c r="I2341" t="s">
        <v>29</v>
      </c>
      <c r="J2341" t="s">
        <v>5301</v>
      </c>
      <c r="K2341" t="str">
        <f>IF(I2341="Trung bình",'Huong dan giao do an'!$B$8,IF(I2341="Khá",'Huong dan giao do an'!$B$9,'Huong dan giao do an'!$B$10))</f>
        <v>Tối thiểu 5 actor; 14-18 use case; 10-15 bảng; 4 quy trình; tích hợp ngoài/realtime hoặc xử lý nâng cao; 3 báo cáo; &gt;=45 test case; logging, backup và deploy.</v>
      </c>
      <c r="L2341" t="str">
        <f>'Huong dan giao do an'!$B$31</f>
        <v>Bắt buộc: Charter/PMP; SRS + scope/WBS; Gantt/baseline; effort-cost budget; RACI/timesheet; quality-test-defect; communication/minutes; risk register; procurement; change log; closure/lessons learned.</v>
      </c>
      <c r="M2341" t="str">
        <f>'Huong dan giao do an'!$B$33</f>
        <v>Tuần 1: 07.09–13.09.2026; Tuần 2: 14.09–20.09.2026; Tuần 3: 21.09–27.09.2026; Tuần 4: 28.09–04.10.2026; Tuần 5: 05.10–11.10.2026; Tuần 6: 12.10–18.10.2026; Tuần 7: 19.10–25.10.2026; Tuần 8: 26.10–01.11.2026.</v>
      </c>
      <c r="N23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1" s="17" t="str">
        <f t="shared" si="36"/>
        <v>Còn trống</v>
      </c>
    </row>
    <row r="2342" spans="1:16" x14ac:dyDescent="0.3">
      <c r="A2342">
        <v>2341</v>
      </c>
      <c r="B2342" t="s">
        <v>5291</v>
      </c>
      <c r="C2342" t="s">
        <v>5400</v>
      </c>
      <c r="D2342" t="s">
        <v>5401</v>
      </c>
      <c r="E2342" t="s">
        <v>40</v>
      </c>
      <c r="F2342" t="s">
        <v>5294</v>
      </c>
      <c r="G2342" t="s">
        <v>5295</v>
      </c>
      <c r="H2342" t="str">
        <f>'Huong dan giao do an'!$B$14</f>
        <v>5 SV (vai trò chính): 1 PM/Scrum Master kiêm Integration; 2 BA/PO; 3 UI-UX + Frontend; 4 Backend/API + DevOps; 5 Database + QA/Tester. Mỗi SV có nhiệm vụ phụ và minh chứng cá nhân.</v>
      </c>
      <c r="I2342" t="s">
        <v>22</v>
      </c>
      <c r="J2342" t="s">
        <v>5296</v>
      </c>
      <c r="K2342" t="str">
        <f>IF(I2342="Trung bình",'Huong dan giao do an'!$B$8,IF(I2342="Khá",'Huong dan giao do an'!$B$9,'Huong dan giao do an'!$B$10))</f>
        <v>Tối thiểu 4 actor; 10-14 use case; 8-12 bảng; 3 quy trình lõi; phân quyền chi tiết; 2 báo cáo; tích hợp 1 dịch vụ; &gt;=35 test case; CI/CD hoặc deploy cloud.</v>
      </c>
      <c r="L2342" t="str">
        <f>'Huong dan giao do an'!$B$31</f>
        <v>Bắt buộc: Charter/PMP; SRS + scope/WBS; Gantt/baseline; effort-cost budget; RACI/timesheet; quality-test-defect; communication/minutes; risk register; procurement; change log; closure/lessons learned.</v>
      </c>
      <c r="M2342" t="str">
        <f>'Huong dan giao do an'!$B$33</f>
        <v>Tuần 1: 07.09–13.09.2026; Tuần 2: 14.09–20.09.2026; Tuần 3: 21.09–27.09.2026; Tuần 4: 28.09–04.10.2026; Tuần 5: 05.10–11.10.2026; Tuần 6: 12.10–18.10.2026; Tuần 7: 19.10–25.10.2026; Tuần 8: 26.10–01.11.2026.</v>
      </c>
      <c r="N23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2" s="17" t="str">
        <f t="shared" si="36"/>
        <v>Còn trống</v>
      </c>
    </row>
    <row r="2343" spans="1:16" x14ac:dyDescent="0.3">
      <c r="A2343">
        <v>2342</v>
      </c>
      <c r="B2343" t="s">
        <v>5291</v>
      </c>
      <c r="C2343" t="s">
        <v>5402</v>
      </c>
      <c r="D2343" t="s">
        <v>5403</v>
      </c>
      <c r="E2343" t="s">
        <v>45</v>
      </c>
      <c r="F2343" t="s">
        <v>5299</v>
      </c>
      <c r="G2343" t="s">
        <v>5300</v>
      </c>
      <c r="H2343" t="str">
        <f>'Huong dan giao do an'!$B$14</f>
        <v>5 SV (vai trò chính): 1 PM/Scrum Master kiêm Integration; 2 BA/PO; 3 UI-UX + Frontend; 4 Backend/API + DevOps; 5 Database + QA/Tester. Mỗi SV có nhiệm vụ phụ và minh chứng cá nhân.</v>
      </c>
      <c r="I2343" t="s">
        <v>29</v>
      </c>
      <c r="J2343" t="s">
        <v>5301</v>
      </c>
      <c r="K2343" t="str">
        <f>IF(I2343="Trung bình",'Huong dan giao do an'!$B$8,IF(I2343="Khá",'Huong dan giao do an'!$B$9,'Huong dan giao do an'!$B$10))</f>
        <v>Tối thiểu 5 actor; 14-18 use case; 10-15 bảng; 4 quy trình; tích hợp ngoài/realtime hoặc xử lý nâng cao; 3 báo cáo; &gt;=45 test case; logging, backup và deploy.</v>
      </c>
      <c r="L2343" t="str">
        <f>'Huong dan giao do an'!$B$31</f>
        <v>Bắt buộc: Charter/PMP; SRS + scope/WBS; Gantt/baseline; effort-cost budget; RACI/timesheet; quality-test-defect; communication/minutes; risk register; procurement; change log; closure/lessons learned.</v>
      </c>
      <c r="M2343" t="str">
        <f>'Huong dan giao do an'!$B$33</f>
        <v>Tuần 1: 07.09–13.09.2026; Tuần 2: 14.09–20.09.2026; Tuần 3: 21.09–27.09.2026; Tuần 4: 28.09–04.10.2026; Tuần 5: 05.10–11.10.2026; Tuần 6: 12.10–18.10.2026; Tuần 7: 19.10–25.10.2026; Tuần 8: 26.10–01.11.2026.</v>
      </c>
      <c r="N23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3" s="17" t="str">
        <f t="shared" si="36"/>
        <v>Còn trống</v>
      </c>
    </row>
    <row r="2344" spans="1:16" x14ac:dyDescent="0.3">
      <c r="A2344">
        <v>2343</v>
      </c>
      <c r="B2344" t="s">
        <v>5291</v>
      </c>
      <c r="C2344" t="s">
        <v>5404</v>
      </c>
      <c r="D2344" t="s">
        <v>5405</v>
      </c>
      <c r="E2344" t="s">
        <v>19</v>
      </c>
      <c r="F2344" t="s">
        <v>5304</v>
      </c>
      <c r="G2344" t="s">
        <v>5305</v>
      </c>
      <c r="H2344" t="str">
        <f>'Huong dan giao do an'!$B$14</f>
        <v>5 SV (vai trò chính): 1 PM/Scrum Master kiêm Integration; 2 BA/PO; 3 UI-UX + Frontend; 4 Backend/API + DevOps; 5 Database + QA/Tester. Mỗi SV có nhiệm vụ phụ và minh chứng cá nhân.</v>
      </c>
      <c r="I2344" t="s">
        <v>36</v>
      </c>
      <c r="J2344" t="s">
        <v>5306</v>
      </c>
      <c r="K2344" t="str">
        <f>IF(I2344="Trung bình",'Huong dan giao do an'!$B$8,IF(I2344="Khá",'Huong dan giao do an'!$B$9,'Huong dan giao do an'!$B$10))</f>
        <v>Tối thiểu 3 actor; 8-10 use case; 6-8 bảng dữ liệu; 2 quy trình lõi; đăng nhập/RBAC; 1 dashboard; 1 báo cáo; &gt;=25 test case; triển khai bản demo.</v>
      </c>
      <c r="L2344" t="str">
        <f>'Huong dan giao do an'!$B$31</f>
        <v>Bắt buộc: Charter/PMP; SRS + scope/WBS; Gantt/baseline; effort-cost budget; RACI/timesheet; quality-test-defect; communication/minutes; risk register; procurement; change log; closure/lessons learned.</v>
      </c>
      <c r="M2344" t="str">
        <f>'Huong dan giao do an'!$B$33</f>
        <v>Tuần 1: 07.09–13.09.2026; Tuần 2: 14.09–20.09.2026; Tuần 3: 21.09–27.09.2026; Tuần 4: 28.09–04.10.2026; Tuần 5: 05.10–11.10.2026; Tuần 6: 12.10–18.10.2026; Tuần 7: 19.10–25.10.2026; Tuần 8: 26.10–01.11.2026.</v>
      </c>
      <c r="N23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4" s="17" t="str">
        <f t="shared" si="36"/>
        <v>Còn trống</v>
      </c>
    </row>
    <row r="2345" spans="1:16" x14ac:dyDescent="0.3">
      <c r="A2345">
        <v>2344</v>
      </c>
      <c r="B2345" t="s">
        <v>5291</v>
      </c>
      <c r="C2345" t="s">
        <v>5406</v>
      </c>
      <c r="D2345" t="s">
        <v>5407</v>
      </c>
      <c r="E2345" t="s">
        <v>26</v>
      </c>
      <c r="F2345" t="s">
        <v>5309</v>
      </c>
      <c r="G2345" t="s">
        <v>5310</v>
      </c>
      <c r="H2345" t="str">
        <f>'Huong dan giao do an'!$B$14</f>
        <v>5 SV (vai trò chính): 1 PM/Scrum Master kiêm Integration; 2 BA/PO; 3 UI-UX + Frontend; 4 Backend/API + DevOps; 5 Database + QA/Tester. Mỗi SV có nhiệm vụ phụ và minh chứng cá nhân.</v>
      </c>
      <c r="I2345" t="s">
        <v>22</v>
      </c>
      <c r="J2345" t="s">
        <v>5296</v>
      </c>
      <c r="K2345" t="str">
        <f>IF(I2345="Trung bình",'Huong dan giao do an'!$B$8,IF(I2345="Khá",'Huong dan giao do an'!$B$9,'Huong dan giao do an'!$B$10))</f>
        <v>Tối thiểu 4 actor; 10-14 use case; 8-12 bảng; 3 quy trình lõi; phân quyền chi tiết; 2 báo cáo; tích hợp 1 dịch vụ; &gt;=35 test case; CI/CD hoặc deploy cloud.</v>
      </c>
      <c r="L2345" t="str">
        <f>'Huong dan giao do an'!$B$31</f>
        <v>Bắt buộc: Charter/PMP; SRS + scope/WBS; Gantt/baseline; effort-cost budget; RACI/timesheet; quality-test-defect; communication/minutes; risk register; procurement; change log; closure/lessons learned.</v>
      </c>
      <c r="M2345" t="str">
        <f>'Huong dan giao do an'!$B$33</f>
        <v>Tuần 1: 07.09–13.09.2026; Tuần 2: 14.09–20.09.2026; Tuần 3: 21.09–27.09.2026; Tuần 4: 28.09–04.10.2026; Tuần 5: 05.10–11.10.2026; Tuần 6: 12.10–18.10.2026; Tuần 7: 19.10–25.10.2026; Tuần 8: 26.10–01.11.2026.</v>
      </c>
      <c r="N23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5" s="17" t="str">
        <f t="shared" si="36"/>
        <v>Còn trống</v>
      </c>
    </row>
    <row r="2346" spans="1:16" x14ac:dyDescent="0.3">
      <c r="A2346">
        <v>2345</v>
      </c>
      <c r="B2346" t="s">
        <v>5291</v>
      </c>
      <c r="C2346" t="s">
        <v>5408</v>
      </c>
      <c r="D2346" t="s">
        <v>5409</v>
      </c>
      <c r="E2346" t="s">
        <v>33</v>
      </c>
      <c r="F2346" t="s">
        <v>5313</v>
      </c>
      <c r="G2346" t="s">
        <v>5314</v>
      </c>
      <c r="H2346" t="str">
        <f>'Huong dan giao do an'!$B$14</f>
        <v>5 SV (vai trò chính): 1 PM/Scrum Master kiêm Integration; 2 BA/PO; 3 UI-UX + Frontend; 4 Backend/API + DevOps; 5 Database + QA/Tester. Mỗi SV có nhiệm vụ phụ và minh chứng cá nhân.</v>
      </c>
      <c r="I2346" t="s">
        <v>29</v>
      </c>
      <c r="J2346" t="s">
        <v>5301</v>
      </c>
      <c r="K2346" t="str">
        <f>IF(I2346="Trung bình",'Huong dan giao do an'!$B$8,IF(I2346="Khá",'Huong dan giao do an'!$B$9,'Huong dan giao do an'!$B$10))</f>
        <v>Tối thiểu 5 actor; 14-18 use case; 10-15 bảng; 4 quy trình; tích hợp ngoài/realtime hoặc xử lý nâng cao; 3 báo cáo; &gt;=45 test case; logging, backup và deploy.</v>
      </c>
      <c r="L2346" t="str">
        <f>'Huong dan giao do an'!$B$31</f>
        <v>Bắt buộc: Charter/PMP; SRS + scope/WBS; Gantt/baseline; effort-cost budget; RACI/timesheet; quality-test-defect; communication/minutes; risk register; procurement; change log; closure/lessons learned.</v>
      </c>
      <c r="M2346" t="str">
        <f>'Huong dan giao do an'!$B$33</f>
        <v>Tuần 1: 07.09–13.09.2026; Tuần 2: 14.09–20.09.2026; Tuần 3: 21.09–27.09.2026; Tuần 4: 28.09–04.10.2026; Tuần 5: 05.10–11.10.2026; Tuần 6: 12.10–18.10.2026; Tuần 7: 19.10–25.10.2026; Tuần 8: 26.10–01.11.2026.</v>
      </c>
      <c r="N23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6" s="17" t="str">
        <f t="shared" si="36"/>
        <v>Còn trống</v>
      </c>
    </row>
    <row r="2347" spans="1:16" x14ac:dyDescent="0.3">
      <c r="A2347">
        <v>2346</v>
      </c>
      <c r="B2347" t="s">
        <v>5291</v>
      </c>
      <c r="C2347" t="s">
        <v>5410</v>
      </c>
      <c r="D2347" t="s">
        <v>5411</v>
      </c>
      <c r="E2347" t="s">
        <v>40</v>
      </c>
      <c r="F2347" t="s">
        <v>5294</v>
      </c>
      <c r="G2347" t="s">
        <v>5317</v>
      </c>
      <c r="H2347" t="str">
        <f>'Huong dan giao do an'!$B$14</f>
        <v>5 SV (vai trò chính): 1 PM/Scrum Master kiêm Integration; 2 BA/PO; 3 UI-UX + Frontend; 4 Backend/API + DevOps; 5 Database + QA/Tester. Mỗi SV có nhiệm vụ phụ và minh chứng cá nhân.</v>
      </c>
      <c r="I2347" t="s">
        <v>36</v>
      </c>
      <c r="J2347" t="s">
        <v>5306</v>
      </c>
      <c r="K2347" t="str">
        <f>IF(I2347="Trung bình",'Huong dan giao do an'!$B$8,IF(I2347="Khá",'Huong dan giao do an'!$B$9,'Huong dan giao do an'!$B$10))</f>
        <v>Tối thiểu 3 actor; 8-10 use case; 6-8 bảng dữ liệu; 2 quy trình lõi; đăng nhập/RBAC; 1 dashboard; 1 báo cáo; &gt;=25 test case; triển khai bản demo.</v>
      </c>
      <c r="L2347" t="str">
        <f>'Huong dan giao do an'!$B$31</f>
        <v>Bắt buộc: Charter/PMP; SRS + scope/WBS; Gantt/baseline; effort-cost budget; RACI/timesheet; quality-test-defect; communication/minutes; risk register; procurement; change log; closure/lessons learned.</v>
      </c>
      <c r="M2347" t="str">
        <f>'Huong dan giao do an'!$B$33</f>
        <v>Tuần 1: 07.09–13.09.2026; Tuần 2: 14.09–20.09.2026; Tuần 3: 21.09–27.09.2026; Tuần 4: 28.09–04.10.2026; Tuần 5: 05.10–11.10.2026; Tuần 6: 12.10–18.10.2026; Tuần 7: 19.10–25.10.2026; Tuần 8: 26.10–01.11.2026.</v>
      </c>
      <c r="N23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7" s="17" t="str">
        <f t="shared" si="36"/>
        <v>Còn trống</v>
      </c>
    </row>
    <row r="2348" spans="1:16" x14ac:dyDescent="0.3">
      <c r="A2348">
        <v>2347</v>
      </c>
      <c r="B2348" t="s">
        <v>5291</v>
      </c>
      <c r="C2348" t="s">
        <v>5412</v>
      </c>
      <c r="D2348" t="s">
        <v>5413</v>
      </c>
      <c r="E2348" t="s">
        <v>45</v>
      </c>
      <c r="F2348" t="s">
        <v>5299</v>
      </c>
      <c r="G2348" t="s">
        <v>5320</v>
      </c>
      <c r="H2348" t="str">
        <f>'Huong dan giao do an'!$B$14</f>
        <v>5 SV (vai trò chính): 1 PM/Scrum Master kiêm Integration; 2 BA/PO; 3 UI-UX + Frontend; 4 Backend/API + DevOps; 5 Database + QA/Tester. Mỗi SV có nhiệm vụ phụ và minh chứng cá nhân.</v>
      </c>
      <c r="I2348" t="s">
        <v>22</v>
      </c>
      <c r="J2348" t="s">
        <v>5296</v>
      </c>
      <c r="K2348" t="str">
        <f>IF(I2348="Trung bình",'Huong dan giao do an'!$B$8,IF(I2348="Khá",'Huong dan giao do an'!$B$9,'Huong dan giao do an'!$B$10))</f>
        <v>Tối thiểu 4 actor; 10-14 use case; 8-12 bảng; 3 quy trình lõi; phân quyền chi tiết; 2 báo cáo; tích hợp 1 dịch vụ; &gt;=35 test case; CI/CD hoặc deploy cloud.</v>
      </c>
      <c r="L2348" t="str">
        <f>'Huong dan giao do an'!$B$31</f>
        <v>Bắt buộc: Charter/PMP; SRS + scope/WBS; Gantt/baseline; effort-cost budget; RACI/timesheet; quality-test-defect; communication/minutes; risk register; procurement; change log; closure/lessons learned.</v>
      </c>
      <c r="M2348" t="str">
        <f>'Huong dan giao do an'!$B$33</f>
        <v>Tuần 1: 07.09–13.09.2026; Tuần 2: 14.09–20.09.2026; Tuần 3: 21.09–27.09.2026; Tuần 4: 28.09–04.10.2026; Tuần 5: 05.10–11.10.2026; Tuần 6: 12.10–18.10.2026; Tuần 7: 19.10–25.10.2026; Tuần 8: 26.10–01.11.2026.</v>
      </c>
      <c r="N23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8" s="17" t="str">
        <f t="shared" si="36"/>
        <v>Còn trống</v>
      </c>
    </row>
    <row r="2349" spans="1:16" x14ac:dyDescent="0.3">
      <c r="A2349">
        <v>2348</v>
      </c>
      <c r="B2349" t="s">
        <v>5291</v>
      </c>
      <c r="C2349" t="s">
        <v>5414</v>
      </c>
      <c r="D2349" t="s">
        <v>5415</v>
      </c>
      <c r="E2349" t="s">
        <v>19</v>
      </c>
      <c r="F2349" t="s">
        <v>5304</v>
      </c>
      <c r="G2349" t="s">
        <v>5323</v>
      </c>
      <c r="H2349" t="str">
        <f>'Huong dan giao do an'!$B$14</f>
        <v>5 SV (vai trò chính): 1 PM/Scrum Master kiêm Integration; 2 BA/PO; 3 UI-UX + Frontend; 4 Backend/API + DevOps; 5 Database + QA/Tester. Mỗi SV có nhiệm vụ phụ và minh chứng cá nhân.</v>
      </c>
      <c r="I2349" t="s">
        <v>29</v>
      </c>
      <c r="J2349" t="s">
        <v>5301</v>
      </c>
      <c r="K2349" t="str">
        <f>IF(I2349="Trung bình",'Huong dan giao do an'!$B$8,IF(I2349="Khá",'Huong dan giao do an'!$B$9,'Huong dan giao do an'!$B$10))</f>
        <v>Tối thiểu 5 actor; 14-18 use case; 10-15 bảng; 4 quy trình; tích hợp ngoài/realtime hoặc xử lý nâng cao; 3 báo cáo; &gt;=45 test case; logging, backup và deploy.</v>
      </c>
      <c r="L2349" t="str">
        <f>'Huong dan giao do an'!$B$31</f>
        <v>Bắt buộc: Charter/PMP; SRS + scope/WBS; Gantt/baseline; effort-cost budget; RACI/timesheet; quality-test-defect; communication/minutes; risk register; procurement; change log; closure/lessons learned.</v>
      </c>
      <c r="M2349" t="str">
        <f>'Huong dan giao do an'!$B$33</f>
        <v>Tuần 1: 07.09–13.09.2026; Tuần 2: 14.09–20.09.2026; Tuần 3: 21.09–27.09.2026; Tuần 4: 28.09–04.10.2026; Tuần 5: 05.10–11.10.2026; Tuần 6: 12.10–18.10.2026; Tuần 7: 19.10–25.10.2026; Tuần 8: 26.10–01.11.2026.</v>
      </c>
      <c r="N23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49" s="17" t="str">
        <f t="shared" si="36"/>
        <v>Còn trống</v>
      </c>
    </row>
    <row r="2350" spans="1:16" x14ac:dyDescent="0.3">
      <c r="A2350">
        <v>2349</v>
      </c>
      <c r="B2350" t="s">
        <v>5291</v>
      </c>
      <c r="C2350" t="s">
        <v>5416</v>
      </c>
      <c r="D2350" t="s">
        <v>5417</v>
      </c>
      <c r="E2350" t="s">
        <v>26</v>
      </c>
      <c r="F2350" t="s">
        <v>5309</v>
      </c>
      <c r="G2350" t="s">
        <v>5326</v>
      </c>
      <c r="H2350" t="str">
        <f>'Huong dan giao do an'!$B$14</f>
        <v>5 SV (vai trò chính): 1 PM/Scrum Master kiêm Integration; 2 BA/PO; 3 UI-UX + Frontend; 4 Backend/API + DevOps; 5 Database + QA/Tester. Mỗi SV có nhiệm vụ phụ và minh chứng cá nhân.</v>
      </c>
      <c r="I2350" t="s">
        <v>36</v>
      </c>
      <c r="J2350" t="s">
        <v>5306</v>
      </c>
      <c r="K2350" t="str">
        <f>IF(I2350="Trung bình",'Huong dan giao do an'!$B$8,IF(I2350="Khá",'Huong dan giao do an'!$B$9,'Huong dan giao do an'!$B$10))</f>
        <v>Tối thiểu 3 actor; 8-10 use case; 6-8 bảng dữ liệu; 2 quy trình lõi; đăng nhập/RBAC; 1 dashboard; 1 báo cáo; &gt;=25 test case; triển khai bản demo.</v>
      </c>
      <c r="L2350" t="str">
        <f>'Huong dan giao do an'!$B$31</f>
        <v>Bắt buộc: Charter/PMP; SRS + scope/WBS; Gantt/baseline; effort-cost budget; RACI/timesheet; quality-test-defect; communication/minutes; risk register; procurement; change log; closure/lessons learned.</v>
      </c>
      <c r="M2350" t="str">
        <f>'Huong dan giao do an'!$B$33</f>
        <v>Tuần 1: 07.09–13.09.2026; Tuần 2: 14.09–20.09.2026; Tuần 3: 21.09–27.09.2026; Tuần 4: 28.09–04.10.2026; Tuần 5: 05.10–11.10.2026; Tuần 6: 12.10–18.10.2026; Tuần 7: 19.10–25.10.2026; Tuần 8: 26.10–01.11.2026.</v>
      </c>
      <c r="N23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0" s="17" t="str">
        <f t="shared" si="36"/>
        <v>Còn trống</v>
      </c>
    </row>
    <row r="2351" spans="1:16" x14ac:dyDescent="0.3">
      <c r="A2351">
        <v>2350</v>
      </c>
      <c r="B2351" t="s">
        <v>5291</v>
      </c>
      <c r="C2351" t="s">
        <v>5418</v>
      </c>
      <c r="D2351" t="s">
        <v>5419</v>
      </c>
      <c r="E2351" t="s">
        <v>33</v>
      </c>
      <c r="F2351" t="s">
        <v>5313</v>
      </c>
      <c r="G2351" t="s">
        <v>5329</v>
      </c>
      <c r="H2351" t="str">
        <f>'Huong dan giao do an'!$B$14</f>
        <v>5 SV (vai trò chính): 1 PM/Scrum Master kiêm Integration; 2 BA/PO; 3 UI-UX + Frontend; 4 Backend/API + DevOps; 5 Database + QA/Tester. Mỗi SV có nhiệm vụ phụ và minh chứng cá nhân.</v>
      </c>
      <c r="I2351" t="s">
        <v>22</v>
      </c>
      <c r="J2351" t="s">
        <v>5296</v>
      </c>
      <c r="K2351" t="str">
        <f>IF(I2351="Trung bình",'Huong dan giao do an'!$B$8,IF(I2351="Khá",'Huong dan giao do an'!$B$9,'Huong dan giao do an'!$B$10))</f>
        <v>Tối thiểu 4 actor; 10-14 use case; 8-12 bảng; 3 quy trình lõi; phân quyền chi tiết; 2 báo cáo; tích hợp 1 dịch vụ; &gt;=35 test case; CI/CD hoặc deploy cloud.</v>
      </c>
      <c r="L2351" t="str">
        <f>'Huong dan giao do an'!$B$31</f>
        <v>Bắt buộc: Charter/PMP; SRS + scope/WBS; Gantt/baseline; effort-cost budget; RACI/timesheet; quality-test-defect; communication/minutes; risk register; procurement; change log; closure/lessons learned.</v>
      </c>
      <c r="M2351" t="str">
        <f>'Huong dan giao do an'!$B$33</f>
        <v>Tuần 1: 07.09–13.09.2026; Tuần 2: 14.09–20.09.2026; Tuần 3: 21.09–27.09.2026; Tuần 4: 28.09–04.10.2026; Tuần 5: 05.10–11.10.2026; Tuần 6: 12.10–18.10.2026; Tuần 7: 19.10–25.10.2026; Tuần 8: 26.10–01.11.2026.</v>
      </c>
      <c r="N23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1" s="17" t="str">
        <f t="shared" si="36"/>
        <v>Còn trống</v>
      </c>
    </row>
    <row r="2352" spans="1:16" x14ac:dyDescent="0.3">
      <c r="A2352">
        <v>2351</v>
      </c>
      <c r="B2352" t="s">
        <v>5291</v>
      </c>
      <c r="C2352" t="s">
        <v>5420</v>
      </c>
      <c r="D2352" t="s">
        <v>5421</v>
      </c>
      <c r="E2352" t="s">
        <v>40</v>
      </c>
      <c r="F2352" t="s">
        <v>5294</v>
      </c>
      <c r="G2352" t="s">
        <v>5332</v>
      </c>
      <c r="H2352" t="str">
        <f>'Huong dan giao do an'!$B$14</f>
        <v>5 SV (vai trò chính): 1 PM/Scrum Master kiêm Integration; 2 BA/PO; 3 UI-UX + Frontend; 4 Backend/API + DevOps; 5 Database + QA/Tester. Mỗi SV có nhiệm vụ phụ và minh chứng cá nhân.</v>
      </c>
      <c r="I2352" t="s">
        <v>29</v>
      </c>
      <c r="J2352" t="s">
        <v>5301</v>
      </c>
      <c r="K2352" t="str">
        <f>IF(I2352="Trung bình",'Huong dan giao do an'!$B$8,IF(I2352="Khá",'Huong dan giao do an'!$B$9,'Huong dan giao do an'!$B$10))</f>
        <v>Tối thiểu 5 actor; 14-18 use case; 10-15 bảng; 4 quy trình; tích hợp ngoài/realtime hoặc xử lý nâng cao; 3 báo cáo; &gt;=45 test case; logging, backup và deploy.</v>
      </c>
      <c r="L2352" t="str">
        <f>'Huong dan giao do an'!$B$31</f>
        <v>Bắt buộc: Charter/PMP; SRS + scope/WBS; Gantt/baseline; effort-cost budget; RACI/timesheet; quality-test-defect; communication/minutes; risk register; procurement; change log; closure/lessons learned.</v>
      </c>
      <c r="M2352" t="str">
        <f>'Huong dan giao do an'!$B$33</f>
        <v>Tuần 1: 07.09–13.09.2026; Tuần 2: 14.09–20.09.2026; Tuần 3: 21.09–27.09.2026; Tuần 4: 28.09–04.10.2026; Tuần 5: 05.10–11.10.2026; Tuần 6: 12.10–18.10.2026; Tuần 7: 19.10–25.10.2026; Tuần 8: 26.10–01.11.2026.</v>
      </c>
      <c r="N23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2" s="17" t="str">
        <f t="shared" si="36"/>
        <v>Còn trống</v>
      </c>
    </row>
    <row r="2353" spans="1:16" x14ac:dyDescent="0.3">
      <c r="A2353">
        <v>2352</v>
      </c>
      <c r="B2353" t="s">
        <v>5291</v>
      </c>
      <c r="C2353" t="s">
        <v>5422</v>
      </c>
      <c r="D2353" t="s">
        <v>5423</v>
      </c>
      <c r="E2353" t="s">
        <v>45</v>
      </c>
      <c r="F2353" t="s">
        <v>5299</v>
      </c>
      <c r="G2353" t="s">
        <v>5335</v>
      </c>
      <c r="H2353" t="str">
        <f>'Huong dan giao do an'!$B$14</f>
        <v>5 SV (vai trò chính): 1 PM/Scrum Master kiêm Integration; 2 BA/PO; 3 UI-UX + Frontend; 4 Backend/API + DevOps; 5 Database + QA/Tester. Mỗi SV có nhiệm vụ phụ và minh chứng cá nhân.</v>
      </c>
      <c r="I2353" t="s">
        <v>36</v>
      </c>
      <c r="J2353" t="s">
        <v>5306</v>
      </c>
      <c r="K2353" t="str">
        <f>IF(I2353="Trung bình",'Huong dan giao do an'!$B$8,IF(I2353="Khá",'Huong dan giao do an'!$B$9,'Huong dan giao do an'!$B$10))</f>
        <v>Tối thiểu 3 actor; 8-10 use case; 6-8 bảng dữ liệu; 2 quy trình lõi; đăng nhập/RBAC; 1 dashboard; 1 báo cáo; &gt;=25 test case; triển khai bản demo.</v>
      </c>
      <c r="L2353" t="str">
        <f>'Huong dan giao do an'!$B$31</f>
        <v>Bắt buộc: Charter/PMP; SRS + scope/WBS; Gantt/baseline; effort-cost budget; RACI/timesheet; quality-test-defect; communication/minutes; risk register; procurement; change log; closure/lessons learned.</v>
      </c>
      <c r="M2353" t="str">
        <f>'Huong dan giao do an'!$B$33</f>
        <v>Tuần 1: 07.09–13.09.2026; Tuần 2: 14.09–20.09.2026; Tuần 3: 21.09–27.09.2026; Tuần 4: 28.09–04.10.2026; Tuần 5: 05.10–11.10.2026; Tuần 6: 12.10–18.10.2026; Tuần 7: 19.10–25.10.2026; Tuần 8: 26.10–01.11.2026.</v>
      </c>
      <c r="N23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3" s="17" t="str">
        <f t="shared" si="36"/>
        <v>Còn trống</v>
      </c>
    </row>
    <row r="2354" spans="1:16" x14ac:dyDescent="0.3">
      <c r="A2354">
        <v>2353</v>
      </c>
      <c r="B2354" t="s">
        <v>5291</v>
      </c>
      <c r="C2354" t="s">
        <v>5424</v>
      </c>
      <c r="D2354" t="s">
        <v>5425</v>
      </c>
      <c r="E2354" t="s">
        <v>19</v>
      </c>
      <c r="F2354" t="s">
        <v>5304</v>
      </c>
      <c r="G2354" t="s">
        <v>5338</v>
      </c>
      <c r="H2354" t="str">
        <f>'Huong dan giao do an'!$B$14</f>
        <v>5 SV (vai trò chính): 1 PM/Scrum Master kiêm Integration; 2 BA/PO; 3 UI-UX + Frontend; 4 Backend/API + DevOps; 5 Database + QA/Tester. Mỗi SV có nhiệm vụ phụ và minh chứng cá nhân.</v>
      </c>
      <c r="I2354" t="s">
        <v>22</v>
      </c>
      <c r="J2354" t="s">
        <v>5296</v>
      </c>
      <c r="K2354" t="str">
        <f>IF(I2354="Trung bình",'Huong dan giao do an'!$B$8,IF(I2354="Khá",'Huong dan giao do an'!$B$9,'Huong dan giao do an'!$B$10))</f>
        <v>Tối thiểu 4 actor; 10-14 use case; 8-12 bảng; 3 quy trình lõi; phân quyền chi tiết; 2 báo cáo; tích hợp 1 dịch vụ; &gt;=35 test case; CI/CD hoặc deploy cloud.</v>
      </c>
      <c r="L2354" t="str">
        <f>'Huong dan giao do an'!$B$31</f>
        <v>Bắt buộc: Charter/PMP; SRS + scope/WBS; Gantt/baseline; effort-cost budget; RACI/timesheet; quality-test-defect; communication/minutes; risk register; procurement; change log; closure/lessons learned.</v>
      </c>
      <c r="M2354" t="str">
        <f>'Huong dan giao do an'!$B$33</f>
        <v>Tuần 1: 07.09–13.09.2026; Tuần 2: 14.09–20.09.2026; Tuần 3: 21.09–27.09.2026; Tuần 4: 28.09–04.10.2026; Tuần 5: 05.10–11.10.2026; Tuần 6: 12.10–18.10.2026; Tuần 7: 19.10–25.10.2026; Tuần 8: 26.10–01.11.2026.</v>
      </c>
      <c r="N23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4" s="17" t="str">
        <f t="shared" si="36"/>
        <v>Còn trống</v>
      </c>
    </row>
    <row r="2355" spans="1:16" x14ac:dyDescent="0.3">
      <c r="A2355">
        <v>2354</v>
      </c>
      <c r="B2355" t="s">
        <v>5291</v>
      </c>
      <c r="C2355" t="s">
        <v>5426</v>
      </c>
      <c r="D2355" t="s">
        <v>5427</v>
      </c>
      <c r="E2355" t="s">
        <v>26</v>
      </c>
      <c r="F2355" t="s">
        <v>5309</v>
      </c>
      <c r="G2355" t="s">
        <v>5341</v>
      </c>
      <c r="H2355" t="str">
        <f>'Huong dan giao do an'!$B$14</f>
        <v>5 SV (vai trò chính): 1 PM/Scrum Master kiêm Integration; 2 BA/PO; 3 UI-UX + Frontend; 4 Backend/API + DevOps; 5 Database + QA/Tester. Mỗi SV có nhiệm vụ phụ và minh chứng cá nhân.</v>
      </c>
      <c r="I2355" t="s">
        <v>29</v>
      </c>
      <c r="J2355" t="s">
        <v>5301</v>
      </c>
      <c r="K2355" t="str">
        <f>IF(I2355="Trung bình",'Huong dan giao do an'!$B$8,IF(I2355="Khá",'Huong dan giao do an'!$B$9,'Huong dan giao do an'!$B$10))</f>
        <v>Tối thiểu 5 actor; 14-18 use case; 10-15 bảng; 4 quy trình; tích hợp ngoài/realtime hoặc xử lý nâng cao; 3 báo cáo; &gt;=45 test case; logging, backup và deploy.</v>
      </c>
      <c r="L2355" t="str">
        <f>'Huong dan giao do an'!$B$31</f>
        <v>Bắt buộc: Charter/PMP; SRS + scope/WBS; Gantt/baseline; effort-cost budget; RACI/timesheet; quality-test-defect; communication/minutes; risk register; procurement; change log; closure/lessons learned.</v>
      </c>
      <c r="M2355" t="str">
        <f>'Huong dan giao do an'!$B$33</f>
        <v>Tuần 1: 07.09–13.09.2026; Tuần 2: 14.09–20.09.2026; Tuần 3: 21.09–27.09.2026; Tuần 4: 28.09–04.10.2026; Tuần 5: 05.10–11.10.2026; Tuần 6: 12.10–18.10.2026; Tuần 7: 19.10–25.10.2026; Tuần 8: 26.10–01.11.2026.</v>
      </c>
      <c r="N23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5" s="17" t="str">
        <f t="shared" si="36"/>
        <v>Còn trống</v>
      </c>
    </row>
    <row r="2356" spans="1:16" x14ac:dyDescent="0.3">
      <c r="A2356">
        <v>2355</v>
      </c>
      <c r="B2356" t="s">
        <v>5291</v>
      </c>
      <c r="C2356" t="s">
        <v>5428</v>
      </c>
      <c r="D2356" t="s">
        <v>5429</v>
      </c>
      <c r="E2356" t="s">
        <v>33</v>
      </c>
      <c r="F2356" t="s">
        <v>5313</v>
      </c>
      <c r="G2356" t="s">
        <v>5344</v>
      </c>
      <c r="H2356" t="str">
        <f>'Huong dan giao do an'!$B$14</f>
        <v>5 SV (vai trò chính): 1 PM/Scrum Master kiêm Integration; 2 BA/PO; 3 UI-UX + Frontend; 4 Backend/API + DevOps; 5 Database + QA/Tester. Mỗi SV có nhiệm vụ phụ và minh chứng cá nhân.</v>
      </c>
      <c r="I2356" t="s">
        <v>36</v>
      </c>
      <c r="J2356" t="s">
        <v>5306</v>
      </c>
      <c r="K2356" t="str">
        <f>IF(I2356="Trung bình",'Huong dan giao do an'!$B$8,IF(I2356="Khá",'Huong dan giao do an'!$B$9,'Huong dan giao do an'!$B$10))</f>
        <v>Tối thiểu 3 actor; 8-10 use case; 6-8 bảng dữ liệu; 2 quy trình lõi; đăng nhập/RBAC; 1 dashboard; 1 báo cáo; &gt;=25 test case; triển khai bản demo.</v>
      </c>
      <c r="L2356" t="str">
        <f>'Huong dan giao do an'!$B$31</f>
        <v>Bắt buộc: Charter/PMP; SRS + scope/WBS; Gantt/baseline; effort-cost budget; RACI/timesheet; quality-test-defect; communication/minutes; risk register; procurement; change log; closure/lessons learned.</v>
      </c>
      <c r="M2356" t="str">
        <f>'Huong dan giao do an'!$B$33</f>
        <v>Tuần 1: 07.09–13.09.2026; Tuần 2: 14.09–20.09.2026; Tuần 3: 21.09–27.09.2026; Tuần 4: 28.09–04.10.2026; Tuần 5: 05.10–11.10.2026; Tuần 6: 12.10–18.10.2026; Tuần 7: 19.10–25.10.2026; Tuần 8: 26.10–01.11.2026.</v>
      </c>
      <c r="N23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6" s="17" t="str">
        <f t="shared" si="36"/>
        <v>Còn trống</v>
      </c>
    </row>
    <row r="2357" spans="1:16" x14ac:dyDescent="0.3">
      <c r="A2357">
        <v>2356</v>
      </c>
      <c r="B2357" t="s">
        <v>5291</v>
      </c>
      <c r="C2357" t="s">
        <v>5430</v>
      </c>
      <c r="D2357" t="s">
        <v>5431</v>
      </c>
      <c r="E2357" t="s">
        <v>40</v>
      </c>
      <c r="F2357" t="s">
        <v>5294</v>
      </c>
      <c r="G2357" t="s">
        <v>5347</v>
      </c>
      <c r="H2357" t="str">
        <f>'Huong dan giao do an'!$B$14</f>
        <v>5 SV (vai trò chính): 1 PM/Scrum Master kiêm Integration; 2 BA/PO; 3 UI-UX + Frontend; 4 Backend/API + DevOps; 5 Database + QA/Tester. Mỗi SV có nhiệm vụ phụ và minh chứng cá nhân.</v>
      </c>
      <c r="I2357" t="s">
        <v>22</v>
      </c>
      <c r="J2357" t="s">
        <v>5296</v>
      </c>
      <c r="K2357" t="str">
        <f>IF(I2357="Trung bình",'Huong dan giao do an'!$B$8,IF(I2357="Khá",'Huong dan giao do an'!$B$9,'Huong dan giao do an'!$B$10))</f>
        <v>Tối thiểu 4 actor; 10-14 use case; 8-12 bảng; 3 quy trình lõi; phân quyền chi tiết; 2 báo cáo; tích hợp 1 dịch vụ; &gt;=35 test case; CI/CD hoặc deploy cloud.</v>
      </c>
      <c r="L2357" t="str">
        <f>'Huong dan giao do an'!$B$31</f>
        <v>Bắt buộc: Charter/PMP; SRS + scope/WBS; Gantt/baseline; effort-cost budget; RACI/timesheet; quality-test-defect; communication/minutes; risk register; procurement; change log; closure/lessons learned.</v>
      </c>
      <c r="M2357" t="str">
        <f>'Huong dan giao do an'!$B$33</f>
        <v>Tuần 1: 07.09–13.09.2026; Tuần 2: 14.09–20.09.2026; Tuần 3: 21.09–27.09.2026; Tuần 4: 28.09–04.10.2026; Tuần 5: 05.10–11.10.2026; Tuần 6: 12.10–18.10.2026; Tuần 7: 19.10–25.10.2026; Tuần 8: 26.10–01.11.2026.</v>
      </c>
      <c r="N23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7" s="17" t="str">
        <f t="shared" si="36"/>
        <v>Còn trống</v>
      </c>
    </row>
    <row r="2358" spans="1:16" x14ac:dyDescent="0.3">
      <c r="A2358">
        <v>2357</v>
      </c>
      <c r="B2358" t="s">
        <v>5291</v>
      </c>
      <c r="C2358" t="s">
        <v>5432</v>
      </c>
      <c r="D2358" t="s">
        <v>5433</v>
      </c>
      <c r="E2358" t="s">
        <v>45</v>
      </c>
      <c r="F2358" t="s">
        <v>5299</v>
      </c>
      <c r="G2358" t="s">
        <v>5350</v>
      </c>
      <c r="H2358" t="str">
        <f>'Huong dan giao do an'!$B$14</f>
        <v>5 SV (vai trò chính): 1 PM/Scrum Master kiêm Integration; 2 BA/PO; 3 UI-UX + Frontend; 4 Backend/API + DevOps; 5 Database + QA/Tester. Mỗi SV có nhiệm vụ phụ và minh chứng cá nhân.</v>
      </c>
      <c r="I2358" t="s">
        <v>29</v>
      </c>
      <c r="J2358" t="s">
        <v>5301</v>
      </c>
      <c r="K2358" t="str">
        <f>IF(I2358="Trung bình",'Huong dan giao do an'!$B$8,IF(I2358="Khá",'Huong dan giao do an'!$B$9,'Huong dan giao do an'!$B$10))</f>
        <v>Tối thiểu 5 actor; 14-18 use case; 10-15 bảng; 4 quy trình; tích hợp ngoài/realtime hoặc xử lý nâng cao; 3 báo cáo; &gt;=45 test case; logging, backup và deploy.</v>
      </c>
      <c r="L2358" t="str">
        <f>'Huong dan giao do an'!$B$31</f>
        <v>Bắt buộc: Charter/PMP; SRS + scope/WBS; Gantt/baseline; effort-cost budget; RACI/timesheet; quality-test-defect; communication/minutes; risk register; procurement; change log; closure/lessons learned.</v>
      </c>
      <c r="M2358" t="str">
        <f>'Huong dan giao do an'!$B$33</f>
        <v>Tuần 1: 07.09–13.09.2026; Tuần 2: 14.09–20.09.2026; Tuần 3: 21.09–27.09.2026; Tuần 4: 28.09–04.10.2026; Tuần 5: 05.10–11.10.2026; Tuần 6: 12.10–18.10.2026; Tuần 7: 19.10–25.10.2026; Tuần 8: 26.10–01.11.2026.</v>
      </c>
      <c r="N23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8" s="17" t="str">
        <f t="shared" si="36"/>
        <v>Còn trống</v>
      </c>
    </row>
    <row r="2359" spans="1:16" x14ac:dyDescent="0.3">
      <c r="A2359">
        <v>2358</v>
      </c>
      <c r="B2359" t="s">
        <v>5291</v>
      </c>
      <c r="C2359" t="s">
        <v>5434</v>
      </c>
      <c r="D2359" t="s">
        <v>5435</v>
      </c>
      <c r="E2359" t="s">
        <v>19</v>
      </c>
      <c r="F2359" t="s">
        <v>5304</v>
      </c>
      <c r="G2359" t="s">
        <v>5353</v>
      </c>
      <c r="H2359" t="str">
        <f>'Huong dan giao do an'!$B$14</f>
        <v>5 SV (vai trò chính): 1 PM/Scrum Master kiêm Integration; 2 BA/PO; 3 UI-UX + Frontend; 4 Backend/API + DevOps; 5 Database + QA/Tester. Mỗi SV có nhiệm vụ phụ và minh chứng cá nhân.</v>
      </c>
      <c r="I2359" t="s">
        <v>36</v>
      </c>
      <c r="J2359" t="s">
        <v>5306</v>
      </c>
      <c r="K2359" t="str">
        <f>IF(I2359="Trung bình",'Huong dan giao do an'!$B$8,IF(I2359="Khá",'Huong dan giao do an'!$B$9,'Huong dan giao do an'!$B$10))</f>
        <v>Tối thiểu 3 actor; 8-10 use case; 6-8 bảng dữ liệu; 2 quy trình lõi; đăng nhập/RBAC; 1 dashboard; 1 báo cáo; &gt;=25 test case; triển khai bản demo.</v>
      </c>
      <c r="L2359" t="str">
        <f>'Huong dan giao do an'!$B$31</f>
        <v>Bắt buộc: Charter/PMP; SRS + scope/WBS; Gantt/baseline; effort-cost budget; RACI/timesheet; quality-test-defect; communication/minutes; risk register; procurement; change log; closure/lessons learned.</v>
      </c>
      <c r="M2359" t="str">
        <f>'Huong dan giao do an'!$B$33</f>
        <v>Tuần 1: 07.09–13.09.2026; Tuần 2: 14.09–20.09.2026; Tuần 3: 21.09–27.09.2026; Tuần 4: 28.09–04.10.2026; Tuần 5: 05.10–11.10.2026; Tuần 6: 12.10–18.10.2026; Tuần 7: 19.10–25.10.2026; Tuần 8: 26.10–01.11.2026.</v>
      </c>
      <c r="N23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59" s="17" t="str">
        <f t="shared" si="36"/>
        <v>Còn trống</v>
      </c>
    </row>
    <row r="2360" spans="1:16" x14ac:dyDescent="0.3">
      <c r="A2360">
        <v>2359</v>
      </c>
      <c r="B2360" t="s">
        <v>5291</v>
      </c>
      <c r="C2360" t="s">
        <v>5436</v>
      </c>
      <c r="D2360" t="s">
        <v>5437</v>
      </c>
      <c r="E2360" t="s">
        <v>26</v>
      </c>
      <c r="F2360" t="s">
        <v>5309</v>
      </c>
      <c r="G2360" t="s">
        <v>5356</v>
      </c>
      <c r="H2360" t="str">
        <f>'Huong dan giao do an'!$B$14</f>
        <v>5 SV (vai trò chính): 1 PM/Scrum Master kiêm Integration; 2 BA/PO; 3 UI-UX + Frontend; 4 Backend/API + DevOps; 5 Database + QA/Tester. Mỗi SV có nhiệm vụ phụ và minh chứng cá nhân.</v>
      </c>
      <c r="I2360" t="s">
        <v>22</v>
      </c>
      <c r="J2360" t="s">
        <v>5296</v>
      </c>
      <c r="K2360" t="str">
        <f>IF(I2360="Trung bình",'Huong dan giao do an'!$B$8,IF(I2360="Khá",'Huong dan giao do an'!$B$9,'Huong dan giao do an'!$B$10))</f>
        <v>Tối thiểu 4 actor; 10-14 use case; 8-12 bảng; 3 quy trình lõi; phân quyền chi tiết; 2 báo cáo; tích hợp 1 dịch vụ; &gt;=35 test case; CI/CD hoặc deploy cloud.</v>
      </c>
      <c r="L2360" t="str">
        <f>'Huong dan giao do an'!$B$31</f>
        <v>Bắt buộc: Charter/PMP; SRS + scope/WBS; Gantt/baseline; effort-cost budget; RACI/timesheet; quality-test-defect; communication/minutes; risk register; procurement; change log; closure/lessons learned.</v>
      </c>
      <c r="M2360" t="str">
        <f>'Huong dan giao do an'!$B$33</f>
        <v>Tuần 1: 07.09–13.09.2026; Tuần 2: 14.09–20.09.2026; Tuần 3: 21.09–27.09.2026; Tuần 4: 28.09–04.10.2026; Tuần 5: 05.10–11.10.2026; Tuần 6: 12.10–18.10.2026; Tuần 7: 19.10–25.10.2026; Tuần 8: 26.10–01.11.2026.</v>
      </c>
      <c r="N23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0" s="17" t="str">
        <f t="shared" si="36"/>
        <v>Còn trống</v>
      </c>
    </row>
    <row r="2361" spans="1:16" x14ac:dyDescent="0.3">
      <c r="A2361">
        <v>2360</v>
      </c>
      <c r="B2361" t="s">
        <v>5291</v>
      </c>
      <c r="C2361" t="s">
        <v>5438</v>
      </c>
      <c r="D2361" t="s">
        <v>5439</v>
      </c>
      <c r="E2361" t="s">
        <v>33</v>
      </c>
      <c r="F2361" t="s">
        <v>5313</v>
      </c>
      <c r="G2361" t="s">
        <v>5359</v>
      </c>
      <c r="H2361" t="str">
        <f>'Huong dan giao do an'!$B$14</f>
        <v>5 SV (vai trò chính): 1 PM/Scrum Master kiêm Integration; 2 BA/PO; 3 UI-UX + Frontend; 4 Backend/API + DevOps; 5 Database + QA/Tester. Mỗi SV có nhiệm vụ phụ và minh chứng cá nhân.</v>
      </c>
      <c r="I2361" t="s">
        <v>29</v>
      </c>
      <c r="J2361" t="s">
        <v>5301</v>
      </c>
      <c r="K2361" t="str">
        <f>IF(I2361="Trung bình",'Huong dan giao do an'!$B$8,IF(I2361="Khá",'Huong dan giao do an'!$B$9,'Huong dan giao do an'!$B$10))</f>
        <v>Tối thiểu 5 actor; 14-18 use case; 10-15 bảng; 4 quy trình; tích hợp ngoài/realtime hoặc xử lý nâng cao; 3 báo cáo; &gt;=45 test case; logging, backup và deploy.</v>
      </c>
      <c r="L2361" t="str">
        <f>'Huong dan giao do an'!$B$31</f>
        <v>Bắt buộc: Charter/PMP; SRS + scope/WBS; Gantt/baseline; effort-cost budget; RACI/timesheet; quality-test-defect; communication/minutes; risk register; procurement; change log; closure/lessons learned.</v>
      </c>
      <c r="M2361" t="str">
        <f>'Huong dan giao do an'!$B$33</f>
        <v>Tuần 1: 07.09–13.09.2026; Tuần 2: 14.09–20.09.2026; Tuần 3: 21.09–27.09.2026; Tuần 4: 28.09–04.10.2026; Tuần 5: 05.10–11.10.2026; Tuần 6: 12.10–18.10.2026; Tuần 7: 19.10–25.10.2026; Tuần 8: 26.10–01.11.2026.</v>
      </c>
      <c r="N23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1" s="17" t="str">
        <f t="shared" si="36"/>
        <v>Còn trống</v>
      </c>
    </row>
    <row r="2362" spans="1:16" x14ac:dyDescent="0.3">
      <c r="A2362">
        <v>2361</v>
      </c>
      <c r="B2362" t="s">
        <v>5291</v>
      </c>
      <c r="C2362" t="s">
        <v>5440</v>
      </c>
      <c r="D2362" t="s">
        <v>5441</v>
      </c>
      <c r="E2362" t="s">
        <v>40</v>
      </c>
      <c r="F2362" t="s">
        <v>5294</v>
      </c>
      <c r="G2362" t="s">
        <v>5295</v>
      </c>
      <c r="H2362" t="str">
        <f>'Huong dan giao do an'!$B$14</f>
        <v>5 SV (vai trò chính): 1 PM/Scrum Master kiêm Integration; 2 BA/PO; 3 UI-UX + Frontend; 4 Backend/API + DevOps; 5 Database + QA/Tester. Mỗi SV có nhiệm vụ phụ và minh chứng cá nhân.</v>
      </c>
      <c r="I2362" t="s">
        <v>22</v>
      </c>
      <c r="J2362" t="s">
        <v>5296</v>
      </c>
      <c r="K2362" t="str">
        <f>IF(I2362="Trung bình",'Huong dan giao do an'!$B$8,IF(I2362="Khá",'Huong dan giao do an'!$B$9,'Huong dan giao do an'!$B$10))</f>
        <v>Tối thiểu 4 actor; 10-14 use case; 8-12 bảng; 3 quy trình lõi; phân quyền chi tiết; 2 báo cáo; tích hợp 1 dịch vụ; &gt;=35 test case; CI/CD hoặc deploy cloud.</v>
      </c>
      <c r="L2362" t="str">
        <f>'Huong dan giao do an'!$B$31</f>
        <v>Bắt buộc: Charter/PMP; SRS + scope/WBS; Gantt/baseline; effort-cost budget; RACI/timesheet; quality-test-defect; communication/minutes; risk register; procurement; change log; closure/lessons learned.</v>
      </c>
      <c r="M2362" t="str">
        <f>'Huong dan giao do an'!$B$33</f>
        <v>Tuần 1: 07.09–13.09.2026; Tuần 2: 14.09–20.09.2026; Tuần 3: 21.09–27.09.2026; Tuần 4: 28.09–04.10.2026; Tuần 5: 05.10–11.10.2026; Tuần 6: 12.10–18.10.2026; Tuần 7: 19.10–25.10.2026; Tuần 8: 26.10–01.11.2026.</v>
      </c>
      <c r="N23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2" s="17" t="str">
        <f t="shared" si="36"/>
        <v>Còn trống</v>
      </c>
    </row>
    <row r="2363" spans="1:16" x14ac:dyDescent="0.3">
      <c r="A2363">
        <v>2362</v>
      </c>
      <c r="B2363" t="s">
        <v>5291</v>
      </c>
      <c r="C2363" t="s">
        <v>5442</v>
      </c>
      <c r="D2363" t="s">
        <v>5443</v>
      </c>
      <c r="E2363" t="s">
        <v>45</v>
      </c>
      <c r="F2363" t="s">
        <v>5299</v>
      </c>
      <c r="G2363" t="s">
        <v>5300</v>
      </c>
      <c r="H2363" t="str">
        <f>'Huong dan giao do an'!$B$14</f>
        <v>5 SV (vai trò chính): 1 PM/Scrum Master kiêm Integration; 2 BA/PO; 3 UI-UX + Frontend; 4 Backend/API + DevOps; 5 Database + QA/Tester. Mỗi SV có nhiệm vụ phụ và minh chứng cá nhân.</v>
      </c>
      <c r="I2363" t="s">
        <v>29</v>
      </c>
      <c r="J2363" t="s">
        <v>5301</v>
      </c>
      <c r="K2363" t="str">
        <f>IF(I2363="Trung bình",'Huong dan giao do an'!$B$8,IF(I2363="Khá",'Huong dan giao do an'!$B$9,'Huong dan giao do an'!$B$10))</f>
        <v>Tối thiểu 5 actor; 14-18 use case; 10-15 bảng; 4 quy trình; tích hợp ngoài/realtime hoặc xử lý nâng cao; 3 báo cáo; &gt;=45 test case; logging, backup và deploy.</v>
      </c>
      <c r="L2363" t="str">
        <f>'Huong dan giao do an'!$B$31</f>
        <v>Bắt buộc: Charter/PMP; SRS + scope/WBS; Gantt/baseline; effort-cost budget; RACI/timesheet; quality-test-defect; communication/minutes; risk register; procurement; change log; closure/lessons learned.</v>
      </c>
      <c r="M2363" t="str">
        <f>'Huong dan giao do an'!$B$33</f>
        <v>Tuần 1: 07.09–13.09.2026; Tuần 2: 14.09–20.09.2026; Tuần 3: 21.09–27.09.2026; Tuần 4: 28.09–04.10.2026; Tuần 5: 05.10–11.10.2026; Tuần 6: 12.10–18.10.2026; Tuần 7: 19.10–25.10.2026; Tuần 8: 26.10–01.11.2026.</v>
      </c>
      <c r="N23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3" s="17" t="str">
        <f t="shared" si="36"/>
        <v>Còn trống</v>
      </c>
    </row>
    <row r="2364" spans="1:16" x14ac:dyDescent="0.3">
      <c r="A2364">
        <v>2363</v>
      </c>
      <c r="B2364" t="s">
        <v>5291</v>
      </c>
      <c r="C2364" t="s">
        <v>5444</v>
      </c>
      <c r="D2364" t="s">
        <v>5445</v>
      </c>
      <c r="E2364" t="s">
        <v>19</v>
      </c>
      <c r="F2364" t="s">
        <v>5304</v>
      </c>
      <c r="G2364" t="s">
        <v>5305</v>
      </c>
      <c r="H2364" t="str">
        <f>'Huong dan giao do an'!$B$14</f>
        <v>5 SV (vai trò chính): 1 PM/Scrum Master kiêm Integration; 2 BA/PO; 3 UI-UX + Frontend; 4 Backend/API + DevOps; 5 Database + QA/Tester. Mỗi SV có nhiệm vụ phụ và minh chứng cá nhân.</v>
      </c>
      <c r="I2364" t="s">
        <v>36</v>
      </c>
      <c r="J2364" t="s">
        <v>5306</v>
      </c>
      <c r="K2364" t="str">
        <f>IF(I2364="Trung bình",'Huong dan giao do an'!$B$8,IF(I2364="Khá",'Huong dan giao do an'!$B$9,'Huong dan giao do an'!$B$10))</f>
        <v>Tối thiểu 3 actor; 8-10 use case; 6-8 bảng dữ liệu; 2 quy trình lõi; đăng nhập/RBAC; 1 dashboard; 1 báo cáo; &gt;=25 test case; triển khai bản demo.</v>
      </c>
      <c r="L2364" t="str">
        <f>'Huong dan giao do an'!$B$31</f>
        <v>Bắt buộc: Charter/PMP; SRS + scope/WBS; Gantt/baseline; effort-cost budget; RACI/timesheet; quality-test-defect; communication/minutes; risk register; procurement; change log; closure/lessons learned.</v>
      </c>
      <c r="M2364" t="str">
        <f>'Huong dan giao do an'!$B$33</f>
        <v>Tuần 1: 07.09–13.09.2026; Tuần 2: 14.09–20.09.2026; Tuần 3: 21.09–27.09.2026; Tuần 4: 28.09–04.10.2026; Tuần 5: 05.10–11.10.2026; Tuần 6: 12.10–18.10.2026; Tuần 7: 19.10–25.10.2026; Tuần 8: 26.10–01.11.2026.</v>
      </c>
      <c r="N23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4" s="17" t="str">
        <f t="shared" si="36"/>
        <v>Còn trống</v>
      </c>
    </row>
    <row r="2365" spans="1:16" x14ac:dyDescent="0.3">
      <c r="A2365">
        <v>2364</v>
      </c>
      <c r="B2365" t="s">
        <v>5291</v>
      </c>
      <c r="C2365" t="s">
        <v>5446</v>
      </c>
      <c r="D2365" t="s">
        <v>5447</v>
      </c>
      <c r="E2365" t="s">
        <v>26</v>
      </c>
      <c r="F2365" t="s">
        <v>5309</v>
      </c>
      <c r="G2365" t="s">
        <v>5310</v>
      </c>
      <c r="H2365" t="str">
        <f>'Huong dan giao do an'!$B$14</f>
        <v>5 SV (vai trò chính): 1 PM/Scrum Master kiêm Integration; 2 BA/PO; 3 UI-UX + Frontend; 4 Backend/API + DevOps; 5 Database + QA/Tester. Mỗi SV có nhiệm vụ phụ và minh chứng cá nhân.</v>
      </c>
      <c r="I2365" t="s">
        <v>22</v>
      </c>
      <c r="J2365" t="s">
        <v>5296</v>
      </c>
      <c r="K2365" t="str">
        <f>IF(I2365="Trung bình",'Huong dan giao do an'!$B$8,IF(I2365="Khá",'Huong dan giao do an'!$B$9,'Huong dan giao do an'!$B$10))</f>
        <v>Tối thiểu 4 actor; 10-14 use case; 8-12 bảng; 3 quy trình lõi; phân quyền chi tiết; 2 báo cáo; tích hợp 1 dịch vụ; &gt;=35 test case; CI/CD hoặc deploy cloud.</v>
      </c>
      <c r="L2365" t="str">
        <f>'Huong dan giao do an'!$B$31</f>
        <v>Bắt buộc: Charter/PMP; SRS + scope/WBS; Gantt/baseline; effort-cost budget; RACI/timesheet; quality-test-defect; communication/minutes; risk register; procurement; change log; closure/lessons learned.</v>
      </c>
      <c r="M2365" t="str">
        <f>'Huong dan giao do an'!$B$33</f>
        <v>Tuần 1: 07.09–13.09.2026; Tuần 2: 14.09–20.09.2026; Tuần 3: 21.09–27.09.2026; Tuần 4: 28.09–04.10.2026; Tuần 5: 05.10–11.10.2026; Tuần 6: 12.10–18.10.2026; Tuần 7: 19.10–25.10.2026; Tuần 8: 26.10–01.11.2026.</v>
      </c>
      <c r="N23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5" s="17" t="str">
        <f t="shared" si="36"/>
        <v>Còn trống</v>
      </c>
    </row>
    <row r="2366" spans="1:16" x14ac:dyDescent="0.3">
      <c r="A2366">
        <v>2365</v>
      </c>
      <c r="B2366" t="s">
        <v>5291</v>
      </c>
      <c r="C2366" t="s">
        <v>5448</v>
      </c>
      <c r="D2366" t="s">
        <v>5449</v>
      </c>
      <c r="E2366" t="s">
        <v>33</v>
      </c>
      <c r="F2366" t="s">
        <v>5313</v>
      </c>
      <c r="G2366" t="s">
        <v>5314</v>
      </c>
      <c r="H2366" t="str">
        <f>'Huong dan giao do an'!$B$14</f>
        <v>5 SV (vai trò chính): 1 PM/Scrum Master kiêm Integration; 2 BA/PO; 3 UI-UX + Frontend; 4 Backend/API + DevOps; 5 Database + QA/Tester. Mỗi SV có nhiệm vụ phụ và minh chứng cá nhân.</v>
      </c>
      <c r="I2366" t="s">
        <v>29</v>
      </c>
      <c r="J2366" t="s">
        <v>5301</v>
      </c>
      <c r="K2366" t="str">
        <f>IF(I2366="Trung bình",'Huong dan giao do an'!$B$8,IF(I2366="Khá",'Huong dan giao do an'!$B$9,'Huong dan giao do an'!$B$10))</f>
        <v>Tối thiểu 5 actor; 14-18 use case; 10-15 bảng; 4 quy trình; tích hợp ngoài/realtime hoặc xử lý nâng cao; 3 báo cáo; &gt;=45 test case; logging, backup và deploy.</v>
      </c>
      <c r="L2366" t="str">
        <f>'Huong dan giao do an'!$B$31</f>
        <v>Bắt buộc: Charter/PMP; SRS + scope/WBS; Gantt/baseline; effort-cost budget; RACI/timesheet; quality-test-defect; communication/minutes; risk register; procurement; change log; closure/lessons learned.</v>
      </c>
      <c r="M2366" t="str">
        <f>'Huong dan giao do an'!$B$33</f>
        <v>Tuần 1: 07.09–13.09.2026; Tuần 2: 14.09–20.09.2026; Tuần 3: 21.09–27.09.2026; Tuần 4: 28.09–04.10.2026; Tuần 5: 05.10–11.10.2026; Tuần 6: 12.10–18.10.2026; Tuần 7: 19.10–25.10.2026; Tuần 8: 26.10–01.11.2026.</v>
      </c>
      <c r="N23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6" s="17" t="str">
        <f t="shared" si="36"/>
        <v>Còn trống</v>
      </c>
    </row>
    <row r="2367" spans="1:16" x14ac:dyDescent="0.3">
      <c r="A2367">
        <v>2366</v>
      </c>
      <c r="B2367" t="s">
        <v>5291</v>
      </c>
      <c r="C2367" t="s">
        <v>5450</v>
      </c>
      <c r="D2367" t="s">
        <v>5451</v>
      </c>
      <c r="E2367" t="s">
        <v>40</v>
      </c>
      <c r="F2367" t="s">
        <v>5294</v>
      </c>
      <c r="G2367" t="s">
        <v>5317</v>
      </c>
      <c r="H2367" t="str">
        <f>'Huong dan giao do an'!$B$14</f>
        <v>5 SV (vai trò chính): 1 PM/Scrum Master kiêm Integration; 2 BA/PO; 3 UI-UX + Frontend; 4 Backend/API + DevOps; 5 Database + QA/Tester. Mỗi SV có nhiệm vụ phụ và minh chứng cá nhân.</v>
      </c>
      <c r="I2367" t="s">
        <v>36</v>
      </c>
      <c r="J2367" t="s">
        <v>5306</v>
      </c>
      <c r="K2367" t="str">
        <f>IF(I2367="Trung bình",'Huong dan giao do an'!$B$8,IF(I2367="Khá",'Huong dan giao do an'!$B$9,'Huong dan giao do an'!$B$10))</f>
        <v>Tối thiểu 3 actor; 8-10 use case; 6-8 bảng dữ liệu; 2 quy trình lõi; đăng nhập/RBAC; 1 dashboard; 1 báo cáo; &gt;=25 test case; triển khai bản demo.</v>
      </c>
      <c r="L2367" t="str">
        <f>'Huong dan giao do an'!$B$31</f>
        <v>Bắt buộc: Charter/PMP; SRS + scope/WBS; Gantt/baseline; effort-cost budget; RACI/timesheet; quality-test-defect; communication/minutes; risk register; procurement; change log; closure/lessons learned.</v>
      </c>
      <c r="M2367" t="str">
        <f>'Huong dan giao do an'!$B$33</f>
        <v>Tuần 1: 07.09–13.09.2026; Tuần 2: 14.09–20.09.2026; Tuần 3: 21.09–27.09.2026; Tuần 4: 28.09–04.10.2026; Tuần 5: 05.10–11.10.2026; Tuần 6: 12.10–18.10.2026; Tuần 7: 19.10–25.10.2026; Tuần 8: 26.10–01.11.2026.</v>
      </c>
      <c r="N23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7" s="17" t="str">
        <f t="shared" si="36"/>
        <v>Còn trống</v>
      </c>
    </row>
    <row r="2368" spans="1:16" x14ac:dyDescent="0.3">
      <c r="A2368">
        <v>2367</v>
      </c>
      <c r="B2368" t="s">
        <v>5291</v>
      </c>
      <c r="C2368" t="s">
        <v>5452</v>
      </c>
      <c r="D2368" t="s">
        <v>5453</v>
      </c>
      <c r="E2368" t="s">
        <v>45</v>
      </c>
      <c r="F2368" t="s">
        <v>5299</v>
      </c>
      <c r="G2368" t="s">
        <v>5320</v>
      </c>
      <c r="H2368" t="str">
        <f>'Huong dan giao do an'!$B$14</f>
        <v>5 SV (vai trò chính): 1 PM/Scrum Master kiêm Integration; 2 BA/PO; 3 UI-UX + Frontend; 4 Backend/API + DevOps; 5 Database + QA/Tester. Mỗi SV có nhiệm vụ phụ và minh chứng cá nhân.</v>
      </c>
      <c r="I2368" t="s">
        <v>22</v>
      </c>
      <c r="J2368" t="s">
        <v>5296</v>
      </c>
      <c r="K2368" t="str">
        <f>IF(I2368="Trung bình",'Huong dan giao do an'!$B$8,IF(I2368="Khá",'Huong dan giao do an'!$B$9,'Huong dan giao do an'!$B$10))</f>
        <v>Tối thiểu 4 actor; 10-14 use case; 8-12 bảng; 3 quy trình lõi; phân quyền chi tiết; 2 báo cáo; tích hợp 1 dịch vụ; &gt;=35 test case; CI/CD hoặc deploy cloud.</v>
      </c>
      <c r="L2368" t="str">
        <f>'Huong dan giao do an'!$B$31</f>
        <v>Bắt buộc: Charter/PMP; SRS + scope/WBS; Gantt/baseline; effort-cost budget; RACI/timesheet; quality-test-defect; communication/minutes; risk register; procurement; change log; closure/lessons learned.</v>
      </c>
      <c r="M2368" t="str">
        <f>'Huong dan giao do an'!$B$33</f>
        <v>Tuần 1: 07.09–13.09.2026; Tuần 2: 14.09–20.09.2026; Tuần 3: 21.09–27.09.2026; Tuần 4: 28.09–04.10.2026; Tuần 5: 05.10–11.10.2026; Tuần 6: 12.10–18.10.2026; Tuần 7: 19.10–25.10.2026; Tuần 8: 26.10–01.11.2026.</v>
      </c>
      <c r="N23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8" s="17" t="str">
        <f t="shared" si="36"/>
        <v>Còn trống</v>
      </c>
    </row>
    <row r="2369" spans="1:16" x14ac:dyDescent="0.3">
      <c r="A2369">
        <v>2368</v>
      </c>
      <c r="B2369" t="s">
        <v>5291</v>
      </c>
      <c r="C2369" t="s">
        <v>5454</v>
      </c>
      <c r="D2369" t="s">
        <v>5455</v>
      </c>
      <c r="E2369" t="s">
        <v>19</v>
      </c>
      <c r="F2369" t="s">
        <v>5304</v>
      </c>
      <c r="G2369" t="s">
        <v>5323</v>
      </c>
      <c r="H2369" t="str">
        <f>'Huong dan giao do an'!$B$14</f>
        <v>5 SV (vai trò chính): 1 PM/Scrum Master kiêm Integration; 2 BA/PO; 3 UI-UX + Frontend; 4 Backend/API + DevOps; 5 Database + QA/Tester. Mỗi SV có nhiệm vụ phụ và minh chứng cá nhân.</v>
      </c>
      <c r="I2369" t="s">
        <v>29</v>
      </c>
      <c r="J2369" t="s">
        <v>5301</v>
      </c>
      <c r="K2369" t="str">
        <f>IF(I2369="Trung bình",'Huong dan giao do an'!$B$8,IF(I2369="Khá",'Huong dan giao do an'!$B$9,'Huong dan giao do an'!$B$10))</f>
        <v>Tối thiểu 5 actor; 14-18 use case; 10-15 bảng; 4 quy trình; tích hợp ngoài/realtime hoặc xử lý nâng cao; 3 báo cáo; &gt;=45 test case; logging, backup và deploy.</v>
      </c>
      <c r="L2369" t="str">
        <f>'Huong dan giao do an'!$B$31</f>
        <v>Bắt buộc: Charter/PMP; SRS + scope/WBS; Gantt/baseline; effort-cost budget; RACI/timesheet; quality-test-defect; communication/minutes; risk register; procurement; change log; closure/lessons learned.</v>
      </c>
      <c r="M2369" t="str">
        <f>'Huong dan giao do an'!$B$33</f>
        <v>Tuần 1: 07.09–13.09.2026; Tuần 2: 14.09–20.09.2026; Tuần 3: 21.09–27.09.2026; Tuần 4: 28.09–04.10.2026; Tuần 5: 05.10–11.10.2026; Tuần 6: 12.10–18.10.2026; Tuần 7: 19.10–25.10.2026; Tuần 8: 26.10–01.11.2026.</v>
      </c>
      <c r="N23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69" s="17" t="str">
        <f t="shared" si="36"/>
        <v>Còn trống</v>
      </c>
    </row>
    <row r="2370" spans="1:16" x14ac:dyDescent="0.3">
      <c r="A2370">
        <v>2369</v>
      </c>
      <c r="B2370" t="s">
        <v>5291</v>
      </c>
      <c r="C2370" t="s">
        <v>5456</v>
      </c>
      <c r="D2370" t="s">
        <v>5457</v>
      </c>
      <c r="E2370" t="s">
        <v>26</v>
      </c>
      <c r="F2370" t="s">
        <v>5309</v>
      </c>
      <c r="G2370" t="s">
        <v>5326</v>
      </c>
      <c r="H2370" t="str">
        <f>'Huong dan giao do an'!$B$14</f>
        <v>5 SV (vai trò chính): 1 PM/Scrum Master kiêm Integration; 2 BA/PO; 3 UI-UX + Frontend; 4 Backend/API + DevOps; 5 Database + QA/Tester. Mỗi SV có nhiệm vụ phụ và minh chứng cá nhân.</v>
      </c>
      <c r="I2370" t="s">
        <v>36</v>
      </c>
      <c r="J2370" t="s">
        <v>5306</v>
      </c>
      <c r="K2370" t="str">
        <f>IF(I2370="Trung bình",'Huong dan giao do an'!$B$8,IF(I2370="Khá",'Huong dan giao do an'!$B$9,'Huong dan giao do an'!$B$10))</f>
        <v>Tối thiểu 3 actor; 8-10 use case; 6-8 bảng dữ liệu; 2 quy trình lõi; đăng nhập/RBAC; 1 dashboard; 1 báo cáo; &gt;=25 test case; triển khai bản demo.</v>
      </c>
      <c r="L2370" t="str">
        <f>'Huong dan giao do an'!$B$31</f>
        <v>Bắt buộc: Charter/PMP; SRS + scope/WBS; Gantt/baseline; effort-cost budget; RACI/timesheet; quality-test-defect; communication/minutes; risk register; procurement; change log; closure/lessons learned.</v>
      </c>
      <c r="M2370" t="str">
        <f>'Huong dan giao do an'!$B$33</f>
        <v>Tuần 1: 07.09–13.09.2026; Tuần 2: 14.09–20.09.2026; Tuần 3: 21.09–27.09.2026; Tuần 4: 28.09–04.10.2026; Tuần 5: 05.10–11.10.2026; Tuần 6: 12.10–18.10.2026; Tuần 7: 19.10–25.10.2026; Tuần 8: 26.10–01.11.2026.</v>
      </c>
      <c r="N23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0" s="17" t="str">
        <f t="shared" si="36"/>
        <v>Còn trống</v>
      </c>
    </row>
    <row r="2371" spans="1:16" x14ac:dyDescent="0.3">
      <c r="A2371">
        <v>2370</v>
      </c>
      <c r="B2371" t="s">
        <v>5291</v>
      </c>
      <c r="C2371" t="s">
        <v>5458</v>
      </c>
      <c r="D2371" t="s">
        <v>5459</v>
      </c>
      <c r="E2371" t="s">
        <v>33</v>
      </c>
      <c r="F2371" t="s">
        <v>5313</v>
      </c>
      <c r="G2371" t="s">
        <v>5329</v>
      </c>
      <c r="H2371" t="str">
        <f>'Huong dan giao do an'!$B$14</f>
        <v>5 SV (vai trò chính): 1 PM/Scrum Master kiêm Integration; 2 BA/PO; 3 UI-UX + Frontend; 4 Backend/API + DevOps; 5 Database + QA/Tester. Mỗi SV có nhiệm vụ phụ và minh chứng cá nhân.</v>
      </c>
      <c r="I2371" t="s">
        <v>22</v>
      </c>
      <c r="J2371" t="s">
        <v>5296</v>
      </c>
      <c r="K2371" t="str">
        <f>IF(I2371="Trung bình",'Huong dan giao do an'!$B$8,IF(I2371="Khá",'Huong dan giao do an'!$B$9,'Huong dan giao do an'!$B$10))</f>
        <v>Tối thiểu 4 actor; 10-14 use case; 8-12 bảng; 3 quy trình lõi; phân quyền chi tiết; 2 báo cáo; tích hợp 1 dịch vụ; &gt;=35 test case; CI/CD hoặc deploy cloud.</v>
      </c>
      <c r="L2371" t="str">
        <f>'Huong dan giao do an'!$B$31</f>
        <v>Bắt buộc: Charter/PMP; SRS + scope/WBS; Gantt/baseline; effort-cost budget; RACI/timesheet; quality-test-defect; communication/minutes; risk register; procurement; change log; closure/lessons learned.</v>
      </c>
      <c r="M2371" t="str">
        <f>'Huong dan giao do an'!$B$33</f>
        <v>Tuần 1: 07.09–13.09.2026; Tuần 2: 14.09–20.09.2026; Tuần 3: 21.09–27.09.2026; Tuần 4: 28.09–04.10.2026; Tuần 5: 05.10–11.10.2026; Tuần 6: 12.10–18.10.2026; Tuần 7: 19.10–25.10.2026; Tuần 8: 26.10–01.11.2026.</v>
      </c>
      <c r="N23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1" s="17" t="str">
        <f t="shared" ref="P2371:P2434" si="37">IF(O2371="","Còn trống","Đã đăng ký")</f>
        <v>Còn trống</v>
      </c>
    </row>
    <row r="2372" spans="1:16" x14ac:dyDescent="0.3">
      <c r="A2372">
        <v>2371</v>
      </c>
      <c r="B2372" t="s">
        <v>5291</v>
      </c>
      <c r="C2372" t="s">
        <v>5460</v>
      </c>
      <c r="D2372" t="s">
        <v>5461</v>
      </c>
      <c r="E2372" t="s">
        <v>40</v>
      </c>
      <c r="F2372" t="s">
        <v>5294</v>
      </c>
      <c r="G2372" t="s">
        <v>5332</v>
      </c>
      <c r="H2372" t="str">
        <f>'Huong dan giao do an'!$B$14</f>
        <v>5 SV (vai trò chính): 1 PM/Scrum Master kiêm Integration; 2 BA/PO; 3 UI-UX + Frontend; 4 Backend/API + DevOps; 5 Database + QA/Tester. Mỗi SV có nhiệm vụ phụ và minh chứng cá nhân.</v>
      </c>
      <c r="I2372" t="s">
        <v>29</v>
      </c>
      <c r="J2372" t="s">
        <v>5301</v>
      </c>
      <c r="K2372" t="str">
        <f>IF(I2372="Trung bình",'Huong dan giao do an'!$B$8,IF(I2372="Khá",'Huong dan giao do an'!$B$9,'Huong dan giao do an'!$B$10))</f>
        <v>Tối thiểu 5 actor; 14-18 use case; 10-15 bảng; 4 quy trình; tích hợp ngoài/realtime hoặc xử lý nâng cao; 3 báo cáo; &gt;=45 test case; logging, backup và deploy.</v>
      </c>
      <c r="L2372" t="str">
        <f>'Huong dan giao do an'!$B$31</f>
        <v>Bắt buộc: Charter/PMP; SRS + scope/WBS; Gantt/baseline; effort-cost budget; RACI/timesheet; quality-test-defect; communication/minutes; risk register; procurement; change log; closure/lessons learned.</v>
      </c>
      <c r="M2372" t="str">
        <f>'Huong dan giao do an'!$B$33</f>
        <v>Tuần 1: 07.09–13.09.2026; Tuần 2: 14.09–20.09.2026; Tuần 3: 21.09–27.09.2026; Tuần 4: 28.09–04.10.2026; Tuần 5: 05.10–11.10.2026; Tuần 6: 12.10–18.10.2026; Tuần 7: 19.10–25.10.2026; Tuần 8: 26.10–01.11.2026.</v>
      </c>
      <c r="N23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2" s="17" t="str">
        <f t="shared" si="37"/>
        <v>Còn trống</v>
      </c>
    </row>
    <row r="2373" spans="1:16" x14ac:dyDescent="0.3">
      <c r="A2373">
        <v>2372</v>
      </c>
      <c r="B2373" t="s">
        <v>5291</v>
      </c>
      <c r="C2373" t="s">
        <v>5462</v>
      </c>
      <c r="D2373" t="s">
        <v>5463</v>
      </c>
      <c r="E2373" t="s">
        <v>45</v>
      </c>
      <c r="F2373" t="s">
        <v>5299</v>
      </c>
      <c r="G2373" t="s">
        <v>5335</v>
      </c>
      <c r="H2373" t="str">
        <f>'Huong dan giao do an'!$B$14</f>
        <v>5 SV (vai trò chính): 1 PM/Scrum Master kiêm Integration; 2 BA/PO; 3 UI-UX + Frontend; 4 Backend/API + DevOps; 5 Database + QA/Tester. Mỗi SV có nhiệm vụ phụ và minh chứng cá nhân.</v>
      </c>
      <c r="I2373" t="s">
        <v>36</v>
      </c>
      <c r="J2373" t="s">
        <v>5306</v>
      </c>
      <c r="K2373" t="str">
        <f>IF(I2373="Trung bình",'Huong dan giao do an'!$B$8,IF(I2373="Khá",'Huong dan giao do an'!$B$9,'Huong dan giao do an'!$B$10))</f>
        <v>Tối thiểu 3 actor; 8-10 use case; 6-8 bảng dữ liệu; 2 quy trình lõi; đăng nhập/RBAC; 1 dashboard; 1 báo cáo; &gt;=25 test case; triển khai bản demo.</v>
      </c>
      <c r="L2373" t="str">
        <f>'Huong dan giao do an'!$B$31</f>
        <v>Bắt buộc: Charter/PMP; SRS + scope/WBS; Gantt/baseline; effort-cost budget; RACI/timesheet; quality-test-defect; communication/minutes; risk register; procurement; change log; closure/lessons learned.</v>
      </c>
      <c r="M2373" t="str">
        <f>'Huong dan giao do an'!$B$33</f>
        <v>Tuần 1: 07.09–13.09.2026; Tuần 2: 14.09–20.09.2026; Tuần 3: 21.09–27.09.2026; Tuần 4: 28.09–04.10.2026; Tuần 5: 05.10–11.10.2026; Tuần 6: 12.10–18.10.2026; Tuần 7: 19.10–25.10.2026; Tuần 8: 26.10–01.11.2026.</v>
      </c>
      <c r="N23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3" s="17" t="str">
        <f t="shared" si="37"/>
        <v>Còn trống</v>
      </c>
    </row>
    <row r="2374" spans="1:16" x14ac:dyDescent="0.3">
      <c r="A2374">
        <v>2373</v>
      </c>
      <c r="B2374" t="s">
        <v>5291</v>
      </c>
      <c r="C2374" t="s">
        <v>5464</v>
      </c>
      <c r="D2374" t="s">
        <v>5465</v>
      </c>
      <c r="E2374" t="s">
        <v>19</v>
      </c>
      <c r="F2374" t="s">
        <v>5304</v>
      </c>
      <c r="G2374" t="s">
        <v>5338</v>
      </c>
      <c r="H2374" t="str">
        <f>'Huong dan giao do an'!$B$14</f>
        <v>5 SV (vai trò chính): 1 PM/Scrum Master kiêm Integration; 2 BA/PO; 3 UI-UX + Frontend; 4 Backend/API + DevOps; 5 Database + QA/Tester. Mỗi SV có nhiệm vụ phụ và minh chứng cá nhân.</v>
      </c>
      <c r="I2374" t="s">
        <v>22</v>
      </c>
      <c r="J2374" t="s">
        <v>5296</v>
      </c>
      <c r="K2374" t="str">
        <f>IF(I2374="Trung bình",'Huong dan giao do an'!$B$8,IF(I2374="Khá",'Huong dan giao do an'!$B$9,'Huong dan giao do an'!$B$10))</f>
        <v>Tối thiểu 4 actor; 10-14 use case; 8-12 bảng; 3 quy trình lõi; phân quyền chi tiết; 2 báo cáo; tích hợp 1 dịch vụ; &gt;=35 test case; CI/CD hoặc deploy cloud.</v>
      </c>
      <c r="L2374" t="str">
        <f>'Huong dan giao do an'!$B$31</f>
        <v>Bắt buộc: Charter/PMP; SRS + scope/WBS; Gantt/baseline; effort-cost budget; RACI/timesheet; quality-test-defect; communication/minutes; risk register; procurement; change log; closure/lessons learned.</v>
      </c>
      <c r="M2374" t="str">
        <f>'Huong dan giao do an'!$B$33</f>
        <v>Tuần 1: 07.09–13.09.2026; Tuần 2: 14.09–20.09.2026; Tuần 3: 21.09–27.09.2026; Tuần 4: 28.09–04.10.2026; Tuần 5: 05.10–11.10.2026; Tuần 6: 12.10–18.10.2026; Tuần 7: 19.10–25.10.2026; Tuần 8: 26.10–01.11.2026.</v>
      </c>
      <c r="N23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4" s="17" t="str">
        <f t="shared" si="37"/>
        <v>Còn trống</v>
      </c>
    </row>
    <row r="2375" spans="1:16" x14ac:dyDescent="0.3">
      <c r="A2375">
        <v>2374</v>
      </c>
      <c r="B2375" t="s">
        <v>5291</v>
      </c>
      <c r="C2375" t="s">
        <v>5466</v>
      </c>
      <c r="D2375" t="s">
        <v>5467</v>
      </c>
      <c r="E2375" t="s">
        <v>26</v>
      </c>
      <c r="F2375" t="s">
        <v>5309</v>
      </c>
      <c r="G2375" t="s">
        <v>5341</v>
      </c>
      <c r="H2375" t="str">
        <f>'Huong dan giao do an'!$B$14</f>
        <v>5 SV (vai trò chính): 1 PM/Scrum Master kiêm Integration; 2 BA/PO; 3 UI-UX + Frontend; 4 Backend/API + DevOps; 5 Database + QA/Tester. Mỗi SV có nhiệm vụ phụ và minh chứng cá nhân.</v>
      </c>
      <c r="I2375" t="s">
        <v>29</v>
      </c>
      <c r="J2375" t="s">
        <v>5301</v>
      </c>
      <c r="K2375" t="str">
        <f>IF(I2375="Trung bình",'Huong dan giao do an'!$B$8,IF(I2375="Khá",'Huong dan giao do an'!$B$9,'Huong dan giao do an'!$B$10))</f>
        <v>Tối thiểu 5 actor; 14-18 use case; 10-15 bảng; 4 quy trình; tích hợp ngoài/realtime hoặc xử lý nâng cao; 3 báo cáo; &gt;=45 test case; logging, backup và deploy.</v>
      </c>
      <c r="L2375" t="str">
        <f>'Huong dan giao do an'!$B$31</f>
        <v>Bắt buộc: Charter/PMP; SRS + scope/WBS; Gantt/baseline; effort-cost budget; RACI/timesheet; quality-test-defect; communication/minutes; risk register; procurement; change log; closure/lessons learned.</v>
      </c>
      <c r="M2375" t="str">
        <f>'Huong dan giao do an'!$B$33</f>
        <v>Tuần 1: 07.09–13.09.2026; Tuần 2: 14.09–20.09.2026; Tuần 3: 21.09–27.09.2026; Tuần 4: 28.09–04.10.2026; Tuần 5: 05.10–11.10.2026; Tuần 6: 12.10–18.10.2026; Tuần 7: 19.10–25.10.2026; Tuần 8: 26.10–01.11.2026.</v>
      </c>
      <c r="N23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5" s="17" t="str">
        <f t="shared" si="37"/>
        <v>Còn trống</v>
      </c>
    </row>
    <row r="2376" spans="1:16" x14ac:dyDescent="0.3">
      <c r="A2376">
        <v>2375</v>
      </c>
      <c r="B2376" t="s">
        <v>5291</v>
      </c>
      <c r="C2376" t="s">
        <v>5468</v>
      </c>
      <c r="D2376" t="s">
        <v>5469</v>
      </c>
      <c r="E2376" t="s">
        <v>33</v>
      </c>
      <c r="F2376" t="s">
        <v>5313</v>
      </c>
      <c r="G2376" t="s">
        <v>5344</v>
      </c>
      <c r="H2376" t="str">
        <f>'Huong dan giao do an'!$B$14</f>
        <v>5 SV (vai trò chính): 1 PM/Scrum Master kiêm Integration; 2 BA/PO; 3 UI-UX + Frontend; 4 Backend/API + DevOps; 5 Database + QA/Tester. Mỗi SV có nhiệm vụ phụ và minh chứng cá nhân.</v>
      </c>
      <c r="I2376" t="s">
        <v>36</v>
      </c>
      <c r="J2376" t="s">
        <v>5306</v>
      </c>
      <c r="K2376" t="str">
        <f>IF(I2376="Trung bình",'Huong dan giao do an'!$B$8,IF(I2376="Khá",'Huong dan giao do an'!$B$9,'Huong dan giao do an'!$B$10))</f>
        <v>Tối thiểu 3 actor; 8-10 use case; 6-8 bảng dữ liệu; 2 quy trình lõi; đăng nhập/RBAC; 1 dashboard; 1 báo cáo; &gt;=25 test case; triển khai bản demo.</v>
      </c>
      <c r="L2376" t="str">
        <f>'Huong dan giao do an'!$B$31</f>
        <v>Bắt buộc: Charter/PMP; SRS + scope/WBS; Gantt/baseline; effort-cost budget; RACI/timesheet; quality-test-defect; communication/minutes; risk register; procurement; change log; closure/lessons learned.</v>
      </c>
      <c r="M2376" t="str">
        <f>'Huong dan giao do an'!$B$33</f>
        <v>Tuần 1: 07.09–13.09.2026; Tuần 2: 14.09–20.09.2026; Tuần 3: 21.09–27.09.2026; Tuần 4: 28.09–04.10.2026; Tuần 5: 05.10–11.10.2026; Tuần 6: 12.10–18.10.2026; Tuần 7: 19.10–25.10.2026; Tuần 8: 26.10–01.11.2026.</v>
      </c>
      <c r="N23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6" s="17" t="str">
        <f t="shared" si="37"/>
        <v>Còn trống</v>
      </c>
    </row>
    <row r="2377" spans="1:16" x14ac:dyDescent="0.3">
      <c r="A2377">
        <v>2376</v>
      </c>
      <c r="B2377" t="s">
        <v>5291</v>
      </c>
      <c r="C2377" t="s">
        <v>5470</v>
      </c>
      <c r="D2377" t="s">
        <v>5471</v>
      </c>
      <c r="E2377" t="s">
        <v>40</v>
      </c>
      <c r="F2377" t="s">
        <v>5294</v>
      </c>
      <c r="G2377" t="s">
        <v>5347</v>
      </c>
      <c r="H2377" t="str">
        <f>'Huong dan giao do an'!$B$14</f>
        <v>5 SV (vai trò chính): 1 PM/Scrum Master kiêm Integration; 2 BA/PO; 3 UI-UX + Frontend; 4 Backend/API + DevOps; 5 Database + QA/Tester. Mỗi SV có nhiệm vụ phụ và minh chứng cá nhân.</v>
      </c>
      <c r="I2377" t="s">
        <v>22</v>
      </c>
      <c r="J2377" t="s">
        <v>5296</v>
      </c>
      <c r="K2377" t="str">
        <f>IF(I2377="Trung bình",'Huong dan giao do an'!$B$8,IF(I2377="Khá",'Huong dan giao do an'!$B$9,'Huong dan giao do an'!$B$10))</f>
        <v>Tối thiểu 4 actor; 10-14 use case; 8-12 bảng; 3 quy trình lõi; phân quyền chi tiết; 2 báo cáo; tích hợp 1 dịch vụ; &gt;=35 test case; CI/CD hoặc deploy cloud.</v>
      </c>
      <c r="L2377" t="str">
        <f>'Huong dan giao do an'!$B$31</f>
        <v>Bắt buộc: Charter/PMP; SRS + scope/WBS; Gantt/baseline; effort-cost budget; RACI/timesheet; quality-test-defect; communication/minutes; risk register; procurement; change log; closure/lessons learned.</v>
      </c>
      <c r="M2377" t="str">
        <f>'Huong dan giao do an'!$B$33</f>
        <v>Tuần 1: 07.09–13.09.2026; Tuần 2: 14.09–20.09.2026; Tuần 3: 21.09–27.09.2026; Tuần 4: 28.09–04.10.2026; Tuần 5: 05.10–11.10.2026; Tuần 6: 12.10–18.10.2026; Tuần 7: 19.10–25.10.2026; Tuần 8: 26.10–01.11.2026.</v>
      </c>
      <c r="N23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7" s="17" t="str">
        <f t="shared" si="37"/>
        <v>Còn trống</v>
      </c>
    </row>
    <row r="2378" spans="1:16" x14ac:dyDescent="0.3">
      <c r="A2378">
        <v>2377</v>
      </c>
      <c r="B2378" t="s">
        <v>5291</v>
      </c>
      <c r="C2378" t="s">
        <v>5472</v>
      </c>
      <c r="D2378" t="s">
        <v>5473</v>
      </c>
      <c r="E2378" t="s">
        <v>45</v>
      </c>
      <c r="F2378" t="s">
        <v>5299</v>
      </c>
      <c r="G2378" t="s">
        <v>5350</v>
      </c>
      <c r="H2378" t="str">
        <f>'Huong dan giao do an'!$B$14</f>
        <v>5 SV (vai trò chính): 1 PM/Scrum Master kiêm Integration; 2 BA/PO; 3 UI-UX + Frontend; 4 Backend/API + DevOps; 5 Database + QA/Tester. Mỗi SV có nhiệm vụ phụ và minh chứng cá nhân.</v>
      </c>
      <c r="I2378" t="s">
        <v>29</v>
      </c>
      <c r="J2378" t="s">
        <v>5301</v>
      </c>
      <c r="K2378" t="str">
        <f>IF(I2378="Trung bình",'Huong dan giao do an'!$B$8,IF(I2378="Khá",'Huong dan giao do an'!$B$9,'Huong dan giao do an'!$B$10))</f>
        <v>Tối thiểu 5 actor; 14-18 use case; 10-15 bảng; 4 quy trình; tích hợp ngoài/realtime hoặc xử lý nâng cao; 3 báo cáo; &gt;=45 test case; logging, backup và deploy.</v>
      </c>
      <c r="L2378" t="str">
        <f>'Huong dan giao do an'!$B$31</f>
        <v>Bắt buộc: Charter/PMP; SRS + scope/WBS; Gantt/baseline; effort-cost budget; RACI/timesheet; quality-test-defect; communication/minutes; risk register; procurement; change log; closure/lessons learned.</v>
      </c>
      <c r="M2378" t="str">
        <f>'Huong dan giao do an'!$B$33</f>
        <v>Tuần 1: 07.09–13.09.2026; Tuần 2: 14.09–20.09.2026; Tuần 3: 21.09–27.09.2026; Tuần 4: 28.09–04.10.2026; Tuần 5: 05.10–11.10.2026; Tuần 6: 12.10–18.10.2026; Tuần 7: 19.10–25.10.2026; Tuần 8: 26.10–01.11.2026.</v>
      </c>
      <c r="N23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8" s="17" t="str">
        <f t="shared" si="37"/>
        <v>Còn trống</v>
      </c>
    </row>
    <row r="2379" spans="1:16" x14ac:dyDescent="0.3">
      <c r="A2379">
        <v>2378</v>
      </c>
      <c r="B2379" t="s">
        <v>5291</v>
      </c>
      <c r="C2379" t="s">
        <v>5474</v>
      </c>
      <c r="D2379" t="s">
        <v>5475</v>
      </c>
      <c r="E2379" t="s">
        <v>19</v>
      </c>
      <c r="F2379" t="s">
        <v>5304</v>
      </c>
      <c r="G2379" t="s">
        <v>5353</v>
      </c>
      <c r="H2379" t="str">
        <f>'Huong dan giao do an'!$B$14</f>
        <v>5 SV (vai trò chính): 1 PM/Scrum Master kiêm Integration; 2 BA/PO; 3 UI-UX + Frontend; 4 Backend/API + DevOps; 5 Database + QA/Tester. Mỗi SV có nhiệm vụ phụ và minh chứng cá nhân.</v>
      </c>
      <c r="I2379" t="s">
        <v>36</v>
      </c>
      <c r="J2379" t="s">
        <v>5306</v>
      </c>
      <c r="K2379" t="str">
        <f>IF(I2379="Trung bình",'Huong dan giao do an'!$B$8,IF(I2379="Khá",'Huong dan giao do an'!$B$9,'Huong dan giao do an'!$B$10))</f>
        <v>Tối thiểu 3 actor; 8-10 use case; 6-8 bảng dữ liệu; 2 quy trình lõi; đăng nhập/RBAC; 1 dashboard; 1 báo cáo; &gt;=25 test case; triển khai bản demo.</v>
      </c>
      <c r="L2379" t="str">
        <f>'Huong dan giao do an'!$B$31</f>
        <v>Bắt buộc: Charter/PMP; SRS + scope/WBS; Gantt/baseline; effort-cost budget; RACI/timesheet; quality-test-defect; communication/minutes; risk register; procurement; change log; closure/lessons learned.</v>
      </c>
      <c r="M2379" t="str">
        <f>'Huong dan giao do an'!$B$33</f>
        <v>Tuần 1: 07.09–13.09.2026; Tuần 2: 14.09–20.09.2026; Tuần 3: 21.09–27.09.2026; Tuần 4: 28.09–04.10.2026; Tuần 5: 05.10–11.10.2026; Tuần 6: 12.10–18.10.2026; Tuần 7: 19.10–25.10.2026; Tuần 8: 26.10–01.11.2026.</v>
      </c>
      <c r="N23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79" s="17" t="str">
        <f t="shared" si="37"/>
        <v>Còn trống</v>
      </c>
    </row>
    <row r="2380" spans="1:16" x14ac:dyDescent="0.3">
      <c r="A2380">
        <v>2379</v>
      </c>
      <c r="B2380" t="s">
        <v>5291</v>
      </c>
      <c r="C2380" t="s">
        <v>5476</v>
      </c>
      <c r="D2380" t="s">
        <v>5477</v>
      </c>
      <c r="E2380" t="s">
        <v>26</v>
      </c>
      <c r="F2380" t="s">
        <v>5309</v>
      </c>
      <c r="G2380" t="s">
        <v>5356</v>
      </c>
      <c r="H2380" t="str">
        <f>'Huong dan giao do an'!$B$14</f>
        <v>5 SV (vai trò chính): 1 PM/Scrum Master kiêm Integration; 2 BA/PO; 3 UI-UX + Frontend; 4 Backend/API + DevOps; 5 Database + QA/Tester. Mỗi SV có nhiệm vụ phụ và minh chứng cá nhân.</v>
      </c>
      <c r="I2380" t="s">
        <v>22</v>
      </c>
      <c r="J2380" t="s">
        <v>5296</v>
      </c>
      <c r="K2380" t="str">
        <f>IF(I2380="Trung bình",'Huong dan giao do an'!$B$8,IF(I2380="Khá",'Huong dan giao do an'!$B$9,'Huong dan giao do an'!$B$10))</f>
        <v>Tối thiểu 4 actor; 10-14 use case; 8-12 bảng; 3 quy trình lõi; phân quyền chi tiết; 2 báo cáo; tích hợp 1 dịch vụ; &gt;=35 test case; CI/CD hoặc deploy cloud.</v>
      </c>
      <c r="L2380" t="str">
        <f>'Huong dan giao do an'!$B$31</f>
        <v>Bắt buộc: Charter/PMP; SRS + scope/WBS; Gantt/baseline; effort-cost budget; RACI/timesheet; quality-test-defect; communication/minutes; risk register; procurement; change log; closure/lessons learned.</v>
      </c>
      <c r="M2380" t="str">
        <f>'Huong dan giao do an'!$B$33</f>
        <v>Tuần 1: 07.09–13.09.2026; Tuần 2: 14.09–20.09.2026; Tuần 3: 21.09–27.09.2026; Tuần 4: 28.09–04.10.2026; Tuần 5: 05.10–11.10.2026; Tuần 6: 12.10–18.10.2026; Tuần 7: 19.10–25.10.2026; Tuần 8: 26.10–01.11.2026.</v>
      </c>
      <c r="N23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0" s="17" t="str">
        <f t="shared" si="37"/>
        <v>Còn trống</v>
      </c>
    </row>
    <row r="2381" spans="1:16" x14ac:dyDescent="0.3">
      <c r="A2381">
        <v>2380</v>
      </c>
      <c r="B2381" t="s">
        <v>5291</v>
      </c>
      <c r="C2381" t="s">
        <v>5478</v>
      </c>
      <c r="D2381" t="s">
        <v>5479</v>
      </c>
      <c r="E2381" t="s">
        <v>33</v>
      </c>
      <c r="F2381" t="s">
        <v>5313</v>
      </c>
      <c r="G2381" t="s">
        <v>5359</v>
      </c>
      <c r="H2381" t="str">
        <f>'Huong dan giao do an'!$B$14</f>
        <v>5 SV (vai trò chính): 1 PM/Scrum Master kiêm Integration; 2 BA/PO; 3 UI-UX + Frontend; 4 Backend/API + DevOps; 5 Database + QA/Tester. Mỗi SV có nhiệm vụ phụ và minh chứng cá nhân.</v>
      </c>
      <c r="I2381" t="s">
        <v>29</v>
      </c>
      <c r="J2381" t="s">
        <v>5301</v>
      </c>
      <c r="K2381" t="str">
        <f>IF(I2381="Trung bình",'Huong dan giao do an'!$B$8,IF(I2381="Khá",'Huong dan giao do an'!$B$9,'Huong dan giao do an'!$B$10))</f>
        <v>Tối thiểu 5 actor; 14-18 use case; 10-15 bảng; 4 quy trình; tích hợp ngoài/realtime hoặc xử lý nâng cao; 3 báo cáo; &gt;=45 test case; logging, backup và deploy.</v>
      </c>
      <c r="L2381" t="str">
        <f>'Huong dan giao do an'!$B$31</f>
        <v>Bắt buộc: Charter/PMP; SRS + scope/WBS; Gantt/baseline; effort-cost budget; RACI/timesheet; quality-test-defect; communication/minutes; risk register; procurement; change log; closure/lessons learned.</v>
      </c>
      <c r="M2381" t="str">
        <f>'Huong dan giao do an'!$B$33</f>
        <v>Tuần 1: 07.09–13.09.2026; Tuần 2: 14.09–20.09.2026; Tuần 3: 21.09–27.09.2026; Tuần 4: 28.09–04.10.2026; Tuần 5: 05.10–11.10.2026; Tuần 6: 12.10–18.10.2026; Tuần 7: 19.10–25.10.2026; Tuần 8: 26.10–01.11.2026.</v>
      </c>
      <c r="N23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1" s="17" t="str">
        <f t="shared" si="37"/>
        <v>Còn trống</v>
      </c>
    </row>
    <row r="2382" spans="1:16" x14ac:dyDescent="0.3">
      <c r="A2382">
        <v>2381</v>
      </c>
      <c r="B2382" t="s">
        <v>5291</v>
      </c>
      <c r="C2382" t="s">
        <v>5480</v>
      </c>
      <c r="D2382" t="s">
        <v>5481</v>
      </c>
      <c r="E2382" t="s">
        <v>40</v>
      </c>
      <c r="F2382" t="s">
        <v>5294</v>
      </c>
      <c r="G2382" t="s">
        <v>5295</v>
      </c>
      <c r="H2382" t="str">
        <f>'Huong dan giao do an'!$B$14</f>
        <v>5 SV (vai trò chính): 1 PM/Scrum Master kiêm Integration; 2 BA/PO; 3 UI-UX + Frontend; 4 Backend/API + DevOps; 5 Database + QA/Tester. Mỗi SV có nhiệm vụ phụ và minh chứng cá nhân.</v>
      </c>
      <c r="I2382" t="s">
        <v>22</v>
      </c>
      <c r="J2382" t="s">
        <v>5296</v>
      </c>
      <c r="K2382" t="str">
        <f>IF(I2382="Trung bình",'Huong dan giao do an'!$B$8,IF(I2382="Khá",'Huong dan giao do an'!$B$9,'Huong dan giao do an'!$B$10))</f>
        <v>Tối thiểu 4 actor; 10-14 use case; 8-12 bảng; 3 quy trình lõi; phân quyền chi tiết; 2 báo cáo; tích hợp 1 dịch vụ; &gt;=35 test case; CI/CD hoặc deploy cloud.</v>
      </c>
      <c r="L2382" t="str">
        <f>'Huong dan giao do an'!$B$31</f>
        <v>Bắt buộc: Charter/PMP; SRS + scope/WBS; Gantt/baseline; effort-cost budget; RACI/timesheet; quality-test-defect; communication/minutes; risk register; procurement; change log; closure/lessons learned.</v>
      </c>
      <c r="M2382" t="str">
        <f>'Huong dan giao do an'!$B$33</f>
        <v>Tuần 1: 07.09–13.09.2026; Tuần 2: 14.09–20.09.2026; Tuần 3: 21.09–27.09.2026; Tuần 4: 28.09–04.10.2026; Tuần 5: 05.10–11.10.2026; Tuần 6: 12.10–18.10.2026; Tuần 7: 19.10–25.10.2026; Tuần 8: 26.10–01.11.2026.</v>
      </c>
      <c r="N23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2" s="17" t="str">
        <f t="shared" si="37"/>
        <v>Còn trống</v>
      </c>
    </row>
    <row r="2383" spans="1:16" x14ac:dyDescent="0.3">
      <c r="A2383">
        <v>2382</v>
      </c>
      <c r="B2383" t="s">
        <v>5291</v>
      </c>
      <c r="C2383" t="s">
        <v>5482</v>
      </c>
      <c r="D2383" t="s">
        <v>5483</v>
      </c>
      <c r="E2383" t="s">
        <v>45</v>
      </c>
      <c r="F2383" t="s">
        <v>5299</v>
      </c>
      <c r="G2383" t="s">
        <v>5300</v>
      </c>
      <c r="H2383" t="str">
        <f>'Huong dan giao do an'!$B$14</f>
        <v>5 SV (vai trò chính): 1 PM/Scrum Master kiêm Integration; 2 BA/PO; 3 UI-UX + Frontend; 4 Backend/API + DevOps; 5 Database + QA/Tester. Mỗi SV có nhiệm vụ phụ và minh chứng cá nhân.</v>
      </c>
      <c r="I2383" t="s">
        <v>29</v>
      </c>
      <c r="J2383" t="s">
        <v>5301</v>
      </c>
      <c r="K2383" t="str">
        <f>IF(I2383="Trung bình",'Huong dan giao do an'!$B$8,IF(I2383="Khá",'Huong dan giao do an'!$B$9,'Huong dan giao do an'!$B$10))</f>
        <v>Tối thiểu 5 actor; 14-18 use case; 10-15 bảng; 4 quy trình; tích hợp ngoài/realtime hoặc xử lý nâng cao; 3 báo cáo; &gt;=45 test case; logging, backup và deploy.</v>
      </c>
      <c r="L2383" t="str">
        <f>'Huong dan giao do an'!$B$31</f>
        <v>Bắt buộc: Charter/PMP; SRS + scope/WBS; Gantt/baseline; effort-cost budget; RACI/timesheet; quality-test-defect; communication/minutes; risk register; procurement; change log; closure/lessons learned.</v>
      </c>
      <c r="M2383" t="str">
        <f>'Huong dan giao do an'!$B$33</f>
        <v>Tuần 1: 07.09–13.09.2026; Tuần 2: 14.09–20.09.2026; Tuần 3: 21.09–27.09.2026; Tuần 4: 28.09–04.10.2026; Tuần 5: 05.10–11.10.2026; Tuần 6: 12.10–18.10.2026; Tuần 7: 19.10–25.10.2026; Tuần 8: 26.10–01.11.2026.</v>
      </c>
      <c r="N23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3" s="17" t="str">
        <f t="shared" si="37"/>
        <v>Còn trống</v>
      </c>
    </row>
    <row r="2384" spans="1:16" x14ac:dyDescent="0.3">
      <c r="A2384">
        <v>2383</v>
      </c>
      <c r="B2384" t="s">
        <v>5291</v>
      </c>
      <c r="C2384" t="s">
        <v>5484</v>
      </c>
      <c r="D2384" t="s">
        <v>5485</v>
      </c>
      <c r="E2384" t="s">
        <v>19</v>
      </c>
      <c r="F2384" t="s">
        <v>5304</v>
      </c>
      <c r="G2384" t="s">
        <v>5305</v>
      </c>
      <c r="H2384" t="str">
        <f>'Huong dan giao do an'!$B$14</f>
        <v>5 SV (vai trò chính): 1 PM/Scrum Master kiêm Integration; 2 BA/PO; 3 UI-UX + Frontend; 4 Backend/API + DevOps; 5 Database + QA/Tester. Mỗi SV có nhiệm vụ phụ và minh chứng cá nhân.</v>
      </c>
      <c r="I2384" t="s">
        <v>36</v>
      </c>
      <c r="J2384" t="s">
        <v>5306</v>
      </c>
      <c r="K2384" t="str">
        <f>IF(I2384="Trung bình",'Huong dan giao do an'!$B$8,IF(I2384="Khá",'Huong dan giao do an'!$B$9,'Huong dan giao do an'!$B$10))</f>
        <v>Tối thiểu 3 actor; 8-10 use case; 6-8 bảng dữ liệu; 2 quy trình lõi; đăng nhập/RBAC; 1 dashboard; 1 báo cáo; &gt;=25 test case; triển khai bản demo.</v>
      </c>
      <c r="L2384" t="str">
        <f>'Huong dan giao do an'!$B$31</f>
        <v>Bắt buộc: Charter/PMP; SRS + scope/WBS; Gantt/baseline; effort-cost budget; RACI/timesheet; quality-test-defect; communication/minutes; risk register; procurement; change log; closure/lessons learned.</v>
      </c>
      <c r="M2384" t="str">
        <f>'Huong dan giao do an'!$B$33</f>
        <v>Tuần 1: 07.09–13.09.2026; Tuần 2: 14.09–20.09.2026; Tuần 3: 21.09–27.09.2026; Tuần 4: 28.09–04.10.2026; Tuần 5: 05.10–11.10.2026; Tuần 6: 12.10–18.10.2026; Tuần 7: 19.10–25.10.2026; Tuần 8: 26.10–01.11.2026.</v>
      </c>
      <c r="N23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4" s="17" t="str">
        <f t="shared" si="37"/>
        <v>Còn trống</v>
      </c>
    </row>
    <row r="2385" spans="1:16" x14ac:dyDescent="0.3">
      <c r="A2385">
        <v>2384</v>
      </c>
      <c r="B2385" t="s">
        <v>5291</v>
      </c>
      <c r="C2385" t="s">
        <v>5486</v>
      </c>
      <c r="D2385" t="s">
        <v>5487</v>
      </c>
      <c r="E2385" t="s">
        <v>26</v>
      </c>
      <c r="F2385" t="s">
        <v>5309</v>
      </c>
      <c r="G2385" t="s">
        <v>5310</v>
      </c>
      <c r="H2385" t="str">
        <f>'Huong dan giao do an'!$B$14</f>
        <v>5 SV (vai trò chính): 1 PM/Scrum Master kiêm Integration; 2 BA/PO; 3 UI-UX + Frontend; 4 Backend/API + DevOps; 5 Database + QA/Tester. Mỗi SV có nhiệm vụ phụ và minh chứng cá nhân.</v>
      </c>
      <c r="I2385" t="s">
        <v>22</v>
      </c>
      <c r="J2385" t="s">
        <v>5296</v>
      </c>
      <c r="K2385" t="str">
        <f>IF(I2385="Trung bình",'Huong dan giao do an'!$B$8,IF(I2385="Khá",'Huong dan giao do an'!$B$9,'Huong dan giao do an'!$B$10))</f>
        <v>Tối thiểu 4 actor; 10-14 use case; 8-12 bảng; 3 quy trình lõi; phân quyền chi tiết; 2 báo cáo; tích hợp 1 dịch vụ; &gt;=35 test case; CI/CD hoặc deploy cloud.</v>
      </c>
      <c r="L2385" t="str">
        <f>'Huong dan giao do an'!$B$31</f>
        <v>Bắt buộc: Charter/PMP; SRS + scope/WBS; Gantt/baseline; effort-cost budget; RACI/timesheet; quality-test-defect; communication/minutes; risk register; procurement; change log; closure/lessons learned.</v>
      </c>
      <c r="M2385" t="str">
        <f>'Huong dan giao do an'!$B$33</f>
        <v>Tuần 1: 07.09–13.09.2026; Tuần 2: 14.09–20.09.2026; Tuần 3: 21.09–27.09.2026; Tuần 4: 28.09–04.10.2026; Tuần 5: 05.10–11.10.2026; Tuần 6: 12.10–18.10.2026; Tuần 7: 19.10–25.10.2026; Tuần 8: 26.10–01.11.2026.</v>
      </c>
      <c r="N23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5" s="17" t="str">
        <f t="shared" si="37"/>
        <v>Còn trống</v>
      </c>
    </row>
    <row r="2386" spans="1:16" x14ac:dyDescent="0.3">
      <c r="A2386">
        <v>2385</v>
      </c>
      <c r="B2386" t="s">
        <v>5291</v>
      </c>
      <c r="C2386" t="s">
        <v>5488</v>
      </c>
      <c r="D2386" t="s">
        <v>5489</v>
      </c>
      <c r="E2386" t="s">
        <v>33</v>
      </c>
      <c r="F2386" t="s">
        <v>5313</v>
      </c>
      <c r="G2386" t="s">
        <v>5314</v>
      </c>
      <c r="H2386" t="str">
        <f>'Huong dan giao do an'!$B$14</f>
        <v>5 SV (vai trò chính): 1 PM/Scrum Master kiêm Integration; 2 BA/PO; 3 UI-UX + Frontend; 4 Backend/API + DevOps; 5 Database + QA/Tester. Mỗi SV có nhiệm vụ phụ và minh chứng cá nhân.</v>
      </c>
      <c r="I2386" t="s">
        <v>29</v>
      </c>
      <c r="J2386" t="s">
        <v>5301</v>
      </c>
      <c r="K2386" t="str">
        <f>IF(I2386="Trung bình",'Huong dan giao do an'!$B$8,IF(I2386="Khá",'Huong dan giao do an'!$B$9,'Huong dan giao do an'!$B$10))</f>
        <v>Tối thiểu 5 actor; 14-18 use case; 10-15 bảng; 4 quy trình; tích hợp ngoài/realtime hoặc xử lý nâng cao; 3 báo cáo; &gt;=45 test case; logging, backup và deploy.</v>
      </c>
      <c r="L2386" t="str">
        <f>'Huong dan giao do an'!$B$31</f>
        <v>Bắt buộc: Charter/PMP; SRS + scope/WBS; Gantt/baseline; effort-cost budget; RACI/timesheet; quality-test-defect; communication/minutes; risk register; procurement; change log; closure/lessons learned.</v>
      </c>
      <c r="M2386" t="str">
        <f>'Huong dan giao do an'!$B$33</f>
        <v>Tuần 1: 07.09–13.09.2026; Tuần 2: 14.09–20.09.2026; Tuần 3: 21.09–27.09.2026; Tuần 4: 28.09–04.10.2026; Tuần 5: 05.10–11.10.2026; Tuần 6: 12.10–18.10.2026; Tuần 7: 19.10–25.10.2026; Tuần 8: 26.10–01.11.2026.</v>
      </c>
      <c r="N23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6" s="17" t="str">
        <f t="shared" si="37"/>
        <v>Còn trống</v>
      </c>
    </row>
    <row r="2387" spans="1:16" x14ac:dyDescent="0.3">
      <c r="A2387">
        <v>2386</v>
      </c>
      <c r="B2387" t="s">
        <v>5291</v>
      </c>
      <c r="C2387" t="s">
        <v>5490</v>
      </c>
      <c r="D2387" t="s">
        <v>5491</v>
      </c>
      <c r="E2387" t="s">
        <v>40</v>
      </c>
      <c r="F2387" t="s">
        <v>5294</v>
      </c>
      <c r="G2387" t="s">
        <v>5317</v>
      </c>
      <c r="H2387" t="str">
        <f>'Huong dan giao do an'!$B$14</f>
        <v>5 SV (vai trò chính): 1 PM/Scrum Master kiêm Integration; 2 BA/PO; 3 UI-UX + Frontend; 4 Backend/API + DevOps; 5 Database + QA/Tester. Mỗi SV có nhiệm vụ phụ và minh chứng cá nhân.</v>
      </c>
      <c r="I2387" t="s">
        <v>36</v>
      </c>
      <c r="J2387" t="s">
        <v>5306</v>
      </c>
      <c r="K2387" t="str">
        <f>IF(I2387="Trung bình",'Huong dan giao do an'!$B$8,IF(I2387="Khá",'Huong dan giao do an'!$B$9,'Huong dan giao do an'!$B$10))</f>
        <v>Tối thiểu 3 actor; 8-10 use case; 6-8 bảng dữ liệu; 2 quy trình lõi; đăng nhập/RBAC; 1 dashboard; 1 báo cáo; &gt;=25 test case; triển khai bản demo.</v>
      </c>
      <c r="L2387" t="str">
        <f>'Huong dan giao do an'!$B$31</f>
        <v>Bắt buộc: Charter/PMP; SRS + scope/WBS; Gantt/baseline; effort-cost budget; RACI/timesheet; quality-test-defect; communication/minutes; risk register; procurement; change log; closure/lessons learned.</v>
      </c>
      <c r="M2387" t="str">
        <f>'Huong dan giao do an'!$B$33</f>
        <v>Tuần 1: 07.09–13.09.2026; Tuần 2: 14.09–20.09.2026; Tuần 3: 21.09–27.09.2026; Tuần 4: 28.09–04.10.2026; Tuần 5: 05.10–11.10.2026; Tuần 6: 12.10–18.10.2026; Tuần 7: 19.10–25.10.2026; Tuần 8: 26.10–01.11.2026.</v>
      </c>
      <c r="N23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7" s="17" t="str">
        <f t="shared" si="37"/>
        <v>Còn trống</v>
      </c>
    </row>
    <row r="2388" spans="1:16" x14ac:dyDescent="0.3">
      <c r="A2388">
        <v>2387</v>
      </c>
      <c r="B2388" t="s">
        <v>5291</v>
      </c>
      <c r="C2388" t="s">
        <v>5492</v>
      </c>
      <c r="D2388" t="s">
        <v>5493</v>
      </c>
      <c r="E2388" t="s">
        <v>45</v>
      </c>
      <c r="F2388" t="s">
        <v>5299</v>
      </c>
      <c r="G2388" t="s">
        <v>5320</v>
      </c>
      <c r="H2388" t="str">
        <f>'Huong dan giao do an'!$B$14</f>
        <v>5 SV (vai trò chính): 1 PM/Scrum Master kiêm Integration; 2 BA/PO; 3 UI-UX + Frontend; 4 Backend/API + DevOps; 5 Database + QA/Tester. Mỗi SV có nhiệm vụ phụ và minh chứng cá nhân.</v>
      </c>
      <c r="I2388" t="s">
        <v>22</v>
      </c>
      <c r="J2388" t="s">
        <v>5296</v>
      </c>
      <c r="K2388" t="str">
        <f>IF(I2388="Trung bình",'Huong dan giao do an'!$B$8,IF(I2388="Khá",'Huong dan giao do an'!$B$9,'Huong dan giao do an'!$B$10))</f>
        <v>Tối thiểu 4 actor; 10-14 use case; 8-12 bảng; 3 quy trình lõi; phân quyền chi tiết; 2 báo cáo; tích hợp 1 dịch vụ; &gt;=35 test case; CI/CD hoặc deploy cloud.</v>
      </c>
      <c r="L2388" t="str">
        <f>'Huong dan giao do an'!$B$31</f>
        <v>Bắt buộc: Charter/PMP; SRS + scope/WBS; Gantt/baseline; effort-cost budget; RACI/timesheet; quality-test-defect; communication/minutes; risk register; procurement; change log; closure/lessons learned.</v>
      </c>
      <c r="M2388" t="str">
        <f>'Huong dan giao do an'!$B$33</f>
        <v>Tuần 1: 07.09–13.09.2026; Tuần 2: 14.09–20.09.2026; Tuần 3: 21.09–27.09.2026; Tuần 4: 28.09–04.10.2026; Tuần 5: 05.10–11.10.2026; Tuần 6: 12.10–18.10.2026; Tuần 7: 19.10–25.10.2026; Tuần 8: 26.10–01.11.2026.</v>
      </c>
      <c r="N23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8" s="17" t="str">
        <f t="shared" si="37"/>
        <v>Còn trống</v>
      </c>
    </row>
    <row r="2389" spans="1:16" x14ac:dyDescent="0.3">
      <c r="A2389">
        <v>2388</v>
      </c>
      <c r="B2389" t="s">
        <v>5291</v>
      </c>
      <c r="C2389" t="s">
        <v>5494</v>
      </c>
      <c r="D2389" t="s">
        <v>5495</v>
      </c>
      <c r="E2389" t="s">
        <v>19</v>
      </c>
      <c r="F2389" t="s">
        <v>5304</v>
      </c>
      <c r="G2389" t="s">
        <v>5323</v>
      </c>
      <c r="H2389" t="str">
        <f>'Huong dan giao do an'!$B$14</f>
        <v>5 SV (vai trò chính): 1 PM/Scrum Master kiêm Integration; 2 BA/PO; 3 UI-UX + Frontend; 4 Backend/API + DevOps; 5 Database + QA/Tester. Mỗi SV có nhiệm vụ phụ và minh chứng cá nhân.</v>
      </c>
      <c r="I2389" t="s">
        <v>29</v>
      </c>
      <c r="J2389" t="s">
        <v>5301</v>
      </c>
      <c r="K2389" t="str">
        <f>IF(I2389="Trung bình",'Huong dan giao do an'!$B$8,IF(I2389="Khá",'Huong dan giao do an'!$B$9,'Huong dan giao do an'!$B$10))</f>
        <v>Tối thiểu 5 actor; 14-18 use case; 10-15 bảng; 4 quy trình; tích hợp ngoài/realtime hoặc xử lý nâng cao; 3 báo cáo; &gt;=45 test case; logging, backup và deploy.</v>
      </c>
      <c r="L2389" t="str">
        <f>'Huong dan giao do an'!$B$31</f>
        <v>Bắt buộc: Charter/PMP; SRS + scope/WBS; Gantt/baseline; effort-cost budget; RACI/timesheet; quality-test-defect; communication/minutes; risk register; procurement; change log; closure/lessons learned.</v>
      </c>
      <c r="M2389" t="str">
        <f>'Huong dan giao do an'!$B$33</f>
        <v>Tuần 1: 07.09–13.09.2026; Tuần 2: 14.09–20.09.2026; Tuần 3: 21.09–27.09.2026; Tuần 4: 28.09–04.10.2026; Tuần 5: 05.10–11.10.2026; Tuần 6: 12.10–18.10.2026; Tuần 7: 19.10–25.10.2026; Tuần 8: 26.10–01.11.2026.</v>
      </c>
      <c r="N23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89" s="17" t="str">
        <f t="shared" si="37"/>
        <v>Còn trống</v>
      </c>
    </row>
    <row r="2390" spans="1:16" x14ac:dyDescent="0.3">
      <c r="A2390">
        <v>2389</v>
      </c>
      <c r="B2390" t="s">
        <v>5291</v>
      </c>
      <c r="C2390" t="s">
        <v>5496</v>
      </c>
      <c r="D2390" t="s">
        <v>5497</v>
      </c>
      <c r="E2390" t="s">
        <v>26</v>
      </c>
      <c r="F2390" t="s">
        <v>5309</v>
      </c>
      <c r="G2390" t="s">
        <v>5326</v>
      </c>
      <c r="H2390" t="str">
        <f>'Huong dan giao do an'!$B$14</f>
        <v>5 SV (vai trò chính): 1 PM/Scrum Master kiêm Integration; 2 BA/PO; 3 UI-UX + Frontend; 4 Backend/API + DevOps; 5 Database + QA/Tester. Mỗi SV có nhiệm vụ phụ và minh chứng cá nhân.</v>
      </c>
      <c r="I2390" t="s">
        <v>36</v>
      </c>
      <c r="J2390" t="s">
        <v>5306</v>
      </c>
      <c r="K2390" t="str">
        <f>IF(I2390="Trung bình",'Huong dan giao do an'!$B$8,IF(I2390="Khá",'Huong dan giao do an'!$B$9,'Huong dan giao do an'!$B$10))</f>
        <v>Tối thiểu 3 actor; 8-10 use case; 6-8 bảng dữ liệu; 2 quy trình lõi; đăng nhập/RBAC; 1 dashboard; 1 báo cáo; &gt;=25 test case; triển khai bản demo.</v>
      </c>
      <c r="L2390" t="str">
        <f>'Huong dan giao do an'!$B$31</f>
        <v>Bắt buộc: Charter/PMP; SRS + scope/WBS; Gantt/baseline; effort-cost budget; RACI/timesheet; quality-test-defect; communication/minutes; risk register; procurement; change log; closure/lessons learned.</v>
      </c>
      <c r="M2390" t="str">
        <f>'Huong dan giao do an'!$B$33</f>
        <v>Tuần 1: 07.09–13.09.2026; Tuần 2: 14.09–20.09.2026; Tuần 3: 21.09–27.09.2026; Tuần 4: 28.09–04.10.2026; Tuần 5: 05.10–11.10.2026; Tuần 6: 12.10–18.10.2026; Tuần 7: 19.10–25.10.2026; Tuần 8: 26.10–01.11.2026.</v>
      </c>
      <c r="N23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0" s="17" t="str">
        <f t="shared" si="37"/>
        <v>Còn trống</v>
      </c>
    </row>
    <row r="2391" spans="1:16" x14ac:dyDescent="0.3">
      <c r="A2391">
        <v>2390</v>
      </c>
      <c r="B2391" t="s">
        <v>5291</v>
      </c>
      <c r="C2391" t="s">
        <v>5498</v>
      </c>
      <c r="D2391" t="s">
        <v>5499</v>
      </c>
      <c r="E2391" t="s">
        <v>33</v>
      </c>
      <c r="F2391" t="s">
        <v>5313</v>
      </c>
      <c r="G2391" t="s">
        <v>5329</v>
      </c>
      <c r="H2391" t="str">
        <f>'Huong dan giao do an'!$B$14</f>
        <v>5 SV (vai trò chính): 1 PM/Scrum Master kiêm Integration; 2 BA/PO; 3 UI-UX + Frontend; 4 Backend/API + DevOps; 5 Database + QA/Tester. Mỗi SV có nhiệm vụ phụ và minh chứng cá nhân.</v>
      </c>
      <c r="I2391" t="s">
        <v>22</v>
      </c>
      <c r="J2391" t="s">
        <v>5296</v>
      </c>
      <c r="K2391" t="str">
        <f>IF(I2391="Trung bình",'Huong dan giao do an'!$B$8,IF(I2391="Khá",'Huong dan giao do an'!$B$9,'Huong dan giao do an'!$B$10))</f>
        <v>Tối thiểu 4 actor; 10-14 use case; 8-12 bảng; 3 quy trình lõi; phân quyền chi tiết; 2 báo cáo; tích hợp 1 dịch vụ; &gt;=35 test case; CI/CD hoặc deploy cloud.</v>
      </c>
      <c r="L2391" t="str">
        <f>'Huong dan giao do an'!$B$31</f>
        <v>Bắt buộc: Charter/PMP; SRS + scope/WBS; Gantt/baseline; effort-cost budget; RACI/timesheet; quality-test-defect; communication/minutes; risk register; procurement; change log; closure/lessons learned.</v>
      </c>
      <c r="M2391" t="str">
        <f>'Huong dan giao do an'!$B$33</f>
        <v>Tuần 1: 07.09–13.09.2026; Tuần 2: 14.09–20.09.2026; Tuần 3: 21.09–27.09.2026; Tuần 4: 28.09–04.10.2026; Tuần 5: 05.10–11.10.2026; Tuần 6: 12.10–18.10.2026; Tuần 7: 19.10–25.10.2026; Tuần 8: 26.10–01.11.2026.</v>
      </c>
      <c r="N23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1" s="17" t="str">
        <f t="shared" si="37"/>
        <v>Còn trống</v>
      </c>
    </row>
    <row r="2392" spans="1:16" x14ac:dyDescent="0.3">
      <c r="A2392">
        <v>2391</v>
      </c>
      <c r="B2392" t="s">
        <v>5291</v>
      </c>
      <c r="C2392" t="s">
        <v>5500</v>
      </c>
      <c r="D2392" t="s">
        <v>5501</v>
      </c>
      <c r="E2392" t="s">
        <v>40</v>
      </c>
      <c r="F2392" t="s">
        <v>5294</v>
      </c>
      <c r="G2392" t="s">
        <v>5332</v>
      </c>
      <c r="H2392" t="str">
        <f>'Huong dan giao do an'!$B$14</f>
        <v>5 SV (vai trò chính): 1 PM/Scrum Master kiêm Integration; 2 BA/PO; 3 UI-UX + Frontend; 4 Backend/API + DevOps; 5 Database + QA/Tester. Mỗi SV có nhiệm vụ phụ và minh chứng cá nhân.</v>
      </c>
      <c r="I2392" t="s">
        <v>29</v>
      </c>
      <c r="J2392" t="s">
        <v>5301</v>
      </c>
      <c r="K2392" t="str">
        <f>IF(I2392="Trung bình",'Huong dan giao do an'!$B$8,IF(I2392="Khá",'Huong dan giao do an'!$B$9,'Huong dan giao do an'!$B$10))</f>
        <v>Tối thiểu 5 actor; 14-18 use case; 10-15 bảng; 4 quy trình; tích hợp ngoài/realtime hoặc xử lý nâng cao; 3 báo cáo; &gt;=45 test case; logging, backup và deploy.</v>
      </c>
      <c r="L2392" t="str">
        <f>'Huong dan giao do an'!$B$31</f>
        <v>Bắt buộc: Charter/PMP; SRS + scope/WBS; Gantt/baseline; effort-cost budget; RACI/timesheet; quality-test-defect; communication/minutes; risk register; procurement; change log; closure/lessons learned.</v>
      </c>
      <c r="M2392" t="str">
        <f>'Huong dan giao do an'!$B$33</f>
        <v>Tuần 1: 07.09–13.09.2026; Tuần 2: 14.09–20.09.2026; Tuần 3: 21.09–27.09.2026; Tuần 4: 28.09–04.10.2026; Tuần 5: 05.10–11.10.2026; Tuần 6: 12.10–18.10.2026; Tuần 7: 19.10–25.10.2026; Tuần 8: 26.10–01.11.2026.</v>
      </c>
      <c r="N23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2" s="17" t="str">
        <f t="shared" si="37"/>
        <v>Còn trống</v>
      </c>
    </row>
    <row r="2393" spans="1:16" x14ac:dyDescent="0.3">
      <c r="A2393">
        <v>2392</v>
      </c>
      <c r="B2393" t="s">
        <v>5291</v>
      </c>
      <c r="C2393" t="s">
        <v>5502</v>
      </c>
      <c r="D2393" t="s">
        <v>5503</v>
      </c>
      <c r="E2393" t="s">
        <v>45</v>
      </c>
      <c r="F2393" t="s">
        <v>5299</v>
      </c>
      <c r="G2393" t="s">
        <v>5335</v>
      </c>
      <c r="H2393" t="str">
        <f>'Huong dan giao do an'!$B$14</f>
        <v>5 SV (vai trò chính): 1 PM/Scrum Master kiêm Integration; 2 BA/PO; 3 UI-UX + Frontend; 4 Backend/API + DevOps; 5 Database + QA/Tester. Mỗi SV có nhiệm vụ phụ và minh chứng cá nhân.</v>
      </c>
      <c r="I2393" t="s">
        <v>36</v>
      </c>
      <c r="J2393" t="s">
        <v>5306</v>
      </c>
      <c r="K2393" t="str">
        <f>IF(I2393="Trung bình",'Huong dan giao do an'!$B$8,IF(I2393="Khá",'Huong dan giao do an'!$B$9,'Huong dan giao do an'!$B$10))</f>
        <v>Tối thiểu 3 actor; 8-10 use case; 6-8 bảng dữ liệu; 2 quy trình lõi; đăng nhập/RBAC; 1 dashboard; 1 báo cáo; &gt;=25 test case; triển khai bản demo.</v>
      </c>
      <c r="L2393" t="str">
        <f>'Huong dan giao do an'!$B$31</f>
        <v>Bắt buộc: Charter/PMP; SRS + scope/WBS; Gantt/baseline; effort-cost budget; RACI/timesheet; quality-test-defect; communication/minutes; risk register; procurement; change log; closure/lessons learned.</v>
      </c>
      <c r="M2393" t="str">
        <f>'Huong dan giao do an'!$B$33</f>
        <v>Tuần 1: 07.09–13.09.2026; Tuần 2: 14.09–20.09.2026; Tuần 3: 21.09–27.09.2026; Tuần 4: 28.09–04.10.2026; Tuần 5: 05.10–11.10.2026; Tuần 6: 12.10–18.10.2026; Tuần 7: 19.10–25.10.2026; Tuần 8: 26.10–01.11.2026.</v>
      </c>
      <c r="N23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3" s="17" t="str">
        <f t="shared" si="37"/>
        <v>Còn trống</v>
      </c>
    </row>
    <row r="2394" spans="1:16" x14ac:dyDescent="0.3">
      <c r="A2394">
        <v>2393</v>
      </c>
      <c r="B2394" t="s">
        <v>5291</v>
      </c>
      <c r="C2394" t="s">
        <v>5504</v>
      </c>
      <c r="D2394" t="s">
        <v>5505</v>
      </c>
      <c r="E2394" t="s">
        <v>19</v>
      </c>
      <c r="F2394" t="s">
        <v>5304</v>
      </c>
      <c r="G2394" t="s">
        <v>5338</v>
      </c>
      <c r="H2394" t="str">
        <f>'Huong dan giao do an'!$B$14</f>
        <v>5 SV (vai trò chính): 1 PM/Scrum Master kiêm Integration; 2 BA/PO; 3 UI-UX + Frontend; 4 Backend/API + DevOps; 5 Database + QA/Tester. Mỗi SV có nhiệm vụ phụ và minh chứng cá nhân.</v>
      </c>
      <c r="I2394" t="s">
        <v>22</v>
      </c>
      <c r="J2394" t="s">
        <v>5296</v>
      </c>
      <c r="K2394" t="str">
        <f>IF(I2394="Trung bình",'Huong dan giao do an'!$B$8,IF(I2394="Khá",'Huong dan giao do an'!$B$9,'Huong dan giao do an'!$B$10))</f>
        <v>Tối thiểu 4 actor; 10-14 use case; 8-12 bảng; 3 quy trình lõi; phân quyền chi tiết; 2 báo cáo; tích hợp 1 dịch vụ; &gt;=35 test case; CI/CD hoặc deploy cloud.</v>
      </c>
      <c r="L2394" t="str">
        <f>'Huong dan giao do an'!$B$31</f>
        <v>Bắt buộc: Charter/PMP; SRS + scope/WBS; Gantt/baseline; effort-cost budget; RACI/timesheet; quality-test-defect; communication/minutes; risk register; procurement; change log; closure/lessons learned.</v>
      </c>
      <c r="M2394" t="str">
        <f>'Huong dan giao do an'!$B$33</f>
        <v>Tuần 1: 07.09–13.09.2026; Tuần 2: 14.09–20.09.2026; Tuần 3: 21.09–27.09.2026; Tuần 4: 28.09–04.10.2026; Tuần 5: 05.10–11.10.2026; Tuần 6: 12.10–18.10.2026; Tuần 7: 19.10–25.10.2026; Tuần 8: 26.10–01.11.2026.</v>
      </c>
      <c r="N23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4" s="17" t="str">
        <f t="shared" si="37"/>
        <v>Còn trống</v>
      </c>
    </row>
    <row r="2395" spans="1:16" x14ac:dyDescent="0.3">
      <c r="A2395">
        <v>2394</v>
      </c>
      <c r="B2395" t="s">
        <v>5291</v>
      </c>
      <c r="C2395" t="s">
        <v>5506</v>
      </c>
      <c r="D2395" t="s">
        <v>5507</v>
      </c>
      <c r="E2395" t="s">
        <v>26</v>
      </c>
      <c r="F2395" t="s">
        <v>5309</v>
      </c>
      <c r="G2395" t="s">
        <v>5341</v>
      </c>
      <c r="H2395" t="str">
        <f>'Huong dan giao do an'!$B$14</f>
        <v>5 SV (vai trò chính): 1 PM/Scrum Master kiêm Integration; 2 BA/PO; 3 UI-UX + Frontend; 4 Backend/API + DevOps; 5 Database + QA/Tester. Mỗi SV có nhiệm vụ phụ và minh chứng cá nhân.</v>
      </c>
      <c r="I2395" t="s">
        <v>29</v>
      </c>
      <c r="J2395" t="s">
        <v>5301</v>
      </c>
      <c r="K2395" t="str">
        <f>IF(I2395="Trung bình",'Huong dan giao do an'!$B$8,IF(I2395="Khá",'Huong dan giao do an'!$B$9,'Huong dan giao do an'!$B$10))</f>
        <v>Tối thiểu 5 actor; 14-18 use case; 10-15 bảng; 4 quy trình; tích hợp ngoài/realtime hoặc xử lý nâng cao; 3 báo cáo; &gt;=45 test case; logging, backup và deploy.</v>
      </c>
      <c r="L2395" t="str">
        <f>'Huong dan giao do an'!$B$31</f>
        <v>Bắt buộc: Charter/PMP; SRS + scope/WBS; Gantt/baseline; effort-cost budget; RACI/timesheet; quality-test-defect; communication/minutes; risk register; procurement; change log; closure/lessons learned.</v>
      </c>
      <c r="M2395" t="str">
        <f>'Huong dan giao do an'!$B$33</f>
        <v>Tuần 1: 07.09–13.09.2026; Tuần 2: 14.09–20.09.2026; Tuần 3: 21.09–27.09.2026; Tuần 4: 28.09–04.10.2026; Tuần 5: 05.10–11.10.2026; Tuần 6: 12.10–18.10.2026; Tuần 7: 19.10–25.10.2026; Tuần 8: 26.10–01.11.2026.</v>
      </c>
      <c r="N23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5" s="17" t="str">
        <f t="shared" si="37"/>
        <v>Còn trống</v>
      </c>
    </row>
    <row r="2396" spans="1:16" x14ac:dyDescent="0.3">
      <c r="A2396">
        <v>2395</v>
      </c>
      <c r="B2396" t="s">
        <v>5291</v>
      </c>
      <c r="C2396" t="s">
        <v>5508</v>
      </c>
      <c r="D2396" t="s">
        <v>5509</v>
      </c>
      <c r="E2396" t="s">
        <v>33</v>
      </c>
      <c r="F2396" t="s">
        <v>5313</v>
      </c>
      <c r="G2396" t="s">
        <v>5344</v>
      </c>
      <c r="H2396" t="str">
        <f>'Huong dan giao do an'!$B$14</f>
        <v>5 SV (vai trò chính): 1 PM/Scrum Master kiêm Integration; 2 BA/PO; 3 UI-UX + Frontend; 4 Backend/API + DevOps; 5 Database + QA/Tester. Mỗi SV có nhiệm vụ phụ và minh chứng cá nhân.</v>
      </c>
      <c r="I2396" t="s">
        <v>36</v>
      </c>
      <c r="J2396" t="s">
        <v>5306</v>
      </c>
      <c r="K2396" t="str">
        <f>IF(I2396="Trung bình",'Huong dan giao do an'!$B$8,IF(I2396="Khá",'Huong dan giao do an'!$B$9,'Huong dan giao do an'!$B$10))</f>
        <v>Tối thiểu 3 actor; 8-10 use case; 6-8 bảng dữ liệu; 2 quy trình lõi; đăng nhập/RBAC; 1 dashboard; 1 báo cáo; &gt;=25 test case; triển khai bản demo.</v>
      </c>
      <c r="L2396" t="str">
        <f>'Huong dan giao do an'!$B$31</f>
        <v>Bắt buộc: Charter/PMP; SRS + scope/WBS; Gantt/baseline; effort-cost budget; RACI/timesheet; quality-test-defect; communication/minutes; risk register; procurement; change log; closure/lessons learned.</v>
      </c>
      <c r="M2396" t="str">
        <f>'Huong dan giao do an'!$B$33</f>
        <v>Tuần 1: 07.09–13.09.2026; Tuần 2: 14.09–20.09.2026; Tuần 3: 21.09–27.09.2026; Tuần 4: 28.09–04.10.2026; Tuần 5: 05.10–11.10.2026; Tuần 6: 12.10–18.10.2026; Tuần 7: 19.10–25.10.2026; Tuần 8: 26.10–01.11.2026.</v>
      </c>
      <c r="N23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6" s="17" t="str">
        <f t="shared" si="37"/>
        <v>Còn trống</v>
      </c>
    </row>
    <row r="2397" spans="1:16" x14ac:dyDescent="0.3">
      <c r="A2397">
        <v>2396</v>
      </c>
      <c r="B2397" t="s">
        <v>5291</v>
      </c>
      <c r="C2397" t="s">
        <v>5510</v>
      </c>
      <c r="D2397" t="s">
        <v>5511</v>
      </c>
      <c r="E2397" t="s">
        <v>40</v>
      </c>
      <c r="F2397" t="s">
        <v>5294</v>
      </c>
      <c r="G2397" t="s">
        <v>5347</v>
      </c>
      <c r="H2397" t="str">
        <f>'Huong dan giao do an'!$B$14</f>
        <v>5 SV (vai trò chính): 1 PM/Scrum Master kiêm Integration; 2 BA/PO; 3 UI-UX + Frontend; 4 Backend/API + DevOps; 5 Database + QA/Tester. Mỗi SV có nhiệm vụ phụ và minh chứng cá nhân.</v>
      </c>
      <c r="I2397" t="s">
        <v>22</v>
      </c>
      <c r="J2397" t="s">
        <v>5296</v>
      </c>
      <c r="K2397" t="str">
        <f>IF(I2397="Trung bình",'Huong dan giao do an'!$B$8,IF(I2397="Khá",'Huong dan giao do an'!$B$9,'Huong dan giao do an'!$B$10))</f>
        <v>Tối thiểu 4 actor; 10-14 use case; 8-12 bảng; 3 quy trình lõi; phân quyền chi tiết; 2 báo cáo; tích hợp 1 dịch vụ; &gt;=35 test case; CI/CD hoặc deploy cloud.</v>
      </c>
      <c r="L2397" t="str">
        <f>'Huong dan giao do an'!$B$31</f>
        <v>Bắt buộc: Charter/PMP; SRS + scope/WBS; Gantt/baseline; effort-cost budget; RACI/timesheet; quality-test-defect; communication/minutes; risk register; procurement; change log; closure/lessons learned.</v>
      </c>
      <c r="M2397" t="str">
        <f>'Huong dan giao do an'!$B$33</f>
        <v>Tuần 1: 07.09–13.09.2026; Tuần 2: 14.09–20.09.2026; Tuần 3: 21.09–27.09.2026; Tuần 4: 28.09–04.10.2026; Tuần 5: 05.10–11.10.2026; Tuần 6: 12.10–18.10.2026; Tuần 7: 19.10–25.10.2026; Tuần 8: 26.10–01.11.2026.</v>
      </c>
      <c r="N23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7" s="17" t="str">
        <f t="shared" si="37"/>
        <v>Còn trống</v>
      </c>
    </row>
    <row r="2398" spans="1:16" x14ac:dyDescent="0.3">
      <c r="A2398">
        <v>2397</v>
      </c>
      <c r="B2398" t="s">
        <v>5291</v>
      </c>
      <c r="C2398" t="s">
        <v>5512</v>
      </c>
      <c r="D2398" t="s">
        <v>5513</v>
      </c>
      <c r="E2398" t="s">
        <v>45</v>
      </c>
      <c r="F2398" t="s">
        <v>5299</v>
      </c>
      <c r="G2398" t="s">
        <v>5350</v>
      </c>
      <c r="H2398" t="str">
        <f>'Huong dan giao do an'!$B$14</f>
        <v>5 SV (vai trò chính): 1 PM/Scrum Master kiêm Integration; 2 BA/PO; 3 UI-UX + Frontend; 4 Backend/API + DevOps; 5 Database + QA/Tester. Mỗi SV có nhiệm vụ phụ và minh chứng cá nhân.</v>
      </c>
      <c r="I2398" t="s">
        <v>29</v>
      </c>
      <c r="J2398" t="s">
        <v>5301</v>
      </c>
      <c r="K2398" t="str">
        <f>IF(I2398="Trung bình",'Huong dan giao do an'!$B$8,IF(I2398="Khá",'Huong dan giao do an'!$B$9,'Huong dan giao do an'!$B$10))</f>
        <v>Tối thiểu 5 actor; 14-18 use case; 10-15 bảng; 4 quy trình; tích hợp ngoài/realtime hoặc xử lý nâng cao; 3 báo cáo; &gt;=45 test case; logging, backup và deploy.</v>
      </c>
      <c r="L2398" t="str">
        <f>'Huong dan giao do an'!$B$31</f>
        <v>Bắt buộc: Charter/PMP; SRS + scope/WBS; Gantt/baseline; effort-cost budget; RACI/timesheet; quality-test-defect; communication/minutes; risk register; procurement; change log; closure/lessons learned.</v>
      </c>
      <c r="M2398" t="str">
        <f>'Huong dan giao do an'!$B$33</f>
        <v>Tuần 1: 07.09–13.09.2026; Tuần 2: 14.09–20.09.2026; Tuần 3: 21.09–27.09.2026; Tuần 4: 28.09–04.10.2026; Tuần 5: 05.10–11.10.2026; Tuần 6: 12.10–18.10.2026; Tuần 7: 19.10–25.10.2026; Tuần 8: 26.10–01.11.2026.</v>
      </c>
      <c r="N23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8" s="17" t="str">
        <f t="shared" si="37"/>
        <v>Còn trống</v>
      </c>
    </row>
    <row r="2399" spans="1:16" x14ac:dyDescent="0.3">
      <c r="A2399">
        <v>2398</v>
      </c>
      <c r="B2399" t="s">
        <v>5291</v>
      </c>
      <c r="C2399" t="s">
        <v>5514</v>
      </c>
      <c r="D2399" t="s">
        <v>5515</v>
      </c>
      <c r="E2399" t="s">
        <v>19</v>
      </c>
      <c r="F2399" t="s">
        <v>5304</v>
      </c>
      <c r="G2399" t="s">
        <v>5353</v>
      </c>
      <c r="H2399" t="str">
        <f>'Huong dan giao do an'!$B$14</f>
        <v>5 SV (vai trò chính): 1 PM/Scrum Master kiêm Integration; 2 BA/PO; 3 UI-UX + Frontend; 4 Backend/API + DevOps; 5 Database + QA/Tester. Mỗi SV có nhiệm vụ phụ và minh chứng cá nhân.</v>
      </c>
      <c r="I2399" t="s">
        <v>36</v>
      </c>
      <c r="J2399" t="s">
        <v>5306</v>
      </c>
      <c r="K2399" t="str">
        <f>IF(I2399="Trung bình",'Huong dan giao do an'!$B$8,IF(I2399="Khá",'Huong dan giao do an'!$B$9,'Huong dan giao do an'!$B$10))</f>
        <v>Tối thiểu 3 actor; 8-10 use case; 6-8 bảng dữ liệu; 2 quy trình lõi; đăng nhập/RBAC; 1 dashboard; 1 báo cáo; &gt;=25 test case; triển khai bản demo.</v>
      </c>
      <c r="L2399" t="str">
        <f>'Huong dan giao do an'!$B$31</f>
        <v>Bắt buộc: Charter/PMP; SRS + scope/WBS; Gantt/baseline; effort-cost budget; RACI/timesheet; quality-test-defect; communication/minutes; risk register; procurement; change log; closure/lessons learned.</v>
      </c>
      <c r="M2399" t="str">
        <f>'Huong dan giao do an'!$B$33</f>
        <v>Tuần 1: 07.09–13.09.2026; Tuần 2: 14.09–20.09.2026; Tuần 3: 21.09–27.09.2026; Tuần 4: 28.09–04.10.2026; Tuần 5: 05.10–11.10.2026; Tuần 6: 12.10–18.10.2026; Tuần 7: 19.10–25.10.2026; Tuần 8: 26.10–01.11.2026.</v>
      </c>
      <c r="N23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399" s="17" t="str">
        <f t="shared" si="37"/>
        <v>Còn trống</v>
      </c>
    </row>
    <row r="2400" spans="1:16" x14ac:dyDescent="0.3">
      <c r="A2400">
        <v>2399</v>
      </c>
      <c r="B2400" t="s">
        <v>5291</v>
      </c>
      <c r="C2400" t="s">
        <v>5516</v>
      </c>
      <c r="D2400" t="s">
        <v>5517</v>
      </c>
      <c r="E2400" t="s">
        <v>26</v>
      </c>
      <c r="F2400" t="s">
        <v>5309</v>
      </c>
      <c r="G2400" t="s">
        <v>5356</v>
      </c>
      <c r="H2400" t="str">
        <f>'Huong dan giao do an'!$B$14</f>
        <v>5 SV (vai trò chính): 1 PM/Scrum Master kiêm Integration; 2 BA/PO; 3 UI-UX + Frontend; 4 Backend/API + DevOps; 5 Database + QA/Tester. Mỗi SV có nhiệm vụ phụ và minh chứng cá nhân.</v>
      </c>
      <c r="I2400" t="s">
        <v>22</v>
      </c>
      <c r="J2400" t="s">
        <v>5296</v>
      </c>
      <c r="K2400" t="str">
        <f>IF(I2400="Trung bình",'Huong dan giao do an'!$B$8,IF(I2400="Khá",'Huong dan giao do an'!$B$9,'Huong dan giao do an'!$B$10))</f>
        <v>Tối thiểu 4 actor; 10-14 use case; 8-12 bảng; 3 quy trình lõi; phân quyền chi tiết; 2 báo cáo; tích hợp 1 dịch vụ; &gt;=35 test case; CI/CD hoặc deploy cloud.</v>
      </c>
      <c r="L2400" t="str">
        <f>'Huong dan giao do an'!$B$31</f>
        <v>Bắt buộc: Charter/PMP; SRS + scope/WBS; Gantt/baseline; effort-cost budget; RACI/timesheet; quality-test-defect; communication/minutes; risk register; procurement; change log; closure/lessons learned.</v>
      </c>
      <c r="M2400" t="str">
        <f>'Huong dan giao do an'!$B$33</f>
        <v>Tuần 1: 07.09–13.09.2026; Tuần 2: 14.09–20.09.2026; Tuần 3: 21.09–27.09.2026; Tuần 4: 28.09–04.10.2026; Tuần 5: 05.10–11.10.2026; Tuần 6: 12.10–18.10.2026; Tuần 7: 19.10–25.10.2026; Tuần 8: 26.10–01.11.2026.</v>
      </c>
      <c r="N24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0" s="17" t="str">
        <f t="shared" si="37"/>
        <v>Còn trống</v>
      </c>
    </row>
    <row r="2401" spans="1:16" x14ac:dyDescent="0.3">
      <c r="A2401">
        <v>2400</v>
      </c>
      <c r="B2401" t="s">
        <v>5291</v>
      </c>
      <c r="C2401" t="s">
        <v>5518</v>
      </c>
      <c r="D2401" t="s">
        <v>5519</v>
      </c>
      <c r="E2401" t="s">
        <v>33</v>
      </c>
      <c r="F2401" t="s">
        <v>5313</v>
      </c>
      <c r="G2401" t="s">
        <v>5359</v>
      </c>
      <c r="H2401" t="str">
        <f>'Huong dan giao do an'!$B$14</f>
        <v>5 SV (vai trò chính): 1 PM/Scrum Master kiêm Integration; 2 BA/PO; 3 UI-UX + Frontend; 4 Backend/API + DevOps; 5 Database + QA/Tester. Mỗi SV có nhiệm vụ phụ và minh chứng cá nhân.</v>
      </c>
      <c r="I2401" t="s">
        <v>29</v>
      </c>
      <c r="J2401" t="s">
        <v>5301</v>
      </c>
      <c r="K2401" t="str">
        <f>IF(I2401="Trung bình",'Huong dan giao do an'!$B$8,IF(I2401="Khá",'Huong dan giao do an'!$B$9,'Huong dan giao do an'!$B$10))</f>
        <v>Tối thiểu 5 actor; 14-18 use case; 10-15 bảng; 4 quy trình; tích hợp ngoài/realtime hoặc xử lý nâng cao; 3 báo cáo; &gt;=45 test case; logging, backup và deploy.</v>
      </c>
      <c r="L2401" t="str">
        <f>'Huong dan giao do an'!$B$31</f>
        <v>Bắt buộc: Charter/PMP; SRS + scope/WBS; Gantt/baseline; effort-cost budget; RACI/timesheet; quality-test-defect; communication/minutes; risk register; procurement; change log; closure/lessons learned.</v>
      </c>
      <c r="M2401" t="str">
        <f>'Huong dan giao do an'!$B$33</f>
        <v>Tuần 1: 07.09–13.09.2026; Tuần 2: 14.09–20.09.2026; Tuần 3: 21.09–27.09.2026; Tuần 4: 28.09–04.10.2026; Tuần 5: 05.10–11.10.2026; Tuần 6: 12.10–18.10.2026; Tuần 7: 19.10–25.10.2026; Tuần 8: 26.10–01.11.2026.</v>
      </c>
      <c r="N24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1" s="17" t="str">
        <f t="shared" si="37"/>
        <v>Còn trống</v>
      </c>
    </row>
    <row r="2402" spans="1:16" x14ac:dyDescent="0.3">
      <c r="A2402">
        <v>2401</v>
      </c>
      <c r="B2402" t="s">
        <v>5520</v>
      </c>
      <c r="C2402" t="s">
        <v>5521</v>
      </c>
      <c r="D2402" t="s">
        <v>5522</v>
      </c>
      <c r="E2402" t="s">
        <v>45</v>
      </c>
      <c r="F2402" t="s">
        <v>5523</v>
      </c>
      <c r="G2402" t="s">
        <v>5524</v>
      </c>
      <c r="H2402" t="str">
        <f>'Huong dan giao do an'!$B$14</f>
        <v>5 SV (vai trò chính): 1 PM/Scrum Master kiêm Integration; 2 BA/PO; 3 UI-UX + Frontend; 4 Backend/API + DevOps; 5 Database + QA/Tester. Mỗi SV có nhiệm vụ phụ và minh chứng cá nhân.</v>
      </c>
      <c r="I2402" t="s">
        <v>22</v>
      </c>
      <c r="J2402" t="s">
        <v>5525</v>
      </c>
      <c r="K2402" t="str">
        <f>IF(I2402="Trung bình",'Huong dan giao do an'!$B$8,IF(I2402="Khá",'Huong dan giao do an'!$B$9,'Huong dan giao do an'!$B$10))</f>
        <v>Tối thiểu 4 actor; 10-14 use case; 8-12 bảng; 3 quy trình lõi; phân quyền chi tiết; 2 báo cáo; tích hợp 1 dịch vụ; &gt;=35 test case; CI/CD hoặc deploy cloud.</v>
      </c>
      <c r="L2402" t="str">
        <f>'Huong dan giao do an'!$B$31</f>
        <v>Bắt buộc: Charter/PMP; SRS + scope/WBS; Gantt/baseline; effort-cost budget; RACI/timesheet; quality-test-defect; communication/minutes; risk register; procurement; change log; closure/lessons learned.</v>
      </c>
      <c r="M2402" t="str">
        <f>'Huong dan giao do an'!$B$33</f>
        <v>Tuần 1: 07.09–13.09.2026; Tuần 2: 14.09–20.09.2026; Tuần 3: 21.09–27.09.2026; Tuần 4: 28.09–04.10.2026; Tuần 5: 05.10–11.10.2026; Tuần 6: 12.10–18.10.2026; Tuần 7: 19.10–25.10.2026; Tuần 8: 26.10–01.11.2026.</v>
      </c>
      <c r="N24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2" s="17" t="str">
        <f t="shared" si="37"/>
        <v>Còn trống</v>
      </c>
    </row>
    <row r="2403" spans="1:16" x14ac:dyDescent="0.3">
      <c r="A2403">
        <v>2402</v>
      </c>
      <c r="B2403" t="s">
        <v>5520</v>
      </c>
      <c r="C2403" t="s">
        <v>5526</v>
      </c>
      <c r="D2403" t="s">
        <v>5527</v>
      </c>
      <c r="E2403" t="s">
        <v>19</v>
      </c>
      <c r="F2403" t="s">
        <v>5528</v>
      </c>
      <c r="G2403" t="s">
        <v>5529</v>
      </c>
      <c r="H2403" t="str">
        <f>'Huong dan giao do an'!$B$14</f>
        <v>5 SV (vai trò chính): 1 PM/Scrum Master kiêm Integration; 2 BA/PO; 3 UI-UX + Frontend; 4 Backend/API + DevOps; 5 Database + QA/Tester. Mỗi SV có nhiệm vụ phụ và minh chứng cá nhân.</v>
      </c>
      <c r="I2403" t="s">
        <v>29</v>
      </c>
      <c r="J2403" t="s">
        <v>5530</v>
      </c>
      <c r="K2403" t="str">
        <f>IF(I2403="Trung bình",'Huong dan giao do an'!$B$8,IF(I2403="Khá",'Huong dan giao do an'!$B$9,'Huong dan giao do an'!$B$10))</f>
        <v>Tối thiểu 5 actor; 14-18 use case; 10-15 bảng; 4 quy trình; tích hợp ngoài/realtime hoặc xử lý nâng cao; 3 báo cáo; &gt;=45 test case; logging, backup và deploy.</v>
      </c>
      <c r="L2403" t="str">
        <f>'Huong dan giao do an'!$B$31</f>
        <v>Bắt buộc: Charter/PMP; SRS + scope/WBS; Gantt/baseline; effort-cost budget; RACI/timesheet; quality-test-defect; communication/minutes; risk register; procurement; change log; closure/lessons learned.</v>
      </c>
      <c r="M2403" t="str">
        <f>'Huong dan giao do an'!$B$33</f>
        <v>Tuần 1: 07.09–13.09.2026; Tuần 2: 14.09–20.09.2026; Tuần 3: 21.09–27.09.2026; Tuần 4: 28.09–04.10.2026; Tuần 5: 05.10–11.10.2026; Tuần 6: 12.10–18.10.2026; Tuần 7: 19.10–25.10.2026; Tuần 8: 26.10–01.11.2026.</v>
      </c>
      <c r="N24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3" s="17" t="str">
        <f t="shared" si="37"/>
        <v>Còn trống</v>
      </c>
    </row>
    <row r="2404" spans="1:16" x14ac:dyDescent="0.3">
      <c r="A2404">
        <v>2403</v>
      </c>
      <c r="B2404" t="s">
        <v>5520</v>
      </c>
      <c r="C2404" t="s">
        <v>5531</v>
      </c>
      <c r="D2404" t="s">
        <v>5532</v>
      </c>
      <c r="E2404" t="s">
        <v>26</v>
      </c>
      <c r="F2404" t="s">
        <v>5533</v>
      </c>
      <c r="G2404" t="s">
        <v>5534</v>
      </c>
      <c r="H2404" t="str">
        <f>'Huong dan giao do an'!$B$14</f>
        <v>5 SV (vai trò chính): 1 PM/Scrum Master kiêm Integration; 2 BA/PO; 3 UI-UX + Frontend; 4 Backend/API + DevOps; 5 Database + QA/Tester. Mỗi SV có nhiệm vụ phụ và minh chứng cá nhân.</v>
      </c>
      <c r="I2404" t="s">
        <v>36</v>
      </c>
      <c r="J2404" t="s">
        <v>5535</v>
      </c>
      <c r="K2404" t="str">
        <f>IF(I2404="Trung bình",'Huong dan giao do an'!$B$8,IF(I2404="Khá",'Huong dan giao do an'!$B$9,'Huong dan giao do an'!$B$10))</f>
        <v>Tối thiểu 3 actor; 8-10 use case; 6-8 bảng dữ liệu; 2 quy trình lõi; đăng nhập/RBAC; 1 dashboard; 1 báo cáo; &gt;=25 test case; triển khai bản demo.</v>
      </c>
      <c r="L2404" t="str">
        <f>'Huong dan giao do an'!$B$31</f>
        <v>Bắt buộc: Charter/PMP; SRS + scope/WBS; Gantt/baseline; effort-cost budget; RACI/timesheet; quality-test-defect; communication/minutes; risk register; procurement; change log; closure/lessons learned.</v>
      </c>
      <c r="M2404" t="str">
        <f>'Huong dan giao do an'!$B$33</f>
        <v>Tuần 1: 07.09–13.09.2026; Tuần 2: 14.09–20.09.2026; Tuần 3: 21.09–27.09.2026; Tuần 4: 28.09–04.10.2026; Tuần 5: 05.10–11.10.2026; Tuần 6: 12.10–18.10.2026; Tuần 7: 19.10–25.10.2026; Tuần 8: 26.10–01.11.2026.</v>
      </c>
      <c r="N24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4" s="17" t="str">
        <f t="shared" si="37"/>
        <v>Còn trống</v>
      </c>
    </row>
    <row r="2405" spans="1:16" x14ac:dyDescent="0.3">
      <c r="A2405">
        <v>2404</v>
      </c>
      <c r="B2405" t="s">
        <v>5520</v>
      </c>
      <c r="C2405" t="s">
        <v>5536</v>
      </c>
      <c r="D2405" t="s">
        <v>5537</v>
      </c>
      <c r="E2405" t="s">
        <v>33</v>
      </c>
      <c r="F2405" t="s">
        <v>5538</v>
      </c>
      <c r="G2405" t="s">
        <v>5539</v>
      </c>
      <c r="H2405" t="str">
        <f>'Huong dan giao do an'!$B$14</f>
        <v>5 SV (vai trò chính): 1 PM/Scrum Master kiêm Integration; 2 BA/PO; 3 UI-UX + Frontend; 4 Backend/API + DevOps; 5 Database + QA/Tester. Mỗi SV có nhiệm vụ phụ và minh chứng cá nhân.</v>
      </c>
      <c r="I2405" t="s">
        <v>22</v>
      </c>
      <c r="J2405" t="s">
        <v>5525</v>
      </c>
      <c r="K2405" t="str">
        <f>IF(I2405="Trung bình",'Huong dan giao do an'!$B$8,IF(I2405="Khá",'Huong dan giao do an'!$B$9,'Huong dan giao do an'!$B$10))</f>
        <v>Tối thiểu 4 actor; 10-14 use case; 8-12 bảng; 3 quy trình lõi; phân quyền chi tiết; 2 báo cáo; tích hợp 1 dịch vụ; &gt;=35 test case; CI/CD hoặc deploy cloud.</v>
      </c>
      <c r="L2405" t="str">
        <f>'Huong dan giao do an'!$B$31</f>
        <v>Bắt buộc: Charter/PMP; SRS + scope/WBS; Gantt/baseline; effort-cost budget; RACI/timesheet; quality-test-defect; communication/minutes; risk register; procurement; change log; closure/lessons learned.</v>
      </c>
      <c r="M2405" t="str">
        <f>'Huong dan giao do an'!$B$33</f>
        <v>Tuần 1: 07.09–13.09.2026; Tuần 2: 14.09–20.09.2026; Tuần 3: 21.09–27.09.2026; Tuần 4: 28.09–04.10.2026; Tuần 5: 05.10–11.10.2026; Tuần 6: 12.10–18.10.2026; Tuần 7: 19.10–25.10.2026; Tuần 8: 26.10–01.11.2026.</v>
      </c>
      <c r="N24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5" s="17" t="str">
        <f t="shared" si="37"/>
        <v>Còn trống</v>
      </c>
    </row>
    <row r="2406" spans="1:16" x14ac:dyDescent="0.3">
      <c r="A2406">
        <v>2405</v>
      </c>
      <c r="B2406" t="s">
        <v>5520</v>
      </c>
      <c r="C2406" t="s">
        <v>5540</v>
      </c>
      <c r="D2406" t="s">
        <v>5541</v>
      </c>
      <c r="E2406" t="s">
        <v>40</v>
      </c>
      <c r="F2406" t="s">
        <v>5542</v>
      </c>
      <c r="G2406" t="s">
        <v>5543</v>
      </c>
      <c r="H2406" t="str">
        <f>'Huong dan giao do an'!$B$14</f>
        <v>5 SV (vai trò chính): 1 PM/Scrum Master kiêm Integration; 2 BA/PO; 3 UI-UX + Frontend; 4 Backend/API + DevOps; 5 Database + QA/Tester. Mỗi SV có nhiệm vụ phụ và minh chứng cá nhân.</v>
      </c>
      <c r="I2406" t="s">
        <v>29</v>
      </c>
      <c r="J2406" t="s">
        <v>5530</v>
      </c>
      <c r="K2406" t="str">
        <f>IF(I2406="Trung bình",'Huong dan giao do an'!$B$8,IF(I2406="Khá",'Huong dan giao do an'!$B$9,'Huong dan giao do an'!$B$10))</f>
        <v>Tối thiểu 5 actor; 14-18 use case; 10-15 bảng; 4 quy trình; tích hợp ngoài/realtime hoặc xử lý nâng cao; 3 báo cáo; &gt;=45 test case; logging, backup và deploy.</v>
      </c>
      <c r="L2406" t="str">
        <f>'Huong dan giao do an'!$B$31</f>
        <v>Bắt buộc: Charter/PMP; SRS + scope/WBS; Gantt/baseline; effort-cost budget; RACI/timesheet; quality-test-defect; communication/minutes; risk register; procurement; change log; closure/lessons learned.</v>
      </c>
      <c r="M2406" t="str">
        <f>'Huong dan giao do an'!$B$33</f>
        <v>Tuần 1: 07.09–13.09.2026; Tuần 2: 14.09–20.09.2026; Tuần 3: 21.09–27.09.2026; Tuần 4: 28.09–04.10.2026; Tuần 5: 05.10–11.10.2026; Tuần 6: 12.10–18.10.2026; Tuần 7: 19.10–25.10.2026; Tuần 8: 26.10–01.11.2026.</v>
      </c>
      <c r="N24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6" s="17" t="str">
        <f t="shared" si="37"/>
        <v>Còn trống</v>
      </c>
    </row>
    <row r="2407" spans="1:16" x14ac:dyDescent="0.3">
      <c r="A2407">
        <v>2406</v>
      </c>
      <c r="B2407" t="s">
        <v>5520</v>
      </c>
      <c r="C2407" t="s">
        <v>5544</v>
      </c>
      <c r="D2407" t="s">
        <v>5545</v>
      </c>
      <c r="E2407" t="s">
        <v>45</v>
      </c>
      <c r="F2407" t="s">
        <v>5523</v>
      </c>
      <c r="G2407" t="s">
        <v>5546</v>
      </c>
      <c r="H2407" t="str">
        <f>'Huong dan giao do an'!$B$14</f>
        <v>5 SV (vai trò chính): 1 PM/Scrum Master kiêm Integration; 2 BA/PO; 3 UI-UX + Frontend; 4 Backend/API + DevOps; 5 Database + QA/Tester. Mỗi SV có nhiệm vụ phụ và minh chứng cá nhân.</v>
      </c>
      <c r="I2407" t="s">
        <v>36</v>
      </c>
      <c r="J2407" t="s">
        <v>5535</v>
      </c>
      <c r="K2407" t="str">
        <f>IF(I2407="Trung bình",'Huong dan giao do an'!$B$8,IF(I2407="Khá",'Huong dan giao do an'!$B$9,'Huong dan giao do an'!$B$10))</f>
        <v>Tối thiểu 3 actor; 8-10 use case; 6-8 bảng dữ liệu; 2 quy trình lõi; đăng nhập/RBAC; 1 dashboard; 1 báo cáo; &gt;=25 test case; triển khai bản demo.</v>
      </c>
      <c r="L2407" t="str">
        <f>'Huong dan giao do an'!$B$31</f>
        <v>Bắt buộc: Charter/PMP; SRS + scope/WBS; Gantt/baseline; effort-cost budget; RACI/timesheet; quality-test-defect; communication/minutes; risk register; procurement; change log; closure/lessons learned.</v>
      </c>
      <c r="M2407" t="str">
        <f>'Huong dan giao do an'!$B$33</f>
        <v>Tuần 1: 07.09–13.09.2026; Tuần 2: 14.09–20.09.2026; Tuần 3: 21.09–27.09.2026; Tuần 4: 28.09–04.10.2026; Tuần 5: 05.10–11.10.2026; Tuần 6: 12.10–18.10.2026; Tuần 7: 19.10–25.10.2026; Tuần 8: 26.10–01.11.2026.</v>
      </c>
      <c r="N24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7" s="17" t="str">
        <f t="shared" si="37"/>
        <v>Còn trống</v>
      </c>
    </row>
    <row r="2408" spans="1:16" x14ac:dyDescent="0.3">
      <c r="A2408">
        <v>2407</v>
      </c>
      <c r="B2408" t="s">
        <v>5520</v>
      </c>
      <c r="C2408" t="s">
        <v>5547</v>
      </c>
      <c r="D2408" t="s">
        <v>5548</v>
      </c>
      <c r="E2408" t="s">
        <v>19</v>
      </c>
      <c r="F2408" t="s">
        <v>5528</v>
      </c>
      <c r="G2408" t="s">
        <v>5549</v>
      </c>
      <c r="H2408" t="str">
        <f>'Huong dan giao do an'!$B$14</f>
        <v>5 SV (vai trò chính): 1 PM/Scrum Master kiêm Integration; 2 BA/PO; 3 UI-UX + Frontend; 4 Backend/API + DevOps; 5 Database + QA/Tester. Mỗi SV có nhiệm vụ phụ và minh chứng cá nhân.</v>
      </c>
      <c r="I2408" t="s">
        <v>22</v>
      </c>
      <c r="J2408" t="s">
        <v>5525</v>
      </c>
      <c r="K2408" t="str">
        <f>IF(I2408="Trung bình",'Huong dan giao do an'!$B$8,IF(I2408="Khá",'Huong dan giao do an'!$B$9,'Huong dan giao do an'!$B$10))</f>
        <v>Tối thiểu 4 actor; 10-14 use case; 8-12 bảng; 3 quy trình lõi; phân quyền chi tiết; 2 báo cáo; tích hợp 1 dịch vụ; &gt;=35 test case; CI/CD hoặc deploy cloud.</v>
      </c>
      <c r="L2408" t="str">
        <f>'Huong dan giao do an'!$B$31</f>
        <v>Bắt buộc: Charter/PMP; SRS + scope/WBS; Gantt/baseline; effort-cost budget; RACI/timesheet; quality-test-defect; communication/minutes; risk register; procurement; change log; closure/lessons learned.</v>
      </c>
      <c r="M2408" t="str">
        <f>'Huong dan giao do an'!$B$33</f>
        <v>Tuần 1: 07.09–13.09.2026; Tuần 2: 14.09–20.09.2026; Tuần 3: 21.09–27.09.2026; Tuần 4: 28.09–04.10.2026; Tuần 5: 05.10–11.10.2026; Tuần 6: 12.10–18.10.2026; Tuần 7: 19.10–25.10.2026; Tuần 8: 26.10–01.11.2026.</v>
      </c>
      <c r="N24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8" s="17" t="str">
        <f t="shared" si="37"/>
        <v>Còn trống</v>
      </c>
    </row>
    <row r="2409" spans="1:16" x14ac:dyDescent="0.3">
      <c r="A2409">
        <v>2408</v>
      </c>
      <c r="B2409" t="s">
        <v>5520</v>
      </c>
      <c r="C2409" t="s">
        <v>5550</v>
      </c>
      <c r="D2409" t="s">
        <v>5551</v>
      </c>
      <c r="E2409" t="s">
        <v>26</v>
      </c>
      <c r="F2409" t="s">
        <v>5533</v>
      </c>
      <c r="G2409" t="s">
        <v>5552</v>
      </c>
      <c r="H2409" t="str">
        <f>'Huong dan giao do an'!$B$14</f>
        <v>5 SV (vai trò chính): 1 PM/Scrum Master kiêm Integration; 2 BA/PO; 3 UI-UX + Frontend; 4 Backend/API + DevOps; 5 Database + QA/Tester. Mỗi SV có nhiệm vụ phụ và minh chứng cá nhân.</v>
      </c>
      <c r="I2409" t="s">
        <v>29</v>
      </c>
      <c r="J2409" t="s">
        <v>5530</v>
      </c>
      <c r="K2409" t="str">
        <f>IF(I2409="Trung bình",'Huong dan giao do an'!$B$8,IF(I2409="Khá",'Huong dan giao do an'!$B$9,'Huong dan giao do an'!$B$10))</f>
        <v>Tối thiểu 5 actor; 14-18 use case; 10-15 bảng; 4 quy trình; tích hợp ngoài/realtime hoặc xử lý nâng cao; 3 báo cáo; &gt;=45 test case; logging, backup và deploy.</v>
      </c>
      <c r="L2409" t="str">
        <f>'Huong dan giao do an'!$B$31</f>
        <v>Bắt buộc: Charter/PMP; SRS + scope/WBS; Gantt/baseline; effort-cost budget; RACI/timesheet; quality-test-defect; communication/minutes; risk register; procurement; change log; closure/lessons learned.</v>
      </c>
      <c r="M2409" t="str">
        <f>'Huong dan giao do an'!$B$33</f>
        <v>Tuần 1: 07.09–13.09.2026; Tuần 2: 14.09–20.09.2026; Tuần 3: 21.09–27.09.2026; Tuần 4: 28.09–04.10.2026; Tuần 5: 05.10–11.10.2026; Tuần 6: 12.10–18.10.2026; Tuần 7: 19.10–25.10.2026; Tuần 8: 26.10–01.11.2026.</v>
      </c>
      <c r="N24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09" s="17" t="str">
        <f t="shared" si="37"/>
        <v>Còn trống</v>
      </c>
    </row>
    <row r="2410" spans="1:16" x14ac:dyDescent="0.3">
      <c r="A2410">
        <v>2409</v>
      </c>
      <c r="B2410" t="s">
        <v>5520</v>
      </c>
      <c r="C2410" t="s">
        <v>5553</v>
      </c>
      <c r="D2410" t="s">
        <v>5554</v>
      </c>
      <c r="E2410" t="s">
        <v>33</v>
      </c>
      <c r="F2410" t="s">
        <v>5538</v>
      </c>
      <c r="G2410" t="s">
        <v>5555</v>
      </c>
      <c r="H2410" t="str">
        <f>'Huong dan giao do an'!$B$14</f>
        <v>5 SV (vai trò chính): 1 PM/Scrum Master kiêm Integration; 2 BA/PO; 3 UI-UX + Frontend; 4 Backend/API + DevOps; 5 Database + QA/Tester. Mỗi SV có nhiệm vụ phụ và minh chứng cá nhân.</v>
      </c>
      <c r="I2410" t="s">
        <v>36</v>
      </c>
      <c r="J2410" t="s">
        <v>5535</v>
      </c>
      <c r="K2410" t="str">
        <f>IF(I2410="Trung bình",'Huong dan giao do an'!$B$8,IF(I2410="Khá",'Huong dan giao do an'!$B$9,'Huong dan giao do an'!$B$10))</f>
        <v>Tối thiểu 3 actor; 8-10 use case; 6-8 bảng dữ liệu; 2 quy trình lõi; đăng nhập/RBAC; 1 dashboard; 1 báo cáo; &gt;=25 test case; triển khai bản demo.</v>
      </c>
      <c r="L2410" t="str">
        <f>'Huong dan giao do an'!$B$31</f>
        <v>Bắt buộc: Charter/PMP; SRS + scope/WBS; Gantt/baseline; effort-cost budget; RACI/timesheet; quality-test-defect; communication/minutes; risk register; procurement; change log; closure/lessons learned.</v>
      </c>
      <c r="M2410" t="str">
        <f>'Huong dan giao do an'!$B$33</f>
        <v>Tuần 1: 07.09–13.09.2026; Tuần 2: 14.09–20.09.2026; Tuần 3: 21.09–27.09.2026; Tuần 4: 28.09–04.10.2026; Tuần 5: 05.10–11.10.2026; Tuần 6: 12.10–18.10.2026; Tuần 7: 19.10–25.10.2026; Tuần 8: 26.10–01.11.2026.</v>
      </c>
      <c r="N24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0" s="17" t="str">
        <f t="shared" si="37"/>
        <v>Còn trống</v>
      </c>
    </row>
    <row r="2411" spans="1:16" x14ac:dyDescent="0.3">
      <c r="A2411">
        <v>2410</v>
      </c>
      <c r="B2411" t="s">
        <v>5520</v>
      </c>
      <c r="C2411" t="s">
        <v>5556</v>
      </c>
      <c r="D2411" t="s">
        <v>5557</v>
      </c>
      <c r="E2411" t="s">
        <v>40</v>
      </c>
      <c r="F2411" t="s">
        <v>5542</v>
      </c>
      <c r="G2411" t="s">
        <v>5558</v>
      </c>
      <c r="H2411" t="str">
        <f>'Huong dan giao do an'!$B$14</f>
        <v>5 SV (vai trò chính): 1 PM/Scrum Master kiêm Integration; 2 BA/PO; 3 UI-UX + Frontend; 4 Backend/API + DevOps; 5 Database + QA/Tester. Mỗi SV có nhiệm vụ phụ và minh chứng cá nhân.</v>
      </c>
      <c r="I2411" t="s">
        <v>22</v>
      </c>
      <c r="J2411" t="s">
        <v>5525</v>
      </c>
      <c r="K2411" t="str">
        <f>IF(I2411="Trung bình",'Huong dan giao do an'!$B$8,IF(I2411="Khá",'Huong dan giao do an'!$B$9,'Huong dan giao do an'!$B$10))</f>
        <v>Tối thiểu 4 actor; 10-14 use case; 8-12 bảng; 3 quy trình lõi; phân quyền chi tiết; 2 báo cáo; tích hợp 1 dịch vụ; &gt;=35 test case; CI/CD hoặc deploy cloud.</v>
      </c>
      <c r="L2411" t="str">
        <f>'Huong dan giao do an'!$B$31</f>
        <v>Bắt buộc: Charter/PMP; SRS + scope/WBS; Gantt/baseline; effort-cost budget; RACI/timesheet; quality-test-defect; communication/minutes; risk register; procurement; change log; closure/lessons learned.</v>
      </c>
      <c r="M2411" t="str">
        <f>'Huong dan giao do an'!$B$33</f>
        <v>Tuần 1: 07.09–13.09.2026; Tuần 2: 14.09–20.09.2026; Tuần 3: 21.09–27.09.2026; Tuần 4: 28.09–04.10.2026; Tuần 5: 05.10–11.10.2026; Tuần 6: 12.10–18.10.2026; Tuần 7: 19.10–25.10.2026; Tuần 8: 26.10–01.11.2026.</v>
      </c>
      <c r="N24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1" s="17" t="str">
        <f t="shared" si="37"/>
        <v>Còn trống</v>
      </c>
    </row>
    <row r="2412" spans="1:16" x14ac:dyDescent="0.3">
      <c r="A2412">
        <v>2411</v>
      </c>
      <c r="B2412" t="s">
        <v>5520</v>
      </c>
      <c r="C2412" t="s">
        <v>5559</v>
      </c>
      <c r="D2412" t="s">
        <v>5560</v>
      </c>
      <c r="E2412" t="s">
        <v>45</v>
      </c>
      <c r="F2412" t="s">
        <v>5523</v>
      </c>
      <c r="G2412" t="s">
        <v>5561</v>
      </c>
      <c r="H2412" t="str">
        <f>'Huong dan giao do an'!$B$14</f>
        <v>5 SV (vai trò chính): 1 PM/Scrum Master kiêm Integration; 2 BA/PO; 3 UI-UX + Frontend; 4 Backend/API + DevOps; 5 Database + QA/Tester. Mỗi SV có nhiệm vụ phụ và minh chứng cá nhân.</v>
      </c>
      <c r="I2412" t="s">
        <v>29</v>
      </c>
      <c r="J2412" t="s">
        <v>5530</v>
      </c>
      <c r="K2412" t="str">
        <f>IF(I2412="Trung bình",'Huong dan giao do an'!$B$8,IF(I2412="Khá",'Huong dan giao do an'!$B$9,'Huong dan giao do an'!$B$10))</f>
        <v>Tối thiểu 5 actor; 14-18 use case; 10-15 bảng; 4 quy trình; tích hợp ngoài/realtime hoặc xử lý nâng cao; 3 báo cáo; &gt;=45 test case; logging, backup và deploy.</v>
      </c>
      <c r="L2412" t="str">
        <f>'Huong dan giao do an'!$B$31</f>
        <v>Bắt buộc: Charter/PMP; SRS + scope/WBS; Gantt/baseline; effort-cost budget; RACI/timesheet; quality-test-defect; communication/minutes; risk register; procurement; change log; closure/lessons learned.</v>
      </c>
      <c r="M2412" t="str">
        <f>'Huong dan giao do an'!$B$33</f>
        <v>Tuần 1: 07.09–13.09.2026; Tuần 2: 14.09–20.09.2026; Tuần 3: 21.09–27.09.2026; Tuần 4: 28.09–04.10.2026; Tuần 5: 05.10–11.10.2026; Tuần 6: 12.10–18.10.2026; Tuần 7: 19.10–25.10.2026; Tuần 8: 26.10–01.11.2026.</v>
      </c>
      <c r="N24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2" s="17" t="str">
        <f t="shared" si="37"/>
        <v>Còn trống</v>
      </c>
    </row>
    <row r="2413" spans="1:16" x14ac:dyDescent="0.3">
      <c r="A2413">
        <v>2412</v>
      </c>
      <c r="B2413" t="s">
        <v>5520</v>
      </c>
      <c r="C2413" t="s">
        <v>5562</v>
      </c>
      <c r="D2413" t="s">
        <v>5563</v>
      </c>
      <c r="E2413" t="s">
        <v>19</v>
      </c>
      <c r="F2413" t="s">
        <v>5528</v>
      </c>
      <c r="G2413" t="s">
        <v>5564</v>
      </c>
      <c r="H2413" t="str">
        <f>'Huong dan giao do an'!$B$14</f>
        <v>5 SV (vai trò chính): 1 PM/Scrum Master kiêm Integration; 2 BA/PO; 3 UI-UX + Frontend; 4 Backend/API + DevOps; 5 Database + QA/Tester. Mỗi SV có nhiệm vụ phụ và minh chứng cá nhân.</v>
      </c>
      <c r="I2413" t="s">
        <v>36</v>
      </c>
      <c r="J2413" t="s">
        <v>5535</v>
      </c>
      <c r="K2413" t="str">
        <f>IF(I2413="Trung bình",'Huong dan giao do an'!$B$8,IF(I2413="Khá",'Huong dan giao do an'!$B$9,'Huong dan giao do an'!$B$10))</f>
        <v>Tối thiểu 3 actor; 8-10 use case; 6-8 bảng dữ liệu; 2 quy trình lõi; đăng nhập/RBAC; 1 dashboard; 1 báo cáo; &gt;=25 test case; triển khai bản demo.</v>
      </c>
      <c r="L2413" t="str">
        <f>'Huong dan giao do an'!$B$31</f>
        <v>Bắt buộc: Charter/PMP; SRS + scope/WBS; Gantt/baseline; effort-cost budget; RACI/timesheet; quality-test-defect; communication/minutes; risk register; procurement; change log; closure/lessons learned.</v>
      </c>
      <c r="M2413" t="str">
        <f>'Huong dan giao do an'!$B$33</f>
        <v>Tuần 1: 07.09–13.09.2026; Tuần 2: 14.09–20.09.2026; Tuần 3: 21.09–27.09.2026; Tuần 4: 28.09–04.10.2026; Tuần 5: 05.10–11.10.2026; Tuần 6: 12.10–18.10.2026; Tuần 7: 19.10–25.10.2026; Tuần 8: 26.10–01.11.2026.</v>
      </c>
      <c r="N24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3" s="17" t="str">
        <f t="shared" si="37"/>
        <v>Còn trống</v>
      </c>
    </row>
    <row r="2414" spans="1:16" x14ac:dyDescent="0.3">
      <c r="A2414">
        <v>2413</v>
      </c>
      <c r="B2414" t="s">
        <v>5520</v>
      </c>
      <c r="C2414" t="s">
        <v>5565</v>
      </c>
      <c r="D2414" t="s">
        <v>5566</v>
      </c>
      <c r="E2414" t="s">
        <v>26</v>
      </c>
      <c r="F2414" t="s">
        <v>5533</v>
      </c>
      <c r="G2414" t="s">
        <v>5567</v>
      </c>
      <c r="H2414" t="str">
        <f>'Huong dan giao do an'!$B$14</f>
        <v>5 SV (vai trò chính): 1 PM/Scrum Master kiêm Integration; 2 BA/PO; 3 UI-UX + Frontend; 4 Backend/API + DevOps; 5 Database + QA/Tester. Mỗi SV có nhiệm vụ phụ và minh chứng cá nhân.</v>
      </c>
      <c r="I2414" t="s">
        <v>22</v>
      </c>
      <c r="J2414" t="s">
        <v>5525</v>
      </c>
      <c r="K2414" t="str">
        <f>IF(I2414="Trung bình",'Huong dan giao do an'!$B$8,IF(I2414="Khá",'Huong dan giao do an'!$B$9,'Huong dan giao do an'!$B$10))</f>
        <v>Tối thiểu 4 actor; 10-14 use case; 8-12 bảng; 3 quy trình lõi; phân quyền chi tiết; 2 báo cáo; tích hợp 1 dịch vụ; &gt;=35 test case; CI/CD hoặc deploy cloud.</v>
      </c>
      <c r="L2414" t="str">
        <f>'Huong dan giao do an'!$B$31</f>
        <v>Bắt buộc: Charter/PMP; SRS + scope/WBS; Gantt/baseline; effort-cost budget; RACI/timesheet; quality-test-defect; communication/minutes; risk register; procurement; change log; closure/lessons learned.</v>
      </c>
      <c r="M2414" t="str">
        <f>'Huong dan giao do an'!$B$33</f>
        <v>Tuần 1: 07.09–13.09.2026; Tuần 2: 14.09–20.09.2026; Tuần 3: 21.09–27.09.2026; Tuần 4: 28.09–04.10.2026; Tuần 5: 05.10–11.10.2026; Tuần 6: 12.10–18.10.2026; Tuần 7: 19.10–25.10.2026; Tuần 8: 26.10–01.11.2026.</v>
      </c>
      <c r="N24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4" s="17" t="str">
        <f t="shared" si="37"/>
        <v>Còn trống</v>
      </c>
    </row>
    <row r="2415" spans="1:16" x14ac:dyDescent="0.3">
      <c r="A2415">
        <v>2414</v>
      </c>
      <c r="B2415" t="s">
        <v>5520</v>
      </c>
      <c r="C2415" t="s">
        <v>5568</v>
      </c>
      <c r="D2415" t="s">
        <v>5569</v>
      </c>
      <c r="E2415" t="s">
        <v>33</v>
      </c>
      <c r="F2415" t="s">
        <v>5538</v>
      </c>
      <c r="G2415" t="s">
        <v>5570</v>
      </c>
      <c r="H2415" t="str">
        <f>'Huong dan giao do an'!$B$14</f>
        <v>5 SV (vai trò chính): 1 PM/Scrum Master kiêm Integration; 2 BA/PO; 3 UI-UX + Frontend; 4 Backend/API + DevOps; 5 Database + QA/Tester. Mỗi SV có nhiệm vụ phụ và minh chứng cá nhân.</v>
      </c>
      <c r="I2415" t="s">
        <v>29</v>
      </c>
      <c r="J2415" t="s">
        <v>5530</v>
      </c>
      <c r="K2415" t="str">
        <f>IF(I2415="Trung bình",'Huong dan giao do an'!$B$8,IF(I2415="Khá",'Huong dan giao do an'!$B$9,'Huong dan giao do an'!$B$10))</f>
        <v>Tối thiểu 5 actor; 14-18 use case; 10-15 bảng; 4 quy trình; tích hợp ngoài/realtime hoặc xử lý nâng cao; 3 báo cáo; &gt;=45 test case; logging, backup và deploy.</v>
      </c>
      <c r="L2415" t="str">
        <f>'Huong dan giao do an'!$B$31</f>
        <v>Bắt buộc: Charter/PMP; SRS + scope/WBS; Gantt/baseline; effort-cost budget; RACI/timesheet; quality-test-defect; communication/minutes; risk register; procurement; change log; closure/lessons learned.</v>
      </c>
      <c r="M2415" t="str">
        <f>'Huong dan giao do an'!$B$33</f>
        <v>Tuần 1: 07.09–13.09.2026; Tuần 2: 14.09–20.09.2026; Tuần 3: 21.09–27.09.2026; Tuần 4: 28.09–04.10.2026; Tuần 5: 05.10–11.10.2026; Tuần 6: 12.10–18.10.2026; Tuần 7: 19.10–25.10.2026; Tuần 8: 26.10–01.11.2026.</v>
      </c>
      <c r="N24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5" s="17" t="str">
        <f t="shared" si="37"/>
        <v>Còn trống</v>
      </c>
    </row>
    <row r="2416" spans="1:16" x14ac:dyDescent="0.3">
      <c r="A2416">
        <v>2415</v>
      </c>
      <c r="B2416" t="s">
        <v>5520</v>
      </c>
      <c r="C2416" t="s">
        <v>5571</v>
      </c>
      <c r="D2416" t="s">
        <v>5572</v>
      </c>
      <c r="E2416" t="s">
        <v>40</v>
      </c>
      <c r="F2416" t="s">
        <v>5542</v>
      </c>
      <c r="G2416" t="s">
        <v>5573</v>
      </c>
      <c r="H2416" t="str">
        <f>'Huong dan giao do an'!$B$14</f>
        <v>5 SV (vai trò chính): 1 PM/Scrum Master kiêm Integration; 2 BA/PO; 3 UI-UX + Frontend; 4 Backend/API + DevOps; 5 Database + QA/Tester. Mỗi SV có nhiệm vụ phụ và minh chứng cá nhân.</v>
      </c>
      <c r="I2416" t="s">
        <v>36</v>
      </c>
      <c r="J2416" t="s">
        <v>5535</v>
      </c>
      <c r="K2416" t="str">
        <f>IF(I2416="Trung bình",'Huong dan giao do an'!$B$8,IF(I2416="Khá",'Huong dan giao do an'!$B$9,'Huong dan giao do an'!$B$10))</f>
        <v>Tối thiểu 3 actor; 8-10 use case; 6-8 bảng dữ liệu; 2 quy trình lõi; đăng nhập/RBAC; 1 dashboard; 1 báo cáo; &gt;=25 test case; triển khai bản demo.</v>
      </c>
      <c r="L2416" t="str">
        <f>'Huong dan giao do an'!$B$31</f>
        <v>Bắt buộc: Charter/PMP; SRS + scope/WBS; Gantt/baseline; effort-cost budget; RACI/timesheet; quality-test-defect; communication/minutes; risk register; procurement; change log; closure/lessons learned.</v>
      </c>
      <c r="M2416" t="str">
        <f>'Huong dan giao do an'!$B$33</f>
        <v>Tuần 1: 07.09–13.09.2026; Tuần 2: 14.09–20.09.2026; Tuần 3: 21.09–27.09.2026; Tuần 4: 28.09–04.10.2026; Tuần 5: 05.10–11.10.2026; Tuần 6: 12.10–18.10.2026; Tuần 7: 19.10–25.10.2026; Tuần 8: 26.10–01.11.2026.</v>
      </c>
      <c r="N24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6" s="17" t="str">
        <f t="shared" si="37"/>
        <v>Còn trống</v>
      </c>
    </row>
    <row r="2417" spans="1:16" x14ac:dyDescent="0.3">
      <c r="A2417">
        <v>2416</v>
      </c>
      <c r="B2417" t="s">
        <v>5520</v>
      </c>
      <c r="C2417" t="s">
        <v>5574</v>
      </c>
      <c r="D2417" t="s">
        <v>5575</v>
      </c>
      <c r="E2417" t="s">
        <v>45</v>
      </c>
      <c r="F2417" t="s">
        <v>5523</v>
      </c>
      <c r="G2417" t="s">
        <v>5576</v>
      </c>
      <c r="H2417" t="str">
        <f>'Huong dan giao do an'!$B$14</f>
        <v>5 SV (vai trò chính): 1 PM/Scrum Master kiêm Integration; 2 BA/PO; 3 UI-UX + Frontend; 4 Backend/API + DevOps; 5 Database + QA/Tester. Mỗi SV có nhiệm vụ phụ và minh chứng cá nhân.</v>
      </c>
      <c r="I2417" t="s">
        <v>22</v>
      </c>
      <c r="J2417" t="s">
        <v>5525</v>
      </c>
      <c r="K2417" t="str">
        <f>IF(I2417="Trung bình",'Huong dan giao do an'!$B$8,IF(I2417="Khá",'Huong dan giao do an'!$B$9,'Huong dan giao do an'!$B$10))</f>
        <v>Tối thiểu 4 actor; 10-14 use case; 8-12 bảng; 3 quy trình lõi; phân quyền chi tiết; 2 báo cáo; tích hợp 1 dịch vụ; &gt;=35 test case; CI/CD hoặc deploy cloud.</v>
      </c>
      <c r="L2417" t="str">
        <f>'Huong dan giao do an'!$B$31</f>
        <v>Bắt buộc: Charter/PMP; SRS + scope/WBS; Gantt/baseline; effort-cost budget; RACI/timesheet; quality-test-defect; communication/minutes; risk register; procurement; change log; closure/lessons learned.</v>
      </c>
      <c r="M2417" t="str">
        <f>'Huong dan giao do an'!$B$33</f>
        <v>Tuần 1: 07.09–13.09.2026; Tuần 2: 14.09–20.09.2026; Tuần 3: 21.09–27.09.2026; Tuần 4: 28.09–04.10.2026; Tuần 5: 05.10–11.10.2026; Tuần 6: 12.10–18.10.2026; Tuần 7: 19.10–25.10.2026; Tuần 8: 26.10–01.11.2026.</v>
      </c>
      <c r="N24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7" s="17" t="str">
        <f t="shared" si="37"/>
        <v>Còn trống</v>
      </c>
    </row>
    <row r="2418" spans="1:16" x14ac:dyDescent="0.3">
      <c r="A2418">
        <v>2417</v>
      </c>
      <c r="B2418" t="s">
        <v>5520</v>
      </c>
      <c r="C2418" t="s">
        <v>5577</v>
      </c>
      <c r="D2418" t="s">
        <v>5578</v>
      </c>
      <c r="E2418" t="s">
        <v>19</v>
      </c>
      <c r="F2418" t="s">
        <v>5528</v>
      </c>
      <c r="G2418" t="s">
        <v>5579</v>
      </c>
      <c r="H2418" t="str">
        <f>'Huong dan giao do an'!$B$14</f>
        <v>5 SV (vai trò chính): 1 PM/Scrum Master kiêm Integration; 2 BA/PO; 3 UI-UX + Frontend; 4 Backend/API + DevOps; 5 Database + QA/Tester. Mỗi SV có nhiệm vụ phụ và minh chứng cá nhân.</v>
      </c>
      <c r="I2418" t="s">
        <v>29</v>
      </c>
      <c r="J2418" t="s">
        <v>5530</v>
      </c>
      <c r="K2418" t="str">
        <f>IF(I2418="Trung bình",'Huong dan giao do an'!$B$8,IF(I2418="Khá",'Huong dan giao do an'!$B$9,'Huong dan giao do an'!$B$10))</f>
        <v>Tối thiểu 5 actor; 14-18 use case; 10-15 bảng; 4 quy trình; tích hợp ngoài/realtime hoặc xử lý nâng cao; 3 báo cáo; &gt;=45 test case; logging, backup và deploy.</v>
      </c>
      <c r="L2418" t="str">
        <f>'Huong dan giao do an'!$B$31</f>
        <v>Bắt buộc: Charter/PMP; SRS + scope/WBS; Gantt/baseline; effort-cost budget; RACI/timesheet; quality-test-defect; communication/minutes; risk register; procurement; change log; closure/lessons learned.</v>
      </c>
      <c r="M2418" t="str">
        <f>'Huong dan giao do an'!$B$33</f>
        <v>Tuần 1: 07.09–13.09.2026; Tuần 2: 14.09–20.09.2026; Tuần 3: 21.09–27.09.2026; Tuần 4: 28.09–04.10.2026; Tuần 5: 05.10–11.10.2026; Tuần 6: 12.10–18.10.2026; Tuần 7: 19.10–25.10.2026; Tuần 8: 26.10–01.11.2026.</v>
      </c>
      <c r="N24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8" s="17" t="str">
        <f t="shared" si="37"/>
        <v>Còn trống</v>
      </c>
    </row>
    <row r="2419" spans="1:16" x14ac:dyDescent="0.3">
      <c r="A2419">
        <v>2418</v>
      </c>
      <c r="B2419" t="s">
        <v>5520</v>
      </c>
      <c r="C2419" t="s">
        <v>5580</v>
      </c>
      <c r="D2419" t="s">
        <v>5581</v>
      </c>
      <c r="E2419" t="s">
        <v>26</v>
      </c>
      <c r="F2419" t="s">
        <v>5533</v>
      </c>
      <c r="G2419" t="s">
        <v>5582</v>
      </c>
      <c r="H2419" t="str">
        <f>'Huong dan giao do an'!$B$14</f>
        <v>5 SV (vai trò chính): 1 PM/Scrum Master kiêm Integration; 2 BA/PO; 3 UI-UX + Frontend; 4 Backend/API + DevOps; 5 Database + QA/Tester. Mỗi SV có nhiệm vụ phụ và minh chứng cá nhân.</v>
      </c>
      <c r="I2419" t="s">
        <v>36</v>
      </c>
      <c r="J2419" t="s">
        <v>5535</v>
      </c>
      <c r="K2419" t="str">
        <f>IF(I2419="Trung bình",'Huong dan giao do an'!$B$8,IF(I2419="Khá",'Huong dan giao do an'!$B$9,'Huong dan giao do an'!$B$10))</f>
        <v>Tối thiểu 3 actor; 8-10 use case; 6-8 bảng dữ liệu; 2 quy trình lõi; đăng nhập/RBAC; 1 dashboard; 1 báo cáo; &gt;=25 test case; triển khai bản demo.</v>
      </c>
      <c r="L2419" t="str">
        <f>'Huong dan giao do an'!$B$31</f>
        <v>Bắt buộc: Charter/PMP; SRS + scope/WBS; Gantt/baseline; effort-cost budget; RACI/timesheet; quality-test-defect; communication/minutes; risk register; procurement; change log; closure/lessons learned.</v>
      </c>
      <c r="M2419" t="str">
        <f>'Huong dan giao do an'!$B$33</f>
        <v>Tuần 1: 07.09–13.09.2026; Tuần 2: 14.09–20.09.2026; Tuần 3: 21.09–27.09.2026; Tuần 4: 28.09–04.10.2026; Tuần 5: 05.10–11.10.2026; Tuần 6: 12.10–18.10.2026; Tuần 7: 19.10–25.10.2026; Tuần 8: 26.10–01.11.2026.</v>
      </c>
      <c r="N24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19" s="17" t="str">
        <f t="shared" si="37"/>
        <v>Còn trống</v>
      </c>
    </row>
    <row r="2420" spans="1:16" x14ac:dyDescent="0.3">
      <c r="A2420">
        <v>2419</v>
      </c>
      <c r="B2420" t="s">
        <v>5520</v>
      </c>
      <c r="C2420" t="s">
        <v>5583</v>
      </c>
      <c r="D2420" t="s">
        <v>5584</v>
      </c>
      <c r="E2420" t="s">
        <v>33</v>
      </c>
      <c r="F2420" t="s">
        <v>5538</v>
      </c>
      <c r="G2420" t="s">
        <v>5585</v>
      </c>
      <c r="H2420" t="str">
        <f>'Huong dan giao do an'!$B$14</f>
        <v>5 SV (vai trò chính): 1 PM/Scrum Master kiêm Integration; 2 BA/PO; 3 UI-UX + Frontend; 4 Backend/API + DevOps; 5 Database + QA/Tester. Mỗi SV có nhiệm vụ phụ và minh chứng cá nhân.</v>
      </c>
      <c r="I2420" t="s">
        <v>22</v>
      </c>
      <c r="J2420" t="s">
        <v>5525</v>
      </c>
      <c r="K2420" t="str">
        <f>IF(I2420="Trung bình",'Huong dan giao do an'!$B$8,IF(I2420="Khá",'Huong dan giao do an'!$B$9,'Huong dan giao do an'!$B$10))</f>
        <v>Tối thiểu 4 actor; 10-14 use case; 8-12 bảng; 3 quy trình lõi; phân quyền chi tiết; 2 báo cáo; tích hợp 1 dịch vụ; &gt;=35 test case; CI/CD hoặc deploy cloud.</v>
      </c>
      <c r="L2420" t="str">
        <f>'Huong dan giao do an'!$B$31</f>
        <v>Bắt buộc: Charter/PMP; SRS + scope/WBS; Gantt/baseline; effort-cost budget; RACI/timesheet; quality-test-defect; communication/minutes; risk register; procurement; change log; closure/lessons learned.</v>
      </c>
      <c r="M2420" t="str">
        <f>'Huong dan giao do an'!$B$33</f>
        <v>Tuần 1: 07.09–13.09.2026; Tuần 2: 14.09–20.09.2026; Tuần 3: 21.09–27.09.2026; Tuần 4: 28.09–04.10.2026; Tuần 5: 05.10–11.10.2026; Tuần 6: 12.10–18.10.2026; Tuần 7: 19.10–25.10.2026; Tuần 8: 26.10–01.11.2026.</v>
      </c>
      <c r="N24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0" s="17" t="str">
        <f t="shared" si="37"/>
        <v>Còn trống</v>
      </c>
    </row>
    <row r="2421" spans="1:16" x14ac:dyDescent="0.3">
      <c r="A2421">
        <v>2420</v>
      </c>
      <c r="B2421" t="s">
        <v>5520</v>
      </c>
      <c r="C2421" t="s">
        <v>5586</v>
      </c>
      <c r="D2421" t="s">
        <v>5587</v>
      </c>
      <c r="E2421" t="s">
        <v>40</v>
      </c>
      <c r="F2421" t="s">
        <v>5542</v>
      </c>
      <c r="G2421" t="s">
        <v>5588</v>
      </c>
      <c r="H2421" t="str">
        <f>'Huong dan giao do an'!$B$14</f>
        <v>5 SV (vai trò chính): 1 PM/Scrum Master kiêm Integration; 2 BA/PO; 3 UI-UX + Frontend; 4 Backend/API + DevOps; 5 Database + QA/Tester. Mỗi SV có nhiệm vụ phụ và minh chứng cá nhân.</v>
      </c>
      <c r="I2421" t="s">
        <v>29</v>
      </c>
      <c r="J2421" t="s">
        <v>5530</v>
      </c>
      <c r="K2421" t="str">
        <f>IF(I2421="Trung bình",'Huong dan giao do an'!$B$8,IF(I2421="Khá",'Huong dan giao do an'!$B$9,'Huong dan giao do an'!$B$10))</f>
        <v>Tối thiểu 5 actor; 14-18 use case; 10-15 bảng; 4 quy trình; tích hợp ngoài/realtime hoặc xử lý nâng cao; 3 báo cáo; &gt;=45 test case; logging, backup và deploy.</v>
      </c>
      <c r="L2421" t="str">
        <f>'Huong dan giao do an'!$B$31</f>
        <v>Bắt buộc: Charter/PMP; SRS + scope/WBS; Gantt/baseline; effort-cost budget; RACI/timesheet; quality-test-defect; communication/minutes; risk register; procurement; change log; closure/lessons learned.</v>
      </c>
      <c r="M2421" t="str">
        <f>'Huong dan giao do an'!$B$33</f>
        <v>Tuần 1: 07.09–13.09.2026; Tuần 2: 14.09–20.09.2026; Tuần 3: 21.09–27.09.2026; Tuần 4: 28.09–04.10.2026; Tuần 5: 05.10–11.10.2026; Tuần 6: 12.10–18.10.2026; Tuần 7: 19.10–25.10.2026; Tuần 8: 26.10–01.11.2026.</v>
      </c>
      <c r="N24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1" s="17" t="str">
        <f t="shared" si="37"/>
        <v>Còn trống</v>
      </c>
    </row>
    <row r="2422" spans="1:16" x14ac:dyDescent="0.3">
      <c r="A2422">
        <v>2421</v>
      </c>
      <c r="B2422" t="s">
        <v>5520</v>
      </c>
      <c r="C2422" t="s">
        <v>5589</v>
      </c>
      <c r="D2422" t="s">
        <v>5590</v>
      </c>
      <c r="E2422" t="s">
        <v>45</v>
      </c>
      <c r="F2422" t="s">
        <v>5523</v>
      </c>
      <c r="G2422" t="s">
        <v>5524</v>
      </c>
      <c r="H2422" t="str">
        <f>'Huong dan giao do an'!$B$14</f>
        <v>5 SV (vai trò chính): 1 PM/Scrum Master kiêm Integration; 2 BA/PO; 3 UI-UX + Frontend; 4 Backend/API + DevOps; 5 Database + QA/Tester. Mỗi SV có nhiệm vụ phụ và minh chứng cá nhân.</v>
      </c>
      <c r="I2422" t="s">
        <v>22</v>
      </c>
      <c r="J2422" t="s">
        <v>5525</v>
      </c>
      <c r="K2422" t="str">
        <f>IF(I2422="Trung bình",'Huong dan giao do an'!$B$8,IF(I2422="Khá",'Huong dan giao do an'!$B$9,'Huong dan giao do an'!$B$10))</f>
        <v>Tối thiểu 4 actor; 10-14 use case; 8-12 bảng; 3 quy trình lõi; phân quyền chi tiết; 2 báo cáo; tích hợp 1 dịch vụ; &gt;=35 test case; CI/CD hoặc deploy cloud.</v>
      </c>
      <c r="L2422" t="str">
        <f>'Huong dan giao do an'!$B$31</f>
        <v>Bắt buộc: Charter/PMP; SRS + scope/WBS; Gantt/baseline; effort-cost budget; RACI/timesheet; quality-test-defect; communication/minutes; risk register; procurement; change log; closure/lessons learned.</v>
      </c>
      <c r="M2422" t="str">
        <f>'Huong dan giao do an'!$B$33</f>
        <v>Tuần 1: 07.09–13.09.2026; Tuần 2: 14.09–20.09.2026; Tuần 3: 21.09–27.09.2026; Tuần 4: 28.09–04.10.2026; Tuần 5: 05.10–11.10.2026; Tuần 6: 12.10–18.10.2026; Tuần 7: 19.10–25.10.2026; Tuần 8: 26.10–01.11.2026.</v>
      </c>
      <c r="N24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2" s="17" t="str">
        <f t="shared" si="37"/>
        <v>Còn trống</v>
      </c>
    </row>
    <row r="2423" spans="1:16" x14ac:dyDescent="0.3">
      <c r="A2423">
        <v>2422</v>
      </c>
      <c r="B2423" t="s">
        <v>5520</v>
      </c>
      <c r="C2423" t="s">
        <v>5591</v>
      </c>
      <c r="D2423" t="s">
        <v>5592</v>
      </c>
      <c r="E2423" t="s">
        <v>19</v>
      </c>
      <c r="F2423" t="s">
        <v>5528</v>
      </c>
      <c r="G2423" t="s">
        <v>5529</v>
      </c>
      <c r="H2423" t="str">
        <f>'Huong dan giao do an'!$B$14</f>
        <v>5 SV (vai trò chính): 1 PM/Scrum Master kiêm Integration; 2 BA/PO; 3 UI-UX + Frontend; 4 Backend/API + DevOps; 5 Database + QA/Tester. Mỗi SV có nhiệm vụ phụ và minh chứng cá nhân.</v>
      </c>
      <c r="I2423" t="s">
        <v>29</v>
      </c>
      <c r="J2423" t="s">
        <v>5530</v>
      </c>
      <c r="K2423" t="str">
        <f>IF(I2423="Trung bình",'Huong dan giao do an'!$B$8,IF(I2423="Khá",'Huong dan giao do an'!$B$9,'Huong dan giao do an'!$B$10))</f>
        <v>Tối thiểu 5 actor; 14-18 use case; 10-15 bảng; 4 quy trình; tích hợp ngoài/realtime hoặc xử lý nâng cao; 3 báo cáo; &gt;=45 test case; logging, backup và deploy.</v>
      </c>
      <c r="L2423" t="str">
        <f>'Huong dan giao do an'!$B$31</f>
        <v>Bắt buộc: Charter/PMP; SRS + scope/WBS; Gantt/baseline; effort-cost budget; RACI/timesheet; quality-test-defect; communication/minutes; risk register; procurement; change log; closure/lessons learned.</v>
      </c>
      <c r="M2423" t="str">
        <f>'Huong dan giao do an'!$B$33</f>
        <v>Tuần 1: 07.09–13.09.2026; Tuần 2: 14.09–20.09.2026; Tuần 3: 21.09–27.09.2026; Tuần 4: 28.09–04.10.2026; Tuần 5: 05.10–11.10.2026; Tuần 6: 12.10–18.10.2026; Tuần 7: 19.10–25.10.2026; Tuần 8: 26.10–01.11.2026.</v>
      </c>
      <c r="N24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3" s="17" t="str">
        <f t="shared" si="37"/>
        <v>Còn trống</v>
      </c>
    </row>
    <row r="2424" spans="1:16" x14ac:dyDescent="0.3">
      <c r="A2424">
        <v>2423</v>
      </c>
      <c r="B2424" t="s">
        <v>5520</v>
      </c>
      <c r="C2424" t="s">
        <v>5593</v>
      </c>
      <c r="D2424" t="s">
        <v>5594</v>
      </c>
      <c r="E2424" t="s">
        <v>26</v>
      </c>
      <c r="F2424" t="s">
        <v>5533</v>
      </c>
      <c r="G2424" t="s">
        <v>5534</v>
      </c>
      <c r="H2424" t="str">
        <f>'Huong dan giao do an'!$B$14</f>
        <v>5 SV (vai trò chính): 1 PM/Scrum Master kiêm Integration; 2 BA/PO; 3 UI-UX + Frontend; 4 Backend/API + DevOps; 5 Database + QA/Tester. Mỗi SV có nhiệm vụ phụ và minh chứng cá nhân.</v>
      </c>
      <c r="I2424" t="s">
        <v>36</v>
      </c>
      <c r="J2424" t="s">
        <v>5535</v>
      </c>
      <c r="K2424" t="str">
        <f>IF(I2424="Trung bình",'Huong dan giao do an'!$B$8,IF(I2424="Khá",'Huong dan giao do an'!$B$9,'Huong dan giao do an'!$B$10))</f>
        <v>Tối thiểu 3 actor; 8-10 use case; 6-8 bảng dữ liệu; 2 quy trình lõi; đăng nhập/RBAC; 1 dashboard; 1 báo cáo; &gt;=25 test case; triển khai bản demo.</v>
      </c>
      <c r="L2424" t="str">
        <f>'Huong dan giao do an'!$B$31</f>
        <v>Bắt buộc: Charter/PMP; SRS + scope/WBS; Gantt/baseline; effort-cost budget; RACI/timesheet; quality-test-defect; communication/minutes; risk register; procurement; change log; closure/lessons learned.</v>
      </c>
      <c r="M2424" t="str">
        <f>'Huong dan giao do an'!$B$33</f>
        <v>Tuần 1: 07.09–13.09.2026; Tuần 2: 14.09–20.09.2026; Tuần 3: 21.09–27.09.2026; Tuần 4: 28.09–04.10.2026; Tuần 5: 05.10–11.10.2026; Tuần 6: 12.10–18.10.2026; Tuần 7: 19.10–25.10.2026; Tuần 8: 26.10–01.11.2026.</v>
      </c>
      <c r="N24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4" s="17" t="str">
        <f t="shared" si="37"/>
        <v>Còn trống</v>
      </c>
    </row>
    <row r="2425" spans="1:16" x14ac:dyDescent="0.3">
      <c r="A2425">
        <v>2424</v>
      </c>
      <c r="B2425" t="s">
        <v>5520</v>
      </c>
      <c r="C2425" t="s">
        <v>5595</v>
      </c>
      <c r="D2425" t="s">
        <v>5596</v>
      </c>
      <c r="E2425" t="s">
        <v>33</v>
      </c>
      <c r="F2425" t="s">
        <v>5538</v>
      </c>
      <c r="G2425" t="s">
        <v>5539</v>
      </c>
      <c r="H2425" t="str">
        <f>'Huong dan giao do an'!$B$14</f>
        <v>5 SV (vai trò chính): 1 PM/Scrum Master kiêm Integration; 2 BA/PO; 3 UI-UX + Frontend; 4 Backend/API + DevOps; 5 Database + QA/Tester. Mỗi SV có nhiệm vụ phụ và minh chứng cá nhân.</v>
      </c>
      <c r="I2425" t="s">
        <v>22</v>
      </c>
      <c r="J2425" t="s">
        <v>5525</v>
      </c>
      <c r="K2425" t="str">
        <f>IF(I2425="Trung bình",'Huong dan giao do an'!$B$8,IF(I2425="Khá",'Huong dan giao do an'!$B$9,'Huong dan giao do an'!$B$10))</f>
        <v>Tối thiểu 4 actor; 10-14 use case; 8-12 bảng; 3 quy trình lõi; phân quyền chi tiết; 2 báo cáo; tích hợp 1 dịch vụ; &gt;=35 test case; CI/CD hoặc deploy cloud.</v>
      </c>
      <c r="L2425" t="str">
        <f>'Huong dan giao do an'!$B$31</f>
        <v>Bắt buộc: Charter/PMP; SRS + scope/WBS; Gantt/baseline; effort-cost budget; RACI/timesheet; quality-test-defect; communication/minutes; risk register; procurement; change log; closure/lessons learned.</v>
      </c>
      <c r="M2425" t="str">
        <f>'Huong dan giao do an'!$B$33</f>
        <v>Tuần 1: 07.09–13.09.2026; Tuần 2: 14.09–20.09.2026; Tuần 3: 21.09–27.09.2026; Tuần 4: 28.09–04.10.2026; Tuần 5: 05.10–11.10.2026; Tuần 6: 12.10–18.10.2026; Tuần 7: 19.10–25.10.2026; Tuần 8: 26.10–01.11.2026.</v>
      </c>
      <c r="N24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5" s="17" t="str">
        <f t="shared" si="37"/>
        <v>Còn trống</v>
      </c>
    </row>
    <row r="2426" spans="1:16" x14ac:dyDescent="0.3">
      <c r="A2426">
        <v>2425</v>
      </c>
      <c r="B2426" t="s">
        <v>5520</v>
      </c>
      <c r="C2426" t="s">
        <v>5597</v>
      </c>
      <c r="D2426" t="s">
        <v>5598</v>
      </c>
      <c r="E2426" t="s">
        <v>40</v>
      </c>
      <c r="F2426" t="s">
        <v>5542</v>
      </c>
      <c r="G2426" t="s">
        <v>5543</v>
      </c>
      <c r="H2426" t="str">
        <f>'Huong dan giao do an'!$B$14</f>
        <v>5 SV (vai trò chính): 1 PM/Scrum Master kiêm Integration; 2 BA/PO; 3 UI-UX + Frontend; 4 Backend/API + DevOps; 5 Database + QA/Tester. Mỗi SV có nhiệm vụ phụ và minh chứng cá nhân.</v>
      </c>
      <c r="I2426" t="s">
        <v>29</v>
      </c>
      <c r="J2426" t="s">
        <v>5530</v>
      </c>
      <c r="K2426" t="str">
        <f>IF(I2426="Trung bình",'Huong dan giao do an'!$B$8,IF(I2426="Khá",'Huong dan giao do an'!$B$9,'Huong dan giao do an'!$B$10))</f>
        <v>Tối thiểu 5 actor; 14-18 use case; 10-15 bảng; 4 quy trình; tích hợp ngoài/realtime hoặc xử lý nâng cao; 3 báo cáo; &gt;=45 test case; logging, backup và deploy.</v>
      </c>
      <c r="L2426" t="str">
        <f>'Huong dan giao do an'!$B$31</f>
        <v>Bắt buộc: Charter/PMP; SRS + scope/WBS; Gantt/baseline; effort-cost budget; RACI/timesheet; quality-test-defect; communication/minutes; risk register; procurement; change log; closure/lessons learned.</v>
      </c>
      <c r="M2426" t="str">
        <f>'Huong dan giao do an'!$B$33</f>
        <v>Tuần 1: 07.09–13.09.2026; Tuần 2: 14.09–20.09.2026; Tuần 3: 21.09–27.09.2026; Tuần 4: 28.09–04.10.2026; Tuần 5: 05.10–11.10.2026; Tuần 6: 12.10–18.10.2026; Tuần 7: 19.10–25.10.2026; Tuần 8: 26.10–01.11.2026.</v>
      </c>
      <c r="N24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6" s="17" t="str">
        <f t="shared" si="37"/>
        <v>Còn trống</v>
      </c>
    </row>
    <row r="2427" spans="1:16" x14ac:dyDescent="0.3">
      <c r="A2427">
        <v>2426</v>
      </c>
      <c r="B2427" t="s">
        <v>5520</v>
      </c>
      <c r="C2427" t="s">
        <v>5599</v>
      </c>
      <c r="D2427" t="s">
        <v>5600</v>
      </c>
      <c r="E2427" t="s">
        <v>45</v>
      </c>
      <c r="F2427" t="s">
        <v>5523</v>
      </c>
      <c r="G2427" t="s">
        <v>5546</v>
      </c>
      <c r="H2427" t="str">
        <f>'Huong dan giao do an'!$B$14</f>
        <v>5 SV (vai trò chính): 1 PM/Scrum Master kiêm Integration; 2 BA/PO; 3 UI-UX + Frontend; 4 Backend/API + DevOps; 5 Database + QA/Tester. Mỗi SV có nhiệm vụ phụ và minh chứng cá nhân.</v>
      </c>
      <c r="I2427" t="s">
        <v>36</v>
      </c>
      <c r="J2427" t="s">
        <v>5535</v>
      </c>
      <c r="K2427" t="str">
        <f>IF(I2427="Trung bình",'Huong dan giao do an'!$B$8,IF(I2427="Khá",'Huong dan giao do an'!$B$9,'Huong dan giao do an'!$B$10))</f>
        <v>Tối thiểu 3 actor; 8-10 use case; 6-8 bảng dữ liệu; 2 quy trình lõi; đăng nhập/RBAC; 1 dashboard; 1 báo cáo; &gt;=25 test case; triển khai bản demo.</v>
      </c>
      <c r="L2427" t="str">
        <f>'Huong dan giao do an'!$B$31</f>
        <v>Bắt buộc: Charter/PMP; SRS + scope/WBS; Gantt/baseline; effort-cost budget; RACI/timesheet; quality-test-defect; communication/minutes; risk register; procurement; change log; closure/lessons learned.</v>
      </c>
      <c r="M2427" t="str">
        <f>'Huong dan giao do an'!$B$33</f>
        <v>Tuần 1: 07.09–13.09.2026; Tuần 2: 14.09–20.09.2026; Tuần 3: 21.09–27.09.2026; Tuần 4: 28.09–04.10.2026; Tuần 5: 05.10–11.10.2026; Tuần 6: 12.10–18.10.2026; Tuần 7: 19.10–25.10.2026; Tuần 8: 26.10–01.11.2026.</v>
      </c>
      <c r="N24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7" s="17" t="str">
        <f t="shared" si="37"/>
        <v>Còn trống</v>
      </c>
    </row>
    <row r="2428" spans="1:16" x14ac:dyDescent="0.3">
      <c r="A2428">
        <v>2427</v>
      </c>
      <c r="B2428" t="s">
        <v>5520</v>
      </c>
      <c r="C2428" t="s">
        <v>5601</v>
      </c>
      <c r="D2428" t="s">
        <v>5602</v>
      </c>
      <c r="E2428" t="s">
        <v>19</v>
      </c>
      <c r="F2428" t="s">
        <v>5528</v>
      </c>
      <c r="G2428" t="s">
        <v>5549</v>
      </c>
      <c r="H2428" t="str">
        <f>'Huong dan giao do an'!$B$14</f>
        <v>5 SV (vai trò chính): 1 PM/Scrum Master kiêm Integration; 2 BA/PO; 3 UI-UX + Frontend; 4 Backend/API + DevOps; 5 Database + QA/Tester. Mỗi SV có nhiệm vụ phụ và minh chứng cá nhân.</v>
      </c>
      <c r="I2428" t="s">
        <v>22</v>
      </c>
      <c r="J2428" t="s">
        <v>5525</v>
      </c>
      <c r="K2428" t="str">
        <f>IF(I2428="Trung bình",'Huong dan giao do an'!$B$8,IF(I2428="Khá",'Huong dan giao do an'!$B$9,'Huong dan giao do an'!$B$10))</f>
        <v>Tối thiểu 4 actor; 10-14 use case; 8-12 bảng; 3 quy trình lõi; phân quyền chi tiết; 2 báo cáo; tích hợp 1 dịch vụ; &gt;=35 test case; CI/CD hoặc deploy cloud.</v>
      </c>
      <c r="L2428" t="str">
        <f>'Huong dan giao do an'!$B$31</f>
        <v>Bắt buộc: Charter/PMP; SRS + scope/WBS; Gantt/baseline; effort-cost budget; RACI/timesheet; quality-test-defect; communication/minutes; risk register; procurement; change log; closure/lessons learned.</v>
      </c>
      <c r="M2428" t="str">
        <f>'Huong dan giao do an'!$B$33</f>
        <v>Tuần 1: 07.09–13.09.2026; Tuần 2: 14.09–20.09.2026; Tuần 3: 21.09–27.09.2026; Tuần 4: 28.09–04.10.2026; Tuần 5: 05.10–11.10.2026; Tuần 6: 12.10–18.10.2026; Tuần 7: 19.10–25.10.2026; Tuần 8: 26.10–01.11.2026.</v>
      </c>
      <c r="N24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8" s="17" t="str">
        <f t="shared" si="37"/>
        <v>Còn trống</v>
      </c>
    </row>
    <row r="2429" spans="1:16" x14ac:dyDescent="0.3">
      <c r="A2429">
        <v>2428</v>
      </c>
      <c r="B2429" t="s">
        <v>5520</v>
      </c>
      <c r="C2429" t="s">
        <v>5603</v>
      </c>
      <c r="D2429" t="s">
        <v>5604</v>
      </c>
      <c r="E2429" t="s">
        <v>26</v>
      </c>
      <c r="F2429" t="s">
        <v>5533</v>
      </c>
      <c r="G2429" t="s">
        <v>5552</v>
      </c>
      <c r="H2429" t="str">
        <f>'Huong dan giao do an'!$B$14</f>
        <v>5 SV (vai trò chính): 1 PM/Scrum Master kiêm Integration; 2 BA/PO; 3 UI-UX + Frontend; 4 Backend/API + DevOps; 5 Database + QA/Tester. Mỗi SV có nhiệm vụ phụ và minh chứng cá nhân.</v>
      </c>
      <c r="I2429" t="s">
        <v>29</v>
      </c>
      <c r="J2429" t="s">
        <v>5530</v>
      </c>
      <c r="K2429" t="str">
        <f>IF(I2429="Trung bình",'Huong dan giao do an'!$B$8,IF(I2429="Khá",'Huong dan giao do an'!$B$9,'Huong dan giao do an'!$B$10))</f>
        <v>Tối thiểu 5 actor; 14-18 use case; 10-15 bảng; 4 quy trình; tích hợp ngoài/realtime hoặc xử lý nâng cao; 3 báo cáo; &gt;=45 test case; logging, backup và deploy.</v>
      </c>
      <c r="L2429" t="str">
        <f>'Huong dan giao do an'!$B$31</f>
        <v>Bắt buộc: Charter/PMP; SRS + scope/WBS; Gantt/baseline; effort-cost budget; RACI/timesheet; quality-test-defect; communication/minutes; risk register; procurement; change log; closure/lessons learned.</v>
      </c>
      <c r="M2429" t="str">
        <f>'Huong dan giao do an'!$B$33</f>
        <v>Tuần 1: 07.09–13.09.2026; Tuần 2: 14.09–20.09.2026; Tuần 3: 21.09–27.09.2026; Tuần 4: 28.09–04.10.2026; Tuần 5: 05.10–11.10.2026; Tuần 6: 12.10–18.10.2026; Tuần 7: 19.10–25.10.2026; Tuần 8: 26.10–01.11.2026.</v>
      </c>
      <c r="N24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29" s="17" t="str">
        <f t="shared" si="37"/>
        <v>Còn trống</v>
      </c>
    </row>
    <row r="2430" spans="1:16" x14ac:dyDescent="0.3">
      <c r="A2430">
        <v>2429</v>
      </c>
      <c r="B2430" t="s">
        <v>5520</v>
      </c>
      <c r="C2430" t="s">
        <v>5605</v>
      </c>
      <c r="D2430" t="s">
        <v>5606</v>
      </c>
      <c r="E2430" t="s">
        <v>33</v>
      </c>
      <c r="F2430" t="s">
        <v>5538</v>
      </c>
      <c r="G2430" t="s">
        <v>5555</v>
      </c>
      <c r="H2430" t="str">
        <f>'Huong dan giao do an'!$B$14</f>
        <v>5 SV (vai trò chính): 1 PM/Scrum Master kiêm Integration; 2 BA/PO; 3 UI-UX + Frontend; 4 Backend/API + DevOps; 5 Database + QA/Tester. Mỗi SV có nhiệm vụ phụ và minh chứng cá nhân.</v>
      </c>
      <c r="I2430" t="s">
        <v>36</v>
      </c>
      <c r="J2430" t="s">
        <v>5535</v>
      </c>
      <c r="K2430" t="str">
        <f>IF(I2430="Trung bình",'Huong dan giao do an'!$B$8,IF(I2430="Khá",'Huong dan giao do an'!$B$9,'Huong dan giao do an'!$B$10))</f>
        <v>Tối thiểu 3 actor; 8-10 use case; 6-8 bảng dữ liệu; 2 quy trình lõi; đăng nhập/RBAC; 1 dashboard; 1 báo cáo; &gt;=25 test case; triển khai bản demo.</v>
      </c>
      <c r="L2430" t="str">
        <f>'Huong dan giao do an'!$B$31</f>
        <v>Bắt buộc: Charter/PMP; SRS + scope/WBS; Gantt/baseline; effort-cost budget; RACI/timesheet; quality-test-defect; communication/minutes; risk register; procurement; change log; closure/lessons learned.</v>
      </c>
      <c r="M2430" t="str">
        <f>'Huong dan giao do an'!$B$33</f>
        <v>Tuần 1: 07.09–13.09.2026; Tuần 2: 14.09–20.09.2026; Tuần 3: 21.09–27.09.2026; Tuần 4: 28.09–04.10.2026; Tuần 5: 05.10–11.10.2026; Tuần 6: 12.10–18.10.2026; Tuần 7: 19.10–25.10.2026; Tuần 8: 26.10–01.11.2026.</v>
      </c>
      <c r="N24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0" s="17" t="str">
        <f t="shared" si="37"/>
        <v>Còn trống</v>
      </c>
    </row>
    <row r="2431" spans="1:16" x14ac:dyDescent="0.3">
      <c r="A2431">
        <v>2430</v>
      </c>
      <c r="B2431" t="s">
        <v>5520</v>
      </c>
      <c r="C2431" t="s">
        <v>5607</v>
      </c>
      <c r="D2431" t="s">
        <v>5608</v>
      </c>
      <c r="E2431" t="s">
        <v>40</v>
      </c>
      <c r="F2431" t="s">
        <v>5542</v>
      </c>
      <c r="G2431" t="s">
        <v>5558</v>
      </c>
      <c r="H2431" t="str">
        <f>'Huong dan giao do an'!$B$14</f>
        <v>5 SV (vai trò chính): 1 PM/Scrum Master kiêm Integration; 2 BA/PO; 3 UI-UX + Frontend; 4 Backend/API + DevOps; 5 Database + QA/Tester. Mỗi SV có nhiệm vụ phụ và minh chứng cá nhân.</v>
      </c>
      <c r="I2431" t="s">
        <v>22</v>
      </c>
      <c r="J2431" t="s">
        <v>5525</v>
      </c>
      <c r="K2431" t="str">
        <f>IF(I2431="Trung bình",'Huong dan giao do an'!$B$8,IF(I2431="Khá",'Huong dan giao do an'!$B$9,'Huong dan giao do an'!$B$10))</f>
        <v>Tối thiểu 4 actor; 10-14 use case; 8-12 bảng; 3 quy trình lõi; phân quyền chi tiết; 2 báo cáo; tích hợp 1 dịch vụ; &gt;=35 test case; CI/CD hoặc deploy cloud.</v>
      </c>
      <c r="L2431" t="str">
        <f>'Huong dan giao do an'!$B$31</f>
        <v>Bắt buộc: Charter/PMP; SRS + scope/WBS; Gantt/baseline; effort-cost budget; RACI/timesheet; quality-test-defect; communication/minutes; risk register; procurement; change log; closure/lessons learned.</v>
      </c>
      <c r="M2431" t="str">
        <f>'Huong dan giao do an'!$B$33</f>
        <v>Tuần 1: 07.09–13.09.2026; Tuần 2: 14.09–20.09.2026; Tuần 3: 21.09–27.09.2026; Tuần 4: 28.09–04.10.2026; Tuần 5: 05.10–11.10.2026; Tuần 6: 12.10–18.10.2026; Tuần 7: 19.10–25.10.2026; Tuần 8: 26.10–01.11.2026.</v>
      </c>
      <c r="N24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1" s="17" t="str">
        <f t="shared" si="37"/>
        <v>Còn trống</v>
      </c>
    </row>
    <row r="2432" spans="1:16" x14ac:dyDescent="0.3">
      <c r="A2432">
        <v>2431</v>
      </c>
      <c r="B2432" t="s">
        <v>5520</v>
      </c>
      <c r="C2432" t="s">
        <v>5609</v>
      </c>
      <c r="D2432" t="s">
        <v>5610</v>
      </c>
      <c r="E2432" t="s">
        <v>45</v>
      </c>
      <c r="F2432" t="s">
        <v>5523</v>
      </c>
      <c r="G2432" t="s">
        <v>5561</v>
      </c>
      <c r="H2432" t="str">
        <f>'Huong dan giao do an'!$B$14</f>
        <v>5 SV (vai trò chính): 1 PM/Scrum Master kiêm Integration; 2 BA/PO; 3 UI-UX + Frontend; 4 Backend/API + DevOps; 5 Database + QA/Tester. Mỗi SV có nhiệm vụ phụ và minh chứng cá nhân.</v>
      </c>
      <c r="I2432" t="s">
        <v>29</v>
      </c>
      <c r="J2432" t="s">
        <v>5530</v>
      </c>
      <c r="K2432" t="str">
        <f>IF(I2432="Trung bình",'Huong dan giao do an'!$B$8,IF(I2432="Khá",'Huong dan giao do an'!$B$9,'Huong dan giao do an'!$B$10))</f>
        <v>Tối thiểu 5 actor; 14-18 use case; 10-15 bảng; 4 quy trình; tích hợp ngoài/realtime hoặc xử lý nâng cao; 3 báo cáo; &gt;=45 test case; logging, backup và deploy.</v>
      </c>
      <c r="L2432" t="str">
        <f>'Huong dan giao do an'!$B$31</f>
        <v>Bắt buộc: Charter/PMP; SRS + scope/WBS; Gantt/baseline; effort-cost budget; RACI/timesheet; quality-test-defect; communication/minutes; risk register; procurement; change log; closure/lessons learned.</v>
      </c>
      <c r="M2432" t="str">
        <f>'Huong dan giao do an'!$B$33</f>
        <v>Tuần 1: 07.09–13.09.2026; Tuần 2: 14.09–20.09.2026; Tuần 3: 21.09–27.09.2026; Tuần 4: 28.09–04.10.2026; Tuần 5: 05.10–11.10.2026; Tuần 6: 12.10–18.10.2026; Tuần 7: 19.10–25.10.2026; Tuần 8: 26.10–01.11.2026.</v>
      </c>
      <c r="N24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2" s="17" t="str">
        <f t="shared" si="37"/>
        <v>Còn trống</v>
      </c>
    </row>
    <row r="2433" spans="1:16" x14ac:dyDescent="0.3">
      <c r="A2433">
        <v>2432</v>
      </c>
      <c r="B2433" t="s">
        <v>5520</v>
      </c>
      <c r="C2433" t="s">
        <v>5611</v>
      </c>
      <c r="D2433" t="s">
        <v>5612</v>
      </c>
      <c r="E2433" t="s">
        <v>19</v>
      </c>
      <c r="F2433" t="s">
        <v>5528</v>
      </c>
      <c r="G2433" t="s">
        <v>5564</v>
      </c>
      <c r="H2433" t="str">
        <f>'Huong dan giao do an'!$B$14</f>
        <v>5 SV (vai trò chính): 1 PM/Scrum Master kiêm Integration; 2 BA/PO; 3 UI-UX + Frontend; 4 Backend/API + DevOps; 5 Database + QA/Tester. Mỗi SV có nhiệm vụ phụ và minh chứng cá nhân.</v>
      </c>
      <c r="I2433" t="s">
        <v>36</v>
      </c>
      <c r="J2433" t="s">
        <v>5535</v>
      </c>
      <c r="K2433" t="str">
        <f>IF(I2433="Trung bình",'Huong dan giao do an'!$B$8,IF(I2433="Khá",'Huong dan giao do an'!$B$9,'Huong dan giao do an'!$B$10))</f>
        <v>Tối thiểu 3 actor; 8-10 use case; 6-8 bảng dữ liệu; 2 quy trình lõi; đăng nhập/RBAC; 1 dashboard; 1 báo cáo; &gt;=25 test case; triển khai bản demo.</v>
      </c>
      <c r="L2433" t="str">
        <f>'Huong dan giao do an'!$B$31</f>
        <v>Bắt buộc: Charter/PMP; SRS + scope/WBS; Gantt/baseline; effort-cost budget; RACI/timesheet; quality-test-defect; communication/minutes; risk register; procurement; change log; closure/lessons learned.</v>
      </c>
      <c r="M2433" t="str">
        <f>'Huong dan giao do an'!$B$33</f>
        <v>Tuần 1: 07.09–13.09.2026; Tuần 2: 14.09–20.09.2026; Tuần 3: 21.09–27.09.2026; Tuần 4: 28.09–04.10.2026; Tuần 5: 05.10–11.10.2026; Tuần 6: 12.10–18.10.2026; Tuần 7: 19.10–25.10.2026; Tuần 8: 26.10–01.11.2026.</v>
      </c>
      <c r="N24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3" s="17" t="str">
        <f t="shared" si="37"/>
        <v>Còn trống</v>
      </c>
    </row>
    <row r="2434" spans="1:16" x14ac:dyDescent="0.3">
      <c r="A2434">
        <v>2433</v>
      </c>
      <c r="B2434" t="s">
        <v>5520</v>
      </c>
      <c r="C2434" t="s">
        <v>5613</v>
      </c>
      <c r="D2434" t="s">
        <v>5614</v>
      </c>
      <c r="E2434" t="s">
        <v>26</v>
      </c>
      <c r="F2434" t="s">
        <v>5533</v>
      </c>
      <c r="G2434" t="s">
        <v>5567</v>
      </c>
      <c r="H2434" t="str">
        <f>'Huong dan giao do an'!$B$14</f>
        <v>5 SV (vai trò chính): 1 PM/Scrum Master kiêm Integration; 2 BA/PO; 3 UI-UX + Frontend; 4 Backend/API + DevOps; 5 Database + QA/Tester. Mỗi SV có nhiệm vụ phụ và minh chứng cá nhân.</v>
      </c>
      <c r="I2434" t="s">
        <v>22</v>
      </c>
      <c r="J2434" t="s">
        <v>5525</v>
      </c>
      <c r="K2434" t="str">
        <f>IF(I2434="Trung bình",'Huong dan giao do an'!$B$8,IF(I2434="Khá",'Huong dan giao do an'!$B$9,'Huong dan giao do an'!$B$10))</f>
        <v>Tối thiểu 4 actor; 10-14 use case; 8-12 bảng; 3 quy trình lõi; phân quyền chi tiết; 2 báo cáo; tích hợp 1 dịch vụ; &gt;=35 test case; CI/CD hoặc deploy cloud.</v>
      </c>
      <c r="L2434" t="str">
        <f>'Huong dan giao do an'!$B$31</f>
        <v>Bắt buộc: Charter/PMP; SRS + scope/WBS; Gantt/baseline; effort-cost budget; RACI/timesheet; quality-test-defect; communication/minutes; risk register; procurement; change log; closure/lessons learned.</v>
      </c>
      <c r="M2434" t="str">
        <f>'Huong dan giao do an'!$B$33</f>
        <v>Tuần 1: 07.09–13.09.2026; Tuần 2: 14.09–20.09.2026; Tuần 3: 21.09–27.09.2026; Tuần 4: 28.09–04.10.2026; Tuần 5: 05.10–11.10.2026; Tuần 6: 12.10–18.10.2026; Tuần 7: 19.10–25.10.2026; Tuần 8: 26.10–01.11.2026.</v>
      </c>
      <c r="N24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4" s="17" t="str">
        <f t="shared" si="37"/>
        <v>Còn trống</v>
      </c>
    </row>
    <row r="2435" spans="1:16" x14ac:dyDescent="0.3">
      <c r="A2435">
        <v>2434</v>
      </c>
      <c r="B2435" t="s">
        <v>5520</v>
      </c>
      <c r="C2435" t="s">
        <v>5615</v>
      </c>
      <c r="D2435" t="s">
        <v>5616</v>
      </c>
      <c r="E2435" t="s">
        <v>33</v>
      </c>
      <c r="F2435" t="s">
        <v>5538</v>
      </c>
      <c r="G2435" t="s">
        <v>5570</v>
      </c>
      <c r="H2435" t="str">
        <f>'Huong dan giao do an'!$B$14</f>
        <v>5 SV (vai trò chính): 1 PM/Scrum Master kiêm Integration; 2 BA/PO; 3 UI-UX + Frontend; 4 Backend/API + DevOps; 5 Database + QA/Tester. Mỗi SV có nhiệm vụ phụ và minh chứng cá nhân.</v>
      </c>
      <c r="I2435" t="s">
        <v>29</v>
      </c>
      <c r="J2435" t="s">
        <v>5530</v>
      </c>
      <c r="K2435" t="str">
        <f>IF(I2435="Trung bình",'Huong dan giao do an'!$B$8,IF(I2435="Khá",'Huong dan giao do an'!$B$9,'Huong dan giao do an'!$B$10))</f>
        <v>Tối thiểu 5 actor; 14-18 use case; 10-15 bảng; 4 quy trình; tích hợp ngoài/realtime hoặc xử lý nâng cao; 3 báo cáo; &gt;=45 test case; logging, backup và deploy.</v>
      </c>
      <c r="L2435" t="str">
        <f>'Huong dan giao do an'!$B$31</f>
        <v>Bắt buộc: Charter/PMP; SRS + scope/WBS; Gantt/baseline; effort-cost budget; RACI/timesheet; quality-test-defect; communication/minutes; risk register; procurement; change log; closure/lessons learned.</v>
      </c>
      <c r="M2435" t="str">
        <f>'Huong dan giao do an'!$B$33</f>
        <v>Tuần 1: 07.09–13.09.2026; Tuần 2: 14.09–20.09.2026; Tuần 3: 21.09–27.09.2026; Tuần 4: 28.09–04.10.2026; Tuần 5: 05.10–11.10.2026; Tuần 6: 12.10–18.10.2026; Tuần 7: 19.10–25.10.2026; Tuần 8: 26.10–01.11.2026.</v>
      </c>
      <c r="N24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5" s="17" t="str">
        <f t="shared" ref="P2435:P2498" si="38">IF(O2435="","Còn trống","Đã đăng ký")</f>
        <v>Còn trống</v>
      </c>
    </row>
    <row r="2436" spans="1:16" x14ac:dyDescent="0.3">
      <c r="A2436">
        <v>2435</v>
      </c>
      <c r="B2436" t="s">
        <v>5520</v>
      </c>
      <c r="C2436" t="s">
        <v>5617</v>
      </c>
      <c r="D2436" t="s">
        <v>5618</v>
      </c>
      <c r="E2436" t="s">
        <v>40</v>
      </c>
      <c r="F2436" t="s">
        <v>5542</v>
      </c>
      <c r="G2436" t="s">
        <v>5573</v>
      </c>
      <c r="H2436" t="str">
        <f>'Huong dan giao do an'!$B$14</f>
        <v>5 SV (vai trò chính): 1 PM/Scrum Master kiêm Integration; 2 BA/PO; 3 UI-UX + Frontend; 4 Backend/API + DevOps; 5 Database + QA/Tester. Mỗi SV có nhiệm vụ phụ và minh chứng cá nhân.</v>
      </c>
      <c r="I2436" t="s">
        <v>36</v>
      </c>
      <c r="J2436" t="s">
        <v>5535</v>
      </c>
      <c r="K2436" t="str">
        <f>IF(I2436="Trung bình",'Huong dan giao do an'!$B$8,IF(I2436="Khá",'Huong dan giao do an'!$B$9,'Huong dan giao do an'!$B$10))</f>
        <v>Tối thiểu 3 actor; 8-10 use case; 6-8 bảng dữ liệu; 2 quy trình lõi; đăng nhập/RBAC; 1 dashboard; 1 báo cáo; &gt;=25 test case; triển khai bản demo.</v>
      </c>
      <c r="L2436" t="str">
        <f>'Huong dan giao do an'!$B$31</f>
        <v>Bắt buộc: Charter/PMP; SRS + scope/WBS; Gantt/baseline; effort-cost budget; RACI/timesheet; quality-test-defect; communication/minutes; risk register; procurement; change log; closure/lessons learned.</v>
      </c>
      <c r="M2436" t="str">
        <f>'Huong dan giao do an'!$B$33</f>
        <v>Tuần 1: 07.09–13.09.2026; Tuần 2: 14.09–20.09.2026; Tuần 3: 21.09–27.09.2026; Tuần 4: 28.09–04.10.2026; Tuần 5: 05.10–11.10.2026; Tuần 6: 12.10–18.10.2026; Tuần 7: 19.10–25.10.2026; Tuần 8: 26.10–01.11.2026.</v>
      </c>
      <c r="N24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6" s="17" t="str">
        <f t="shared" si="38"/>
        <v>Còn trống</v>
      </c>
    </row>
    <row r="2437" spans="1:16" x14ac:dyDescent="0.3">
      <c r="A2437">
        <v>2436</v>
      </c>
      <c r="B2437" t="s">
        <v>5520</v>
      </c>
      <c r="C2437" t="s">
        <v>5619</v>
      </c>
      <c r="D2437" t="s">
        <v>5620</v>
      </c>
      <c r="E2437" t="s">
        <v>45</v>
      </c>
      <c r="F2437" t="s">
        <v>5523</v>
      </c>
      <c r="G2437" t="s">
        <v>5576</v>
      </c>
      <c r="H2437" t="str">
        <f>'Huong dan giao do an'!$B$14</f>
        <v>5 SV (vai trò chính): 1 PM/Scrum Master kiêm Integration; 2 BA/PO; 3 UI-UX + Frontend; 4 Backend/API + DevOps; 5 Database + QA/Tester. Mỗi SV có nhiệm vụ phụ và minh chứng cá nhân.</v>
      </c>
      <c r="I2437" t="s">
        <v>22</v>
      </c>
      <c r="J2437" t="s">
        <v>5525</v>
      </c>
      <c r="K2437" t="str">
        <f>IF(I2437="Trung bình",'Huong dan giao do an'!$B$8,IF(I2437="Khá",'Huong dan giao do an'!$B$9,'Huong dan giao do an'!$B$10))</f>
        <v>Tối thiểu 4 actor; 10-14 use case; 8-12 bảng; 3 quy trình lõi; phân quyền chi tiết; 2 báo cáo; tích hợp 1 dịch vụ; &gt;=35 test case; CI/CD hoặc deploy cloud.</v>
      </c>
      <c r="L2437" t="str">
        <f>'Huong dan giao do an'!$B$31</f>
        <v>Bắt buộc: Charter/PMP; SRS + scope/WBS; Gantt/baseline; effort-cost budget; RACI/timesheet; quality-test-defect; communication/minutes; risk register; procurement; change log; closure/lessons learned.</v>
      </c>
      <c r="M2437" t="str">
        <f>'Huong dan giao do an'!$B$33</f>
        <v>Tuần 1: 07.09–13.09.2026; Tuần 2: 14.09–20.09.2026; Tuần 3: 21.09–27.09.2026; Tuần 4: 28.09–04.10.2026; Tuần 5: 05.10–11.10.2026; Tuần 6: 12.10–18.10.2026; Tuần 7: 19.10–25.10.2026; Tuần 8: 26.10–01.11.2026.</v>
      </c>
      <c r="N24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7" s="17" t="str">
        <f t="shared" si="38"/>
        <v>Còn trống</v>
      </c>
    </row>
    <row r="2438" spans="1:16" x14ac:dyDescent="0.3">
      <c r="A2438">
        <v>2437</v>
      </c>
      <c r="B2438" t="s">
        <v>5520</v>
      </c>
      <c r="C2438" t="s">
        <v>5621</v>
      </c>
      <c r="D2438" t="s">
        <v>5622</v>
      </c>
      <c r="E2438" t="s">
        <v>19</v>
      </c>
      <c r="F2438" t="s">
        <v>5528</v>
      </c>
      <c r="G2438" t="s">
        <v>5579</v>
      </c>
      <c r="H2438" t="str">
        <f>'Huong dan giao do an'!$B$14</f>
        <v>5 SV (vai trò chính): 1 PM/Scrum Master kiêm Integration; 2 BA/PO; 3 UI-UX + Frontend; 4 Backend/API + DevOps; 5 Database + QA/Tester. Mỗi SV có nhiệm vụ phụ và minh chứng cá nhân.</v>
      </c>
      <c r="I2438" t="s">
        <v>29</v>
      </c>
      <c r="J2438" t="s">
        <v>5530</v>
      </c>
      <c r="K2438" t="str">
        <f>IF(I2438="Trung bình",'Huong dan giao do an'!$B$8,IF(I2438="Khá",'Huong dan giao do an'!$B$9,'Huong dan giao do an'!$B$10))</f>
        <v>Tối thiểu 5 actor; 14-18 use case; 10-15 bảng; 4 quy trình; tích hợp ngoài/realtime hoặc xử lý nâng cao; 3 báo cáo; &gt;=45 test case; logging, backup và deploy.</v>
      </c>
      <c r="L2438" t="str">
        <f>'Huong dan giao do an'!$B$31</f>
        <v>Bắt buộc: Charter/PMP; SRS + scope/WBS; Gantt/baseline; effort-cost budget; RACI/timesheet; quality-test-defect; communication/minutes; risk register; procurement; change log; closure/lessons learned.</v>
      </c>
      <c r="M2438" t="str">
        <f>'Huong dan giao do an'!$B$33</f>
        <v>Tuần 1: 07.09–13.09.2026; Tuần 2: 14.09–20.09.2026; Tuần 3: 21.09–27.09.2026; Tuần 4: 28.09–04.10.2026; Tuần 5: 05.10–11.10.2026; Tuần 6: 12.10–18.10.2026; Tuần 7: 19.10–25.10.2026; Tuần 8: 26.10–01.11.2026.</v>
      </c>
      <c r="N24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8" s="17" t="str">
        <f t="shared" si="38"/>
        <v>Còn trống</v>
      </c>
    </row>
    <row r="2439" spans="1:16" x14ac:dyDescent="0.3">
      <c r="A2439">
        <v>2438</v>
      </c>
      <c r="B2439" t="s">
        <v>5520</v>
      </c>
      <c r="C2439" t="s">
        <v>5623</v>
      </c>
      <c r="D2439" t="s">
        <v>5624</v>
      </c>
      <c r="E2439" t="s">
        <v>26</v>
      </c>
      <c r="F2439" t="s">
        <v>5533</v>
      </c>
      <c r="G2439" t="s">
        <v>5582</v>
      </c>
      <c r="H2439" t="str">
        <f>'Huong dan giao do an'!$B$14</f>
        <v>5 SV (vai trò chính): 1 PM/Scrum Master kiêm Integration; 2 BA/PO; 3 UI-UX + Frontend; 4 Backend/API + DevOps; 5 Database + QA/Tester. Mỗi SV có nhiệm vụ phụ và minh chứng cá nhân.</v>
      </c>
      <c r="I2439" t="s">
        <v>36</v>
      </c>
      <c r="J2439" t="s">
        <v>5535</v>
      </c>
      <c r="K2439" t="str">
        <f>IF(I2439="Trung bình",'Huong dan giao do an'!$B$8,IF(I2439="Khá",'Huong dan giao do an'!$B$9,'Huong dan giao do an'!$B$10))</f>
        <v>Tối thiểu 3 actor; 8-10 use case; 6-8 bảng dữ liệu; 2 quy trình lõi; đăng nhập/RBAC; 1 dashboard; 1 báo cáo; &gt;=25 test case; triển khai bản demo.</v>
      </c>
      <c r="L2439" t="str">
        <f>'Huong dan giao do an'!$B$31</f>
        <v>Bắt buộc: Charter/PMP; SRS + scope/WBS; Gantt/baseline; effort-cost budget; RACI/timesheet; quality-test-defect; communication/minutes; risk register; procurement; change log; closure/lessons learned.</v>
      </c>
      <c r="M2439" t="str">
        <f>'Huong dan giao do an'!$B$33</f>
        <v>Tuần 1: 07.09–13.09.2026; Tuần 2: 14.09–20.09.2026; Tuần 3: 21.09–27.09.2026; Tuần 4: 28.09–04.10.2026; Tuần 5: 05.10–11.10.2026; Tuần 6: 12.10–18.10.2026; Tuần 7: 19.10–25.10.2026; Tuần 8: 26.10–01.11.2026.</v>
      </c>
      <c r="N24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39" s="17" t="str">
        <f t="shared" si="38"/>
        <v>Còn trống</v>
      </c>
    </row>
    <row r="2440" spans="1:16" x14ac:dyDescent="0.3">
      <c r="A2440">
        <v>2439</v>
      </c>
      <c r="B2440" t="s">
        <v>5520</v>
      </c>
      <c r="C2440" t="s">
        <v>5625</v>
      </c>
      <c r="D2440" t="s">
        <v>5626</v>
      </c>
      <c r="E2440" t="s">
        <v>33</v>
      </c>
      <c r="F2440" t="s">
        <v>5538</v>
      </c>
      <c r="G2440" t="s">
        <v>5585</v>
      </c>
      <c r="H2440" t="str">
        <f>'Huong dan giao do an'!$B$14</f>
        <v>5 SV (vai trò chính): 1 PM/Scrum Master kiêm Integration; 2 BA/PO; 3 UI-UX + Frontend; 4 Backend/API + DevOps; 5 Database + QA/Tester. Mỗi SV có nhiệm vụ phụ và minh chứng cá nhân.</v>
      </c>
      <c r="I2440" t="s">
        <v>22</v>
      </c>
      <c r="J2440" t="s">
        <v>5525</v>
      </c>
      <c r="K2440" t="str">
        <f>IF(I2440="Trung bình",'Huong dan giao do an'!$B$8,IF(I2440="Khá",'Huong dan giao do an'!$B$9,'Huong dan giao do an'!$B$10))</f>
        <v>Tối thiểu 4 actor; 10-14 use case; 8-12 bảng; 3 quy trình lõi; phân quyền chi tiết; 2 báo cáo; tích hợp 1 dịch vụ; &gt;=35 test case; CI/CD hoặc deploy cloud.</v>
      </c>
      <c r="L2440" t="str">
        <f>'Huong dan giao do an'!$B$31</f>
        <v>Bắt buộc: Charter/PMP; SRS + scope/WBS; Gantt/baseline; effort-cost budget; RACI/timesheet; quality-test-defect; communication/minutes; risk register; procurement; change log; closure/lessons learned.</v>
      </c>
      <c r="M2440" t="str">
        <f>'Huong dan giao do an'!$B$33</f>
        <v>Tuần 1: 07.09–13.09.2026; Tuần 2: 14.09–20.09.2026; Tuần 3: 21.09–27.09.2026; Tuần 4: 28.09–04.10.2026; Tuần 5: 05.10–11.10.2026; Tuần 6: 12.10–18.10.2026; Tuần 7: 19.10–25.10.2026; Tuần 8: 26.10–01.11.2026.</v>
      </c>
      <c r="N24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0" s="17" t="str">
        <f t="shared" si="38"/>
        <v>Còn trống</v>
      </c>
    </row>
    <row r="2441" spans="1:16" x14ac:dyDescent="0.3">
      <c r="A2441">
        <v>2440</v>
      </c>
      <c r="B2441" t="s">
        <v>5520</v>
      </c>
      <c r="C2441" t="s">
        <v>5627</v>
      </c>
      <c r="D2441" t="s">
        <v>5628</v>
      </c>
      <c r="E2441" t="s">
        <v>40</v>
      </c>
      <c r="F2441" t="s">
        <v>5542</v>
      </c>
      <c r="G2441" t="s">
        <v>5588</v>
      </c>
      <c r="H2441" t="str">
        <f>'Huong dan giao do an'!$B$14</f>
        <v>5 SV (vai trò chính): 1 PM/Scrum Master kiêm Integration; 2 BA/PO; 3 UI-UX + Frontend; 4 Backend/API + DevOps; 5 Database + QA/Tester. Mỗi SV có nhiệm vụ phụ và minh chứng cá nhân.</v>
      </c>
      <c r="I2441" t="s">
        <v>29</v>
      </c>
      <c r="J2441" t="s">
        <v>5530</v>
      </c>
      <c r="K2441" t="str">
        <f>IF(I2441="Trung bình",'Huong dan giao do an'!$B$8,IF(I2441="Khá",'Huong dan giao do an'!$B$9,'Huong dan giao do an'!$B$10))</f>
        <v>Tối thiểu 5 actor; 14-18 use case; 10-15 bảng; 4 quy trình; tích hợp ngoài/realtime hoặc xử lý nâng cao; 3 báo cáo; &gt;=45 test case; logging, backup và deploy.</v>
      </c>
      <c r="L2441" t="str">
        <f>'Huong dan giao do an'!$B$31</f>
        <v>Bắt buộc: Charter/PMP; SRS + scope/WBS; Gantt/baseline; effort-cost budget; RACI/timesheet; quality-test-defect; communication/minutes; risk register; procurement; change log; closure/lessons learned.</v>
      </c>
      <c r="M2441" t="str">
        <f>'Huong dan giao do an'!$B$33</f>
        <v>Tuần 1: 07.09–13.09.2026; Tuần 2: 14.09–20.09.2026; Tuần 3: 21.09–27.09.2026; Tuần 4: 28.09–04.10.2026; Tuần 5: 05.10–11.10.2026; Tuần 6: 12.10–18.10.2026; Tuần 7: 19.10–25.10.2026; Tuần 8: 26.10–01.11.2026.</v>
      </c>
      <c r="N24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1" s="17" t="str">
        <f t="shared" si="38"/>
        <v>Còn trống</v>
      </c>
    </row>
    <row r="2442" spans="1:16" x14ac:dyDescent="0.3">
      <c r="A2442">
        <v>2441</v>
      </c>
      <c r="B2442" t="s">
        <v>5520</v>
      </c>
      <c r="C2442" t="s">
        <v>5629</v>
      </c>
      <c r="D2442" t="s">
        <v>5630</v>
      </c>
      <c r="E2442" t="s">
        <v>45</v>
      </c>
      <c r="F2442" t="s">
        <v>5523</v>
      </c>
      <c r="G2442" t="s">
        <v>5524</v>
      </c>
      <c r="H2442" t="str">
        <f>'Huong dan giao do an'!$B$14</f>
        <v>5 SV (vai trò chính): 1 PM/Scrum Master kiêm Integration; 2 BA/PO; 3 UI-UX + Frontend; 4 Backend/API + DevOps; 5 Database + QA/Tester. Mỗi SV có nhiệm vụ phụ và minh chứng cá nhân.</v>
      </c>
      <c r="I2442" t="s">
        <v>22</v>
      </c>
      <c r="J2442" t="s">
        <v>5525</v>
      </c>
      <c r="K2442" t="str">
        <f>IF(I2442="Trung bình",'Huong dan giao do an'!$B$8,IF(I2442="Khá",'Huong dan giao do an'!$B$9,'Huong dan giao do an'!$B$10))</f>
        <v>Tối thiểu 4 actor; 10-14 use case; 8-12 bảng; 3 quy trình lõi; phân quyền chi tiết; 2 báo cáo; tích hợp 1 dịch vụ; &gt;=35 test case; CI/CD hoặc deploy cloud.</v>
      </c>
      <c r="L2442" t="str">
        <f>'Huong dan giao do an'!$B$31</f>
        <v>Bắt buộc: Charter/PMP; SRS + scope/WBS; Gantt/baseline; effort-cost budget; RACI/timesheet; quality-test-defect; communication/minutes; risk register; procurement; change log; closure/lessons learned.</v>
      </c>
      <c r="M2442" t="str">
        <f>'Huong dan giao do an'!$B$33</f>
        <v>Tuần 1: 07.09–13.09.2026; Tuần 2: 14.09–20.09.2026; Tuần 3: 21.09–27.09.2026; Tuần 4: 28.09–04.10.2026; Tuần 5: 05.10–11.10.2026; Tuần 6: 12.10–18.10.2026; Tuần 7: 19.10–25.10.2026; Tuần 8: 26.10–01.11.2026.</v>
      </c>
      <c r="N24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2" s="17" t="str">
        <f t="shared" si="38"/>
        <v>Còn trống</v>
      </c>
    </row>
    <row r="2443" spans="1:16" x14ac:dyDescent="0.3">
      <c r="A2443">
        <v>2442</v>
      </c>
      <c r="B2443" t="s">
        <v>5520</v>
      </c>
      <c r="C2443" t="s">
        <v>5631</v>
      </c>
      <c r="D2443" t="s">
        <v>5632</v>
      </c>
      <c r="E2443" t="s">
        <v>19</v>
      </c>
      <c r="F2443" t="s">
        <v>5528</v>
      </c>
      <c r="G2443" t="s">
        <v>5529</v>
      </c>
      <c r="H2443" t="str">
        <f>'Huong dan giao do an'!$B$14</f>
        <v>5 SV (vai trò chính): 1 PM/Scrum Master kiêm Integration; 2 BA/PO; 3 UI-UX + Frontend; 4 Backend/API + DevOps; 5 Database + QA/Tester. Mỗi SV có nhiệm vụ phụ và minh chứng cá nhân.</v>
      </c>
      <c r="I2443" t="s">
        <v>29</v>
      </c>
      <c r="J2443" t="s">
        <v>5530</v>
      </c>
      <c r="K2443" t="str">
        <f>IF(I2443="Trung bình",'Huong dan giao do an'!$B$8,IF(I2443="Khá",'Huong dan giao do an'!$B$9,'Huong dan giao do an'!$B$10))</f>
        <v>Tối thiểu 5 actor; 14-18 use case; 10-15 bảng; 4 quy trình; tích hợp ngoài/realtime hoặc xử lý nâng cao; 3 báo cáo; &gt;=45 test case; logging, backup và deploy.</v>
      </c>
      <c r="L2443" t="str">
        <f>'Huong dan giao do an'!$B$31</f>
        <v>Bắt buộc: Charter/PMP; SRS + scope/WBS; Gantt/baseline; effort-cost budget; RACI/timesheet; quality-test-defect; communication/minutes; risk register; procurement; change log; closure/lessons learned.</v>
      </c>
      <c r="M2443" t="str">
        <f>'Huong dan giao do an'!$B$33</f>
        <v>Tuần 1: 07.09–13.09.2026; Tuần 2: 14.09–20.09.2026; Tuần 3: 21.09–27.09.2026; Tuần 4: 28.09–04.10.2026; Tuần 5: 05.10–11.10.2026; Tuần 6: 12.10–18.10.2026; Tuần 7: 19.10–25.10.2026; Tuần 8: 26.10–01.11.2026.</v>
      </c>
      <c r="N24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3" s="17" t="str">
        <f t="shared" si="38"/>
        <v>Còn trống</v>
      </c>
    </row>
    <row r="2444" spans="1:16" x14ac:dyDescent="0.3">
      <c r="A2444">
        <v>2443</v>
      </c>
      <c r="B2444" t="s">
        <v>5520</v>
      </c>
      <c r="C2444" t="s">
        <v>5633</v>
      </c>
      <c r="D2444" t="s">
        <v>5634</v>
      </c>
      <c r="E2444" t="s">
        <v>26</v>
      </c>
      <c r="F2444" t="s">
        <v>5533</v>
      </c>
      <c r="G2444" t="s">
        <v>5534</v>
      </c>
      <c r="H2444" t="str">
        <f>'Huong dan giao do an'!$B$14</f>
        <v>5 SV (vai trò chính): 1 PM/Scrum Master kiêm Integration; 2 BA/PO; 3 UI-UX + Frontend; 4 Backend/API + DevOps; 5 Database + QA/Tester. Mỗi SV có nhiệm vụ phụ và minh chứng cá nhân.</v>
      </c>
      <c r="I2444" t="s">
        <v>36</v>
      </c>
      <c r="J2444" t="s">
        <v>5535</v>
      </c>
      <c r="K2444" t="str">
        <f>IF(I2444="Trung bình",'Huong dan giao do an'!$B$8,IF(I2444="Khá",'Huong dan giao do an'!$B$9,'Huong dan giao do an'!$B$10))</f>
        <v>Tối thiểu 3 actor; 8-10 use case; 6-8 bảng dữ liệu; 2 quy trình lõi; đăng nhập/RBAC; 1 dashboard; 1 báo cáo; &gt;=25 test case; triển khai bản demo.</v>
      </c>
      <c r="L2444" t="str">
        <f>'Huong dan giao do an'!$B$31</f>
        <v>Bắt buộc: Charter/PMP; SRS + scope/WBS; Gantt/baseline; effort-cost budget; RACI/timesheet; quality-test-defect; communication/minutes; risk register; procurement; change log; closure/lessons learned.</v>
      </c>
      <c r="M2444" t="str">
        <f>'Huong dan giao do an'!$B$33</f>
        <v>Tuần 1: 07.09–13.09.2026; Tuần 2: 14.09–20.09.2026; Tuần 3: 21.09–27.09.2026; Tuần 4: 28.09–04.10.2026; Tuần 5: 05.10–11.10.2026; Tuần 6: 12.10–18.10.2026; Tuần 7: 19.10–25.10.2026; Tuần 8: 26.10–01.11.2026.</v>
      </c>
      <c r="N24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4" s="17" t="str">
        <f t="shared" si="38"/>
        <v>Còn trống</v>
      </c>
    </row>
    <row r="2445" spans="1:16" x14ac:dyDescent="0.3">
      <c r="A2445">
        <v>2444</v>
      </c>
      <c r="B2445" t="s">
        <v>5520</v>
      </c>
      <c r="C2445" t="s">
        <v>5635</v>
      </c>
      <c r="D2445" t="s">
        <v>5636</v>
      </c>
      <c r="E2445" t="s">
        <v>33</v>
      </c>
      <c r="F2445" t="s">
        <v>5538</v>
      </c>
      <c r="G2445" t="s">
        <v>5539</v>
      </c>
      <c r="H2445" t="str">
        <f>'Huong dan giao do an'!$B$14</f>
        <v>5 SV (vai trò chính): 1 PM/Scrum Master kiêm Integration; 2 BA/PO; 3 UI-UX + Frontend; 4 Backend/API + DevOps; 5 Database + QA/Tester. Mỗi SV có nhiệm vụ phụ và minh chứng cá nhân.</v>
      </c>
      <c r="I2445" t="s">
        <v>22</v>
      </c>
      <c r="J2445" t="s">
        <v>5525</v>
      </c>
      <c r="K2445" t="str">
        <f>IF(I2445="Trung bình",'Huong dan giao do an'!$B$8,IF(I2445="Khá",'Huong dan giao do an'!$B$9,'Huong dan giao do an'!$B$10))</f>
        <v>Tối thiểu 4 actor; 10-14 use case; 8-12 bảng; 3 quy trình lõi; phân quyền chi tiết; 2 báo cáo; tích hợp 1 dịch vụ; &gt;=35 test case; CI/CD hoặc deploy cloud.</v>
      </c>
      <c r="L2445" t="str">
        <f>'Huong dan giao do an'!$B$31</f>
        <v>Bắt buộc: Charter/PMP; SRS + scope/WBS; Gantt/baseline; effort-cost budget; RACI/timesheet; quality-test-defect; communication/minutes; risk register; procurement; change log; closure/lessons learned.</v>
      </c>
      <c r="M2445" t="str">
        <f>'Huong dan giao do an'!$B$33</f>
        <v>Tuần 1: 07.09–13.09.2026; Tuần 2: 14.09–20.09.2026; Tuần 3: 21.09–27.09.2026; Tuần 4: 28.09–04.10.2026; Tuần 5: 05.10–11.10.2026; Tuần 6: 12.10–18.10.2026; Tuần 7: 19.10–25.10.2026; Tuần 8: 26.10–01.11.2026.</v>
      </c>
      <c r="N24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5" s="17" t="str">
        <f t="shared" si="38"/>
        <v>Còn trống</v>
      </c>
    </row>
    <row r="2446" spans="1:16" x14ac:dyDescent="0.3">
      <c r="A2446">
        <v>2445</v>
      </c>
      <c r="B2446" t="s">
        <v>5520</v>
      </c>
      <c r="C2446" t="s">
        <v>5637</v>
      </c>
      <c r="D2446" t="s">
        <v>5638</v>
      </c>
      <c r="E2446" t="s">
        <v>40</v>
      </c>
      <c r="F2446" t="s">
        <v>5542</v>
      </c>
      <c r="G2446" t="s">
        <v>5543</v>
      </c>
      <c r="H2446" t="str">
        <f>'Huong dan giao do an'!$B$14</f>
        <v>5 SV (vai trò chính): 1 PM/Scrum Master kiêm Integration; 2 BA/PO; 3 UI-UX + Frontend; 4 Backend/API + DevOps; 5 Database + QA/Tester. Mỗi SV có nhiệm vụ phụ và minh chứng cá nhân.</v>
      </c>
      <c r="I2446" t="s">
        <v>29</v>
      </c>
      <c r="J2446" t="s">
        <v>5530</v>
      </c>
      <c r="K2446" t="str">
        <f>IF(I2446="Trung bình",'Huong dan giao do an'!$B$8,IF(I2446="Khá",'Huong dan giao do an'!$B$9,'Huong dan giao do an'!$B$10))</f>
        <v>Tối thiểu 5 actor; 14-18 use case; 10-15 bảng; 4 quy trình; tích hợp ngoài/realtime hoặc xử lý nâng cao; 3 báo cáo; &gt;=45 test case; logging, backup và deploy.</v>
      </c>
      <c r="L2446" t="str">
        <f>'Huong dan giao do an'!$B$31</f>
        <v>Bắt buộc: Charter/PMP; SRS + scope/WBS; Gantt/baseline; effort-cost budget; RACI/timesheet; quality-test-defect; communication/minutes; risk register; procurement; change log; closure/lessons learned.</v>
      </c>
      <c r="M2446" t="str">
        <f>'Huong dan giao do an'!$B$33</f>
        <v>Tuần 1: 07.09–13.09.2026; Tuần 2: 14.09–20.09.2026; Tuần 3: 21.09–27.09.2026; Tuần 4: 28.09–04.10.2026; Tuần 5: 05.10–11.10.2026; Tuần 6: 12.10–18.10.2026; Tuần 7: 19.10–25.10.2026; Tuần 8: 26.10–01.11.2026.</v>
      </c>
      <c r="N24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6" s="17" t="str">
        <f t="shared" si="38"/>
        <v>Còn trống</v>
      </c>
    </row>
    <row r="2447" spans="1:16" x14ac:dyDescent="0.3">
      <c r="A2447">
        <v>2446</v>
      </c>
      <c r="B2447" t="s">
        <v>5520</v>
      </c>
      <c r="C2447" t="s">
        <v>5639</v>
      </c>
      <c r="D2447" t="s">
        <v>5640</v>
      </c>
      <c r="E2447" t="s">
        <v>45</v>
      </c>
      <c r="F2447" t="s">
        <v>5523</v>
      </c>
      <c r="G2447" t="s">
        <v>5546</v>
      </c>
      <c r="H2447" t="str">
        <f>'Huong dan giao do an'!$B$14</f>
        <v>5 SV (vai trò chính): 1 PM/Scrum Master kiêm Integration; 2 BA/PO; 3 UI-UX + Frontend; 4 Backend/API + DevOps; 5 Database + QA/Tester. Mỗi SV có nhiệm vụ phụ và minh chứng cá nhân.</v>
      </c>
      <c r="I2447" t="s">
        <v>36</v>
      </c>
      <c r="J2447" t="s">
        <v>5535</v>
      </c>
      <c r="K2447" t="str">
        <f>IF(I2447="Trung bình",'Huong dan giao do an'!$B$8,IF(I2447="Khá",'Huong dan giao do an'!$B$9,'Huong dan giao do an'!$B$10))</f>
        <v>Tối thiểu 3 actor; 8-10 use case; 6-8 bảng dữ liệu; 2 quy trình lõi; đăng nhập/RBAC; 1 dashboard; 1 báo cáo; &gt;=25 test case; triển khai bản demo.</v>
      </c>
      <c r="L2447" t="str">
        <f>'Huong dan giao do an'!$B$31</f>
        <v>Bắt buộc: Charter/PMP; SRS + scope/WBS; Gantt/baseline; effort-cost budget; RACI/timesheet; quality-test-defect; communication/minutes; risk register; procurement; change log; closure/lessons learned.</v>
      </c>
      <c r="M2447" t="str">
        <f>'Huong dan giao do an'!$B$33</f>
        <v>Tuần 1: 07.09–13.09.2026; Tuần 2: 14.09–20.09.2026; Tuần 3: 21.09–27.09.2026; Tuần 4: 28.09–04.10.2026; Tuần 5: 05.10–11.10.2026; Tuần 6: 12.10–18.10.2026; Tuần 7: 19.10–25.10.2026; Tuần 8: 26.10–01.11.2026.</v>
      </c>
      <c r="N24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7" s="17" t="str">
        <f t="shared" si="38"/>
        <v>Còn trống</v>
      </c>
    </row>
    <row r="2448" spans="1:16" x14ac:dyDescent="0.3">
      <c r="A2448">
        <v>2447</v>
      </c>
      <c r="B2448" t="s">
        <v>5520</v>
      </c>
      <c r="C2448" t="s">
        <v>5641</v>
      </c>
      <c r="D2448" t="s">
        <v>5642</v>
      </c>
      <c r="E2448" t="s">
        <v>19</v>
      </c>
      <c r="F2448" t="s">
        <v>5528</v>
      </c>
      <c r="G2448" t="s">
        <v>5549</v>
      </c>
      <c r="H2448" t="str">
        <f>'Huong dan giao do an'!$B$14</f>
        <v>5 SV (vai trò chính): 1 PM/Scrum Master kiêm Integration; 2 BA/PO; 3 UI-UX + Frontend; 4 Backend/API + DevOps; 5 Database + QA/Tester. Mỗi SV có nhiệm vụ phụ và minh chứng cá nhân.</v>
      </c>
      <c r="I2448" t="s">
        <v>22</v>
      </c>
      <c r="J2448" t="s">
        <v>5525</v>
      </c>
      <c r="K2448" t="str">
        <f>IF(I2448="Trung bình",'Huong dan giao do an'!$B$8,IF(I2448="Khá",'Huong dan giao do an'!$B$9,'Huong dan giao do an'!$B$10))</f>
        <v>Tối thiểu 4 actor; 10-14 use case; 8-12 bảng; 3 quy trình lõi; phân quyền chi tiết; 2 báo cáo; tích hợp 1 dịch vụ; &gt;=35 test case; CI/CD hoặc deploy cloud.</v>
      </c>
      <c r="L2448" t="str">
        <f>'Huong dan giao do an'!$B$31</f>
        <v>Bắt buộc: Charter/PMP; SRS + scope/WBS; Gantt/baseline; effort-cost budget; RACI/timesheet; quality-test-defect; communication/minutes; risk register; procurement; change log; closure/lessons learned.</v>
      </c>
      <c r="M2448" t="str">
        <f>'Huong dan giao do an'!$B$33</f>
        <v>Tuần 1: 07.09–13.09.2026; Tuần 2: 14.09–20.09.2026; Tuần 3: 21.09–27.09.2026; Tuần 4: 28.09–04.10.2026; Tuần 5: 05.10–11.10.2026; Tuần 6: 12.10–18.10.2026; Tuần 7: 19.10–25.10.2026; Tuần 8: 26.10–01.11.2026.</v>
      </c>
      <c r="N24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8" s="17" t="str">
        <f t="shared" si="38"/>
        <v>Còn trống</v>
      </c>
    </row>
    <row r="2449" spans="1:16" x14ac:dyDescent="0.3">
      <c r="A2449">
        <v>2448</v>
      </c>
      <c r="B2449" t="s">
        <v>5520</v>
      </c>
      <c r="C2449" t="s">
        <v>5643</v>
      </c>
      <c r="D2449" t="s">
        <v>5644</v>
      </c>
      <c r="E2449" t="s">
        <v>26</v>
      </c>
      <c r="F2449" t="s">
        <v>5533</v>
      </c>
      <c r="G2449" t="s">
        <v>5552</v>
      </c>
      <c r="H2449" t="str">
        <f>'Huong dan giao do an'!$B$14</f>
        <v>5 SV (vai trò chính): 1 PM/Scrum Master kiêm Integration; 2 BA/PO; 3 UI-UX + Frontend; 4 Backend/API + DevOps; 5 Database + QA/Tester. Mỗi SV có nhiệm vụ phụ và minh chứng cá nhân.</v>
      </c>
      <c r="I2449" t="s">
        <v>29</v>
      </c>
      <c r="J2449" t="s">
        <v>5530</v>
      </c>
      <c r="K2449" t="str">
        <f>IF(I2449="Trung bình",'Huong dan giao do an'!$B$8,IF(I2449="Khá",'Huong dan giao do an'!$B$9,'Huong dan giao do an'!$B$10))</f>
        <v>Tối thiểu 5 actor; 14-18 use case; 10-15 bảng; 4 quy trình; tích hợp ngoài/realtime hoặc xử lý nâng cao; 3 báo cáo; &gt;=45 test case; logging, backup và deploy.</v>
      </c>
      <c r="L2449" t="str">
        <f>'Huong dan giao do an'!$B$31</f>
        <v>Bắt buộc: Charter/PMP; SRS + scope/WBS; Gantt/baseline; effort-cost budget; RACI/timesheet; quality-test-defect; communication/minutes; risk register; procurement; change log; closure/lessons learned.</v>
      </c>
      <c r="M2449" t="str">
        <f>'Huong dan giao do an'!$B$33</f>
        <v>Tuần 1: 07.09–13.09.2026; Tuần 2: 14.09–20.09.2026; Tuần 3: 21.09–27.09.2026; Tuần 4: 28.09–04.10.2026; Tuần 5: 05.10–11.10.2026; Tuần 6: 12.10–18.10.2026; Tuần 7: 19.10–25.10.2026; Tuần 8: 26.10–01.11.2026.</v>
      </c>
      <c r="N24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49" s="17" t="str">
        <f t="shared" si="38"/>
        <v>Còn trống</v>
      </c>
    </row>
    <row r="2450" spans="1:16" x14ac:dyDescent="0.3">
      <c r="A2450">
        <v>2449</v>
      </c>
      <c r="B2450" t="s">
        <v>5520</v>
      </c>
      <c r="C2450" t="s">
        <v>5645</v>
      </c>
      <c r="D2450" t="s">
        <v>5646</v>
      </c>
      <c r="E2450" t="s">
        <v>33</v>
      </c>
      <c r="F2450" t="s">
        <v>5538</v>
      </c>
      <c r="G2450" t="s">
        <v>5555</v>
      </c>
      <c r="H2450" t="str">
        <f>'Huong dan giao do an'!$B$14</f>
        <v>5 SV (vai trò chính): 1 PM/Scrum Master kiêm Integration; 2 BA/PO; 3 UI-UX + Frontend; 4 Backend/API + DevOps; 5 Database + QA/Tester. Mỗi SV có nhiệm vụ phụ và minh chứng cá nhân.</v>
      </c>
      <c r="I2450" t="s">
        <v>36</v>
      </c>
      <c r="J2450" t="s">
        <v>5535</v>
      </c>
      <c r="K2450" t="str">
        <f>IF(I2450="Trung bình",'Huong dan giao do an'!$B$8,IF(I2450="Khá",'Huong dan giao do an'!$B$9,'Huong dan giao do an'!$B$10))</f>
        <v>Tối thiểu 3 actor; 8-10 use case; 6-8 bảng dữ liệu; 2 quy trình lõi; đăng nhập/RBAC; 1 dashboard; 1 báo cáo; &gt;=25 test case; triển khai bản demo.</v>
      </c>
      <c r="L2450" t="str">
        <f>'Huong dan giao do an'!$B$31</f>
        <v>Bắt buộc: Charter/PMP; SRS + scope/WBS; Gantt/baseline; effort-cost budget; RACI/timesheet; quality-test-defect; communication/minutes; risk register; procurement; change log; closure/lessons learned.</v>
      </c>
      <c r="M2450" t="str">
        <f>'Huong dan giao do an'!$B$33</f>
        <v>Tuần 1: 07.09–13.09.2026; Tuần 2: 14.09–20.09.2026; Tuần 3: 21.09–27.09.2026; Tuần 4: 28.09–04.10.2026; Tuần 5: 05.10–11.10.2026; Tuần 6: 12.10–18.10.2026; Tuần 7: 19.10–25.10.2026; Tuần 8: 26.10–01.11.2026.</v>
      </c>
      <c r="N24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0" s="17" t="str">
        <f t="shared" si="38"/>
        <v>Còn trống</v>
      </c>
    </row>
    <row r="2451" spans="1:16" x14ac:dyDescent="0.3">
      <c r="A2451">
        <v>2450</v>
      </c>
      <c r="B2451" t="s">
        <v>5520</v>
      </c>
      <c r="C2451" t="s">
        <v>5647</v>
      </c>
      <c r="D2451" t="s">
        <v>5648</v>
      </c>
      <c r="E2451" t="s">
        <v>40</v>
      </c>
      <c r="F2451" t="s">
        <v>5542</v>
      </c>
      <c r="G2451" t="s">
        <v>5558</v>
      </c>
      <c r="H2451" t="str">
        <f>'Huong dan giao do an'!$B$14</f>
        <v>5 SV (vai trò chính): 1 PM/Scrum Master kiêm Integration; 2 BA/PO; 3 UI-UX + Frontend; 4 Backend/API + DevOps; 5 Database + QA/Tester. Mỗi SV có nhiệm vụ phụ và minh chứng cá nhân.</v>
      </c>
      <c r="I2451" t="s">
        <v>22</v>
      </c>
      <c r="J2451" t="s">
        <v>5525</v>
      </c>
      <c r="K2451" t="str">
        <f>IF(I2451="Trung bình",'Huong dan giao do an'!$B$8,IF(I2451="Khá",'Huong dan giao do an'!$B$9,'Huong dan giao do an'!$B$10))</f>
        <v>Tối thiểu 4 actor; 10-14 use case; 8-12 bảng; 3 quy trình lõi; phân quyền chi tiết; 2 báo cáo; tích hợp 1 dịch vụ; &gt;=35 test case; CI/CD hoặc deploy cloud.</v>
      </c>
      <c r="L2451" t="str">
        <f>'Huong dan giao do an'!$B$31</f>
        <v>Bắt buộc: Charter/PMP; SRS + scope/WBS; Gantt/baseline; effort-cost budget; RACI/timesheet; quality-test-defect; communication/minutes; risk register; procurement; change log; closure/lessons learned.</v>
      </c>
      <c r="M2451" t="str">
        <f>'Huong dan giao do an'!$B$33</f>
        <v>Tuần 1: 07.09–13.09.2026; Tuần 2: 14.09–20.09.2026; Tuần 3: 21.09–27.09.2026; Tuần 4: 28.09–04.10.2026; Tuần 5: 05.10–11.10.2026; Tuần 6: 12.10–18.10.2026; Tuần 7: 19.10–25.10.2026; Tuần 8: 26.10–01.11.2026.</v>
      </c>
      <c r="N24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1" s="17" t="str">
        <f t="shared" si="38"/>
        <v>Còn trống</v>
      </c>
    </row>
    <row r="2452" spans="1:16" x14ac:dyDescent="0.3">
      <c r="A2452">
        <v>2451</v>
      </c>
      <c r="B2452" t="s">
        <v>5520</v>
      </c>
      <c r="C2452" t="s">
        <v>5649</v>
      </c>
      <c r="D2452" t="s">
        <v>5650</v>
      </c>
      <c r="E2452" t="s">
        <v>45</v>
      </c>
      <c r="F2452" t="s">
        <v>5523</v>
      </c>
      <c r="G2452" t="s">
        <v>5561</v>
      </c>
      <c r="H2452" t="str">
        <f>'Huong dan giao do an'!$B$14</f>
        <v>5 SV (vai trò chính): 1 PM/Scrum Master kiêm Integration; 2 BA/PO; 3 UI-UX + Frontend; 4 Backend/API + DevOps; 5 Database + QA/Tester. Mỗi SV có nhiệm vụ phụ và minh chứng cá nhân.</v>
      </c>
      <c r="I2452" t="s">
        <v>29</v>
      </c>
      <c r="J2452" t="s">
        <v>5530</v>
      </c>
      <c r="K2452" t="str">
        <f>IF(I2452="Trung bình",'Huong dan giao do an'!$B$8,IF(I2452="Khá",'Huong dan giao do an'!$B$9,'Huong dan giao do an'!$B$10))</f>
        <v>Tối thiểu 5 actor; 14-18 use case; 10-15 bảng; 4 quy trình; tích hợp ngoài/realtime hoặc xử lý nâng cao; 3 báo cáo; &gt;=45 test case; logging, backup và deploy.</v>
      </c>
      <c r="L2452" t="str">
        <f>'Huong dan giao do an'!$B$31</f>
        <v>Bắt buộc: Charter/PMP; SRS + scope/WBS; Gantt/baseline; effort-cost budget; RACI/timesheet; quality-test-defect; communication/minutes; risk register; procurement; change log; closure/lessons learned.</v>
      </c>
      <c r="M2452" t="str">
        <f>'Huong dan giao do an'!$B$33</f>
        <v>Tuần 1: 07.09–13.09.2026; Tuần 2: 14.09–20.09.2026; Tuần 3: 21.09–27.09.2026; Tuần 4: 28.09–04.10.2026; Tuần 5: 05.10–11.10.2026; Tuần 6: 12.10–18.10.2026; Tuần 7: 19.10–25.10.2026; Tuần 8: 26.10–01.11.2026.</v>
      </c>
      <c r="N24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2" s="17" t="str">
        <f t="shared" si="38"/>
        <v>Còn trống</v>
      </c>
    </row>
    <row r="2453" spans="1:16" x14ac:dyDescent="0.3">
      <c r="A2453">
        <v>2452</v>
      </c>
      <c r="B2453" t="s">
        <v>5520</v>
      </c>
      <c r="C2453" t="s">
        <v>5651</v>
      </c>
      <c r="D2453" t="s">
        <v>5652</v>
      </c>
      <c r="E2453" t="s">
        <v>19</v>
      </c>
      <c r="F2453" t="s">
        <v>5528</v>
      </c>
      <c r="G2453" t="s">
        <v>5564</v>
      </c>
      <c r="H2453" t="str">
        <f>'Huong dan giao do an'!$B$14</f>
        <v>5 SV (vai trò chính): 1 PM/Scrum Master kiêm Integration; 2 BA/PO; 3 UI-UX + Frontend; 4 Backend/API + DevOps; 5 Database + QA/Tester. Mỗi SV có nhiệm vụ phụ và minh chứng cá nhân.</v>
      </c>
      <c r="I2453" t="s">
        <v>36</v>
      </c>
      <c r="J2453" t="s">
        <v>5535</v>
      </c>
      <c r="K2453" t="str">
        <f>IF(I2453="Trung bình",'Huong dan giao do an'!$B$8,IF(I2453="Khá",'Huong dan giao do an'!$B$9,'Huong dan giao do an'!$B$10))</f>
        <v>Tối thiểu 3 actor; 8-10 use case; 6-8 bảng dữ liệu; 2 quy trình lõi; đăng nhập/RBAC; 1 dashboard; 1 báo cáo; &gt;=25 test case; triển khai bản demo.</v>
      </c>
      <c r="L2453" t="str">
        <f>'Huong dan giao do an'!$B$31</f>
        <v>Bắt buộc: Charter/PMP; SRS + scope/WBS; Gantt/baseline; effort-cost budget; RACI/timesheet; quality-test-defect; communication/minutes; risk register; procurement; change log; closure/lessons learned.</v>
      </c>
      <c r="M2453" t="str">
        <f>'Huong dan giao do an'!$B$33</f>
        <v>Tuần 1: 07.09–13.09.2026; Tuần 2: 14.09–20.09.2026; Tuần 3: 21.09–27.09.2026; Tuần 4: 28.09–04.10.2026; Tuần 5: 05.10–11.10.2026; Tuần 6: 12.10–18.10.2026; Tuần 7: 19.10–25.10.2026; Tuần 8: 26.10–01.11.2026.</v>
      </c>
      <c r="N24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3" s="17" t="str">
        <f t="shared" si="38"/>
        <v>Còn trống</v>
      </c>
    </row>
    <row r="2454" spans="1:16" x14ac:dyDescent="0.3">
      <c r="A2454">
        <v>2453</v>
      </c>
      <c r="B2454" t="s">
        <v>5520</v>
      </c>
      <c r="C2454" t="s">
        <v>5653</v>
      </c>
      <c r="D2454" t="s">
        <v>5654</v>
      </c>
      <c r="E2454" t="s">
        <v>26</v>
      </c>
      <c r="F2454" t="s">
        <v>5533</v>
      </c>
      <c r="G2454" t="s">
        <v>5567</v>
      </c>
      <c r="H2454" t="str">
        <f>'Huong dan giao do an'!$B$14</f>
        <v>5 SV (vai trò chính): 1 PM/Scrum Master kiêm Integration; 2 BA/PO; 3 UI-UX + Frontend; 4 Backend/API + DevOps; 5 Database + QA/Tester. Mỗi SV có nhiệm vụ phụ và minh chứng cá nhân.</v>
      </c>
      <c r="I2454" t="s">
        <v>22</v>
      </c>
      <c r="J2454" t="s">
        <v>5525</v>
      </c>
      <c r="K2454" t="str">
        <f>IF(I2454="Trung bình",'Huong dan giao do an'!$B$8,IF(I2454="Khá",'Huong dan giao do an'!$B$9,'Huong dan giao do an'!$B$10))</f>
        <v>Tối thiểu 4 actor; 10-14 use case; 8-12 bảng; 3 quy trình lõi; phân quyền chi tiết; 2 báo cáo; tích hợp 1 dịch vụ; &gt;=35 test case; CI/CD hoặc deploy cloud.</v>
      </c>
      <c r="L2454" t="str">
        <f>'Huong dan giao do an'!$B$31</f>
        <v>Bắt buộc: Charter/PMP; SRS + scope/WBS; Gantt/baseline; effort-cost budget; RACI/timesheet; quality-test-defect; communication/minutes; risk register; procurement; change log; closure/lessons learned.</v>
      </c>
      <c r="M2454" t="str">
        <f>'Huong dan giao do an'!$B$33</f>
        <v>Tuần 1: 07.09–13.09.2026; Tuần 2: 14.09–20.09.2026; Tuần 3: 21.09–27.09.2026; Tuần 4: 28.09–04.10.2026; Tuần 5: 05.10–11.10.2026; Tuần 6: 12.10–18.10.2026; Tuần 7: 19.10–25.10.2026; Tuần 8: 26.10–01.11.2026.</v>
      </c>
      <c r="N24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4" s="17" t="str">
        <f t="shared" si="38"/>
        <v>Còn trống</v>
      </c>
    </row>
    <row r="2455" spans="1:16" x14ac:dyDescent="0.3">
      <c r="A2455">
        <v>2454</v>
      </c>
      <c r="B2455" t="s">
        <v>5520</v>
      </c>
      <c r="C2455" t="s">
        <v>5655</v>
      </c>
      <c r="D2455" t="s">
        <v>5656</v>
      </c>
      <c r="E2455" t="s">
        <v>33</v>
      </c>
      <c r="F2455" t="s">
        <v>5538</v>
      </c>
      <c r="G2455" t="s">
        <v>5570</v>
      </c>
      <c r="H2455" t="str">
        <f>'Huong dan giao do an'!$B$14</f>
        <v>5 SV (vai trò chính): 1 PM/Scrum Master kiêm Integration; 2 BA/PO; 3 UI-UX + Frontend; 4 Backend/API + DevOps; 5 Database + QA/Tester. Mỗi SV có nhiệm vụ phụ và minh chứng cá nhân.</v>
      </c>
      <c r="I2455" t="s">
        <v>29</v>
      </c>
      <c r="J2455" t="s">
        <v>5530</v>
      </c>
      <c r="K2455" t="str">
        <f>IF(I2455="Trung bình",'Huong dan giao do an'!$B$8,IF(I2455="Khá",'Huong dan giao do an'!$B$9,'Huong dan giao do an'!$B$10))</f>
        <v>Tối thiểu 5 actor; 14-18 use case; 10-15 bảng; 4 quy trình; tích hợp ngoài/realtime hoặc xử lý nâng cao; 3 báo cáo; &gt;=45 test case; logging, backup và deploy.</v>
      </c>
      <c r="L2455" t="str">
        <f>'Huong dan giao do an'!$B$31</f>
        <v>Bắt buộc: Charter/PMP; SRS + scope/WBS; Gantt/baseline; effort-cost budget; RACI/timesheet; quality-test-defect; communication/minutes; risk register; procurement; change log; closure/lessons learned.</v>
      </c>
      <c r="M2455" t="str">
        <f>'Huong dan giao do an'!$B$33</f>
        <v>Tuần 1: 07.09–13.09.2026; Tuần 2: 14.09–20.09.2026; Tuần 3: 21.09–27.09.2026; Tuần 4: 28.09–04.10.2026; Tuần 5: 05.10–11.10.2026; Tuần 6: 12.10–18.10.2026; Tuần 7: 19.10–25.10.2026; Tuần 8: 26.10–01.11.2026.</v>
      </c>
      <c r="N24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5" s="17" t="str">
        <f t="shared" si="38"/>
        <v>Còn trống</v>
      </c>
    </row>
    <row r="2456" spans="1:16" x14ac:dyDescent="0.3">
      <c r="A2456">
        <v>2455</v>
      </c>
      <c r="B2456" t="s">
        <v>5520</v>
      </c>
      <c r="C2456" t="s">
        <v>5657</v>
      </c>
      <c r="D2456" t="s">
        <v>5658</v>
      </c>
      <c r="E2456" t="s">
        <v>40</v>
      </c>
      <c r="F2456" t="s">
        <v>5542</v>
      </c>
      <c r="G2456" t="s">
        <v>5573</v>
      </c>
      <c r="H2456" t="str">
        <f>'Huong dan giao do an'!$B$14</f>
        <v>5 SV (vai trò chính): 1 PM/Scrum Master kiêm Integration; 2 BA/PO; 3 UI-UX + Frontend; 4 Backend/API + DevOps; 5 Database + QA/Tester. Mỗi SV có nhiệm vụ phụ và minh chứng cá nhân.</v>
      </c>
      <c r="I2456" t="s">
        <v>36</v>
      </c>
      <c r="J2456" t="s">
        <v>5535</v>
      </c>
      <c r="K2456" t="str">
        <f>IF(I2456="Trung bình",'Huong dan giao do an'!$B$8,IF(I2456="Khá",'Huong dan giao do an'!$B$9,'Huong dan giao do an'!$B$10))</f>
        <v>Tối thiểu 3 actor; 8-10 use case; 6-8 bảng dữ liệu; 2 quy trình lõi; đăng nhập/RBAC; 1 dashboard; 1 báo cáo; &gt;=25 test case; triển khai bản demo.</v>
      </c>
      <c r="L2456" t="str">
        <f>'Huong dan giao do an'!$B$31</f>
        <v>Bắt buộc: Charter/PMP; SRS + scope/WBS; Gantt/baseline; effort-cost budget; RACI/timesheet; quality-test-defect; communication/minutes; risk register; procurement; change log; closure/lessons learned.</v>
      </c>
      <c r="M2456" t="str">
        <f>'Huong dan giao do an'!$B$33</f>
        <v>Tuần 1: 07.09–13.09.2026; Tuần 2: 14.09–20.09.2026; Tuần 3: 21.09–27.09.2026; Tuần 4: 28.09–04.10.2026; Tuần 5: 05.10–11.10.2026; Tuần 6: 12.10–18.10.2026; Tuần 7: 19.10–25.10.2026; Tuần 8: 26.10–01.11.2026.</v>
      </c>
      <c r="N24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6" s="17" t="str">
        <f t="shared" si="38"/>
        <v>Còn trống</v>
      </c>
    </row>
    <row r="2457" spans="1:16" x14ac:dyDescent="0.3">
      <c r="A2457">
        <v>2456</v>
      </c>
      <c r="B2457" t="s">
        <v>5520</v>
      </c>
      <c r="C2457" t="s">
        <v>5659</v>
      </c>
      <c r="D2457" t="s">
        <v>5660</v>
      </c>
      <c r="E2457" t="s">
        <v>45</v>
      </c>
      <c r="F2457" t="s">
        <v>5523</v>
      </c>
      <c r="G2457" t="s">
        <v>5576</v>
      </c>
      <c r="H2457" t="str">
        <f>'Huong dan giao do an'!$B$14</f>
        <v>5 SV (vai trò chính): 1 PM/Scrum Master kiêm Integration; 2 BA/PO; 3 UI-UX + Frontend; 4 Backend/API + DevOps; 5 Database + QA/Tester. Mỗi SV có nhiệm vụ phụ và minh chứng cá nhân.</v>
      </c>
      <c r="I2457" t="s">
        <v>22</v>
      </c>
      <c r="J2457" t="s">
        <v>5525</v>
      </c>
      <c r="K2457" t="str">
        <f>IF(I2457="Trung bình",'Huong dan giao do an'!$B$8,IF(I2457="Khá",'Huong dan giao do an'!$B$9,'Huong dan giao do an'!$B$10))</f>
        <v>Tối thiểu 4 actor; 10-14 use case; 8-12 bảng; 3 quy trình lõi; phân quyền chi tiết; 2 báo cáo; tích hợp 1 dịch vụ; &gt;=35 test case; CI/CD hoặc deploy cloud.</v>
      </c>
      <c r="L2457" t="str">
        <f>'Huong dan giao do an'!$B$31</f>
        <v>Bắt buộc: Charter/PMP; SRS + scope/WBS; Gantt/baseline; effort-cost budget; RACI/timesheet; quality-test-defect; communication/minutes; risk register; procurement; change log; closure/lessons learned.</v>
      </c>
      <c r="M2457" t="str">
        <f>'Huong dan giao do an'!$B$33</f>
        <v>Tuần 1: 07.09–13.09.2026; Tuần 2: 14.09–20.09.2026; Tuần 3: 21.09–27.09.2026; Tuần 4: 28.09–04.10.2026; Tuần 5: 05.10–11.10.2026; Tuần 6: 12.10–18.10.2026; Tuần 7: 19.10–25.10.2026; Tuần 8: 26.10–01.11.2026.</v>
      </c>
      <c r="N24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7" s="17" t="str">
        <f t="shared" si="38"/>
        <v>Còn trống</v>
      </c>
    </row>
    <row r="2458" spans="1:16" x14ac:dyDescent="0.3">
      <c r="A2458">
        <v>2457</v>
      </c>
      <c r="B2458" t="s">
        <v>5520</v>
      </c>
      <c r="C2458" t="s">
        <v>5661</v>
      </c>
      <c r="D2458" t="s">
        <v>5662</v>
      </c>
      <c r="E2458" t="s">
        <v>19</v>
      </c>
      <c r="F2458" t="s">
        <v>5528</v>
      </c>
      <c r="G2458" t="s">
        <v>5579</v>
      </c>
      <c r="H2458" t="str">
        <f>'Huong dan giao do an'!$B$14</f>
        <v>5 SV (vai trò chính): 1 PM/Scrum Master kiêm Integration; 2 BA/PO; 3 UI-UX + Frontend; 4 Backend/API + DevOps; 5 Database + QA/Tester. Mỗi SV có nhiệm vụ phụ và minh chứng cá nhân.</v>
      </c>
      <c r="I2458" t="s">
        <v>29</v>
      </c>
      <c r="J2458" t="s">
        <v>5530</v>
      </c>
      <c r="K2458" t="str">
        <f>IF(I2458="Trung bình",'Huong dan giao do an'!$B$8,IF(I2458="Khá",'Huong dan giao do an'!$B$9,'Huong dan giao do an'!$B$10))</f>
        <v>Tối thiểu 5 actor; 14-18 use case; 10-15 bảng; 4 quy trình; tích hợp ngoài/realtime hoặc xử lý nâng cao; 3 báo cáo; &gt;=45 test case; logging, backup và deploy.</v>
      </c>
      <c r="L2458" t="str">
        <f>'Huong dan giao do an'!$B$31</f>
        <v>Bắt buộc: Charter/PMP; SRS + scope/WBS; Gantt/baseline; effort-cost budget; RACI/timesheet; quality-test-defect; communication/minutes; risk register; procurement; change log; closure/lessons learned.</v>
      </c>
      <c r="M2458" t="str">
        <f>'Huong dan giao do an'!$B$33</f>
        <v>Tuần 1: 07.09–13.09.2026; Tuần 2: 14.09–20.09.2026; Tuần 3: 21.09–27.09.2026; Tuần 4: 28.09–04.10.2026; Tuần 5: 05.10–11.10.2026; Tuần 6: 12.10–18.10.2026; Tuần 7: 19.10–25.10.2026; Tuần 8: 26.10–01.11.2026.</v>
      </c>
      <c r="N24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8" s="17" t="str">
        <f t="shared" si="38"/>
        <v>Còn trống</v>
      </c>
    </row>
    <row r="2459" spans="1:16" x14ac:dyDescent="0.3">
      <c r="A2459">
        <v>2458</v>
      </c>
      <c r="B2459" t="s">
        <v>5520</v>
      </c>
      <c r="C2459" t="s">
        <v>5663</v>
      </c>
      <c r="D2459" t="s">
        <v>5664</v>
      </c>
      <c r="E2459" t="s">
        <v>26</v>
      </c>
      <c r="F2459" t="s">
        <v>5533</v>
      </c>
      <c r="G2459" t="s">
        <v>5582</v>
      </c>
      <c r="H2459" t="str">
        <f>'Huong dan giao do an'!$B$14</f>
        <v>5 SV (vai trò chính): 1 PM/Scrum Master kiêm Integration; 2 BA/PO; 3 UI-UX + Frontend; 4 Backend/API + DevOps; 5 Database + QA/Tester. Mỗi SV có nhiệm vụ phụ và minh chứng cá nhân.</v>
      </c>
      <c r="I2459" t="s">
        <v>36</v>
      </c>
      <c r="J2459" t="s">
        <v>5535</v>
      </c>
      <c r="K2459" t="str">
        <f>IF(I2459="Trung bình",'Huong dan giao do an'!$B$8,IF(I2459="Khá",'Huong dan giao do an'!$B$9,'Huong dan giao do an'!$B$10))</f>
        <v>Tối thiểu 3 actor; 8-10 use case; 6-8 bảng dữ liệu; 2 quy trình lõi; đăng nhập/RBAC; 1 dashboard; 1 báo cáo; &gt;=25 test case; triển khai bản demo.</v>
      </c>
      <c r="L2459" t="str">
        <f>'Huong dan giao do an'!$B$31</f>
        <v>Bắt buộc: Charter/PMP; SRS + scope/WBS; Gantt/baseline; effort-cost budget; RACI/timesheet; quality-test-defect; communication/minutes; risk register; procurement; change log; closure/lessons learned.</v>
      </c>
      <c r="M2459" t="str">
        <f>'Huong dan giao do an'!$B$33</f>
        <v>Tuần 1: 07.09–13.09.2026; Tuần 2: 14.09–20.09.2026; Tuần 3: 21.09–27.09.2026; Tuần 4: 28.09–04.10.2026; Tuần 5: 05.10–11.10.2026; Tuần 6: 12.10–18.10.2026; Tuần 7: 19.10–25.10.2026; Tuần 8: 26.10–01.11.2026.</v>
      </c>
      <c r="N24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59" s="17" t="str">
        <f t="shared" si="38"/>
        <v>Còn trống</v>
      </c>
    </row>
    <row r="2460" spans="1:16" x14ac:dyDescent="0.3">
      <c r="A2460">
        <v>2459</v>
      </c>
      <c r="B2460" t="s">
        <v>5520</v>
      </c>
      <c r="C2460" t="s">
        <v>5665</v>
      </c>
      <c r="D2460" t="s">
        <v>5666</v>
      </c>
      <c r="E2460" t="s">
        <v>33</v>
      </c>
      <c r="F2460" t="s">
        <v>5538</v>
      </c>
      <c r="G2460" t="s">
        <v>5585</v>
      </c>
      <c r="H2460" t="str">
        <f>'Huong dan giao do an'!$B$14</f>
        <v>5 SV (vai trò chính): 1 PM/Scrum Master kiêm Integration; 2 BA/PO; 3 UI-UX + Frontend; 4 Backend/API + DevOps; 5 Database + QA/Tester. Mỗi SV có nhiệm vụ phụ và minh chứng cá nhân.</v>
      </c>
      <c r="I2460" t="s">
        <v>22</v>
      </c>
      <c r="J2460" t="s">
        <v>5525</v>
      </c>
      <c r="K2460" t="str">
        <f>IF(I2460="Trung bình",'Huong dan giao do an'!$B$8,IF(I2460="Khá",'Huong dan giao do an'!$B$9,'Huong dan giao do an'!$B$10))</f>
        <v>Tối thiểu 4 actor; 10-14 use case; 8-12 bảng; 3 quy trình lõi; phân quyền chi tiết; 2 báo cáo; tích hợp 1 dịch vụ; &gt;=35 test case; CI/CD hoặc deploy cloud.</v>
      </c>
      <c r="L2460" t="str">
        <f>'Huong dan giao do an'!$B$31</f>
        <v>Bắt buộc: Charter/PMP; SRS + scope/WBS; Gantt/baseline; effort-cost budget; RACI/timesheet; quality-test-defect; communication/minutes; risk register; procurement; change log; closure/lessons learned.</v>
      </c>
      <c r="M2460" t="str">
        <f>'Huong dan giao do an'!$B$33</f>
        <v>Tuần 1: 07.09–13.09.2026; Tuần 2: 14.09–20.09.2026; Tuần 3: 21.09–27.09.2026; Tuần 4: 28.09–04.10.2026; Tuần 5: 05.10–11.10.2026; Tuần 6: 12.10–18.10.2026; Tuần 7: 19.10–25.10.2026; Tuần 8: 26.10–01.11.2026.</v>
      </c>
      <c r="N24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0" s="17" t="str">
        <f t="shared" si="38"/>
        <v>Còn trống</v>
      </c>
    </row>
    <row r="2461" spans="1:16" x14ac:dyDescent="0.3">
      <c r="A2461">
        <v>2460</v>
      </c>
      <c r="B2461" t="s">
        <v>5520</v>
      </c>
      <c r="C2461" t="s">
        <v>5667</v>
      </c>
      <c r="D2461" t="s">
        <v>5668</v>
      </c>
      <c r="E2461" t="s">
        <v>40</v>
      </c>
      <c r="F2461" t="s">
        <v>5542</v>
      </c>
      <c r="G2461" t="s">
        <v>5588</v>
      </c>
      <c r="H2461" t="str">
        <f>'Huong dan giao do an'!$B$14</f>
        <v>5 SV (vai trò chính): 1 PM/Scrum Master kiêm Integration; 2 BA/PO; 3 UI-UX + Frontend; 4 Backend/API + DevOps; 5 Database + QA/Tester. Mỗi SV có nhiệm vụ phụ và minh chứng cá nhân.</v>
      </c>
      <c r="I2461" t="s">
        <v>29</v>
      </c>
      <c r="J2461" t="s">
        <v>5530</v>
      </c>
      <c r="K2461" t="str">
        <f>IF(I2461="Trung bình",'Huong dan giao do an'!$B$8,IF(I2461="Khá",'Huong dan giao do an'!$B$9,'Huong dan giao do an'!$B$10))</f>
        <v>Tối thiểu 5 actor; 14-18 use case; 10-15 bảng; 4 quy trình; tích hợp ngoài/realtime hoặc xử lý nâng cao; 3 báo cáo; &gt;=45 test case; logging, backup và deploy.</v>
      </c>
      <c r="L2461" t="str">
        <f>'Huong dan giao do an'!$B$31</f>
        <v>Bắt buộc: Charter/PMP; SRS + scope/WBS; Gantt/baseline; effort-cost budget; RACI/timesheet; quality-test-defect; communication/minutes; risk register; procurement; change log; closure/lessons learned.</v>
      </c>
      <c r="M2461" t="str">
        <f>'Huong dan giao do an'!$B$33</f>
        <v>Tuần 1: 07.09–13.09.2026; Tuần 2: 14.09–20.09.2026; Tuần 3: 21.09–27.09.2026; Tuần 4: 28.09–04.10.2026; Tuần 5: 05.10–11.10.2026; Tuần 6: 12.10–18.10.2026; Tuần 7: 19.10–25.10.2026; Tuần 8: 26.10–01.11.2026.</v>
      </c>
      <c r="N24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1" s="17" t="str">
        <f t="shared" si="38"/>
        <v>Còn trống</v>
      </c>
    </row>
    <row r="2462" spans="1:16" x14ac:dyDescent="0.3">
      <c r="A2462">
        <v>2461</v>
      </c>
      <c r="B2462" t="s">
        <v>5520</v>
      </c>
      <c r="C2462" t="s">
        <v>5669</v>
      </c>
      <c r="D2462" t="s">
        <v>5670</v>
      </c>
      <c r="E2462" t="s">
        <v>45</v>
      </c>
      <c r="F2462" t="s">
        <v>5523</v>
      </c>
      <c r="G2462" t="s">
        <v>5524</v>
      </c>
      <c r="H2462" t="str">
        <f>'Huong dan giao do an'!$B$14</f>
        <v>5 SV (vai trò chính): 1 PM/Scrum Master kiêm Integration; 2 BA/PO; 3 UI-UX + Frontend; 4 Backend/API + DevOps; 5 Database + QA/Tester. Mỗi SV có nhiệm vụ phụ và minh chứng cá nhân.</v>
      </c>
      <c r="I2462" t="s">
        <v>22</v>
      </c>
      <c r="J2462" t="s">
        <v>5525</v>
      </c>
      <c r="K2462" t="str">
        <f>IF(I2462="Trung bình",'Huong dan giao do an'!$B$8,IF(I2462="Khá",'Huong dan giao do an'!$B$9,'Huong dan giao do an'!$B$10))</f>
        <v>Tối thiểu 4 actor; 10-14 use case; 8-12 bảng; 3 quy trình lõi; phân quyền chi tiết; 2 báo cáo; tích hợp 1 dịch vụ; &gt;=35 test case; CI/CD hoặc deploy cloud.</v>
      </c>
      <c r="L2462" t="str">
        <f>'Huong dan giao do an'!$B$31</f>
        <v>Bắt buộc: Charter/PMP; SRS + scope/WBS; Gantt/baseline; effort-cost budget; RACI/timesheet; quality-test-defect; communication/minutes; risk register; procurement; change log; closure/lessons learned.</v>
      </c>
      <c r="M2462" t="str">
        <f>'Huong dan giao do an'!$B$33</f>
        <v>Tuần 1: 07.09–13.09.2026; Tuần 2: 14.09–20.09.2026; Tuần 3: 21.09–27.09.2026; Tuần 4: 28.09–04.10.2026; Tuần 5: 05.10–11.10.2026; Tuần 6: 12.10–18.10.2026; Tuần 7: 19.10–25.10.2026; Tuần 8: 26.10–01.11.2026.</v>
      </c>
      <c r="N24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2" s="17" t="str">
        <f t="shared" si="38"/>
        <v>Còn trống</v>
      </c>
    </row>
    <row r="2463" spans="1:16" x14ac:dyDescent="0.3">
      <c r="A2463">
        <v>2462</v>
      </c>
      <c r="B2463" t="s">
        <v>5520</v>
      </c>
      <c r="C2463" t="s">
        <v>5671</v>
      </c>
      <c r="D2463" t="s">
        <v>5672</v>
      </c>
      <c r="E2463" t="s">
        <v>19</v>
      </c>
      <c r="F2463" t="s">
        <v>5528</v>
      </c>
      <c r="G2463" t="s">
        <v>5529</v>
      </c>
      <c r="H2463" t="str">
        <f>'Huong dan giao do an'!$B$14</f>
        <v>5 SV (vai trò chính): 1 PM/Scrum Master kiêm Integration; 2 BA/PO; 3 UI-UX + Frontend; 4 Backend/API + DevOps; 5 Database + QA/Tester. Mỗi SV có nhiệm vụ phụ và minh chứng cá nhân.</v>
      </c>
      <c r="I2463" t="s">
        <v>29</v>
      </c>
      <c r="J2463" t="s">
        <v>5530</v>
      </c>
      <c r="K2463" t="str">
        <f>IF(I2463="Trung bình",'Huong dan giao do an'!$B$8,IF(I2463="Khá",'Huong dan giao do an'!$B$9,'Huong dan giao do an'!$B$10))</f>
        <v>Tối thiểu 5 actor; 14-18 use case; 10-15 bảng; 4 quy trình; tích hợp ngoài/realtime hoặc xử lý nâng cao; 3 báo cáo; &gt;=45 test case; logging, backup và deploy.</v>
      </c>
      <c r="L2463" t="str">
        <f>'Huong dan giao do an'!$B$31</f>
        <v>Bắt buộc: Charter/PMP; SRS + scope/WBS; Gantt/baseline; effort-cost budget; RACI/timesheet; quality-test-defect; communication/minutes; risk register; procurement; change log; closure/lessons learned.</v>
      </c>
      <c r="M2463" t="str">
        <f>'Huong dan giao do an'!$B$33</f>
        <v>Tuần 1: 07.09–13.09.2026; Tuần 2: 14.09–20.09.2026; Tuần 3: 21.09–27.09.2026; Tuần 4: 28.09–04.10.2026; Tuần 5: 05.10–11.10.2026; Tuần 6: 12.10–18.10.2026; Tuần 7: 19.10–25.10.2026; Tuần 8: 26.10–01.11.2026.</v>
      </c>
      <c r="N24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3" s="17" t="str">
        <f t="shared" si="38"/>
        <v>Còn trống</v>
      </c>
    </row>
    <row r="2464" spans="1:16" x14ac:dyDescent="0.3">
      <c r="A2464">
        <v>2463</v>
      </c>
      <c r="B2464" t="s">
        <v>5520</v>
      </c>
      <c r="C2464" t="s">
        <v>5673</v>
      </c>
      <c r="D2464" t="s">
        <v>5674</v>
      </c>
      <c r="E2464" t="s">
        <v>26</v>
      </c>
      <c r="F2464" t="s">
        <v>5533</v>
      </c>
      <c r="G2464" t="s">
        <v>5534</v>
      </c>
      <c r="H2464" t="str">
        <f>'Huong dan giao do an'!$B$14</f>
        <v>5 SV (vai trò chính): 1 PM/Scrum Master kiêm Integration; 2 BA/PO; 3 UI-UX + Frontend; 4 Backend/API + DevOps; 5 Database + QA/Tester. Mỗi SV có nhiệm vụ phụ và minh chứng cá nhân.</v>
      </c>
      <c r="I2464" t="s">
        <v>36</v>
      </c>
      <c r="J2464" t="s">
        <v>5535</v>
      </c>
      <c r="K2464" t="str">
        <f>IF(I2464="Trung bình",'Huong dan giao do an'!$B$8,IF(I2464="Khá",'Huong dan giao do an'!$B$9,'Huong dan giao do an'!$B$10))</f>
        <v>Tối thiểu 3 actor; 8-10 use case; 6-8 bảng dữ liệu; 2 quy trình lõi; đăng nhập/RBAC; 1 dashboard; 1 báo cáo; &gt;=25 test case; triển khai bản demo.</v>
      </c>
      <c r="L2464" t="str">
        <f>'Huong dan giao do an'!$B$31</f>
        <v>Bắt buộc: Charter/PMP; SRS + scope/WBS; Gantt/baseline; effort-cost budget; RACI/timesheet; quality-test-defect; communication/minutes; risk register; procurement; change log; closure/lessons learned.</v>
      </c>
      <c r="M2464" t="str">
        <f>'Huong dan giao do an'!$B$33</f>
        <v>Tuần 1: 07.09–13.09.2026; Tuần 2: 14.09–20.09.2026; Tuần 3: 21.09–27.09.2026; Tuần 4: 28.09–04.10.2026; Tuần 5: 05.10–11.10.2026; Tuần 6: 12.10–18.10.2026; Tuần 7: 19.10–25.10.2026; Tuần 8: 26.10–01.11.2026.</v>
      </c>
      <c r="N24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4" s="17" t="str">
        <f t="shared" si="38"/>
        <v>Còn trống</v>
      </c>
    </row>
    <row r="2465" spans="1:16" x14ac:dyDescent="0.3">
      <c r="A2465">
        <v>2464</v>
      </c>
      <c r="B2465" t="s">
        <v>5520</v>
      </c>
      <c r="C2465" t="s">
        <v>5675</v>
      </c>
      <c r="D2465" t="s">
        <v>5676</v>
      </c>
      <c r="E2465" t="s">
        <v>33</v>
      </c>
      <c r="F2465" t="s">
        <v>5538</v>
      </c>
      <c r="G2465" t="s">
        <v>5539</v>
      </c>
      <c r="H2465" t="str">
        <f>'Huong dan giao do an'!$B$14</f>
        <v>5 SV (vai trò chính): 1 PM/Scrum Master kiêm Integration; 2 BA/PO; 3 UI-UX + Frontend; 4 Backend/API + DevOps; 5 Database + QA/Tester. Mỗi SV có nhiệm vụ phụ và minh chứng cá nhân.</v>
      </c>
      <c r="I2465" t="s">
        <v>22</v>
      </c>
      <c r="J2465" t="s">
        <v>5525</v>
      </c>
      <c r="K2465" t="str">
        <f>IF(I2465="Trung bình",'Huong dan giao do an'!$B$8,IF(I2465="Khá",'Huong dan giao do an'!$B$9,'Huong dan giao do an'!$B$10))</f>
        <v>Tối thiểu 4 actor; 10-14 use case; 8-12 bảng; 3 quy trình lõi; phân quyền chi tiết; 2 báo cáo; tích hợp 1 dịch vụ; &gt;=35 test case; CI/CD hoặc deploy cloud.</v>
      </c>
      <c r="L2465" t="str">
        <f>'Huong dan giao do an'!$B$31</f>
        <v>Bắt buộc: Charter/PMP; SRS + scope/WBS; Gantt/baseline; effort-cost budget; RACI/timesheet; quality-test-defect; communication/minutes; risk register; procurement; change log; closure/lessons learned.</v>
      </c>
      <c r="M2465" t="str">
        <f>'Huong dan giao do an'!$B$33</f>
        <v>Tuần 1: 07.09–13.09.2026; Tuần 2: 14.09–20.09.2026; Tuần 3: 21.09–27.09.2026; Tuần 4: 28.09–04.10.2026; Tuần 5: 05.10–11.10.2026; Tuần 6: 12.10–18.10.2026; Tuần 7: 19.10–25.10.2026; Tuần 8: 26.10–01.11.2026.</v>
      </c>
      <c r="N24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5" s="17" t="str">
        <f t="shared" si="38"/>
        <v>Còn trống</v>
      </c>
    </row>
    <row r="2466" spans="1:16" x14ac:dyDescent="0.3">
      <c r="A2466">
        <v>2465</v>
      </c>
      <c r="B2466" t="s">
        <v>5520</v>
      </c>
      <c r="C2466" t="s">
        <v>5677</v>
      </c>
      <c r="D2466" t="s">
        <v>5678</v>
      </c>
      <c r="E2466" t="s">
        <v>40</v>
      </c>
      <c r="F2466" t="s">
        <v>5542</v>
      </c>
      <c r="G2466" t="s">
        <v>5543</v>
      </c>
      <c r="H2466" t="str">
        <f>'Huong dan giao do an'!$B$14</f>
        <v>5 SV (vai trò chính): 1 PM/Scrum Master kiêm Integration; 2 BA/PO; 3 UI-UX + Frontend; 4 Backend/API + DevOps; 5 Database + QA/Tester. Mỗi SV có nhiệm vụ phụ và minh chứng cá nhân.</v>
      </c>
      <c r="I2466" t="s">
        <v>29</v>
      </c>
      <c r="J2466" t="s">
        <v>5530</v>
      </c>
      <c r="K2466" t="str">
        <f>IF(I2466="Trung bình",'Huong dan giao do an'!$B$8,IF(I2466="Khá",'Huong dan giao do an'!$B$9,'Huong dan giao do an'!$B$10))</f>
        <v>Tối thiểu 5 actor; 14-18 use case; 10-15 bảng; 4 quy trình; tích hợp ngoài/realtime hoặc xử lý nâng cao; 3 báo cáo; &gt;=45 test case; logging, backup và deploy.</v>
      </c>
      <c r="L2466" t="str">
        <f>'Huong dan giao do an'!$B$31</f>
        <v>Bắt buộc: Charter/PMP; SRS + scope/WBS; Gantt/baseline; effort-cost budget; RACI/timesheet; quality-test-defect; communication/minutes; risk register; procurement; change log; closure/lessons learned.</v>
      </c>
      <c r="M2466" t="str">
        <f>'Huong dan giao do an'!$B$33</f>
        <v>Tuần 1: 07.09–13.09.2026; Tuần 2: 14.09–20.09.2026; Tuần 3: 21.09–27.09.2026; Tuần 4: 28.09–04.10.2026; Tuần 5: 05.10–11.10.2026; Tuần 6: 12.10–18.10.2026; Tuần 7: 19.10–25.10.2026; Tuần 8: 26.10–01.11.2026.</v>
      </c>
      <c r="N24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6" s="17" t="str">
        <f t="shared" si="38"/>
        <v>Còn trống</v>
      </c>
    </row>
    <row r="2467" spans="1:16" x14ac:dyDescent="0.3">
      <c r="A2467">
        <v>2466</v>
      </c>
      <c r="B2467" t="s">
        <v>5520</v>
      </c>
      <c r="C2467" t="s">
        <v>5679</v>
      </c>
      <c r="D2467" t="s">
        <v>5680</v>
      </c>
      <c r="E2467" t="s">
        <v>45</v>
      </c>
      <c r="F2467" t="s">
        <v>5523</v>
      </c>
      <c r="G2467" t="s">
        <v>5546</v>
      </c>
      <c r="H2467" t="str">
        <f>'Huong dan giao do an'!$B$14</f>
        <v>5 SV (vai trò chính): 1 PM/Scrum Master kiêm Integration; 2 BA/PO; 3 UI-UX + Frontend; 4 Backend/API + DevOps; 5 Database + QA/Tester. Mỗi SV có nhiệm vụ phụ và minh chứng cá nhân.</v>
      </c>
      <c r="I2467" t="s">
        <v>36</v>
      </c>
      <c r="J2467" t="s">
        <v>5535</v>
      </c>
      <c r="K2467" t="str">
        <f>IF(I2467="Trung bình",'Huong dan giao do an'!$B$8,IF(I2467="Khá",'Huong dan giao do an'!$B$9,'Huong dan giao do an'!$B$10))</f>
        <v>Tối thiểu 3 actor; 8-10 use case; 6-8 bảng dữ liệu; 2 quy trình lõi; đăng nhập/RBAC; 1 dashboard; 1 báo cáo; &gt;=25 test case; triển khai bản demo.</v>
      </c>
      <c r="L2467" t="str">
        <f>'Huong dan giao do an'!$B$31</f>
        <v>Bắt buộc: Charter/PMP; SRS + scope/WBS; Gantt/baseline; effort-cost budget; RACI/timesheet; quality-test-defect; communication/minutes; risk register; procurement; change log; closure/lessons learned.</v>
      </c>
      <c r="M2467" t="str">
        <f>'Huong dan giao do an'!$B$33</f>
        <v>Tuần 1: 07.09–13.09.2026; Tuần 2: 14.09–20.09.2026; Tuần 3: 21.09–27.09.2026; Tuần 4: 28.09–04.10.2026; Tuần 5: 05.10–11.10.2026; Tuần 6: 12.10–18.10.2026; Tuần 7: 19.10–25.10.2026; Tuần 8: 26.10–01.11.2026.</v>
      </c>
      <c r="N24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7" s="17" t="str">
        <f t="shared" si="38"/>
        <v>Còn trống</v>
      </c>
    </row>
    <row r="2468" spans="1:16" x14ac:dyDescent="0.3">
      <c r="A2468">
        <v>2467</v>
      </c>
      <c r="B2468" t="s">
        <v>5520</v>
      </c>
      <c r="C2468" t="s">
        <v>5681</v>
      </c>
      <c r="D2468" t="s">
        <v>5682</v>
      </c>
      <c r="E2468" t="s">
        <v>19</v>
      </c>
      <c r="F2468" t="s">
        <v>5528</v>
      </c>
      <c r="G2468" t="s">
        <v>5549</v>
      </c>
      <c r="H2468" t="str">
        <f>'Huong dan giao do an'!$B$14</f>
        <v>5 SV (vai trò chính): 1 PM/Scrum Master kiêm Integration; 2 BA/PO; 3 UI-UX + Frontend; 4 Backend/API + DevOps; 5 Database + QA/Tester. Mỗi SV có nhiệm vụ phụ và minh chứng cá nhân.</v>
      </c>
      <c r="I2468" t="s">
        <v>22</v>
      </c>
      <c r="J2468" t="s">
        <v>5525</v>
      </c>
      <c r="K2468" t="str">
        <f>IF(I2468="Trung bình",'Huong dan giao do an'!$B$8,IF(I2468="Khá",'Huong dan giao do an'!$B$9,'Huong dan giao do an'!$B$10))</f>
        <v>Tối thiểu 4 actor; 10-14 use case; 8-12 bảng; 3 quy trình lõi; phân quyền chi tiết; 2 báo cáo; tích hợp 1 dịch vụ; &gt;=35 test case; CI/CD hoặc deploy cloud.</v>
      </c>
      <c r="L2468" t="str">
        <f>'Huong dan giao do an'!$B$31</f>
        <v>Bắt buộc: Charter/PMP; SRS + scope/WBS; Gantt/baseline; effort-cost budget; RACI/timesheet; quality-test-defect; communication/minutes; risk register; procurement; change log; closure/lessons learned.</v>
      </c>
      <c r="M2468" t="str">
        <f>'Huong dan giao do an'!$B$33</f>
        <v>Tuần 1: 07.09–13.09.2026; Tuần 2: 14.09–20.09.2026; Tuần 3: 21.09–27.09.2026; Tuần 4: 28.09–04.10.2026; Tuần 5: 05.10–11.10.2026; Tuần 6: 12.10–18.10.2026; Tuần 7: 19.10–25.10.2026; Tuần 8: 26.10–01.11.2026.</v>
      </c>
      <c r="N24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8" s="17" t="str">
        <f t="shared" si="38"/>
        <v>Còn trống</v>
      </c>
    </row>
    <row r="2469" spans="1:16" x14ac:dyDescent="0.3">
      <c r="A2469">
        <v>2468</v>
      </c>
      <c r="B2469" t="s">
        <v>5520</v>
      </c>
      <c r="C2469" t="s">
        <v>5683</v>
      </c>
      <c r="D2469" t="s">
        <v>5684</v>
      </c>
      <c r="E2469" t="s">
        <v>26</v>
      </c>
      <c r="F2469" t="s">
        <v>5533</v>
      </c>
      <c r="G2469" t="s">
        <v>5552</v>
      </c>
      <c r="H2469" t="str">
        <f>'Huong dan giao do an'!$B$14</f>
        <v>5 SV (vai trò chính): 1 PM/Scrum Master kiêm Integration; 2 BA/PO; 3 UI-UX + Frontend; 4 Backend/API + DevOps; 5 Database + QA/Tester. Mỗi SV có nhiệm vụ phụ và minh chứng cá nhân.</v>
      </c>
      <c r="I2469" t="s">
        <v>29</v>
      </c>
      <c r="J2469" t="s">
        <v>5530</v>
      </c>
      <c r="K2469" t="str">
        <f>IF(I2469="Trung bình",'Huong dan giao do an'!$B$8,IF(I2469="Khá",'Huong dan giao do an'!$B$9,'Huong dan giao do an'!$B$10))</f>
        <v>Tối thiểu 5 actor; 14-18 use case; 10-15 bảng; 4 quy trình; tích hợp ngoài/realtime hoặc xử lý nâng cao; 3 báo cáo; &gt;=45 test case; logging, backup và deploy.</v>
      </c>
      <c r="L2469" t="str">
        <f>'Huong dan giao do an'!$B$31</f>
        <v>Bắt buộc: Charter/PMP; SRS + scope/WBS; Gantt/baseline; effort-cost budget; RACI/timesheet; quality-test-defect; communication/minutes; risk register; procurement; change log; closure/lessons learned.</v>
      </c>
      <c r="M2469" t="str">
        <f>'Huong dan giao do an'!$B$33</f>
        <v>Tuần 1: 07.09–13.09.2026; Tuần 2: 14.09–20.09.2026; Tuần 3: 21.09–27.09.2026; Tuần 4: 28.09–04.10.2026; Tuần 5: 05.10–11.10.2026; Tuần 6: 12.10–18.10.2026; Tuần 7: 19.10–25.10.2026; Tuần 8: 26.10–01.11.2026.</v>
      </c>
      <c r="N24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69" s="17" t="str">
        <f t="shared" si="38"/>
        <v>Còn trống</v>
      </c>
    </row>
    <row r="2470" spans="1:16" x14ac:dyDescent="0.3">
      <c r="A2470">
        <v>2469</v>
      </c>
      <c r="B2470" t="s">
        <v>5520</v>
      </c>
      <c r="C2470" t="s">
        <v>5685</v>
      </c>
      <c r="D2470" t="s">
        <v>5686</v>
      </c>
      <c r="E2470" t="s">
        <v>33</v>
      </c>
      <c r="F2470" t="s">
        <v>5538</v>
      </c>
      <c r="G2470" t="s">
        <v>5555</v>
      </c>
      <c r="H2470" t="str">
        <f>'Huong dan giao do an'!$B$14</f>
        <v>5 SV (vai trò chính): 1 PM/Scrum Master kiêm Integration; 2 BA/PO; 3 UI-UX + Frontend; 4 Backend/API + DevOps; 5 Database + QA/Tester. Mỗi SV có nhiệm vụ phụ và minh chứng cá nhân.</v>
      </c>
      <c r="I2470" t="s">
        <v>36</v>
      </c>
      <c r="J2470" t="s">
        <v>5535</v>
      </c>
      <c r="K2470" t="str">
        <f>IF(I2470="Trung bình",'Huong dan giao do an'!$B$8,IF(I2470="Khá",'Huong dan giao do an'!$B$9,'Huong dan giao do an'!$B$10))</f>
        <v>Tối thiểu 3 actor; 8-10 use case; 6-8 bảng dữ liệu; 2 quy trình lõi; đăng nhập/RBAC; 1 dashboard; 1 báo cáo; &gt;=25 test case; triển khai bản demo.</v>
      </c>
      <c r="L2470" t="str">
        <f>'Huong dan giao do an'!$B$31</f>
        <v>Bắt buộc: Charter/PMP; SRS + scope/WBS; Gantt/baseline; effort-cost budget; RACI/timesheet; quality-test-defect; communication/minutes; risk register; procurement; change log; closure/lessons learned.</v>
      </c>
      <c r="M2470" t="str">
        <f>'Huong dan giao do an'!$B$33</f>
        <v>Tuần 1: 07.09–13.09.2026; Tuần 2: 14.09–20.09.2026; Tuần 3: 21.09–27.09.2026; Tuần 4: 28.09–04.10.2026; Tuần 5: 05.10–11.10.2026; Tuần 6: 12.10–18.10.2026; Tuần 7: 19.10–25.10.2026; Tuần 8: 26.10–01.11.2026.</v>
      </c>
      <c r="N24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0" s="17" t="str">
        <f t="shared" si="38"/>
        <v>Còn trống</v>
      </c>
    </row>
    <row r="2471" spans="1:16" x14ac:dyDescent="0.3">
      <c r="A2471">
        <v>2470</v>
      </c>
      <c r="B2471" t="s">
        <v>5520</v>
      </c>
      <c r="C2471" t="s">
        <v>5687</v>
      </c>
      <c r="D2471" t="s">
        <v>5688</v>
      </c>
      <c r="E2471" t="s">
        <v>40</v>
      </c>
      <c r="F2471" t="s">
        <v>5542</v>
      </c>
      <c r="G2471" t="s">
        <v>5558</v>
      </c>
      <c r="H2471" t="str">
        <f>'Huong dan giao do an'!$B$14</f>
        <v>5 SV (vai trò chính): 1 PM/Scrum Master kiêm Integration; 2 BA/PO; 3 UI-UX + Frontend; 4 Backend/API + DevOps; 5 Database + QA/Tester. Mỗi SV có nhiệm vụ phụ và minh chứng cá nhân.</v>
      </c>
      <c r="I2471" t="s">
        <v>22</v>
      </c>
      <c r="J2471" t="s">
        <v>5525</v>
      </c>
      <c r="K2471" t="str">
        <f>IF(I2471="Trung bình",'Huong dan giao do an'!$B$8,IF(I2471="Khá",'Huong dan giao do an'!$B$9,'Huong dan giao do an'!$B$10))</f>
        <v>Tối thiểu 4 actor; 10-14 use case; 8-12 bảng; 3 quy trình lõi; phân quyền chi tiết; 2 báo cáo; tích hợp 1 dịch vụ; &gt;=35 test case; CI/CD hoặc deploy cloud.</v>
      </c>
      <c r="L2471" t="str">
        <f>'Huong dan giao do an'!$B$31</f>
        <v>Bắt buộc: Charter/PMP; SRS + scope/WBS; Gantt/baseline; effort-cost budget; RACI/timesheet; quality-test-defect; communication/minutes; risk register; procurement; change log; closure/lessons learned.</v>
      </c>
      <c r="M2471" t="str">
        <f>'Huong dan giao do an'!$B$33</f>
        <v>Tuần 1: 07.09–13.09.2026; Tuần 2: 14.09–20.09.2026; Tuần 3: 21.09–27.09.2026; Tuần 4: 28.09–04.10.2026; Tuần 5: 05.10–11.10.2026; Tuần 6: 12.10–18.10.2026; Tuần 7: 19.10–25.10.2026; Tuần 8: 26.10–01.11.2026.</v>
      </c>
      <c r="N24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1" s="17" t="str">
        <f t="shared" si="38"/>
        <v>Còn trống</v>
      </c>
    </row>
    <row r="2472" spans="1:16" x14ac:dyDescent="0.3">
      <c r="A2472">
        <v>2471</v>
      </c>
      <c r="B2472" t="s">
        <v>5520</v>
      </c>
      <c r="C2472" t="s">
        <v>5689</v>
      </c>
      <c r="D2472" t="s">
        <v>5690</v>
      </c>
      <c r="E2472" t="s">
        <v>45</v>
      </c>
      <c r="F2472" t="s">
        <v>5523</v>
      </c>
      <c r="G2472" t="s">
        <v>5561</v>
      </c>
      <c r="H2472" t="str">
        <f>'Huong dan giao do an'!$B$14</f>
        <v>5 SV (vai trò chính): 1 PM/Scrum Master kiêm Integration; 2 BA/PO; 3 UI-UX + Frontend; 4 Backend/API + DevOps; 5 Database + QA/Tester. Mỗi SV có nhiệm vụ phụ và minh chứng cá nhân.</v>
      </c>
      <c r="I2472" t="s">
        <v>29</v>
      </c>
      <c r="J2472" t="s">
        <v>5530</v>
      </c>
      <c r="K2472" t="str">
        <f>IF(I2472="Trung bình",'Huong dan giao do an'!$B$8,IF(I2472="Khá",'Huong dan giao do an'!$B$9,'Huong dan giao do an'!$B$10))</f>
        <v>Tối thiểu 5 actor; 14-18 use case; 10-15 bảng; 4 quy trình; tích hợp ngoài/realtime hoặc xử lý nâng cao; 3 báo cáo; &gt;=45 test case; logging, backup và deploy.</v>
      </c>
      <c r="L2472" t="str">
        <f>'Huong dan giao do an'!$B$31</f>
        <v>Bắt buộc: Charter/PMP; SRS + scope/WBS; Gantt/baseline; effort-cost budget; RACI/timesheet; quality-test-defect; communication/minutes; risk register; procurement; change log; closure/lessons learned.</v>
      </c>
      <c r="M2472" t="str">
        <f>'Huong dan giao do an'!$B$33</f>
        <v>Tuần 1: 07.09–13.09.2026; Tuần 2: 14.09–20.09.2026; Tuần 3: 21.09–27.09.2026; Tuần 4: 28.09–04.10.2026; Tuần 5: 05.10–11.10.2026; Tuần 6: 12.10–18.10.2026; Tuần 7: 19.10–25.10.2026; Tuần 8: 26.10–01.11.2026.</v>
      </c>
      <c r="N24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2" s="17" t="str">
        <f t="shared" si="38"/>
        <v>Còn trống</v>
      </c>
    </row>
    <row r="2473" spans="1:16" x14ac:dyDescent="0.3">
      <c r="A2473">
        <v>2472</v>
      </c>
      <c r="B2473" t="s">
        <v>5520</v>
      </c>
      <c r="C2473" t="s">
        <v>5691</v>
      </c>
      <c r="D2473" t="s">
        <v>5692</v>
      </c>
      <c r="E2473" t="s">
        <v>19</v>
      </c>
      <c r="F2473" t="s">
        <v>5528</v>
      </c>
      <c r="G2473" t="s">
        <v>5564</v>
      </c>
      <c r="H2473" t="str">
        <f>'Huong dan giao do an'!$B$14</f>
        <v>5 SV (vai trò chính): 1 PM/Scrum Master kiêm Integration; 2 BA/PO; 3 UI-UX + Frontend; 4 Backend/API + DevOps; 5 Database + QA/Tester. Mỗi SV có nhiệm vụ phụ và minh chứng cá nhân.</v>
      </c>
      <c r="I2473" t="s">
        <v>36</v>
      </c>
      <c r="J2473" t="s">
        <v>5535</v>
      </c>
      <c r="K2473" t="str">
        <f>IF(I2473="Trung bình",'Huong dan giao do an'!$B$8,IF(I2473="Khá",'Huong dan giao do an'!$B$9,'Huong dan giao do an'!$B$10))</f>
        <v>Tối thiểu 3 actor; 8-10 use case; 6-8 bảng dữ liệu; 2 quy trình lõi; đăng nhập/RBAC; 1 dashboard; 1 báo cáo; &gt;=25 test case; triển khai bản demo.</v>
      </c>
      <c r="L2473" t="str">
        <f>'Huong dan giao do an'!$B$31</f>
        <v>Bắt buộc: Charter/PMP; SRS + scope/WBS; Gantt/baseline; effort-cost budget; RACI/timesheet; quality-test-defect; communication/minutes; risk register; procurement; change log; closure/lessons learned.</v>
      </c>
      <c r="M2473" t="str">
        <f>'Huong dan giao do an'!$B$33</f>
        <v>Tuần 1: 07.09–13.09.2026; Tuần 2: 14.09–20.09.2026; Tuần 3: 21.09–27.09.2026; Tuần 4: 28.09–04.10.2026; Tuần 5: 05.10–11.10.2026; Tuần 6: 12.10–18.10.2026; Tuần 7: 19.10–25.10.2026; Tuần 8: 26.10–01.11.2026.</v>
      </c>
      <c r="N24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3" s="17" t="str">
        <f t="shared" si="38"/>
        <v>Còn trống</v>
      </c>
    </row>
    <row r="2474" spans="1:16" x14ac:dyDescent="0.3">
      <c r="A2474">
        <v>2473</v>
      </c>
      <c r="B2474" t="s">
        <v>5520</v>
      </c>
      <c r="C2474" t="s">
        <v>5693</v>
      </c>
      <c r="D2474" t="s">
        <v>5694</v>
      </c>
      <c r="E2474" t="s">
        <v>26</v>
      </c>
      <c r="F2474" t="s">
        <v>5533</v>
      </c>
      <c r="G2474" t="s">
        <v>5567</v>
      </c>
      <c r="H2474" t="str">
        <f>'Huong dan giao do an'!$B$14</f>
        <v>5 SV (vai trò chính): 1 PM/Scrum Master kiêm Integration; 2 BA/PO; 3 UI-UX + Frontend; 4 Backend/API + DevOps; 5 Database + QA/Tester. Mỗi SV có nhiệm vụ phụ và minh chứng cá nhân.</v>
      </c>
      <c r="I2474" t="s">
        <v>22</v>
      </c>
      <c r="J2474" t="s">
        <v>5525</v>
      </c>
      <c r="K2474" t="str">
        <f>IF(I2474="Trung bình",'Huong dan giao do an'!$B$8,IF(I2474="Khá",'Huong dan giao do an'!$B$9,'Huong dan giao do an'!$B$10))</f>
        <v>Tối thiểu 4 actor; 10-14 use case; 8-12 bảng; 3 quy trình lõi; phân quyền chi tiết; 2 báo cáo; tích hợp 1 dịch vụ; &gt;=35 test case; CI/CD hoặc deploy cloud.</v>
      </c>
      <c r="L2474" t="str">
        <f>'Huong dan giao do an'!$B$31</f>
        <v>Bắt buộc: Charter/PMP; SRS + scope/WBS; Gantt/baseline; effort-cost budget; RACI/timesheet; quality-test-defect; communication/minutes; risk register; procurement; change log; closure/lessons learned.</v>
      </c>
      <c r="M2474" t="str">
        <f>'Huong dan giao do an'!$B$33</f>
        <v>Tuần 1: 07.09–13.09.2026; Tuần 2: 14.09–20.09.2026; Tuần 3: 21.09–27.09.2026; Tuần 4: 28.09–04.10.2026; Tuần 5: 05.10–11.10.2026; Tuần 6: 12.10–18.10.2026; Tuần 7: 19.10–25.10.2026; Tuần 8: 26.10–01.11.2026.</v>
      </c>
      <c r="N24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4" s="17" t="str">
        <f t="shared" si="38"/>
        <v>Còn trống</v>
      </c>
    </row>
    <row r="2475" spans="1:16" x14ac:dyDescent="0.3">
      <c r="A2475">
        <v>2474</v>
      </c>
      <c r="B2475" t="s">
        <v>5520</v>
      </c>
      <c r="C2475" t="s">
        <v>5695</v>
      </c>
      <c r="D2475" t="s">
        <v>5696</v>
      </c>
      <c r="E2475" t="s">
        <v>33</v>
      </c>
      <c r="F2475" t="s">
        <v>5538</v>
      </c>
      <c r="G2475" t="s">
        <v>5570</v>
      </c>
      <c r="H2475" t="str">
        <f>'Huong dan giao do an'!$B$14</f>
        <v>5 SV (vai trò chính): 1 PM/Scrum Master kiêm Integration; 2 BA/PO; 3 UI-UX + Frontend; 4 Backend/API + DevOps; 5 Database + QA/Tester. Mỗi SV có nhiệm vụ phụ và minh chứng cá nhân.</v>
      </c>
      <c r="I2475" t="s">
        <v>29</v>
      </c>
      <c r="J2475" t="s">
        <v>5530</v>
      </c>
      <c r="K2475" t="str">
        <f>IF(I2475="Trung bình",'Huong dan giao do an'!$B$8,IF(I2475="Khá",'Huong dan giao do an'!$B$9,'Huong dan giao do an'!$B$10))</f>
        <v>Tối thiểu 5 actor; 14-18 use case; 10-15 bảng; 4 quy trình; tích hợp ngoài/realtime hoặc xử lý nâng cao; 3 báo cáo; &gt;=45 test case; logging, backup và deploy.</v>
      </c>
      <c r="L2475" t="str">
        <f>'Huong dan giao do an'!$B$31</f>
        <v>Bắt buộc: Charter/PMP; SRS + scope/WBS; Gantt/baseline; effort-cost budget; RACI/timesheet; quality-test-defect; communication/minutes; risk register; procurement; change log; closure/lessons learned.</v>
      </c>
      <c r="M2475" t="str">
        <f>'Huong dan giao do an'!$B$33</f>
        <v>Tuần 1: 07.09–13.09.2026; Tuần 2: 14.09–20.09.2026; Tuần 3: 21.09–27.09.2026; Tuần 4: 28.09–04.10.2026; Tuần 5: 05.10–11.10.2026; Tuần 6: 12.10–18.10.2026; Tuần 7: 19.10–25.10.2026; Tuần 8: 26.10–01.11.2026.</v>
      </c>
      <c r="N24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5" s="17" t="str">
        <f t="shared" si="38"/>
        <v>Còn trống</v>
      </c>
    </row>
    <row r="2476" spans="1:16" x14ac:dyDescent="0.3">
      <c r="A2476">
        <v>2475</v>
      </c>
      <c r="B2476" t="s">
        <v>5520</v>
      </c>
      <c r="C2476" t="s">
        <v>5697</v>
      </c>
      <c r="D2476" t="s">
        <v>5698</v>
      </c>
      <c r="E2476" t="s">
        <v>40</v>
      </c>
      <c r="F2476" t="s">
        <v>5542</v>
      </c>
      <c r="G2476" t="s">
        <v>5573</v>
      </c>
      <c r="H2476" t="str">
        <f>'Huong dan giao do an'!$B$14</f>
        <v>5 SV (vai trò chính): 1 PM/Scrum Master kiêm Integration; 2 BA/PO; 3 UI-UX + Frontend; 4 Backend/API + DevOps; 5 Database + QA/Tester. Mỗi SV có nhiệm vụ phụ và minh chứng cá nhân.</v>
      </c>
      <c r="I2476" t="s">
        <v>36</v>
      </c>
      <c r="J2476" t="s">
        <v>5535</v>
      </c>
      <c r="K2476" t="str">
        <f>IF(I2476="Trung bình",'Huong dan giao do an'!$B$8,IF(I2476="Khá",'Huong dan giao do an'!$B$9,'Huong dan giao do an'!$B$10))</f>
        <v>Tối thiểu 3 actor; 8-10 use case; 6-8 bảng dữ liệu; 2 quy trình lõi; đăng nhập/RBAC; 1 dashboard; 1 báo cáo; &gt;=25 test case; triển khai bản demo.</v>
      </c>
      <c r="L2476" t="str">
        <f>'Huong dan giao do an'!$B$31</f>
        <v>Bắt buộc: Charter/PMP; SRS + scope/WBS; Gantt/baseline; effort-cost budget; RACI/timesheet; quality-test-defect; communication/minutes; risk register; procurement; change log; closure/lessons learned.</v>
      </c>
      <c r="M2476" t="str">
        <f>'Huong dan giao do an'!$B$33</f>
        <v>Tuần 1: 07.09–13.09.2026; Tuần 2: 14.09–20.09.2026; Tuần 3: 21.09–27.09.2026; Tuần 4: 28.09–04.10.2026; Tuần 5: 05.10–11.10.2026; Tuần 6: 12.10–18.10.2026; Tuần 7: 19.10–25.10.2026; Tuần 8: 26.10–01.11.2026.</v>
      </c>
      <c r="N24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6" s="17" t="str">
        <f t="shared" si="38"/>
        <v>Còn trống</v>
      </c>
    </row>
    <row r="2477" spans="1:16" x14ac:dyDescent="0.3">
      <c r="A2477">
        <v>2476</v>
      </c>
      <c r="B2477" t="s">
        <v>5520</v>
      </c>
      <c r="C2477" t="s">
        <v>5699</v>
      </c>
      <c r="D2477" t="s">
        <v>5700</v>
      </c>
      <c r="E2477" t="s">
        <v>45</v>
      </c>
      <c r="F2477" t="s">
        <v>5523</v>
      </c>
      <c r="G2477" t="s">
        <v>5576</v>
      </c>
      <c r="H2477" t="str">
        <f>'Huong dan giao do an'!$B$14</f>
        <v>5 SV (vai trò chính): 1 PM/Scrum Master kiêm Integration; 2 BA/PO; 3 UI-UX + Frontend; 4 Backend/API + DevOps; 5 Database + QA/Tester. Mỗi SV có nhiệm vụ phụ và minh chứng cá nhân.</v>
      </c>
      <c r="I2477" t="s">
        <v>22</v>
      </c>
      <c r="J2477" t="s">
        <v>5525</v>
      </c>
      <c r="K2477" t="str">
        <f>IF(I2477="Trung bình",'Huong dan giao do an'!$B$8,IF(I2477="Khá",'Huong dan giao do an'!$B$9,'Huong dan giao do an'!$B$10))</f>
        <v>Tối thiểu 4 actor; 10-14 use case; 8-12 bảng; 3 quy trình lõi; phân quyền chi tiết; 2 báo cáo; tích hợp 1 dịch vụ; &gt;=35 test case; CI/CD hoặc deploy cloud.</v>
      </c>
      <c r="L2477" t="str">
        <f>'Huong dan giao do an'!$B$31</f>
        <v>Bắt buộc: Charter/PMP; SRS + scope/WBS; Gantt/baseline; effort-cost budget; RACI/timesheet; quality-test-defect; communication/minutes; risk register; procurement; change log; closure/lessons learned.</v>
      </c>
      <c r="M2477" t="str">
        <f>'Huong dan giao do an'!$B$33</f>
        <v>Tuần 1: 07.09–13.09.2026; Tuần 2: 14.09–20.09.2026; Tuần 3: 21.09–27.09.2026; Tuần 4: 28.09–04.10.2026; Tuần 5: 05.10–11.10.2026; Tuần 6: 12.10–18.10.2026; Tuần 7: 19.10–25.10.2026; Tuần 8: 26.10–01.11.2026.</v>
      </c>
      <c r="N24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7" s="17" t="str">
        <f t="shared" si="38"/>
        <v>Còn trống</v>
      </c>
    </row>
    <row r="2478" spans="1:16" x14ac:dyDescent="0.3">
      <c r="A2478">
        <v>2477</v>
      </c>
      <c r="B2478" t="s">
        <v>5520</v>
      </c>
      <c r="C2478" t="s">
        <v>5701</v>
      </c>
      <c r="D2478" t="s">
        <v>5702</v>
      </c>
      <c r="E2478" t="s">
        <v>19</v>
      </c>
      <c r="F2478" t="s">
        <v>5528</v>
      </c>
      <c r="G2478" t="s">
        <v>5579</v>
      </c>
      <c r="H2478" t="str">
        <f>'Huong dan giao do an'!$B$14</f>
        <v>5 SV (vai trò chính): 1 PM/Scrum Master kiêm Integration; 2 BA/PO; 3 UI-UX + Frontend; 4 Backend/API + DevOps; 5 Database + QA/Tester. Mỗi SV có nhiệm vụ phụ và minh chứng cá nhân.</v>
      </c>
      <c r="I2478" t="s">
        <v>29</v>
      </c>
      <c r="J2478" t="s">
        <v>5530</v>
      </c>
      <c r="K2478" t="str">
        <f>IF(I2478="Trung bình",'Huong dan giao do an'!$B$8,IF(I2478="Khá",'Huong dan giao do an'!$B$9,'Huong dan giao do an'!$B$10))</f>
        <v>Tối thiểu 5 actor; 14-18 use case; 10-15 bảng; 4 quy trình; tích hợp ngoài/realtime hoặc xử lý nâng cao; 3 báo cáo; &gt;=45 test case; logging, backup và deploy.</v>
      </c>
      <c r="L2478" t="str">
        <f>'Huong dan giao do an'!$B$31</f>
        <v>Bắt buộc: Charter/PMP; SRS + scope/WBS; Gantt/baseline; effort-cost budget; RACI/timesheet; quality-test-defect; communication/minutes; risk register; procurement; change log; closure/lessons learned.</v>
      </c>
      <c r="M2478" t="str">
        <f>'Huong dan giao do an'!$B$33</f>
        <v>Tuần 1: 07.09–13.09.2026; Tuần 2: 14.09–20.09.2026; Tuần 3: 21.09–27.09.2026; Tuần 4: 28.09–04.10.2026; Tuần 5: 05.10–11.10.2026; Tuần 6: 12.10–18.10.2026; Tuần 7: 19.10–25.10.2026; Tuần 8: 26.10–01.11.2026.</v>
      </c>
      <c r="N24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8" s="17" t="str">
        <f t="shared" si="38"/>
        <v>Còn trống</v>
      </c>
    </row>
    <row r="2479" spans="1:16" x14ac:dyDescent="0.3">
      <c r="A2479">
        <v>2478</v>
      </c>
      <c r="B2479" t="s">
        <v>5520</v>
      </c>
      <c r="C2479" t="s">
        <v>5703</v>
      </c>
      <c r="D2479" t="s">
        <v>5704</v>
      </c>
      <c r="E2479" t="s">
        <v>26</v>
      </c>
      <c r="F2479" t="s">
        <v>5533</v>
      </c>
      <c r="G2479" t="s">
        <v>5582</v>
      </c>
      <c r="H2479" t="str">
        <f>'Huong dan giao do an'!$B$14</f>
        <v>5 SV (vai trò chính): 1 PM/Scrum Master kiêm Integration; 2 BA/PO; 3 UI-UX + Frontend; 4 Backend/API + DevOps; 5 Database + QA/Tester. Mỗi SV có nhiệm vụ phụ và minh chứng cá nhân.</v>
      </c>
      <c r="I2479" t="s">
        <v>36</v>
      </c>
      <c r="J2479" t="s">
        <v>5535</v>
      </c>
      <c r="K2479" t="str">
        <f>IF(I2479="Trung bình",'Huong dan giao do an'!$B$8,IF(I2479="Khá",'Huong dan giao do an'!$B$9,'Huong dan giao do an'!$B$10))</f>
        <v>Tối thiểu 3 actor; 8-10 use case; 6-8 bảng dữ liệu; 2 quy trình lõi; đăng nhập/RBAC; 1 dashboard; 1 báo cáo; &gt;=25 test case; triển khai bản demo.</v>
      </c>
      <c r="L2479" t="str">
        <f>'Huong dan giao do an'!$B$31</f>
        <v>Bắt buộc: Charter/PMP; SRS + scope/WBS; Gantt/baseline; effort-cost budget; RACI/timesheet; quality-test-defect; communication/minutes; risk register; procurement; change log; closure/lessons learned.</v>
      </c>
      <c r="M2479" t="str">
        <f>'Huong dan giao do an'!$B$33</f>
        <v>Tuần 1: 07.09–13.09.2026; Tuần 2: 14.09–20.09.2026; Tuần 3: 21.09–27.09.2026; Tuần 4: 28.09–04.10.2026; Tuần 5: 05.10–11.10.2026; Tuần 6: 12.10–18.10.2026; Tuần 7: 19.10–25.10.2026; Tuần 8: 26.10–01.11.2026.</v>
      </c>
      <c r="N24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79" s="17" t="str">
        <f t="shared" si="38"/>
        <v>Còn trống</v>
      </c>
    </row>
    <row r="2480" spans="1:16" x14ac:dyDescent="0.3">
      <c r="A2480">
        <v>2479</v>
      </c>
      <c r="B2480" t="s">
        <v>5520</v>
      </c>
      <c r="C2480" t="s">
        <v>5705</v>
      </c>
      <c r="D2480" t="s">
        <v>5706</v>
      </c>
      <c r="E2480" t="s">
        <v>33</v>
      </c>
      <c r="F2480" t="s">
        <v>5538</v>
      </c>
      <c r="G2480" t="s">
        <v>5585</v>
      </c>
      <c r="H2480" t="str">
        <f>'Huong dan giao do an'!$B$14</f>
        <v>5 SV (vai trò chính): 1 PM/Scrum Master kiêm Integration; 2 BA/PO; 3 UI-UX + Frontend; 4 Backend/API + DevOps; 5 Database + QA/Tester. Mỗi SV có nhiệm vụ phụ và minh chứng cá nhân.</v>
      </c>
      <c r="I2480" t="s">
        <v>22</v>
      </c>
      <c r="J2480" t="s">
        <v>5525</v>
      </c>
      <c r="K2480" t="str">
        <f>IF(I2480="Trung bình",'Huong dan giao do an'!$B$8,IF(I2480="Khá",'Huong dan giao do an'!$B$9,'Huong dan giao do an'!$B$10))</f>
        <v>Tối thiểu 4 actor; 10-14 use case; 8-12 bảng; 3 quy trình lõi; phân quyền chi tiết; 2 báo cáo; tích hợp 1 dịch vụ; &gt;=35 test case; CI/CD hoặc deploy cloud.</v>
      </c>
      <c r="L2480" t="str">
        <f>'Huong dan giao do an'!$B$31</f>
        <v>Bắt buộc: Charter/PMP; SRS + scope/WBS; Gantt/baseline; effort-cost budget; RACI/timesheet; quality-test-defect; communication/minutes; risk register; procurement; change log; closure/lessons learned.</v>
      </c>
      <c r="M2480" t="str">
        <f>'Huong dan giao do an'!$B$33</f>
        <v>Tuần 1: 07.09–13.09.2026; Tuần 2: 14.09–20.09.2026; Tuần 3: 21.09–27.09.2026; Tuần 4: 28.09–04.10.2026; Tuần 5: 05.10–11.10.2026; Tuần 6: 12.10–18.10.2026; Tuần 7: 19.10–25.10.2026; Tuần 8: 26.10–01.11.2026.</v>
      </c>
      <c r="N24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0" s="17" t="str">
        <f t="shared" si="38"/>
        <v>Còn trống</v>
      </c>
    </row>
    <row r="2481" spans="1:16" x14ac:dyDescent="0.3">
      <c r="A2481">
        <v>2480</v>
      </c>
      <c r="B2481" t="s">
        <v>5520</v>
      </c>
      <c r="C2481" t="s">
        <v>5707</v>
      </c>
      <c r="D2481" t="s">
        <v>5708</v>
      </c>
      <c r="E2481" t="s">
        <v>40</v>
      </c>
      <c r="F2481" t="s">
        <v>5542</v>
      </c>
      <c r="G2481" t="s">
        <v>5588</v>
      </c>
      <c r="H2481" t="str">
        <f>'Huong dan giao do an'!$B$14</f>
        <v>5 SV (vai trò chính): 1 PM/Scrum Master kiêm Integration; 2 BA/PO; 3 UI-UX + Frontend; 4 Backend/API + DevOps; 5 Database + QA/Tester. Mỗi SV có nhiệm vụ phụ và minh chứng cá nhân.</v>
      </c>
      <c r="I2481" t="s">
        <v>29</v>
      </c>
      <c r="J2481" t="s">
        <v>5530</v>
      </c>
      <c r="K2481" t="str">
        <f>IF(I2481="Trung bình",'Huong dan giao do an'!$B$8,IF(I2481="Khá",'Huong dan giao do an'!$B$9,'Huong dan giao do an'!$B$10))</f>
        <v>Tối thiểu 5 actor; 14-18 use case; 10-15 bảng; 4 quy trình; tích hợp ngoài/realtime hoặc xử lý nâng cao; 3 báo cáo; &gt;=45 test case; logging, backup và deploy.</v>
      </c>
      <c r="L2481" t="str">
        <f>'Huong dan giao do an'!$B$31</f>
        <v>Bắt buộc: Charter/PMP; SRS + scope/WBS; Gantt/baseline; effort-cost budget; RACI/timesheet; quality-test-defect; communication/minutes; risk register; procurement; change log; closure/lessons learned.</v>
      </c>
      <c r="M2481" t="str">
        <f>'Huong dan giao do an'!$B$33</f>
        <v>Tuần 1: 07.09–13.09.2026; Tuần 2: 14.09–20.09.2026; Tuần 3: 21.09–27.09.2026; Tuần 4: 28.09–04.10.2026; Tuần 5: 05.10–11.10.2026; Tuần 6: 12.10–18.10.2026; Tuần 7: 19.10–25.10.2026; Tuần 8: 26.10–01.11.2026.</v>
      </c>
      <c r="N24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1" s="17" t="str">
        <f t="shared" si="38"/>
        <v>Còn trống</v>
      </c>
    </row>
    <row r="2482" spans="1:16" x14ac:dyDescent="0.3">
      <c r="A2482">
        <v>2481</v>
      </c>
      <c r="B2482" t="s">
        <v>5520</v>
      </c>
      <c r="C2482" t="s">
        <v>5709</v>
      </c>
      <c r="D2482" t="s">
        <v>5710</v>
      </c>
      <c r="E2482" t="s">
        <v>45</v>
      </c>
      <c r="F2482" t="s">
        <v>5523</v>
      </c>
      <c r="G2482" t="s">
        <v>5524</v>
      </c>
      <c r="H2482" t="str">
        <f>'Huong dan giao do an'!$B$14</f>
        <v>5 SV (vai trò chính): 1 PM/Scrum Master kiêm Integration; 2 BA/PO; 3 UI-UX + Frontend; 4 Backend/API + DevOps; 5 Database + QA/Tester. Mỗi SV có nhiệm vụ phụ và minh chứng cá nhân.</v>
      </c>
      <c r="I2482" t="s">
        <v>22</v>
      </c>
      <c r="J2482" t="s">
        <v>5525</v>
      </c>
      <c r="K2482" t="str">
        <f>IF(I2482="Trung bình",'Huong dan giao do an'!$B$8,IF(I2482="Khá",'Huong dan giao do an'!$B$9,'Huong dan giao do an'!$B$10))</f>
        <v>Tối thiểu 4 actor; 10-14 use case; 8-12 bảng; 3 quy trình lõi; phân quyền chi tiết; 2 báo cáo; tích hợp 1 dịch vụ; &gt;=35 test case; CI/CD hoặc deploy cloud.</v>
      </c>
      <c r="L2482" t="str">
        <f>'Huong dan giao do an'!$B$31</f>
        <v>Bắt buộc: Charter/PMP; SRS + scope/WBS; Gantt/baseline; effort-cost budget; RACI/timesheet; quality-test-defect; communication/minutes; risk register; procurement; change log; closure/lessons learned.</v>
      </c>
      <c r="M2482" t="str">
        <f>'Huong dan giao do an'!$B$33</f>
        <v>Tuần 1: 07.09–13.09.2026; Tuần 2: 14.09–20.09.2026; Tuần 3: 21.09–27.09.2026; Tuần 4: 28.09–04.10.2026; Tuần 5: 05.10–11.10.2026; Tuần 6: 12.10–18.10.2026; Tuần 7: 19.10–25.10.2026; Tuần 8: 26.10–01.11.2026.</v>
      </c>
      <c r="N24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2" s="17" t="str">
        <f t="shared" si="38"/>
        <v>Còn trống</v>
      </c>
    </row>
    <row r="2483" spans="1:16" x14ac:dyDescent="0.3">
      <c r="A2483">
        <v>2482</v>
      </c>
      <c r="B2483" t="s">
        <v>5520</v>
      </c>
      <c r="C2483" t="s">
        <v>5711</v>
      </c>
      <c r="D2483" t="s">
        <v>5712</v>
      </c>
      <c r="E2483" t="s">
        <v>19</v>
      </c>
      <c r="F2483" t="s">
        <v>5528</v>
      </c>
      <c r="G2483" t="s">
        <v>5529</v>
      </c>
      <c r="H2483" t="str">
        <f>'Huong dan giao do an'!$B$14</f>
        <v>5 SV (vai trò chính): 1 PM/Scrum Master kiêm Integration; 2 BA/PO; 3 UI-UX + Frontend; 4 Backend/API + DevOps; 5 Database + QA/Tester. Mỗi SV có nhiệm vụ phụ và minh chứng cá nhân.</v>
      </c>
      <c r="I2483" t="s">
        <v>29</v>
      </c>
      <c r="J2483" t="s">
        <v>5530</v>
      </c>
      <c r="K2483" t="str">
        <f>IF(I2483="Trung bình",'Huong dan giao do an'!$B$8,IF(I2483="Khá",'Huong dan giao do an'!$B$9,'Huong dan giao do an'!$B$10))</f>
        <v>Tối thiểu 5 actor; 14-18 use case; 10-15 bảng; 4 quy trình; tích hợp ngoài/realtime hoặc xử lý nâng cao; 3 báo cáo; &gt;=45 test case; logging, backup và deploy.</v>
      </c>
      <c r="L2483" t="str">
        <f>'Huong dan giao do an'!$B$31</f>
        <v>Bắt buộc: Charter/PMP; SRS + scope/WBS; Gantt/baseline; effort-cost budget; RACI/timesheet; quality-test-defect; communication/minutes; risk register; procurement; change log; closure/lessons learned.</v>
      </c>
      <c r="M2483" t="str">
        <f>'Huong dan giao do an'!$B$33</f>
        <v>Tuần 1: 07.09–13.09.2026; Tuần 2: 14.09–20.09.2026; Tuần 3: 21.09–27.09.2026; Tuần 4: 28.09–04.10.2026; Tuần 5: 05.10–11.10.2026; Tuần 6: 12.10–18.10.2026; Tuần 7: 19.10–25.10.2026; Tuần 8: 26.10–01.11.2026.</v>
      </c>
      <c r="N24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3" s="17" t="str">
        <f t="shared" si="38"/>
        <v>Còn trống</v>
      </c>
    </row>
    <row r="2484" spans="1:16" x14ac:dyDescent="0.3">
      <c r="A2484">
        <v>2483</v>
      </c>
      <c r="B2484" t="s">
        <v>5520</v>
      </c>
      <c r="C2484" t="s">
        <v>5713</v>
      </c>
      <c r="D2484" t="s">
        <v>5714</v>
      </c>
      <c r="E2484" t="s">
        <v>26</v>
      </c>
      <c r="F2484" t="s">
        <v>5533</v>
      </c>
      <c r="G2484" t="s">
        <v>5534</v>
      </c>
      <c r="H2484" t="str">
        <f>'Huong dan giao do an'!$B$14</f>
        <v>5 SV (vai trò chính): 1 PM/Scrum Master kiêm Integration; 2 BA/PO; 3 UI-UX + Frontend; 4 Backend/API + DevOps; 5 Database + QA/Tester. Mỗi SV có nhiệm vụ phụ và minh chứng cá nhân.</v>
      </c>
      <c r="I2484" t="s">
        <v>36</v>
      </c>
      <c r="J2484" t="s">
        <v>5535</v>
      </c>
      <c r="K2484" t="str">
        <f>IF(I2484="Trung bình",'Huong dan giao do an'!$B$8,IF(I2484="Khá",'Huong dan giao do an'!$B$9,'Huong dan giao do an'!$B$10))</f>
        <v>Tối thiểu 3 actor; 8-10 use case; 6-8 bảng dữ liệu; 2 quy trình lõi; đăng nhập/RBAC; 1 dashboard; 1 báo cáo; &gt;=25 test case; triển khai bản demo.</v>
      </c>
      <c r="L2484" t="str">
        <f>'Huong dan giao do an'!$B$31</f>
        <v>Bắt buộc: Charter/PMP; SRS + scope/WBS; Gantt/baseline; effort-cost budget; RACI/timesheet; quality-test-defect; communication/minutes; risk register; procurement; change log; closure/lessons learned.</v>
      </c>
      <c r="M2484" t="str">
        <f>'Huong dan giao do an'!$B$33</f>
        <v>Tuần 1: 07.09–13.09.2026; Tuần 2: 14.09–20.09.2026; Tuần 3: 21.09–27.09.2026; Tuần 4: 28.09–04.10.2026; Tuần 5: 05.10–11.10.2026; Tuần 6: 12.10–18.10.2026; Tuần 7: 19.10–25.10.2026; Tuần 8: 26.10–01.11.2026.</v>
      </c>
      <c r="N24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4" s="17" t="str">
        <f t="shared" si="38"/>
        <v>Còn trống</v>
      </c>
    </row>
    <row r="2485" spans="1:16" x14ac:dyDescent="0.3">
      <c r="A2485">
        <v>2484</v>
      </c>
      <c r="B2485" t="s">
        <v>5520</v>
      </c>
      <c r="C2485" t="s">
        <v>5715</v>
      </c>
      <c r="D2485" t="s">
        <v>5716</v>
      </c>
      <c r="E2485" t="s">
        <v>33</v>
      </c>
      <c r="F2485" t="s">
        <v>5538</v>
      </c>
      <c r="G2485" t="s">
        <v>5539</v>
      </c>
      <c r="H2485" t="str">
        <f>'Huong dan giao do an'!$B$14</f>
        <v>5 SV (vai trò chính): 1 PM/Scrum Master kiêm Integration; 2 BA/PO; 3 UI-UX + Frontend; 4 Backend/API + DevOps; 5 Database + QA/Tester. Mỗi SV có nhiệm vụ phụ và minh chứng cá nhân.</v>
      </c>
      <c r="I2485" t="s">
        <v>22</v>
      </c>
      <c r="J2485" t="s">
        <v>5525</v>
      </c>
      <c r="K2485" t="str">
        <f>IF(I2485="Trung bình",'Huong dan giao do an'!$B$8,IF(I2485="Khá",'Huong dan giao do an'!$B$9,'Huong dan giao do an'!$B$10))</f>
        <v>Tối thiểu 4 actor; 10-14 use case; 8-12 bảng; 3 quy trình lõi; phân quyền chi tiết; 2 báo cáo; tích hợp 1 dịch vụ; &gt;=35 test case; CI/CD hoặc deploy cloud.</v>
      </c>
      <c r="L2485" t="str">
        <f>'Huong dan giao do an'!$B$31</f>
        <v>Bắt buộc: Charter/PMP; SRS + scope/WBS; Gantt/baseline; effort-cost budget; RACI/timesheet; quality-test-defect; communication/minutes; risk register; procurement; change log; closure/lessons learned.</v>
      </c>
      <c r="M2485" t="str">
        <f>'Huong dan giao do an'!$B$33</f>
        <v>Tuần 1: 07.09–13.09.2026; Tuần 2: 14.09–20.09.2026; Tuần 3: 21.09–27.09.2026; Tuần 4: 28.09–04.10.2026; Tuần 5: 05.10–11.10.2026; Tuần 6: 12.10–18.10.2026; Tuần 7: 19.10–25.10.2026; Tuần 8: 26.10–01.11.2026.</v>
      </c>
      <c r="N24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5" s="17" t="str">
        <f t="shared" si="38"/>
        <v>Còn trống</v>
      </c>
    </row>
    <row r="2486" spans="1:16" x14ac:dyDescent="0.3">
      <c r="A2486">
        <v>2485</v>
      </c>
      <c r="B2486" t="s">
        <v>5520</v>
      </c>
      <c r="C2486" t="s">
        <v>5717</v>
      </c>
      <c r="D2486" t="s">
        <v>5718</v>
      </c>
      <c r="E2486" t="s">
        <v>40</v>
      </c>
      <c r="F2486" t="s">
        <v>5542</v>
      </c>
      <c r="G2486" t="s">
        <v>5543</v>
      </c>
      <c r="H2486" t="str">
        <f>'Huong dan giao do an'!$B$14</f>
        <v>5 SV (vai trò chính): 1 PM/Scrum Master kiêm Integration; 2 BA/PO; 3 UI-UX + Frontend; 4 Backend/API + DevOps; 5 Database + QA/Tester. Mỗi SV có nhiệm vụ phụ và minh chứng cá nhân.</v>
      </c>
      <c r="I2486" t="s">
        <v>29</v>
      </c>
      <c r="J2486" t="s">
        <v>5530</v>
      </c>
      <c r="K2486" t="str">
        <f>IF(I2486="Trung bình",'Huong dan giao do an'!$B$8,IF(I2486="Khá",'Huong dan giao do an'!$B$9,'Huong dan giao do an'!$B$10))</f>
        <v>Tối thiểu 5 actor; 14-18 use case; 10-15 bảng; 4 quy trình; tích hợp ngoài/realtime hoặc xử lý nâng cao; 3 báo cáo; &gt;=45 test case; logging, backup và deploy.</v>
      </c>
      <c r="L2486" t="str">
        <f>'Huong dan giao do an'!$B$31</f>
        <v>Bắt buộc: Charter/PMP; SRS + scope/WBS; Gantt/baseline; effort-cost budget; RACI/timesheet; quality-test-defect; communication/minutes; risk register; procurement; change log; closure/lessons learned.</v>
      </c>
      <c r="M2486" t="str">
        <f>'Huong dan giao do an'!$B$33</f>
        <v>Tuần 1: 07.09–13.09.2026; Tuần 2: 14.09–20.09.2026; Tuần 3: 21.09–27.09.2026; Tuần 4: 28.09–04.10.2026; Tuần 5: 05.10–11.10.2026; Tuần 6: 12.10–18.10.2026; Tuần 7: 19.10–25.10.2026; Tuần 8: 26.10–01.11.2026.</v>
      </c>
      <c r="N24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6" s="17" t="str">
        <f t="shared" si="38"/>
        <v>Còn trống</v>
      </c>
    </row>
    <row r="2487" spans="1:16" x14ac:dyDescent="0.3">
      <c r="A2487">
        <v>2486</v>
      </c>
      <c r="B2487" t="s">
        <v>5520</v>
      </c>
      <c r="C2487" t="s">
        <v>5719</v>
      </c>
      <c r="D2487" t="s">
        <v>5720</v>
      </c>
      <c r="E2487" t="s">
        <v>45</v>
      </c>
      <c r="F2487" t="s">
        <v>5523</v>
      </c>
      <c r="G2487" t="s">
        <v>5546</v>
      </c>
      <c r="H2487" t="str">
        <f>'Huong dan giao do an'!$B$14</f>
        <v>5 SV (vai trò chính): 1 PM/Scrum Master kiêm Integration; 2 BA/PO; 3 UI-UX + Frontend; 4 Backend/API + DevOps; 5 Database + QA/Tester. Mỗi SV có nhiệm vụ phụ và minh chứng cá nhân.</v>
      </c>
      <c r="I2487" t="s">
        <v>36</v>
      </c>
      <c r="J2487" t="s">
        <v>5535</v>
      </c>
      <c r="K2487" t="str">
        <f>IF(I2487="Trung bình",'Huong dan giao do an'!$B$8,IF(I2487="Khá",'Huong dan giao do an'!$B$9,'Huong dan giao do an'!$B$10))</f>
        <v>Tối thiểu 3 actor; 8-10 use case; 6-8 bảng dữ liệu; 2 quy trình lõi; đăng nhập/RBAC; 1 dashboard; 1 báo cáo; &gt;=25 test case; triển khai bản demo.</v>
      </c>
      <c r="L2487" t="str">
        <f>'Huong dan giao do an'!$B$31</f>
        <v>Bắt buộc: Charter/PMP; SRS + scope/WBS; Gantt/baseline; effort-cost budget; RACI/timesheet; quality-test-defect; communication/minutes; risk register; procurement; change log; closure/lessons learned.</v>
      </c>
      <c r="M2487" t="str">
        <f>'Huong dan giao do an'!$B$33</f>
        <v>Tuần 1: 07.09–13.09.2026; Tuần 2: 14.09–20.09.2026; Tuần 3: 21.09–27.09.2026; Tuần 4: 28.09–04.10.2026; Tuần 5: 05.10–11.10.2026; Tuần 6: 12.10–18.10.2026; Tuần 7: 19.10–25.10.2026; Tuần 8: 26.10–01.11.2026.</v>
      </c>
      <c r="N24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7" s="17" t="str">
        <f t="shared" si="38"/>
        <v>Còn trống</v>
      </c>
    </row>
    <row r="2488" spans="1:16" x14ac:dyDescent="0.3">
      <c r="A2488">
        <v>2487</v>
      </c>
      <c r="B2488" t="s">
        <v>5520</v>
      </c>
      <c r="C2488" t="s">
        <v>5721</v>
      </c>
      <c r="D2488" t="s">
        <v>5722</v>
      </c>
      <c r="E2488" t="s">
        <v>19</v>
      </c>
      <c r="F2488" t="s">
        <v>5528</v>
      </c>
      <c r="G2488" t="s">
        <v>5549</v>
      </c>
      <c r="H2488" t="str">
        <f>'Huong dan giao do an'!$B$14</f>
        <v>5 SV (vai trò chính): 1 PM/Scrum Master kiêm Integration; 2 BA/PO; 3 UI-UX + Frontend; 4 Backend/API + DevOps; 5 Database + QA/Tester. Mỗi SV có nhiệm vụ phụ và minh chứng cá nhân.</v>
      </c>
      <c r="I2488" t="s">
        <v>22</v>
      </c>
      <c r="J2488" t="s">
        <v>5525</v>
      </c>
      <c r="K2488" t="str">
        <f>IF(I2488="Trung bình",'Huong dan giao do an'!$B$8,IF(I2488="Khá",'Huong dan giao do an'!$B$9,'Huong dan giao do an'!$B$10))</f>
        <v>Tối thiểu 4 actor; 10-14 use case; 8-12 bảng; 3 quy trình lõi; phân quyền chi tiết; 2 báo cáo; tích hợp 1 dịch vụ; &gt;=35 test case; CI/CD hoặc deploy cloud.</v>
      </c>
      <c r="L2488" t="str">
        <f>'Huong dan giao do an'!$B$31</f>
        <v>Bắt buộc: Charter/PMP; SRS + scope/WBS; Gantt/baseline; effort-cost budget; RACI/timesheet; quality-test-defect; communication/minutes; risk register; procurement; change log; closure/lessons learned.</v>
      </c>
      <c r="M2488" t="str">
        <f>'Huong dan giao do an'!$B$33</f>
        <v>Tuần 1: 07.09–13.09.2026; Tuần 2: 14.09–20.09.2026; Tuần 3: 21.09–27.09.2026; Tuần 4: 28.09–04.10.2026; Tuần 5: 05.10–11.10.2026; Tuần 6: 12.10–18.10.2026; Tuần 7: 19.10–25.10.2026; Tuần 8: 26.10–01.11.2026.</v>
      </c>
      <c r="N24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8" s="17" t="str">
        <f t="shared" si="38"/>
        <v>Còn trống</v>
      </c>
    </row>
    <row r="2489" spans="1:16" x14ac:dyDescent="0.3">
      <c r="A2489">
        <v>2488</v>
      </c>
      <c r="B2489" t="s">
        <v>5520</v>
      </c>
      <c r="C2489" t="s">
        <v>5723</v>
      </c>
      <c r="D2489" t="s">
        <v>5724</v>
      </c>
      <c r="E2489" t="s">
        <v>26</v>
      </c>
      <c r="F2489" t="s">
        <v>5533</v>
      </c>
      <c r="G2489" t="s">
        <v>5552</v>
      </c>
      <c r="H2489" t="str">
        <f>'Huong dan giao do an'!$B$14</f>
        <v>5 SV (vai trò chính): 1 PM/Scrum Master kiêm Integration; 2 BA/PO; 3 UI-UX + Frontend; 4 Backend/API + DevOps; 5 Database + QA/Tester. Mỗi SV có nhiệm vụ phụ và minh chứng cá nhân.</v>
      </c>
      <c r="I2489" t="s">
        <v>29</v>
      </c>
      <c r="J2489" t="s">
        <v>5530</v>
      </c>
      <c r="K2489" t="str">
        <f>IF(I2489="Trung bình",'Huong dan giao do an'!$B$8,IF(I2489="Khá",'Huong dan giao do an'!$B$9,'Huong dan giao do an'!$B$10))</f>
        <v>Tối thiểu 5 actor; 14-18 use case; 10-15 bảng; 4 quy trình; tích hợp ngoài/realtime hoặc xử lý nâng cao; 3 báo cáo; &gt;=45 test case; logging, backup và deploy.</v>
      </c>
      <c r="L2489" t="str">
        <f>'Huong dan giao do an'!$B$31</f>
        <v>Bắt buộc: Charter/PMP; SRS + scope/WBS; Gantt/baseline; effort-cost budget; RACI/timesheet; quality-test-defect; communication/minutes; risk register; procurement; change log; closure/lessons learned.</v>
      </c>
      <c r="M2489" t="str">
        <f>'Huong dan giao do an'!$B$33</f>
        <v>Tuần 1: 07.09–13.09.2026; Tuần 2: 14.09–20.09.2026; Tuần 3: 21.09–27.09.2026; Tuần 4: 28.09–04.10.2026; Tuần 5: 05.10–11.10.2026; Tuần 6: 12.10–18.10.2026; Tuần 7: 19.10–25.10.2026; Tuần 8: 26.10–01.11.2026.</v>
      </c>
      <c r="N24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89" s="17" t="str">
        <f t="shared" si="38"/>
        <v>Còn trống</v>
      </c>
    </row>
    <row r="2490" spans="1:16" x14ac:dyDescent="0.3">
      <c r="A2490">
        <v>2489</v>
      </c>
      <c r="B2490" t="s">
        <v>5520</v>
      </c>
      <c r="C2490" t="s">
        <v>5725</v>
      </c>
      <c r="D2490" t="s">
        <v>5726</v>
      </c>
      <c r="E2490" t="s">
        <v>33</v>
      </c>
      <c r="F2490" t="s">
        <v>5538</v>
      </c>
      <c r="G2490" t="s">
        <v>5555</v>
      </c>
      <c r="H2490" t="str">
        <f>'Huong dan giao do an'!$B$14</f>
        <v>5 SV (vai trò chính): 1 PM/Scrum Master kiêm Integration; 2 BA/PO; 3 UI-UX + Frontend; 4 Backend/API + DevOps; 5 Database + QA/Tester. Mỗi SV có nhiệm vụ phụ và minh chứng cá nhân.</v>
      </c>
      <c r="I2490" t="s">
        <v>36</v>
      </c>
      <c r="J2490" t="s">
        <v>5535</v>
      </c>
      <c r="K2490" t="str">
        <f>IF(I2490="Trung bình",'Huong dan giao do an'!$B$8,IF(I2490="Khá",'Huong dan giao do an'!$B$9,'Huong dan giao do an'!$B$10))</f>
        <v>Tối thiểu 3 actor; 8-10 use case; 6-8 bảng dữ liệu; 2 quy trình lõi; đăng nhập/RBAC; 1 dashboard; 1 báo cáo; &gt;=25 test case; triển khai bản demo.</v>
      </c>
      <c r="L2490" t="str">
        <f>'Huong dan giao do an'!$B$31</f>
        <v>Bắt buộc: Charter/PMP; SRS + scope/WBS; Gantt/baseline; effort-cost budget; RACI/timesheet; quality-test-defect; communication/minutes; risk register; procurement; change log; closure/lessons learned.</v>
      </c>
      <c r="M2490" t="str">
        <f>'Huong dan giao do an'!$B$33</f>
        <v>Tuần 1: 07.09–13.09.2026; Tuần 2: 14.09–20.09.2026; Tuần 3: 21.09–27.09.2026; Tuần 4: 28.09–04.10.2026; Tuần 5: 05.10–11.10.2026; Tuần 6: 12.10–18.10.2026; Tuần 7: 19.10–25.10.2026; Tuần 8: 26.10–01.11.2026.</v>
      </c>
      <c r="N24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0" s="17" t="str">
        <f t="shared" si="38"/>
        <v>Còn trống</v>
      </c>
    </row>
    <row r="2491" spans="1:16" x14ac:dyDescent="0.3">
      <c r="A2491">
        <v>2490</v>
      </c>
      <c r="B2491" t="s">
        <v>5520</v>
      </c>
      <c r="C2491" t="s">
        <v>5727</v>
      </c>
      <c r="D2491" t="s">
        <v>5728</v>
      </c>
      <c r="E2491" t="s">
        <v>40</v>
      </c>
      <c r="F2491" t="s">
        <v>5542</v>
      </c>
      <c r="G2491" t="s">
        <v>5558</v>
      </c>
      <c r="H2491" t="str">
        <f>'Huong dan giao do an'!$B$14</f>
        <v>5 SV (vai trò chính): 1 PM/Scrum Master kiêm Integration; 2 BA/PO; 3 UI-UX + Frontend; 4 Backend/API + DevOps; 5 Database + QA/Tester. Mỗi SV có nhiệm vụ phụ và minh chứng cá nhân.</v>
      </c>
      <c r="I2491" t="s">
        <v>22</v>
      </c>
      <c r="J2491" t="s">
        <v>5525</v>
      </c>
      <c r="K2491" t="str">
        <f>IF(I2491="Trung bình",'Huong dan giao do an'!$B$8,IF(I2491="Khá",'Huong dan giao do an'!$B$9,'Huong dan giao do an'!$B$10))</f>
        <v>Tối thiểu 4 actor; 10-14 use case; 8-12 bảng; 3 quy trình lõi; phân quyền chi tiết; 2 báo cáo; tích hợp 1 dịch vụ; &gt;=35 test case; CI/CD hoặc deploy cloud.</v>
      </c>
      <c r="L2491" t="str">
        <f>'Huong dan giao do an'!$B$31</f>
        <v>Bắt buộc: Charter/PMP; SRS + scope/WBS; Gantt/baseline; effort-cost budget; RACI/timesheet; quality-test-defect; communication/minutes; risk register; procurement; change log; closure/lessons learned.</v>
      </c>
      <c r="M2491" t="str">
        <f>'Huong dan giao do an'!$B$33</f>
        <v>Tuần 1: 07.09–13.09.2026; Tuần 2: 14.09–20.09.2026; Tuần 3: 21.09–27.09.2026; Tuần 4: 28.09–04.10.2026; Tuần 5: 05.10–11.10.2026; Tuần 6: 12.10–18.10.2026; Tuần 7: 19.10–25.10.2026; Tuần 8: 26.10–01.11.2026.</v>
      </c>
      <c r="N24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1" s="17" t="str">
        <f t="shared" si="38"/>
        <v>Còn trống</v>
      </c>
    </row>
    <row r="2492" spans="1:16" x14ac:dyDescent="0.3">
      <c r="A2492">
        <v>2491</v>
      </c>
      <c r="B2492" t="s">
        <v>5520</v>
      </c>
      <c r="C2492" t="s">
        <v>5729</v>
      </c>
      <c r="D2492" t="s">
        <v>5730</v>
      </c>
      <c r="E2492" t="s">
        <v>45</v>
      </c>
      <c r="F2492" t="s">
        <v>5523</v>
      </c>
      <c r="G2492" t="s">
        <v>5561</v>
      </c>
      <c r="H2492" t="str">
        <f>'Huong dan giao do an'!$B$14</f>
        <v>5 SV (vai trò chính): 1 PM/Scrum Master kiêm Integration; 2 BA/PO; 3 UI-UX + Frontend; 4 Backend/API + DevOps; 5 Database + QA/Tester. Mỗi SV có nhiệm vụ phụ và minh chứng cá nhân.</v>
      </c>
      <c r="I2492" t="s">
        <v>29</v>
      </c>
      <c r="J2492" t="s">
        <v>5530</v>
      </c>
      <c r="K2492" t="str">
        <f>IF(I2492="Trung bình",'Huong dan giao do an'!$B$8,IF(I2492="Khá",'Huong dan giao do an'!$B$9,'Huong dan giao do an'!$B$10))</f>
        <v>Tối thiểu 5 actor; 14-18 use case; 10-15 bảng; 4 quy trình; tích hợp ngoài/realtime hoặc xử lý nâng cao; 3 báo cáo; &gt;=45 test case; logging, backup và deploy.</v>
      </c>
      <c r="L2492" t="str">
        <f>'Huong dan giao do an'!$B$31</f>
        <v>Bắt buộc: Charter/PMP; SRS + scope/WBS; Gantt/baseline; effort-cost budget; RACI/timesheet; quality-test-defect; communication/minutes; risk register; procurement; change log; closure/lessons learned.</v>
      </c>
      <c r="M2492" t="str">
        <f>'Huong dan giao do an'!$B$33</f>
        <v>Tuần 1: 07.09–13.09.2026; Tuần 2: 14.09–20.09.2026; Tuần 3: 21.09–27.09.2026; Tuần 4: 28.09–04.10.2026; Tuần 5: 05.10–11.10.2026; Tuần 6: 12.10–18.10.2026; Tuần 7: 19.10–25.10.2026; Tuần 8: 26.10–01.11.2026.</v>
      </c>
      <c r="N24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2" s="17" t="str">
        <f t="shared" si="38"/>
        <v>Còn trống</v>
      </c>
    </row>
    <row r="2493" spans="1:16" x14ac:dyDescent="0.3">
      <c r="A2493">
        <v>2492</v>
      </c>
      <c r="B2493" t="s">
        <v>5520</v>
      </c>
      <c r="C2493" t="s">
        <v>5731</v>
      </c>
      <c r="D2493" t="s">
        <v>5732</v>
      </c>
      <c r="E2493" t="s">
        <v>19</v>
      </c>
      <c r="F2493" t="s">
        <v>5528</v>
      </c>
      <c r="G2493" t="s">
        <v>5564</v>
      </c>
      <c r="H2493" t="str">
        <f>'Huong dan giao do an'!$B$14</f>
        <v>5 SV (vai trò chính): 1 PM/Scrum Master kiêm Integration; 2 BA/PO; 3 UI-UX + Frontend; 4 Backend/API + DevOps; 5 Database + QA/Tester. Mỗi SV có nhiệm vụ phụ và minh chứng cá nhân.</v>
      </c>
      <c r="I2493" t="s">
        <v>36</v>
      </c>
      <c r="J2493" t="s">
        <v>5535</v>
      </c>
      <c r="K2493" t="str">
        <f>IF(I2493="Trung bình",'Huong dan giao do an'!$B$8,IF(I2493="Khá",'Huong dan giao do an'!$B$9,'Huong dan giao do an'!$B$10))</f>
        <v>Tối thiểu 3 actor; 8-10 use case; 6-8 bảng dữ liệu; 2 quy trình lõi; đăng nhập/RBAC; 1 dashboard; 1 báo cáo; &gt;=25 test case; triển khai bản demo.</v>
      </c>
      <c r="L2493" t="str">
        <f>'Huong dan giao do an'!$B$31</f>
        <v>Bắt buộc: Charter/PMP; SRS + scope/WBS; Gantt/baseline; effort-cost budget; RACI/timesheet; quality-test-defect; communication/minutes; risk register; procurement; change log; closure/lessons learned.</v>
      </c>
      <c r="M2493" t="str">
        <f>'Huong dan giao do an'!$B$33</f>
        <v>Tuần 1: 07.09–13.09.2026; Tuần 2: 14.09–20.09.2026; Tuần 3: 21.09–27.09.2026; Tuần 4: 28.09–04.10.2026; Tuần 5: 05.10–11.10.2026; Tuần 6: 12.10–18.10.2026; Tuần 7: 19.10–25.10.2026; Tuần 8: 26.10–01.11.2026.</v>
      </c>
      <c r="N24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3" s="17" t="str">
        <f t="shared" si="38"/>
        <v>Còn trống</v>
      </c>
    </row>
    <row r="2494" spans="1:16" x14ac:dyDescent="0.3">
      <c r="A2494">
        <v>2493</v>
      </c>
      <c r="B2494" t="s">
        <v>5520</v>
      </c>
      <c r="C2494" t="s">
        <v>5733</v>
      </c>
      <c r="D2494" t="s">
        <v>5734</v>
      </c>
      <c r="E2494" t="s">
        <v>26</v>
      </c>
      <c r="F2494" t="s">
        <v>5533</v>
      </c>
      <c r="G2494" t="s">
        <v>5567</v>
      </c>
      <c r="H2494" t="str">
        <f>'Huong dan giao do an'!$B$14</f>
        <v>5 SV (vai trò chính): 1 PM/Scrum Master kiêm Integration; 2 BA/PO; 3 UI-UX + Frontend; 4 Backend/API + DevOps; 5 Database + QA/Tester. Mỗi SV có nhiệm vụ phụ và minh chứng cá nhân.</v>
      </c>
      <c r="I2494" t="s">
        <v>22</v>
      </c>
      <c r="J2494" t="s">
        <v>5525</v>
      </c>
      <c r="K2494" t="str">
        <f>IF(I2494="Trung bình",'Huong dan giao do an'!$B$8,IF(I2494="Khá",'Huong dan giao do an'!$B$9,'Huong dan giao do an'!$B$10))</f>
        <v>Tối thiểu 4 actor; 10-14 use case; 8-12 bảng; 3 quy trình lõi; phân quyền chi tiết; 2 báo cáo; tích hợp 1 dịch vụ; &gt;=35 test case; CI/CD hoặc deploy cloud.</v>
      </c>
      <c r="L2494" t="str">
        <f>'Huong dan giao do an'!$B$31</f>
        <v>Bắt buộc: Charter/PMP; SRS + scope/WBS; Gantt/baseline; effort-cost budget; RACI/timesheet; quality-test-defect; communication/minutes; risk register; procurement; change log; closure/lessons learned.</v>
      </c>
      <c r="M2494" t="str">
        <f>'Huong dan giao do an'!$B$33</f>
        <v>Tuần 1: 07.09–13.09.2026; Tuần 2: 14.09–20.09.2026; Tuần 3: 21.09–27.09.2026; Tuần 4: 28.09–04.10.2026; Tuần 5: 05.10–11.10.2026; Tuần 6: 12.10–18.10.2026; Tuần 7: 19.10–25.10.2026; Tuần 8: 26.10–01.11.2026.</v>
      </c>
      <c r="N24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4" s="17" t="str">
        <f t="shared" si="38"/>
        <v>Còn trống</v>
      </c>
    </row>
    <row r="2495" spans="1:16" x14ac:dyDescent="0.3">
      <c r="A2495">
        <v>2494</v>
      </c>
      <c r="B2495" t="s">
        <v>5520</v>
      </c>
      <c r="C2495" t="s">
        <v>5735</v>
      </c>
      <c r="D2495" t="s">
        <v>5736</v>
      </c>
      <c r="E2495" t="s">
        <v>33</v>
      </c>
      <c r="F2495" t="s">
        <v>5538</v>
      </c>
      <c r="G2495" t="s">
        <v>5570</v>
      </c>
      <c r="H2495" t="str">
        <f>'Huong dan giao do an'!$B$14</f>
        <v>5 SV (vai trò chính): 1 PM/Scrum Master kiêm Integration; 2 BA/PO; 3 UI-UX + Frontend; 4 Backend/API + DevOps; 5 Database + QA/Tester. Mỗi SV có nhiệm vụ phụ và minh chứng cá nhân.</v>
      </c>
      <c r="I2495" t="s">
        <v>29</v>
      </c>
      <c r="J2495" t="s">
        <v>5530</v>
      </c>
      <c r="K2495" t="str">
        <f>IF(I2495="Trung bình",'Huong dan giao do an'!$B$8,IF(I2495="Khá",'Huong dan giao do an'!$B$9,'Huong dan giao do an'!$B$10))</f>
        <v>Tối thiểu 5 actor; 14-18 use case; 10-15 bảng; 4 quy trình; tích hợp ngoài/realtime hoặc xử lý nâng cao; 3 báo cáo; &gt;=45 test case; logging, backup và deploy.</v>
      </c>
      <c r="L2495" t="str">
        <f>'Huong dan giao do an'!$B$31</f>
        <v>Bắt buộc: Charter/PMP; SRS + scope/WBS; Gantt/baseline; effort-cost budget; RACI/timesheet; quality-test-defect; communication/minutes; risk register; procurement; change log; closure/lessons learned.</v>
      </c>
      <c r="M2495" t="str">
        <f>'Huong dan giao do an'!$B$33</f>
        <v>Tuần 1: 07.09–13.09.2026; Tuần 2: 14.09–20.09.2026; Tuần 3: 21.09–27.09.2026; Tuần 4: 28.09–04.10.2026; Tuần 5: 05.10–11.10.2026; Tuần 6: 12.10–18.10.2026; Tuần 7: 19.10–25.10.2026; Tuần 8: 26.10–01.11.2026.</v>
      </c>
      <c r="N24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5" s="17" t="str">
        <f t="shared" si="38"/>
        <v>Còn trống</v>
      </c>
    </row>
    <row r="2496" spans="1:16" x14ac:dyDescent="0.3">
      <c r="A2496">
        <v>2495</v>
      </c>
      <c r="B2496" t="s">
        <v>5520</v>
      </c>
      <c r="C2496" t="s">
        <v>5737</v>
      </c>
      <c r="D2496" t="s">
        <v>5738</v>
      </c>
      <c r="E2496" t="s">
        <v>40</v>
      </c>
      <c r="F2496" t="s">
        <v>5542</v>
      </c>
      <c r="G2496" t="s">
        <v>5573</v>
      </c>
      <c r="H2496" t="str">
        <f>'Huong dan giao do an'!$B$14</f>
        <v>5 SV (vai trò chính): 1 PM/Scrum Master kiêm Integration; 2 BA/PO; 3 UI-UX + Frontend; 4 Backend/API + DevOps; 5 Database + QA/Tester. Mỗi SV có nhiệm vụ phụ và minh chứng cá nhân.</v>
      </c>
      <c r="I2496" t="s">
        <v>36</v>
      </c>
      <c r="J2496" t="s">
        <v>5535</v>
      </c>
      <c r="K2496" t="str">
        <f>IF(I2496="Trung bình",'Huong dan giao do an'!$B$8,IF(I2496="Khá",'Huong dan giao do an'!$B$9,'Huong dan giao do an'!$B$10))</f>
        <v>Tối thiểu 3 actor; 8-10 use case; 6-8 bảng dữ liệu; 2 quy trình lõi; đăng nhập/RBAC; 1 dashboard; 1 báo cáo; &gt;=25 test case; triển khai bản demo.</v>
      </c>
      <c r="L2496" t="str">
        <f>'Huong dan giao do an'!$B$31</f>
        <v>Bắt buộc: Charter/PMP; SRS + scope/WBS; Gantt/baseline; effort-cost budget; RACI/timesheet; quality-test-defect; communication/minutes; risk register; procurement; change log; closure/lessons learned.</v>
      </c>
      <c r="M2496" t="str">
        <f>'Huong dan giao do an'!$B$33</f>
        <v>Tuần 1: 07.09–13.09.2026; Tuần 2: 14.09–20.09.2026; Tuần 3: 21.09–27.09.2026; Tuần 4: 28.09–04.10.2026; Tuần 5: 05.10–11.10.2026; Tuần 6: 12.10–18.10.2026; Tuần 7: 19.10–25.10.2026; Tuần 8: 26.10–01.11.2026.</v>
      </c>
      <c r="N24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6" s="17" t="str">
        <f t="shared" si="38"/>
        <v>Còn trống</v>
      </c>
    </row>
    <row r="2497" spans="1:16" x14ac:dyDescent="0.3">
      <c r="A2497">
        <v>2496</v>
      </c>
      <c r="B2497" t="s">
        <v>5520</v>
      </c>
      <c r="C2497" t="s">
        <v>5739</v>
      </c>
      <c r="D2497" t="s">
        <v>5740</v>
      </c>
      <c r="E2497" t="s">
        <v>45</v>
      </c>
      <c r="F2497" t="s">
        <v>5523</v>
      </c>
      <c r="G2497" t="s">
        <v>5576</v>
      </c>
      <c r="H2497" t="str">
        <f>'Huong dan giao do an'!$B$14</f>
        <v>5 SV (vai trò chính): 1 PM/Scrum Master kiêm Integration; 2 BA/PO; 3 UI-UX + Frontend; 4 Backend/API + DevOps; 5 Database + QA/Tester. Mỗi SV có nhiệm vụ phụ và minh chứng cá nhân.</v>
      </c>
      <c r="I2497" t="s">
        <v>22</v>
      </c>
      <c r="J2497" t="s">
        <v>5525</v>
      </c>
      <c r="K2497" t="str">
        <f>IF(I2497="Trung bình",'Huong dan giao do an'!$B$8,IF(I2497="Khá",'Huong dan giao do an'!$B$9,'Huong dan giao do an'!$B$10))</f>
        <v>Tối thiểu 4 actor; 10-14 use case; 8-12 bảng; 3 quy trình lõi; phân quyền chi tiết; 2 báo cáo; tích hợp 1 dịch vụ; &gt;=35 test case; CI/CD hoặc deploy cloud.</v>
      </c>
      <c r="L2497" t="str">
        <f>'Huong dan giao do an'!$B$31</f>
        <v>Bắt buộc: Charter/PMP; SRS + scope/WBS; Gantt/baseline; effort-cost budget; RACI/timesheet; quality-test-defect; communication/minutes; risk register; procurement; change log; closure/lessons learned.</v>
      </c>
      <c r="M2497" t="str">
        <f>'Huong dan giao do an'!$B$33</f>
        <v>Tuần 1: 07.09–13.09.2026; Tuần 2: 14.09–20.09.2026; Tuần 3: 21.09–27.09.2026; Tuần 4: 28.09–04.10.2026; Tuần 5: 05.10–11.10.2026; Tuần 6: 12.10–18.10.2026; Tuần 7: 19.10–25.10.2026; Tuần 8: 26.10–01.11.2026.</v>
      </c>
      <c r="N24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7" s="17" t="str">
        <f t="shared" si="38"/>
        <v>Còn trống</v>
      </c>
    </row>
    <row r="2498" spans="1:16" x14ac:dyDescent="0.3">
      <c r="A2498">
        <v>2497</v>
      </c>
      <c r="B2498" t="s">
        <v>5520</v>
      </c>
      <c r="C2498" t="s">
        <v>5741</v>
      </c>
      <c r="D2498" t="s">
        <v>5742</v>
      </c>
      <c r="E2498" t="s">
        <v>19</v>
      </c>
      <c r="F2498" t="s">
        <v>5528</v>
      </c>
      <c r="G2498" t="s">
        <v>5579</v>
      </c>
      <c r="H2498" t="str">
        <f>'Huong dan giao do an'!$B$14</f>
        <v>5 SV (vai trò chính): 1 PM/Scrum Master kiêm Integration; 2 BA/PO; 3 UI-UX + Frontend; 4 Backend/API + DevOps; 5 Database + QA/Tester. Mỗi SV có nhiệm vụ phụ và minh chứng cá nhân.</v>
      </c>
      <c r="I2498" t="s">
        <v>29</v>
      </c>
      <c r="J2498" t="s">
        <v>5530</v>
      </c>
      <c r="K2498" t="str">
        <f>IF(I2498="Trung bình",'Huong dan giao do an'!$B$8,IF(I2498="Khá",'Huong dan giao do an'!$B$9,'Huong dan giao do an'!$B$10))</f>
        <v>Tối thiểu 5 actor; 14-18 use case; 10-15 bảng; 4 quy trình; tích hợp ngoài/realtime hoặc xử lý nâng cao; 3 báo cáo; &gt;=45 test case; logging, backup và deploy.</v>
      </c>
      <c r="L2498" t="str">
        <f>'Huong dan giao do an'!$B$31</f>
        <v>Bắt buộc: Charter/PMP; SRS + scope/WBS; Gantt/baseline; effort-cost budget; RACI/timesheet; quality-test-defect; communication/minutes; risk register; procurement; change log; closure/lessons learned.</v>
      </c>
      <c r="M2498" t="str">
        <f>'Huong dan giao do an'!$B$33</f>
        <v>Tuần 1: 07.09–13.09.2026; Tuần 2: 14.09–20.09.2026; Tuần 3: 21.09–27.09.2026; Tuần 4: 28.09–04.10.2026; Tuần 5: 05.10–11.10.2026; Tuần 6: 12.10–18.10.2026; Tuần 7: 19.10–25.10.2026; Tuần 8: 26.10–01.11.2026.</v>
      </c>
      <c r="N24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8" s="17" t="str">
        <f t="shared" si="38"/>
        <v>Còn trống</v>
      </c>
    </row>
    <row r="2499" spans="1:16" x14ac:dyDescent="0.3">
      <c r="A2499">
        <v>2498</v>
      </c>
      <c r="B2499" t="s">
        <v>5520</v>
      </c>
      <c r="C2499" t="s">
        <v>5743</v>
      </c>
      <c r="D2499" t="s">
        <v>5744</v>
      </c>
      <c r="E2499" t="s">
        <v>26</v>
      </c>
      <c r="F2499" t="s">
        <v>5533</v>
      </c>
      <c r="G2499" t="s">
        <v>5582</v>
      </c>
      <c r="H2499" t="str">
        <f>'Huong dan giao do an'!$B$14</f>
        <v>5 SV (vai trò chính): 1 PM/Scrum Master kiêm Integration; 2 BA/PO; 3 UI-UX + Frontend; 4 Backend/API + DevOps; 5 Database + QA/Tester. Mỗi SV có nhiệm vụ phụ và minh chứng cá nhân.</v>
      </c>
      <c r="I2499" t="s">
        <v>36</v>
      </c>
      <c r="J2499" t="s">
        <v>5535</v>
      </c>
      <c r="K2499" t="str">
        <f>IF(I2499="Trung bình",'Huong dan giao do an'!$B$8,IF(I2499="Khá",'Huong dan giao do an'!$B$9,'Huong dan giao do an'!$B$10))</f>
        <v>Tối thiểu 3 actor; 8-10 use case; 6-8 bảng dữ liệu; 2 quy trình lõi; đăng nhập/RBAC; 1 dashboard; 1 báo cáo; &gt;=25 test case; triển khai bản demo.</v>
      </c>
      <c r="L2499" t="str">
        <f>'Huong dan giao do an'!$B$31</f>
        <v>Bắt buộc: Charter/PMP; SRS + scope/WBS; Gantt/baseline; effort-cost budget; RACI/timesheet; quality-test-defect; communication/minutes; risk register; procurement; change log; closure/lessons learned.</v>
      </c>
      <c r="M2499" t="str">
        <f>'Huong dan giao do an'!$B$33</f>
        <v>Tuần 1: 07.09–13.09.2026; Tuần 2: 14.09–20.09.2026; Tuần 3: 21.09–27.09.2026; Tuần 4: 28.09–04.10.2026; Tuần 5: 05.10–11.10.2026; Tuần 6: 12.10–18.10.2026; Tuần 7: 19.10–25.10.2026; Tuần 8: 26.10–01.11.2026.</v>
      </c>
      <c r="N24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499" s="17" t="str">
        <f t="shared" ref="P2499:P2562" si="39">IF(O2499="","Còn trống","Đã đăng ký")</f>
        <v>Còn trống</v>
      </c>
    </row>
    <row r="2500" spans="1:16" x14ac:dyDescent="0.3">
      <c r="A2500">
        <v>2499</v>
      </c>
      <c r="B2500" t="s">
        <v>5520</v>
      </c>
      <c r="C2500" t="s">
        <v>5745</v>
      </c>
      <c r="D2500" t="s">
        <v>5746</v>
      </c>
      <c r="E2500" t="s">
        <v>33</v>
      </c>
      <c r="F2500" t="s">
        <v>5538</v>
      </c>
      <c r="G2500" t="s">
        <v>5585</v>
      </c>
      <c r="H2500" t="str">
        <f>'Huong dan giao do an'!$B$14</f>
        <v>5 SV (vai trò chính): 1 PM/Scrum Master kiêm Integration; 2 BA/PO; 3 UI-UX + Frontend; 4 Backend/API + DevOps; 5 Database + QA/Tester. Mỗi SV có nhiệm vụ phụ và minh chứng cá nhân.</v>
      </c>
      <c r="I2500" t="s">
        <v>22</v>
      </c>
      <c r="J2500" t="s">
        <v>5525</v>
      </c>
      <c r="K2500" t="str">
        <f>IF(I2500="Trung bình",'Huong dan giao do an'!$B$8,IF(I2500="Khá",'Huong dan giao do an'!$B$9,'Huong dan giao do an'!$B$10))</f>
        <v>Tối thiểu 4 actor; 10-14 use case; 8-12 bảng; 3 quy trình lõi; phân quyền chi tiết; 2 báo cáo; tích hợp 1 dịch vụ; &gt;=35 test case; CI/CD hoặc deploy cloud.</v>
      </c>
      <c r="L2500" t="str">
        <f>'Huong dan giao do an'!$B$31</f>
        <v>Bắt buộc: Charter/PMP; SRS + scope/WBS; Gantt/baseline; effort-cost budget; RACI/timesheet; quality-test-defect; communication/minutes; risk register; procurement; change log; closure/lessons learned.</v>
      </c>
      <c r="M2500" t="str">
        <f>'Huong dan giao do an'!$B$33</f>
        <v>Tuần 1: 07.09–13.09.2026; Tuần 2: 14.09–20.09.2026; Tuần 3: 21.09–27.09.2026; Tuần 4: 28.09–04.10.2026; Tuần 5: 05.10–11.10.2026; Tuần 6: 12.10–18.10.2026; Tuần 7: 19.10–25.10.2026; Tuần 8: 26.10–01.11.2026.</v>
      </c>
      <c r="N25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0" s="17" t="str">
        <f t="shared" si="39"/>
        <v>Còn trống</v>
      </c>
    </row>
    <row r="2501" spans="1:16" x14ac:dyDescent="0.3">
      <c r="A2501">
        <v>2500</v>
      </c>
      <c r="B2501" t="s">
        <v>5520</v>
      </c>
      <c r="C2501" t="s">
        <v>5747</v>
      </c>
      <c r="D2501" t="s">
        <v>5748</v>
      </c>
      <c r="E2501" t="s">
        <v>40</v>
      </c>
      <c r="F2501" t="s">
        <v>5542</v>
      </c>
      <c r="G2501" t="s">
        <v>5588</v>
      </c>
      <c r="H2501" t="str">
        <f>'Huong dan giao do an'!$B$14</f>
        <v>5 SV (vai trò chính): 1 PM/Scrum Master kiêm Integration; 2 BA/PO; 3 UI-UX + Frontend; 4 Backend/API + DevOps; 5 Database + QA/Tester. Mỗi SV có nhiệm vụ phụ và minh chứng cá nhân.</v>
      </c>
      <c r="I2501" t="s">
        <v>29</v>
      </c>
      <c r="J2501" t="s">
        <v>5530</v>
      </c>
      <c r="K2501" t="str">
        <f>IF(I2501="Trung bình",'Huong dan giao do an'!$B$8,IF(I2501="Khá",'Huong dan giao do an'!$B$9,'Huong dan giao do an'!$B$10))</f>
        <v>Tối thiểu 5 actor; 14-18 use case; 10-15 bảng; 4 quy trình; tích hợp ngoài/realtime hoặc xử lý nâng cao; 3 báo cáo; &gt;=45 test case; logging, backup và deploy.</v>
      </c>
      <c r="L2501" t="str">
        <f>'Huong dan giao do an'!$B$31</f>
        <v>Bắt buộc: Charter/PMP; SRS + scope/WBS; Gantt/baseline; effort-cost budget; RACI/timesheet; quality-test-defect; communication/minutes; risk register; procurement; change log; closure/lessons learned.</v>
      </c>
      <c r="M2501" t="str">
        <f>'Huong dan giao do an'!$B$33</f>
        <v>Tuần 1: 07.09–13.09.2026; Tuần 2: 14.09–20.09.2026; Tuần 3: 21.09–27.09.2026; Tuần 4: 28.09–04.10.2026; Tuần 5: 05.10–11.10.2026; Tuần 6: 12.10–18.10.2026; Tuần 7: 19.10–25.10.2026; Tuần 8: 26.10–01.11.2026.</v>
      </c>
      <c r="N25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1" s="17" t="str">
        <f t="shared" si="39"/>
        <v>Còn trống</v>
      </c>
    </row>
    <row r="2502" spans="1:16" x14ac:dyDescent="0.3">
      <c r="A2502">
        <v>2501</v>
      </c>
      <c r="B2502" t="s">
        <v>5749</v>
      </c>
      <c r="C2502" t="s">
        <v>5750</v>
      </c>
      <c r="D2502" t="s">
        <v>5751</v>
      </c>
      <c r="E2502" t="s">
        <v>19</v>
      </c>
      <c r="F2502" t="s">
        <v>5752</v>
      </c>
      <c r="G2502" t="s">
        <v>5753</v>
      </c>
      <c r="H2502" t="str">
        <f>'Huong dan giao do an'!$B$14</f>
        <v>5 SV (vai trò chính): 1 PM/Scrum Master kiêm Integration; 2 BA/PO; 3 UI-UX + Frontend; 4 Backend/API + DevOps; 5 Database + QA/Tester. Mỗi SV có nhiệm vụ phụ và minh chứng cá nhân.</v>
      </c>
      <c r="I2502" t="s">
        <v>22</v>
      </c>
      <c r="J2502" t="s">
        <v>5754</v>
      </c>
      <c r="K2502" t="str">
        <f>IF(I2502="Trung bình",'Huong dan giao do an'!$B$8,IF(I2502="Khá",'Huong dan giao do an'!$B$9,'Huong dan giao do an'!$B$10))</f>
        <v>Tối thiểu 4 actor; 10-14 use case; 8-12 bảng; 3 quy trình lõi; phân quyền chi tiết; 2 báo cáo; tích hợp 1 dịch vụ; &gt;=35 test case; CI/CD hoặc deploy cloud.</v>
      </c>
      <c r="L2502" t="str">
        <f>'Huong dan giao do an'!$B$31</f>
        <v>Bắt buộc: Charter/PMP; SRS + scope/WBS; Gantt/baseline; effort-cost budget; RACI/timesheet; quality-test-defect; communication/minutes; risk register; procurement; change log; closure/lessons learned.</v>
      </c>
      <c r="M2502" t="str">
        <f>'Huong dan giao do an'!$B$33</f>
        <v>Tuần 1: 07.09–13.09.2026; Tuần 2: 14.09–20.09.2026; Tuần 3: 21.09–27.09.2026; Tuần 4: 28.09–04.10.2026; Tuần 5: 05.10–11.10.2026; Tuần 6: 12.10–18.10.2026; Tuần 7: 19.10–25.10.2026; Tuần 8: 26.10–01.11.2026.</v>
      </c>
      <c r="N25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2" s="17" t="str">
        <f t="shared" si="39"/>
        <v>Còn trống</v>
      </c>
    </row>
    <row r="2503" spans="1:16" x14ac:dyDescent="0.3">
      <c r="A2503">
        <v>2502</v>
      </c>
      <c r="B2503" t="s">
        <v>5749</v>
      </c>
      <c r="C2503" t="s">
        <v>5755</v>
      </c>
      <c r="D2503" t="s">
        <v>5756</v>
      </c>
      <c r="E2503" t="s">
        <v>26</v>
      </c>
      <c r="F2503" t="s">
        <v>5757</v>
      </c>
      <c r="G2503" t="s">
        <v>5758</v>
      </c>
      <c r="H2503" t="str">
        <f>'Huong dan giao do an'!$B$14</f>
        <v>5 SV (vai trò chính): 1 PM/Scrum Master kiêm Integration; 2 BA/PO; 3 UI-UX + Frontend; 4 Backend/API + DevOps; 5 Database + QA/Tester. Mỗi SV có nhiệm vụ phụ và minh chứng cá nhân.</v>
      </c>
      <c r="I2503" t="s">
        <v>29</v>
      </c>
      <c r="J2503" t="s">
        <v>5759</v>
      </c>
      <c r="K2503" t="str">
        <f>IF(I2503="Trung bình",'Huong dan giao do an'!$B$8,IF(I2503="Khá",'Huong dan giao do an'!$B$9,'Huong dan giao do an'!$B$10))</f>
        <v>Tối thiểu 5 actor; 14-18 use case; 10-15 bảng; 4 quy trình; tích hợp ngoài/realtime hoặc xử lý nâng cao; 3 báo cáo; &gt;=45 test case; logging, backup và deploy.</v>
      </c>
      <c r="L2503" t="str">
        <f>'Huong dan giao do an'!$B$31</f>
        <v>Bắt buộc: Charter/PMP; SRS + scope/WBS; Gantt/baseline; effort-cost budget; RACI/timesheet; quality-test-defect; communication/minutes; risk register; procurement; change log; closure/lessons learned.</v>
      </c>
      <c r="M2503" t="str">
        <f>'Huong dan giao do an'!$B$33</f>
        <v>Tuần 1: 07.09–13.09.2026; Tuần 2: 14.09–20.09.2026; Tuần 3: 21.09–27.09.2026; Tuần 4: 28.09–04.10.2026; Tuần 5: 05.10–11.10.2026; Tuần 6: 12.10–18.10.2026; Tuần 7: 19.10–25.10.2026; Tuần 8: 26.10–01.11.2026.</v>
      </c>
      <c r="N25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3" s="17" t="str">
        <f t="shared" si="39"/>
        <v>Còn trống</v>
      </c>
    </row>
    <row r="2504" spans="1:16" x14ac:dyDescent="0.3">
      <c r="A2504">
        <v>2503</v>
      </c>
      <c r="B2504" t="s">
        <v>5749</v>
      </c>
      <c r="C2504" t="s">
        <v>5760</v>
      </c>
      <c r="D2504" t="s">
        <v>5761</v>
      </c>
      <c r="E2504" t="s">
        <v>33</v>
      </c>
      <c r="F2504" t="s">
        <v>5762</v>
      </c>
      <c r="G2504" t="s">
        <v>5763</v>
      </c>
      <c r="H2504" t="str">
        <f>'Huong dan giao do an'!$B$14</f>
        <v>5 SV (vai trò chính): 1 PM/Scrum Master kiêm Integration; 2 BA/PO; 3 UI-UX + Frontend; 4 Backend/API + DevOps; 5 Database + QA/Tester. Mỗi SV có nhiệm vụ phụ và minh chứng cá nhân.</v>
      </c>
      <c r="I2504" t="s">
        <v>36</v>
      </c>
      <c r="J2504" t="s">
        <v>5764</v>
      </c>
      <c r="K2504" t="str">
        <f>IF(I2504="Trung bình",'Huong dan giao do an'!$B$8,IF(I2504="Khá",'Huong dan giao do an'!$B$9,'Huong dan giao do an'!$B$10))</f>
        <v>Tối thiểu 3 actor; 8-10 use case; 6-8 bảng dữ liệu; 2 quy trình lõi; đăng nhập/RBAC; 1 dashboard; 1 báo cáo; &gt;=25 test case; triển khai bản demo.</v>
      </c>
      <c r="L2504" t="str">
        <f>'Huong dan giao do an'!$B$31</f>
        <v>Bắt buộc: Charter/PMP; SRS + scope/WBS; Gantt/baseline; effort-cost budget; RACI/timesheet; quality-test-defect; communication/minutes; risk register; procurement; change log; closure/lessons learned.</v>
      </c>
      <c r="M2504" t="str">
        <f>'Huong dan giao do an'!$B$33</f>
        <v>Tuần 1: 07.09–13.09.2026; Tuần 2: 14.09–20.09.2026; Tuần 3: 21.09–27.09.2026; Tuần 4: 28.09–04.10.2026; Tuần 5: 05.10–11.10.2026; Tuần 6: 12.10–18.10.2026; Tuần 7: 19.10–25.10.2026; Tuần 8: 26.10–01.11.2026.</v>
      </c>
      <c r="N25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4" s="17" t="str">
        <f t="shared" si="39"/>
        <v>Còn trống</v>
      </c>
    </row>
    <row r="2505" spans="1:16" x14ac:dyDescent="0.3">
      <c r="A2505">
        <v>2504</v>
      </c>
      <c r="B2505" t="s">
        <v>5749</v>
      </c>
      <c r="C2505" t="s">
        <v>5765</v>
      </c>
      <c r="D2505" t="s">
        <v>5766</v>
      </c>
      <c r="E2505" t="s">
        <v>40</v>
      </c>
      <c r="F2505" t="s">
        <v>5767</v>
      </c>
      <c r="G2505" t="s">
        <v>5768</v>
      </c>
      <c r="H2505" t="str">
        <f>'Huong dan giao do an'!$B$14</f>
        <v>5 SV (vai trò chính): 1 PM/Scrum Master kiêm Integration; 2 BA/PO; 3 UI-UX + Frontend; 4 Backend/API + DevOps; 5 Database + QA/Tester. Mỗi SV có nhiệm vụ phụ và minh chứng cá nhân.</v>
      </c>
      <c r="I2505" t="s">
        <v>22</v>
      </c>
      <c r="J2505" t="s">
        <v>5754</v>
      </c>
      <c r="K2505" t="str">
        <f>IF(I2505="Trung bình",'Huong dan giao do an'!$B$8,IF(I2505="Khá",'Huong dan giao do an'!$B$9,'Huong dan giao do an'!$B$10))</f>
        <v>Tối thiểu 4 actor; 10-14 use case; 8-12 bảng; 3 quy trình lõi; phân quyền chi tiết; 2 báo cáo; tích hợp 1 dịch vụ; &gt;=35 test case; CI/CD hoặc deploy cloud.</v>
      </c>
      <c r="L2505" t="str">
        <f>'Huong dan giao do an'!$B$31</f>
        <v>Bắt buộc: Charter/PMP; SRS + scope/WBS; Gantt/baseline; effort-cost budget; RACI/timesheet; quality-test-defect; communication/minutes; risk register; procurement; change log; closure/lessons learned.</v>
      </c>
      <c r="M2505" t="str">
        <f>'Huong dan giao do an'!$B$33</f>
        <v>Tuần 1: 07.09–13.09.2026; Tuần 2: 14.09–20.09.2026; Tuần 3: 21.09–27.09.2026; Tuần 4: 28.09–04.10.2026; Tuần 5: 05.10–11.10.2026; Tuần 6: 12.10–18.10.2026; Tuần 7: 19.10–25.10.2026; Tuần 8: 26.10–01.11.2026.</v>
      </c>
      <c r="N25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5" s="17" t="str">
        <f t="shared" si="39"/>
        <v>Còn trống</v>
      </c>
    </row>
    <row r="2506" spans="1:16" x14ac:dyDescent="0.3">
      <c r="A2506">
        <v>2505</v>
      </c>
      <c r="B2506" t="s">
        <v>5749</v>
      </c>
      <c r="C2506" t="s">
        <v>5769</v>
      </c>
      <c r="D2506" t="s">
        <v>5770</v>
      </c>
      <c r="E2506" t="s">
        <v>45</v>
      </c>
      <c r="F2506" t="s">
        <v>5771</v>
      </c>
      <c r="G2506" t="s">
        <v>5772</v>
      </c>
      <c r="H2506" t="str">
        <f>'Huong dan giao do an'!$B$14</f>
        <v>5 SV (vai trò chính): 1 PM/Scrum Master kiêm Integration; 2 BA/PO; 3 UI-UX + Frontend; 4 Backend/API + DevOps; 5 Database + QA/Tester. Mỗi SV có nhiệm vụ phụ và minh chứng cá nhân.</v>
      </c>
      <c r="I2506" t="s">
        <v>29</v>
      </c>
      <c r="J2506" t="s">
        <v>5759</v>
      </c>
      <c r="K2506" t="str">
        <f>IF(I2506="Trung bình",'Huong dan giao do an'!$B$8,IF(I2506="Khá",'Huong dan giao do an'!$B$9,'Huong dan giao do an'!$B$10))</f>
        <v>Tối thiểu 5 actor; 14-18 use case; 10-15 bảng; 4 quy trình; tích hợp ngoài/realtime hoặc xử lý nâng cao; 3 báo cáo; &gt;=45 test case; logging, backup và deploy.</v>
      </c>
      <c r="L2506" t="str">
        <f>'Huong dan giao do an'!$B$31</f>
        <v>Bắt buộc: Charter/PMP; SRS + scope/WBS; Gantt/baseline; effort-cost budget; RACI/timesheet; quality-test-defect; communication/minutes; risk register; procurement; change log; closure/lessons learned.</v>
      </c>
      <c r="M2506" t="str">
        <f>'Huong dan giao do an'!$B$33</f>
        <v>Tuần 1: 07.09–13.09.2026; Tuần 2: 14.09–20.09.2026; Tuần 3: 21.09–27.09.2026; Tuần 4: 28.09–04.10.2026; Tuần 5: 05.10–11.10.2026; Tuần 6: 12.10–18.10.2026; Tuần 7: 19.10–25.10.2026; Tuần 8: 26.10–01.11.2026.</v>
      </c>
      <c r="N25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6" s="17" t="str">
        <f t="shared" si="39"/>
        <v>Còn trống</v>
      </c>
    </row>
    <row r="2507" spans="1:16" x14ac:dyDescent="0.3">
      <c r="A2507">
        <v>2506</v>
      </c>
      <c r="B2507" t="s">
        <v>5749</v>
      </c>
      <c r="C2507" t="s">
        <v>5773</v>
      </c>
      <c r="D2507" t="s">
        <v>5774</v>
      </c>
      <c r="E2507" t="s">
        <v>19</v>
      </c>
      <c r="F2507" t="s">
        <v>5752</v>
      </c>
      <c r="G2507" t="s">
        <v>5775</v>
      </c>
      <c r="H2507" t="str">
        <f>'Huong dan giao do an'!$B$14</f>
        <v>5 SV (vai trò chính): 1 PM/Scrum Master kiêm Integration; 2 BA/PO; 3 UI-UX + Frontend; 4 Backend/API + DevOps; 5 Database + QA/Tester. Mỗi SV có nhiệm vụ phụ và minh chứng cá nhân.</v>
      </c>
      <c r="I2507" t="s">
        <v>36</v>
      </c>
      <c r="J2507" t="s">
        <v>5764</v>
      </c>
      <c r="K2507" t="str">
        <f>IF(I2507="Trung bình",'Huong dan giao do an'!$B$8,IF(I2507="Khá",'Huong dan giao do an'!$B$9,'Huong dan giao do an'!$B$10))</f>
        <v>Tối thiểu 3 actor; 8-10 use case; 6-8 bảng dữ liệu; 2 quy trình lõi; đăng nhập/RBAC; 1 dashboard; 1 báo cáo; &gt;=25 test case; triển khai bản demo.</v>
      </c>
      <c r="L2507" t="str">
        <f>'Huong dan giao do an'!$B$31</f>
        <v>Bắt buộc: Charter/PMP; SRS + scope/WBS; Gantt/baseline; effort-cost budget; RACI/timesheet; quality-test-defect; communication/minutes; risk register; procurement; change log; closure/lessons learned.</v>
      </c>
      <c r="M2507" t="str">
        <f>'Huong dan giao do an'!$B$33</f>
        <v>Tuần 1: 07.09–13.09.2026; Tuần 2: 14.09–20.09.2026; Tuần 3: 21.09–27.09.2026; Tuần 4: 28.09–04.10.2026; Tuần 5: 05.10–11.10.2026; Tuần 6: 12.10–18.10.2026; Tuần 7: 19.10–25.10.2026; Tuần 8: 26.10–01.11.2026.</v>
      </c>
      <c r="N25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7" s="17" t="str">
        <f t="shared" si="39"/>
        <v>Còn trống</v>
      </c>
    </row>
    <row r="2508" spans="1:16" x14ac:dyDescent="0.3">
      <c r="A2508">
        <v>2507</v>
      </c>
      <c r="B2508" t="s">
        <v>5749</v>
      </c>
      <c r="C2508" t="s">
        <v>5776</v>
      </c>
      <c r="D2508" t="s">
        <v>5777</v>
      </c>
      <c r="E2508" t="s">
        <v>26</v>
      </c>
      <c r="F2508" t="s">
        <v>5757</v>
      </c>
      <c r="G2508" t="s">
        <v>5778</v>
      </c>
      <c r="H2508" t="str">
        <f>'Huong dan giao do an'!$B$14</f>
        <v>5 SV (vai trò chính): 1 PM/Scrum Master kiêm Integration; 2 BA/PO; 3 UI-UX + Frontend; 4 Backend/API + DevOps; 5 Database + QA/Tester. Mỗi SV có nhiệm vụ phụ và minh chứng cá nhân.</v>
      </c>
      <c r="I2508" t="s">
        <v>22</v>
      </c>
      <c r="J2508" t="s">
        <v>5754</v>
      </c>
      <c r="K2508" t="str">
        <f>IF(I2508="Trung bình",'Huong dan giao do an'!$B$8,IF(I2508="Khá",'Huong dan giao do an'!$B$9,'Huong dan giao do an'!$B$10))</f>
        <v>Tối thiểu 4 actor; 10-14 use case; 8-12 bảng; 3 quy trình lõi; phân quyền chi tiết; 2 báo cáo; tích hợp 1 dịch vụ; &gt;=35 test case; CI/CD hoặc deploy cloud.</v>
      </c>
      <c r="L2508" t="str">
        <f>'Huong dan giao do an'!$B$31</f>
        <v>Bắt buộc: Charter/PMP; SRS + scope/WBS; Gantt/baseline; effort-cost budget; RACI/timesheet; quality-test-defect; communication/minutes; risk register; procurement; change log; closure/lessons learned.</v>
      </c>
      <c r="M2508" t="str">
        <f>'Huong dan giao do an'!$B$33</f>
        <v>Tuần 1: 07.09–13.09.2026; Tuần 2: 14.09–20.09.2026; Tuần 3: 21.09–27.09.2026; Tuần 4: 28.09–04.10.2026; Tuần 5: 05.10–11.10.2026; Tuần 6: 12.10–18.10.2026; Tuần 7: 19.10–25.10.2026; Tuần 8: 26.10–01.11.2026.</v>
      </c>
      <c r="N25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8" s="17" t="str">
        <f t="shared" si="39"/>
        <v>Còn trống</v>
      </c>
    </row>
    <row r="2509" spans="1:16" x14ac:dyDescent="0.3">
      <c r="A2509">
        <v>2508</v>
      </c>
      <c r="B2509" t="s">
        <v>5749</v>
      </c>
      <c r="C2509" t="s">
        <v>5779</v>
      </c>
      <c r="D2509" t="s">
        <v>5780</v>
      </c>
      <c r="E2509" t="s">
        <v>33</v>
      </c>
      <c r="F2509" t="s">
        <v>5762</v>
      </c>
      <c r="G2509" t="s">
        <v>5781</v>
      </c>
      <c r="H2509" t="str">
        <f>'Huong dan giao do an'!$B$14</f>
        <v>5 SV (vai trò chính): 1 PM/Scrum Master kiêm Integration; 2 BA/PO; 3 UI-UX + Frontend; 4 Backend/API + DevOps; 5 Database + QA/Tester. Mỗi SV có nhiệm vụ phụ và minh chứng cá nhân.</v>
      </c>
      <c r="I2509" t="s">
        <v>29</v>
      </c>
      <c r="J2509" t="s">
        <v>5759</v>
      </c>
      <c r="K2509" t="str">
        <f>IF(I2509="Trung bình",'Huong dan giao do an'!$B$8,IF(I2509="Khá",'Huong dan giao do an'!$B$9,'Huong dan giao do an'!$B$10))</f>
        <v>Tối thiểu 5 actor; 14-18 use case; 10-15 bảng; 4 quy trình; tích hợp ngoài/realtime hoặc xử lý nâng cao; 3 báo cáo; &gt;=45 test case; logging, backup và deploy.</v>
      </c>
      <c r="L2509" t="str">
        <f>'Huong dan giao do an'!$B$31</f>
        <v>Bắt buộc: Charter/PMP; SRS + scope/WBS; Gantt/baseline; effort-cost budget; RACI/timesheet; quality-test-defect; communication/minutes; risk register; procurement; change log; closure/lessons learned.</v>
      </c>
      <c r="M2509" t="str">
        <f>'Huong dan giao do an'!$B$33</f>
        <v>Tuần 1: 07.09–13.09.2026; Tuần 2: 14.09–20.09.2026; Tuần 3: 21.09–27.09.2026; Tuần 4: 28.09–04.10.2026; Tuần 5: 05.10–11.10.2026; Tuần 6: 12.10–18.10.2026; Tuần 7: 19.10–25.10.2026; Tuần 8: 26.10–01.11.2026.</v>
      </c>
      <c r="N25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09" s="17" t="str">
        <f t="shared" si="39"/>
        <v>Còn trống</v>
      </c>
    </row>
    <row r="2510" spans="1:16" x14ac:dyDescent="0.3">
      <c r="A2510">
        <v>2509</v>
      </c>
      <c r="B2510" t="s">
        <v>5749</v>
      </c>
      <c r="C2510" t="s">
        <v>5782</v>
      </c>
      <c r="D2510" t="s">
        <v>5783</v>
      </c>
      <c r="E2510" t="s">
        <v>40</v>
      </c>
      <c r="F2510" t="s">
        <v>5767</v>
      </c>
      <c r="G2510" t="s">
        <v>5784</v>
      </c>
      <c r="H2510" t="str">
        <f>'Huong dan giao do an'!$B$14</f>
        <v>5 SV (vai trò chính): 1 PM/Scrum Master kiêm Integration; 2 BA/PO; 3 UI-UX + Frontend; 4 Backend/API + DevOps; 5 Database + QA/Tester. Mỗi SV có nhiệm vụ phụ và minh chứng cá nhân.</v>
      </c>
      <c r="I2510" t="s">
        <v>36</v>
      </c>
      <c r="J2510" t="s">
        <v>5764</v>
      </c>
      <c r="K2510" t="str">
        <f>IF(I2510="Trung bình",'Huong dan giao do an'!$B$8,IF(I2510="Khá",'Huong dan giao do an'!$B$9,'Huong dan giao do an'!$B$10))</f>
        <v>Tối thiểu 3 actor; 8-10 use case; 6-8 bảng dữ liệu; 2 quy trình lõi; đăng nhập/RBAC; 1 dashboard; 1 báo cáo; &gt;=25 test case; triển khai bản demo.</v>
      </c>
      <c r="L2510" t="str">
        <f>'Huong dan giao do an'!$B$31</f>
        <v>Bắt buộc: Charter/PMP; SRS + scope/WBS; Gantt/baseline; effort-cost budget; RACI/timesheet; quality-test-defect; communication/minutes; risk register; procurement; change log; closure/lessons learned.</v>
      </c>
      <c r="M2510" t="str">
        <f>'Huong dan giao do an'!$B$33</f>
        <v>Tuần 1: 07.09–13.09.2026; Tuần 2: 14.09–20.09.2026; Tuần 3: 21.09–27.09.2026; Tuần 4: 28.09–04.10.2026; Tuần 5: 05.10–11.10.2026; Tuần 6: 12.10–18.10.2026; Tuần 7: 19.10–25.10.2026; Tuần 8: 26.10–01.11.2026.</v>
      </c>
      <c r="N25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0" s="17" t="str">
        <f t="shared" si="39"/>
        <v>Còn trống</v>
      </c>
    </row>
    <row r="2511" spans="1:16" x14ac:dyDescent="0.3">
      <c r="A2511">
        <v>2510</v>
      </c>
      <c r="B2511" t="s">
        <v>5749</v>
      </c>
      <c r="C2511" t="s">
        <v>5785</v>
      </c>
      <c r="D2511" t="s">
        <v>5786</v>
      </c>
      <c r="E2511" t="s">
        <v>45</v>
      </c>
      <c r="F2511" t="s">
        <v>5771</v>
      </c>
      <c r="G2511" t="s">
        <v>5787</v>
      </c>
      <c r="H2511" t="str">
        <f>'Huong dan giao do an'!$B$14</f>
        <v>5 SV (vai trò chính): 1 PM/Scrum Master kiêm Integration; 2 BA/PO; 3 UI-UX + Frontend; 4 Backend/API + DevOps; 5 Database + QA/Tester. Mỗi SV có nhiệm vụ phụ và minh chứng cá nhân.</v>
      </c>
      <c r="I2511" t="s">
        <v>22</v>
      </c>
      <c r="J2511" t="s">
        <v>5754</v>
      </c>
      <c r="K2511" t="str">
        <f>IF(I2511="Trung bình",'Huong dan giao do an'!$B$8,IF(I2511="Khá",'Huong dan giao do an'!$B$9,'Huong dan giao do an'!$B$10))</f>
        <v>Tối thiểu 4 actor; 10-14 use case; 8-12 bảng; 3 quy trình lõi; phân quyền chi tiết; 2 báo cáo; tích hợp 1 dịch vụ; &gt;=35 test case; CI/CD hoặc deploy cloud.</v>
      </c>
      <c r="L2511" t="str">
        <f>'Huong dan giao do an'!$B$31</f>
        <v>Bắt buộc: Charter/PMP; SRS + scope/WBS; Gantt/baseline; effort-cost budget; RACI/timesheet; quality-test-defect; communication/minutes; risk register; procurement; change log; closure/lessons learned.</v>
      </c>
      <c r="M2511" t="str">
        <f>'Huong dan giao do an'!$B$33</f>
        <v>Tuần 1: 07.09–13.09.2026; Tuần 2: 14.09–20.09.2026; Tuần 3: 21.09–27.09.2026; Tuần 4: 28.09–04.10.2026; Tuần 5: 05.10–11.10.2026; Tuần 6: 12.10–18.10.2026; Tuần 7: 19.10–25.10.2026; Tuần 8: 26.10–01.11.2026.</v>
      </c>
      <c r="N25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1" s="17" t="str">
        <f t="shared" si="39"/>
        <v>Còn trống</v>
      </c>
    </row>
    <row r="2512" spans="1:16" x14ac:dyDescent="0.3">
      <c r="A2512">
        <v>2511</v>
      </c>
      <c r="B2512" t="s">
        <v>5749</v>
      </c>
      <c r="C2512" t="s">
        <v>5788</v>
      </c>
      <c r="D2512" t="s">
        <v>5789</v>
      </c>
      <c r="E2512" t="s">
        <v>19</v>
      </c>
      <c r="F2512" t="s">
        <v>5752</v>
      </c>
      <c r="G2512" t="s">
        <v>5790</v>
      </c>
      <c r="H2512" t="str">
        <f>'Huong dan giao do an'!$B$14</f>
        <v>5 SV (vai trò chính): 1 PM/Scrum Master kiêm Integration; 2 BA/PO; 3 UI-UX + Frontend; 4 Backend/API + DevOps; 5 Database + QA/Tester. Mỗi SV có nhiệm vụ phụ và minh chứng cá nhân.</v>
      </c>
      <c r="I2512" t="s">
        <v>29</v>
      </c>
      <c r="J2512" t="s">
        <v>5759</v>
      </c>
      <c r="K2512" t="str">
        <f>IF(I2512="Trung bình",'Huong dan giao do an'!$B$8,IF(I2512="Khá",'Huong dan giao do an'!$B$9,'Huong dan giao do an'!$B$10))</f>
        <v>Tối thiểu 5 actor; 14-18 use case; 10-15 bảng; 4 quy trình; tích hợp ngoài/realtime hoặc xử lý nâng cao; 3 báo cáo; &gt;=45 test case; logging, backup và deploy.</v>
      </c>
      <c r="L2512" t="str">
        <f>'Huong dan giao do an'!$B$31</f>
        <v>Bắt buộc: Charter/PMP; SRS + scope/WBS; Gantt/baseline; effort-cost budget; RACI/timesheet; quality-test-defect; communication/minutes; risk register; procurement; change log; closure/lessons learned.</v>
      </c>
      <c r="M2512" t="str">
        <f>'Huong dan giao do an'!$B$33</f>
        <v>Tuần 1: 07.09–13.09.2026; Tuần 2: 14.09–20.09.2026; Tuần 3: 21.09–27.09.2026; Tuần 4: 28.09–04.10.2026; Tuần 5: 05.10–11.10.2026; Tuần 6: 12.10–18.10.2026; Tuần 7: 19.10–25.10.2026; Tuần 8: 26.10–01.11.2026.</v>
      </c>
      <c r="N25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2" s="17" t="str">
        <f t="shared" si="39"/>
        <v>Còn trống</v>
      </c>
    </row>
    <row r="2513" spans="1:16" x14ac:dyDescent="0.3">
      <c r="A2513">
        <v>2512</v>
      </c>
      <c r="B2513" t="s">
        <v>5749</v>
      </c>
      <c r="C2513" t="s">
        <v>5791</v>
      </c>
      <c r="D2513" t="s">
        <v>5792</v>
      </c>
      <c r="E2513" t="s">
        <v>26</v>
      </c>
      <c r="F2513" t="s">
        <v>5757</v>
      </c>
      <c r="G2513" t="s">
        <v>5793</v>
      </c>
      <c r="H2513" t="str">
        <f>'Huong dan giao do an'!$B$14</f>
        <v>5 SV (vai trò chính): 1 PM/Scrum Master kiêm Integration; 2 BA/PO; 3 UI-UX + Frontend; 4 Backend/API + DevOps; 5 Database + QA/Tester. Mỗi SV có nhiệm vụ phụ và minh chứng cá nhân.</v>
      </c>
      <c r="I2513" t="s">
        <v>36</v>
      </c>
      <c r="J2513" t="s">
        <v>5764</v>
      </c>
      <c r="K2513" t="str">
        <f>IF(I2513="Trung bình",'Huong dan giao do an'!$B$8,IF(I2513="Khá",'Huong dan giao do an'!$B$9,'Huong dan giao do an'!$B$10))</f>
        <v>Tối thiểu 3 actor; 8-10 use case; 6-8 bảng dữ liệu; 2 quy trình lõi; đăng nhập/RBAC; 1 dashboard; 1 báo cáo; &gt;=25 test case; triển khai bản demo.</v>
      </c>
      <c r="L2513" t="str">
        <f>'Huong dan giao do an'!$B$31</f>
        <v>Bắt buộc: Charter/PMP; SRS + scope/WBS; Gantt/baseline; effort-cost budget; RACI/timesheet; quality-test-defect; communication/minutes; risk register; procurement; change log; closure/lessons learned.</v>
      </c>
      <c r="M2513" t="str">
        <f>'Huong dan giao do an'!$B$33</f>
        <v>Tuần 1: 07.09–13.09.2026; Tuần 2: 14.09–20.09.2026; Tuần 3: 21.09–27.09.2026; Tuần 4: 28.09–04.10.2026; Tuần 5: 05.10–11.10.2026; Tuần 6: 12.10–18.10.2026; Tuần 7: 19.10–25.10.2026; Tuần 8: 26.10–01.11.2026.</v>
      </c>
      <c r="N25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3" s="17" t="str">
        <f t="shared" si="39"/>
        <v>Còn trống</v>
      </c>
    </row>
    <row r="2514" spans="1:16" x14ac:dyDescent="0.3">
      <c r="A2514">
        <v>2513</v>
      </c>
      <c r="B2514" t="s">
        <v>5749</v>
      </c>
      <c r="C2514" t="s">
        <v>5794</v>
      </c>
      <c r="D2514" t="s">
        <v>5795</v>
      </c>
      <c r="E2514" t="s">
        <v>33</v>
      </c>
      <c r="F2514" t="s">
        <v>5762</v>
      </c>
      <c r="G2514" t="s">
        <v>5796</v>
      </c>
      <c r="H2514" t="str">
        <f>'Huong dan giao do an'!$B$14</f>
        <v>5 SV (vai trò chính): 1 PM/Scrum Master kiêm Integration; 2 BA/PO; 3 UI-UX + Frontend; 4 Backend/API + DevOps; 5 Database + QA/Tester. Mỗi SV có nhiệm vụ phụ và minh chứng cá nhân.</v>
      </c>
      <c r="I2514" t="s">
        <v>22</v>
      </c>
      <c r="J2514" t="s">
        <v>5754</v>
      </c>
      <c r="K2514" t="str">
        <f>IF(I2514="Trung bình",'Huong dan giao do an'!$B$8,IF(I2514="Khá",'Huong dan giao do an'!$B$9,'Huong dan giao do an'!$B$10))</f>
        <v>Tối thiểu 4 actor; 10-14 use case; 8-12 bảng; 3 quy trình lõi; phân quyền chi tiết; 2 báo cáo; tích hợp 1 dịch vụ; &gt;=35 test case; CI/CD hoặc deploy cloud.</v>
      </c>
      <c r="L2514" t="str">
        <f>'Huong dan giao do an'!$B$31</f>
        <v>Bắt buộc: Charter/PMP; SRS + scope/WBS; Gantt/baseline; effort-cost budget; RACI/timesheet; quality-test-defect; communication/minutes; risk register; procurement; change log; closure/lessons learned.</v>
      </c>
      <c r="M2514" t="str">
        <f>'Huong dan giao do an'!$B$33</f>
        <v>Tuần 1: 07.09–13.09.2026; Tuần 2: 14.09–20.09.2026; Tuần 3: 21.09–27.09.2026; Tuần 4: 28.09–04.10.2026; Tuần 5: 05.10–11.10.2026; Tuần 6: 12.10–18.10.2026; Tuần 7: 19.10–25.10.2026; Tuần 8: 26.10–01.11.2026.</v>
      </c>
      <c r="N25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4" s="17" t="str">
        <f t="shared" si="39"/>
        <v>Còn trống</v>
      </c>
    </row>
    <row r="2515" spans="1:16" x14ac:dyDescent="0.3">
      <c r="A2515">
        <v>2514</v>
      </c>
      <c r="B2515" t="s">
        <v>5749</v>
      </c>
      <c r="C2515" t="s">
        <v>5797</v>
      </c>
      <c r="D2515" t="s">
        <v>5798</v>
      </c>
      <c r="E2515" t="s">
        <v>40</v>
      </c>
      <c r="F2515" t="s">
        <v>5767</v>
      </c>
      <c r="G2515" t="s">
        <v>5799</v>
      </c>
      <c r="H2515" t="str">
        <f>'Huong dan giao do an'!$B$14</f>
        <v>5 SV (vai trò chính): 1 PM/Scrum Master kiêm Integration; 2 BA/PO; 3 UI-UX + Frontend; 4 Backend/API + DevOps; 5 Database + QA/Tester. Mỗi SV có nhiệm vụ phụ và minh chứng cá nhân.</v>
      </c>
      <c r="I2515" t="s">
        <v>29</v>
      </c>
      <c r="J2515" t="s">
        <v>5759</v>
      </c>
      <c r="K2515" t="str">
        <f>IF(I2515="Trung bình",'Huong dan giao do an'!$B$8,IF(I2515="Khá",'Huong dan giao do an'!$B$9,'Huong dan giao do an'!$B$10))</f>
        <v>Tối thiểu 5 actor; 14-18 use case; 10-15 bảng; 4 quy trình; tích hợp ngoài/realtime hoặc xử lý nâng cao; 3 báo cáo; &gt;=45 test case; logging, backup và deploy.</v>
      </c>
      <c r="L2515" t="str">
        <f>'Huong dan giao do an'!$B$31</f>
        <v>Bắt buộc: Charter/PMP; SRS + scope/WBS; Gantt/baseline; effort-cost budget; RACI/timesheet; quality-test-defect; communication/minutes; risk register; procurement; change log; closure/lessons learned.</v>
      </c>
      <c r="M2515" t="str">
        <f>'Huong dan giao do an'!$B$33</f>
        <v>Tuần 1: 07.09–13.09.2026; Tuần 2: 14.09–20.09.2026; Tuần 3: 21.09–27.09.2026; Tuần 4: 28.09–04.10.2026; Tuần 5: 05.10–11.10.2026; Tuần 6: 12.10–18.10.2026; Tuần 7: 19.10–25.10.2026; Tuần 8: 26.10–01.11.2026.</v>
      </c>
      <c r="N25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5" s="17" t="str">
        <f t="shared" si="39"/>
        <v>Còn trống</v>
      </c>
    </row>
    <row r="2516" spans="1:16" x14ac:dyDescent="0.3">
      <c r="A2516">
        <v>2515</v>
      </c>
      <c r="B2516" t="s">
        <v>5749</v>
      </c>
      <c r="C2516" t="s">
        <v>5800</v>
      </c>
      <c r="D2516" t="s">
        <v>5801</v>
      </c>
      <c r="E2516" t="s">
        <v>45</v>
      </c>
      <c r="F2516" t="s">
        <v>5771</v>
      </c>
      <c r="G2516" t="s">
        <v>5802</v>
      </c>
      <c r="H2516" t="str">
        <f>'Huong dan giao do an'!$B$14</f>
        <v>5 SV (vai trò chính): 1 PM/Scrum Master kiêm Integration; 2 BA/PO; 3 UI-UX + Frontend; 4 Backend/API + DevOps; 5 Database + QA/Tester. Mỗi SV có nhiệm vụ phụ và minh chứng cá nhân.</v>
      </c>
      <c r="I2516" t="s">
        <v>36</v>
      </c>
      <c r="J2516" t="s">
        <v>5764</v>
      </c>
      <c r="K2516" t="str">
        <f>IF(I2516="Trung bình",'Huong dan giao do an'!$B$8,IF(I2516="Khá",'Huong dan giao do an'!$B$9,'Huong dan giao do an'!$B$10))</f>
        <v>Tối thiểu 3 actor; 8-10 use case; 6-8 bảng dữ liệu; 2 quy trình lõi; đăng nhập/RBAC; 1 dashboard; 1 báo cáo; &gt;=25 test case; triển khai bản demo.</v>
      </c>
      <c r="L2516" t="str">
        <f>'Huong dan giao do an'!$B$31</f>
        <v>Bắt buộc: Charter/PMP; SRS + scope/WBS; Gantt/baseline; effort-cost budget; RACI/timesheet; quality-test-defect; communication/minutes; risk register; procurement; change log; closure/lessons learned.</v>
      </c>
      <c r="M2516" t="str">
        <f>'Huong dan giao do an'!$B$33</f>
        <v>Tuần 1: 07.09–13.09.2026; Tuần 2: 14.09–20.09.2026; Tuần 3: 21.09–27.09.2026; Tuần 4: 28.09–04.10.2026; Tuần 5: 05.10–11.10.2026; Tuần 6: 12.10–18.10.2026; Tuần 7: 19.10–25.10.2026; Tuần 8: 26.10–01.11.2026.</v>
      </c>
      <c r="N25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6" s="17" t="str">
        <f t="shared" si="39"/>
        <v>Còn trống</v>
      </c>
    </row>
    <row r="2517" spans="1:16" x14ac:dyDescent="0.3">
      <c r="A2517">
        <v>2516</v>
      </c>
      <c r="B2517" t="s">
        <v>5749</v>
      </c>
      <c r="C2517" t="s">
        <v>5803</v>
      </c>
      <c r="D2517" t="s">
        <v>5804</v>
      </c>
      <c r="E2517" t="s">
        <v>19</v>
      </c>
      <c r="F2517" t="s">
        <v>5752</v>
      </c>
      <c r="G2517" t="s">
        <v>5805</v>
      </c>
      <c r="H2517" t="str">
        <f>'Huong dan giao do an'!$B$14</f>
        <v>5 SV (vai trò chính): 1 PM/Scrum Master kiêm Integration; 2 BA/PO; 3 UI-UX + Frontend; 4 Backend/API + DevOps; 5 Database + QA/Tester. Mỗi SV có nhiệm vụ phụ và minh chứng cá nhân.</v>
      </c>
      <c r="I2517" t="s">
        <v>22</v>
      </c>
      <c r="J2517" t="s">
        <v>5754</v>
      </c>
      <c r="K2517" t="str">
        <f>IF(I2517="Trung bình",'Huong dan giao do an'!$B$8,IF(I2517="Khá",'Huong dan giao do an'!$B$9,'Huong dan giao do an'!$B$10))</f>
        <v>Tối thiểu 4 actor; 10-14 use case; 8-12 bảng; 3 quy trình lõi; phân quyền chi tiết; 2 báo cáo; tích hợp 1 dịch vụ; &gt;=35 test case; CI/CD hoặc deploy cloud.</v>
      </c>
      <c r="L2517" t="str">
        <f>'Huong dan giao do an'!$B$31</f>
        <v>Bắt buộc: Charter/PMP; SRS + scope/WBS; Gantt/baseline; effort-cost budget; RACI/timesheet; quality-test-defect; communication/minutes; risk register; procurement; change log; closure/lessons learned.</v>
      </c>
      <c r="M2517" t="str">
        <f>'Huong dan giao do an'!$B$33</f>
        <v>Tuần 1: 07.09–13.09.2026; Tuần 2: 14.09–20.09.2026; Tuần 3: 21.09–27.09.2026; Tuần 4: 28.09–04.10.2026; Tuần 5: 05.10–11.10.2026; Tuần 6: 12.10–18.10.2026; Tuần 7: 19.10–25.10.2026; Tuần 8: 26.10–01.11.2026.</v>
      </c>
      <c r="N25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7" s="17" t="str">
        <f t="shared" si="39"/>
        <v>Còn trống</v>
      </c>
    </row>
    <row r="2518" spans="1:16" x14ac:dyDescent="0.3">
      <c r="A2518">
        <v>2517</v>
      </c>
      <c r="B2518" t="s">
        <v>5749</v>
      </c>
      <c r="C2518" t="s">
        <v>5806</v>
      </c>
      <c r="D2518" t="s">
        <v>5807</v>
      </c>
      <c r="E2518" t="s">
        <v>26</v>
      </c>
      <c r="F2518" t="s">
        <v>5757</v>
      </c>
      <c r="G2518" t="s">
        <v>5808</v>
      </c>
      <c r="H2518" t="str">
        <f>'Huong dan giao do an'!$B$14</f>
        <v>5 SV (vai trò chính): 1 PM/Scrum Master kiêm Integration; 2 BA/PO; 3 UI-UX + Frontend; 4 Backend/API + DevOps; 5 Database + QA/Tester. Mỗi SV có nhiệm vụ phụ và minh chứng cá nhân.</v>
      </c>
      <c r="I2518" t="s">
        <v>29</v>
      </c>
      <c r="J2518" t="s">
        <v>5759</v>
      </c>
      <c r="K2518" t="str">
        <f>IF(I2518="Trung bình",'Huong dan giao do an'!$B$8,IF(I2518="Khá",'Huong dan giao do an'!$B$9,'Huong dan giao do an'!$B$10))</f>
        <v>Tối thiểu 5 actor; 14-18 use case; 10-15 bảng; 4 quy trình; tích hợp ngoài/realtime hoặc xử lý nâng cao; 3 báo cáo; &gt;=45 test case; logging, backup và deploy.</v>
      </c>
      <c r="L2518" t="str">
        <f>'Huong dan giao do an'!$B$31</f>
        <v>Bắt buộc: Charter/PMP; SRS + scope/WBS; Gantt/baseline; effort-cost budget; RACI/timesheet; quality-test-defect; communication/minutes; risk register; procurement; change log; closure/lessons learned.</v>
      </c>
      <c r="M2518" t="str">
        <f>'Huong dan giao do an'!$B$33</f>
        <v>Tuần 1: 07.09–13.09.2026; Tuần 2: 14.09–20.09.2026; Tuần 3: 21.09–27.09.2026; Tuần 4: 28.09–04.10.2026; Tuần 5: 05.10–11.10.2026; Tuần 6: 12.10–18.10.2026; Tuần 7: 19.10–25.10.2026; Tuần 8: 26.10–01.11.2026.</v>
      </c>
      <c r="N25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8" s="17" t="str">
        <f t="shared" si="39"/>
        <v>Còn trống</v>
      </c>
    </row>
    <row r="2519" spans="1:16" x14ac:dyDescent="0.3">
      <c r="A2519">
        <v>2518</v>
      </c>
      <c r="B2519" t="s">
        <v>5749</v>
      </c>
      <c r="C2519" t="s">
        <v>5809</v>
      </c>
      <c r="D2519" t="s">
        <v>5810</v>
      </c>
      <c r="E2519" t="s">
        <v>33</v>
      </c>
      <c r="F2519" t="s">
        <v>5762</v>
      </c>
      <c r="G2519" t="s">
        <v>5811</v>
      </c>
      <c r="H2519" t="str">
        <f>'Huong dan giao do an'!$B$14</f>
        <v>5 SV (vai trò chính): 1 PM/Scrum Master kiêm Integration; 2 BA/PO; 3 UI-UX + Frontend; 4 Backend/API + DevOps; 5 Database + QA/Tester. Mỗi SV có nhiệm vụ phụ và minh chứng cá nhân.</v>
      </c>
      <c r="I2519" t="s">
        <v>36</v>
      </c>
      <c r="J2519" t="s">
        <v>5764</v>
      </c>
      <c r="K2519" t="str">
        <f>IF(I2519="Trung bình",'Huong dan giao do an'!$B$8,IF(I2519="Khá",'Huong dan giao do an'!$B$9,'Huong dan giao do an'!$B$10))</f>
        <v>Tối thiểu 3 actor; 8-10 use case; 6-8 bảng dữ liệu; 2 quy trình lõi; đăng nhập/RBAC; 1 dashboard; 1 báo cáo; &gt;=25 test case; triển khai bản demo.</v>
      </c>
      <c r="L2519" t="str">
        <f>'Huong dan giao do an'!$B$31</f>
        <v>Bắt buộc: Charter/PMP; SRS + scope/WBS; Gantt/baseline; effort-cost budget; RACI/timesheet; quality-test-defect; communication/minutes; risk register; procurement; change log; closure/lessons learned.</v>
      </c>
      <c r="M2519" t="str">
        <f>'Huong dan giao do an'!$B$33</f>
        <v>Tuần 1: 07.09–13.09.2026; Tuần 2: 14.09–20.09.2026; Tuần 3: 21.09–27.09.2026; Tuần 4: 28.09–04.10.2026; Tuần 5: 05.10–11.10.2026; Tuần 6: 12.10–18.10.2026; Tuần 7: 19.10–25.10.2026; Tuần 8: 26.10–01.11.2026.</v>
      </c>
      <c r="N25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19" s="17" t="str">
        <f t="shared" si="39"/>
        <v>Còn trống</v>
      </c>
    </row>
    <row r="2520" spans="1:16" x14ac:dyDescent="0.3">
      <c r="A2520">
        <v>2519</v>
      </c>
      <c r="B2520" t="s">
        <v>5749</v>
      </c>
      <c r="C2520" t="s">
        <v>5812</v>
      </c>
      <c r="D2520" t="s">
        <v>5813</v>
      </c>
      <c r="E2520" t="s">
        <v>40</v>
      </c>
      <c r="F2520" t="s">
        <v>5767</v>
      </c>
      <c r="G2520" t="s">
        <v>5814</v>
      </c>
      <c r="H2520" t="str">
        <f>'Huong dan giao do an'!$B$14</f>
        <v>5 SV (vai trò chính): 1 PM/Scrum Master kiêm Integration; 2 BA/PO; 3 UI-UX + Frontend; 4 Backend/API + DevOps; 5 Database + QA/Tester. Mỗi SV có nhiệm vụ phụ và minh chứng cá nhân.</v>
      </c>
      <c r="I2520" t="s">
        <v>22</v>
      </c>
      <c r="J2520" t="s">
        <v>5754</v>
      </c>
      <c r="K2520" t="str">
        <f>IF(I2520="Trung bình",'Huong dan giao do an'!$B$8,IF(I2520="Khá",'Huong dan giao do an'!$B$9,'Huong dan giao do an'!$B$10))</f>
        <v>Tối thiểu 4 actor; 10-14 use case; 8-12 bảng; 3 quy trình lõi; phân quyền chi tiết; 2 báo cáo; tích hợp 1 dịch vụ; &gt;=35 test case; CI/CD hoặc deploy cloud.</v>
      </c>
      <c r="L2520" t="str">
        <f>'Huong dan giao do an'!$B$31</f>
        <v>Bắt buộc: Charter/PMP; SRS + scope/WBS; Gantt/baseline; effort-cost budget; RACI/timesheet; quality-test-defect; communication/minutes; risk register; procurement; change log; closure/lessons learned.</v>
      </c>
      <c r="M2520" t="str">
        <f>'Huong dan giao do an'!$B$33</f>
        <v>Tuần 1: 07.09–13.09.2026; Tuần 2: 14.09–20.09.2026; Tuần 3: 21.09–27.09.2026; Tuần 4: 28.09–04.10.2026; Tuần 5: 05.10–11.10.2026; Tuần 6: 12.10–18.10.2026; Tuần 7: 19.10–25.10.2026; Tuần 8: 26.10–01.11.2026.</v>
      </c>
      <c r="N25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0" s="17" t="str">
        <f t="shared" si="39"/>
        <v>Còn trống</v>
      </c>
    </row>
    <row r="2521" spans="1:16" x14ac:dyDescent="0.3">
      <c r="A2521">
        <v>2520</v>
      </c>
      <c r="B2521" t="s">
        <v>5749</v>
      </c>
      <c r="C2521" t="s">
        <v>5815</v>
      </c>
      <c r="D2521" t="s">
        <v>5816</v>
      </c>
      <c r="E2521" t="s">
        <v>45</v>
      </c>
      <c r="F2521" t="s">
        <v>5771</v>
      </c>
      <c r="G2521" t="s">
        <v>5817</v>
      </c>
      <c r="H2521" t="str">
        <f>'Huong dan giao do an'!$B$14</f>
        <v>5 SV (vai trò chính): 1 PM/Scrum Master kiêm Integration; 2 BA/PO; 3 UI-UX + Frontend; 4 Backend/API + DevOps; 5 Database + QA/Tester. Mỗi SV có nhiệm vụ phụ và minh chứng cá nhân.</v>
      </c>
      <c r="I2521" t="s">
        <v>29</v>
      </c>
      <c r="J2521" t="s">
        <v>5759</v>
      </c>
      <c r="K2521" t="str">
        <f>IF(I2521="Trung bình",'Huong dan giao do an'!$B$8,IF(I2521="Khá",'Huong dan giao do an'!$B$9,'Huong dan giao do an'!$B$10))</f>
        <v>Tối thiểu 5 actor; 14-18 use case; 10-15 bảng; 4 quy trình; tích hợp ngoài/realtime hoặc xử lý nâng cao; 3 báo cáo; &gt;=45 test case; logging, backup và deploy.</v>
      </c>
      <c r="L2521" t="str">
        <f>'Huong dan giao do an'!$B$31</f>
        <v>Bắt buộc: Charter/PMP; SRS + scope/WBS; Gantt/baseline; effort-cost budget; RACI/timesheet; quality-test-defect; communication/minutes; risk register; procurement; change log; closure/lessons learned.</v>
      </c>
      <c r="M2521" t="str">
        <f>'Huong dan giao do an'!$B$33</f>
        <v>Tuần 1: 07.09–13.09.2026; Tuần 2: 14.09–20.09.2026; Tuần 3: 21.09–27.09.2026; Tuần 4: 28.09–04.10.2026; Tuần 5: 05.10–11.10.2026; Tuần 6: 12.10–18.10.2026; Tuần 7: 19.10–25.10.2026; Tuần 8: 26.10–01.11.2026.</v>
      </c>
      <c r="N25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1" s="17" t="str">
        <f t="shared" si="39"/>
        <v>Còn trống</v>
      </c>
    </row>
    <row r="2522" spans="1:16" x14ac:dyDescent="0.3">
      <c r="A2522">
        <v>2521</v>
      </c>
      <c r="B2522" t="s">
        <v>5749</v>
      </c>
      <c r="C2522" t="s">
        <v>5818</v>
      </c>
      <c r="D2522" t="s">
        <v>5819</v>
      </c>
      <c r="E2522" t="s">
        <v>19</v>
      </c>
      <c r="F2522" t="s">
        <v>5752</v>
      </c>
      <c r="G2522" t="s">
        <v>5753</v>
      </c>
      <c r="H2522" t="str">
        <f>'Huong dan giao do an'!$B$14</f>
        <v>5 SV (vai trò chính): 1 PM/Scrum Master kiêm Integration; 2 BA/PO; 3 UI-UX + Frontend; 4 Backend/API + DevOps; 5 Database + QA/Tester. Mỗi SV có nhiệm vụ phụ và minh chứng cá nhân.</v>
      </c>
      <c r="I2522" t="s">
        <v>22</v>
      </c>
      <c r="J2522" t="s">
        <v>5754</v>
      </c>
      <c r="K2522" t="str">
        <f>IF(I2522="Trung bình",'Huong dan giao do an'!$B$8,IF(I2522="Khá",'Huong dan giao do an'!$B$9,'Huong dan giao do an'!$B$10))</f>
        <v>Tối thiểu 4 actor; 10-14 use case; 8-12 bảng; 3 quy trình lõi; phân quyền chi tiết; 2 báo cáo; tích hợp 1 dịch vụ; &gt;=35 test case; CI/CD hoặc deploy cloud.</v>
      </c>
      <c r="L2522" t="str">
        <f>'Huong dan giao do an'!$B$31</f>
        <v>Bắt buộc: Charter/PMP; SRS + scope/WBS; Gantt/baseline; effort-cost budget; RACI/timesheet; quality-test-defect; communication/minutes; risk register; procurement; change log; closure/lessons learned.</v>
      </c>
      <c r="M2522" t="str">
        <f>'Huong dan giao do an'!$B$33</f>
        <v>Tuần 1: 07.09–13.09.2026; Tuần 2: 14.09–20.09.2026; Tuần 3: 21.09–27.09.2026; Tuần 4: 28.09–04.10.2026; Tuần 5: 05.10–11.10.2026; Tuần 6: 12.10–18.10.2026; Tuần 7: 19.10–25.10.2026; Tuần 8: 26.10–01.11.2026.</v>
      </c>
      <c r="N25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2" s="17" t="str">
        <f t="shared" si="39"/>
        <v>Còn trống</v>
      </c>
    </row>
    <row r="2523" spans="1:16" x14ac:dyDescent="0.3">
      <c r="A2523">
        <v>2522</v>
      </c>
      <c r="B2523" t="s">
        <v>5749</v>
      </c>
      <c r="C2523" t="s">
        <v>5820</v>
      </c>
      <c r="D2523" t="s">
        <v>5821</v>
      </c>
      <c r="E2523" t="s">
        <v>26</v>
      </c>
      <c r="F2523" t="s">
        <v>5757</v>
      </c>
      <c r="G2523" t="s">
        <v>5758</v>
      </c>
      <c r="H2523" t="str">
        <f>'Huong dan giao do an'!$B$14</f>
        <v>5 SV (vai trò chính): 1 PM/Scrum Master kiêm Integration; 2 BA/PO; 3 UI-UX + Frontend; 4 Backend/API + DevOps; 5 Database + QA/Tester. Mỗi SV có nhiệm vụ phụ và minh chứng cá nhân.</v>
      </c>
      <c r="I2523" t="s">
        <v>29</v>
      </c>
      <c r="J2523" t="s">
        <v>5759</v>
      </c>
      <c r="K2523" t="str">
        <f>IF(I2523="Trung bình",'Huong dan giao do an'!$B$8,IF(I2523="Khá",'Huong dan giao do an'!$B$9,'Huong dan giao do an'!$B$10))</f>
        <v>Tối thiểu 5 actor; 14-18 use case; 10-15 bảng; 4 quy trình; tích hợp ngoài/realtime hoặc xử lý nâng cao; 3 báo cáo; &gt;=45 test case; logging, backup và deploy.</v>
      </c>
      <c r="L2523" t="str">
        <f>'Huong dan giao do an'!$B$31</f>
        <v>Bắt buộc: Charter/PMP; SRS + scope/WBS; Gantt/baseline; effort-cost budget; RACI/timesheet; quality-test-defect; communication/minutes; risk register; procurement; change log; closure/lessons learned.</v>
      </c>
      <c r="M2523" t="str">
        <f>'Huong dan giao do an'!$B$33</f>
        <v>Tuần 1: 07.09–13.09.2026; Tuần 2: 14.09–20.09.2026; Tuần 3: 21.09–27.09.2026; Tuần 4: 28.09–04.10.2026; Tuần 5: 05.10–11.10.2026; Tuần 6: 12.10–18.10.2026; Tuần 7: 19.10–25.10.2026; Tuần 8: 26.10–01.11.2026.</v>
      </c>
      <c r="N25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3" s="17" t="str">
        <f t="shared" si="39"/>
        <v>Còn trống</v>
      </c>
    </row>
    <row r="2524" spans="1:16" x14ac:dyDescent="0.3">
      <c r="A2524">
        <v>2523</v>
      </c>
      <c r="B2524" t="s">
        <v>5749</v>
      </c>
      <c r="C2524" t="s">
        <v>5822</v>
      </c>
      <c r="D2524" t="s">
        <v>5823</v>
      </c>
      <c r="E2524" t="s">
        <v>33</v>
      </c>
      <c r="F2524" t="s">
        <v>5762</v>
      </c>
      <c r="G2524" t="s">
        <v>5763</v>
      </c>
      <c r="H2524" t="str">
        <f>'Huong dan giao do an'!$B$14</f>
        <v>5 SV (vai trò chính): 1 PM/Scrum Master kiêm Integration; 2 BA/PO; 3 UI-UX + Frontend; 4 Backend/API + DevOps; 5 Database + QA/Tester. Mỗi SV có nhiệm vụ phụ và minh chứng cá nhân.</v>
      </c>
      <c r="I2524" t="s">
        <v>36</v>
      </c>
      <c r="J2524" t="s">
        <v>5764</v>
      </c>
      <c r="K2524" t="str">
        <f>IF(I2524="Trung bình",'Huong dan giao do an'!$B$8,IF(I2524="Khá",'Huong dan giao do an'!$B$9,'Huong dan giao do an'!$B$10))</f>
        <v>Tối thiểu 3 actor; 8-10 use case; 6-8 bảng dữ liệu; 2 quy trình lõi; đăng nhập/RBAC; 1 dashboard; 1 báo cáo; &gt;=25 test case; triển khai bản demo.</v>
      </c>
      <c r="L2524" t="str">
        <f>'Huong dan giao do an'!$B$31</f>
        <v>Bắt buộc: Charter/PMP; SRS + scope/WBS; Gantt/baseline; effort-cost budget; RACI/timesheet; quality-test-defect; communication/minutes; risk register; procurement; change log; closure/lessons learned.</v>
      </c>
      <c r="M2524" t="str">
        <f>'Huong dan giao do an'!$B$33</f>
        <v>Tuần 1: 07.09–13.09.2026; Tuần 2: 14.09–20.09.2026; Tuần 3: 21.09–27.09.2026; Tuần 4: 28.09–04.10.2026; Tuần 5: 05.10–11.10.2026; Tuần 6: 12.10–18.10.2026; Tuần 7: 19.10–25.10.2026; Tuần 8: 26.10–01.11.2026.</v>
      </c>
      <c r="N25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4" s="17" t="str">
        <f t="shared" si="39"/>
        <v>Còn trống</v>
      </c>
    </row>
    <row r="2525" spans="1:16" x14ac:dyDescent="0.3">
      <c r="A2525">
        <v>2524</v>
      </c>
      <c r="B2525" t="s">
        <v>5749</v>
      </c>
      <c r="C2525" t="s">
        <v>5824</v>
      </c>
      <c r="D2525" t="s">
        <v>5825</v>
      </c>
      <c r="E2525" t="s">
        <v>40</v>
      </c>
      <c r="F2525" t="s">
        <v>5767</v>
      </c>
      <c r="G2525" t="s">
        <v>5768</v>
      </c>
      <c r="H2525" t="str">
        <f>'Huong dan giao do an'!$B$14</f>
        <v>5 SV (vai trò chính): 1 PM/Scrum Master kiêm Integration; 2 BA/PO; 3 UI-UX + Frontend; 4 Backend/API + DevOps; 5 Database + QA/Tester. Mỗi SV có nhiệm vụ phụ và minh chứng cá nhân.</v>
      </c>
      <c r="I2525" t="s">
        <v>22</v>
      </c>
      <c r="J2525" t="s">
        <v>5754</v>
      </c>
      <c r="K2525" t="str">
        <f>IF(I2525="Trung bình",'Huong dan giao do an'!$B$8,IF(I2525="Khá",'Huong dan giao do an'!$B$9,'Huong dan giao do an'!$B$10))</f>
        <v>Tối thiểu 4 actor; 10-14 use case; 8-12 bảng; 3 quy trình lõi; phân quyền chi tiết; 2 báo cáo; tích hợp 1 dịch vụ; &gt;=35 test case; CI/CD hoặc deploy cloud.</v>
      </c>
      <c r="L2525" t="str">
        <f>'Huong dan giao do an'!$B$31</f>
        <v>Bắt buộc: Charter/PMP; SRS + scope/WBS; Gantt/baseline; effort-cost budget; RACI/timesheet; quality-test-defect; communication/minutes; risk register; procurement; change log; closure/lessons learned.</v>
      </c>
      <c r="M2525" t="str">
        <f>'Huong dan giao do an'!$B$33</f>
        <v>Tuần 1: 07.09–13.09.2026; Tuần 2: 14.09–20.09.2026; Tuần 3: 21.09–27.09.2026; Tuần 4: 28.09–04.10.2026; Tuần 5: 05.10–11.10.2026; Tuần 6: 12.10–18.10.2026; Tuần 7: 19.10–25.10.2026; Tuần 8: 26.10–01.11.2026.</v>
      </c>
      <c r="N25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5" s="17" t="str">
        <f t="shared" si="39"/>
        <v>Còn trống</v>
      </c>
    </row>
    <row r="2526" spans="1:16" x14ac:dyDescent="0.3">
      <c r="A2526">
        <v>2525</v>
      </c>
      <c r="B2526" t="s">
        <v>5749</v>
      </c>
      <c r="C2526" t="s">
        <v>5826</v>
      </c>
      <c r="D2526" t="s">
        <v>5827</v>
      </c>
      <c r="E2526" t="s">
        <v>45</v>
      </c>
      <c r="F2526" t="s">
        <v>5771</v>
      </c>
      <c r="G2526" t="s">
        <v>5772</v>
      </c>
      <c r="H2526" t="str">
        <f>'Huong dan giao do an'!$B$14</f>
        <v>5 SV (vai trò chính): 1 PM/Scrum Master kiêm Integration; 2 BA/PO; 3 UI-UX + Frontend; 4 Backend/API + DevOps; 5 Database + QA/Tester. Mỗi SV có nhiệm vụ phụ và minh chứng cá nhân.</v>
      </c>
      <c r="I2526" t="s">
        <v>29</v>
      </c>
      <c r="J2526" t="s">
        <v>5759</v>
      </c>
      <c r="K2526" t="str">
        <f>IF(I2526="Trung bình",'Huong dan giao do an'!$B$8,IF(I2526="Khá",'Huong dan giao do an'!$B$9,'Huong dan giao do an'!$B$10))</f>
        <v>Tối thiểu 5 actor; 14-18 use case; 10-15 bảng; 4 quy trình; tích hợp ngoài/realtime hoặc xử lý nâng cao; 3 báo cáo; &gt;=45 test case; logging, backup và deploy.</v>
      </c>
      <c r="L2526" t="str">
        <f>'Huong dan giao do an'!$B$31</f>
        <v>Bắt buộc: Charter/PMP; SRS + scope/WBS; Gantt/baseline; effort-cost budget; RACI/timesheet; quality-test-defect; communication/minutes; risk register; procurement; change log; closure/lessons learned.</v>
      </c>
      <c r="M2526" t="str">
        <f>'Huong dan giao do an'!$B$33</f>
        <v>Tuần 1: 07.09–13.09.2026; Tuần 2: 14.09–20.09.2026; Tuần 3: 21.09–27.09.2026; Tuần 4: 28.09–04.10.2026; Tuần 5: 05.10–11.10.2026; Tuần 6: 12.10–18.10.2026; Tuần 7: 19.10–25.10.2026; Tuần 8: 26.10–01.11.2026.</v>
      </c>
      <c r="N25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6" s="17" t="str">
        <f t="shared" si="39"/>
        <v>Còn trống</v>
      </c>
    </row>
    <row r="2527" spans="1:16" x14ac:dyDescent="0.3">
      <c r="A2527">
        <v>2526</v>
      </c>
      <c r="B2527" t="s">
        <v>5749</v>
      </c>
      <c r="C2527" t="s">
        <v>5828</v>
      </c>
      <c r="D2527" t="s">
        <v>5829</v>
      </c>
      <c r="E2527" t="s">
        <v>19</v>
      </c>
      <c r="F2527" t="s">
        <v>5752</v>
      </c>
      <c r="G2527" t="s">
        <v>5775</v>
      </c>
      <c r="H2527" t="str">
        <f>'Huong dan giao do an'!$B$14</f>
        <v>5 SV (vai trò chính): 1 PM/Scrum Master kiêm Integration; 2 BA/PO; 3 UI-UX + Frontend; 4 Backend/API + DevOps; 5 Database + QA/Tester. Mỗi SV có nhiệm vụ phụ và minh chứng cá nhân.</v>
      </c>
      <c r="I2527" t="s">
        <v>36</v>
      </c>
      <c r="J2527" t="s">
        <v>5764</v>
      </c>
      <c r="K2527" t="str">
        <f>IF(I2527="Trung bình",'Huong dan giao do an'!$B$8,IF(I2527="Khá",'Huong dan giao do an'!$B$9,'Huong dan giao do an'!$B$10))</f>
        <v>Tối thiểu 3 actor; 8-10 use case; 6-8 bảng dữ liệu; 2 quy trình lõi; đăng nhập/RBAC; 1 dashboard; 1 báo cáo; &gt;=25 test case; triển khai bản demo.</v>
      </c>
      <c r="L2527" t="str">
        <f>'Huong dan giao do an'!$B$31</f>
        <v>Bắt buộc: Charter/PMP; SRS + scope/WBS; Gantt/baseline; effort-cost budget; RACI/timesheet; quality-test-defect; communication/minutes; risk register; procurement; change log; closure/lessons learned.</v>
      </c>
      <c r="M2527" t="str">
        <f>'Huong dan giao do an'!$B$33</f>
        <v>Tuần 1: 07.09–13.09.2026; Tuần 2: 14.09–20.09.2026; Tuần 3: 21.09–27.09.2026; Tuần 4: 28.09–04.10.2026; Tuần 5: 05.10–11.10.2026; Tuần 6: 12.10–18.10.2026; Tuần 7: 19.10–25.10.2026; Tuần 8: 26.10–01.11.2026.</v>
      </c>
      <c r="N25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7" s="17" t="str">
        <f t="shared" si="39"/>
        <v>Còn trống</v>
      </c>
    </row>
    <row r="2528" spans="1:16" x14ac:dyDescent="0.3">
      <c r="A2528">
        <v>2527</v>
      </c>
      <c r="B2528" t="s">
        <v>5749</v>
      </c>
      <c r="C2528" t="s">
        <v>5830</v>
      </c>
      <c r="D2528" t="s">
        <v>5831</v>
      </c>
      <c r="E2528" t="s">
        <v>26</v>
      </c>
      <c r="F2528" t="s">
        <v>5757</v>
      </c>
      <c r="G2528" t="s">
        <v>5778</v>
      </c>
      <c r="H2528" t="str">
        <f>'Huong dan giao do an'!$B$14</f>
        <v>5 SV (vai trò chính): 1 PM/Scrum Master kiêm Integration; 2 BA/PO; 3 UI-UX + Frontend; 4 Backend/API + DevOps; 5 Database + QA/Tester. Mỗi SV có nhiệm vụ phụ và minh chứng cá nhân.</v>
      </c>
      <c r="I2528" t="s">
        <v>22</v>
      </c>
      <c r="J2528" t="s">
        <v>5754</v>
      </c>
      <c r="K2528" t="str">
        <f>IF(I2528="Trung bình",'Huong dan giao do an'!$B$8,IF(I2528="Khá",'Huong dan giao do an'!$B$9,'Huong dan giao do an'!$B$10))</f>
        <v>Tối thiểu 4 actor; 10-14 use case; 8-12 bảng; 3 quy trình lõi; phân quyền chi tiết; 2 báo cáo; tích hợp 1 dịch vụ; &gt;=35 test case; CI/CD hoặc deploy cloud.</v>
      </c>
      <c r="L2528" t="str">
        <f>'Huong dan giao do an'!$B$31</f>
        <v>Bắt buộc: Charter/PMP; SRS + scope/WBS; Gantt/baseline; effort-cost budget; RACI/timesheet; quality-test-defect; communication/minutes; risk register; procurement; change log; closure/lessons learned.</v>
      </c>
      <c r="M2528" t="str">
        <f>'Huong dan giao do an'!$B$33</f>
        <v>Tuần 1: 07.09–13.09.2026; Tuần 2: 14.09–20.09.2026; Tuần 3: 21.09–27.09.2026; Tuần 4: 28.09–04.10.2026; Tuần 5: 05.10–11.10.2026; Tuần 6: 12.10–18.10.2026; Tuần 7: 19.10–25.10.2026; Tuần 8: 26.10–01.11.2026.</v>
      </c>
      <c r="N25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8" s="17" t="str">
        <f t="shared" si="39"/>
        <v>Còn trống</v>
      </c>
    </row>
    <row r="2529" spans="1:16" x14ac:dyDescent="0.3">
      <c r="A2529">
        <v>2528</v>
      </c>
      <c r="B2529" t="s">
        <v>5749</v>
      </c>
      <c r="C2529" t="s">
        <v>5832</v>
      </c>
      <c r="D2529" t="s">
        <v>5833</v>
      </c>
      <c r="E2529" t="s">
        <v>33</v>
      </c>
      <c r="F2529" t="s">
        <v>5762</v>
      </c>
      <c r="G2529" t="s">
        <v>5781</v>
      </c>
      <c r="H2529" t="str">
        <f>'Huong dan giao do an'!$B$14</f>
        <v>5 SV (vai trò chính): 1 PM/Scrum Master kiêm Integration; 2 BA/PO; 3 UI-UX + Frontend; 4 Backend/API + DevOps; 5 Database + QA/Tester. Mỗi SV có nhiệm vụ phụ và minh chứng cá nhân.</v>
      </c>
      <c r="I2529" t="s">
        <v>29</v>
      </c>
      <c r="J2529" t="s">
        <v>5759</v>
      </c>
      <c r="K2529" t="str">
        <f>IF(I2529="Trung bình",'Huong dan giao do an'!$B$8,IF(I2529="Khá",'Huong dan giao do an'!$B$9,'Huong dan giao do an'!$B$10))</f>
        <v>Tối thiểu 5 actor; 14-18 use case; 10-15 bảng; 4 quy trình; tích hợp ngoài/realtime hoặc xử lý nâng cao; 3 báo cáo; &gt;=45 test case; logging, backup và deploy.</v>
      </c>
      <c r="L2529" t="str">
        <f>'Huong dan giao do an'!$B$31</f>
        <v>Bắt buộc: Charter/PMP; SRS + scope/WBS; Gantt/baseline; effort-cost budget; RACI/timesheet; quality-test-defect; communication/minutes; risk register; procurement; change log; closure/lessons learned.</v>
      </c>
      <c r="M2529" t="str">
        <f>'Huong dan giao do an'!$B$33</f>
        <v>Tuần 1: 07.09–13.09.2026; Tuần 2: 14.09–20.09.2026; Tuần 3: 21.09–27.09.2026; Tuần 4: 28.09–04.10.2026; Tuần 5: 05.10–11.10.2026; Tuần 6: 12.10–18.10.2026; Tuần 7: 19.10–25.10.2026; Tuần 8: 26.10–01.11.2026.</v>
      </c>
      <c r="N25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29" s="17" t="str">
        <f t="shared" si="39"/>
        <v>Còn trống</v>
      </c>
    </row>
    <row r="2530" spans="1:16" x14ac:dyDescent="0.3">
      <c r="A2530">
        <v>2529</v>
      </c>
      <c r="B2530" t="s">
        <v>5749</v>
      </c>
      <c r="C2530" t="s">
        <v>5834</v>
      </c>
      <c r="D2530" t="s">
        <v>5835</v>
      </c>
      <c r="E2530" t="s">
        <v>40</v>
      </c>
      <c r="F2530" t="s">
        <v>5767</v>
      </c>
      <c r="G2530" t="s">
        <v>5784</v>
      </c>
      <c r="H2530" t="str">
        <f>'Huong dan giao do an'!$B$14</f>
        <v>5 SV (vai trò chính): 1 PM/Scrum Master kiêm Integration; 2 BA/PO; 3 UI-UX + Frontend; 4 Backend/API + DevOps; 5 Database + QA/Tester. Mỗi SV có nhiệm vụ phụ và minh chứng cá nhân.</v>
      </c>
      <c r="I2530" t="s">
        <v>36</v>
      </c>
      <c r="J2530" t="s">
        <v>5764</v>
      </c>
      <c r="K2530" t="str">
        <f>IF(I2530="Trung bình",'Huong dan giao do an'!$B$8,IF(I2530="Khá",'Huong dan giao do an'!$B$9,'Huong dan giao do an'!$B$10))</f>
        <v>Tối thiểu 3 actor; 8-10 use case; 6-8 bảng dữ liệu; 2 quy trình lõi; đăng nhập/RBAC; 1 dashboard; 1 báo cáo; &gt;=25 test case; triển khai bản demo.</v>
      </c>
      <c r="L2530" t="str">
        <f>'Huong dan giao do an'!$B$31</f>
        <v>Bắt buộc: Charter/PMP; SRS + scope/WBS; Gantt/baseline; effort-cost budget; RACI/timesheet; quality-test-defect; communication/minutes; risk register; procurement; change log; closure/lessons learned.</v>
      </c>
      <c r="M2530" t="str">
        <f>'Huong dan giao do an'!$B$33</f>
        <v>Tuần 1: 07.09–13.09.2026; Tuần 2: 14.09–20.09.2026; Tuần 3: 21.09–27.09.2026; Tuần 4: 28.09–04.10.2026; Tuần 5: 05.10–11.10.2026; Tuần 6: 12.10–18.10.2026; Tuần 7: 19.10–25.10.2026; Tuần 8: 26.10–01.11.2026.</v>
      </c>
      <c r="N25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0" s="17" t="str">
        <f t="shared" si="39"/>
        <v>Còn trống</v>
      </c>
    </row>
    <row r="2531" spans="1:16" x14ac:dyDescent="0.3">
      <c r="A2531">
        <v>2530</v>
      </c>
      <c r="B2531" t="s">
        <v>5749</v>
      </c>
      <c r="C2531" t="s">
        <v>5836</v>
      </c>
      <c r="D2531" t="s">
        <v>5837</v>
      </c>
      <c r="E2531" t="s">
        <v>45</v>
      </c>
      <c r="F2531" t="s">
        <v>5771</v>
      </c>
      <c r="G2531" t="s">
        <v>5787</v>
      </c>
      <c r="H2531" t="str">
        <f>'Huong dan giao do an'!$B$14</f>
        <v>5 SV (vai trò chính): 1 PM/Scrum Master kiêm Integration; 2 BA/PO; 3 UI-UX + Frontend; 4 Backend/API + DevOps; 5 Database + QA/Tester. Mỗi SV có nhiệm vụ phụ và minh chứng cá nhân.</v>
      </c>
      <c r="I2531" t="s">
        <v>22</v>
      </c>
      <c r="J2531" t="s">
        <v>5754</v>
      </c>
      <c r="K2531" t="str">
        <f>IF(I2531="Trung bình",'Huong dan giao do an'!$B$8,IF(I2531="Khá",'Huong dan giao do an'!$B$9,'Huong dan giao do an'!$B$10))</f>
        <v>Tối thiểu 4 actor; 10-14 use case; 8-12 bảng; 3 quy trình lõi; phân quyền chi tiết; 2 báo cáo; tích hợp 1 dịch vụ; &gt;=35 test case; CI/CD hoặc deploy cloud.</v>
      </c>
      <c r="L2531" t="str">
        <f>'Huong dan giao do an'!$B$31</f>
        <v>Bắt buộc: Charter/PMP; SRS + scope/WBS; Gantt/baseline; effort-cost budget; RACI/timesheet; quality-test-defect; communication/minutes; risk register; procurement; change log; closure/lessons learned.</v>
      </c>
      <c r="M2531" t="str">
        <f>'Huong dan giao do an'!$B$33</f>
        <v>Tuần 1: 07.09–13.09.2026; Tuần 2: 14.09–20.09.2026; Tuần 3: 21.09–27.09.2026; Tuần 4: 28.09–04.10.2026; Tuần 5: 05.10–11.10.2026; Tuần 6: 12.10–18.10.2026; Tuần 7: 19.10–25.10.2026; Tuần 8: 26.10–01.11.2026.</v>
      </c>
      <c r="N25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1" s="17" t="str">
        <f t="shared" si="39"/>
        <v>Còn trống</v>
      </c>
    </row>
    <row r="2532" spans="1:16" x14ac:dyDescent="0.3">
      <c r="A2532">
        <v>2531</v>
      </c>
      <c r="B2532" t="s">
        <v>5749</v>
      </c>
      <c r="C2532" t="s">
        <v>5838</v>
      </c>
      <c r="D2532" t="s">
        <v>5839</v>
      </c>
      <c r="E2532" t="s">
        <v>19</v>
      </c>
      <c r="F2532" t="s">
        <v>5752</v>
      </c>
      <c r="G2532" t="s">
        <v>5790</v>
      </c>
      <c r="H2532" t="str">
        <f>'Huong dan giao do an'!$B$14</f>
        <v>5 SV (vai trò chính): 1 PM/Scrum Master kiêm Integration; 2 BA/PO; 3 UI-UX + Frontend; 4 Backend/API + DevOps; 5 Database + QA/Tester. Mỗi SV có nhiệm vụ phụ và minh chứng cá nhân.</v>
      </c>
      <c r="I2532" t="s">
        <v>29</v>
      </c>
      <c r="J2532" t="s">
        <v>5759</v>
      </c>
      <c r="K2532" t="str">
        <f>IF(I2532="Trung bình",'Huong dan giao do an'!$B$8,IF(I2532="Khá",'Huong dan giao do an'!$B$9,'Huong dan giao do an'!$B$10))</f>
        <v>Tối thiểu 5 actor; 14-18 use case; 10-15 bảng; 4 quy trình; tích hợp ngoài/realtime hoặc xử lý nâng cao; 3 báo cáo; &gt;=45 test case; logging, backup và deploy.</v>
      </c>
      <c r="L2532" t="str">
        <f>'Huong dan giao do an'!$B$31</f>
        <v>Bắt buộc: Charter/PMP; SRS + scope/WBS; Gantt/baseline; effort-cost budget; RACI/timesheet; quality-test-defect; communication/minutes; risk register; procurement; change log; closure/lessons learned.</v>
      </c>
      <c r="M2532" t="str">
        <f>'Huong dan giao do an'!$B$33</f>
        <v>Tuần 1: 07.09–13.09.2026; Tuần 2: 14.09–20.09.2026; Tuần 3: 21.09–27.09.2026; Tuần 4: 28.09–04.10.2026; Tuần 5: 05.10–11.10.2026; Tuần 6: 12.10–18.10.2026; Tuần 7: 19.10–25.10.2026; Tuần 8: 26.10–01.11.2026.</v>
      </c>
      <c r="N25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2" s="17" t="str">
        <f t="shared" si="39"/>
        <v>Còn trống</v>
      </c>
    </row>
    <row r="2533" spans="1:16" x14ac:dyDescent="0.3">
      <c r="A2533">
        <v>2532</v>
      </c>
      <c r="B2533" t="s">
        <v>5749</v>
      </c>
      <c r="C2533" t="s">
        <v>5840</v>
      </c>
      <c r="D2533" t="s">
        <v>5841</v>
      </c>
      <c r="E2533" t="s">
        <v>26</v>
      </c>
      <c r="F2533" t="s">
        <v>5757</v>
      </c>
      <c r="G2533" t="s">
        <v>5793</v>
      </c>
      <c r="H2533" t="str">
        <f>'Huong dan giao do an'!$B$14</f>
        <v>5 SV (vai trò chính): 1 PM/Scrum Master kiêm Integration; 2 BA/PO; 3 UI-UX + Frontend; 4 Backend/API + DevOps; 5 Database + QA/Tester. Mỗi SV có nhiệm vụ phụ và minh chứng cá nhân.</v>
      </c>
      <c r="I2533" t="s">
        <v>36</v>
      </c>
      <c r="J2533" t="s">
        <v>5764</v>
      </c>
      <c r="K2533" t="str">
        <f>IF(I2533="Trung bình",'Huong dan giao do an'!$B$8,IF(I2533="Khá",'Huong dan giao do an'!$B$9,'Huong dan giao do an'!$B$10))</f>
        <v>Tối thiểu 3 actor; 8-10 use case; 6-8 bảng dữ liệu; 2 quy trình lõi; đăng nhập/RBAC; 1 dashboard; 1 báo cáo; &gt;=25 test case; triển khai bản demo.</v>
      </c>
      <c r="L2533" t="str">
        <f>'Huong dan giao do an'!$B$31</f>
        <v>Bắt buộc: Charter/PMP; SRS + scope/WBS; Gantt/baseline; effort-cost budget; RACI/timesheet; quality-test-defect; communication/minutes; risk register; procurement; change log; closure/lessons learned.</v>
      </c>
      <c r="M2533" t="str">
        <f>'Huong dan giao do an'!$B$33</f>
        <v>Tuần 1: 07.09–13.09.2026; Tuần 2: 14.09–20.09.2026; Tuần 3: 21.09–27.09.2026; Tuần 4: 28.09–04.10.2026; Tuần 5: 05.10–11.10.2026; Tuần 6: 12.10–18.10.2026; Tuần 7: 19.10–25.10.2026; Tuần 8: 26.10–01.11.2026.</v>
      </c>
      <c r="N25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3" s="17" t="str">
        <f t="shared" si="39"/>
        <v>Còn trống</v>
      </c>
    </row>
    <row r="2534" spans="1:16" x14ac:dyDescent="0.3">
      <c r="A2534">
        <v>2533</v>
      </c>
      <c r="B2534" t="s">
        <v>5749</v>
      </c>
      <c r="C2534" t="s">
        <v>5842</v>
      </c>
      <c r="D2534" t="s">
        <v>5843</v>
      </c>
      <c r="E2534" t="s">
        <v>33</v>
      </c>
      <c r="F2534" t="s">
        <v>5762</v>
      </c>
      <c r="G2534" t="s">
        <v>5796</v>
      </c>
      <c r="H2534" t="str">
        <f>'Huong dan giao do an'!$B$14</f>
        <v>5 SV (vai trò chính): 1 PM/Scrum Master kiêm Integration; 2 BA/PO; 3 UI-UX + Frontend; 4 Backend/API + DevOps; 5 Database + QA/Tester. Mỗi SV có nhiệm vụ phụ và minh chứng cá nhân.</v>
      </c>
      <c r="I2534" t="s">
        <v>22</v>
      </c>
      <c r="J2534" t="s">
        <v>5754</v>
      </c>
      <c r="K2534" t="str">
        <f>IF(I2534="Trung bình",'Huong dan giao do an'!$B$8,IF(I2534="Khá",'Huong dan giao do an'!$B$9,'Huong dan giao do an'!$B$10))</f>
        <v>Tối thiểu 4 actor; 10-14 use case; 8-12 bảng; 3 quy trình lõi; phân quyền chi tiết; 2 báo cáo; tích hợp 1 dịch vụ; &gt;=35 test case; CI/CD hoặc deploy cloud.</v>
      </c>
      <c r="L2534" t="str">
        <f>'Huong dan giao do an'!$B$31</f>
        <v>Bắt buộc: Charter/PMP; SRS + scope/WBS; Gantt/baseline; effort-cost budget; RACI/timesheet; quality-test-defect; communication/minutes; risk register; procurement; change log; closure/lessons learned.</v>
      </c>
      <c r="M2534" t="str">
        <f>'Huong dan giao do an'!$B$33</f>
        <v>Tuần 1: 07.09–13.09.2026; Tuần 2: 14.09–20.09.2026; Tuần 3: 21.09–27.09.2026; Tuần 4: 28.09–04.10.2026; Tuần 5: 05.10–11.10.2026; Tuần 6: 12.10–18.10.2026; Tuần 7: 19.10–25.10.2026; Tuần 8: 26.10–01.11.2026.</v>
      </c>
      <c r="N25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4" s="17" t="str">
        <f t="shared" si="39"/>
        <v>Còn trống</v>
      </c>
    </row>
    <row r="2535" spans="1:16" x14ac:dyDescent="0.3">
      <c r="A2535">
        <v>2534</v>
      </c>
      <c r="B2535" t="s">
        <v>5749</v>
      </c>
      <c r="C2535" t="s">
        <v>5844</v>
      </c>
      <c r="D2535" t="s">
        <v>5845</v>
      </c>
      <c r="E2535" t="s">
        <v>40</v>
      </c>
      <c r="F2535" t="s">
        <v>5767</v>
      </c>
      <c r="G2535" t="s">
        <v>5799</v>
      </c>
      <c r="H2535" t="str">
        <f>'Huong dan giao do an'!$B$14</f>
        <v>5 SV (vai trò chính): 1 PM/Scrum Master kiêm Integration; 2 BA/PO; 3 UI-UX + Frontend; 4 Backend/API + DevOps; 5 Database + QA/Tester. Mỗi SV có nhiệm vụ phụ và minh chứng cá nhân.</v>
      </c>
      <c r="I2535" t="s">
        <v>29</v>
      </c>
      <c r="J2535" t="s">
        <v>5759</v>
      </c>
      <c r="K2535" t="str">
        <f>IF(I2535="Trung bình",'Huong dan giao do an'!$B$8,IF(I2535="Khá",'Huong dan giao do an'!$B$9,'Huong dan giao do an'!$B$10))</f>
        <v>Tối thiểu 5 actor; 14-18 use case; 10-15 bảng; 4 quy trình; tích hợp ngoài/realtime hoặc xử lý nâng cao; 3 báo cáo; &gt;=45 test case; logging, backup và deploy.</v>
      </c>
      <c r="L2535" t="str">
        <f>'Huong dan giao do an'!$B$31</f>
        <v>Bắt buộc: Charter/PMP; SRS + scope/WBS; Gantt/baseline; effort-cost budget; RACI/timesheet; quality-test-defect; communication/minutes; risk register; procurement; change log; closure/lessons learned.</v>
      </c>
      <c r="M2535" t="str">
        <f>'Huong dan giao do an'!$B$33</f>
        <v>Tuần 1: 07.09–13.09.2026; Tuần 2: 14.09–20.09.2026; Tuần 3: 21.09–27.09.2026; Tuần 4: 28.09–04.10.2026; Tuần 5: 05.10–11.10.2026; Tuần 6: 12.10–18.10.2026; Tuần 7: 19.10–25.10.2026; Tuần 8: 26.10–01.11.2026.</v>
      </c>
      <c r="N25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5" s="17" t="str">
        <f t="shared" si="39"/>
        <v>Còn trống</v>
      </c>
    </row>
    <row r="2536" spans="1:16" x14ac:dyDescent="0.3">
      <c r="A2536">
        <v>2535</v>
      </c>
      <c r="B2536" t="s">
        <v>5749</v>
      </c>
      <c r="C2536" t="s">
        <v>5846</v>
      </c>
      <c r="D2536" t="s">
        <v>5847</v>
      </c>
      <c r="E2536" t="s">
        <v>45</v>
      </c>
      <c r="F2536" t="s">
        <v>5771</v>
      </c>
      <c r="G2536" t="s">
        <v>5802</v>
      </c>
      <c r="H2536" t="str">
        <f>'Huong dan giao do an'!$B$14</f>
        <v>5 SV (vai trò chính): 1 PM/Scrum Master kiêm Integration; 2 BA/PO; 3 UI-UX + Frontend; 4 Backend/API + DevOps; 5 Database + QA/Tester. Mỗi SV có nhiệm vụ phụ và minh chứng cá nhân.</v>
      </c>
      <c r="I2536" t="s">
        <v>36</v>
      </c>
      <c r="J2536" t="s">
        <v>5764</v>
      </c>
      <c r="K2536" t="str">
        <f>IF(I2536="Trung bình",'Huong dan giao do an'!$B$8,IF(I2536="Khá",'Huong dan giao do an'!$B$9,'Huong dan giao do an'!$B$10))</f>
        <v>Tối thiểu 3 actor; 8-10 use case; 6-8 bảng dữ liệu; 2 quy trình lõi; đăng nhập/RBAC; 1 dashboard; 1 báo cáo; &gt;=25 test case; triển khai bản demo.</v>
      </c>
      <c r="L2536" t="str">
        <f>'Huong dan giao do an'!$B$31</f>
        <v>Bắt buộc: Charter/PMP; SRS + scope/WBS; Gantt/baseline; effort-cost budget; RACI/timesheet; quality-test-defect; communication/minutes; risk register; procurement; change log; closure/lessons learned.</v>
      </c>
      <c r="M2536" t="str">
        <f>'Huong dan giao do an'!$B$33</f>
        <v>Tuần 1: 07.09–13.09.2026; Tuần 2: 14.09–20.09.2026; Tuần 3: 21.09–27.09.2026; Tuần 4: 28.09–04.10.2026; Tuần 5: 05.10–11.10.2026; Tuần 6: 12.10–18.10.2026; Tuần 7: 19.10–25.10.2026; Tuần 8: 26.10–01.11.2026.</v>
      </c>
      <c r="N25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6" s="17" t="str">
        <f t="shared" si="39"/>
        <v>Còn trống</v>
      </c>
    </row>
    <row r="2537" spans="1:16" x14ac:dyDescent="0.3">
      <c r="A2537">
        <v>2536</v>
      </c>
      <c r="B2537" t="s">
        <v>5749</v>
      </c>
      <c r="C2537" t="s">
        <v>5848</v>
      </c>
      <c r="D2537" t="s">
        <v>5849</v>
      </c>
      <c r="E2537" t="s">
        <v>19</v>
      </c>
      <c r="F2537" t="s">
        <v>5752</v>
      </c>
      <c r="G2537" t="s">
        <v>5805</v>
      </c>
      <c r="H2537" t="str">
        <f>'Huong dan giao do an'!$B$14</f>
        <v>5 SV (vai trò chính): 1 PM/Scrum Master kiêm Integration; 2 BA/PO; 3 UI-UX + Frontend; 4 Backend/API + DevOps; 5 Database + QA/Tester. Mỗi SV có nhiệm vụ phụ và minh chứng cá nhân.</v>
      </c>
      <c r="I2537" t="s">
        <v>22</v>
      </c>
      <c r="J2537" t="s">
        <v>5754</v>
      </c>
      <c r="K2537" t="str">
        <f>IF(I2537="Trung bình",'Huong dan giao do an'!$B$8,IF(I2537="Khá",'Huong dan giao do an'!$B$9,'Huong dan giao do an'!$B$10))</f>
        <v>Tối thiểu 4 actor; 10-14 use case; 8-12 bảng; 3 quy trình lõi; phân quyền chi tiết; 2 báo cáo; tích hợp 1 dịch vụ; &gt;=35 test case; CI/CD hoặc deploy cloud.</v>
      </c>
      <c r="L2537" t="str">
        <f>'Huong dan giao do an'!$B$31</f>
        <v>Bắt buộc: Charter/PMP; SRS + scope/WBS; Gantt/baseline; effort-cost budget; RACI/timesheet; quality-test-defect; communication/minutes; risk register; procurement; change log; closure/lessons learned.</v>
      </c>
      <c r="M2537" t="str">
        <f>'Huong dan giao do an'!$B$33</f>
        <v>Tuần 1: 07.09–13.09.2026; Tuần 2: 14.09–20.09.2026; Tuần 3: 21.09–27.09.2026; Tuần 4: 28.09–04.10.2026; Tuần 5: 05.10–11.10.2026; Tuần 6: 12.10–18.10.2026; Tuần 7: 19.10–25.10.2026; Tuần 8: 26.10–01.11.2026.</v>
      </c>
      <c r="N25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7" s="17" t="str">
        <f t="shared" si="39"/>
        <v>Còn trống</v>
      </c>
    </row>
    <row r="2538" spans="1:16" x14ac:dyDescent="0.3">
      <c r="A2538">
        <v>2537</v>
      </c>
      <c r="B2538" t="s">
        <v>5749</v>
      </c>
      <c r="C2538" t="s">
        <v>5850</v>
      </c>
      <c r="D2538" t="s">
        <v>5851</v>
      </c>
      <c r="E2538" t="s">
        <v>26</v>
      </c>
      <c r="F2538" t="s">
        <v>5757</v>
      </c>
      <c r="G2538" t="s">
        <v>5808</v>
      </c>
      <c r="H2538" t="str">
        <f>'Huong dan giao do an'!$B$14</f>
        <v>5 SV (vai trò chính): 1 PM/Scrum Master kiêm Integration; 2 BA/PO; 3 UI-UX + Frontend; 4 Backend/API + DevOps; 5 Database + QA/Tester. Mỗi SV có nhiệm vụ phụ và minh chứng cá nhân.</v>
      </c>
      <c r="I2538" t="s">
        <v>29</v>
      </c>
      <c r="J2538" t="s">
        <v>5759</v>
      </c>
      <c r="K2538" t="str">
        <f>IF(I2538="Trung bình",'Huong dan giao do an'!$B$8,IF(I2538="Khá",'Huong dan giao do an'!$B$9,'Huong dan giao do an'!$B$10))</f>
        <v>Tối thiểu 5 actor; 14-18 use case; 10-15 bảng; 4 quy trình; tích hợp ngoài/realtime hoặc xử lý nâng cao; 3 báo cáo; &gt;=45 test case; logging, backup và deploy.</v>
      </c>
      <c r="L2538" t="str">
        <f>'Huong dan giao do an'!$B$31</f>
        <v>Bắt buộc: Charter/PMP; SRS + scope/WBS; Gantt/baseline; effort-cost budget; RACI/timesheet; quality-test-defect; communication/minutes; risk register; procurement; change log; closure/lessons learned.</v>
      </c>
      <c r="M2538" t="str">
        <f>'Huong dan giao do an'!$B$33</f>
        <v>Tuần 1: 07.09–13.09.2026; Tuần 2: 14.09–20.09.2026; Tuần 3: 21.09–27.09.2026; Tuần 4: 28.09–04.10.2026; Tuần 5: 05.10–11.10.2026; Tuần 6: 12.10–18.10.2026; Tuần 7: 19.10–25.10.2026; Tuần 8: 26.10–01.11.2026.</v>
      </c>
      <c r="N25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8" s="17" t="str">
        <f t="shared" si="39"/>
        <v>Còn trống</v>
      </c>
    </row>
    <row r="2539" spans="1:16" x14ac:dyDescent="0.3">
      <c r="A2539">
        <v>2538</v>
      </c>
      <c r="B2539" t="s">
        <v>5749</v>
      </c>
      <c r="C2539" t="s">
        <v>5852</v>
      </c>
      <c r="D2539" t="s">
        <v>5853</v>
      </c>
      <c r="E2539" t="s">
        <v>33</v>
      </c>
      <c r="F2539" t="s">
        <v>5762</v>
      </c>
      <c r="G2539" t="s">
        <v>5811</v>
      </c>
      <c r="H2539" t="str">
        <f>'Huong dan giao do an'!$B$14</f>
        <v>5 SV (vai trò chính): 1 PM/Scrum Master kiêm Integration; 2 BA/PO; 3 UI-UX + Frontend; 4 Backend/API + DevOps; 5 Database + QA/Tester. Mỗi SV có nhiệm vụ phụ và minh chứng cá nhân.</v>
      </c>
      <c r="I2539" t="s">
        <v>36</v>
      </c>
      <c r="J2539" t="s">
        <v>5764</v>
      </c>
      <c r="K2539" t="str">
        <f>IF(I2539="Trung bình",'Huong dan giao do an'!$B$8,IF(I2539="Khá",'Huong dan giao do an'!$B$9,'Huong dan giao do an'!$B$10))</f>
        <v>Tối thiểu 3 actor; 8-10 use case; 6-8 bảng dữ liệu; 2 quy trình lõi; đăng nhập/RBAC; 1 dashboard; 1 báo cáo; &gt;=25 test case; triển khai bản demo.</v>
      </c>
      <c r="L2539" t="str">
        <f>'Huong dan giao do an'!$B$31</f>
        <v>Bắt buộc: Charter/PMP; SRS + scope/WBS; Gantt/baseline; effort-cost budget; RACI/timesheet; quality-test-defect; communication/minutes; risk register; procurement; change log; closure/lessons learned.</v>
      </c>
      <c r="M2539" t="str">
        <f>'Huong dan giao do an'!$B$33</f>
        <v>Tuần 1: 07.09–13.09.2026; Tuần 2: 14.09–20.09.2026; Tuần 3: 21.09–27.09.2026; Tuần 4: 28.09–04.10.2026; Tuần 5: 05.10–11.10.2026; Tuần 6: 12.10–18.10.2026; Tuần 7: 19.10–25.10.2026; Tuần 8: 26.10–01.11.2026.</v>
      </c>
      <c r="N25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39" s="17" t="str">
        <f t="shared" si="39"/>
        <v>Còn trống</v>
      </c>
    </row>
    <row r="2540" spans="1:16" x14ac:dyDescent="0.3">
      <c r="A2540">
        <v>2539</v>
      </c>
      <c r="B2540" t="s">
        <v>5749</v>
      </c>
      <c r="C2540" t="s">
        <v>5854</v>
      </c>
      <c r="D2540" t="s">
        <v>5855</v>
      </c>
      <c r="E2540" t="s">
        <v>40</v>
      </c>
      <c r="F2540" t="s">
        <v>5767</v>
      </c>
      <c r="G2540" t="s">
        <v>5814</v>
      </c>
      <c r="H2540" t="str">
        <f>'Huong dan giao do an'!$B$14</f>
        <v>5 SV (vai trò chính): 1 PM/Scrum Master kiêm Integration; 2 BA/PO; 3 UI-UX + Frontend; 4 Backend/API + DevOps; 5 Database + QA/Tester. Mỗi SV có nhiệm vụ phụ và minh chứng cá nhân.</v>
      </c>
      <c r="I2540" t="s">
        <v>22</v>
      </c>
      <c r="J2540" t="s">
        <v>5754</v>
      </c>
      <c r="K2540" t="str">
        <f>IF(I2540="Trung bình",'Huong dan giao do an'!$B$8,IF(I2540="Khá",'Huong dan giao do an'!$B$9,'Huong dan giao do an'!$B$10))</f>
        <v>Tối thiểu 4 actor; 10-14 use case; 8-12 bảng; 3 quy trình lõi; phân quyền chi tiết; 2 báo cáo; tích hợp 1 dịch vụ; &gt;=35 test case; CI/CD hoặc deploy cloud.</v>
      </c>
      <c r="L2540" t="str">
        <f>'Huong dan giao do an'!$B$31</f>
        <v>Bắt buộc: Charter/PMP; SRS + scope/WBS; Gantt/baseline; effort-cost budget; RACI/timesheet; quality-test-defect; communication/minutes; risk register; procurement; change log; closure/lessons learned.</v>
      </c>
      <c r="M2540" t="str">
        <f>'Huong dan giao do an'!$B$33</f>
        <v>Tuần 1: 07.09–13.09.2026; Tuần 2: 14.09–20.09.2026; Tuần 3: 21.09–27.09.2026; Tuần 4: 28.09–04.10.2026; Tuần 5: 05.10–11.10.2026; Tuần 6: 12.10–18.10.2026; Tuần 7: 19.10–25.10.2026; Tuần 8: 26.10–01.11.2026.</v>
      </c>
      <c r="N25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0" s="17" t="str">
        <f t="shared" si="39"/>
        <v>Còn trống</v>
      </c>
    </row>
    <row r="2541" spans="1:16" x14ac:dyDescent="0.3">
      <c r="A2541">
        <v>2540</v>
      </c>
      <c r="B2541" t="s">
        <v>5749</v>
      </c>
      <c r="C2541" t="s">
        <v>5856</v>
      </c>
      <c r="D2541" t="s">
        <v>5857</v>
      </c>
      <c r="E2541" t="s">
        <v>45</v>
      </c>
      <c r="F2541" t="s">
        <v>5771</v>
      </c>
      <c r="G2541" t="s">
        <v>5817</v>
      </c>
      <c r="H2541" t="str">
        <f>'Huong dan giao do an'!$B$14</f>
        <v>5 SV (vai trò chính): 1 PM/Scrum Master kiêm Integration; 2 BA/PO; 3 UI-UX + Frontend; 4 Backend/API + DevOps; 5 Database + QA/Tester. Mỗi SV có nhiệm vụ phụ và minh chứng cá nhân.</v>
      </c>
      <c r="I2541" t="s">
        <v>29</v>
      </c>
      <c r="J2541" t="s">
        <v>5759</v>
      </c>
      <c r="K2541" t="str">
        <f>IF(I2541="Trung bình",'Huong dan giao do an'!$B$8,IF(I2541="Khá",'Huong dan giao do an'!$B$9,'Huong dan giao do an'!$B$10))</f>
        <v>Tối thiểu 5 actor; 14-18 use case; 10-15 bảng; 4 quy trình; tích hợp ngoài/realtime hoặc xử lý nâng cao; 3 báo cáo; &gt;=45 test case; logging, backup và deploy.</v>
      </c>
      <c r="L2541" t="str">
        <f>'Huong dan giao do an'!$B$31</f>
        <v>Bắt buộc: Charter/PMP; SRS + scope/WBS; Gantt/baseline; effort-cost budget; RACI/timesheet; quality-test-defect; communication/minutes; risk register; procurement; change log; closure/lessons learned.</v>
      </c>
      <c r="M2541" t="str">
        <f>'Huong dan giao do an'!$B$33</f>
        <v>Tuần 1: 07.09–13.09.2026; Tuần 2: 14.09–20.09.2026; Tuần 3: 21.09–27.09.2026; Tuần 4: 28.09–04.10.2026; Tuần 5: 05.10–11.10.2026; Tuần 6: 12.10–18.10.2026; Tuần 7: 19.10–25.10.2026; Tuần 8: 26.10–01.11.2026.</v>
      </c>
      <c r="N25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1" s="17" t="str">
        <f t="shared" si="39"/>
        <v>Còn trống</v>
      </c>
    </row>
    <row r="2542" spans="1:16" x14ac:dyDescent="0.3">
      <c r="A2542">
        <v>2541</v>
      </c>
      <c r="B2542" t="s">
        <v>5749</v>
      </c>
      <c r="C2542" t="s">
        <v>5858</v>
      </c>
      <c r="D2542" t="s">
        <v>5859</v>
      </c>
      <c r="E2542" t="s">
        <v>19</v>
      </c>
      <c r="F2542" t="s">
        <v>5752</v>
      </c>
      <c r="G2542" t="s">
        <v>5753</v>
      </c>
      <c r="H2542" t="str">
        <f>'Huong dan giao do an'!$B$14</f>
        <v>5 SV (vai trò chính): 1 PM/Scrum Master kiêm Integration; 2 BA/PO; 3 UI-UX + Frontend; 4 Backend/API + DevOps; 5 Database + QA/Tester. Mỗi SV có nhiệm vụ phụ và minh chứng cá nhân.</v>
      </c>
      <c r="I2542" t="s">
        <v>22</v>
      </c>
      <c r="J2542" t="s">
        <v>5754</v>
      </c>
      <c r="K2542" t="str">
        <f>IF(I2542="Trung bình",'Huong dan giao do an'!$B$8,IF(I2542="Khá",'Huong dan giao do an'!$B$9,'Huong dan giao do an'!$B$10))</f>
        <v>Tối thiểu 4 actor; 10-14 use case; 8-12 bảng; 3 quy trình lõi; phân quyền chi tiết; 2 báo cáo; tích hợp 1 dịch vụ; &gt;=35 test case; CI/CD hoặc deploy cloud.</v>
      </c>
      <c r="L2542" t="str">
        <f>'Huong dan giao do an'!$B$31</f>
        <v>Bắt buộc: Charter/PMP; SRS + scope/WBS; Gantt/baseline; effort-cost budget; RACI/timesheet; quality-test-defect; communication/minutes; risk register; procurement; change log; closure/lessons learned.</v>
      </c>
      <c r="M2542" t="str">
        <f>'Huong dan giao do an'!$B$33</f>
        <v>Tuần 1: 07.09–13.09.2026; Tuần 2: 14.09–20.09.2026; Tuần 3: 21.09–27.09.2026; Tuần 4: 28.09–04.10.2026; Tuần 5: 05.10–11.10.2026; Tuần 6: 12.10–18.10.2026; Tuần 7: 19.10–25.10.2026; Tuần 8: 26.10–01.11.2026.</v>
      </c>
      <c r="N25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2" s="17" t="str">
        <f t="shared" si="39"/>
        <v>Còn trống</v>
      </c>
    </row>
    <row r="2543" spans="1:16" x14ac:dyDescent="0.3">
      <c r="A2543">
        <v>2542</v>
      </c>
      <c r="B2543" t="s">
        <v>5749</v>
      </c>
      <c r="C2543" t="s">
        <v>5860</v>
      </c>
      <c r="D2543" t="s">
        <v>5861</v>
      </c>
      <c r="E2543" t="s">
        <v>26</v>
      </c>
      <c r="F2543" t="s">
        <v>5757</v>
      </c>
      <c r="G2543" t="s">
        <v>5758</v>
      </c>
      <c r="H2543" t="str">
        <f>'Huong dan giao do an'!$B$14</f>
        <v>5 SV (vai trò chính): 1 PM/Scrum Master kiêm Integration; 2 BA/PO; 3 UI-UX + Frontend; 4 Backend/API + DevOps; 5 Database + QA/Tester. Mỗi SV có nhiệm vụ phụ và minh chứng cá nhân.</v>
      </c>
      <c r="I2543" t="s">
        <v>29</v>
      </c>
      <c r="J2543" t="s">
        <v>5759</v>
      </c>
      <c r="K2543" t="str">
        <f>IF(I2543="Trung bình",'Huong dan giao do an'!$B$8,IF(I2543="Khá",'Huong dan giao do an'!$B$9,'Huong dan giao do an'!$B$10))</f>
        <v>Tối thiểu 5 actor; 14-18 use case; 10-15 bảng; 4 quy trình; tích hợp ngoài/realtime hoặc xử lý nâng cao; 3 báo cáo; &gt;=45 test case; logging, backup và deploy.</v>
      </c>
      <c r="L2543" t="str">
        <f>'Huong dan giao do an'!$B$31</f>
        <v>Bắt buộc: Charter/PMP; SRS + scope/WBS; Gantt/baseline; effort-cost budget; RACI/timesheet; quality-test-defect; communication/minutes; risk register; procurement; change log; closure/lessons learned.</v>
      </c>
      <c r="M2543" t="str">
        <f>'Huong dan giao do an'!$B$33</f>
        <v>Tuần 1: 07.09–13.09.2026; Tuần 2: 14.09–20.09.2026; Tuần 3: 21.09–27.09.2026; Tuần 4: 28.09–04.10.2026; Tuần 5: 05.10–11.10.2026; Tuần 6: 12.10–18.10.2026; Tuần 7: 19.10–25.10.2026; Tuần 8: 26.10–01.11.2026.</v>
      </c>
      <c r="N25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3" s="17" t="str">
        <f t="shared" si="39"/>
        <v>Còn trống</v>
      </c>
    </row>
    <row r="2544" spans="1:16" x14ac:dyDescent="0.3">
      <c r="A2544">
        <v>2543</v>
      </c>
      <c r="B2544" t="s">
        <v>5749</v>
      </c>
      <c r="C2544" t="s">
        <v>5862</v>
      </c>
      <c r="D2544" t="s">
        <v>5863</v>
      </c>
      <c r="E2544" t="s">
        <v>33</v>
      </c>
      <c r="F2544" t="s">
        <v>5762</v>
      </c>
      <c r="G2544" t="s">
        <v>5763</v>
      </c>
      <c r="H2544" t="str">
        <f>'Huong dan giao do an'!$B$14</f>
        <v>5 SV (vai trò chính): 1 PM/Scrum Master kiêm Integration; 2 BA/PO; 3 UI-UX + Frontend; 4 Backend/API + DevOps; 5 Database + QA/Tester. Mỗi SV có nhiệm vụ phụ và minh chứng cá nhân.</v>
      </c>
      <c r="I2544" t="s">
        <v>36</v>
      </c>
      <c r="J2544" t="s">
        <v>5764</v>
      </c>
      <c r="K2544" t="str">
        <f>IF(I2544="Trung bình",'Huong dan giao do an'!$B$8,IF(I2544="Khá",'Huong dan giao do an'!$B$9,'Huong dan giao do an'!$B$10))</f>
        <v>Tối thiểu 3 actor; 8-10 use case; 6-8 bảng dữ liệu; 2 quy trình lõi; đăng nhập/RBAC; 1 dashboard; 1 báo cáo; &gt;=25 test case; triển khai bản demo.</v>
      </c>
      <c r="L2544" t="str">
        <f>'Huong dan giao do an'!$B$31</f>
        <v>Bắt buộc: Charter/PMP; SRS + scope/WBS; Gantt/baseline; effort-cost budget; RACI/timesheet; quality-test-defect; communication/minutes; risk register; procurement; change log; closure/lessons learned.</v>
      </c>
      <c r="M2544" t="str">
        <f>'Huong dan giao do an'!$B$33</f>
        <v>Tuần 1: 07.09–13.09.2026; Tuần 2: 14.09–20.09.2026; Tuần 3: 21.09–27.09.2026; Tuần 4: 28.09–04.10.2026; Tuần 5: 05.10–11.10.2026; Tuần 6: 12.10–18.10.2026; Tuần 7: 19.10–25.10.2026; Tuần 8: 26.10–01.11.2026.</v>
      </c>
      <c r="N25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4" s="17" t="str">
        <f t="shared" si="39"/>
        <v>Còn trống</v>
      </c>
    </row>
    <row r="2545" spans="1:16" x14ac:dyDescent="0.3">
      <c r="A2545">
        <v>2544</v>
      </c>
      <c r="B2545" t="s">
        <v>5749</v>
      </c>
      <c r="C2545" t="s">
        <v>5864</v>
      </c>
      <c r="D2545" t="s">
        <v>5865</v>
      </c>
      <c r="E2545" t="s">
        <v>40</v>
      </c>
      <c r="F2545" t="s">
        <v>5767</v>
      </c>
      <c r="G2545" t="s">
        <v>5768</v>
      </c>
      <c r="H2545" t="str">
        <f>'Huong dan giao do an'!$B$14</f>
        <v>5 SV (vai trò chính): 1 PM/Scrum Master kiêm Integration; 2 BA/PO; 3 UI-UX + Frontend; 4 Backend/API + DevOps; 5 Database + QA/Tester. Mỗi SV có nhiệm vụ phụ và minh chứng cá nhân.</v>
      </c>
      <c r="I2545" t="s">
        <v>22</v>
      </c>
      <c r="J2545" t="s">
        <v>5754</v>
      </c>
      <c r="K2545" t="str">
        <f>IF(I2545="Trung bình",'Huong dan giao do an'!$B$8,IF(I2545="Khá",'Huong dan giao do an'!$B$9,'Huong dan giao do an'!$B$10))</f>
        <v>Tối thiểu 4 actor; 10-14 use case; 8-12 bảng; 3 quy trình lõi; phân quyền chi tiết; 2 báo cáo; tích hợp 1 dịch vụ; &gt;=35 test case; CI/CD hoặc deploy cloud.</v>
      </c>
      <c r="L2545" t="str">
        <f>'Huong dan giao do an'!$B$31</f>
        <v>Bắt buộc: Charter/PMP; SRS + scope/WBS; Gantt/baseline; effort-cost budget; RACI/timesheet; quality-test-defect; communication/minutes; risk register; procurement; change log; closure/lessons learned.</v>
      </c>
      <c r="M2545" t="str">
        <f>'Huong dan giao do an'!$B$33</f>
        <v>Tuần 1: 07.09–13.09.2026; Tuần 2: 14.09–20.09.2026; Tuần 3: 21.09–27.09.2026; Tuần 4: 28.09–04.10.2026; Tuần 5: 05.10–11.10.2026; Tuần 6: 12.10–18.10.2026; Tuần 7: 19.10–25.10.2026; Tuần 8: 26.10–01.11.2026.</v>
      </c>
      <c r="N25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5" s="17" t="str">
        <f t="shared" si="39"/>
        <v>Còn trống</v>
      </c>
    </row>
    <row r="2546" spans="1:16" x14ac:dyDescent="0.3">
      <c r="A2546">
        <v>2545</v>
      </c>
      <c r="B2546" t="s">
        <v>5749</v>
      </c>
      <c r="C2546" t="s">
        <v>5866</v>
      </c>
      <c r="D2546" t="s">
        <v>5867</v>
      </c>
      <c r="E2546" t="s">
        <v>45</v>
      </c>
      <c r="F2546" t="s">
        <v>5771</v>
      </c>
      <c r="G2546" t="s">
        <v>5772</v>
      </c>
      <c r="H2546" t="str">
        <f>'Huong dan giao do an'!$B$14</f>
        <v>5 SV (vai trò chính): 1 PM/Scrum Master kiêm Integration; 2 BA/PO; 3 UI-UX + Frontend; 4 Backend/API + DevOps; 5 Database + QA/Tester. Mỗi SV có nhiệm vụ phụ và minh chứng cá nhân.</v>
      </c>
      <c r="I2546" t="s">
        <v>29</v>
      </c>
      <c r="J2546" t="s">
        <v>5759</v>
      </c>
      <c r="K2546" t="str">
        <f>IF(I2546="Trung bình",'Huong dan giao do an'!$B$8,IF(I2546="Khá",'Huong dan giao do an'!$B$9,'Huong dan giao do an'!$B$10))</f>
        <v>Tối thiểu 5 actor; 14-18 use case; 10-15 bảng; 4 quy trình; tích hợp ngoài/realtime hoặc xử lý nâng cao; 3 báo cáo; &gt;=45 test case; logging, backup và deploy.</v>
      </c>
      <c r="L2546" t="str">
        <f>'Huong dan giao do an'!$B$31</f>
        <v>Bắt buộc: Charter/PMP; SRS + scope/WBS; Gantt/baseline; effort-cost budget; RACI/timesheet; quality-test-defect; communication/minutes; risk register; procurement; change log; closure/lessons learned.</v>
      </c>
      <c r="M2546" t="str">
        <f>'Huong dan giao do an'!$B$33</f>
        <v>Tuần 1: 07.09–13.09.2026; Tuần 2: 14.09–20.09.2026; Tuần 3: 21.09–27.09.2026; Tuần 4: 28.09–04.10.2026; Tuần 5: 05.10–11.10.2026; Tuần 6: 12.10–18.10.2026; Tuần 7: 19.10–25.10.2026; Tuần 8: 26.10–01.11.2026.</v>
      </c>
      <c r="N25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6" s="17" t="str">
        <f t="shared" si="39"/>
        <v>Còn trống</v>
      </c>
    </row>
    <row r="2547" spans="1:16" x14ac:dyDescent="0.3">
      <c r="A2547">
        <v>2546</v>
      </c>
      <c r="B2547" t="s">
        <v>5749</v>
      </c>
      <c r="C2547" t="s">
        <v>5868</v>
      </c>
      <c r="D2547" t="s">
        <v>5869</v>
      </c>
      <c r="E2547" t="s">
        <v>19</v>
      </c>
      <c r="F2547" t="s">
        <v>5752</v>
      </c>
      <c r="G2547" t="s">
        <v>5775</v>
      </c>
      <c r="H2547" t="str">
        <f>'Huong dan giao do an'!$B$14</f>
        <v>5 SV (vai trò chính): 1 PM/Scrum Master kiêm Integration; 2 BA/PO; 3 UI-UX + Frontend; 4 Backend/API + DevOps; 5 Database + QA/Tester. Mỗi SV có nhiệm vụ phụ và minh chứng cá nhân.</v>
      </c>
      <c r="I2547" t="s">
        <v>36</v>
      </c>
      <c r="J2547" t="s">
        <v>5764</v>
      </c>
      <c r="K2547" t="str">
        <f>IF(I2547="Trung bình",'Huong dan giao do an'!$B$8,IF(I2547="Khá",'Huong dan giao do an'!$B$9,'Huong dan giao do an'!$B$10))</f>
        <v>Tối thiểu 3 actor; 8-10 use case; 6-8 bảng dữ liệu; 2 quy trình lõi; đăng nhập/RBAC; 1 dashboard; 1 báo cáo; &gt;=25 test case; triển khai bản demo.</v>
      </c>
      <c r="L2547" t="str">
        <f>'Huong dan giao do an'!$B$31</f>
        <v>Bắt buộc: Charter/PMP; SRS + scope/WBS; Gantt/baseline; effort-cost budget; RACI/timesheet; quality-test-defect; communication/minutes; risk register; procurement; change log; closure/lessons learned.</v>
      </c>
      <c r="M2547" t="str">
        <f>'Huong dan giao do an'!$B$33</f>
        <v>Tuần 1: 07.09–13.09.2026; Tuần 2: 14.09–20.09.2026; Tuần 3: 21.09–27.09.2026; Tuần 4: 28.09–04.10.2026; Tuần 5: 05.10–11.10.2026; Tuần 6: 12.10–18.10.2026; Tuần 7: 19.10–25.10.2026; Tuần 8: 26.10–01.11.2026.</v>
      </c>
      <c r="N25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7" s="17" t="str">
        <f t="shared" si="39"/>
        <v>Còn trống</v>
      </c>
    </row>
    <row r="2548" spans="1:16" x14ac:dyDescent="0.3">
      <c r="A2548">
        <v>2547</v>
      </c>
      <c r="B2548" t="s">
        <v>5749</v>
      </c>
      <c r="C2548" t="s">
        <v>5870</v>
      </c>
      <c r="D2548" t="s">
        <v>5871</v>
      </c>
      <c r="E2548" t="s">
        <v>26</v>
      </c>
      <c r="F2548" t="s">
        <v>5757</v>
      </c>
      <c r="G2548" t="s">
        <v>5778</v>
      </c>
      <c r="H2548" t="str">
        <f>'Huong dan giao do an'!$B$14</f>
        <v>5 SV (vai trò chính): 1 PM/Scrum Master kiêm Integration; 2 BA/PO; 3 UI-UX + Frontend; 4 Backend/API + DevOps; 5 Database + QA/Tester. Mỗi SV có nhiệm vụ phụ và minh chứng cá nhân.</v>
      </c>
      <c r="I2548" t="s">
        <v>22</v>
      </c>
      <c r="J2548" t="s">
        <v>5754</v>
      </c>
      <c r="K2548" t="str">
        <f>IF(I2548="Trung bình",'Huong dan giao do an'!$B$8,IF(I2548="Khá",'Huong dan giao do an'!$B$9,'Huong dan giao do an'!$B$10))</f>
        <v>Tối thiểu 4 actor; 10-14 use case; 8-12 bảng; 3 quy trình lõi; phân quyền chi tiết; 2 báo cáo; tích hợp 1 dịch vụ; &gt;=35 test case; CI/CD hoặc deploy cloud.</v>
      </c>
      <c r="L2548" t="str">
        <f>'Huong dan giao do an'!$B$31</f>
        <v>Bắt buộc: Charter/PMP; SRS + scope/WBS; Gantt/baseline; effort-cost budget; RACI/timesheet; quality-test-defect; communication/minutes; risk register; procurement; change log; closure/lessons learned.</v>
      </c>
      <c r="M2548" t="str">
        <f>'Huong dan giao do an'!$B$33</f>
        <v>Tuần 1: 07.09–13.09.2026; Tuần 2: 14.09–20.09.2026; Tuần 3: 21.09–27.09.2026; Tuần 4: 28.09–04.10.2026; Tuần 5: 05.10–11.10.2026; Tuần 6: 12.10–18.10.2026; Tuần 7: 19.10–25.10.2026; Tuần 8: 26.10–01.11.2026.</v>
      </c>
      <c r="N25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8" s="17" t="str">
        <f t="shared" si="39"/>
        <v>Còn trống</v>
      </c>
    </row>
    <row r="2549" spans="1:16" x14ac:dyDescent="0.3">
      <c r="A2549">
        <v>2548</v>
      </c>
      <c r="B2549" t="s">
        <v>5749</v>
      </c>
      <c r="C2549" t="s">
        <v>5872</v>
      </c>
      <c r="D2549" t="s">
        <v>5873</v>
      </c>
      <c r="E2549" t="s">
        <v>33</v>
      </c>
      <c r="F2549" t="s">
        <v>5762</v>
      </c>
      <c r="G2549" t="s">
        <v>5781</v>
      </c>
      <c r="H2549" t="str">
        <f>'Huong dan giao do an'!$B$14</f>
        <v>5 SV (vai trò chính): 1 PM/Scrum Master kiêm Integration; 2 BA/PO; 3 UI-UX + Frontend; 4 Backend/API + DevOps; 5 Database + QA/Tester. Mỗi SV có nhiệm vụ phụ và minh chứng cá nhân.</v>
      </c>
      <c r="I2549" t="s">
        <v>29</v>
      </c>
      <c r="J2549" t="s">
        <v>5759</v>
      </c>
      <c r="K2549" t="str">
        <f>IF(I2549="Trung bình",'Huong dan giao do an'!$B$8,IF(I2549="Khá",'Huong dan giao do an'!$B$9,'Huong dan giao do an'!$B$10))</f>
        <v>Tối thiểu 5 actor; 14-18 use case; 10-15 bảng; 4 quy trình; tích hợp ngoài/realtime hoặc xử lý nâng cao; 3 báo cáo; &gt;=45 test case; logging, backup và deploy.</v>
      </c>
      <c r="L2549" t="str">
        <f>'Huong dan giao do an'!$B$31</f>
        <v>Bắt buộc: Charter/PMP; SRS + scope/WBS; Gantt/baseline; effort-cost budget; RACI/timesheet; quality-test-defect; communication/minutes; risk register; procurement; change log; closure/lessons learned.</v>
      </c>
      <c r="M2549" t="str">
        <f>'Huong dan giao do an'!$B$33</f>
        <v>Tuần 1: 07.09–13.09.2026; Tuần 2: 14.09–20.09.2026; Tuần 3: 21.09–27.09.2026; Tuần 4: 28.09–04.10.2026; Tuần 5: 05.10–11.10.2026; Tuần 6: 12.10–18.10.2026; Tuần 7: 19.10–25.10.2026; Tuần 8: 26.10–01.11.2026.</v>
      </c>
      <c r="N25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49" s="17" t="str">
        <f t="shared" si="39"/>
        <v>Còn trống</v>
      </c>
    </row>
    <row r="2550" spans="1:16" x14ac:dyDescent="0.3">
      <c r="A2550">
        <v>2549</v>
      </c>
      <c r="B2550" t="s">
        <v>5749</v>
      </c>
      <c r="C2550" t="s">
        <v>5874</v>
      </c>
      <c r="D2550" t="s">
        <v>5875</v>
      </c>
      <c r="E2550" t="s">
        <v>40</v>
      </c>
      <c r="F2550" t="s">
        <v>5767</v>
      </c>
      <c r="G2550" t="s">
        <v>5784</v>
      </c>
      <c r="H2550" t="str">
        <f>'Huong dan giao do an'!$B$14</f>
        <v>5 SV (vai trò chính): 1 PM/Scrum Master kiêm Integration; 2 BA/PO; 3 UI-UX + Frontend; 4 Backend/API + DevOps; 5 Database + QA/Tester. Mỗi SV có nhiệm vụ phụ và minh chứng cá nhân.</v>
      </c>
      <c r="I2550" t="s">
        <v>36</v>
      </c>
      <c r="J2550" t="s">
        <v>5764</v>
      </c>
      <c r="K2550" t="str">
        <f>IF(I2550="Trung bình",'Huong dan giao do an'!$B$8,IF(I2550="Khá",'Huong dan giao do an'!$B$9,'Huong dan giao do an'!$B$10))</f>
        <v>Tối thiểu 3 actor; 8-10 use case; 6-8 bảng dữ liệu; 2 quy trình lõi; đăng nhập/RBAC; 1 dashboard; 1 báo cáo; &gt;=25 test case; triển khai bản demo.</v>
      </c>
      <c r="L2550" t="str">
        <f>'Huong dan giao do an'!$B$31</f>
        <v>Bắt buộc: Charter/PMP; SRS + scope/WBS; Gantt/baseline; effort-cost budget; RACI/timesheet; quality-test-defect; communication/minutes; risk register; procurement; change log; closure/lessons learned.</v>
      </c>
      <c r="M2550" t="str">
        <f>'Huong dan giao do an'!$B$33</f>
        <v>Tuần 1: 07.09–13.09.2026; Tuần 2: 14.09–20.09.2026; Tuần 3: 21.09–27.09.2026; Tuần 4: 28.09–04.10.2026; Tuần 5: 05.10–11.10.2026; Tuần 6: 12.10–18.10.2026; Tuần 7: 19.10–25.10.2026; Tuần 8: 26.10–01.11.2026.</v>
      </c>
      <c r="N25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0" s="17" t="str">
        <f t="shared" si="39"/>
        <v>Còn trống</v>
      </c>
    </row>
    <row r="2551" spans="1:16" x14ac:dyDescent="0.3">
      <c r="A2551">
        <v>2550</v>
      </c>
      <c r="B2551" t="s">
        <v>5749</v>
      </c>
      <c r="C2551" t="s">
        <v>5876</v>
      </c>
      <c r="D2551" t="s">
        <v>5877</v>
      </c>
      <c r="E2551" t="s">
        <v>45</v>
      </c>
      <c r="F2551" t="s">
        <v>5771</v>
      </c>
      <c r="G2551" t="s">
        <v>5787</v>
      </c>
      <c r="H2551" t="str">
        <f>'Huong dan giao do an'!$B$14</f>
        <v>5 SV (vai trò chính): 1 PM/Scrum Master kiêm Integration; 2 BA/PO; 3 UI-UX + Frontend; 4 Backend/API + DevOps; 5 Database + QA/Tester. Mỗi SV có nhiệm vụ phụ và minh chứng cá nhân.</v>
      </c>
      <c r="I2551" t="s">
        <v>22</v>
      </c>
      <c r="J2551" t="s">
        <v>5754</v>
      </c>
      <c r="K2551" t="str">
        <f>IF(I2551="Trung bình",'Huong dan giao do an'!$B$8,IF(I2551="Khá",'Huong dan giao do an'!$B$9,'Huong dan giao do an'!$B$10))</f>
        <v>Tối thiểu 4 actor; 10-14 use case; 8-12 bảng; 3 quy trình lõi; phân quyền chi tiết; 2 báo cáo; tích hợp 1 dịch vụ; &gt;=35 test case; CI/CD hoặc deploy cloud.</v>
      </c>
      <c r="L2551" t="str">
        <f>'Huong dan giao do an'!$B$31</f>
        <v>Bắt buộc: Charter/PMP; SRS + scope/WBS; Gantt/baseline; effort-cost budget; RACI/timesheet; quality-test-defect; communication/minutes; risk register; procurement; change log; closure/lessons learned.</v>
      </c>
      <c r="M2551" t="str">
        <f>'Huong dan giao do an'!$B$33</f>
        <v>Tuần 1: 07.09–13.09.2026; Tuần 2: 14.09–20.09.2026; Tuần 3: 21.09–27.09.2026; Tuần 4: 28.09–04.10.2026; Tuần 5: 05.10–11.10.2026; Tuần 6: 12.10–18.10.2026; Tuần 7: 19.10–25.10.2026; Tuần 8: 26.10–01.11.2026.</v>
      </c>
      <c r="N25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1" s="17" t="str">
        <f t="shared" si="39"/>
        <v>Còn trống</v>
      </c>
    </row>
    <row r="2552" spans="1:16" x14ac:dyDescent="0.3">
      <c r="A2552">
        <v>2551</v>
      </c>
      <c r="B2552" t="s">
        <v>5749</v>
      </c>
      <c r="C2552" t="s">
        <v>5878</v>
      </c>
      <c r="D2552" t="s">
        <v>5879</v>
      </c>
      <c r="E2552" t="s">
        <v>19</v>
      </c>
      <c r="F2552" t="s">
        <v>5752</v>
      </c>
      <c r="G2552" t="s">
        <v>5790</v>
      </c>
      <c r="H2552" t="str">
        <f>'Huong dan giao do an'!$B$14</f>
        <v>5 SV (vai trò chính): 1 PM/Scrum Master kiêm Integration; 2 BA/PO; 3 UI-UX + Frontend; 4 Backend/API + DevOps; 5 Database + QA/Tester. Mỗi SV có nhiệm vụ phụ và minh chứng cá nhân.</v>
      </c>
      <c r="I2552" t="s">
        <v>29</v>
      </c>
      <c r="J2552" t="s">
        <v>5759</v>
      </c>
      <c r="K2552" t="str">
        <f>IF(I2552="Trung bình",'Huong dan giao do an'!$B$8,IF(I2552="Khá",'Huong dan giao do an'!$B$9,'Huong dan giao do an'!$B$10))</f>
        <v>Tối thiểu 5 actor; 14-18 use case; 10-15 bảng; 4 quy trình; tích hợp ngoài/realtime hoặc xử lý nâng cao; 3 báo cáo; &gt;=45 test case; logging, backup và deploy.</v>
      </c>
      <c r="L2552" t="str">
        <f>'Huong dan giao do an'!$B$31</f>
        <v>Bắt buộc: Charter/PMP; SRS + scope/WBS; Gantt/baseline; effort-cost budget; RACI/timesheet; quality-test-defect; communication/minutes; risk register; procurement; change log; closure/lessons learned.</v>
      </c>
      <c r="M2552" t="str">
        <f>'Huong dan giao do an'!$B$33</f>
        <v>Tuần 1: 07.09–13.09.2026; Tuần 2: 14.09–20.09.2026; Tuần 3: 21.09–27.09.2026; Tuần 4: 28.09–04.10.2026; Tuần 5: 05.10–11.10.2026; Tuần 6: 12.10–18.10.2026; Tuần 7: 19.10–25.10.2026; Tuần 8: 26.10–01.11.2026.</v>
      </c>
      <c r="N25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2" s="17" t="str">
        <f t="shared" si="39"/>
        <v>Còn trống</v>
      </c>
    </row>
    <row r="2553" spans="1:16" x14ac:dyDescent="0.3">
      <c r="A2553">
        <v>2552</v>
      </c>
      <c r="B2553" t="s">
        <v>5749</v>
      </c>
      <c r="C2553" t="s">
        <v>5880</v>
      </c>
      <c r="D2553" t="s">
        <v>5881</v>
      </c>
      <c r="E2553" t="s">
        <v>26</v>
      </c>
      <c r="F2553" t="s">
        <v>5757</v>
      </c>
      <c r="G2553" t="s">
        <v>5793</v>
      </c>
      <c r="H2553" t="str">
        <f>'Huong dan giao do an'!$B$14</f>
        <v>5 SV (vai trò chính): 1 PM/Scrum Master kiêm Integration; 2 BA/PO; 3 UI-UX + Frontend; 4 Backend/API + DevOps; 5 Database + QA/Tester. Mỗi SV có nhiệm vụ phụ và minh chứng cá nhân.</v>
      </c>
      <c r="I2553" t="s">
        <v>36</v>
      </c>
      <c r="J2553" t="s">
        <v>5764</v>
      </c>
      <c r="K2553" t="str">
        <f>IF(I2553="Trung bình",'Huong dan giao do an'!$B$8,IF(I2553="Khá",'Huong dan giao do an'!$B$9,'Huong dan giao do an'!$B$10))</f>
        <v>Tối thiểu 3 actor; 8-10 use case; 6-8 bảng dữ liệu; 2 quy trình lõi; đăng nhập/RBAC; 1 dashboard; 1 báo cáo; &gt;=25 test case; triển khai bản demo.</v>
      </c>
      <c r="L2553" t="str">
        <f>'Huong dan giao do an'!$B$31</f>
        <v>Bắt buộc: Charter/PMP; SRS + scope/WBS; Gantt/baseline; effort-cost budget; RACI/timesheet; quality-test-defect; communication/minutes; risk register; procurement; change log; closure/lessons learned.</v>
      </c>
      <c r="M2553" t="str">
        <f>'Huong dan giao do an'!$B$33</f>
        <v>Tuần 1: 07.09–13.09.2026; Tuần 2: 14.09–20.09.2026; Tuần 3: 21.09–27.09.2026; Tuần 4: 28.09–04.10.2026; Tuần 5: 05.10–11.10.2026; Tuần 6: 12.10–18.10.2026; Tuần 7: 19.10–25.10.2026; Tuần 8: 26.10–01.11.2026.</v>
      </c>
      <c r="N25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3" s="17" t="str">
        <f t="shared" si="39"/>
        <v>Còn trống</v>
      </c>
    </row>
    <row r="2554" spans="1:16" x14ac:dyDescent="0.3">
      <c r="A2554">
        <v>2553</v>
      </c>
      <c r="B2554" t="s">
        <v>5749</v>
      </c>
      <c r="C2554" t="s">
        <v>5882</v>
      </c>
      <c r="D2554" t="s">
        <v>5883</v>
      </c>
      <c r="E2554" t="s">
        <v>33</v>
      </c>
      <c r="F2554" t="s">
        <v>5762</v>
      </c>
      <c r="G2554" t="s">
        <v>5796</v>
      </c>
      <c r="H2554" t="str">
        <f>'Huong dan giao do an'!$B$14</f>
        <v>5 SV (vai trò chính): 1 PM/Scrum Master kiêm Integration; 2 BA/PO; 3 UI-UX + Frontend; 4 Backend/API + DevOps; 5 Database + QA/Tester. Mỗi SV có nhiệm vụ phụ và minh chứng cá nhân.</v>
      </c>
      <c r="I2554" t="s">
        <v>22</v>
      </c>
      <c r="J2554" t="s">
        <v>5754</v>
      </c>
      <c r="K2554" t="str">
        <f>IF(I2554="Trung bình",'Huong dan giao do an'!$B$8,IF(I2554="Khá",'Huong dan giao do an'!$B$9,'Huong dan giao do an'!$B$10))</f>
        <v>Tối thiểu 4 actor; 10-14 use case; 8-12 bảng; 3 quy trình lõi; phân quyền chi tiết; 2 báo cáo; tích hợp 1 dịch vụ; &gt;=35 test case; CI/CD hoặc deploy cloud.</v>
      </c>
      <c r="L2554" t="str">
        <f>'Huong dan giao do an'!$B$31</f>
        <v>Bắt buộc: Charter/PMP; SRS + scope/WBS; Gantt/baseline; effort-cost budget; RACI/timesheet; quality-test-defect; communication/minutes; risk register; procurement; change log; closure/lessons learned.</v>
      </c>
      <c r="M2554" t="str">
        <f>'Huong dan giao do an'!$B$33</f>
        <v>Tuần 1: 07.09–13.09.2026; Tuần 2: 14.09–20.09.2026; Tuần 3: 21.09–27.09.2026; Tuần 4: 28.09–04.10.2026; Tuần 5: 05.10–11.10.2026; Tuần 6: 12.10–18.10.2026; Tuần 7: 19.10–25.10.2026; Tuần 8: 26.10–01.11.2026.</v>
      </c>
      <c r="N25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4" s="17" t="str">
        <f t="shared" si="39"/>
        <v>Còn trống</v>
      </c>
    </row>
    <row r="2555" spans="1:16" x14ac:dyDescent="0.3">
      <c r="A2555">
        <v>2554</v>
      </c>
      <c r="B2555" t="s">
        <v>5749</v>
      </c>
      <c r="C2555" t="s">
        <v>5884</v>
      </c>
      <c r="D2555" t="s">
        <v>5885</v>
      </c>
      <c r="E2555" t="s">
        <v>40</v>
      </c>
      <c r="F2555" t="s">
        <v>5767</v>
      </c>
      <c r="G2555" t="s">
        <v>5799</v>
      </c>
      <c r="H2555" t="str">
        <f>'Huong dan giao do an'!$B$14</f>
        <v>5 SV (vai trò chính): 1 PM/Scrum Master kiêm Integration; 2 BA/PO; 3 UI-UX + Frontend; 4 Backend/API + DevOps; 5 Database + QA/Tester. Mỗi SV có nhiệm vụ phụ và minh chứng cá nhân.</v>
      </c>
      <c r="I2555" t="s">
        <v>29</v>
      </c>
      <c r="J2555" t="s">
        <v>5759</v>
      </c>
      <c r="K2555" t="str">
        <f>IF(I2555="Trung bình",'Huong dan giao do an'!$B$8,IF(I2555="Khá",'Huong dan giao do an'!$B$9,'Huong dan giao do an'!$B$10))</f>
        <v>Tối thiểu 5 actor; 14-18 use case; 10-15 bảng; 4 quy trình; tích hợp ngoài/realtime hoặc xử lý nâng cao; 3 báo cáo; &gt;=45 test case; logging, backup và deploy.</v>
      </c>
      <c r="L2555" t="str">
        <f>'Huong dan giao do an'!$B$31</f>
        <v>Bắt buộc: Charter/PMP; SRS + scope/WBS; Gantt/baseline; effort-cost budget; RACI/timesheet; quality-test-defect; communication/minutes; risk register; procurement; change log; closure/lessons learned.</v>
      </c>
      <c r="M2555" t="str">
        <f>'Huong dan giao do an'!$B$33</f>
        <v>Tuần 1: 07.09–13.09.2026; Tuần 2: 14.09–20.09.2026; Tuần 3: 21.09–27.09.2026; Tuần 4: 28.09–04.10.2026; Tuần 5: 05.10–11.10.2026; Tuần 6: 12.10–18.10.2026; Tuần 7: 19.10–25.10.2026; Tuần 8: 26.10–01.11.2026.</v>
      </c>
      <c r="N25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5" s="17" t="str">
        <f t="shared" si="39"/>
        <v>Còn trống</v>
      </c>
    </row>
    <row r="2556" spans="1:16" x14ac:dyDescent="0.3">
      <c r="A2556">
        <v>2555</v>
      </c>
      <c r="B2556" t="s">
        <v>5749</v>
      </c>
      <c r="C2556" t="s">
        <v>5886</v>
      </c>
      <c r="D2556" t="s">
        <v>5887</v>
      </c>
      <c r="E2556" t="s">
        <v>45</v>
      </c>
      <c r="F2556" t="s">
        <v>5771</v>
      </c>
      <c r="G2556" t="s">
        <v>5802</v>
      </c>
      <c r="H2556" t="str">
        <f>'Huong dan giao do an'!$B$14</f>
        <v>5 SV (vai trò chính): 1 PM/Scrum Master kiêm Integration; 2 BA/PO; 3 UI-UX + Frontend; 4 Backend/API + DevOps; 5 Database + QA/Tester. Mỗi SV có nhiệm vụ phụ và minh chứng cá nhân.</v>
      </c>
      <c r="I2556" t="s">
        <v>36</v>
      </c>
      <c r="J2556" t="s">
        <v>5764</v>
      </c>
      <c r="K2556" t="str">
        <f>IF(I2556="Trung bình",'Huong dan giao do an'!$B$8,IF(I2556="Khá",'Huong dan giao do an'!$B$9,'Huong dan giao do an'!$B$10))</f>
        <v>Tối thiểu 3 actor; 8-10 use case; 6-8 bảng dữ liệu; 2 quy trình lõi; đăng nhập/RBAC; 1 dashboard; 1 báo cáo; &gt;=25 test case; triển khai bản demo.</v>
      </c>
      <c r="L2556" t="str">
        <f>'Huong dan giao do an'!$B$31</f>
        <v>Bắt buộc: Charter/PMP; SRS + scope/WBS; Gantt/baseline; effort-cost budget; RACI/timesheet; quality-test-defect; communication/minutes; risk register; procurement; change log; closure/lessons learned.</v>
      </c>
      <c r="M2556" t="str">
        <f>'Huong dan giao do an'!$B$33</f>
        <v>Tuần 1: 07.09–13.09.2026; Tuần 2: 14.09–20.09.2026; Tuần 3: 21.09–27.09.2026; Tuần 4: 28.09–04.10.2026; Tuần 5: 05.10–11.10.2026; Tuần 6: 12.10–18.10.2026; Tuần 7: 19.10–25.10.2026; Tuần 8: 26.10–01.11.2026.</v>
      </c>
      <c r="N25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6" s="17" t="str">
        <f t="shared" si="39"/>
        <v>Còn trống</v>
      </c>
    </row>
    <row r="2557" spans="1:16" x14ac:dyDescent="0.3">
      <c r="A2557">
        <v>2556</v>
      </c>
      <c r="B2557" t="s">
        <v>5749</v>
      </c>
      <c r="C2557" t="s">
        <v>5888</v>
      </c>
      <c r="D2557" t="s">
        <v>5889</v>
      </c>
      <c r="E2557" t="s">
        <v>19</v>
      </c>
      <c r="F2557" t="s">
        <v>5752</v>
      </c>
      <c r="G2557" t="s">
        <v>5805</v>
      </c>
      <c r="H2557" t="str">
        <f>'Huong dan giao do an'!$B$14</f>
        <v>5 SV (vai trò chính): 1 PM/Scrum Master kiêm Integration; 2 BA/PO; 3 UI-UX + Frontend; 4 Backend/API + DevOps; 5 Database + QA/Tester. Mỗi SV có nhiệm vụ phụ và minh chứng cá nhân.</v>
      </c>
      <c r="I2557" t="s">
        <v>22</v>
      </c>
      <c r="J2557" t="s">
        <v>5754</v>
      </c>
      <c r="K2557" t="str">
        <f>IF(I2557="Trung bình",'Huong dan giao do an'!$B$8,IF(I2557="Khá",'Huong dan giao do an'!$B$9,'Huong dan giao do an'!$B$10))</f>
        <v>Tối thiểu 4 actor; 10-14 use case; 8-12 bảng; 3 quy trình lõi; phân quyền chi tiết; 2 báo cáo; tích hợp 1 dịch vụ; &gt;=35 test case; CI/CD hoặc deploy cloud.</v>
      </c>
      <c r="L2557" t="str">
        <f>'Huong dan giao do an'!$B$31</f>
        <v>Bắt buộc: Charter/PMP; SRS + scope/WBS; Gantt/baseline; effort-cost budget; RACI/timesheet; quality-test-defect; communication/minutes; risk register; procurement; change log; closure/lessons learned.</v>
      </c>
      <c r="M2557" t="str">
        <f>'Huong dan giao do an'!$B$33</f>
        <v>Tuần 1: 07.09–13.09.2026; Tuần 2: 14.09–20.09.2026; Tuần 3: 21.09–27.09.2026; Tuần 4: 28.09–04.10.2026; Tuần 5: 05.10–11.10.2026; Tuần 6: 12.10–18.10.2026; Tuần 7: 19.10–25.10.2026; Tuần 8: 26.10–01.11.2026.</v>
      </c>
      <c r="N25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7" s="17" t="str">
        <f t="shared" si="39"/>
        <v>Còn trống</v>
      </c>
    </row>
    <row r="2558" spans="1:16" x14ac:dyDescent="0.3">
      <c r="A2558">
        <v>2557</v>
      </c>
      <c r="B2558" t="s">
        <v>5749</v>
      </c>
      <c r="C2558" t="s">
        <v>5890</v>
      </c>
      <c r="D2558" t="s">
        <v>5891</v>
      </c>
      <c r="E2558" t="s">
        <v>26</v>
      </c>
      <c r="F2558" t="s">
        <v>5757</v>
      </c>
      <c r="G2558" t="s">
        <v>5808</v>
      </c>
      <c r="H2558" t="str">
        <f>'Huong dan giao do an'!$B$14</f>
        <v>5 SV (vai trò chính): 1 PM/Scrum Master kiêm Integration; 2 BA/PO; 3 UI-UX + Frontend; 4 Backend/API + DevOps; 5 Database + QA/Tester. Mỗi SV có nhiệm vụ phụ và minh chứng cá nhân.</v>
      </c>
      <c r="I2558" t="s">
        <v>29</v>
      </c>
      <c r="J2558" t="s">
        <v>5759</v>
      </c>
      <c r="K2558" t="str">
        <f>IF(I2558="Trung bình",'Huong dan giao do an'!$B$8,IF(I2558="Khá",'Huong dan giao do an'!$B$9,'Huong dan giao do an'!$B$10))</f>
        <v>Tối thiểu 5 actor; 14-18 use case; 10-15 bảng; 4 quy trình; tích hợp ngoài/realtime hoặc xử lý nâng cao; 3 báo cáo; &gt;=45 test case; logging, backup và deploy.</v>
      </c>
      <c r="L2558" t="str">
        <f>'Huong dan giao do an'!$B$31</f>
        <v>Bắt buộc: Charter/PMP; SRS + scope/WBS; Gantt/baseline; effort-cost budget; RACI/timesheet; quality-test-defect; communication/minutes; risk register; procurement; change log; closure/lessons learned.</v>
      </c>
      <c r="M2558" t="str">
        <f>'Huong dan giao do an'!$B$33</f>
        <v>Tuần 1: 07.09–13.09.2026; Tuần 2: 14.09–20.09.2026; Tuần 3: 21.09–27.09.2026; Tuần 4: 28.09–04.10.2026; Tuần 5: 05.10–11.10.2026; Tuần 6: 12.10–18.10.2026; Tuần 7: 19.10–25.10.2026; Tuần 8: 26.10–01.11.2026.</v>
      </c>
      <c r="N25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8" s="17" t="str">
        <f t="shared" si="39"/>
        <v>Còn trống</v>
      </c>
    </row>
    <row r="2559" spans="1:16" x14ac:dyDescent="0.3">
      <c r="A2559">
        <v>2558</v>
      </c>
      <c r="B2559" t="s">
        <v>5749</v>
      </c>
      <c r="C2559" t="s">
        <v>5892</v>
      </c>
      <c r="D2559" t="s">
        <v>5893</v>
      </c>
      <c r="E2559" t="s">
        <v>33</v>
      </c>
      <c r="F2559" t="s">
        <v>5762</v>
      </c>
      <c r="G2559" t="s">
        <v>5811</v>
      </c>
      <c r="H2559" t="str">
        <f>'Huong dan giao do an'!$B$14</f>
        <v>5 SV (vai trò chính): 1 PM/Scrum Master kiêm Integration; 2 BA/PO; 3 UI-UX + Frontend; 4 Backend/API + DevOps; 5 Database + QA/Tester. Mỗi SV có nhiệm vụ phụ và minh chứng cá nhân.</v>
      </c>
      <c r="I2559" t="s">
        <v>36</v>
      </c>
      <c r="J2559" t="s">
        <v>5764</v>
      </c>
      <c r="K2559" t="str">
        <f>IF(I2559="Trung bình",'Huong dan giao do an'!$B$8,IF(I2559="Khá",'Huong dan giao do an'!$B$9,'Huong dan giao do an'!$B$10))</f>
        <v>Tối thiểu 3 actor; 8-10 use case; 6-8 bảng dữ liệu; 2 quy trình lõi; đăng nhập/RBAC; 1 dashboard; 1 báo cáo; &gt;=25 test case; triển khai bản demo.</v>
      </c>
      <c r="L2559" t="str">
        <f>'Huong dan giao do an'!$B$31</f>
        <v>Bắt buộc: Charter/PMP; SRS + scope/WBS; Gantt/baseline; effort-cost budget; RACI/timesheet; quality-test-defect; communication/minutes; risk register; procurement; change log; closure/lessons learned.</v>
      </c>
      <c r="M2559" t="str">
        <f>'Huong dan giao do an'!$B$33</f>
        <v>Tuần 1: 07.09–13.09.2026; Tuần 2: 14.09–20.09.2026; Tuần 3: 21.09–27.09.2026; Tuần 4: 28.09–04.10.2026; Tuần 5: 05.10–11.10.2026; Tuần 6: 12.10–18.10.2026; Tuần 7: 19.10–25.10.2026; Tuần 8: 26.10–01.11.2026.</v>
      </c>
      <c r="N25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59" s="17" t="str">
        <f t="shared" si="39"/>
        <v>Còn trống</v>
      </c>
    </row>
    <row r="2560" spans="1:16" x14ac:dyDescent="0.3">
      <c r="A2560">
        <v>2559</v>
      </c>
      <c r="B2560" t="s">
        <v>5749</v>
      </c>
      <c r="C2560" t="s">
        <v>5894</v>
      </c>
      <c r="D2560" t="s">
        <v>5895</v>
      </c>
      <c r="E2560" t="s">
        <v>40</v>
      </c>
      <c r="F2560" t="s">
        <v>5767</v>
      </c>
      <c r="G2560" t="s">
        <v>5814</v>
      </c>
      <c r="H2560" t="str">
        <f>'Huong dan giao do an'!$B$14</f>
        <v>5 SV (vai trò chính): 1 PM/Scrum Master kiêm Integration; 2 BA/PO; 3 UI-UX + Frontend; 4 Backend/API + DevOps; 5 Database + QA/Tester. Mỗi SV có nhiệm vụ phụ và minh chứng cá nhân.</v>
      </c>
      <c r="I2560" t="s">
        <v>22</v>
      </c>
      <c r="J2560" t="s">
        <v>5754</v>
      </c>
      <c r="K2560" t="str">
        <f>IF(I2560="Trung bình",'Huong dan giao do an'!$B$8,IF(I2560="Khá",'Huong dan giao do an'!$B$9,'Huong dan giao do an'!$B$10))</f>
        <v>Tối thiểu 4 actor; 10-14 use case; 8-12 bảng; 3 quy trình lõi; phân quyền chi tiết; 2 báo cáo; tích hợp 1 dịch vụ; &gt;=35 test case; CI/CD hoặc deploy cloud.</v>
      </c>
      <c r="L2560" t="str">
        <f>'Huong dan giao do an'!$B$31</f>
        <v>Bắt buộc: Charter/PMP; SRS + scope/WBS; Gantt/baseline; effort-cost budget; RACI/timesheet; quality-test-defect; communication/minutes; risk register; procurement; change log; closure/lessons learned.</v>
      </c>
      <c r="M2560" t="str">
        <f>'Huong dan giao do an'!$B$33</f>
        <v>Tuần 1: 07.09–13.09.2026; Tuần 2: 14.09–20.09.2026; Tuần 3: 21.09–27.09.2026; Tuần 4: 28.09–04.10.2026; Tuần 5: 05.10–11.10.2026; Tuần 6: 12.10–18.10.2026; Tuần 7: 19.10–25.10.2026; Tuần 8: 26.10–01.11.2026.</v>
      </c>
      <c r="N25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0" s="17" t="str">
        <f t="shared" si="39"/>
        <v>Còn trống</v>
      </c>
    </row>
    <row r="2561" spans="1:16" x14ac:dyDescent="0.3">
      <c r="A2561">
        <v>2560</v>
      </c>
      <c r="B2561" t="s">
        <v>5749</v>
      </c>
      <c r="C2561" t="s">
        <v>5896</v>
      </c>
      <c r="D2561" t="s">
        <v>5897</v>
      </c>
      <c r="E2561" t="s">
        <v>45</v>
      </c>
      <c r="F2561" t="s">
        <v>5771</v>
      </c>
      <c r="G2561" t="s">
        <v>5817</v>
      </c>
      <c r="H2561" t="str">
        <f>'Huong dan giao do an'!$B$14</f>
        <v>5 SV (vai trò chính): 1 PM/Scrum Master kiêm Integration; 2 BA/PO; 3 UI-UX + Frontend; 4 Backend/API + DevOps; 5 Database + QA/Tester. Mỗi SV có nhiệm vụ phụ và minh chứng cá nhân.</v>
      </c>
      <c r="I2561" t="s">
        <v>29</v>
      </c>
      <c r="J2561" t="s">
        <v>5759</v>
      </c>
      <c r="K2561" t="str">
        <f>IF(I2561="Trung bình",'Huong dan giao do an'!$B$8,IF(I2561="Khá",'Huong dan giao do an'!$B$9,'Huong dan giao do an'!$B$10))</f>
        <v>Tối thiểu 5 actor; 14-18 use case; 10-15 bảng; 4 quy trình; tích hợp ngoài/realtime hoặc xử lý nâng cao; 3 báo cáo; &gt;=45 test case; logging, backup và deploy.</v>
      </c>
      <c r="L2561" t="str">
        <f>'Huong dan giao do an'!$B$31</f>
        <v>Bắt buộc: Charter/PMP; SRS + scope/WBS; Gantt/baseline; effort-cost budget; RACI/timesheet; quality-test-defect; communication/minutes; risk register; procurement; change log; closure/lessons learned.</v>
      </c>
      <c r="M2561" t="str">
        <f>'Huong dan giao do an'!$B$33</f>
        <v>Tuần 1: 07.09–13.09.2026; Tuần 2: 14.09–20.09.2026; Tuần 3: 21.09–27.09.2026; Tuần 4: 28.09–04.10.2026; Tuần 5: 05.10–11.10.2026; Tuần 6: 12.10–18.10.2026; Tuần 7: 19.10–25.10.2026; Tuần 8: 26.10–01.11.2026.</v>
      </c>
      <c r="N25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1" s="17" t="str">
        <f t="shared" si="39"/>
        <v>Còn trống</v>
      </c>
    </row>
    <row r="2562" spans="1:16" x14ac:dyDescent="0.3">
      <c r="A2562">
        <v>2561</v>
      </c>
      <c r="B2562" t="s">
        <v>5749</v>
      </c>
      <c r="C2562" t="s">
        <v>5898</v>
      </c>
      <c r="D2562" t="s">
        <v>5899</v>
      </c>
      <c r="E2562" t="s">
        <v>19</v>
      </c>
      <c r="F2562" t="s">
        <v>5752</v>
      </c>
      <c r="G2562" t="s">
        <v>5753</v>
      </c>
      <c r="H2562" t="str">
        <f>'Huong dan giao do an'!$B$14</f>
        <v>5 SV (vai trò chính): 1 PM/Scrum Master kiêm Integration; 2 BA/PO; 3 UI-UX + Frontend; 4 Backend/API + DevOps; 5 Database + QA/Tester. Mỗi SV có nhiệm vụ phụ và minh chứng cá nhân.</v>
      </c>
      <c r="I2562" t="s">
        <v>22</v>
      </c>
      <c r="J2562" t="s">
        <v>5754</v>
      </c>
      <c r="K2562" t="str">
        <f>IF(I2562="Trung bình",'Huong dan giao do an'!$B$8,IF(I2562="Khá",'Huong dan giao do an'!$B$9,'Huong dan giao do an'!$B$10))</f>
        <v>Tối thiểu 4 actor; 10-14 use case; 8-12 bảng; 3 quy trình lõi; phân quyền chi tiết; 2 báo cáo; tích hợp 1 dịch vụ; &gt;=35 test case; CI/CD hoặc deploy cloud.</v>
      </c>
      <c r="L2562" t="str">
        <f>'Huong dan giao do an'!$B$31</f>
        <v>Bắt buộc: Charter/PMP; SRS + scope/WBS; Gantt/baseline; effort-cost budget; RACI/timesheet; quality-test-defect; communication/minutes; risk register; procurement; change log; closure/lessons learned.</v>
      </c>
      <c r="M2562" t="str">
        <f>'Huong dan giao do an'!$B$33</f>
        <v>Tuần 1: 07.09–13.09.2026; Tuần 2: 14.09–20.09.2026; Tuần 3: 21.09–27.09.2026; Tuần 4: 28.09–04.10.2026; Tuần 5: 05.10–11.10.2026; Tuần 6: 12.10–18.10.2026; Tuần 7: 19.10–25.10.2026; Tuần 8: 26.10–01.11.2026.</v>
      </c>
      <c r="N25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2" s="17" t="str">
        <f t="shared" si="39"/>
        <v>Còn trống</v>
      </c>
    </row>
    <row r="2563" spans="1:16" x14ac:dyDescent="0.3">
      <c r="A2563">
        <v>2562</v>
      </c>
      <c r="B2563" t="s">
        <v>5749</v>
      </c>
      <c r="C2563" t="s">
        <v>5900</v>
      </c>
      <c r="D2563" t="s">
        <v>5901</v>
      </c>
      <c r="E2563" t="s">
        <v>26</v>
      </c>
      <c r="F2563" t="s">
        <v>5757</v>
      </c>
      <c r="G2563" t="s">
        <v>5758</v>
      </c>
      <c r="H2563" t="str">
        <f>'Huong dan giao do an'!$B$14</f>
        <v>5 SV (vai trò chính): 1 PM/Scrum Master kiêm Integration; 2 BA/PO; 3 UI-UX + Frontend; 4 Backend/API + DevOps; 5 Database + QA/Tester. Mỗi SV có nhiệm vụ phụ và minh chứng cá nhân.</v>
      </c>
      <c r="I2563" t="s">
        <v>29</v>
      </c>
      <c r="J2563" t="s">
        <v>5759</v>
      </c>
      <c r="K2563" t="str">
        <f>IF(I2563="Trung bình",'Huong dan giao do an'!$B$8,IF(I2563="Khá",'Huong dan giao do an'!$B$9,'Huong dan giao do an'!$B$10))</f>
        <v>Tối thiểu 5 actor; 14-18 use case; 10-15 bảng; 4 quy trình; tích hợp ngoài/realtime hoặc xử lý nâng cao; 3 báo cáo; &gt;=45 test case; logging, backup và deploy.</v>
      </c>
      <c r="L2563" t="str">
        <f>'Huong dan giao do an'!$B$31</f>
        <v>Bắt buộc: Charter/PMP; SRS + scope/WBS; Gantt/baseline; effort-cost budget; RACI/timesheet; quality-test-defect; communication/minutes; risk register; procurement; change log; closure/lessons learned.</v>
      </c>
      <c r="M2563" t="str">
        <f>'Huong dan giao do an'!$B$33</f>
        <v>Tuần 1: 07.09–13.09.2026; Tuần 2: 14.09–20.09.2026; Tuần 3: 21.09–27.09.2026; Tuần 4: 28.09–04.10.2026; Tuần 5: 05.10–11.10.2026; Tuần 6: 12.10–18.10.2026; Tuần 7: 19.10–25.10.2026; Tuần 8: 26.10–01.11.2026.</v>
      </c>
      <c r="N25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3" s="17" t="str">
        <f t="shared" ref="P2563:P2626" si="40">IF(O2563="","Còn trống","Đã đăng ký")</f>
        <v>Còn trống</v>
      </c>
    </row>
    <row r="2564" spans="1:16" x14ac:dyDescent="0.3">
      <c r="A2564">
        <v>2563</v>
      </c>
      <c r="B2564" t="s">
        <v>5749</v>
      </c>
      <c r="C2564" t="s">
        <v>5902</v>
      </c>
      <c r="D2564" t="s">
        <v>5903</v>
      </c>
      <c r="E2564" t="s">
        <v>33</v>
      </c>
      <c r="F2564" t="s">
        <v>5762</v>
      </c>
      <c r="G2564" t="s">
        <v>5763</v>
      </c>
      <c r="H2564" t="str">
        <f>'Huong dan giao do an'!$B$14</f>
        <v>5 SV (vai trò chính): 1 PM/Scrum Master kiêm Integration; 2 BA/PO; 3 UI-UX + Frontend; 4 Backend/API + DevOps; 5 Database + QA/Tester. Mỗi SV có nhiệm vụ phụ và minh chứng cá nhân.</v>
      </c>
      <c r="I2564" t="s">
        <v>36</v>
      </c>
      <c r="J2564" t="s">
        <v>5764</v>
      </c>
      <c r="K2564" t="str">
        <f>IF(I2564="Trung bình",'Huong dan giao do an'!$B$8,IF(I2564="Khá",'Huong dan giao do an'!$B$9,'Huong dan giao do an'!$B$10))</f>
        <v>Tối thiểu 3 actor; 8-10 use case; 6-8 bảng dữ liệu; 2 quy trình lõi; đăng nhập/RBAC; 1 dashboard; 1 báo cáo; &gt;=25 test case; triển khai bản demo.</v>
      </c>
      <c r="L2564" t="str">
        <f>'Huong dan giao do an'!$B$31</f>
        <v>Bắt buộc: Charter/PMP; SRS + scope/WBS; Gantt/baseline; effort-cost budget; RACI/timesheet; quality-test-defect; communication/minutes; risk register; procurement; change log; closure/lessons learned.</v>
      </c>
      <c r="M2564" t="str">
        <f>'Huong dan giao do an'!$B$33</f>
        <v>Tuần 1: 07.09–13.09.2026; Tuần 2: 14.09–20.09.2026; Tuần 3: 21.09–27.09.2026; Tuần 4: 28.09–04.10.2026; Tuần 5: 05.10–11.10.2026; Tuần 6: 12.10–18.10.2026; Tuần 7: 19.10–25.10.2026; Tuần 8: 26.10–01.11.2026.</v>
      </c>
      <c r="N25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4" s="17" t="str">
        <f t="shared" si="40"/>
        <v>Còn trống</v>
      </c>
    </row>
    <row r="2565" spans="1:16" x14ac:dyDescent="0.3">
      <c r="A2565">
        <v>2564</v>
      </c>
      <c r="B2565" t="s">
        <v>5749</v>
      </c>
      <c r="C2565" t="s">
        <v>5904</v>
      </c>
      <c r="D2565" t="s">
        <v>5905</v>
      </c>
      <c r="E2565" t="s">
        <v>40</v>
      </c>
      <c r="F2565" t="s">
        <v>5767</v>
      </c>
      <c r="G2565" t="s">
        <v>5768</v>
      </c>
      <c r="H2565" t="str">
        <f>'Huong dan giao do an'!$B$14</f>
        <v>5 SV (vai trò chính): 1 PM/Scrum Master kiêm Integration; 2 BA/PO; 3 UI-UX + Frontend; 4 Backend/API + DevOps; 5 Database + QA/Tester. Mỗi SV có nhiệm vụ phụ và minh chứng cá nhân.</v>
      </c>
      <c r="I2565" t="s">
        <v>22</v>
      </c>
      <c r="J2565" t="s">
        <v>5754</v>
      </c>
      <c r="K2565" t="str">
        <f>IF(I2565="Trung bình",'Huong dan giao do an'!$B$8,IF(I2565="Khá",'Huong dan giao do an'!$B$9,'Huong dan giao do an'!$B$10))</f>
        <v>Tối thiểu 4 actor; 10-14 use case; 8-12 bảng; 3 quy trình lõi; phân quyền chi tiết; 2 báo cáo; tích hợp 1 dịch vụ; &gt;=35 test case; CI/CD hoặc deploy cloud.</v>
      </c>
      <c r="L2565" t="str">
        <f>'Huong dan giao do an'!$B$31</f>
        <v>Bắt buộc: Charter/PMP; SRS + scope/WBS; Gantt/baseline; effort-cost budget; RACI/timesheet; quality-test-defect; communication/minutes; risk register; procurement; change log; closure/lessons learned.</v>
      </c>
      <c r="M2565" t="str">
        <f>'Huong dan giao do an'!$B$33</f>
        <v>Tuần 1: 07.09–13.09.2026; Tuần 2: 14.09–20.09.2026; Tuần 3: 21.09–27.09.2026; Tuần 4: 28.09–04.10.2026; Tuần 5: 05.10–11.10.2026; Tuần 6: 12.10–18.10.2026; Tuần 7: 19.10–25.10.2026; Tuần 8: 26.10–01.11.2026.</v>
      </c>
      <c r="N25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5" s="17" t="str">
        <f t="shared" si="40"/>
        <v>Còn trống</v>
      </c>
    </row>
    <row r="2566" spans="1:16" x14ac:dyDescent="0.3">
      <c r="A2566">
        <v>2565</v>
      </c>
      <c r="B2566" t="s">
        <v>5749</v>
      </c>
      <c r="C2566" t="s">
        <v>5906</v>
      </c>
      <c r="D2566" t="s">
        <v>5907</v>
      </c>
      <c r="E2566" t="s">
        <v>45</v>
      </c>
      <c r="F2566" t="s">
        <v>5771</v>
      </c>
      <c r="G2566" t="s">
        <v>5772</v>
      </c>
      <c r="H2566" t="str">
        <f>'Huong dan giao do an'!$B$14</f>
        <v>5 SV (vai trò chính): 1 PM/Scrum Master kiêm Integration; 2 BA/PO; 3 UI-UX + Frontend; 4 Backend/API + DevOps; 5 Database + QA/Tester. Mỗi SV có nhiệm vụ phụ và minh chứng cá nhân.</v>
      </c>
      <c r="I2566" t="s">
        <v>29</v>
      </c>
      <c r="J2566" t="s">
        <v>5759</v>
      </c>
      <c r="K2566" t="str">
        <f>IF(I2566="Trung bình",'Huong dan giao do an'!$B$8,IF(I2566="Khá",'Huong dan giao do an'!$B$9,'Huong dan giao do an'!$B$10))</f>
        <v>Tối thiểu 5 actor; 14-18 use case; 10-15 bảng; 4 quy trình; tích hợp ngoài/realtime hoặc xử lý nâng cao; 3 báo cáo; &gt;=45 test case; logging, backup và deploy.</v>
      </c>
      <c r="L2566" t="str">
        <f>'Huong dan giao do an'!$B$31</f>
        <v>Bắt buộc: Charter/PMP; SRS + scope/WBS; Gantt/baseline; effort-cost budget; RACI/timesheet; quality-test-defect; communication/minutes; risk register; procurement; change log; closure/lessons learned.</v>
      </c>
      <c r="M2566" t="str">
        <f>'Huong dan giao do an'!$B$33</f>
        <v>Tuần 1: 07.09–13.09.2026; Tuần 2: 14.09–20.09.2026; Tuần 3: 21.09–27.09.2026; Tuần 4: 28.09–04.10.2026; Tuần 5: 05.10–11.10.2026; Tuần 6: 12.10–18.10.2026; Tuần 7: 19.10–25.10.2026; Tuần 8: 26.10–01.11.2026.</v>
      </c>
      <c r="N25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6" s="17" t="str">
        <f t="shared" si="40"/>
        <v>Còn trống</v>
      </c>
    </row>
    <row r="2567" spans="1:16" x14ac:dyDescent="0.3">
      <c r="A2567">
        <v>2566</v>
      </c>
      <c r="B2567" t="s">
        <v>5749</v>
      </c>
      <c r="C2567" t="s">
        <v>5908</v>
      </c>
      <c r="D2567" t="s">
        <v>5909</v>
      </c>
      <c r="E2567" t="s">
        <v>19</v>
      </c>
      <c r="F2567" t="s">
        <v>5752</v>
      </c>
      <c r="G2567" t="s">
        <v>5775</v>
      </c>
      <c r="H2567" t="str">
        <f>'Huong dan giao do an'!$B$14</f>
        <v>5 SV (vai trò chính): 1 PM/Scrum Master kiêm Integration; 2 BA/PO; 3 UI-UX + Frontend; 4 Backend/API + DevOps; 5 Database + QA/Tester. Mỗi SV có nhiệm vụ phụ và minh chứng cá nhân.</v>
      </c>
      <c r="I2567" t="s">
        <v>36</v>
      </c>
      <c r="J2567" t="s">
        <v>5764</v>
      </c>
      <c r="K2567" t="str">
        <f>IF(I2567="Trung bình",'Huong dan giao do an'!$B$8,IF(I2567="Khá",'Huong dan giao do an'!$B$9,'Huong dan giao do an'!$B$10))</f>
        <v>Tối thiểu 3 actor; 8-10 use case; 6-8 bảng dữ liệu; 2 quy trình lõi; đăng nhập/RBAC; 1 dashboard; 1 báo cáo; &gt;=25 test case; triển khai bản demo.</v>
      </c>
      <c r="L2567" t="str">
        <f>'Huong dan giao do an'!$B$31</f>
        <v>Bắt buộc: Charter/PMP; SRS + scope/WBS; Gantt/baseline; effort-cost budget; RACI/timesheet; quality-test-defect; communication/minutes; risk register; procurement; change log; closure/lessons learned.</v>
      </c>
      <c r="M2567" t="str">
        <f>'Huong dan giao do an'!$B$33</f>
        <v>Tuần 1: 07.09–13.09.2026; Tuần 2: 14.09–20.09.2026; Tuần 3: 21.09–27.09.2026; Tuần 4: 28.09–04.10.2026; Tuần 5: 05.10–11.10.2026; Tuần 6: 12.10–18.10.2026; Tuần 7: 19.10–25.10.2026; Tuần 8: 26.10–01.11.2026.</v>
      </c>
      <c r="N25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7" s="17" t="str">
        <f t="shared" si="40"/>
        <v>Còn trống</v>
      </c>
    </row>
    <row r="2568" spans="1:16" x14ac:dyDescent="0.3">
      <c r="A2568">
        <v>2567</v>
      </c>
      <c r="B2568" t="s">
        <v>5749</v>
      </c>
      <c r="C2568" t="s">
        <v>5910</v>
      </c>
      <c r="D2568" t="s">
        <v>5911</v>
      </c>
      <c r="E2568" t="s">
        <v>26</v>
      </c>
      <c r="F2568" t="s">
        <v>5757</v>
      </c>
      <c r="G2568" t="s">
        <v>5778</v>
      </c>
      <c r="H2568" t="str">
        <f>'Huong dan giao do an'!$B$14</f>
        <v>5 SV (vai trò chính): 1 PM/Scrum Master kiêm Integration; 2 BA/PO; 3 UI-UX + Frontend; 4 Backend/API + DevOps; 5 Database + QA/Tester. Mỗi SV có nhiệm vụ phụ và minh chứng cá nhân.</v>
      </c>
      <c r="I2568" t="s">
        <v>22</v>
      </c>
      <c r="J2568" t="s">
        <v>5754</v>
      </c>
      <c r="K2568" t="str">
        <f>IF(I2568="Trung bình",'Huong dan giao do an'!$B$8,IF(I2568="Khá",'Huong dan giao do an'!$B$9,'Huong dan giao do an'!$B$10))</f>
        <v>Tối thiểu 4 actor; 10-14 use case; 8-12 bảng; 3 quy trình lõi; phân quyền chi tiết; 2 báo cáo; tích hợp 1 dịch vụ; &gt;=35 test case; CI/CD hoặc deploy cloud.</v>
      </c>
      <c r="L2568" t="str">
        <f>'Huong dan giao do an'!$B$31</f>
        <v>Bắt buộc: Charter/PMP; SRS + scope/WBS; Gantt/baseline; effort-cost budget; RACI/timesheet; quality-test-defect; communication/minutes; risk register; procurement; change log; closure/lessons learned.</v>
      </c>
      <c r="M2568" t="str">
        <f>'Huong dan giao do an'!$B$33</f>
        <v>Tuần 1: 07.09–13.09.2026; Tuần 2: 14.09–20.09.2026; Tuần 3: 21.09–27.09.2026; Tuần 4: 28.09–04.10.2026; Tuần 5: 05.10–11.10.2026; Tuần 6: 12.10–18.10.2026; Tuần 7: 19.10–25.10.2026; Tuần 8: 26.10–01.11.2026.</v>
      </c>
      <c r="N25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8" s="17" t="str">
        <f t="shared" si="40"/>
        <v>Còn trống</v>
      </c>
    </row>
    <row r="2569" spans="1:16" x14ac:dyDescent="0.3">
      <c r="A2569">
        <v>2568</v>
      </c>
      <c r="B2569" t="s">
        <v>5749</v>
      </c>
      <c r="C2569" t="s">
        <v>5912</v>
      </c>
      <c r="D2569" t="s">
        <v>5913</v>
      </c>
      <c r="E2569" t="s">
        <v>33</v>
      </c>
      <c r="F2569" t="s">
        <v>5762</v>
      </c>
      <c r="G2569" t="s">
        <v>5781</v>
      </c>
      <c r="H2569" t="str">
        <f>'Huong dan giao do an'!$B$14</f>
        <v>5 SV (vai trò chính): 1 PM/Scrum Master kiêm Integration; 2 BA/PO; 3 UI-UX + Frontend; 4 Backend/API + DevOps; 5 Database + QA/Tester. Mỗi SV có nhiệm vụ phụ và minh chứng cá nhân.</v>
      </c>
      <c r="I2569" t="s">
        <v>29</v>
      </c>
      <c r="J2569" t="s">
        <v>5759</v>
      </c>
      <c r="K2569" t="str">
        <f>IF(I2569="Trung bình",'Huong dan giao do an'!$B$8,IF(I2569="Khá",'Huong dan giao do an'!$B$9,'Huong dan giao do an'!$B$10))</f>
        <v>Tối thiểu 5 actor; 14-18 use case; 10-15 bảng; 4 quy trình; tích hợp ngoài/realtime hoặc xử lý nâng cao; 3 báo cáo; &gt;=45 test case; logging, backup và deploy.</v>
      </c>
      <c r="L2569" t="str">
        <f>'Huong dan giao do an'!$B$31</f>
        <v>Bắt buộc: Charter/PMP; SRS + scope/WBS; Gantt/baseline; effort-cost budget; RACI/timesheet; quality-test-defect; communication/minutes; risk register; procurement; change log; closure/lessons learned.</v>
      </c>
      <c r="M2569" t="str">
        <f>'Huong dan giao do an'!$B$33</f>
        <v>Tuần 1: 07.09–13.09.2026; Tuần 2: 14.09–20.09.2026; Tuần 3: 21.09–27.09.2026; Tuần 4: 28.09–04.10.2026; Tuần 5: 05.10–11.10.2026; Tuần 6: 12.10–18.10.2026; Tuần 7: 19.10–25.10.2026; Tuần 8: 26.10–01.11.2026.</v>
      </c>
      <c r="N25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69" s="17" t="str">
        <f t="shared" si="40"/>
        <v>Còn trống</v>
      </c>
    </row>
    <row r="2570" spans="1:16" x14ac:dyDescent="0.3">
      <c r="A2570">
        <v>2569</v>
      </c>
      <c r="B2570" t="s">
        <v>5749</v>
      </c>
      <c r="C2570" t="s">
        <v>5914</v>
      </c>
      <c r="D2570" t="s">
        <v>5915</v>
      </c>
      <c r="E2570" t="s">
        <v>40</v>
      </c>
      <c r="F2570" t="s">
        <v>5767</v>
      </c>
      <c r="G2570" t="s">
        <v>5784</v>
      </c>
      <c r="H2570" t="str">
        <f>'Huong dan giao do an'!$B$14</f>
        <v>5 SV (vai trò chính): 1 PM/Scrum Master kiêm Integration; 2 BA/PO; 3 UI-UX + Frontend; 4 Backend/API + DevOps; 5 Database + QA/Tester. Mỗi SV có nhiệm vụ phụ và minh chứng cá nhân.</v>
      </c>
      <c r="I2570" t="s">
        <v>36</v>
      </c>
      <c r="J2570" t="s">
        <v>5764</v>
      </c>
      <c r="K2570" t="str">
        <f>IF(I2570="Trung bình",'Huong dan giao do an'!$B$8,IF(I2570="Khá",'Huong dan giao do an'!$B$9,'Huong dan giao do an'!$B$10))</f>
        <v>Tối thiểu 3 actor; 8-10 use case; 6-8 bảng dữ liệu; 2 quy trình lõi; đăng nhập/RBAC; 1 dashboard; 1 báo cáo; &gt;=25 test case; triển khai bản demo.</v>
      </c>
      <c r="L2570" t="str">
        <f>'Huong dan giao do an'!$B$31</f>
        <v>Bắt buộc: Charter/PMP; SRS + scope/WBS; Gantt/baseline; effort-cost budget; RACI/timesheet; quality-test-defect; communication/minutes; risk register; procurement; change log; closure/lessons learned.</v>
      </c>
      <c r="M2570" t="str">
        <f>'Huong dan giao do an'!$B$33</f>
        <v>Tuần 1: 07.09–13.09.2026; Tuần 2: 14.09–20.09.2026; Tuần 3: 21.09–27.09.2026; Tuần 4: 28.09–04.10.2026; Tuần 5: 05.10–11.10.2026; Tuần 6: 12.10–18.10.2026; Tuần 7: 19.10–25.10.2026; Tuần 8: 26.10–01.11.2026.</v>
      </c>
      <c r="N25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0" s="17" t="str">
        <f t="shared" si="40"/>
        <v>Còn trống</v>
      </c>
    </row>
    <row r="2571" spans="1:16" x14ac:dyDescent="0.3">
      <c r="A2571">
        <v>2570</v>
      </c>
      <c r="B2571" t="s">
        <v>5749</v>
      </c>
      <c r="C2571" t="s">
        <v>5916</v>
      </c>
      <c r="D2571" t="s">
        <v>5917</v>
      </c>
      <c r="E2571" t="s">
        <v>45</v>
      </c>
      <c r="F2571" t="s">
        <v>5771</v>
      </c>
      <c r="G2571" t="s">
        <v>5787</v>
      </c>
      <c r="H2571" t="str">
        <f>'Huong dan giao do an'!$B$14</f>
        <v>5 SV (vai trò chính): 1 PM/Scrum Master kiêm Integration; 2 BA/PO; 3 UI-UX + Frontend; 4 Backend/API + DevOps; 5 Database + QA/Tester. Mỗi SV có nhiệm vụ phụ và minh chứng cá nhân.</v>
      </c>
      <c r="I2571" t="s">
        <v>22</v>
      </c>
      <c r="J2571" t="s">
        <v>5754</v>
      </c>
      <c r="K2571" t="str">
        <f>IF(I2571="Trung bình",'Huong dan giao do an'!$B$8,IF(I2571="Khá",'Huong dan giao do an'!$B$9,'Huong dan giao do an'!$B$10))</f>
        <v>Tối thiểu 4 actor; 10-14 use case; 8-12 bảng; 3 quy trình lõi; phân quyền chi tiết; 2 báo cáo; tích hợp 1 dịch vụ; &gt;=35 test case; CI/CD hoặc deploy cloud.</v>
      </c>
      <c r="L2571" t="str">
        <f>'Huong dan giao do an'!$B$31</f>
        <v>Bắt buộc: Charter/PMP; SRS + scope/WBS; Gantt/baseline; effort-cost budget; RACI/timesheet; quality-test-defect; communication/minutes; risk register; procurement; change log; closure/lessons learned.</v>
      </c>
      <c r="M2571" t="str">
        <f>'Huong dan giao do an'!$B$33</f>
        <v>Tuần 1: 07.09–13.09.2026; Tuần 2: 14.09–20.09.2026; Tuần 3: 21.09–27.09.2026; Tuần 4: 28.09–04.10.2026; Tuần 5: 05.10–11.10.2026; Tuần 6: 12.10–18.10.2026; Tuần 7: 19.10–25.10.2026; Tuần 8: 26.10–01.11.2026.</v>
      </c>
      <c r="N25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1" s="17" t="str">
        <f t="shared" si="40"/>
        <v>Còn trống</v>
      </c>
    </row>
    <row r="2572" spans="1:16" x14ac:dyDescent="0.3">
      <c r="A2572">
        <v>2571</v>
      </c>
      <c r="B2572" t="s">
        <v>5749</v>
      </c>
      <c r="C2572" t="s">
        <v>5918</v>
      </c>
      <c r="D2572" t="s">
        <v>5919</v>
      </c>
      <c r="E2572" t="s">
        <v>19</v>
      </c>
      <c r="F2572" t="s">
        <v>5752</v>
      </c>
      <c r="G2572" t="s">
        <v>5790</v>
      </c>
      <c r="H2572" t="str">
        <f>'Huong dan giao do an'!$B$14</f>
        <v>5 SV (vai trò chính): 1 PM/Scrum Master kiêm Integration; 2 BA/PO; 3 UI-UX + Frontend; 4 Backend/API + DevOps; 5 Database + QA/Tester. Mỗi SV có nhiệm vụ phụ và minh chứng cá nhân.</v>
      </c>
      <c r="I2572" t="s">
        <v>29</v>
      </c>
      <c r="J2572" t="s">
        <v>5759</v>
      </c>
      <c r="K2572" t="str">
        <f>IF(I2572="Trung bình",'Huong dan giao do an'!$B$8,IF(I2572="Khá",'Huong dan giao do an'!$B$9,'Huong dan giao do an'!$B$10))</f>
        <v>Tối thiểu 5 actor; 14-18 use case; 10-15 bảng; 4 quy trình; tích hợp ngoài/realtime hoặc xử lý nâng cao; 3 báo cáo; &gt;=45 test case; logging, backup và deploy.</v>
      </c>
      <c r="L2572" t="str">
        <f>'Huong dan giao do an'!$B$31</f>
        <v>Bắt buộc: Charter/PMP; SRS + scope/WBS; Gantt/baseline; effort-cost budget; RACI/timesheet; quality-test-defect; communication/minutes; risk register; procurement; change log; closure/lessons learned.</v>
      </c>
      <c r="M2572" t="str">
        <f>'Huong dan giao do an'!$B$33</f>
        <v>Tuần 1: 07.09–13.09.2026; Tuần 2: 14.09–20.09.2026; Tuần 3: 21.09–27.09.2026; Tuần 4: 28.09–04.10.2026; Tuần 5: 05.10–11.10.2026; Tuần 6: 12.10–18.10.2026; Tuần 7: 19.10–25.10.2026; Tuần 8: 26.10–01.11.2026.</v>
      </c>
      <c r="N25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2" s="17" t="str">
        <f t="shared" si="40"/>
        <v>Còn trống</v>
      </c>
    </row>
    <row r="2573" spans="1:16" x14ac:dyDescent="0.3">
      <c r="A2573">
        <v>2572</v>
      </c>
      <c r="B2573" t="s">
        <v>5749</v>
      </c>
      <c r="C2573" t="s">
        <v>5920</v>
      </c>
      <c r="D2573" t="s">
        <v>5921</v>
      </c>
      <c r="E2573" t="s">
        <v>26</v>
      </c>
      <c r="F2573" t="s">
        <v>5757</v>
      </c>
      <c r="G2573" t="s">
        <v>5793</v>
      </c>
      <c r="H2573" t="str">
        <f>'Huong dan giao do an'!$B$14</f>
        <v>5 SV (vai trò chính): 1 PM/Scrum Master kiêm Integration; 2 BA/PO; 3 UI-UX + Frontend; 4 Backend/API + DevOps; 5 Database + QA/Tester. Mỗi SV có nhiệm vụ phụ và minh chứng cá nhân.</v>
      </c>
      <c r="I2573" t="s">
        <v>36</v>
      </c>
      <c r="J2573" t="s">
        <v>5764</v>
      </c>
      <c r="K2573" t="str">
        <f>IF(I2573="Trung bình",'Huong dan giao do an'!$B$8,IF(I2573="Khá",'Huong dan giao do an'!$B$9,'Huong dan giao do an'!$B$10))</f>
        <v>Tối thiểu 3 actor; 8-10 use case; 6-8 bảng dữ liệu; 2 quy trình lõi; đăng nhập/RBAC; 1 dashboard; 1 báo cáo; &gt;=25 test case; triển khai bản demo.</v>
      </c>
      <c r="L2573" t="str">
        <f>'Huong dan giao do an'!$B$31</f>
        <v>Bắt buộc: Charter/PMP; SRS + scope/WBS; Gantt/baseline; effort-cost budget; RACI/timesheet; quality-test-defect; communication/minutes; risk register; procurement; change log; closure/lessons learned.</v>
      </c>
      <c r="M2573" t="str">
        <f>'Huong dan giao do an'!$B$33</f>
        <v>Tuần 1: 07.09–13.09.2026; Tuần 2: 14.09–20.09.2026; Tuần 3: 21.09–27.09.2026; Tuần 4: 28.09–04.10.2026; Tuần 5: 05.10–11.10.2026; Tuần 6: 12.10–18.10.2026; Tuần 7: 19.10–25.10.2026; Tuần 8: 26.10–01.11.2026.</v>
      </c>
      <c r="N25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3" s="17" t="str">
        <f t="shared" si="40"/>
        <v>Còn trống</v>
      </c>
    </row>
    <row r="2574" spans="1:16" x14ac:dyDescent="0.3">
      <c r="A2574">
        <v>2573</v>
      </c>
      <c r="B2574" t="s">
        <v>5749</v>
      </c>
      <c r="C2574" t="s">
        <v>5922</v>
      </c>
      <c r="D2574" t="s">
        <v>5923</v>
      </c>
      <c r="E2574" t="s">
        <v>33</v>
      </c>
      <c r="F2574" t="s">
        <v>5762</v>
      </c>
      <c r="G2574" t="s">
        <v>5796</v>
      </c>
      <c r="H2574" t="str">
        <f>'Huong dan giao do an'!$B$14</f>
        <v>5 SV (vai trò chính): 1 PM/Scrum Master kiêm Integration; 2 BA/PO; 3 UI-UX + Frontend; 4 Backend/API + DevOps; 5 Database + QA/Tester. Mỗi SV có nhiệm vụ phụ và minh chứng cá nhân.</v>
      </c>
      <c r="I2574" t="s">
        <v>22</v>
      </c>
      <c r="J2574" t="s">
        <v>5754</v>
      </c>
      <c r="K2574" t="str">
        <f>IF(I2574="Trung bình",'Huong dan giao do an'!$B$8,IF(I2574="Khá",'Huong dan giao do an'!$B$9,'Huong dan giao do an'!$B$10))</f>
        <v>Tối thiểu 4 actor; 10-14 use case; 8-12 bảng; 3 quy trình lõi; phân quyền chi tiết; 2 báo cáo; tích hợp 1 dịch vụ; &gt;=35 test case; CI/CD hoặc deploy cloud.</v>
      </c>
      <c r="L2574" t="str">
        <f>'Huong dan giao do an'!$B$31</f>
        <v>Bắt buộc: Charter/PMP; SRS + scope/WBS; Gantt/baseline; effort-cost budget; RACI/timesheet; quality-test-defect; communication/minutes; risk register; procurement; change log; closure/lessons learned.</v>
      </c>
      <c r="M2574" t="str">
        <f>'Huong dan giao do an'!$B$33</f>
        <v>Tuần 1: 07.09–13.09.2026; Tuần 2: 14.09–20.09.2026; Tuần 3: 21.09–27.09.2026; Tuần 4: 28.09–04.10.2026; Tuần 5: 05.10–11.10.2026; Tuần 6: 12.10–18.10.2026; Tuần 7: 19.10–25.10.2026; Tuần 8: 26.10–01.11.2026.</v>
      </c>
      <c r="N25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4" s="17" t="str">
        <f t="shared" si="40"/>
        <v>Còn trống</v>
      </c>
    </row>
    <row r="2575" spans="1:16" x14ac:dyDescent="0.3">
      <c r="A2575">
        <v>2574</v>
      </c>
      <c r="B2575" t="s">
        <v>5749</v>
      </c>
      <c r="C2575" t="s">
        <v>5924</v>
      </c>
      <c r="D2575" t="s">
        <v>5925</v>
      </c>
      <c r="E2575" t="s">
        <v>40</v>
      </c>
      <c r="F2575" t="s">
        <v>5767</v>
      </c>
      <c r="G2575" t="s">
        <v>5799</v>
      </c>
      <c r="H2575" t="str">
        <f>'Huong dan giao do an'!$B$14</f>
        <v>5 SV (vai trò chính): 1 PM/Scrum Master kiêm Integration; 2 BA/PO; 3 UI-UX + Frontend; 4 Backend/API + DevOps; 5 Database + QA/Tester. Mỗi SV có nhiệm vụ phụ và minh chứng cá nhân.</v>
      </c>
      <c r="I2575" t="s">
        <v>29</v>
      </c>
      <c r="J2575" t="s">
        <v>5759</v>
      </c>
      <c r="K2575" t="str">
        <f>IF(I2575="Trung bình",'Huong dan giao do an'!$B$8,IF(I2575="Khá",'Huong dan giao do an'!$B$9,'Huong dan giao do an'!$B$10))</f>
        <v>Tối thiểu 5 actor; 14-18 use case; 10-15 bảng; 4 quy trình; tích hợp ngoài/realtime hoặc xử lý nâng cao; 3 báo cáo; &gt;=45 test case; logging, backup và deploy.</v>
      </c>
      <c r="L2575" t="str">
        <f>'Huong dan giao do an'!$B$31</f>
        <v>Bắt buộc: Charter/PMP; SRS + scope/WBS; Gantt/baseline; effort-cost budget; RACI/timesheet; quality-test-defect; communication/minutes; risk register; procurement; change log; closure/lessons learned.</v>
      </c>
      <c r="M2575" t="str">
        <f>'Huong dan giao do an'!$B$33</f>
        <v>Tuần 1: 07.09–13.09.2026; Tuần 2: 14.09–20.09.2026; Tuần 3: 21.09–27.09.2026; Tuần 4: 28.09–04.10.2026; Tuần 5: 05.10–11.10.2026; Tuần 6: 12.10–18.10.2026; Tuần 7: 19.10–25.10.2026; Tuần 8: 26.10–01.11.2026.</v>
      </c>
      <c r="N25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5" s="17" t="str">
        <f t="shared" si="40"/>
        <v>Còn trống</v>
      </c>
    </row>
    <row r="2576" spans="1:16" x14ac:dyDescent="0.3">
      <c r="A2576">
        <v>2575</v>
      </c>
      <c r="B2576" t="s">
        <v>5749</v>
      </c>
      <c r="C2576" t="s">
        <v>5926</v>
      </c>
      <c r="D2576" t="s">
        <v>5927</v>
      </c>
      <c r="E2576" t="s">
        <v>45</v>
      </c>
      <c r="F2576" t="s">
        <v>5771</v>
      </c>
      <c r="G2576" t="s">
        <v>5802</v>
      </c>
      <c r="H2576" t="str">
        <f>'Huong dan giao do an'!$B$14</f>
        <v>5 SV (vai trò chính): 1 PM/Scrum Master kiêm Integration; 2 BA/PO; 3 UI-UX + Frontend; 4 Backend/API + DevOps; 5 Database + QA/Tester. Mỗi SV có nhiệm vụ phụ và minh chứng cá nhân.</v>
      </c>
      <c r="I2576" t="s">
        <v>36</v>
      </c>
      <c r="J2576" t="s">
        <v>5764</v>
      </c>
      <c r="K2576" t="str">
        <f>IF(I2576="Trung bình",'Huong dan giao do an'!$B$8,IF(I2576="Khá",'Huong dan giao do an'!$B$9,'Huong dan giao do an'!$B$10))</f>
        <v>Tối thiểu 3 actor; 8-10 use case; 6-8 bảng dữ liệu; 2 quy trình lõi; đăng nhập/RBAC; 1 dashboard; 1 báo cáo; &gt;=25 test case; triển khai bản demo.</v>
      </c>
      <c r="L2576" t="str">
        <f>'Huong dan giao do an'!$B$31</f>
        <v>Bắt buộc: Charter/PMP; SRS + scope/WBS; Gantt/baseline; effort-cost budget; RACI/timesheet; quality-test-defect; communication/minutes; risk register; procurement; change log; closure/lessons learned.</v>
      </c>
      <c r="M2576" t="str">
        <f>'Huong dan giao do an'!$B$33</f>
        <v>Tuần 1: 07.09–13.09.2026; Tuần 2: 14.09–20.09.2026; Tuần 3: 21.09–27.09.2026; Tuần 4: 28.09–04.10.2026; Tuần 5: 05.10–11.10.2026; Tuần 6: 12.10–18.10.2026; Tuần 7: 19.10–25.10.2026; Tuần 8: 26.10–01.11.2026.</v>
      </c>
      <c r="N25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6" s="17" t="str">
        <f t="shared" si="40"/>
        <v>Còn trống</v>
      </c>
    </row>
    <row r="2577" spans="1:16" x14ac:dyDescent="0.3">
      <c r="A2577">
        <v>2576</v>
      </c>
      <c r="B2577" t="s">
        <v>5749</v>
      </c>
      <c r="C2577" t="s">
        <v>5928</v>
      </c>
      <c r="D2577" t="s">
        <v>5929</v>
      </c>
      <c r="E2577" t="s">
        <v>19</v>
      </c>
      <c r="F2577" t="s">
        <v>5752</v>
      </c>
      <c r="G2577" t="s">
        <v>5805</v>
      </c>
      <c r="H2577" t="str">
        <f>'Huong dan giao do an'!$B$14</f>
        <v>5 SV (vai trò chính): 1 PM/Scrum Master kiêm Integration; 2 BA/PO; 3 UI-UX + Frontend; 4 Backend/API + DevOps; 5 Database + QA/Tester. Mỗi SV có nhiệm vụ phụ và minh chứng cá nhân.</v>
      </c>
      <c r="I2577" t="s">
        <v>22</v>
      </c>
      <c r="J2577" t="s">
        <v>5754</v>
      </c>
      <c r="K2577" t="str">
        <f>IF(I2577="Trung bình",'Huong dan giao do an'!$B$8,IF(I2577="Khá",'Huong dan giao do an'!$B$9,'Huong dan giao do an'!$B$10))</f>
        <v>Tối thiểu 4 actor; 10-14 use case; 8-12 bảng; 3 quy trình lõi; phân quyền chi tiết; 2 báo cáo; tích hợp 1 dịch vụ; &gt;=35 test case; CI/CD hoặc deploy cloud.</v>
      </c>
      <c r="L2577" t="str">
        <f>'Huong dan giao do an'!$B$31</f>
        <v>Bắt buộc: Charter/PMP; SRS + scope/WBS; Gantt/baseline; effort-cost budget; RACI/timesheet; quality-test-defect; communication/minutes; risk register; procurement; change log; closure/lessons learned.</v>
      </c>
      <c r="M2577" t="str">
        <f>'Huong dan giao do an'!$B$33</f>
        <v>Tuần 1: 07.09–13.09.2026; Tuần 2: 14.09–20.09.2026; Tuần 3: 21.09–27.09.2026; Tuần 4: 28.09–04.10.2026; Tuần 5: 05.10–11.10.2026; Tuần 6: 12.10–18.10.2026; Tuần 7: 19.10–25.10.2026; Tuần 8: 26.10–01.11.2026.</v>
      </c>
      <c r="N25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7" s="17" t="str">
        <f t="shared" si="40"/>
        <v>Còn trống</v>
      </c>
    </row>
    <row r="2578" spans="1:16" x14ac:dyDescent="0.3">
      <c r="A2578">
        <v>2577</v>
      </c>
      <c r="B2578" t="s">
        <v>5749</v>
      </c>
      <c r="C2578" t="s">
        <v>5930</v>
      </c>
      <c r="D2578" t="s">
        <v>5931</v>
      </c>
      <c r="E2578" t="s">
        <v>26</v>
      </c>
      <c r="F2578" t="s">
        <v>5757</v>
      </c>
      <c r="G2578" t="s">
        <v>5808</v>
      </c>
      <c r="H2578" t="str">
        <f>'Huong dan giao do an'!$B$14</f>
        <v>5 SV (vai trò chính): 1 PM/Scrum Master kiêm Integration; 2 BA/PO; 3 UI-UX + Frontend; 4 Backend/API + DevOps; 5 Database + QA/Tester. Mỗi SV có nhiệm vụ phụ và minh chứng cá nhân.</v>
      </c>
      <c r="I2578" t="s">
        <v>29</v>
      </c>
      <c r="J2578" t="s">
        <v>5759</v>
      </c>
      <c r="K2578" t="str">
        <f>IF(I2578="Trung bình",'Huong dan giao do an'!$B$8,IF(I2578="Khá",'Huong dan giao do an'!$B$9,'Huong dan giao do an'!$B$10))</f>
        <v>Tối thiểu 5 actor; 14-18 use case; 10-15 bảng; 4 quy trình; tích hợp ngoài/realtime hoặc xử lý nâng cao; 3 báo cáo; &gt;=45 test case; logging, backup và deploy.</v>
      </c>
      <c r="L2578" t="str">
        <f>'Huong dan giao do an'!$B$31</f>
        <v>Bắt buộc: Charter/PMP; SRS + scope/WBS; Gantt/baseline; effort-cost budget; RACI/timesheet; quality-test-defect; communication/minutes; risk register; procurement; change log; closure/lessons learned.</v>
      </c>
      <c r="M2578" t="str">
        <f>'Huong dan giao do an'!$B$33</f>
        <v>Tuần 1: 07.09–13.09.2026; Tuần 2: 14.09–20.09.2026; Tuần 3: 21.09–27.09.2026; Tuần 4: 28.09–04.10.2026; Tuần 5: 05.10–11.10.2026; Tuần 6: 12.10–18.10.2026; Tuần 7: 19.10–25.10.2026; Tuần 8: 26.10–01.11.2026.</v>
      </c>
      <c r="N25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8" s="17" t="str">
        <f t="shared" si="40"/>
        <v>Còn trống</v>
      </c>
    </row>
    <row r="2579" spans="1:16" x14ac:dyDescent="0.3">
      <c r="A2579">
        <v>2578</v>
      </c>
      <c r="B2579" t="s">
        <v>5749</v>
      </c>
      <c r="C2579" t="s">
        <v>5932</v>
      </c>
      <c r="D2579" t="s">
        <v>5933</v>
      </c>
      <c r="E2579" t="s">
        <v>33</v>
      </c>
      <c r="F2579" t="s">
        <v>5762</v>
      </c>
      <c r="G2579" t="s">
        <v>5811</v>
      </c>
      <c r="H2579" t="str">
        <f>'Huong dan giao do an'!$B$14</f>
        <v>5 SV (vai trò chính): 1 PM/Scrum Master kiêm Integration; 2 BA/PO; 3 UI-UX + Frontend; 4 Backend/API + DevOps; 5 Database + QA/Tester. Mỗi SV có nhiệm vụ phụ và minh chứng cá nhân.</v>
      </c>
      <c r="I2579" t="s">
        <v>36</v>
      </c>
      <c r="J2579" t="s">
        <v>5764</v>
      </c>
      <c r="K2579" t="str">
        <f>IF(I2579="Trung bình",'Huong dan giao do an'!$B$8,IF(I2579="Khá",'Huong dan giao do an'!$B$9,'Huong dan giao do an'!$B$10))</f>
        <v>Tối thiểu 3 actor; 8-10 use case; 6-8 bảng dữ liệu; 2 quy trình lõi; đăng nhập/RBAC; 1 dashboard; 1 báo cáo; &gt;=25 test case; triển khai bản demo.</v>
      </c>
      <c r="L2579" t="str">
        <f>'Huong dan giao do an'!$B$31</f>
        <v>Bắt buộc: Charter/PMP; SRS + scope/WBS; Gantt/baseline; effort-cost budget; RACI/timesheet; quality-test-defect; communication/minutes; risk register; procurement; change log; closure/lessons learned.</v>
      </c>
      <c r="M2579" t="str">
        <f>'Huong dan giao do an'!$B$33</f>
        <v>Tuần 1: 07.09–13.09.2026; Tuần 2: 14.09–20.09.2026; Tuần 3: 21.09–27.09.2026; Tuần 4: 28.09–04.10.2026; Tuần 5: 05.10–11.10.2026; Tuần 6: 12.10–18.10.2026; Tuần 7: 19.10–25.10.2026; Tuần 8: 26.10–01.11.2026.</v>
      </c>
      <c r="N25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79" s="17" t="str">
        <f t="shared" si="40"/>
        <v>Còn trống</v>
      </c>
    </row>
    <row r="2580" spans="1:16" x14ac:dyDescent="0.3">
      <c r="A2580">
        <v>2579</v>
      </c>
      <c r="B2580" t="s">
        <v>5749</v>
      </c>
      <c r="C2580" t="s">
        <v>5934</v>
      </c>
      <c r="D2580" t="s">
        <v>5935</v>
      </c>
      <c r="E2580" t="s">
        <v>40</v>
      </c>
      <c r="F2580" t="s">
        <v>5767</v>
      </c>
      <c r="G2580" t="s">
        <v>5814</v>
      </c>
      <c r="H2580" t="str">
        <f>'Huong dan giao do an'!$B$14</f>
        <v>5 SV (vai trò chính): 1 PM/Scrum Master kiêm Integration; 2 BA/PO; 3 UI-UX + Frontend; 4 Backend/API + DevOps; 5 Database + QA/Tester. Mỗi SV có nhiệm vụ phụ và minh chứng cá nhân.</v>
      </c>
      <c r="I2580" t="s">
        <v>22</v>
      </c>
      <c r="J2580" t="s">
        <v>5754</v>
      </c>
      <c r="K2580" t="str">
        <f>IF(I2580="Trung bình",'Huong dan giao do an'!$B$8,IF(I2580="Khá",'Huong dan giao do an'!$B$9,'Huong dan giao do an'!$B$10))</f>
        <v>Tối thiểu 4 actor; 10-14 use case; 8-12 bảng; 3 quy trình lõi; phân quyền chi tiết; 2 báo cáo; tích hợp 1 dịch vụ; &gt;=35 test case; CI/CD hoặc deploy cloud.</v>
      </c>
      <c r="L2580" t="str">
        <f>'Huong dan giao do an'!$B$31</f>
        <v>Bắt buộc: Charter/PMP; SRS + scope/WBS; Gantt/baseline; effort-cost budget; RACI/timesheet; quality-test-defect; communication/minutes; risk register; procurement; change log; closure/lessons learned.</v>
      </c>
      <c r="M2580" t="str">
        <f>'Huong dan giao do an'!$B$33</f>
        <v>Tuần 1: 07.09–13.09.2026; Tuần 2: 14.09–20.09.2026; Tuần 3: 21.09–27.09.2026; Tuần 4: 28.09–04.10.2026; Tuần 5: 05.10–11.10.2026; Tuần 6: 12.10–18.10.2026; Tuần 7: 19.10–25.10.2026; Tuần 8: 26.10–01.11.2026.</v>
      </c>
      <c r="N25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0" s="17" t="str">
        <f t="shared" si="40"/>
        <v>Còn trống</v>
      </c>
    </row>
    <row r="2581" spans="1:16" x14ac:dyDescent="0.3">
      <c r="A2581">
        <v>2580</v>
      </c>
      <c r="B2581" t="s">
        <v>5749</v>
      </c>
      <c r="C2581" t="s">
        <v>5936</v>
      </c>
      <c r="D2581" t="s">
        <v>5937</v>
      </c>
      <c r="E2581" t="s">
        <v>45</v>
      </c>
      <c r="F2581" t="s">
        <v>5771</v>
      </c>
      <c r="G2581" t="s">
        <v>5817</v>
      </c>
      <c r="H2581" t="str">
        <f>'Huong dan giao do an'!$B$14</f>
        <v>5 SV (vai trò chính): 1 PM/Scrum Master kiêm Integration; 2 BA/PO; 3 UI-UX + Frontend; 4 Backend/API + DevOps; 5 Database + QA/Tester. Mỗi SV có nhiệm vụ phụ và minh chứng cá nhân.</v>
      </c>
      <c r="I2581" t="s">
        <v>29</v>
      </c>
      <c r="J2581" t="s">
        <v>5759</v>
      </c>
      <c r="K2581" t="str">
        <f>IF(I2581="Trung bình",'Huong dan giao do an'!$B$8,IF(I2581="Khá",'Huong dan giao do an'!$B$9,'Huong dan giao do an'!$B$10))</f>
        <v>Tối thiểu 5 actor; 14-18 use case; 10-15 bảng; 4 quy trình; tích hợp ngoài/realtime hoặc xử lý nâng cao; 3 báo cáo; &gt;=45 test case; logging, backup và deploy.</v>
      </c>
      <c r="L2581" t="str">
        <f>'Huong dan giao do an'!$B$31</f>
        <v>Bắt buộc: Charter/PMP; SRS + scope/WBS; Gantt/baseline; effort-cost budget; RACI/timesheet; quality-test-defect; communication/minutes; risk register; procurement; change log; closure/lessons learned.</v>
      </c>
      <c r="M2581" t="str">
        <f>'Huong dan giao do an'!$B$33</f>
        <v>Tuần 1: 07.09–13.09.2026; Tuần 2: 14.09–20.09.2026; Tuần 3: 21.09–27.09.2026; Tuần 4: 28.09–04.10.2026; Tuần 5: 05.10–11.10.2026; Tuần 6: 12.10–18.10.2026; Tuần 7: 19.10–25.10.2026; Tuần 8: 26.10–01.11.2026.</v>
      </c>
      <c r="N25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1" s="17" t="str">
        <f t="shared" si="40"/>
        <v>Còn trống</v>
      </c>
    </row>
    <row r="2582" spans="1:16" x14ac:dyDescent="0.3">
      <c r="A2582">
        <v>2581</v>
      </c>
      <c r="B2582" t="s">
        <v>5749</v>
      </c>
      <c r="C2582" t="s">
        <v>5938</v>
      </c>
      <c r="D2582" t="s">
        <v>5939</v>
      </c>
      <c r="E2582" t="s">
        <v>19</v>
      </c>
      <c r="F2582" t="s">
        <v>5752</v>
      </c>
      <c r="G2582" t="s">
        <v>5753</v>
      </c>
      <c r="H2582" t="str">
        <f>'Huong dan giao do an'!$B$14</f>
        <v>5 SV (vai trò chính): 1 PM/Scrum Master kiêm Integration; 2 BA/PO; 3 UI-UX + Frontend; 4 Backend/API + DevOps; 5 Database + QA/Tester. Mỗi SV có nhiệm vụ phụ và minh chứng cá nhân.</v>
      </c>
      <c r="I2582" t="s">
        <v>22</v>
      </c>
      <c r="J2582" t="s">
        <v>5754</v>
      </c>
      <c r="K2582" t="str">
        <f>IF(I2582="Trung bình",'Huong dan giao do an'!$B$8,IF(I2582="Khá",'Huong dan giao do an'!$B$9,'Huong dan giao do an'!$B$10))</f>
        <v>Tối thiểu 4 actor; 10-14 use case; 8-12 bảng; 3 quy trình lõi; phân quyền chi tiết; 2 báo cáo; tích hợp 1 dịch vụ; &gt;=35 test case; CI/CD hoặc deploy cloud.</v>
      </c>
      <c r="L2582" t="str">
        <f>'Huong dan giao do an'!$B$31</f>
        <v>Bắt buộc: Charter/PMP; SRS + scope/WBS; Gantt/baseline; effort-cost budget; RACI/timesheet; quality-test-defect; communication/minutes; risk register; procurement; change log; closure/lessons learned.</v>
      </c>
      <c r="M2582" t="str">
        <f>'Huong dan giao do an'!$B$33</f>
        <v>Tuần 1: 07.09–13.09.2026; Tuần 2: 14.09–20.09.2026; Tuần 3: 21.09–27.09.2026; Tuần 4: 28.09–04.10.2026; Tuần 5: 05.10–11.10.2026; Tuần 6: 12.10–18.10.2026; Tuần 7: 19.10–25.10.2026; Tuần 8: 26.10–01.11.2026.</v>
      </c>
      <c r="N25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2" s="17" t="str">
        <f t="shared" si="40"/>
        <v>Còn trống</v>
      </c>
    </row>
    <row r="2583" spans="1:16" x14ac:dyDescent="0.3">
      <c r="A2583">
        <v>2582</v>
      </c>
      <c r="B2583" t="s">
        <v>5749</v>
      </c>
      <c r="C2583" t="s">
        <v>5940</v>
      </c>
      <c r="D2583" t="s">
        <v>5941</v>
      </c>
      <c r="E2583" t="s">
        <v>26</v>
      </c>
      <c r="F2583" t="s">
        <v>5757</v>
      </c>
      <c r="G2583" t="s">
        <v>5758</v>
      </c>
      <c r="H2583" t="str">
        <f>'Huong dan giao do an'!$B$14</f>
        <v>5 SV (vai trò chính): 1 PM/Scrum Master kiêm Integration; 2 BA/PO; 3 UI-UX + Frontend; 4 Backend/API + DevOps; 5 Database + QA/Tester. Mỗi SV có nhiệm vụ phụ và minh chứng cá nhân.</v>
      </c>
      <c r="I2583" t="s">
        <v>29</v>
      </c>
      <c r="J2583" t="s">
        <v>5759</v>
      </c>
      <c r="K2583" t="str">
        <f>IF(I2583="Trung bình",'Huong dan giao do an'!$B$8,IF(I2583="Khá",'Huong dan giao do an'!$B$9,'Huong dan giao do an'!$B$10))</f>
        <v>Tối thiểu 5 actor; 14-18 use case; 10-15 bảng; 4 quy trình; tích hợp ngoài/realtime hoặc xử lý nâng cao; 3 báo cáo; &gt;=45 test case; logging, backup và deploy.</v>
      </c>
      <c r="L2583" t="str">
        <f>'Huong dan giao do an'!$B$31</f>
        <v>Bắt buộc: Charter/PMP; SRS + scope/WBS; Gantt/baseline; effort-cost budget; RACI/timesheet; quality-test-defect; communication/minutes; risk register; procurement; change log; closure/lessons learned.</v>
      </c>
      <c r="M2583" t="str">
        <f>'Huong dan giao do an'!$B$33</f>
        <v>Tuần 1: 07.09–13.09.2026; Tuần 2: 14.09–20.09.2026; Tuần 3: 21.09–27.09.2026; Tuần 4: 28.09–04.10.2026; Tuần 5: 05.10–11.10.2026; Tuần 6: 12.10–18.10.2026; Tuần 7: 19.10–25.10.2026; Tuần 8: 26.10–01.11.2026.</v>
      </c>
      <c r="N25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3" s="17" t="str">
        <f t="shared" si="40"/>
        <v>Còn trống</v>
      </c>
    </row>
    <row r="2584" spans="1:16" x14ac:dyDescent="0.3">
      <c r="A2584">
        <v>2583</v>
      </c>
      <c r="B2584" t="s">
        <v>5749</v>
      </c>
      <c r="C2584" t="s">
        <v>5942</v>
      </c>
      <c r="D2584" t="s">
        <v>5943</v>
      </c>
      <c r="E2584" t="s">
        <v>33</v>
      </c>
      <c r="F2584" t="s">
        <v>5762</v>
      </c>
      <c r="G2584" t="s">
        <v>5763</v>
      </c>
      <c r="H2584" t="str">
        <f>'Huong dan giao do an'!$B$14</f>
        <v>5 SV (vai trò chính): 1 PM/Scrum Master kiêm Integration; 2 BA/PO; 3 UI-UX + Frontend; 4 Backend/API + DevOps; 5 Database + QA/Tester. Mỗi SV có nhiệm vụ phụ và minh chứng cá nhân.</v>
      </c>
      <c r="I2584" t="s">
        <v>36</v>
      </c>
      <c r="J2584" t="s">
        <v>5764</v>
      </c>
      <c r="K2584" t="str">
        <f>IF(I2584="Trung bình",'Huong dan giao do an'!$B$8,IF(I2584="Khá",'Huong dan giao do an'!$B$9,'Huong dan giao do an'!$B$10))</f>
        <v>Tối thiểu 3 actor; 8-10 use case; 6-8 bảng dữ liệu; 2 quy trình lõi; đăng nhập/RBAC; 1 dashboard; 1 báo cáo; &gt;=25 test case; triển khai bản demo.</v>
      </c>
      <c r="L2584" t="str">
        <f>'Huong dan giao do an'!$B$31</f>
        <v>Bắt buộc: Charter/PMP; SRS + scope/WBS; Gantt/baseline; effort-cost budget; RACI/timesheet; quality-test-defect; communication/minutes; risk register; procurement; change log; closure/lessons learned.</v>
      </c>
      <c r="M2584" t="str">
        <f>'Huong dan giao do an'!$B$33</f>
        <v>Tuần 1: 07.09–13.09.2026; Tuần 2: 14.09–20.09.2026; Tuần 3: 21.09–27.09.2026; Tuần 4: 28.09–04.10.2026; Tuần 5: 05.10–11.10.2026; Tuần 6: 12.10–18.10.2026; Tuần 7: 19.10–25.10.2026; Tuần 8: 26.10–01.11.2026.</v>
      </c>
      <c r="N25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4" s="17" t="str">
        <f t="shared" si="40"/>
        <v>Còn trống</v>
      </c>
    </row>
    <row r="2585" spans="1:16" x14ac:dyDescent="0.3">
      <c r="A2585">
        <v>2584</v>
      </c>
      <c r="B2585" t="s">
        <v>5749</v>
      </c>
      <c r="C2585" t="s">
        <v>5944</v>
      </c>
      <c r="D2585" t="s">
        <v>5945</v>
      </c>
      <c r="E2585" t="s">
        <v>40</v>
      </c>
      <c r="F2585" t="s">
        <v>5767</v>
      </c>
      <c r="G2585" t="s">
        <v>5768</v>
      </c>
      <c r="H2585" t="str">
        <f>'Huong dan giao do an'!$B$14</f>
        <v>5 SV (vai trò chính): 1 PM/Scrum Master kiêm Integration; 2 BA/PO; 3 UI-UX + Frontend; 4 Backend/API + DevOps; 5 Database + QA/Tester. Mỗi SV có nhiệm vụ phụ và minh chứng cá nhân.</v>
      </c>
      <c r="I2585" t="s">
        <v>22</v>
      </c>
      <c r="J2585" t="s">
        <v>5754</v>
      </c>
      <c r="K2585" t="str">
        <f>IF(I2585="Trung bình",'Huong dan giao do an'!$B$8,IF(I2585="Khá",'Huong dan giao do an'!$B$9,'Huong dan giao do an'!$B$10))</f>
        <v>Tối thiểu 4 actor; 10-14 use case; 8-12 bảng; 3 quy trình lõi; phân quyền chi tiết; 2 báo cáo; tích hợp 1 dịch vụ; &gt;=35 test case; CI/CD hoặc deploy cloud.</v>
      </c>
      <c r="L2585" t="str">
        <f>'Huong dan giao do an'!$B$31</f>
        <v>Bắt buộc: Charter/PMP; SRS + scope/WBS; Gantt/baseline; effort-cost budget; RACI/timesheet; quality-test-defect; communication/minutes; risk register; procurement; change log; closure/lessons learned.</v>
      </c>
      <c r="M2585" t="str">
        <f>'Huong dan giao do an'!$B$33</f>
        <v>Tuần 1: 07.09–13.09.2026; Tuần 2: 14.09–20.09.2026; Tuần 3: 21.09–27.09.2026; Tuần 4: 28.09–04.10.2026; Tuần 5: 05.10–11.10.2026; Tuần 6: 12.10–18.10.2026; Tuần 7: 19.10–25.10.2026; Tuần 8: 26.10–01.11.2026.</v>
      </c>
      <c r="N25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5" s="17" t="str">
        <f t="shared" si="40"/>
        <v>Còn trống</v>
      </c>
    </row>
    <row r="2586" spans="1:16" x14ac:dyDescent="0.3">
      <c r="A2586">
        <v>2585</v>
      </c>
      <c r="B2586" t="s">
        <v>5749</v>
      </c>
      <c r="C2586" t="s">
        <v>5946</v>
      </c>
      <c r="D2586" t="s">
        <v>5947</v>
      </c>
      <c r="E2586" t="s">
        <v>45</v>
      </c>
      <c r="F2586" t="s">
        <v>5771</v>
      </c>
      <c r="G2586" t="s">
        <v>5772</v>
      </c>
      <c r="H2586" t="str">
        <f>'Huong dan giao do an'!$B$14</f>
        <v>5 SV (vai trò chính): 1 PM/Scrum Master kiêm Integration; 2 BA/PO; 3 UI-UX + Frontend; 4 Backend/API + DevOps; 5 Database + QA/Tester. Mỗi SV có nhiệm vụ phụ và minh chứng cá nhân.</v>
      </c>
      <c r="I2586" t="s">
        <v>29</v>
      </c>
      <c r="J2586" t="s">
        <v>5759</v>
      </c>
      <c r="K2586" t="str">
        <f>IF(I2586="Trung bình",'Huong dan giao do an'!$B$8,IF(I2586="Khá",'Huong dan giao do an'!$B$9,'Huong dan giao do an'!$B$10))</f>
        <v>Tối thiểu 5 actor; 14-18 use case; 10-15 bảng; 4 quy trình; tích hợp ngoài/realtime hoặc xử lý nâng cao; 3 báo cáo; &gt;=45 test case; logging, backup và deploy.</v>
      </c>
      <c r="L2586" t="str">
        <f>'Huong dan giao do an'!$B$31</f>
        <v>Bắt buộc: Charter/PMP; SRS + scope/WBS; Gantt/baseline; effort-cost budget; RACI/timesheet; quality-test-defect; communication/minutes; risk register; procurement; change log; closure/lessons learned.</v>
      </c>
      <c r="M2586" t="str">
        <f>'Huong dan giao do an'!$B$33</f>
        <v>Tuần 1: 07.09–13.09.2026; Tuần 2: 14.09–20.09.2026; Tuần 3: 21.09–27.09.2026; Tuần 4: 28.09–04.10.2026; Tuần 5: 05.10–11.10.2026; Tuần 6: 12.10–18.10.2026; Tuần 7: 19.10–25.10.2026; Tuần 8: 26.10–01.11.2026.</v>
      </c>
      <c r="N25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6" s="17" t="str">
        <f t="shared" si="40"/>
        <v>Còn trống</v>
      </c>
    </row>
    <row r="2587" spans="1:16" x14ac:dyDescent="0.3">
      <c r="A2587">
        <v>2586</v>
      </c>
      <c r="B2587" t="s">
        <v>5749</v>
      </c>
      <c r="C2587" t="s">
        <v>5948</v>
      </c>
      <c r="D2587" t="s">
        <v>5949</v>
      </c>
      <c r="E2587" t="s">
        <v>19</v>
      </c>
      <c r="F2587" t="s">
        <v>5752</v>
      </c>
      <c r="G2587" t="s">
        <v>5775</v>
      </c>
      <c r="H2587" t="str">
        <f>'Huong dan giao do an'!$B$14</f>
        <v>5 SV (vai trò chính): 1 PM/Scrum Master kiêm Integration; 2 BA/PO; 3 UI-UX + Frontend; 4 Backend/API + DevOps; 5 Database + QA/Tester. Mỗi SV có nhiệm vụ phụ và minh chứng cá nhân.</v>
      </c>
      <c r="I2587" t="s">
        <v>36</v>
      </c>
      <c r="J2587" t="s">
        <v>5764</v>
      </c>
      <c r="K2587" t="str">
        <f>IF(I2587="Trung bình",'Huong dan giao do an'!$B$8,IF(I2587="Khá",'Huong dan giao do an'!$B$9,'Huong dan giao do an'!$B$10))</f>
        <v>Tối thiểu 3 actor; 8-10 use case; 6-8 bảng dữ liệu; 2 quy trình lõi; đăng nhập/RBAC; 1 dashboard; 1 báo cáo; &gt;=25 test case; triển khai bản demo.</v>
      </c>
      <c r="L2587" t="str">
        <f>'Huong dan giao do an'!$B$31</f>
        <v>Bắt buộc: Charter/PMP; SRS + scope/WBS; Gantt/baseline; effort-cost budget; RACI/timesheet; quality-test-defect; communication/minutes; risk register; procurement; change log; closure/lessons learned.</v>
      </c>
      <c r="M2587" t="str">
        <f>'Huong dan giao do an'!$B$33</f>
        <v>Tuần 1: 07.09–13.09.2026; Tuần 2: 14.09–20.09.2026; Tuần 3: 21.09–27.09.2026; Tuần 4: 28.09–04.10.2026; Tuần 5: 05.10–11.10.2026; Tuần 6: 12.10–18.10.2026; Tuần 7: 19.10–25.10.2026; Tuần 8: 26.10–01.11.2026.</v>
      </c>
      <c r="N25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7" s="17" t="str">
        <f t="shared" si="40"/>
        <v>Còn trống</v>
      </c>
    </row>
    <row r="2588" spans="1:16" x14ac:dyDescent="0.3">
      <c r="A2588">
        <v>2587</v>
      </c>
      <c r="B2588" t="s">
        <v>5749</v>
      </c>
      <c r="C2588" t="s">
        <v>5950</v>
      </c>
      <c r="D2588" t="s">
        <v>5951</v>
      </c>
      <c r="E2588" t="s">
        <v>26</v>
      </c>
      <c r="F2588" t="s">
        <v>5757</v>
      </c>
      <c r="G2588" t="s">
        <v>5778</v>
      </c>
      <c r="H2588" t="str">
        <f>'Huong dan giao do an'!$B$14</f>
        <v>5 SV (vai trò chính): 1 PM/Scrum Master kiêm Integration; 2 BA/PO; 3 UI-UX + Frontend; 4 Backend/API + DevOps; 5 Database + QA/Tester. Mỗi SV có nhiệm vụ phụ và minh chứng cá nhân.</v>
      </c>
      <c r="I2588" t="s">
        <v>22</v>
      </c>
      <c r="J2588" t="s">
        <v>5754</v>
      </c>
      <c r="K2588" t="str">
        <f>IF(I2588="Trung bình",'Huong dan giao do an'!$B$8,IF(I2588="Khá",'Huong dan giao do an'!$B$9,'Huong dan giao do an'!$B$10))</f>
        <v>Tối thiểu 4 actor; 10-14 use case; 8-12 bảng; 3 quy trình lõi; phân quyền chi tiết; 2 báo cáo; tích hợp 1 dịch vụ; &gt;=35 test case; CI/CD hoặc deploy cloud.</v>
      </c>
      <c r="L2588" t="str">
        <f>'Huong dan giao do an'!$B$31</f>
        <v>Bắt buộc: Charter/PMP; SRS + scope/WBS; Gantt/baseline; effort-cost budget; RACI/timesheet; quality-test-defect; communication/minutes; risk register; procurement; change log; closure/lessons learned.</v>
      </c>
      <c r="M2588" t="str">
        <f>'Huong dan giao do an'!$B$33</f>
        <v>Tuần 1: 07.09–13.09.2026; Tuần 2: 14.09–20.09.2026; Tuần 3: 21.09–27.09.2026; Tuần 4: 28.09–04.10.2026; Tuần 5: 05.10–11.10.2026; Tuần 6: 12.10–18.10.2026; Tuần 7: 19.10–25.10.2026; Tuần 8: 26.10–01.11.2026.</v>
      </c>
      <c r="N25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8" s="17" t="str">
        <f t="shared" si="40"/>
        <v>Còn trống</v>
      </c>
    </row>
    <row r="2589" spans="1:16" x14ac:dyDescent="0.3">
      <c r="A2589">
        <v>2588</v>
      </c>
      <c r="B2589" t="s">
        <v>5749</v>
      </c>
      <c r="C2589" t="s">
        <v>5952</v>
      </c>
      <c r="D2589" t="s">
        <v>5953</v>
      </c>
      <c r="E2589" t="s">
        <v>33</v>
      </c>
      <c r="F2589" t="s">
        <v>5762</v>
      </c>
      <c r="G2589" t="s">
        <v>5781</v>
      </c>
      <c r="H2589" t="str">
        <f>'Huong dan giao do an'!$B$14</f>
        <v>5 SV (vai trò chính): 1 PM/Scrum Master kiêm Integration; 2 BA/PO; 3 UI-UX + Frontend; 4 Backend/API + DevOps; 5 Database + QA/Tester. Mỗi SV có nhiệm vụ phụ và minh chứng cá nhân.</v>
      </c>
      <c r="I2589" t="s">
        <v>29</v>
      </c>
      <c r="J2589" t="s">
        <v>5759</v>
      </c>
      <c r="K2589" t="str">
        <f>IF(I2589="Trung bình",'Huong dan giao do an'!$B$8,IF(I2589="Khá",'Huong dan giao do an'!$B$9,'Huong dan giao do an'!$B$10))</f>
        <v>Tối thiểu 5 actor; 14-18 use case; 10-15 bảng; 4 quy trình; tích hợp ngoài/realtime hoặc xử lý nâng cao; 3 báo cáo; &gt;=45 test case; logging, backup và deploy.</v>
      </c>
      <c r="L2589" t="str">
        <f>'Huong dan giao do an'!$B$31</f>
        <v>Bắt buộc: Charter/PMP; SRS + scope/WBS; Gantt/baseline; effort-cost budget; RACI/timesheet; quality-test-defect; communication/minutes; risk register; procurement; change log; closure/lessons learned.</v>
      </c>
      <c r="M2589" t="str">
        <f>'Huong dan giao do an'!$B$33</f>
        <v>Tuần 1: 07.09–13.09.2026; Tuần 2: 14.09–20.09.2026; Tuần 3: 21.09–27.09.2026; Tuần 4: 28.09–04.10.2026; Tuần 5: 05.10–11.10.2026; Tuần 6: 12.10–18.10.2026; Tuần 7: 19.10–25.10.2026; Tuần 8: 26.10–01.11.2026.</v>
      </c>
      <c r="N25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89" s="17" t="str">
        <f t="shared" si="40"/>
        <v>Còn trống</v>
      </c>
    </row>
    <row r="2590" spans="1:16" x14ac:dyDescent="0.3">
      <c r="A2590">
        <v>2589</v>
      </c>
      <c r="B2590" t="s">
        <v>5749</v>
      </c>
      <c r="C2590" t="s">
        <v>5954</v>
      </c>
      <c r="D2590" t="s">
        <v>5955</v>
      </c>
      <c r="E2590" t="s">
        <v>40</v>
      </c>
      <c r="F2590" t="s">
        <v>5767</v>
      </c>
      <c r="G2590" t="s">
        <v>5784</v>
      </c>
      <c r="H2590" t="str">
        <f>'Huong dan giao do an'!$B$14</f>
        <v>5 SV (vai trò chính): 1 PM/Scrum Master kiêm Integration; 2 BA/PO; 3 UI-UX + Frontend; 4 Backend/API + DevOps; 5 Database + QA/Tester. Mỗi SV có nhiệm vụ phụ và minh chứng cá nhân.</v>
      </c>
      <c r="I2590" t="s">
        <v>36</v>
      </c>
      <c r="J2590" t="s">
        <v>5764</v>
      </c>
      <c r="K2590" t="str">
        <f>IF(I2590="Trung bình",'Huong dan giao do an'!$B$8,IF(I2590="Khá",'Huong dan giao do an'!$B$9,'Huong dan giao do an'!$B$10))</f>
        <v>Tối thiểu 3 actor; 8-10 use case; 6-8 bảng dữ liệu; 2 quy trình lõi; đăng nhập/RBAC; 1 dashboard; 1 báo cáo; &gt;=25 test case; triển khai bản demo.</v>
      </c>
      <c r="L2590" t="str">
        <f>'Huong dan giao do an'!$B$31</f>
        <v>Bắt buộc: Charter/PMP; SRS + scope/WBS; Gantt/baseline; effort-cost budget; RACI/timesheet; quality-test-defect; communication/minutes; risk register; procurement; change log; closure/lessons learned.</v>
      </c>
      <c r="M2590" t="str">
        <f>'Huong dan giao do an'!$B$33</f>
        <v>Tuần 1: 07.09–13.09.2026; Tuần 2: 14.09–20.09.2026; Tuần 3: 21.09–27.09.2026; Tuần 4: 28.09–04.10.2026; Tuần 5: 05.10–11.10.2026; Tuần 6: 12.10–18.10.2026; Tuần 7: 19.10–25.10.2026; Tuần 8: 26.10–01.11.2026.</v>
      </c>
      <c r="N25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0" s="17" t="str">
        <f t="shared" si="40"/>
        <v>Còn trống</v>
      </c>
    </row>
    <row r="2591" spans="1:16" x14ac:dyDescent="0.3">
      <c r="A2591">
        <v>2590</v>
      </c>
      <c r="B2591" t="s">
        <v>5749</v>
      </c>
      <c r="C2591" t="s">
        <v>5956</v>
      </c>
      <c r="D2591" t="s">
        <v>5957</v>
      </c>
      <c r="E2591" t="s">
        <v>45</v>
      </c>
      <c r="F2591" t="s">
        <v>5771</v>
      </c>
      <c r="G2591" t="s">
        <v>5787</v>
      </c>
      <c r="H2591" t="str">
        <f>'Huong dan giao do an'!$B$14</f>
        <v>5 SV (vai trò chính): 1 PM/Scrum Master kiêm Integration; 2 BA/PO; 3 UI-UX + Frontend; 4 Backend/API + DevOps; 5 Database + QA/Tester. Mỗi SV có nhiệm vụ phụ và minh chứng cá nhân.</v>
      </c>
      <c r="I2591" t="s">
        <v>22</v>
      </c>
      <c r="J2591" t="s">
        <v>5754</v>
      </c>
      <c r="K2591" t="str">
        <f>IF(I2591="Trung bình",'Huong dan giao do an'!$B$8,IF(I2591="Khá",'Huong dan giao do an'!$B$9,'Huong dan giao do an'!$B$10))</f>
        <v>Tối thiểu 4 actor; 10-14 use case; 8-12 bảng; 3 quy trình lõi; phân quyền chi tiết; 2 báo cáo; tích hợp 1 dịch vụ; &gt;=35 test case; CI/CD hoặc deploy cloud.</v>
      </c>
      <c r="L2591" t="str">
        <f>'Huong dan giao do an'!$B$31</f>
        <v>Bắt buộc: Charter/PMP; SRS + scope/WBS; Gantt/baseline; effort-cost budget; RACI/timesheet; quality-test-defect; communication/minutes; risk register; procurement; change log; closure/lessons learned.</v>
      </c>
      <c r="M2591" t="str">
        <f>'Huong dan giao do an'!$B$33</f>
        <v>Tuần 1: 07.09–13.09.2026; Tuần 2: 14.09–20.09.2026; Tuần 3: 21.09–27.09.2026; Tuần 4: 28.09–04.10.2026; Tuần 5: 05.10–11.10.2026; Tuần 6: 12.10–18.10.2026; Tuần 7: 19.10–25.10.2026; Tuần 8: 26.10–01.11.2026.</v>
      </c>
      <c r="N25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1" s="17" t="str">
        <f t="shared" si="40"/>
        <v>Còn trống</v>
      </c>
    </row>
    <row r="2592" spans="1:16" x14ac:dyDescent="0.3">
      <c r="A2592">
        <v>2591</v>
      </c>
      <c r="B2592" t="s">
        <v>5749</v>
      </c>
      <c r="C2592" t="s">
        <v>5958</v>
      </c>
      <c r="D2592" t="s">
        <v>5959</v>
      </c>
      <c r="E2592" t="s">
        <v>19</v>
      </c>
      <c r="F2592" t="s">
        <v>5752</v>
      </c>
      <c r="G2592" t="s">
        <v>5790</v>
      </c>
      <c r="H2592" t="str">
        <f>'Huong dan giao do an'!$B$14</f>
        <v>5 SV (vai trò chính): 1 PM/Scrum Master kiêm Integration; 2 BA/PO; 3 UI-UX + Frontend; 4 Backend/API + DevOps; 5 Database + QA/Tester. Mỗi SV có nhiệm vụ phụ và minh chứng cá nhân.</v>
      </c>
      <c r="I2592" t="s">
        <v>29</v>
      </c>
      <c r="J2592" t="s">
        <v>5759</v>
      </c>
      <c r="K2592" t="str">
        <f>IF(I2592="Trung bình",'Huong dan giao do an'!$B$8,IF(I2592="Khá",'Huong dan giao do an'!$B$9,'Huong dan giao do an'!$B$10))</f>
        <v>Tối thiểu 5 actor; 14-18 use case; 10-15 bảng; 4 quy trình; tích hợp ngoài/realtime hoặc xử lý nâng cao; 3 báo cáo; &gt;=45 test case; logging, backup và deploy.</v>
      </c>
      <c r="L2592" t="str">
        <f>'Huong dan giao do an'!$B$31</f>
        <v>Bắt buộc: Charter/PMP; SRS + scope/WBS; Gantt/baseline; effort-cost budget; RACI/timesheet; quality-test-defect; communication/minutes; risk register; procurement; change log; closure/lessons learned.</v>
      </c>
      <c r="M2592" t="str">
        <f>'Huong dan giao do an'!$B$33</f>
        <v>Tuần 1: 07.09–13.09.2026; Tuần 2: 14.09–20.09.2026; Tuần 3: 21.09–27.09.2026; Tuần 4: 28.09–04.10.2026; Tuần 5: 05.10–11.10.2026; Tuần 6: 12.10–18.10.2026; Tuần 7: 19.10–25.10.2026; Tuần 8: 26.10–01.11.2026.</v>
      </c>
      <c r="N25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2" s="17" t="str">
        <f t="shared" si="40"/>
        <v>Còn trống</v>
      </c>
    </row>
    <row r="2593" spans="1:16" x14ac:dyDescent="0.3">
      <c r="A2593">
        <v>2592</v>
      </c>
      <c r="B2593" t="s">
        <v>5749</v>
      </c>
      <c r="C2593" t="s">
        <v>5960</v>
      </c>
      <c r="D2593" t="s">
        <v>5961</v>
      </c>
      <c r="E2593" t="s">
        <v>26</v>
      </c>
      <c r="F2593" t="s">
        <v>5757</v>
      </c>
      <c r="G2593" t="s">
        <v>5793</v>
      </c>
      <c r="H2593" t="str">
        <f>'Huong dan giao do an'!$B$14</f>
        <v>5 SV (vai trò chính): 1 PM/Scrum Master kiêm Integration; 2 BA/PO; 3 UI-UX + Frontend; 4 Backend/API + DevOps; 5 Database + QA/Tester. Mỗi SV có nhiệm vụ phụ và minh chứng cá nhân.</v>
      </c>
      <c r="I2593" t="s">
        <v>36</v>
      </c>
      <c r="J2593" t="s">
        <v>5764</v>
      </c>
      <c r="K2593" t="str">
        <f>IF(I2593="Trung bình",'Huong dan giao do an'!$B$8,IF(I2593="Khá",'Huong dan giao do an'!$B$9,'Huong dan giao do an'!$B$10))</f>
        <v>Tối thiểu 3 actor; 8-10 use case; 6-8 bảng dữ liệu; 2 quy trình lõi; đăng nhập/RBAC; 1 dashboard; 1 báo cáo; &gt;=25 test case; triển khai bản demo.</v>
      </c>
      <c r="L2593" t="str">
        <f>'Huong dan giao do an'!$B$31</f>
        <v>Bắt buộc: Charter/PMP; SRS + scope/WBS; Gantt/baseline; effort-cost budget; RACI/timesheet; quality-test-defect; communication/minutes; risk register; procurement; change log; closure/lessons learned.</v>
      </c>
      <c r="M2593" t="str">
        <f>'Huong dan giao do an'!$B$33</f>
        <v>Tuần 1: 07.09–13.09.2026; Tuần 2: 14.09–20.09.2026; Tuần 3: 21.09–27.09.2026; Tuần 4: 28.09–04.10.2026; Tuần 5: 05.10–11.10.2026; Tuần 6: 12.10–18.10.2026; Tuần 7: 19.10–25.10.2026; Tuần 8: 26.10–01.11.2026.</v>
      </c>
      <c r="N25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3" s="17" t="str">
        <f t="shared" si="40"/>
        <v>Còn trống</v>
      </c>
    </row>
    <row r="2594" spans="1:16" x14ac:dyDescent="0.3">
      <c r="A2594">
        <v>2593</v>
      </c>
      <c r="B2594" t="s">
        <v>5749</v>
      </c>
      <c r="C2594" t="s">
        <v>5962</v>
      </c>
      <c r="D2594" t="s">
        <v>5963</v>
      </c>
      <c r="E2594" t="s">
        <v>33</v>
      </c>
      <c r="F2594" t="s">
        <v>5762</v>
      </c>
      <c r="G2594" t="s">
        <v>5796</v>
      </c>
      <c r="H2594" t="str">
        <f>'Huong dan giao do an'!$B$14</f>
        <v>5 SV (vai trò chính): 1 PM/Scrum Master kiêm Integration; 2 BA/PO; 3 UI-UX + Frontend; 4 Backend/API + DevOps; 5 Database + QA/Tester. Mỗi SV có nhiệm vụ phụ và minh chứng cá nhân.</v>
      </c>
      <c r="I2594" t="s">
        <v>22</v>
      </c>
      <c r="J2594" t="s">
        <v>5754</v>
      </c>
      <c r="K2594" t="str">
        <f>IF(I2594="Trung bình",'Huong dan giao do an'!$B$8,IF(I2594="Khá",'Huong dan giao do an'!$B$9,'Huong dan giao do an'!$B$10))</f>
        <v>Tối thiểu 4 actor; 10-14 use case; 8-12 bảng; 3 quy trình lõi; phân quyền chi tiết; 2 báo cáo; tích hợp 1 dịch vụ; &gt;=35 test case; CI/CD hoặc deploy cloud.</v>
      </c>
      <c r="L2594" t="str">
        <f>'Huong dan giao do an'!$B$31</f>
        <v>Bắt buộc: Charter/PMP; SRS + scope/WBS; Gantt/baseline; effort-cost budget; RACI/timesheet; quality-test-defect; communication/minutes; risk register; procurement; change log; closure/lessons learned.</v>
      </c>
      <c r="M2594" t="str">
        <f>'Huong dan giao do an'!$B$33</f>
        <v>Tuần 1: 07.09–13.09.2026; Tuần 2: 14.09–20.09.2026; Tuần 3: 21.09–27.09.2026; Tuần 4: 28.09–04.10.2026; Tuần 5: 05.10–11.10.2026; Tuần 6: 12.10–18.10.2026; Tuần 7: 19.10–25.10.2026; Tuần 8: 26.10–01.11.2026.</v>
      </c>
      <c r="N25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4" s="17" t="str">
        <f t="shared" si="40"/>
        <v>Còn trống</v>
      </c>
    </row>
    <row r="2595" spans="1:16" x14ac:dyDescent="0.3">
      <c r="A2595">
        <v>2594</v>
      </c>
      <c r="B2595" t="s">
        <v>5749</v>
      </c>
      <c r="C2595" t="s">
        <v>5964</v>
      </c>
      <c r="D2595" t="s">
        <v>5965</v>
      </c>
      <c r="E2595" t="s">
        <v>40</v>
      </c>
      <c r="F2595" t="s">
        <v>5767</v>
      </c>
      <c r="G2595" t="s">
        <v>5799</v>
      </c>
      <c r="H2595" t="str">
        <f>'Huong dan giao do an'!$B$14</f>
        <v>5 SV (vai trò chính): 1 PM/Scrum Master kiêm Integration; 2 BA/PO; 3 UI-UX + Frontend; 4 Backend/API + DevOps; 5 Database + QA/Tester. Mỗi SV có nhiệm vụ phụ và minh chứng cá nhân.</v>
      </c>
      <c r="I2595" t="s">
        <v>29</v>
      </c>
      <c r="J2595" t="s">
        <v>5759</v>
      </c>
      <c r="K2595" t="str">
        <f>IF(I2595="Trung bình",'Huong dan giao do an'!$B$8,IF(I2595="Khá",'Huong dan giao do an'!$B$9,'Huong dan giao do an'!$B$10))</f>
        <v>Tối thiểu 5 actor; 14-18 use case; 10-15 bảng; 4 quy trình; tích hợp ngoài/realtime hoặc xử lý nâng cao; 3 báo cáo; &gt;=45 test case; logging, backup và deploy.</v>
      </c>
      <c r="L2595" t="str">
        <f>'Huong dan giao do an'!$B$31</f>
        <v>Bắt buộc: Charter/PMP; SRS + scope/WBS; Gantt/baseline; effort-cost budget; RACI/timesheet; quality-test-defect; communication/minutes; risk register; procurement; change log; closure/lessons learned.</v>
      </c>
      <c r="M2595" t="str">
        <f>'Huong dan giao do an'!$B$33</f>
        <v>Tuần 1: 07.09–13.09.2026; Tuần 2: 14.09–20.09.2026; Tuần 3: 21.09–27.09.2026; Tuần 4: 28.09–04.10.2026; Tuần 5: 05.10–11.10.2026; Tuần 6: 12.10–18.10.2026; Tuần 7: 19.10–25.10.2026; Tuần 8: 26.10–01.11.2026.</v>
      </c>
      <c r="N25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5" s="17" t="str">
        <f t="shared" si="40"/>
        <v>Còn trống</v>
      </c>
    </row>
    <row r="2596" spans="1:16" x14ac:dyDescent="0.3">
      <c r="A2596">
        <v>2595</v>
      </c>
      <c r="B2596" t="s">
        <v>5749</v>
      </c>
      <c r="C2596" t="s">
        <v>5966</v>
      </c>
      <c r="D2596" t="s">
        <v>5967</v>
      </c>
      <c r="E2596" t="s">
        <v>45</v>
      </c>
      <c r="F2596" t="s">
        <v>5771</v>
      </c>
      <c r="G2596" t="s">
        <v>5802</v>
      </c>
      <c r="H2596" t="str">
        <f>'Huong dan giao do an'!$B$14</f>
        <v>5 SV (vai trò chính): 1 PM/Scrum Master kiêm Integration; 2 BA/PO; 3 UI-UX + Frontend; 4 Backend/API + DevOps; 5 Database + QA/Tester. Mỗi SV có nhiệm vụ phụ và minh chứng cá nhân.</v>
      </c>
      <c r="I2596" t="s">
        <v>36</v>
      </c>
      <c r="J2596" t="s">
        <v>5764</v>
      </c>
      <c r="K2596" t="str">
        <f>IF(I2596="Trung bình",'Huong dan giao do an'!$B$8,IF(I2596="Khá",'Huong dan giao do an'!$B$9,'Huong dan giao do an'!$B$10))</f>
        <v>Tối thiểu 3 actor; 8-10 use case; 6-8 bảng dữ liệu; 2 quy trình lõi; đăng nhập/RBAC; 1 dashboard; 1 báo cáo; &gt;=25 test case; triển khai bản demo.</v>
      </c>
      <c r="L2596" t="str">
        <f>'Huong dan giao do an'!$B$31</f>
        <v>Bắt buộc: Charter/PMP; SRS + scope/WBS; Gantt/baseline; effort-cost budget; RACI/timesheet; quality-test-defect; communication/minutes; risk register; procurement; change log; closure/lessons learned.</v>
      </c>
      <c r="M2596" t="str">
        <f>'Huong dan giao do an'!$B$33</f>
        <v>Tuần 1: 07.09–13.09.2026; Tuần 2: 14.09–20.09.2026; Tuần 3: 21.09–27.09.2026; Tuần 4: 28.09–04.10.2026; Tuần 5: 05.10–11.10.2026; Tuần 6: 12.10–18.10.2026; Tuần 7: 19.10–25.10.2026; Tuần 8: 26.10–01.11.2026.</v>
      </c>
      <c r="N25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6" s="17" t="str">
        <f t="shared" si="40"/>
        <v>Còn trống</v>
      </c>
    </row>
    <row r="2597" spans="1:16" x14ac:dyDescent="0.3">
      <c r="A2597">
        <v>2596</v>
      </c>
      <c r="B2597" t="s">
        <v>5749</v>
      </c>
      <c r="C2597" t="s">
        <v>5968</v>
      </c>
      <c r="D2597" t="s">
        <v>5969</v>
      </c>
      <c r="E2597" t="s">
        <v>19</v>
      </c>
      <c r="F2597" t="s">
        <v>5752</v>
      </c>
      <c r="G2597" t="s">
        <v>5805</v>
      </c>
      <c r="H2597" t="str">
        <f>'Huong dan giao do an'!$B$14</f>
        <v>5 SV (vai trò chính): 1 PM/Scrum Master kiêm Integration; 2 BA/PO; 3 UI-UX + Frontend; 4 Backend/API + DevOps; 5 Database + QA/Tester. Mỗi SV có nhiệm vụ phụ và minh chứng cá nhân.</v>
      </c>
      <c r="I2597" t="s">
        <v>22</v>
      </c>
      <c r="J2597" t="s">
        <v>5754</v>
      </c>
      <c r="K2597" t="str">
        <f>IF(I2597="Trung bình",'Huong dan giao do an'!$B$8,IF(I2597="Khá",'Huong dan giao do an'!$B$9,'Huong dan giao do an'!$B$10))</f>
        <v>Tối thiểu 4 actor; 10-14 use case; 8-12 bảng; 3 quy trình lõi; phân quyền chi tiết; 2 báo cáo; tích hợp 1 dịch vụ; &gt;=35 test case; CI/CD hoặc deploy cloud.</v>
      </c>
      <c r="L2597" t="str">
        <f>'Huong dan giao do an'!$B$31</f>
        <v>Bắt buộc: Charter/PMP; SRS + scope/WBS; Gantt/baseline; effort-cost budget; RACI/timesheet; quality-test-defect; communication/minutes; risk register; procurement; change log; closure/lessons learned.</v>
      </c>
      <c r="M2597" t="str">
        <f>'Huong dan giao do an'!$B$33</f>
        <v>Tuần 1: 07.09–13.09.2026; Tuần 2: 14.09–20.09.2026; Tuần 3: 21.09–27.09.2026; Tuần 4: 28.09–04.10.2026; Tuần 5: 05.10–11.10.2026; Tuần 6: 12.10–18.10.2026; Tuần 7: 19.10–25.10.2026; Tuần 8: 26.10–01.11.2026.</v>
      </c>
      <c r="N25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7" s="17" t="str">
        <f t="shared" si="40"/>
        <v>Còn trống</v>
      </c>
    </row>
    <row r="2598" spans="1:16" x14ac:dyDescent="0.3">
      <c r="A2598">
        <v>2597</v>
      </c>
      <c r="B2598" t="s">
        <v>5749</v>
      </c>
      <c r="C2598" t="s">
        <v>5970</v>
      </c>
      <c r="D2598" t="s">
        <v>5971</v>
      </c>
      <c r="E2598" t="s">
        <v>26</v>
      </c>
      <c r="F2598" t="s">
        <v>5757</v>
      </c>
      <c r="G2598" t="s">
        <v>5808</v>
      </c>
      <c r="H2598" t="str">
        <f>'Huong dan giao do an'!$B$14</f>
        <v>5 SV (vai trò chính): 1 PM/Scrum Master kiêm Integration; 2 BA/PO; 3 UI-UX + Frontend; 4 Backend/API + DevOps; 5 Database + QA/Tester. Mỗi SV có nhiệm vụ phụ và minh chứng cá nhân.</v>
      </c>
      <c r="I2598" t="s">
        <v>29</v>
      </c>
      <c r="J2598" t="s">
        <v>5759</v>
      </c>
      <c r="K2598" t="str">
        <f>IF(I2598="Trung bình",'Huong dan giao do an'!$B$8,IF(I2598="Khá",'Huong dan giao do an'!$B$9,'Huong dan giao do an'!$B$10))</f>
        <v>Tối thiểu 5 actor; 14-18 use case; 10-15 bảng; 4 quy trình; tích hợp ngoài/realtime hoặc xử lý nâng cao; 3 báo cáo; &gt;=45 test case; logging, backup và deploy.</v>
      </c>
      <c r="L2598" t="str">
        <f>'Huong dan giao do an'!$B$31</f>
        <v>Bắt buộc: Charter/PMP; SRS + scope/WBS; Gantt/baseline; effort-cost budget; RACI/timesheet; quality-test-defect; communication/minutes; risk register; procurement; change log; closure/lessons learned.</v>
      </c>
      <c r="M2598" t="str">
        <f>'Huong dan giao do an'!$B$33</f>
        <v>Tuần 1: 07.09–13.09.2026; Tuần 2: 14.09–20.09.2026; Tuần 3: 21.09–27.09.2026; Tuần 4: 28.09–04.10.2026; Tuần 5: 05.10–11.10.2026; Tuần 6: 12.10–18.10.2026; Tuần 7: 19.10–25.10.2026; Tuần 8: 26.10–01.11.2026.</v>
      </c>
      <c r="N25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8" s="17" t="str">
        <f t="shared" si="40"/>
        <v>Còn trống</v>
      </c>
    </row>
    <row r="2599" spans="1:16" x14ac:dyDescent="0.3">
      <c r="A2599">
        <v>2598</v>
      </c>
      <c r="B2599" t="s">
        <v>5749</v>
      </c>
      <c r="C2599" t="s">
        <v>5972</v>
      </c>
      <c r="D2599" t="s">
        <v>5973</v>
      </c>
      <c r="E2599" t="s">
        <v>33</v>
      </c>
      <c r="F2599" t="s">
        <v>5762</v>
      </c>
      <c r="G2599" t="s">
        <v>5811</v>
      </c>
      <c r="H2599" t="str">
        <f>'Huong dan giao do an'!$B$14</f>
        <v>5 SV (vai trò chính): 1 PM/Scrum Master kiêm Integration; 2 BA/PO; 3 UI-UX + Frontend; 4 Backend/API + DevOps; 5 Database + QA/Tester. Mỗi SV có nhiệm vụ phụ và minh chứng cá nhân.</v>
      </c>
      <c r="I2599" t="s">
        <v>36</v>
      </c>
      <c r="J2599" t="s">
        <v>5764</v>
      </c>
      <c r="K2599" t="str">
        <f>IF(I2599="Trung bình",'Huong dan giao do an'!$B$8,IF(I2599="Khá",'Huong dan giao do an'!$B$9,'Huong dan giao do an'!$B$10))</f>
        <v>Tối thiểu 3 actor; 8-10 use case; 6-8 bảng dữ liệu; 2 quy trình lõi; đăng nhập/RBAC; 1 dashboard; 1 báo cáo; &gt;=25 test case; triển khai bản demo.</v>
      </c>
      <c r="L2599" t="str">
        <f>'Huong dan giao do an'!$B$31</f>
        <v>Bắt buộc: Charter/PMP; SRS + scope/WBS; Gantt/baseline; effort-cost budget; RACI/timesheet; quality-test-defect; communication/minutes; risk register; procurement; change log; closure/lessons learned.</v>
      </c>
      <c r="M2599" t="str">
        <f>'Huong dan giao do an'!$B$33</f>
        <v>Tuần 1: 07.09–13.09.2026; Tuần 2: 14.09–20.09.2026; Tuần 3: 21.09–27.09.2026; Tuần 4: 28.09–04.10.2026; Tuần 5: 05.10–11.10.2026; Tuần 6: 12.10–18.10.2026; Tuần 7: 19.10–25.10.2026; Tuần 8: 26.10–01.11.2026.</v>
      </c>
      <c r="N25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599" s="17" t="str">
        <f t="shared" si="40"/>
        <v>Còn trống</v>
      </c>
    </row>
    <row r="2600" spans="1:16" x14ac:dyDescent="0.3">
      <c r="A2600">
        <v>2599</v>
      </c>
      <c r="B2600" t="s">
        <v>5749</v>
      </c>
      <c r="C2600" t="s">
        <v>5974</v>
      </c>
      <c r="D2600" t="s">
        <v>5975</v>
      </c>
      <c r="E2600" t="s">
        <v>40</v>
      </c>
      <c r="F2600" t="s">
        <v>5767</v>
      </c>
      <c r="G2600" t="s">
        <v>5814</v>
      </c>
      <c r="H2600" t="str">
        <f>'Huong dan giao do an'!$B$14</f>
        <v>5 SV (vai trò chính): 1 PM/Scrum Master kiêm Integration; 2 BA/PO; 3 UI-UX + Frontend; 4 Backend/API + DevOps; 5 Database + QA/Tester. Mỗi SV có nhiệm vụ phụ và minh chứng cá nhân.</v>
      </c>
      <c r="I2600" t="s">
        <v>22</v>
      </c>
      <c r="J2600" t="s">
        <v>5754</v>
      </c>
      <c r="K2600" t="str">
        <f>IF(I2600="Trung bình",'Huong dan giao do an'!$B$8,IF(I2600="Khá",'Huong dan giao do an'!$B$9,'Huong dan giao do an'!$B$10))</f>
        <v>Tối thiểu 4 actor; 10-14 use case; 8-12 bảng; 3 quy trình lõi; phân quyền chi tiết; 2 báo cáo; tích hợp 1 dịch vụ; &gt;=35 test case; CI/CD hoặc deploy cloud.</v>
      </c>
      <c r="L2600" t="str">
        <f>'Huong dan giao do an'!$B$31</f>
        <v>Bắt buộc: Charter/PMP; SRS + scope/WBS; Gantt/baseline; effort-cost budget; RACI/timesheet; quality-test-defect; communication/minutes; risk register; procurement; change log; closure/lessons learned.</v>
      </c>
      <c r="M2600" t="str">
        <f>'Huong dan giao do an'!$B$33</f>
        <v>Tuần 1: 07.09–13.09.2026; Tuần 2: 14.09–20.09.2026; Tuần 3: 21.09–27.09.2026; Tuần 4: 28.09–04.10.2026; Tuần 5: 05.10–11.10.2026; Tuần 6: 12.10–18.10.2026; Tuần 7: 19.10–25.10.2026; Tuần 8: 26.10–01.11.2026.</v>
      </c>
      <c r="N26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0" s="17" t="str">
        <f t="shared" si="40"/>
        <v>Còn trống</v>
      </c>
    </row>
    <row r="2601" spans="1:16" x14ac:dyDescent="0.3">
      <c r="A2601">
        <v>2600</v>
      </c>
      <c r="B2601" t="s">
        <v>5749</v>
      </c>
      <c r="C2601" t="s">
        <v>5976</v>
      </c>
      <c r="D2601" t="s">
        <v>5977</v>
      </c>
      <c r="E2601" t="s">
        <v>45</v>
      </c>
      <c r="F2601" t="s">
        <v>5771</v>
      </c>
      <c r="G2601" t="s">
        <v>5817</v>
      </c>
      <c r="H2601" t="str">
        <f>'Huong dan giao do an'!$B$14</f>
        <v>5 SV (vai trò chính): 1 PM/Scrum Master kiêm Integration; 2 BA/PO; 3 UI-UX + Frontend; 4 Backend/API + DevOps; 5 Database + QA/Tester. Mỗi SV có nhiệm vụ phụ và minh chứng cá nhân.</v>
      </c>
      <c r="I2601" t="s">
        <v>29</v>
      </c>
      <c r="J2601" t="s">
        <v>5759</v>
      </c>
      <c r="K2601" t="str">
        <f>IF(I2601="Trung bình",'Huong dan giao do an'!$B$8,IF(I2601="Khá",'Huong dan giao do an'!$B$9,'Huong dan giao do an'!$B$10))</f>
        <v>Tối thiểu 5 actor; 14-18 use case; 10-15 bảng; 4 quy trình; tích hợp ngoài/realtime hoặc xử lý nâng cao; 3 báo cáo; &gt;=45 test case; logging, backup và deploy.</v>
      </c>
      <c r="L2601" t="str">
        <f>'Huong dan giao do an'!$B$31</f>
        <v>Bắt buộc: Charter/PMP; SRS + scope/WBS; Gantt/baseline; effort-cost budget; RACI/timesheet; quality-test-defect; communication/minutes; risk register; procurement; change log; closure/lessons learned.</v>
      </c>
      <c r="M2601" t="str">
        <f>'Huong dan giao do an'!$B$33</f>
        <v>Tuần 1: 07.09–13.09.2026; Tuần 2: 14.09–20.09.2026; Tuần 3: 21.09–27.09.2026; Tuần 4: 28.09–04.10.2026; Tuần 5: 05.10–11.10.2026; Tuần 6: 12.10–18.10.2026; Tuần 7: 19.10–25.10.2026; Tuần 8: 26.10–01.11.2026.</v>
      </c>
      <c r="N26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1" s="17" t="str">
        <f t="shared" si="40"/>
        <v>Còn trống</v>
      </c>
    </row>
    <row r="2602" spans="1:16" x14ac:dyDescent="0.3">
      <c r="A2602">
        <v>2601</v>
      </c>
      <c r="B2602" t="s">
        <v>5978</v>
      </c>
      <c r="C2602" t="s">
        <v>5979</v>
      </c>
      <c r="D2602" t="s">
        <v>5980</v>
      </c>
      <c r="E2602" t="s">
        <v>26</v>
      </c>
      <c r="F2602" t="s">
        <v>5981</v>
      </c>
      <c r="G2602" t="s">
        <v>5982</v>
      </c>
      <c r="H2602" t="str">
        <f>'Huong dan giao do an'!$B$14</f>
        <v>5 SV (vai trò chính): 1 PM/Scrum Master kiêm Integration; 2 BA/PO; 3 UI-UX + Frontend; 4 Backend/API + DevOps; 5 Database + QA/Tester. Mỗi SV có nhiệm vụ phụ và minh chứng cá nhân.</v>
      </c>
      <c r="I2602" t="s">
        <v>22</v>
      </c>
      <c r="J2602" t="s">
        <v>5983</v>
      </c>
      <c r="K2602" t="str">
        <f>IF(I2602="Trung bình",'Huong dan giao do an'!$B$8,IF(I2602="Khá",'Huong dan giao do an'!$B$9,'Huong dan giao do an'!$B$10))</f>
        <v>Tối thiểu 4 actor; 10-14 use case; 8-12 bảng; 3 quy trình lõi; phân quyền chi tiết; 2 báo cáo; tích hợp 1 dịch vụ; &gt;=35 test case; CI/CD hoặc deploy cloud.</v>
      </c>
      <c r="L2602" t="str">
        <f>'Huong dan giao do an'!$B$31</f>
        <v>Bắt buộc: Charter/PMP; SRS + scope/WBS; Gantt/baseline; effort-cost budget; RACI/timesheet; quality-test-defect; communication/minutes; risk register; procurement; change log; closure/lessons learned.</v>
      </c>
      <c r="M2602" t="str">
        <f>'Huong dan giao do an'!$B$33</f>
        <v>Tuần 1: 07.09–13.09.2026; Tuần 2: 14.09–20.09.2026; Tuần 3: 21.09–27.09.2026; Tuần 4: 28.09–04.10.2026; Tuần 5: 05.10–11.10.2026; Tuần 6: 12.10–18.10.2026; Tuần 7: 19.10–25.10.2026; Tuần 8: 26.10–01.11.2026.</v>
      </c>
      <c r="N26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2" s="17" t="str">
        <f t="shared" si="40"/>
        <v>Còn trống</v>
      </c>
    </row>
    <row r="2603" spans="1:16" x14ac:dyDescent="0.3">
      <c r="A2603">
        <v>2602</v>
      </c>
      <c r="B2603" t="s">
        <v>5978</v>
      </c>
      <c r="C2603" t="s">
        <v>5984</v>
      </c>
      <c r="D2603" t="s">
        <v>5985</v>
      </c>
      <c r="E2603" t="s">
        <v>33</v>
      </c>
      <c r="F2603" t="s">
        <v>5986</v>
      </c>
      <c r="G2603" t="s">
        <v>5987</v>
      </c>
      <c r="H2603" t="str">
        <f>'Huong dan giao do an'!$B$14</f>
        <v>5 SV (vai trò chính): 1 PM/Scrum Master kiêm Integration; 2 BA/PO; 3 UI-UX + Frontend; 4 Backend/API + DevOps; 5 Database + QA/Tester. Mỗi SV có nhiệm vụ phụ và minh chứng cá nhân.</v>
      </c>
      <c r="I2603" t="s">
        <v>29</v>
      </c>
      <c r="J2603" t="s">
        <v>5988</v>
      </c>
      <c r="K2603" t="str">
        <f>IF(I2603="Trung bình",'Huong dan giao do an'!$B$8,IF(I2603="Khá",'Huong dan giao do an'!$B$9,'Huong dan giao do an'!$B$10))</f>
        <v>Tối thiểu 5 actor; 14-18 use case; 10-15 bảng; 4 quy trình; tích hợp ngoài/realtime hoặc xử lý nâng cao; 3 báo cáo; &gt;=45 test case; logging, backup và deploy.</v>
      </c>
      <c r="L2603" t="str">
        <f>'Huong dan giao do an'!$B$31</f>
        <v>Bắt buộc: Charter/PMP; SRS + scope/WBS; Gantt/baseline; effort-cost budget; RACI/timesheet; quality-test-defect; communication/minutes; risk register; procurement; change log; closure/lessons learned.</v>
      </c>
      <c r="M2603" t="str">
        <f>'Huong dan giao do an'!$B$33</f>
        <v>Tuần 1: 07.09–13.09.2026; Tuần 2: 14.09–20.09.2026; Tuần 3: 21.09–27.09.2026; Tuần 4: 28.09–04.10.2026; Tuần 5: 05.10–11.10.2026; Tuần 6: 12.10–18.10.2026; Tuần 7: 19.10–25.10.2026; Tuần 8: 26.10–01.11.2026.</v>
      </c>
      <c r="N26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3" s="17" t="str">
        <f t="shared" si="40"/>
        <v>Còn trống</v>
      </c>
    </row>
    <row r="2604" spans="1:16" x14ac:dyDescent="0.3">
      <c r="A2604">
        <v>2603</v>
      </c>
      <c r="B2604" t="s">
        <v>5978</v>
      </c>
      <c r="C2604" t="s">
        <v>5989</v>
      </c>
      <c r="D2604" t="s">
        <v>5990</v>
      </c>
      <c r="E2604" t="s">
        <v>40</v>
      </c>
      <c r="F2604" t="s">
        <v>5991</v>
      </c>
      <c r="G2604" t="s">
        <v>5992</v>
      </c>
      <c r="H2604" t="str">
        <f>'Huong dan giao do an'!$B$14</f>
        <v>5 SV (vai trò chính): 1 PM/Scrum Master kiêm Integration; 2 BA/PO; 3 UI-UX + Frontend; 4 Backend/API + DevOps; 5 Database + QA/Tester. Mỗi SV có nhiệm vụ phụ và minh chứng cá nhân.</v>
      </c>
      <c r="I2604" t="s">
        <v>36</v>
      </c>
      <c r="J2604" t="s">
        <v>5993</v>
      </c>
      <c r="K2604" t="str">
        <f>IF(I2604="Trung bình",'Huong dan giao do an'!$B$8,IF(I2604="Khá",'Huong dan giao do an'!$B$9,'Huong dan giao do an'!$B$10))</f>
        <v>Tối thiểu 3 actor; 8-10 use case; 6-8 bảng dữ liệu; 2 quy trình lõi; đăng nhập/RBAC; 1 dashboard; 1 báo cáo; &gt;=25 test case; triển khai bản demo.</v>
      </c>
      <c r="L2604" t="str">
        <f>'Huong dan giao do an'!$B$31</f>
        <v>Bắt buộc: Charter/PMP; SRS + scope/WBS; Gantt/baseline; effort-cost budget; RACI/timesheet; quality-test-defect; communication/minutes; risk register; procurement; change log; closure/lessons learned.</v>
      </c>
      <c r="M2604" t="str">
        <f>'Huong dan giao do an'!$B$33</f>
        <v>Tuần 1: 07.09–13.09.2026; Tuần 2: 14.09–20.09.2026; Tuần 3: 21.09–27.09.2026; Tuần 4: 28.09–04.10.2026; Tuần 5: 05.10–11.10.2026; Tuần 6: 12.10–18.10.2026; Tuần 7: 19.10–25.10.2026; Tuần 8: 26.10–01.11.2026.</v>
      </c>
      <c r="N26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4" s="17" t="str">
        <f t="shared" si="40"/>
        <v>Còn trống</v>
      </c>
    </row>
    <row r="2605" spans="1:16" x14ac:dyDescent="0.3">
      <c r="A2605">
        <v>2604</v>
      </c>
      <c r="B2605" t="s">
        <v>5978</v>
      </c>
      <c r="C2605" t="s">
        <v>5994</v>
      </c>
      <c r="D2605" t="s">
        <v>5995</v>
      </c>
      <c r="E2605" t="s">
        <v>45</v>
      </c>
      <c r="F2605" t="s">
        <v>5996</v>
      </c>
      <c r="G2605" t="s">
        <v>5997</v>
      </c>
      <c r="H2605" t="str">
        <f>'Huong dan giao do an'!$B$14</f>
        <v>5 SV (vai trò chính): 1 PM/Scrum Master kiêm Integration; 2 BA/PO; 3 UI-UX + Frontend; 4 Backend/API + DevOps; 5 Database + QA/Tester. Mỗi SV có nhiệm vụ phụ và minh chứng cá nhân.</v>
      </c>
      <c r="I2605" t="s">
        <v>22</v>
      </c>
      <c r="J2605" t="s">
        <v>5983</v>
      </c>
      <c r="K2605" t="str">
        <f>IF(I2605="Trung bình",'Huong dan giao do an'!$B$8,IF(I2605="Khá",'Huong dan giao do an'!$B$9,'Huong dan giao do an'!$B$10))</f>
        <v>Tối thiểu 4 actor; 10-14 use case; 8-12 bảng; 3 quy trình lõi; phân quyền chi tiết; 2 báo cáo; tích hợp 1 dịch vụ; &gt;=35 test case; CI/CD hoặc deploy cloud.</v>
      </c>
      <c r="L2605" t="str">
        <f>'Huong dan giao do an'!$B$31</f>
        <v>Bắt buộc: Charter/PMP; SRS + scope/WBS; Gantt/baseline; effort-cost budget; RACI/timesheet; quality-test-defect; communication/minutes; risk register; procurement; change log; closure/lessons learned.</v>
      </c>
      <c r="M2605" t="str">
        <f>'Huong dan giao do an'!$B$33</f>
        <v>Tuần 1: 07.09–13.09.2026; Tuần 2: 14.09–20.09.2026; Tuần 3: 21.09–27.09.2026; Tuần 4: 28.09–04.10.2026; Tuần 5: 05.10–11.10.2026; Tuần 6: 12.10–18.10.2026; Tuần 7: 19.10–25.10.2026; Tuần 8: 26.10–01.11.2026.</v>
      </c>
      <c r="N26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5" s="17" t="str">
        <f t="shared" si="40"/>
        <v>Còn trống</v>
      </c>
    </row>
    <row r="2606" spans="1:16" x14ac:dyDescent="0.3">
      <c r="A2606">
        <v>2605</v>
      </c>
      <c r="B2606" t="s">
        <v>5978</v>
      </c>
      <c r="C2606" t="s">
        <v>5998</v>
      </c>
      <c r="D2606" t="s">
        <v>5999</v>
      </c>
      <c r="E2606" t="s">
        <v>19</v>
      </c>
      <c r="F2606" t="s">
        <v>6000</v>
      </c>
      <c r="G2606" t="s">
        <v>6001</v>
      </c>
      <c r="H2606" t="str">
        <f>'Huong dan giao do an'!$B$14</f>
        <v>5 SV (vai trò chính): 1 PM/Scrum Master kiêm Integration; 2 BA/PO; 3 UI-UX + Frontend; 4 Backend/API + DevOps; 5 Database + QA/Tester. Mỗi SV có nhiệm vụ phụ và minh chứng cá nhân.</v>
      </c>
      <c r="I2606" t="s">
        <v>29</v>
      </c>
      <c r="J2606" t="s">
        <v>5988</v>
      </c>
      <c r="K2606" t="str">
        <f>IF(I2606="Trung bình",'Huong dan giao do an'!$B$8,IF(I2606="Khá",'Huong dan giao do an'!$B$9,'Huong dan giao do an'!$B$10))</f>
        <v>Tối thiểu 5 actor; 14-18 use case; 10-15 bảng; 4 quy trình; tích hợp ngoài/realtime hoặc xử lý nâng cao; 3 báo cáo; &gt;=45 test case; logging, backup và deploy.</v>
      </c>
      <c r="L2606" t="str">
        <f>'Huong dan giao do an'!$B$31</f>
        <v>Bắt buộc: Charter/PMP; SRS + scope/WBS; Gantt/baseline; effort-cost budget; RACI/timesheet; quality-test-defect; communication/minutes; risk register; procurement; change log; closure/lessons learned.</v>
      </c>
      <c r="M2606" t="str">
        <f>'Huong dan giao do an'!$B$33</f>
        <v>Tuần 1: 07.09–13.09.2026; Tuần 2: 14.09–20.09.2026; Tuần 3: 21.09–27.09.2026; Tuần 4: 28.09–04.10.2026; Tuần 5: 05.10–11.10.2026; Tuần 6: 12.10–18.10.2026; Tuần 7: 19.10–25.10.2026; Tuần 8: 26.10–01.11.2026.</v>
      </c>
      <c r="N26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6" s="17" t="str">
        <f t="shared" si="40"/>
        <v>Còn trống</v>
      </c>
    </row>
    <row r="2607" spans="1:16" x14ac:dyDescent="0.3">
      <c r="A2607">
        <v>2606</v>
      </c>
      <c r="B2607" t="s">
        <v>5978</v>
      </c>
      <c r="C2607" t="s">
        <v>6002</v>
      </c>
      <c r="D2607" t="s">
        <v>6003</v>
      </c>
      <c r="E2607" t="s">
        <v>26</v>
      </c>
      <c r="F2607" t="s">
        <v>5981</v>
      </c>
      <c r="G2607" t="s">
        <v>6004</v>
      </c>
      <c r="H2607" t="str">
        <f>'Huong dan giao do an'!$B$14</f>
        <v>5 SV (vai trò chính): 1 PM/Scrum Master kiêm Integration; 2 BA/PO; 3 UI-UX + Frontend; 4 Backend/API + DevOps; 5 Database + QA/Tester. Mỗi SV có nhiệm vụ phụ và minh chứng cá nhân.</v>
      </c>
      <c r="I2607" t="s">
        <v>36</v>
      </c>
      <c r="J2607" t="s">
        <v>5993</v>
      </c>
      <c r="K2607" t="str">
        <f>IF(I2607="Trung bình",'Huong dan giao do an'!$B$8,IF(I2607="Khá",'Huong dan giao do an'!$B$9,'Huong dan giao do an'!$B$10))</f>
        <v>Tối thiểu 3 actor; 8-10 use case; 6-8 bảng dữ liệu; 2 quy trình lõi; đăng nhập/RBAC; 1 dashboard; 1 báo cáo; &gt;=25 test case; triển khai bản demo.</v>
      </c>
      <c r="L2607" t="str">
        <f>'Huong dan giao do an'!$B$31</f>
        <v>Bắt buộc: Charter/PMP; SRS + scope/WBS; Gantt/baseline; effort-cost budget; RACI/timesheet; quality-test-defect; communication/minutes; risk register; procurement; change log; closure/lessons learned.</v>
      </c>
      <c r="M2607" t="str">
        <f>'Huong dan giao do an'!$B$33</f>
        <v>Tuần 1: 07.09–13.09.2026; Tuần 2: 14.09–20.09.2026; Tuần 3: 21.09–27.09.2026; Tuần 4: 28.09–04.10.2026; Tuần 5: 05.10–11.10.2026; Tuần 6: 12.10–18.10.2026; Tuần 7: 19.10–25.10.2026; Tuần 8: 26.10–01.11.2026.</v>
      </c>
      <c r="N26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7" s="17" t="str">
        <f t="shared" si="40"/>
        <v>Còn trống</v>
      </c>
    </row>
    <row r="2608" spans="1:16" x14ac:dyDescent="0.3">
      <c r="A2608">
        <v>2607</v>
      </c>
      <c r="B2608" t="s">
        <v>5978</v>
      </c>
      <c r="C2608" t="s">
        <v>6005</v>
      </c>
      <c r="D2608" t="s">
        <v>6006</v>
      </c>
      <c r="E2608" t="s">
        <v>33</v>
      </c>
      <c r="F2608" t="s">
        <v>5986</v>
      </c>
      <c r="G2608" t="s">
        <v>6007</v>
      </c>
      <c r="H2608" t="str">
        <f>'Huong dan giao do an'!$B$14</f>
        <v>5 SV (vai trò chính): 1 PM/Scrum Master kiêm Integration; 2 BA/PO; 3 UI-UX + Frontend; 4 Backend/API + DevOps; 5 Database + QA/Tester. Mỗi SV có nhiệm vụ phụ và minh chứng cá nhân.</v>
      </c>
      <c r="I2608" t="s">
        <v>22</v>
      </c>
      <c r="J2608" t="s">
        <v>5983</v>
      </c>
      <c r="K2608" t="str">
        <f>IF(I2608="Trung bình",'Huong dan giao do an'!$B$8,IF(I2608="Khá",'Huong dan giao do an'!$B$9,'Huong dan giao do an'!$B$10))</f>
        <v>Tối thiểu 4 actor; 10-14 use case; 8-12 bảng; 3 quy trình lõi; phân quyền chi tiết; 2 báo cáo; tích hợp 1 dịch vụ; &gt;=35 test case; CI/CD hoặc deploy cloud.</v>
      </c>
      <c r="L2608" t="str">
        <f>'Huong dan giao do an'!$B$31</f>
        <v>Bắt buộc: Charter/PMP; SRS + scope/WBS; Gantt/baseline; effort-cost budget; RACI/timesheet; quality-test-defect; communication/minutes; risk register; procurement; change log; closure/lessons learned.</v>
      </c>
      <c r="M2608" t="str">
        <f>'Huong dan giao do an'!$B$33</f>
        <v>Tuần 1: 07.09–13.09.2026; Tuần 2: 14.09–20.09.2026; Tuần 3: 21.09–27.09.2026; Tuần 4: 28.09–04.10.2026; Tuần 5: 05.10–11.10.2026; Tuần 6: 12.10–18.10.2026; Tuần 7: 19.10–25.10.2026; Tuần 8: 26.10–01.11.2026.</v>
      </c>
      <c r="N26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8" s="17" t="str">
        <f t="shared" si="40"/>
        <v>Còn trống</v>
      </c>
    </row>
    <row r="2609" spans="1:16" x14ac:dyDescent="0.3">
      <c r="A2609">
        <v>2608</v>
      </c>
      <c r="B2609" t="s">
        <v>5978</v>
      </c>
      <c r="C2609" t="s">
        <v>6008</v>
      </c>
      <c r="D2609" t="s">
        <v>6009</v>
      </c>
      <c r="E2609" t="s">
        <v>40</v>
      </c>
      <c r="F2609" t="s">
        <v>5991</v>
      </c>
      <c r="G2609" t="s">
        <v>6010</v>
      </c>
      <c r="H2609" t="str">
        <f>'Huong dan giao do an'!$B$14</f>
        <v>5 SV (vai trò chính): 1 PM/Scrum Master kiêm Integration; 2 BA/PO; 3 UI-UX + Frontend; 4 Backend/API + DevOps; 5 Database + QA/Tester. Mỗi SV có nhiệm vụ phụ và minh chứng cá nhân.</v>
      </c>
      <c r="I2609" t="s">
        <v>29</v>
      </c>
      <c r="J2609" t="s">
        <v>5988</v>
      </c>
      <c r="K2609" t="str">
        <f>IF(I2609="Trung bình",'Huong dan giao do an'!$B$8,IF(I2609="Khá",'Huong dan giao do an'!$B$9,'Huong dan giao do an'!$B$10))</f>
        <v>Tối thiểu 5 actor; 14-18 use case; 10-15 bảng; 4 quy trình; tích hợp ngoài/realtime hoặc xử lý nâng cao; 3 báo cáo; &gt;=45 test case; logging, backup và deploy.</v>
      </c>
      <c r="L2609" t="str">
        <f>'Huong dan giao do an'!$B$31</f>
        <v>Bắt buộc: Charter/PMP; SRS + scope/WBS; Gantt/baseline; effort-cost budget; RACI/timesheet; quality-test-defect; communication/minutes; risk register; procurement; change log; closure/lessons learned.</v>
      </c>
      <c r="M2609" t="str">
        <f>'Huong dan giao do an'!$B$33</f>
        <v>Tuần 1: 07.09–13.09.2026; Tuần 2: 14.09–20.09.2026; Tuần 3: 21.09–27.09.2026; Tuần 4: 28.09–04.10.2026; Tuần 5: 05.10–11.10.2026; Tuần 6: 12.10–18.10.2026; Tuần 7: 19.10–25.10.2026; Tuần 8: 26.10–01.11.2026.</v>
      </c>
      <c r="N26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09" s="17" t="str">
        <f t="shared" si="40"/>
        <v>Còn trống</v>
      </c>
    </row>
    <row r="2610" spans="1:16" x14ac:dyDescent="0.3">
      <c r="A2610">
        <v>2609</v>
      </c>
      <c r="B2610" t="s">
        <v>5978</v>
      </c>
      <c r="C2610" t="s">
        <v>6011</v>
      </c>
      <c r="D2610" t="s">
        <v>6012</v>
      </c>
      <c r="E2610" t="s">
        <v>45</v>
      </c>
      <c r="F2610" t="s">
        <v>5996</v>
      </c>
      <c r="G2610" t="s">
        <v>6013</v>
      </c>
      <c r="H2610" t="str">
        <f>'Huong dan giao do an'!$B$14</f>
        <v>5 SV (vai trò chính): 1 PM/Scrum Master kiêm Integration; 2 BA/PO; 3 UI-UX + Frontend; 4 Backend/API + DevOps; 5 Database + QA/Tester. Mỗi SV có nhiệm vụ phụ và minh chứng cá nhân.</v>
      </c>
      <c r="I2610" t="s">
        <v>36</v>
      </c>
      <c r="J2610" t="s">
        <v>5993</v>
      </c>
      <c r="K2610" t="str">
        <f>IF(I2610="Trung bình",'Huong dan giao do an'!$B$8,IF(I2610="Khá",'Huong dan giao do an'!$B$9,'Huong dan giao do an'!$B$10))</f>
        <v>Tối thiểu 3 actor; 8-10 use case; 6-8 bảng dữ liệu; 2 quy trình lõi; đăng nhập/RBAC; 1 dashboard; 1 báo cáo; &gt;=25 test case; triển khai bản demo.</v>
      </c>
      <c r="L2610" t="str">
        <f>'Huong dan giao do an'!$B$31</f>
        <v>Bắt buộc: Charter/PMP; SRS + scope/WBS; Gantt/baseline; effort-cost budget; RACI/timesheet; quality-test-defect; communication/minutes; risk register; procurement; change log; closure/lessons learned.</v>
      </c>
      <c r="M2610" t="str">
        <f>'Huong dan giao do an'!$B$33</f>
        <v>Tuần 1: 07.09–13.09.2026; Tuần 2: 14.09–20.09.2026; Tuần 3: 21.09–27.09.2026; Tuần 4: 28.09–04.10.2026; Tuần 5: 05.10–11.10.2026; Tuần 6: 12.10–18.10.2026; Tuần 7: 19.10–25.10.2026; Tuần 8: 26.10–01.11.2026.</v>
      </c>
      <c r="N26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0" s="17" t="str">
        <f t="shared" si="40"/>
        <v>Còn trống</v>
      </c>
    </row>
    <row r="2611" spans="1:16" x14ac:dyDescent="0.3">
      <c r="A2611">
        <v>2610</v>
      </c>
      <c r="B2611" t="s">
        <v>5978</v>
      </c>
      <c r="C2611" t="s">
        <v>6014</v>
      </c>
      <c r="D2611" t="s">
        <v>6015</v>
      </c>
      <c r="E2611" t="s">
        <v>19</v>
      </c>
      <c r="F2611" t="s">
        <v>6000</v>
      </c>
      <c r="G2611" t="s">
        <v>6016</v>
      </c>
      <c r="H2611" t="str">
        <f>'Huong dan giao do an'!$B$14</f>
        <v>5 SV (vai trò chính): 1 PM/Scrum Master kiêm Integration; 2 BA/PO; 3 UI-UX + Frontend; 4 Backend/API + DevOps; 5 Database + QA/Tester. Mỗi SV có nhiệm vụ phụ và minh chứng cá nhân.</v>
      </c>
      <c r="I2611" t="s">
        <v>22</v>
      </c>
      <c r="J2611" t="s">
        <v>5983</v>
      </c>
      <c r="K2611" t="str">
        <f>IF(I2611="Trung bình",'Huong dan giao do an'!$B$8,IF(I2611="Khá",'Huong dan giao do an'!$B$9,'Huong dan giao do an'!$B$10))</f>
        <v>Tối thiểu 4 actor; 10-14 use case; 8-12 bảng; 3 quy trình lõi; phân quyền chi tiết; 2 báo cáo; tích hợp 1 dịch vụ; &gt;=35 test case; CI/CD hoặc deploy cloud.</v>
      </c>
      <c r="L2611" t="str">
        <f>'Huong dan giao do an'!$B$31</f>
        <v>Bắt buộc: Charter/PMP; SRS + scope/WBS; Gantt/baseline; effort-cost budget; RACI/timesheet; quality-test-defect; communication/minutes; risk register; procurement; change log; closure/lessons learned.</v>
      </c>
      <c r="M2611" t="str">
        <f>'Huong dan giao do an'!$B$33</f>
        <v>Tuần 1: 07.09–13.09.2026; Tuần 2: 14.09–20.09.2026; Tuần 3: 21.09–27.09.2026; Tuần 4: 28.09–04.10.2026; Tuần 5: 05.10–11.10.2026; Tuần 6: 12.10–18.10.2026; Tuần 7: 19.10–25.10.2026; Tuần 8: 26.10–01.11.2026.</v>
      </c>
      <c r="N26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1" s="17" t="str">
        <f t="shared" si="40"/>
        <v>Còn trống</v>
      </c>
    </row>
    <row r="2612" spans="1:16" x14ac:dyDescent="0.3">
      <c r="A2612">
        <v>2611</v>
      </c>
      <c r="B2612" t="s">
        <v>5978</v>
      </c>
      <c r="C2612" t="s">
        <v>6017</v>
      </c>
      <c r="D2612" t="s">
        <v>6018</v>
      </c>
      <c r="E2612" t="s">
        <v>26</v>
      </c>
      <c r="F2612" t="s">
        <v>5981</v>
      </c>
      <c r="G2612" t="s">
        <v>6019</v>
      </c>
      <c r="H2612" t="str">
        <f>'Huong dan giao do an'!$B$14</f>
        <v>5 SV (vai trò chính): 1 PM/Scrum Master kiêm Integration; 2 BA/PO; 3 UI-UX + Frontend; 4 Backend/API + DevOps; 5 Database + QA/Tester. Mỗi SV có nhiệm vụ phụ và minh chứng cá nhân.</v>
      </c>
      <c r="I2612" t="s">
        <v>29</v>
      </c>
      <c r="J2612" t="s">
        <v>5988</v>
      </c>
      <c r="K2612" t="str">
        <f>IF(I2612="Trung bình",'Huong dan giao do an'!$B$8,IF(I2612="Khá",'Huong dan giao do an'!$B$9,'Huong dan giao do an'!$B$10))</f>
        <v>Tối thiểu 5 actor; 14-18 use case; 10-15 bảng; 4 quy trình; tích hợp ngoài/realtime hoặc xử lý nâng cao; 3 báo cáo; &gt;=45 test case; logging, backup và deploy.</v>
      </c>
      <c r="L2612" t="str">
        <f>'Huong dan giao do an'!$B$31</f>
        <v>Bắt buộc: Charter/PMP; SRS + scope/WBS; Gantt/baseline; effort-cost budget; RACI/timesheet; quality-test-defect; communication/minutes; risk register; procurement; change log; closure/lessons learned.</v>
      </c>
      <c r="M2612" t="str">
        <f>'Huong dan giao do an'!$B$33</f>
        <v>Tuần 1: 07.09–13.09.2026; Tuần 2: 14.09–20.09.2026; Tuần 3: 21.09–27.09.2026; Tuần 4: 28.09–04.10.2026; Tuần 5: 05.10–11.10.2026; Tuần 6: 12.10–18.10.2026; Tuần 7: 19.10–25.10.2026; Tuần 8: 26.10–01.11.2026.</v>
      </c>
      <c r="N26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2" s="17" t="str">
        <f t="shared" si="40"/>
        <v>Còn trống</v>
      </c>
    </row>
    <row r="2613" spans="1:16" x14ac:dyDescent="0.3">
      <c r="A2613">
        <v>2612</v>
      </c>
      <c r="B2613" t="s">
        <v>5978</v>
      </c>
      <c r="C2613" t="s">
        <v>6020</v>
      </c>
      <c r="D2613" t="s">
        <v>6021</v>
      </c>
      <c r="E2613" t="s">
        <v>33</v>
      </c>
      <c r="F2613" t="s">
        <v>5986</v>
      </c>
      <c r="G2613" t="s">
        <v>6022</v>
      </c>
      <c r="H2613" t="str">
        <f>'Huong dan giao do an'!$B$14</f>
        <v>5 SV (vai trò chính): 1 PM/Scrum Master kiêm Integration; 2 BA/PO; 3 UI-UX + Frontend; 4 Backend/API + DevOps; 5 Database + QA/Tester. Mỗi SV có nhiệm vụ phụ và minh chứng cá nhân.</v>
      </c>
      <c r="I2613" t="s">
        <v>36</v>
      </c>
      <c r="J2613" t="s">
        <v>5993</v>
      </c>
      <c r="K2613" t="str">
        <f>IF(I2613="Trung bình",'Huong dan giao do an'!$B$8,IF(I2613="Khá",'Huong dan giao do an'!$B$9,'Huong dan giao do an'!$B$10))</f>
        <v>Tối thiểu 3 actor; 8-10 use case; 6-8 bảng dữ liệu; 2 quy trình lõi; đăng nhập/RBAC; 1 dashboard; 1 báo cáo; &gt;=25 test case; triển khai bản demo.</v>
      </c>
      <c r="L2613" t="str">
        <f>'Huong dan giao do an'!$B$31</f>
        <v>Bắt buộc: Charter/PMP; SRS + scope/WBS; Gantt/baseline; effort-cost budget; RACI/timesheet; quality-test-defect; communication/minutes; risk register; procurement; change log; closure/lessons learned.</v>
      </c>
      <c r="M2613" t="str">
        <f>'Huong dan giao do an'!$B$33</f>
        <v>Tuần 1: 07.09–13.09.2026; Tuần 2: 14.09–20.09.2026; Tuần 3: 21.09–27.09.2026; Tuần 4: 28.09–04.10.2026; Tuần 5: 05.10–11.10.2026; Tuần 6: 12.10–18.10.2026; Tuần 7: 19.10–25.10.2026; Tuần 8: 26.10–01.11.2026.</v>
      </c>
      <c r="N26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3" s="17" t="str">
        <f t="shared" si="40"/>
        <v>Còn trống</v>
      </c>
    </row>
    <row r="2614" spans="1:16" x14ac:dyDescent="0.3">
      <c r="A2614">
        <v>2613</v>
      </c>
      <c r="B2614" t="s">
        <v>5978</v>
      </c>
      <c r="C2614" t="s">
        <v>6023</v>
      </c>
      <c r="D2614" t="s">
        <v>6024</v>
      </c>
      <c r="E2614" t="s">
        <v>40</v>
      </c>
      <c r="F2614" t="s">
        <v>5991</v>
      </c>
      <c r="G2614" t="s">
        <v>6025</v>
      </c>
      <c r="H2614" t="str">
        <f>'Huong dan giao do an'!$B$14</f>
        <v>5 SV (vai trò chính): 1 PM/Scrum Master kiêm Integration; 2 BA/PO; 3 UI-UX + Frontend; 4 Backend/API + DevOps; 5 Database + QA/Tester. Mỗi SV có nhiệm vụ phụ và minh chứng cá nhân.</v>
      </c>
      <c r="I2614" t="s">
        <v>22</v>
      </c>
      <c r="J2614" t="s">
        <v>5983</v>
      </c>
      <c r="K2614" t="str">
        <f>IF(I2614="Trung bình",'Huong dan giao do an'!$B$8,IF(I2614="Khá",'Huong dan giao do an'!$B$9,'Huong dan giao do an'!$B$10))</f>
        <v>Tối thiểu 4 actor; 10-14 use case; 8-12 bảng; 3 quy trình lõi; phân quyền chi tiết; 2 báo cáo; tích hợp 1 dịch vụ; &gt;=35 test case; CI/CD hoặc deploy cloud.</v>
      </c>
      <c r="L2614" t="str">
        <f>'Huong dan giao do an'!$B$31</f>
        <v>Bắt buộc: Charter/PMP; SRS + scope/WBS; Gantt/baseline; effort-cost budget; RACI/timesheet; quality-test-defect; communication/minutes; risk register; procurement; change log; closure/lessons learned.</v>
      </c>
      <c r="M2614" t="str">
        <f>'Huong dan giao do an'!$B$33</f>
        <v>Tuần 1: 07.09–13.09.2026; Tuần 2: 14.09–20.09.2026; Tuần 3: 21.09–27.09.2026; Tuần 4: 28.09–04.10.2026; Tuần 5: 05.10–11.10.2026; Tuần 6: 12.10–18.10.2026; Tuần 7: 19.10–25.10.2026; Tuần 8: 26.10–01.11.2026.</v>
      </c>
      <c r="N26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4" s="17" t="str">
        <f t="shared" si="40"/>
        <v>Còn trống</v>
      </c>
    </row>
    <row r="2615" spans="1:16" x14ac:dyDescent="0.3">
      <c r="A2615">
        <v>2614</v>
      </c>
      <c r="B2615" t="s">
        <v>5978</v>
      </c>
      <c r="C2615" t="s">
        <v>6026</v>
      </c>
      <c r="D2615" t="s">
        <v>6027</v>
      </c>
      <c r="E2615" t="s">
        <v>45</v>
      </c>
      <c r="F2615" t="s">
        <v>5996</v>
      </c>
      <c r="G2615" t="s">
        <v>6028</v>
      </c>
      <c r="H2615" t="str">
        <f>'Huong dan giao do an'!$B$14</f>
        <v>5 SV (vai trò chính): 1 PM/Scrum Master kiêm Integration; 2 BA/PO; 3 UI-UX + Frontend; 4 Backend/API + DevOps; 5 Database + QA/Tester. Mỗi SV có nhiệm vụ phụ và minh chứng cá nhân.</v>
      </c>
      <c r="I2615" t="s">
        <v>29</v>
      </c>
      <c r="J2615" t="s">
        <v>5988</v>
      </c>
      <c r="K2615" t="str">
        <f>IF(I2615="Trung bình",'Huong dan giao do an'!$B$8,IF(I2615="Khá",'Huong dan giao do an'!$B$9,'Huong dan giao do an'!$B$10))</f>
        <v>Tối thiểu 5 actor; 14-18 use case; 10-15 bảng; 4 quy trình; tích hợp ngoài/realtime hoặc xử lý nâng cao; 3 báo cáo; &gt;=45 test case; logging, backup và deploy.</v>
      </c>
      <c r="L2615" t="str">
        <f>'Huong dan giao do an'!$B$31</f>
        <v>Bắt buộc: Charter/PMP; SRS + scope/WBS; Gantt/baseline; effort-cost budget; RACI/timesheet; quality-test-defect; communication/minutes; risk register; procurement; change log; closure/lessons learned.</v>
      </c>
      <c r="M2615" t="str">
        <f>'Huong dan giao do an'!$B$33</f>
        <v>Tuần 1: 07.09–13.09.2026; Tuần 2: 14.09–20.09.2026; Tuần 3: 21.09–27.09.2026; Tuần 4: 28.09–04.10.2026; Tuần 5: 05.10–11.10.2026; Tuần 6: 12.10–18.10.2026; Tuần 7: 19.10–25.10.2026; Tuần 8: 26.10–01.11.2026.</v>
      </c>
      <c r="N26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5" s="17" t="str">
        <f t="shared" si="40"/>
        <v>Còn trống</v>
      </c>
    </row>
    <row r="2616" spans="1:16" x14ac:dyDescent="0.3">
      <c r="A2616">
        <v>2615</v>
      </c>
      <c r="B2616" t="s">
        <v>5978</v>
      </c>
      <c r="C2616" t="s">
        <v>6029</v>
      </c>
      <c r="D2616" t="s">
        <v>6030</v>
      </c>
      <c r="E2616" t="s">
        <v>19</v>
      </c>
      <c r="F2616" t="s">
        <v>6000</v>
      </c>
      <c r="G2616" t="s">
        <v>6031</v>
      </c>
      <c r="H2616" t="str">
        <f>'Huong dan giao do an'!$B$14</f>
        <v>5 SV (vai trò chính): 1 PM/Scrum Master kiêm Integration; 2 BA/PO; 3 UI-UX + Frontend; 4 Backend/API + DevOps; 5 Database + QA/Tester. Mỗi SV có nhiệm vụ phụ và minh chứng cá nhân.</v>
      </c>
      <c r="I2616" t="s">
        <v>36</v>
      </c>
      <c r="J2616" t="s">
        <v>5993</v>
      </c>
      <c r="K2616" t="str">
        <f>IF(I2616="Trung bình",'Huong dan giao do an'!$B$8,IF(I2616="Khá",'Huong dan giao do an'!$B$9,'Huong dan giao do an'!$B$10))</f>
        <v>Tối thiểu 3 actor; 8-10 use case; 6-8 bảng dữ liệu; 2 quy trình lõi; đăng nhập/RBAC; 1 dashboard; 1 báo cáo; &gt;=25 test case; triển khai bản demo.</v>
      </c>
      <c r="L2616" t="str">
        <f>'Huong dan giao do an'!$B$31</f>
        <v>Bắt buộc: Charter/PMP; SRS + scope/WBS; Gantt/baseline; effort-cost budget; RACI/timesheet; quality-test-defect; communication/minutes; risk register; procurement; change log; closure/lessons learned.</v>
      </c>
      <c r="M2616" t="str">
        <f>'Huong dan giao do an'!$B$33</f>
        <v>Tuần 1: 07.09–13.09.2026; Tuần 2: 14.09–20.09.2026; Tuần 3: 21.09–27.09.2026; Tuần 4: 28.09–04.10.2026; Tuần 5: 05.10–11.10.2026; Tuần 6: 12.10–18.10.2026; Tuần 7: 19.10–25.10.2026; Tuần 8: 26.10–01.11.2026.</v>
      </c>
      <c r="N26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6" s="17" t="str">
        <f t="shared" si="40"/>
        <v>Còn trống</v>
      </c>
    </row>
    <row r="2617" spans="1:16" x14ac:dyDescent="0.3">
      <c r="A2617">
        <v>2616</v>
      </c>
      <c r="B2617" t="s">
        <v>5978</v>
      </c>
      <c r="C2617" t="s">
        <v>6032</v>
      </c>
      <c r="D2617" t="s">
        <v>6033</v>
      </c>
      <c r="E2617" t="s">
        <v>26</v>
      </c>
      <c r="F2617" t="s">
        <v>5981</v>
      </c>
      <c r="G2617" t="s">
        <v>6034</v>
      </c>
      <c r="H2617" t="str">
        <f>'Huong dan giao do an'!$B$14</f>
        <v>5 SV (vai trò chính): 1 PM/Scrum Master kiêm Integration; 2 BA/PO; 3 UI-UX + Frontend; 4 Backend/API + DevOps; 5 Database + QA/Tester. Mỗi SV có nhiệm vụ phụ và minh chứng cá nhân.</v>
      </c>
      <c r="I2617" t="s">
        <v>22</v>
      </c>
      <c r="J2617" t="s">
        <v>5983</v>
      </c>
      <c r="K2617" t="str">
        <f>IF(I2617="Trung bình",'Huong dan giao do an'!$B$8,IF(I2617="Khá",'Huong dan giao do an'!$B$9,'Huong dan giao do an'!$B$10))</f>
        <v>Tối thiểu 4 actor; 10-14 use case; 8-12 bảng; 3 quy trình lõi; phân quyền chi tiết; 2 báo cáo; tích hợp 1 dịch vụ; &gt;=35 test case; CI/CD hoặc deploy cloud.</v>
      </c>
      <c r="L2617" t="str">
        <f>'Huong dan giao do an'!$B$31</f>
        <v>Bắt buộc: Charter/PMP; SRS + scope/WBS; Gantt/baseline; effort-cost budget; RACI/timesheet; quality-test-defect; communication/minutes; risk register; procurement; change log; closure/lessons learned.</v>
      </c>
      <c r="M2617" t="str">
        <f>'Huong dan giao do an'!$B$33</f>
        <v>Tuần 1: 07.09–13.09.2026; Tuần 2: 14.09–20.09.2026; Tuần 3: 21.09–27.09.2026; Tuần 4: 28.09–04.10.2026; Tuần 5: 05.10–11.10.2026; Tuần 6: 12.10–18.10.2026; Tuần 7: 19.10–25.10.2026; Tuần 8: 26.10–01.11.2026.</v>
      </c>
      <c r="N26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7" s="17" t="str">
        <f t="shared" si="40"/>
        <v>Còn trống</v>
      </c>
    </row>
    <row r="2618" spans="1:16" x14ac:dyDescent="0.3">
      <c r="A2618">
        <v>2617</v>
      </c>
      <c r="B2618" t="s">
        <v>5978</v>
      </c>
      <c r="C2618" t="s">
        <v>6035</v>
      </c>
      <c r="D2618" t="s">
        <v>6036</v>
      </c>
      <c r="E2618" t="s">
        <v>33</v>
      </c>
      <c r="F2618" t="s">
        <v>5986</v>
      </c>
      <c r="G2618" t="s">
        <v>6037</v>
      </c>
      <c r="H2618" t="str">
        <f>'Huong dan giao do an'!$B$14</f>
        <v>5 SV (vai trò chính): 1 PM/Scrum Master kiêm Integration; 2 BA/PO; 3 UI-UX + Frontend; 4 Backend/API + DevOps; 5 Database + QA/Tester. Mỗi SV có nhiệm vụ phụ và minh chứng cá nhân.</v>
      </c>
      <c r="I2618" t="s">
        <v>29</v>
      </c>
      <c r="J2618" t="s">
        <v>5988</v>
      </c>
      <c r="K2618" t="str">
        <f>IF(I2618="Trung bình",'Huong dan giao do an'!$B$8,IF(I2618="Khá",'Huong dan giao do an'!$B$9,'Huong dan giao do an'!$B$10))</f>
        <v>Tối thiểu 5 actor; 14-18 use case; 10-15 bảng; 4 quy trình; tích hợp ngoài/realtime hoặc xử lý nâng cao; 3 báo cáo; &gt;=45 test case; logging, backup và deploy.</v>
      </c>
      <c r="L2618" t="str">
        <f>'Huong dan giao do an'!$B$31</f>
        <v>Bắt buộc: Charter/PMP; SRS + scope/WBS; Gantt/baseline; effort-cost budget; RACI/timesheet; quality-test-defect; communication/minutes; risk register; procurement; change log; closure/lessons learned.</v>
      </c>
      <c r="M2618" t="str">
        <f>'Huong dan giao do an'!$B$33</f>
        <v>Tuần 1: 07.09–13.09.2026; Tuần 2: 14.09–20.09.2026; Tuần 3: 21.09–27.09.2026; Tuần 4: 28.09–04.10.2026; Tuần 5: 05.10–11.10.2026; Tuần 6: 12.10–18.10.2026; Tuần 7: 19.10–25.10.2026; Tuần 8: 26.10–01.11.2026.</v>
      </c>
      <c r="N26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8" s="17" t="str">
        <f t="shared" si="40"/>
        <v>Còn trống</v>
      </c>
    </row>
    <row r="2619" spans="1:16" x14ac:dyDescent="0.3">
      <c r="A2619">
        <v>2618</v>
      </c>
      <c r="B2619" t="s">
        <v>5978</v>
      </c>
      <c r="C2619" t="s">
        <v>6038</v>
      </c>
      <c r="D2619" t="s">
        <v>6039</v>
      </c>
      <c r="E2619" t="s">
        <v>40</v>
      </c>
      <c r="F2619" t="s">
        <v>5991</v>
      </c>
      <c r="G2619" t="s">
        <v>6040</v>
      </c>
      <c r="H2619" t="str">
        <f>'Huong dan giao do an'!$B$14</f>
        <v>5 SV (vai trò chính): 1 PM/Scrum Master kiêm Integration; 2 BA/PO; 3 UI-UX + Frontend; 4 Backend/API + DevOps; 5 Database + QA/Tester. Mỗi SV có nhiệm vụ phụ và minh chứng cá nhân.</v>
      </c>
      <c r="I2619" t="s">
        <v>36</v>
      </c>
      <c r="J2619" t="s">
        <v>5993</v>
      </c>
      <c r="K2619" t="str">
        <f>IF(I2619="Trung bình",'Huong dan giao do an'!$B$8,IF(I2619="Khá",'Huong dan giao do an'!$B$9,'Huong dan giao do an'!$B$10))</f>
        <v>Tối thiểu 3 actor; 8-10 use case; 6-8 bảng dữ liệu; 2 quy trình lõi; đăng nhập/RBAC; 1 dashboard; 1 báo cáo; &gt;=25 test case; triển khai bản demo.</v>
      </c>
      <c r="L2619" t="str">
        <f>'Huong dan giao do an'!$B$31</f>
        <v>Bắt buộc: Charter/PMP; SRS + scope/WBS; Gantt/baseline; effort-cost budget; RACI/timesheet; quality-test-defect; communication/minutes; risk register; procurement; change log; closure/lessons learned.</v>
      </c>
      <c r="M2619" t="str">
        <f>'Huong dan giao do an'!$B$33</f>
        <v>Tuần 1: 07.09–13.09.2026; Tuần 2: 14.09–20.09.2026; Tuần 3: 21.09–27.09.2026; Tuần 4: 28.09–04.10.2026; Tuần 5: 05.10–11.10.2026; Tuần 6: 12.10–18.10.2026; Tuần 7: 19.10–25.10.2026; Tuần 8: 26.10–01.11.2026.</v>
      </c>
      <c r="N26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19" s="17" t="str">
        <f t="shared" si="40"/>
        <v>Còn trống</v>
      </c>
    </row>
    <row r="2620" spans="1:16" x14ac:dyDescent="0.3">
      <c r="A2620">
        <v>2619</v>
      </c>
      <c r="B2620" t="s">
        <v>5978</v>
      </c>
      <c r="C2620" t="s">
        <v>6041</v>
      </c>
      <c r="D2620" t="s">
        <v>6042</v>
      </c>
      <c r="E2620" t="s">
        <v>45</v>
      </c>
      <c r="F2620" t="s">
        <v>5996</v>
      </c>
      <c r="G2620" t="s">
        <v>6043</v>
      </c>
      <c r="H2620" t="str">
        <f>'Huong dan giao do an'!$B$14</f>
        <v>5 SV (vai trò chính): 1 PM/Scrum Master kiêm Integration; 2 BA/PO; 3 UI-UX + Frontend; 4 Backend/API + DevOps; 5 Database + QA/Tester. Mỗi SV có nhiệm vụ phụ và minh chứng cá nhân.</v>
      </c>
      <c r="I2620" t="s">
        <v>22</v>
      </c>
      <c r="J2620" t="s">
        <v>5983</v>
      </c>
      <c r="K2620" t="str">
        <f>IF(I2620="Trung bình",'Huong dan giao do an'!$B$8,IF(I2620="Khá",'Huong dan giao do an'!$B$9,'Huong dan giao do an'!$B$10))</f>
        <v>Tối thiểu 4 actor; 10-14 use case; 8-12 bảng; 3 quy trình lõi; phân quyền chi tiết; 2 báo cáo; tích hợp 1 dịch vụ; &gt;=35 test case; CI/CD hoặc deploy cloud.</v>
      </c>
      <c r="L2620" t="str">
        <f>'Huong dan giao do an'!$B$31</f>
        <v>Bắt buộc: Charter/PMP; SRS + scope/WBS; Gantt/baseline; effort-cost budget; RACI/timesheet; quality-test-defect; communication/minutes; risk register; procurement; change log; closure/lessons learned.</v>
      </c>
      <c r="M2620" t="str">
        <f>'Huong dan giao do an'!$B$33</f>
        <v>Tuần 1: 07.09–13.09.2026; Tuần 2: 14.09–20.09.2026; Tuần 3: 21.09–27.09.2026; Tuần 4: 28.09–04.10.2026; Tuần 5: 05.10–11.10.2026; Tuần 6: 12.10–18.10.2026; Tuần 7: 19.10–25.10.2026; Tuần 8: 26.10–01.11.2026.</v>
      </c>
      <c r="N26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0" s="17" t="str">
        <f t="shared" si="40"/>
        <v>Còn trống</v>
      </c>
    </row>
    <row r="2621" spans="1:16" x14ac:dyDescent="0.3">
      <c r="A2621">
        <v>2620</v>
      </c>
      <c r="B2621" t="s">
        <v>5978</v>
      </c>
      <c r="C2621" t="s">
        <v>6044</v>
      </c>
      <c r="D2621" t="s">
        <v>6045</v>
      </c>
      <c r="E2621" t="s">
        <v>19</v>
      </c>
      <c r="F2621" t="s">
        <v>6000</v>
      </c>
      <c r="G2621" t="s">
        <v>6046</v>
      </c>
      <c r="H2621" t="str">
        <f>'Huong dan giao do an'!$B$14</f>
        <v>5 SV (vai trò chính): 1 PM/Scrum Master kiêm Integration; 2 BA/PO; 3 UI-UX + Frontend; 4 Backend/API + DevOps; 5 Database + QA/Tester. Mỗi SV có nhiệm vụ phụ và minh chứng cá nhân.</v>
      </c>
      <c r="I2621" t="s">
        <v>29</v>
      </c>
      <c r="J2621" t="s">
        <v>5988</v>
      </c>
      <c r="K2621" t="str">
        <f>IF(I2621="Trung bình",'Huong dan giao do an'!$B$8,IF(I2621="Khá",'Huong dan giao do an'!$B$9,'Huong dan giao do an'!$B$10))</f>
        <v>Tối thiểu 5 actor; 14-18 use case; 10-15 bảng; 4 quy trình; tích hợp ngoài/realtime hoặc xử lý nâng cao; 3 báo cáo; &gt;=45 test case; logging, backup và deploy.</v>
      </c>
      <c r="L2621" t="str">
        <f>'Huong dan giao do an'!$B$31</f>
        <v>Bắt buộc: Charter/PMP; SRS + scope/WBS; Gantt/baseline; effort-cost budget; RACI/timesheet; quality-test-defect; communication/minutes; risk register; procurement; change log; closure/lessons learned.</v>
      </c>
      <c r="M2621" t="str">
        <f>'Huong dan giao do an'!$B$33</f>
        <v>Tuần 1: 07.09–13.09.2026; Tuần 2: 14.09–20.09.2026; Tuần 3: 21.09–27.09.2026; Tuần 4: 28.09–04.10.2026; Tuần 5: 05.10–11.10.2026; Tuần 6: 12.10–18.10.2026; Tuần 7: 19.10–25.10.2026; Tuần 8: 26.10–01.11.2026.</v>
      </c>
      <c r="N26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1" s="17" t="str">
        <f t="shared" si="40"/>
        <v>Còn trống</v>
      </c>
    </row>
    <row r="2622" spans="1:16" x14ac:dyDescent="0.3">
      <c r="A2622">
        <v>2621</v>
      </c>
      <c r="B2622" t="s">
        <v>5978</v>
      </c>
      <c r="C2622" t="s">
        <v>6047</v>
      </c>
      <c r="D2622" t="s">
        <v>6048</v>
      </c>
      <c r="E2622" t="s">
        <v>26</v>
      </c>
      <c r="F2622" t="s">
        <v>5981</v>
      </c>
      <c r="G2622" t="s">
        <v>5982</v>
      </c>
      <c r="H2622" t="str">
        <f>'Huong dan giao do an'!$B$14</f>
        <v>5 SV (vai trò chính): 1 PM/Scrum Master kiêm Integration; 2 BA/PO; 3 UI-UX + Frontend; 4 Backend/API + DevOps; 5 Database + QA/Tester. Mỗi SV có nhiệm vụ phụ và minh chứng cá nhân.</v>
      </c>
      <c r="I2622" t="s">
        <v>22</v>
      </c>
      <c r="J2622" t="s">
        <v>5983</v>
      </c>
      <c r="K2622" t="str">
        <f>IF(I2622="Trung bình",'Huong dan giao do an'!$B$8,IF(I2622="Khá",'Huong dan giao do an'!$B$9,'Huong dan giao do an'!$B$10))</f>
        <v>Tối thiểu 4 actor; 10-14 use case; 8-12 bảng; 3 quy trình lõi; phân quyền chi tiết; 2 báo cáo; tích hợp 1 dịch vụ; &gt;=35 test case; CI/CD hoặc deploy cloud.</v>
      </c>
      <c r="L2622" t="str">
        <f>'Huong dan giao do an'!$B$31</f>
        <v>Bắt buộc: Charter/PMP; SRS + scope/WBS; Gantt/baseline; effort-cost budget; RACI/timesheet; quality-test-defect; communication/minutes; risk register; procurement; change log; closure/lessons learned.</v>
      </c>
      <c r="M2622" t="str">
        <f>'Huong dan giao do an'!$B$33</f>
        <v>Tuần 1: 07.09–13.09.2026; Tuần 2: 14.09–20.09.2026; Tuần 3: 21.09–27.09.2026; Tuần 4: 28.09–04.10.2026; Tuần 5: 05.10–11.10.2026; Tuần 6: 12.10–18.10.2026; Tuần 7: 19.10–25.10.2026; Tuần 8: 26.10–01.11.2026.</v>
      </c>
      <c r="N26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2" s="17" t="str">
        <f t="shared" si="40"/>
        <v>Còn trống</v>
      </c>
    </row>
    <row r="2623" spans="1:16" x14ac:dyDescent="0.3">
      <c r="A2623">
        <v>2622</v>
      </c>
      <c r="B2623" t="s">
        <v>5978</v>
      </c>
      <c r="C2623" t="s">
        <v>6049</v>
      </c>
      <c r="D2623" t="s">
        <v>6050</v>
      </c>
      <c r="E2623" t="s">
        <v>33</v>
      </c>
      <c r="F2623" t="s">
        <v>5986</v>
      </c>
      <c r="G2623" t="s">
        <v>5987</v>
      </c>
      <c r="H2623" t="str">
        <f>'Huong dan giao do an'!$B$14</f>
        <v>5 SV (vai trò chính): 1 PM/Scrum Master kiêm Integration; 2 BA/PO; 3 UI-UX + Frontend; 4 Backend/API + DevOps; 5 Database + QA/Tester. Mỗi SV có nhiệm vụ phụ và minh chứng cá nhân.</v>
      </c>
      <c r="I2623" t="s">
        <v>29</v>
      </c>
      <c r="J2623" t="s">
        <v>5988</v>
      </c>
      <c r="K2623" t="str">
        <f>IF(I2623="Trung bình",'Huong dan giao do an'!$B$8,IF(I2623="Khá",'Huong dan giao do an'!$B$9,'Huong dan giao do an'!$B$10))</f>
        <v>Tối thiểu 5 actor; 14-18 use case; 10-15 bảng; 4 quy trình; tích hợp ngoài/realtime hoặc xử lý nâng cao; 3 báo cáo; &gt;=45 test case; logging, backup và deploy.</v>
      </c>
      <c r="L2623" t="str">
        <f>'Huong dan giao do an'!$B$31</f>
        <v>Bắt buộc: Charter/PMP; SRS + scope/WBS; Gantt/baseline; effort-cost budget; RACI/timesheet; quality-test-defect; communication/minutes; risk register; procurement; change log; closure/lessons learned.</v>
      </c>
      <c r="M2623" t="str">
        <f>'Huong dan giao do an'!$B$33</f>
        <v>Tuần 1: 07.09–13.09.2026; Tuần 2: 14.09–20.09.2026; Tuần 3: 21.09–27.09.2026; Tuần 4: 28.09–04.10.2026; Tuần 5: 05.10–11.10.2026; Tuần 6: 12.10–18.10.2026; Tuần 7: 19.10–25.10.2026; Tuần 8: 26.10–01.11.2026.</v>
      </c>
      <c r="N26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3" s="17" t="str">
        <f t="shared" si="40"/>
        <v>Còn trống</v>
      </c>
    </row>
    <row r="2624" spans="1:16" x14ac:dyDescent="0.3">
      <c r="A2624">
        <v>2623</v>
      </c>
      <c r="B2624" t="s">
        <v>5978</v>
      </c>
      <c r="C2624" t="s">
        <v>6051</v>
      </c>
      <c r="D2624" t="s">
        <v>6052</v>
      </c>
      <c r="E2624" t="s">
        <v>40</v>
      </c>
      <c r="F2624" t="s">
        <v>5991</v>
      </c>
      <c r="G2624" t="s">
        <v>5992</v>
      </c>
      <c r="H2624" t="str">
        <f>'Huong dan giao do an'!$B$14</f>
        <v>5 SV (vai trò chính): 1 PM/Scrum Master kiêm Integration; 2 BA/PO; 3 UI-UX + Frontend; 4 Backend/API + DevOps; 5 Database + QA/Tester. Mỗi SV có nhiệm vụ phụ và minh chứng cá nhân.</v>
      </c>
      <c r="I2624" t="s">
        <v>36</v>
      </c>
      <c r="J2624" t="s">
        <v>5993</v>
      </c>
      <c r="K2624" t="str">
        <f>IF(I2624="Trung bình",'Huong dan giao do an'!$B$8,IF(I2624="Khá",'Huong dan giao do an'!$B$9,'Huong dan giao do an'!$B$10))</f>
        <v>Tối thiểu 3 actor; 8-10 use case; 6-8 bảng dữ liệu; 2 quy trình lõi; đăng nhập/RBAC; 1 dashboard; 1 báo cáo; &gt;=25 test case; triển khai bản demo.</v>
      </c>
      <c r="L2624" t="str">
        <f>'Huong dan giao do an'!$B$31</f>
        <v>Bắt buộc: Charter/PMP; SRS + scope/WBS; Gantt/baseline; effort-cost budget; RACI/timesheet; quality-test-defect; communication/minutes; risk register; procurement; change log; closure/lessons learned.</v>
      </c>
      <c r="M2624" t="str">
        <f>'Huong dan giao do an'!$B$33</f>
        <v>Tuần 1: 07.09–13.09.2026; Tuần 2: 14.09–20.09.2026; Tuần 3: 21.09–27.09.2026; Tuần 4: 28.09–04.10.2026; Tuần 5: 05.10–11.10.2026; Tuần 6: 12.10–18.10.2026; Tuần 7: 19.10–25.10.2026; Tuần 8: 26.10–01.11.2026.</v>
      </c>
      <c r="N26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4" s="17" t="str">
        <f t="shared" si="40"/>
        <v>Còn trống</v>
      </c>
    </row>
    <row r="2625" spans="1:16" x14ac:dyDescent="0.3">
      <c r="A2625">
        <v>2624</v>
      </c>
      <c r="B2625" t="s">
        <v>5978</v>
      </c>
      <c r="C2625" t="s">
        <v>6053</v>
      </c>
      <c r="D2625" t="s">
        <v>6054</v>
      </c>
      <c r="E2625" t="s">
        <v>45</v>
      </c>
      <c r="F2625" t="s">
        <v>5996</v>
      </c>
      <c r="G2625" t="s">
        <v>5997</v>
      </c>
      <c r="H2625" t="str">
        <f>'Huong dan giao do an'!$B$14</f>
        <v>5 SV (vai trò chính): 1 PM/Scrum Master kiêm Integration; 2 BA/PO; 3 UI-UX + Frontend; 4 Backend/API + DevOps; 5 Database + QA/Tester. Mỗi SV có nhiệm vụ phụ và minh chứng cá nhân.</v>
      </c>
      <c r="I2625" t="s">
        <v>22</v>
      </c>
      <c r="J2625" t="s">
        <v>5983</v>
      </c>
      <c r="K2625" t="str">
        <f>IF(I2625="Trung bình",'Huong dan giao do an'!$B$8,IF(I2625="Khá",'Huong dan giao do an'!$B$9,'Huong dan giao do an'!$B$10))</f>
        <v>Tối thiểu 4 actor; 10-14 use case; 8-12 bảng; 3 quy trình lõi; phân quyền chi tiết; 2 báo cáo; tích hợp 1 dịch vụ; &gt;=35 test case; CI/CD hoặc deploy cloud.</v>
      </c>
      <c r="L2625" t="str">
        <f>'Huong dan giao do an'!$B$31</f>
        <v>Bắt buộc: Charter/PMP; SRS + scope/WBS; Gantt/baseline; effort-cost budget; RACI/timesheet; quality-test-defect; communication/minutes; risk register; procurement; change log; closure/lessons learned.</v>
      </c>
      <c r="M2625" t="str">
        <f>'Huong dan giao do an'!$B$33</f>
        <v>Tuần 1: 07.09–13.09.2026; Tuần 2: 14.09–20.09.2026; Tuần 3: 21.09–27.09.2026; Tuần 4: 28.09–04.10.2026; Tuần 5: 05.10–11.10.2026; Tuần 6: 12.10–18.10.2026; Tuần 7: 19.10–25.10.2026; Tuần 8: 26.10–01.11.2026.</v>
      </c>
      <c r="N26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5" s="17" t="str">
        <f t="shared" si="40"/>
        <v>Còn trống</v>
      </c>
    </row>
    <row r="2626" spans="1:16" x14ac:dyDescent="0.3">
      <c r="A2626">
        <v>2625</v>
      </c>
      <c r="B2626" t="s">
        <v>5978</v>
      </c>
      <c r="C2626" t="s">
        <v>6055</v>
      </c>
      <c r="D2626" t="s">
        <v>6056</v>
      </c>
      <c r="E2626" t="s">
        <v>19</v>
      </c>
      <c r="F2626" t="s">
        <v>6000</v>
      </c>
      <c r="G2626" t="s">
        <v>6001</v>
      </c>
      <c r="H2626" t="str">
        <f>'Huong dan giao do an'!$B$14</f>
        <v>5 SV (vai trò chính): 1 PM/Scrum Master kiêm Integration; 2 BA/PO; 3 UI-UX + Frontend; 4 Backend/API + DevOps; 5 Database + QA/Tester. Mỗi SV có nhiệm vụ phụ và minh chứng cá nhân.</v>
      </c>
      <c r="I2626" t="s">
        <v>29</v>
      </c>
      <c r="J2626" t="s">
        <v>5988</v>
      </c>
      <c r="K2626" t="str">
        <f>IF(I2626="Trung bình",'Huong dan giao do an'!$B$8,IF(I2626="Khá",'Huong dan giao do an'!$B$9,'Huong dan giao do an'!$B$10))</f>
        <v>Tối thiểu 5 actor; 14-18 use case; 10-15 bảng; 4 quy trình; tích hợp ngoài/realtime hoặc xử lý nâng cao; 3 báo cáo; &gt;=45 test case; logging, backup và deploy.</v>
      </c>
      <c r="L2626" t="str">
        <f>'Huong dan giao do an'!$B$31</f>
        <v>Bắt buộc: Charter/PMP; SRS + scope/WBS; Gantt/baseline; effort-cost budget; RACI/timesheet; quality-test-defect; communication/minutes; risk register; procurement; change log; closure/lessons learned.</v>
      </c>
      <c r="M2626" t="str">
        <f>'Huong dan giao do an'!$B$33</f>
        <v>Tuần 1: 07.09–13.09.2026; Tuần 2: 14.09–20.09.2026; Tuần 3: 21.09–27.09.2026; Tuần 4: 28.09–04.10.2026; Tuần 5: 05.10–11.10.2026; Tuần 6: 12.10–18.10.2026; Tuần 7: 19.10–25.10.2026; Tuần 8: 26.10–01.11.2026.</v>
      </c>
      <c r="N26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6" s="17" t="str">
        <f t="shared" si="40"/>
        <v>Còn trống</v>
      </c>
    </row>
    <row r="2627" spans="1:16" x14ac:dyDescent="0.3">
      <c r="A2627">
        <v>2626</v>
      </c>
      <c r="B2627" t="s">
        <v>5978</v>
      </c>
      <c r="C2627" t="s">
        <v>6057</v>
      </c>
      <c r="D2627" t="s">
        <v>6058</v>
      </c>
      <c r="E2627" t="s">
        <v>26</v>
      </c>
      <c r="F2627" t="s">
        <v>5981</v>
      </c>
      <c r="G2627" t="s">
        <v>6004</v>
      </c>
      <c r="H2627" t="str">
        <f>'Huong dan giao do an'!$B$14</f>
        <v>5 SV (vai trò chính): 1 PM/Scrum Master kiêm Integration; 2 BA/PO; 3 UI-UX + Frontend; 4 Backend/API + DevOps; 5 Database + QA/Tester. Mỗi SV có nhiệm vụ phụ và minh chứng cá nhân.</v>
      </c>
      <c r="I2627" t="s">
        <v>36</v>
      </c>
      <c r="J2627" t="s">
        <v>5993</v>
      </c>
      <c r="K2627" t="str">
        <f>IF(I2627="Trung bình",'Huong dan giao do an'!$B$8,IF(I2627="Khá",'Huong dan giao do an'!$B$9,'Huong dan giao do an'!$B$10))</f>
        <v>Tối thiểu 3 actor; 8-10 use case; 6-8 bảng dữ liệu; 2 quy trình lõi; đăng nhập/RBAC; 1 dashboard; 1 báo cáo; &gt;=25 test case; triển khai bản demo.</v>
      </c>
      <c r="L2627" t="str">
        <f>'Huong dan giao do an'!$B$31</f>
        <v>Bắt buộc: Charter/PMP; SRS + scope/WBS; Gantt/baseline; effort-cost budget; RACI/timesheet; quality-test-defect; communication/minutes; risk register; procurement; change log; closure/lessons learned.</v>
      </c>
      <c r="M2627" t="str">
        <f>'Huong dan giao do an'!$B$33</f>
        <v>Tuần 1: 07.09–13.09.2026; Tuần 2: 14.09–20.09.2026; Tuần 3: 21.09–27.09.2026; Tuần 4: 28.09–04.10.2026; Tuần 5: 05.10–11.10.2026; Tuần 6: 12.10–18.10.2026; Tuần 7: 19.10–25.10.2026; Tuần 8: 26.10–01.11.2026.</v>
      </c>
      <c r="N26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7" s="17" t="str">
        <f t="shared" ref="P2627:P2690" si="41">IF(O2627="","Còn trống","Đã đăng ký")</f>
        <v>Còn trống</v>
      </c>
    </row>
    <row r="2628" spans="1:16" x14ac:dyDescent="0.3">
      <c r="A2628">
        <v>2627</v>
      </c>
      <c r="B2628" t="s">
        <v>5978</v>
      </c>
      <c r="C2628" t="s">
        <v>6059</v>
      </c>
      <c r="D2628" t="s">
        <v>6060</v>
      </c>
      <c r="E2628" t="s">
        <v>33</v>
      </c>
      <c r="F2628" t="s">
        <v>5986</v>
      </c>
      <c r="G2628" t="s">
        <v>6007</v>
      </c>
      <c r="H2628" t="str">
        <f>'Huong dan giao do an'!$B$14</f>
        <v>5 SV (vai trò chính): 1 PM/Scrum Master kiêm Integration; 2 BA/PO; 3 UI-UX + Frontend; 4 Backend/API + DevOps; 5 Database + QA/Tester. Mỗi SV có nhiệm vụ phụ và minh chứng cá nhân.</v>
      </c>
      <c r="I2628" t="s">
        <v>22</v>
      </c>
      <c r="J2628" t="s">
        <v>5983</v>
      </c>
      <c r="K2628" t="str">
        <f>IF(I2628="Trung bình",'Huong dan giao do an'!$B$8,IF(I2628="Khá",'Huong dan giao do an'!$B$9,'Huong dan giao do an'!$B$10))</f>
        <v>Tối thiểu 4 actor; 10-14 use case; 8-12 bảng; 3 quy trình lõi; phân quyền chi tiết; 2 báo cáo; tích hợp 1 dịch vụ; &gt;=35 test case; CI/CD hoặc deploy cloud.</v>
      </c>
      <c r="L2628" t="str">
        <f>'Huong dan giao do an'!$B$31</f>
        <v>Bắt buộc: Charter/PMP; SRS + scope/WBS; Gantt/baseline; effort-cost budget; RACI/timesheet; quality-test-defect; communication/minutes; risk register; procurement; change log; closure/lessons learned.</v>
      </c>
      <c r="M2628" t="str">
        <f>'Huong dan giao do an'!$B$33</f>
        <v>Tuần 1: 07.09–13.09.2026; Tuần 2: 14.09–20.09.2026; Tuần 3: 21.09–27.09.2026; Tuần 4: 28.09–04.10.2026; Tuần 5: 05.10–11.10.2026; Tuần 6: 12.10–18.10.2026; Tuần 7: 19.10–25.10.2026; Tuần 8: 26.10–01.11.2026.</v>
      </c>
      <c r="N26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8" s="17" t="str">
        <f t="shared" si="41"/>
        <v>Còn trống</v>
      </c>
    </row>
    <row r="2629" spans="1:16" x14ac:dyDescent="0.3">
      <c r="A2629">
        <v>2628</v>
      </c>
      <c r="B2629" t="s">
        <v>5978</v>
      </c>
      <c r="C2629" t="s">
        <v>6061</v>
      </c>
      <c r="D2629" t="s">
        <v>6062</v>
      </c>
      <c r="E2629" t="s">
        <v>40</v>
      </c>
      <c r="F2629" t="s">
        <v>5991</v>
      </c>
      <c r="G2629" t="s">
        <v>6010</v>
      </c>
      <c r="H2629" t="str">
        <f>'Huong dan giao do an'!$B$14</f>
        <v>5 SV (vai trò chính): 1 PM/Scrum Master kiêm Integration; 2 BA/PO; 3 UI-UX + Frontend; 4 Backend/API + DevOps; 5 Database + QA/Tester. Mỗi SV có nhiệm vụ phụ và minh chứng cá nhân.</v>
      </c>
      <c r="I2629" t="s">
        <v>29</v>
      </c>
      <c r="J2629" t="s">
        <v>5988</v>
      </c>
      <c r="K2629" t="str">
        <f>IF(I2629="Trung bình",'Huong dan giao do an'!$B$8,IF(I2629="Khá",'Huong dan giao do an'!$B$9,'Huong dan giao do an'!$B$10))</f>
        <v>Tối thiểu 5 actor; 14-18 use case; 10-15 bảng; 4 quy trình; tích hợp ngoài/realtime hoặc xử lý nâng cao; 3 báo cáo; &gt;=45 test case; logging, backup và deploy.</v>
      </c>
      <c r="L2629" t="str">
        <f>'Huong dan giao do an'!$B$31</f>
        <v>Bắt buộc: Charter/PMP; SRS + scope/WBS; Gantt/baseline; effort-cost budget; RACI/timesheet; quality-test-defect; communication/minutes; risk register; procurement; change log; closure/lessons learned.</v>
      </c>
      <c r="M2629" t="str">
        <f>'Huong dan giao do an'!$B$33</f>
        <v>Tuần 1: 07.09–13.09.2026; Tuần 2: 14.09–20.09.2026; Tuần 3: 21.09–27.09.2026; Tuần 4: 28.09–04.10.2026; Tuần 5: 05.10–11.10.2026; Tuần 6: 12.10–18.10.2026; Tuần 7: 19.10–25.10.2026; Tuần 8: 26.10–01.11.2026.</v>
      </c>
      <c r="N26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29" s="17" t="str">
        <f t="shared" si="41"/>
        <v>Còn trống</v>
      </c>
    </row>
    <row r="2630" spans="1:16" x14ac:dyDescent="0.3">
      <c r="A2630">
        <v>2629</v>
      </c>
      <c r="B2630" t="s">
        <v>5978</v>
      </c>
      <c r="C2630" t="s">
        <v>6063</v>
      </c>
      <c r="D2630" t="s">
        <v>6064</v>
      </c>
      <c r="E2630" t="s">
        <v>45</v>
      </c>
      <c r="F2630" t="s">
        <v>5996</v>
      </c>
      <c r="G2630" t="s">
        <v>6013</v>
      </c>
      <c r="H2630" t="str">
        <f>'Huong dan giao do an'!$B$14</f>
        <v>5 SV (vai trò chính): 1 PM/Scrum Master kiêm Integration; 2 BA/PO; 3 UI-UX + Frontend; 4 Backend/API + DevOps; 5 Database + QA/Tester. Mỗi SV có nhiệm vụ phụ và minh chứng cá nhân.</v>
      </c>
      <c r="I2630" t="s">
        <v>36</v>
      </c>
      <c r="J2630" t="s">
        <v>5993</v>
      </c>
      <c r="K2630" t="str">
        <f>IF(I2630="Trung bình",'Huong dan giao do an'!$B$8,IF(I2630="Khá",'Huong dan giao do an'!$B$9,'Huong dan giao do an'!$B$10))</f>
        <v>Tối thiểu 3 actor; 8-10 use case; 6-8 bảng dữ liệu; 2 quy trình lõi; đăng nhập/RBAC; 1 dashboard; 1 báo cáo; &gt;=25 test case; triển khai bản demo.</v>
      </c>
      <c r="L2630" t="str">
        <f>'Huong dan giao do an'!$B$31</f>
        <v>Bắt buộc: Charter/PMP; SRS + scope/WBS; Gantt/baseline; effort-cost budget; RACI/timesheet; quality-test-defect; communication/minutes; risk register; procurement; change log; closure/lessons learned.</v>
      </c>
      <c r="M2630" t="str">
        <f>'Huong dan giao do an'!$B$33</f>
        <v>Tuần 1: 07.09–13.09.2026; Tuần 2: 14.09–20.09.2026; Tuần 3: 21.09–27.09.2026; Tuần 4: 28.09–04.10.2026; Tuần 5: 05.10–11.10.2026; Tuần 6: 12.10–18.10.2026; Tuần 7: 19.10–25.10.2026; Tuần 8: 26.10–01.11.2026.</v>
      </c>
      <c r="N26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0" s="17" t="str">
        <f t="shared" si="41"/>
        <v>Còn trống</v>
      </c>
    </row>
    <row r="2631" spans="1:16" x14ac:dyDescent="0.3">
      <c r="A2631">
        <v>2630</v>
      </c>
      <c r="B2631" t="s">
        <v>5978</v>
      </c>
      <c r="C2631" t="s">
        <v>6065</v>
      </c>
      <c r="D2631" t="s">
        <v>6066</v>
      </c>
      <c r="E2631" t="s">
        <v>19</v>
      </c>
      <c r="F2631" t="s">
        <v>6000</v>
      </c>
      <c r="G2631" t="s">
        <v>6016</v>
      </c>
      <c r="H2631" t="str">
        <f>'Huong dan giao do an'!$B$14</f>
        <v>5 SV (vai trò chính): 1 PM/Scrum Master kiêm Integration; 2 BA/PO; 3 UI-UX + Frontend; 4 Backend/API + DevOps; 5 Database + QA/Tester. Mỗi SV có nhiệm vụ phụ và minh chứng cá nhân.</v>
      </c>
      <c r="I2631" t="s">
        <v>22</v>
      </c>
      <c r="J2631" t="s">
        <v>5983</v>
      </c>
      <c r="K2631" t="str">
        <f>IF(I2631="Trung bình",'Huong dan giao do an'!$B$8,IF(I2631="Khá",'Huong dan giao do an'!$B$9,'Huong dan giao do an'!$B$10))</f>
        <v>Tối thiểu 4 actor; 10-14 use case; 8-12 bảng; 3 quy trình lõi; phân quyền chi tiết; 2 báo cáo; tích hợp 1 dịch vụ; &gt;=35 test case; CI/CD hoặc deploy cloud.</v>
      </c>
      <c r="L2631" t="str">
        <f>'Huong dan giao do an'!$B$31</f>
        <v>Bắt buộc: Charter/PMP; SRS + scope/WBS; Gantt/baseline; effort-cost budget; RACI/timesheet; quality-test-defect; communication/minutes; risk register; procurement; change log; closure/lessons learned.</v>
      </c>
      <c r="M2631" t="str">
        <f>'Huong dan giao do an'!$B$33</f>
        <v>Tuần 1: 07.09–13.09.2026; Tuần 2: 14.09–20.09.2026; Tuần 3: 21.09–27.09.2026; Tuần 4: 28.09–04.10.2026; Tuần 5: 05.10–11.10.2026; Tuần 6: 12.10–18.10.2026; Tuần 7: 19.10–25.10.2026; Tuần 8: 26.10–01.11.2026.</v>
      </c>
      <c r="N26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1" s="17" t="str">
        <f t="shared" si="41"/>
        <v>Còn trống</v>
      </c>
    </row>
    <row r="2632" spans="1:16" x14ac:dyDescent="0.3">
      <c r="A2632">
        <v>2631</v>
      </c>
      <c r="B2632" t="s">
        <v>5978</v>
      </c>
      <c r="C2632" t="s">
        <v>6067</v>
      </c>
      <c r="D2632" t="s">
        <v>6068</v>
      </c>
      <c r="E2632" t="s">
        <v>26</v>
      </c>
      <c r="F2632" t="s">
        <v>5981</v>
      </c>
      <c r="G2632" t="s">
        <v>6019</v>
      </c>
      <c r="H2632" t="str">
        <f>'Huong dan giao do an'!$B$14</f>
        <v>5 SV (vai trò chính): 1 PM/Scrum Master kiêm Integration; 2 BA/PO; 3 UI-UX + Frontend; 4 Backend/API + DevOps; 5 Database + QA/Tester. Mỗi SV có nhiệm vụ phụ và minh chứng cá nhân.</v>
      </c>
      <c r="I2632" t="s">
        <v>29</v>
      </c>
      <c r="J2632" t="s">
        <v>5988</v>
      </c>
      <c r="K2632" t="str">
        <f>IF(I2632="Trung bình",'Huong dan giao do an'!$B$8,IF(I2632="Khá",'Huong dan giao do an'!$B$9,'Huong dan giao do an'!$B$10))</f>
        <v>Tối thiểu 5 actor; 14-18 use case; 10-15 bảng; 4 quy trình; tích hợp ngoài/realtime hoặc xử lý nâng cao; 3 báo cáo; &gt;=45 test case; logging, backup và deploy.</v>
      </c>
      <c r="L2632" t="str">
        <f>'Huong dan giao do an'!$B$31</f>
        <v>Bắt buộc: Charter/PMP; SRS + scope/WBS; Gantt/baseline; effort-cost budget; RACI/timesheet; quality-test-defect; communication/minutes; risk register; procurement; change log; closure/lessons learned.</v>
      </c>
      <c r="M2632" t="str">
        <f>'Huong dan giao do an'!$B$33</f>
        <v>Tuần 1: 07.09–13.09.2026; Tuần 2: 14.09–20.09.2026; Tuần 3: 21.09–27.09.2026; Tuần 4: 28.09–04.10.2026; Tuần 5: 05.10–11.10.2026; Tuần 6: 12.10–18.10.2026; Tuần 7: 19.10–25.10.2026; Tuần 8: 26.10–01.11.2026.</v>
      </c>
      <c r="N26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2" s="17" t="str">
        <f t="shared" si="41"/>
        <v>Còn trống</v>
      </c>
    </row>
    <row r="2633" spans="1:16" x14ac:dyDescent="0.3">
      <c r="A2633">
        <v>2632</v>
      </c>
      <c r="B2633" t="s">
        <v>5978</v>
      </c>
      <c r="C2633" t="s">
        <v>6069</v>
      </c>
      <c r="D2633" t="s">
        <v>6070</v>
      </c>
      <c r="E2633" t="s">
        <v>33</v>
      </c>
      <c r="F2633" t="s">
        <v>5986</v>
      </c>
      <c r="G2633" t="s">
        <v>6022</v>
      </c>
      <c r="H2633" t="str">
        <f>'Huong dan giao do an'!$B$14</f>
        <v>5 SV (vai trò chính): 1 PM/Scrum Master kiêm Integration; 2 BA/PO; 3 UI-UX + Frontend; 4 Backend/API + DevOps; 5 Database + QA/Tester. Mỗi SV có nhiệm vụ phụ và minh chứng cá nhân.</v>
      </c>
      <c r="I2633" t="s">
        <v>36</v>
      </c>
      <c r="J2633" t="s">
        <v>5993</v>
      </c>
      <c r="K2633" t="str">
        <f>IF(I2633="Trung bình",'Huong dan giao do an'!$B$8,IF(I2633="Khá",'Huong dan giao do an'!$B$9,'Huong dan giao do an'!$B$10))</f>
        <v>Tối thiểu 3 actor; 8-10 use case; 6-8 bảng dữ liệu; 2 quy trình lõi; đăng nhập/RBAC; 1 dashboard; 1 báo cáo; &gt;=25 test case; triển khai bản demo.</v>
      </c>
      <c r="L2633" t="str">
        <f>'Huong dan giao do an'!$B$31</f>
        <v>Bắt buộc: Charter/PMP; SRS + scope/WBS; Gantt/baseline; effort-cost budget; RACI/timesheet; quality-test-defect; communication/minutes; risk register; procurement; change log; closure/lessons learned.</v>
      </c>
      <c r="M2633" t="str">
        <f>'Huong dan giao do an'!$B$33</f>
        <v>Tuần 1: 07.09–13.09.2026; Tuần 2: 14.09–20.09.2026; Tuần 3: 21.09–27.09.2026; Tuần 4: 28.09–04.10.2026; Tuần 5: 05.10–11.10.2026; Tuần 6: 12.10–18.10.2026; Tuần 7: 19.10–25.10.2026; Tuần 8: 26.10–01.11.2026.</v>
      </c>
      <c r="N26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3" s="17" t="str">
        <f t="shared" si="41"/>
        <v>Còn trống</v>
      </c>
    </row>
    <row r="2634" spans="1:16" x14ac:dyDescent="0.3">
      <c r="A2634">
        <v>2633</v>
      </c>
      <c r="B2634" t="s">
        <v>5978</v>
      </c>
      <c r="C2634" t="s">
        <v>6071</v>
      </c>
      <c r="D2634" t="s">
        <v>6072</v>
      </c>
      <c r="E2634" t="s">
        <v>40</v>
      </c>
      <c r="F2634" t="s">
        <v>5991</v>
      </c>
      <c r="G2634" t="s">
        <v>6025</v>
      </c>
      <c r="H2634" t="str">
        <f>'Huong dan giao do an'!$B$14</f>
        <v>5 SV (vai trò chính): 1 PM/Scrum Master kiêm Integration; 2 BA/PO; 3 UI-UX + Frontend; 4 Backend/API + DevOps; 5 Database + QA/Tester. Mỗi SV có nhiệm vụ phụ và minh chứng cá nhân.</v>
      </c>
      <c r="I2634" t="s">
        <v>22</v>
      </c>
      <c r="J2634" t="s">
        <v>5983</v>
      </c>
      <c r="K2634" t="str">
        <f>IF(I2634="Trung bình",'Huong dan giao do an'!$B$8,IF(I2634="Khá",'Huong dan giao do an'!$B$9,'Huong dan giao do an'!$B$10))</f>
        <v>Tối thiểu 4 actor; 10-14 use case; 8-12 bảng; 3 quy trình lõi; phân quyền chi tiết; 2 báo cáo; tích hợp 1 dịch vụ; &gt;=35 test case; CI/CD hoặc deploy cloud.</v>
      </c>
      <c r="L2634" t="str">
        <f>'Huong dan giao do an'!$B$31</f>
        <v>Bắt buộc: Charter/PMP; SRS + scope/WBS; Gantt/baseline; effort-cost budget; RACI/timesheet; quality-test-defect; communication/minutes; risk register; procurement; change log; closure/lessons learned.</v>
      </c>
      <c r="M2634" t="str">
        <f>'Huong dan giao do an'!$B$33</f>
        <v>Tuần 1: 07.09–13.09.2026; Tuần 2: 14.09–20.09.2026; Tuần 3: 21.09–27.09.2026; Tuần 4: 28.09–04.10.2026; Tuần 5: 05.10–11.10.2026; Tuần 6: 12.10–18.10.2026; Tuần 7: 19.10–25.10.2026; Tuần 8: 26.10–01.11.2026.</v>
      </c>
      <c r="N26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4" s="17" t="str">
        <f t="shared" si="41"/>
        <v>Còn trống</v>
      </c>
    </row>
    <row r="2635" spans="1:16" x14ac:dyDescent="0.3">
      <c r="A2635">
        <v>2634</v>
      </c>
      <c r="B2635" t="s">
        <v>5978</v>
      </c>
      <c r="C2635" t="s">
        <v>6073</v>
      </c>
      <c r="D2635" t="s">
        <v>6074</v>
      </c>
      <c r="E2635" t="s">
        <v>45</v>
      </c>
      <c r="F2635" t="s">
        <v>5996</v>
      </c>
      <c r="G2635" t="s">
        <v>6028</v>
      </c>
      <c r="H2635" t="str">
        <f>'Huong dan giao do an'!$B$14</f>
        <v>5 SV (vai trò chính): 1 PM/Scrum Master kiêm Integration; 2 BA/PO; 3 UI-UX + Frontend; 4 Backend/API + DevOps; 5 Database + QA/Tester. Mỗi SV có nhiệm vụ phụ và minh chứng cá nhân.</v>
      </c>
      <c r="I2635" t="s">
        <v>29</v>
      </c>
      <c r="J2635" t="s">
        <v>5988</v>
      </c>
      <c r="K2635" t="str">
        <f>IF(I2635="Trung bình",'Huong dan giao do an'!$B$8,IF(I2635="Khá",'Huong dan giao do an'!$B$9,'Huong dan giao do an'!$B$10))</f>
        <v>Tối thiểu 5 actor; 14-18 use case; 10-15 bảng; 4 quy trình; tích hợp ngoài/realtime hoặc xử lý nâng cao; 3 báo cáo; &gt;=45 test case; logging, backup và deploy.</v>
      </c>
      <c r="L2635" t="str">
        <f>'Huong dan giao do an'!$B$31</f>
        <v>Bắt buộc: Charter/PMP; SRS + scope/WBS; Gantt/baseline; effort-cost budget; RACI/timesheet; quality-test-defect; communication/minutes; risk register; procurement; change log; closure/lessons learned.</v>
      </c>
      <c r="M2635" t="str">
        <f>'Huong dan giao do an'!$B$33</f>
        <v>Tuần 1: 07.09–13.09.2026; Tuần 2: 14.09–20.09.2026; Tuần 3: 21.09–27.09.2026; Tuần 4: 28.09–04.10.2026; Tuần 5: 05.10–11.10.2026; Tuần 6: 12.10–18.10.2026; Tuần 7: 19.10–25.10.2026; Tuần 8: 26.10–01.11.2026.</v>
      </c>
      <c r="N26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5" s="17" t="str">
        <f t="shared" si="41"/>
        <v>Còn trống</v>
      </c>
    </row>
    <row r="2636" spans="1:16" x14ac:dyDescent="0.3">
      <c r="A2636">
        <v>2635</v>
      </c>
      <c r="B2636" t="s">
        <v>5978</v>
      </c>
      <c r="C2636" t="s">
        <v>6075</v>
      </c>
      <c r="D2636" t="s">
        <v>6076</v>
      </c>
      <c r="E2636" t="s">
        <v>19</v>
      </c>
      <c r="F2636" t="s">
        <v>6000</v>
      </c>
      <c r="G2636" t="s">
        <v>6031</v>
      </c>
      <c r="H2636" t="str">
        <f>'Huong dan giao do an'!$B$14</f>
        <v>5 SV (vai trò chính): 1 PM/Scrum Master kiêm Integration; 2 BA/PO; 3 UI-UX + Frontend; 4 Backend/API + DevOps; 5 Database + QA/Tester. Mỗi SV có nhiệm vụ phụ và minh chứng cá nhân.</v>
      </c>
      <c r="I2636" t="s">
        <v>36</v>
      </c>
      <c r="J2636" t="s">
        <v>5993</v>
      </c>
      <c r="K2636" t="str">
        <f>IF(I2636="Trung bình",'Huong dan giao do an'!$B$8,IF(I2636="Khá",'Huong dan giao do an'!$B$9,'Huong dan giao do an'!$B$10))</f>
        <v>Tối thiểu 3 actor; 8-10 use case; 6-8 bảng dữ liệu; 2 quy trình lõi; đăng nhập/RBAC; 1 dashboard; 1 báo cáo; &gt;=25 test case; triển khai bản demo.</v>
      </c>
      <c r="L2636" t="str">
        <f>'Huong dan giao do an'!$B$31</f>
        <v>Bắt buộc: Charter/PMP; SRS + scope/WBS; Gantt/baseline; effort-cost budget; RACI/timesheet; quality-test-defect; communication/minutes; risk register; procurement; change log; closure/lessons learned.</v>
      </c>
      <c r="M2636" t="str">
        <f>'Huong dan giao do an'!$B$33</f>
        <v>Tuần 1: 07.09–13.09.2026; Tuần 2: 14.09–20.09.2026; Tuần 3: 21.09–27.09.2026; Tuần 4: 28.09–04.10.2026; Tuần 5: 05.10–11.10.2026; Tuần 6: 12.10–18.10.2026; Tuần 7: 19.10–25.10.2026; Tuần 8: 26.10–01.11.2026.</v>
      </c>
      <c r="N26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6" s="17" t="str">
        <f t="shared" si="41"/>
        <v>Còn trống</v>
      </c>
    </row>
    <row r="2637" spans="1:16" x14ac:dyDescent="0.3">
      <c r="A2637">
        <v>2636</v>
      </c>
      <c r="B2637" t="s">
        <v>5978</v>
      </c>
      <c r="C2637" t="s">
        <v>6077</v>
      </c>
      <c r="D2637" t="s">
        <v>6078</v>
      </c>
      <c r="E2637" t="s">
        <v>26</v>
      </c>
      <c r="F2637" t="s">
        <v>5981</v>
      </c>
      <c r="G2637" t="s">
        <v>6034</v>
      </c>
      <c r="H2637" t="str">
        <f>'Huong dan giao do an'!$B$14</f>
        <v>5 SV (vai trò chính): 1 PM/Scrum Master kiêm Integration; 2 BA/PO; 3 UI-UX + Frontend; 4 Backend/API + DevOps; 5 Database + QA/Tester. Mỗi SV có nhiệm vụ phụ và minh chứng cá nhân.</v>
      </c>
      <c r="I2637" t="s">
        <v>22</v>
      </c>
      <c r="J2637" t="s">
        <v>5983</v>
      </c>
      <c r="K2637" t="str">
        <f>IF(I2637="Trung bình",'Huong dan giao do an'!$B$8,IF(I2637="Khá",'Huong dan giao do an'!$B$9,'Huong dan giao do an'!$B$10))</f>
        <v>Tối thiểu 4 actor; 10-14 use case; 8-12 bảng; 3 quy trình lõi; phân quyền chi tiết; 2 báo cáo; tích hợp 1 dịch vụ; &gt;=35 test case; CI/CD hoặc deploy cloud.</v>
      </c>
      <c r="L2637" t="str">
        <f>'Huong dan giao do an'!$B$31</f>
        <v>Bắt buộc: Charter/PMP; SRS + scope/WBS; Gantt/baseline; effort-cost budget; RACI/timesheet; quality-test-defect; communication/minutes; risk register; procurement; change log; closure/lessons learned.</v>
      </c>
      <c r="M2637" t="str">
        <f>'Huong dan giao do an'!$B$33</f>
        <v>Tuần 1: 07.09–13.09.2026; Tuần 2: 14.09–20.09.2026; Tuần 3: 21.09–27.09.2026; Tuần 4: 28.09–04.10.2026; Tuần 5: 05.10–11.10.2026; Tuần 6: 12.10–18.10.2026; Tuần 7: 19.10–25.10.2026; Tuần 8: 26.10–01.11.2026.</v>
      </c>
      <c r="N26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7" s="17" t="str">
        <f t="shared" si="41"/>
        <v>Còn trống</v>
      </c>
    </row>
    <row r="2638" spans="1:16" x14ac:dyDescent="0.3">
      <c r="A2638">
        <v>2637</v>
      </c>
      <c r="B2638" t="s">
        <v>5978</v>
      </c>
      <c r="C2638" t="s">
        <v>6079</v>
      </c>
      <c r="D2638" t="s">
        <v>6080</v>
      </c>
      <c r="E2638" t="s">
        <v>33</v>
      </c>
      <c r="F2638" t="s">
        <v>5986</v>
      </c>
      <c r="G2638" t="s">
        <v>6037</v>
      </c>
      <c r="H2638" t="str">
        <f>'Huong dan giao do an'!$B$14</f>
        <v>5 SV (vai trò chính): 1 PM/Scrum Master kiêm Integration; 2 BA/PO; 3 UI-UX + Frontend; 4 Backend/API + DevOps; 5 Database + QA/Tester. Mỗi SV có nhiệm vụ phụ và minh chứng cá nhân.</v>
      </c>
      <c r="I2638" t="s">
        <v>29</v>
      </c>
      <c r="J2638" t="s">
        <v>5988</v>
      </c>
      <c r="K2638" t="str">
        <f>IF(I2638="Trung bình",'Huong dan giao do an'!$B$8,IF(I2638="Khá",'Huong dan giao do an'!$B$9,'Huong dan giao do an'!$B$10))</f>
        <v>Tối thiểu 5 actor; 14-18 use case; 10-15 bảng; 4 quy trình; tích hợp ngoài/realtime hoặc xử lý nâng cao; 3 báo cáo; &gt;=45 test case; logging, backup và deploy.</v>
      </c>
      <c r="L2638" t="str">
        <f>'Huong dan giao do an'!$B$31</f>
        <v>Bắt buộc: Charter/PMP; SRS + scope/WBS; Gantt/baseline; effort-cost budget; RACI/timesheet; quality-test-defect; communication/minutes; risk register; procurement; change log; closure/lessons learned.</v>
      </c>
      <c r="M2638" t="str">
        <f>'Huong dan giao do an'!$B$33</f>
        <v>Tuần 1: 07.09–13.09.2026; Tuần 2: 14.09–20.09.2026; Tuần 3: 21.09–27.09.2026; Tuần 4: 28.09–04.10.2026; Tuần 5: 05.10–11.10.2026; Tuần 6: 12.10–18.10.2026; Tuần 7: 19.10–25.10.2026; Tuần 8: 26.10–01.11.2026.</v>
      </c>
      <c r="N26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8" s="17" t="str">
        <f t="shared" si="41"/>
        <v>Còn trống</v>
      </c>
    </row>
    <row r="2639" spans="1:16" x14ac:dyDescent="0.3">
      <c r="A2639">
        <v>2638</v>
      </c>
      <c r="B2639" t="s">
        <v>5978</v>
      </c>
      <c r="C2639" t="s">
        <v>6081</v>
      </c>
      <c r="D2639" t="s">
        <v>6082</v>
      </c>
      <c r="E2639" t="s">
        <v>40</v>
      </c>
      <c r="F2639" t="s">
        <v>5991</v>
      </c>
      <c r="G2639" t="s">
        <v>6040</v>
      </c>
      <c r="H2639" t="str">
        <f>'Huong dan giao do an'!$B$14</f>
        <v>5 SV (vai trò chính): 1 PM/Scrum Master kiêm Integration; 2 BA/PO; 3 UI-UX + Frontend; 4 Backend/API + DevOps; 5 Database + QA/Tester. Mỗi SV có nhiệm vụ phụ và minh chứng cá nhân.</v>
      </c>
      <c r="I2639" t="s">
        <v>36</v>
      </c>
      <c r="J2639" t="s">
        <v>5993</v>
      </c>
      <c r="K2639" t="str">
        <f>IF(I2639="Trung bình",'Huong dan giao do an'!$B$8,IF(I2639="Khá",'Huong dan giao do an'!$B$9,'Huong dan giao do an'!$B$10))</f>
        <v>Tối thiểu 3 actor; 8-10 use case; 6-8 bảng dữ liệu; 2 quy trình lõi; đăng nhập/RBAC; 1 dashboard; 1 báo cáo; &gt;=25 test case; triển khai bản demo.</v>
      </c>
      <c r="L2639" t="str">
        <f>'Huong dan giao do an'!$B$31</f>
        <v>Bắt buộc: Charter/PMP; SRS + scope/WBS; Gantt/baseline; effort-cost budget; RACI/timesheet; quality-test-defect; communication/minutes; risk register; procurement; change log; closure/lessons learned.</v>
      </c>
      <c r="M2639" t="str">
        <f>'Huong dan giao do an'!$B$33</f>
        <v>Tuần 1: 07.09–13.09.2026; Tuần 2: 14.09–20.09.2026; Tuần 3: 21.09–27.09.2026; Tuần 4: 28.09–04.10.2026; Tuần 5: 05.10–11.10.2026; Tuần 6: 12.10–18.10.2026; Tuần 7: 19.10–25.10.2026; Tuần 8: 26.10–01.11.2026.</v>
      </c>
      <c r="N26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39" s="17" t="str">
        <f t="shared" si="41"/>
        <v>Còn trống</v>
      </c>
    </row>
    <row r="2640" spans="1:16" x14ac:dyDescent="0.3">
      <c r="A2640">
        <v>2639</v>
      </c>
      <c r="B2640" t="s">
        <v>5978</v>
      </c>
      <c r="C2640" t="s">
        <v>6083</v>
      </c>
      <c r="D2640" t="s">
        <v>6084</v>
      </c>
      <c r="E2640" t="s">
        <v>45</v>
      </c>
      <c r="F2640" t="s">
        <v>5996</v>
      </c>
      <c r="G2640" t="s">
        <v>6043</v>
      </c>
      <c r="H2640" t="str">
        <f>'Huong dan giao do an'!$B$14</f>
        <v>5 SV (vai trò chính): 1 PM/Scrum Master kiêm Integration; 2 BA/PO; 3 UI-UX + Frontend; 4 Backend/API + DevOps; 5 Database + QA/Tester. Mỗi SV có nhiệm vụ phụ và minh chứng cá nhân.</v>
      </c>
      <c r="I2640" t="s">
        <v>22</v>
      </c>
      <c r="J2640" t="s">
        <v>5983</v>
      </c>
      <c r="K2640" t="str">
        <f>IF(I2640="Trung bình",'Huong dan giao do an'!$B$8,IF(I2640="Khá",'Huong dan giao do an'!$B$9,'Huong dan giao do an'!$B$10))</f>
        <v>Tối thiểu 4 actor; 10-14 use case; 8-12 bảng; 3 quy trình lõi; phân quyền chi tiết; 2 báo cáo; tích hợp 1 dịch vụ; &gt;=35 test case; CI/CD hoặc deploy cloud.</v>
      </c>
      <c r="L2640" t="str">
        <f>'Huong dan giao do an'!$B$31</f>
        <v>Bắt buộc: Charter/PMP; SRS + scope/WBS; Gantt/baseline; effort-cost budget; RACI/timesheet; quality-test-defect; communication/minutes; risk register; procurement; change log; closure/lessons learned.</v>
      </c>
      <c r="M2640" t="str">
        <f>'Huong dan giao do an'!$B$33</f>
        <v>Tuần 1: 07.09–13.09.2026; Tuần 2: 14.09–20.09.2026; Tuần 3: 21.09–27.09.2026; Tuần 4: 28.09–04.10.2026; Tuần 5: 05.10–11.10.2026; Tuần 6: 12.10–18.10.2026; Tuần 7: 19.10–25.10.2026; Tuần 8: 26.10–01.11.2026.</v>
      </c>
      <c r="N26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0" s="17" t="str">
        <f t="shared" si="41"/>
        <v>Còn trống</v>
      </c>
    </row>
    <row r="2641" spans="1:16" x14ac:dyDescent="0.3">
      <c r="A2641">
        <v>2640</v>
      </c>
      <c r="B2641" t="s">
        <v>5978</v>
      </c>
      <c r="C2641" t="s">
        <v>6085</v>
      </c>
      <c r="D2641" t="s">
        <v>6086</v>
      </c>
      <c r="E2641" t="s">
        <v>19</v>
      </c>
      <c r="F2641" t="s">
        <v>6000</v>
      </c>
      <c r="G2641" t="s">
        <v>6046</v>
      </c>
      <c r="H2641" t="str">
        <f>'Huong dan giao do an'!$B$14</f>
        <v>5 SV (vai trò chính): 1 PM/Scrum Master kiêm Integration; 2 BA/PO; 3 UI-UX + Frontend; 4 Backend/API + DevOps; 5 Database + QA/Tester. Mỗi SV có nhiệm vụ phụ và minh chứng cá nhân.</v>
      </c>
      <c r="I2641" t="s">
        <v>29</v>
      </c>
      <c r="J2641" t="s">
        <v>5988</v>
      </c>
      <c r="K2641" t="str">
        <f>IF(I2641="Trung bình",'Huong dan giao do an'!$B$8,IF(I2641="Khá",'Huong dan giao do an'!$B$9,'Huong dan giao do an'!$B$10))</f>
        <v>Tối thiểu 5 actor; 14-18 use case; 10-15 bảng; 4 quy trình; tích hợp ngoài/realtime hoặc xử lý nâng cao; 3 báo cáo; &gt;=45 test case; logging, backup và deploy.</v>
      </c>
      <c r="L2641" t="str">
        <f>'Huong dan giao do an'!$B$31</f>
        <v>Bắt buộc: Charter/PMP; SRS + scope/WBS; Gantt/baseline; effort-cost budget; RACI/timesheet; quality-test-defect; communication/minutes; risk register; procurement; change log; closure/lessons learned.</v>
      </c>
      <c r="M2641" t="str">
        <f>'Huong dan giao do an'!$B$33</f>
        <v>Tuần 1: 07.09–13.09.2026; Tuần 2: 14.09–20.09.2026; Tuần 3: 21.09–27.09.2026; Tuần 4: 28.09–04.10.2026; Tuần 5: 05.10–11.10.2026; Tuần 6: 12.10–18.10.2026; Tuần 7: 19.10–25.10.2026; Tuần 8: 26.10–01.11.2026.</v>
      </c>
      <c r="N26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1" s="17" t="str">
        <f t="shared" si="41"/>
        <v>Còn trống</v>
      </c>
    </row>
    <row r="2642" spans="1:16" x14ac:dyDescent="0.3">
      <c r="A2642">
        <v>2641</v>
      </c>
      <c r="B2642" t="s">
        <v>5978</v>
      </c>
      <c r="C2642" t="s">
        <v>6087</v>
      </c>
      <c r="D2642" t="s">
        <v>6088</v>
      </c>
      <c r="E2642" t="s">
        <v>26</v>
      </c>
      <c r="F2642" t="s">
        <v>5981</v>
      </c>
      <c r="G2642" t="s">
        <v>5982</v>
      </c>
      <c r="H2642" t="str">
        <f>'Huong dan giao do an'!$B$14</f>
        <v>5 SV (vai trò chính): 1 PM/Scrum Master kiêm Integration; 2 BA/PO; 3 UI-UX + Frontend; 4 Backend/API + DevOps; 5 Database + QA/Tester. Mỗi SV có nhiệm vụ phụ và minh chứng cá nhân.</v>
      </c>
      <c r="I2642" t="s">
        <v>22</v>
      </c>
      <c r="J2642" t="s">
        <v>5983</v>
      </c>
      <c r="K2642" t="str">
        <f>IF(I2642="Trung bình",'Huong dan giao do an'!$B$8,IF(I2642="Khá",'Huong dan giao do an'!$B$9,'Huong dan giao do an'!$B$10))</f>
        <v>Tối thiểu 4 actor; 10-14 use case; 8-12 bảng; 3 quy trình lõi; phân quyền chi tiết; 2 báo cáo; tích hợp 1 dịch vụ; &gt;=35 test case; CI/CD hoặc deploy cloud.</v>
      </c>
      <c r="L2642" t="str">
        <f>'Huong dan giao do an'!$B$31</f>
        <v>Bắt buộc: Charter/PMP; SRS + scope/WBS; Gantt/baseline; effort-cost budget; RACI/timesheet; quality-test-defect; communication/minutes; risk register; procurement; change log; closure/lessons learned.</v>
      </c>
      <c r="M2642" t="str">
        <f>'Huong dan giao do an'!$B$33</f>
        <v>Tuần 1: 07.09–13.09.2026; Tuần 2: 14.09–20.09.2026; Tuần 3: 21.09–27.09.2026; Tuần 4: 28.09–04.10.2026; Tuần 5: 05.10–11.10.2026; Tuần 6: 12.10–18.10.2026; Tuần 7: 19.10–25.10.2026; Tuần 8: 26.10–01.11.2026.</v>
      </c>
      <c r="N26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2" s="17" t="str">
        <f t="shared" si="41"/>
        <v>Còn trống</v>
      </c>
    </row>
    <row r="2643" spans="1:16" x14ac:dyDescent="0.3">
      <c r="A2643">
        <v>2642</v>
      </c>
      <c r="B2643" t="s">
        <v>5978</v>
      </c>
      <c r="C2643" t="s">
        <v>6089</v>
      </c>
      <c r="D2643" t="s">
        <v>6090</v>
      </c>
      <c r="E2643" t="s">
        <v>33</v>
      </c>
      <c r="F2643" t="s">
        <v>5986</v>
      </c>
      <c r="G2643" t="s">
        <v>5987</v>
      </c>
      <c r="H2643" t="str">
        <f>'Huong dan giao do an'!$B$14</f>
        <v>5 SV (vai trò chính): 1 PM/Scrum Master kiêm Integration; 2 BA/PO; 3 UI-UX + Frontend; 4 Backend/API + DevOps; 5 Database + QA/Tester. Mỗi SV có nhiệm vụ phụ và minh chứng cá nhân.</v>
      </c>
      <c r="I2643" t="s">
        <v>29</v>
      </c>
      <c r="J2643" t="s">
        <v>5988</v>
      </c>
      <c r="K2643" t="str">
        <f>IF(I2643="Trung bình",'Huong dan giao do an'!$B$8,IF(I2643="Khá",'Huong dan giao do an'!$B$9,'Huong dan giao do an'!$B$10))</f>
        <v>Tối thiểu 5 actor; 14-18 use case; 10-15 bảng; 4 quy trình; tích hợp ngoài/realtime hoặc xử lý nâng cao; 3 báo cáo; &gt;=45 test case; logging, backup và deploy.</v>
      </c>
      <c r="L2643" t="str">
        <f>'Huong dan giao do an'!$B$31</f>
        <v>Bắt buộc: Charter/PMP; SRS + scope/WBS; Gantt/baseline; effort-cost budget; RACI/timesheet; quality-test-defect; communication/minutes; risk register; procurement; change log; closure/lessons learned.</v>
      </c>
      <c r="M2643" t="str">
        <f>'Huong dan giao do an'!$B$33</f>
        <v>Tuần 1: 07.09–13.09.2026; Tuần 2: 14.09–20.09.2026; Tuần 3: 21.09–27.09.2026; Tuần 4: 28.09–04.10.2026; Tuần 5: 05.10–11.10.2026; Tuần 6: 12.10–18.10.2026; Tuần 7: 19.10–25.10.2026; Tuần 8: 26.10–01.11.2026.</v>
      </c>
      <c r="N26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3" s="17" t="str">
        <f t="shared" si="41"/>
        <v>Còn trống</v>
      </c>
    </row>
    <row r="2644" spans="1:16" x14ac:dyDescent="0.3">
      <c r="A2644">
        <v>2643</v>
      </c>
      <c r="B2644" t="s">
        <v>5978</v>
      </c>
      <c r="C2644" t="s">
        <v>6091</v>
      </c>
      <c r="D2644" t="s">
        <v>6092</v>
      </c>
      <c r="E2644" t="s">
        <v>40</v>
      </c>
      <c r="F2644" t="s">
        <v>5991</v>
      </c>
      <c r="G2644" t="s">
        <v>5992</v>
      </c>
      <c r="H2644" t="str">
        <f>'Huong dan giao do an'!$B$14</f>
        <v>5 SV (vai trò chính): 1 PM/Scrum Master kiêm Integration; 2 BA/PO; 3 UI-UX + Frontend; 4 Backend/API + DevOps; 5 Database + QA/Tester. Mỗi SV có nhiệm vụ phụ và minh chứng cá nhân.</v>
      </c>
      <c r="I2644" t="s">
        <v>36</v>
      </c>
      <c r="J2644" t="s">
        <v>5993</v>
      </c>
      <c r="K2644" t="str">
        <f>IF(I2644="Trung bình",'Huong dan giao do an'!$B$8,IF(I2644="Khá",'Huong dan giao do an'!$B$9,'Huong dan giao do an'!$B$10))</f>
        <v>Tối thiểu 3 actor; 8-10 use case; 6-8 bảng dữ liệu; 2 quy trình lõi; đăng nhập/RBAC; 1 dashboard; 1 báo cáo; &gt;=25 test case; triển khai bản demo.</v>
      </c>
      <c r="L2644" t="str">
        <f>'Huong dan giao do an'!$B$31</f>
        <v>Bắt buộc: Charter/PMP; SRS + scope/WBS; Gantt/baseline; effort-cost budget; RACI/timesheet; quality-test-defect; communication/minutes; risk register; procurement; change log; closure/lessons learned.</v>
      </c>
      <c r="M2644" t="str">
        <f>'Huong dan giao do an'!$B$33</f>
        <v>Tuần 1: 07.09–13.09.2026; Tuần 2: 14.09–20.09.2026; Tuần 3: 21.09–27.09.2026; Tuần 4: 28.09–04.10.2026; Tuần 5: 05.10–11.10.2026; Tuần 6: 12.10–18.10.2026; Tuần 7: 19.10–25.10.2026; Tuần 8: 26.10–01.11.2026.</v>
      </c>
      <c r="N26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4" s="17" t="str">
        <f t="shared" si="41"/>
        <v>Còn trống</v>
      </c>
    </row>
    <row r="2645" spans="1:16" x14ac:dyDescent="0.3">
      <c r="A2645">
        <v>2644</v>
      </c>
      <c r="B2645" t="s">
        <v>5978</v>
      </c>
      <c r="C2645" t="s">
        <v>6093</v>
      </c>
      <c r="D2645" t="s">
        <v>6094</v>
      </c>
      <c r="E2645" t="s">
        <v>45</v>
      </c>
      <c r="F2645" t="s">
        <v>5996</v>
      </c>
      <c r="G2645" t="s">
        <v>5997</v>
      </c>
      <c r="H2645" t="str">
        <f>'Huong dan giao do an'!$B$14</f>
        <v>5 SV (vai trò chính): 1 PM/Scrum Master kiêm Integration; 2 BA/PO; 3 UI-UX + Frontend; 4 Backend/API + DevOps; 5 Database + QA/Tester. Mỗi SV có nhiệm vụ phụ và minh chứng cá nhân.</v>
      </c>
      <c r="I2645" t="s">
        <v>22</v>
      </c>
      <c r="J2645" t="s">
        <v>5983</v>
      </c>
      <c r="K2645" t="str">
        <f>IF(I2645="Trung bình",'Huong dan giao do an'!$B$8,IF(I2645="Khá",'Huong dan giao do an'!$B$9,'Huong dan giao do an'!$B$10))</f>
        <v>Tối thiểu 4 actor; 10-14 use case; 8-12 bảng; 3 quy trình lõi; phân quyền chi tiết; 2 báo cáo; tích hợp 1 dịch vụ; &gt;=35 test case; CI/CD hoặc deploy cloud.</v>
      </c>
      <c r="L2645" t="str">
        <f>'Huong dan giao do an'!$B$31</f>
        <v>Bắt buộc: Charter/PMP; SRS + scope/WBS; Gantt/baseline; effort-cost budget; RACI/timesheet; quality-test-defect; communication/minutes; risk register; procurement; change log; closure/lessons learned.</v>
      </c>
      <c r="M2645" t="str">
        <f>'Huong dan giao do an'!$B$33</f>
        <v>Tuần 1: 07.09–13.09.2026; Tuần 2: 14.09–20.09.2026; Tuần 3: 21.09–27.09.2026; Tuần 4: 28.09–04.10.2026; Tuần 5: 05.10–11.10.2026; Tuần 6: 12.10–18.10.2026; Tuần 7: 19.10–25.10.2026; Tuần 8: 26.10–01.11.2026.</v>
      </c>
      <c r="N26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5" s="17" t="str">
        <f t="shared" si="41"/>
        <v>Còn trống</v>
      </c>
    </row>
    <row r="2646" spans="1:16" x14ac:dyDescent="0.3">
      <c r="A2646">
        <v>2645</v>
      </c>
      <c r="B2646" t="s">
        <v>5978</v>
      </c>
      <c r="C2646" t="s">
        <v>6095</v>
      </c>
      <c r="D2646" t="s">
        <v>6096</v>
      </c>
      <c r="E2646" t="s">
        <v>19</v>
      </c>
      <c r="F2646" t="s">
        <v>6000</v>
      </c>
      <c r="G2646" t="s">
        <v>6001</v>
      </c>
      <c r="H2646" t="str">
        <f>'Huong dan giao do an'!$B$14</f>
        <v>5 SV (vai trò chính): 1 PM/Scrum Master kiêm Integration; 2 BA/PO; 3 UI-UX + Frontend; 4 Backend/API + DevOps; 5 Database + QA/Tester. Mỗi SV có nhiệm vụ phụ và minh chứng cá nhân.</v>
      </c>
      <c r="I2646" t="s">
        <v>29</v>
      </c>
      <c r="J2646" t="s">
        <v>5988</v>
      </c>
      <c r="K2646" t="str">
        <f>IF(I2646="Trung bình",'Huong dan giao do an'!$B$8,IF(I2646="Khá",'Huong dan giao do an'!$B$9,'Huong dan giao do an'!$B$10))</f>
        <v>Tối thiểu 5 actor; 14-18 use case; 10-15 bảng; 4 quy trình; tích hợp ngoài/realtime hoặc xử lý nâng cao; 3 báo cáo; &gt;=45 test case; logging, backup và deploy.</v>
      </c>
      <c r="L2646" t="str">
        <f>'Huong dan giao do an'!$B$31</f>
        <v>Bắt buộc: Charter/PMP; SRS + scope/WBS; Gantt/baseline; effort-cost budget; RACI/timesheet; quality-test-defect; communication/minutes; risk register; procurement; change log; closure/lessons learned.</v>
      </c>
      <c r="M2646" t="str">
        <f>'Huong dan giao do an'!$B$33</f>
        <v>Tuần 1: 07.09–13.09.2026; Tuần 2: 14.09–20.09.2026; Tuần 3: 21.09–27.09.2026; Tuần 4: 28.09–04.10.2026; Tuần 5: 05.10–11.10.2026; Tuần 6: 12.10–18.10.2026; Tuần 7: 19.10–25.10.2026; Tuần 8: 26.10–01.11.2026.</v>
      </c>
      <c r="N26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6" s="17" t="str">
        <f t="shared" si="41"/>
        <v>Còn trống</v>
      </c>
    </row>
    <row r="2647" spans="1:16" x14ac:dyDescent="0.3">
      <c r="A2647">
        <v>2646</v>
      </c>
      <c r="B2647" t="s">
        <v>5978</v>
      </c>
      <c r="C2647" t="s">
        <v>6097</v>
      </c>
      <c r="D2647" t="s">
        <v>6098</v>
      </c>
      <c r="E2647" t="s">
        <v>26</v>
      </c>
      <c r="F2647" t="s">
        <v>5981</v>
      </c>
      <c r="G2647" t="s">
        <v>6004</v>
      </c>
      <c r="H2647" t="str">
        <f>'Huong dan giao do an'!$B$14</f>
        <v>5 SV (vai trò chính): 1 PM/Scrum Master kiêm Integration; 2 BA/PO; 3 UI-UX + Frontend; 4 Backend/API + DevOps; 5 Database + QA/Tester. Mỗi SV có nhiệm vụ phụ và minh chứng cá nhân.</v>
      </c>
      <c r="I2647" t="s">
        <v>36</v>
      </c>
      <c r="J2647" t="s">
        <v>5993</v>
      </c>
      <c r="K2647" t="str">
        <f>IF(I2647="Trung bình",'Huong dan giao do an'!$B$8,IF(I2647="Khá",'Huong dan giao do an'!$B$9,'Huong dan giao do an'!$B$10))</f>
        <v>Tối thiểu 3 actor; 8-10 use case; 6-8 bảng dữ liệu; 2 quy trình lõi; đăng nhập/RBAC; 1 dashboard; 1 báo cáo; &gt;=25 test case; triển khai bản demo.</v>
      </c>
      <c r="L2647" t="str">
        <f>'Huong dan giao do an'!$B$31</f>
        <v>Bắt buộc: Charter/PMP; SRS + scope/WBS; Gantt/baseline; effort-cost budget; RACI/timesheet; quality-test-defect; communication/minutes; risk register; procurement; change log; closure/lessons learned.</v>
      </c>
      <c r="M2647" t="str">
        <f>'Huong dan giao do an'!$B$33</f>
        <v>Tuần 1: 07.09–13.09.2026; Tuần 2: 14.09–20.09.2026; Tuần 3: 21.09–27.09.2026; Tuần 4: 28.09–04.10.2026; Tuần 5: 05.10–11.10.2026; Tuần 6: 12.10–18.10.2026; Tuần 7: 19.10–25.10.2026; Tuần 8: 26.10–01.11.2026.</v>
      </c>
      <c r="N26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7" s="17" t="str">
        <f t="shared" si="41"/>
        <v>Còn trống</v>
      </c>
    </row>
    <row r="2648" spans="1:16" x14ac:dyDescent="0.3">
      <c r="A2648">
        <v>2647</v>
      </c>
      <c r="B2648" t="s">
        <v>5978</v>
      </c>
      <c r="C2648" t="s">
        <v>6099</v>
      </c>
      <c r="D2648" t="s">
        <v>6100</v>
      </c>
      <c r="E2648" t="s">
        <v>33</v>
      </c>
      <c r="F2648" t="s">
        <v>5986</v>
      </c>
      <c r="G2648" t="s">
        <v>6007</v>
      </c>
      <c r="H2648" t="str">
        <f>'Huong dan giao do an'!$B$14</f>
        <v>5 SV (vai trò chính): 1 PM/Scrum Master kiêm Integration; 2 BA/PO; 3 UI-UX + Frontend; 4 Backend/API + DevOps; 5 Database + QA/Tester. Mỗi SV có nhiệm vụ phụ và minh chứng cá nhân.</v>
      </c>
      <c r="I2648" t="s">
        <v>22</v>
      </c>
      <c r="J2648" t="s">
        <v>5983</v>
      </c>
      <c r="K2648" t="str">
        <f>IF(I2648="Trung bình",'Huong dan giao do an'!$B$8,IF(I2648="Khá",'Huong dan giao do an'!$B$9,'Huong dan giao do an'!$B$10))</f>
        <v>Tối thiểu 4 actor; 10-14 use case; 8-12 bảng; 3 quy trình lõi; phân quyền chi tiết; 2 báo cáo; tích hợp 1 dịch vụ; &gt;=35 test case; CI/CD hoặc deploy cloud.</v>
      </c>
      <c r="L2648" t="str">
        <f>'Huong dan giao do an'!$B$31</f>
        <v>Bắt buộc: Charter/PMP; SRS + scope/WBS; Gantt/baseline; effort-cost budget; RACI/timesheet; quality-test-defect; communication/minutes; risk register; procurement; change log; closure/lessons learned.</v>
      </c>
      <c r="M2648" t="str">
        <f>'Huong dan giao do an'!$B$33</f>
        <v>Tuần 1: 07.09–13.09.2026; Tuần 2: 14.09–20.09.2026; Tuần 3: 21.09–27.09.2026; Tuần 4: 28.09–04.10.2026; Tuần 5: 05.10–11.10.2026; Tuần 6: 12.10–18.10.2026; Tuần 7: 19.10–25.10.2026; Tuần 8: 26.10–01.11.2026.</v>
      </c>
      <c r="N26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8" s="17" t="str">
        <f t="shared" si="41"/>
        <v>Còn trống</v>
      </c>
    </row>
    <row r="2649" spans="1:16" x14ac:dyDescent="0.3">
      <c r="A2649">
        <v>2648</v>
      </c>
      <c r="B2649" t="s">
        <v>5978</v>
      </c>
      <c r="C2649" t="s">
        <v>6101</v>
      </c>
      <c r="D2649" t="s">
        <v>6102</v>
      </c>
      <c r="E2649" t="s">
        <v>40</v>
      </c>
      <c r="F2649" t="s">
        <v>5991</v>
      </c>
      <c r="G2649" t="s">
        <v>6010</v>
      </c>
      <c r="H2649" t="str">
        <f>'Huong dan giao do an'!$B$14</f>
        <v>5 SV (vai trò chính): 1 PM/Scrum Master kiêm Integration; 2 BA/PO; 3 UI-UX + Frontend; 4 Backend/API + DevOps; 5 Database + QA/Tester. Mỗi SV có nhiệm vụ phụ và minh chứng cá nhân.</v>
      </c>
      <c r="I2649" t="s">
        <v>29</v>
      </c>
      <c r="J2649" t="s">
        <v>5988</v>
      </c>
      <c r="K2649" t="str">
        <f>IF(I2649="Trung bình",'Huong dan giao do an'!$B$8,IF(I2649="Khá",'Huong dan giao do an'!$B$9,'Huong dan giao do an'!$B$10))</f>
        <v>Tối thiểu 5 actor; 14-18 use case; 10-15 bảng; 4 quy trình; tích hợp ngoài/realtime hoặc xử lý nâng cao; 3 báo cáo; &gt;=45 test case; logging, backup và deploy.</v>
      </c>
      <c r="L2649" t="str">
        <f>'Huong dan giao do an'!$B$31</f>
        <v>Bắt buộc: Charter/PMP; SRS + scope/WBS; Gantt/baseline; effort-cost budget; RACI/timesheet; quality-test-defect; communication/minutes; risk register; procurement; change log; closure/lessons learned.</v>
      </c>
      <c r="M2649" t="str">
        <f>'Huong dan giao do an'!$B$33</f>
        <v>Tuần 1: 07.09–13.09.2026; Tuần 2: 14.09–20.09.2026; Tuần 3: 21.09–27.09.2026; Tuần 4: 28.09–04.10.2026; Tuần 5: 05.10–11.10.2026; Tuần 6: 12.10–18.10.2026; Tuần 7: 19.10–25.10.2026; Tuần 8: 26.10–01.11.2026.</v>
      </c>
      <c r="N26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49" s="17" t="str">
        <f t="shared" si="41"/>
        <v>Còn trống</v>
      </c>
    </row>
    <row r="2650" spans="1:16" x14ac:dyDescent="0.3">
      <c r="A2650">
        <v>2649</v>
      </c>
      <c r="B2650" t="s">
        <v>5978</v>
      </c>
      <c r="C2650" t="s">
        <v>6103</v>
      </c>
      <c r="D2650" t="s">
        <v>6104</v>
      </c>
      <c r="E2650" t="s">
        <v>45</v>
      </c>
      <c r="F2650" t="s">
        <v>5996</v>
      </c>
      <c r="G2650" t="s">
        <v>6013</v>
      </c>
      <c r="H2650" t="str">
        <f>'Huong dan giao do an'!$B$14</f>
        <v>5 SV (vai trò chính): 1 PM/Scrum Master kiêm Integration; 2 BA/PO; 3 UI-UX + Frontend; 4 Backend/API + DevOps; 5 Database + QA/Tester. Mỗi SV có nhiệm vụ phụ và minh chứng cá nhân.</v>
      </c>
      <c r="I2650" t="s">
        <v>36</v>
      </c>
      <c r="J2650" t="s">
        <v>5993</v>
      </c>
      <c r="K2650" t="str">
        <f>IF(I2650="Trung bình",'Huong dan giao do an'!$B$8,IF(I2650="Khá",'Huong dan giao do an'!$B$9,'Huong dan giao do an'!$B$10))</f>
        <v>Tối thiểu 3 actor; 8-10 use case; 6-8 bảng dữ liệu; 2 quy trình lõi; đăng nhập/RBAC; 1 dashboard; 1 báo cáo; &gt;=25 test case; triển khai bản demo.</v>
      </c>
      <c r="L2650" t="str">
        <f>'Huong dan giao do an'!$B$31</f>
        <v>Bắt buộc: Charter/PMP; SRS + scope/WBS; Gantt/baseline; effort-cost budget; RACI/timesheet; quality-test-defect; communication/minutes; risk register; procurement; change log; closure/lessons learned.</v>
      </c>
      <c r="M2650" t="str">
        <f>'Huong dan giao do an'!$B$33</f>
        <v>Tuần 1: 07.09–13.09.2026; Tuần 2: 14.09–20.09.2026; Tuần 3: 21.09–27.09.2026; Tuần 4: 28.09–04.10.2026; Tuần 5: 05.10–11.10.2026; Tuần 6: 12.10–18.10.2026; Tuần 7: 19.10–25.10.2026; Tuần 8: 26.10–01.11.2026.</v>
      </c>
      <c r="N26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0" s="17" t="str">
        <f t="shared" si="41"/>
        <v>Còn trống</v>
      </c>
    </row>
    <row r="2651" spans="1:16" x14ac:dyDescent="0.3">
      <c r="A2651">
        <v>2650</v>
      </c>
      <c r="B2651" t="s">
        <v>5978</v>
      </c>
      <c r="C2651" t="s">
        <v>6105</v>
      </c>
      <c r="D2651" t="s">
        <v>6106</v>
      </c>
      <c r="E2651" t="s">
        <v>19</v>
      </c>
      <c r="F2651" t="s">
        <v>6000</v>
      </c>
      <c r="G2651" t="s">
        <v>6016</v>
      </c>
      <c r="H2651" t="str">
        <f>'Huong dan giao do an'!$B$14</f>
        <v>5 SV (vai trò chính): 1 PM/Scrum Master kiêm Integration; 2 BA/PO; 3 UI-UX + Frontend; 4 Backend/API + DevOps; 5 Database + QA/Tester. Mỗi SV có nhiệm vụ phụ và minh chứng cá nhân.</v>
      </c>
      <c r="I2651" t="s">
        <v>22</v>
      </c>
      <c r="J2651" t="s">
        <v>5983</v>
      </c>
      <c r="K2651" t="str">
        <f>IF(I2651="Trung bình",'Huong dan giao do an'!$B$8,IF(I2651="Khá",'Huong dan giao do an'!$B$9,'Huong dan giao do an'!$B$10))</f>
        <v>Tối thiểu 4 actor; 10-14 use case; 8-12 bảng; 3 quy trình lõi; phân quyền chi tiết; 2 báo cáo; tích hợp 1 dịch vụ; &gt;=35 test case; CI/CD hoặc deploy cloud.</v>
      </c>
      <c r="L2651" t="str">
        <f>'Huong dan giao do an'!$B$31</f>
        <v>Bắt buộc: Charter/PMP; SRS + scope/WBS; Gantt/baseline; effort-cost budget; RACI/timesheet; quality-test-defect; communication/minutes; risk register; procurement; change log; closure/lessons learned.</v>
      </c>
      <c r="M2651" t="str">
        <f>'Huong dan giao do an'!$B$33</f>
        <v>Tuần 1: 07.09–13.09.2026; Tuần 2: 14.09–20.09.2026; Tuần 3: 21.09–27.09.2026; Tuần 4: 28.09–04.10.2026; Tuần 5: 05.10–11.10.2026; Tuần 6: 12.10–18.10.2026; Tuần 7: 19.10–25.10.2026; Tuần 8: 26.10–01.11.2026.</v>
      </c>
      <c r="N26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1" s="17" t="str">
        <f t="shared" si="41"/>
        <v>Còn trống</v>
      </c>
    </row>
    <row r="2652" spans="1:16" x14ac:dyDescent="0.3">
      <c r="A2652">
        <v>2651</v>
      </c>
      <c r="B2652" t="s">
        <v>5978</v>
      </c>
      <c r="C2652" t="s">
        <v>6107</v>
      </c>
      <c r="D2652" t="s">
        <v>6108</v>
      </c>
      <c r="E2652" t="s">
        <v>26</v>
      </c>
      <c r="F2652" t="s">
        <v>5981</v>
      </c>
      <c r="G2652" t="s">
        <v>6019</v>
      </c>
      <c r="H2652" t="str">
        <f>'Huong dan giao do an'!$B$14</f>
        <v>5 SV (vai trò chính): 1 PM/Scrum Master kiêm Integration; 2 BA/PO; 3 UI-UX + Frontend; 4 Backend/API + DevOps; 5 Database + QA/Tester. Mỗi SV có nhiệm vụ phụ và minh chứng cá nhân.</v>
      </c>
      <c r="I2652" t="s">
        <v>29</v>
      </c>
      <c r="J2652" t="s">
        <v>5988</v>
      </c>
      <c r="K2652" t="str">
        <f>IF(I2652="Trung bình",'Huong dan giao do an'!$B$8,IF(I2652="Khá",'Huong dan giao do an'!$B$9,'Huong dan giao do an'!$B$10))</f>
        <v>Tối thiểu 5 actor; 14-18 use case; 10-15 bảng; 4 quy trình; tích hợp ngoài/realtime hoặc xử lý nâng cao; 3 báo cáo; &gt;=45 test case; logging, backup và deploy.</v>
      </c>
      <c r="L2652" t="str">
        <f>'Huong dan giao do an'!$B$31</f>
        <v>Bắt buộc: Charter/PMP; SRS + scope/WBS; Gantt/baseline; effort-cost budget; RACI/timesheet; quality-test-defect; communication/minutes; risk register; procurement; change log; closure/lessons learned.</v>
      </c>
      <c r="M2652" t="str">
        <f>'Huong dan giao do an'!$B$33</f>
        <v>Tuần 1: 07.09–13.09.2026; Tuần 2: 14.09–20.09.2026; Tuần 3: 21.09–27.09.2026; Tuần 4: 28.09–04.10.2026; Tuần 5: 05.10–11.10.2026; Tuần 6: 12.10–18.10.2026; Tuần 7: 19.10–25.10.2026; Tuần 8: 26.10–01.11.2026.</v>
      </c>
      <c r="N26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2" s="17" t="str">
        <f t="shared" si="41"/>
        <v>Còn trống</v>
      </c>
    </row>
    <row r="2653" spans="1:16" x14ac:dyDescent="0.3">
      <c r="A2653">
        <v>2652</v>
      </c>
      <c r="B2653" t="s">
        <v>5978</v>
      </c>
      <c r="C2653" t="s">
        <v>6109</v>
      </c>
      <c r="D2653" t="s">
        <v>6110</v>
      </c>
      <c r="E2653" t="s">
        <v>33</v>
      </c>
      <c r="F2653" t="s">
        <v>5986</v>
      </c>
      <c r="G2653" t="s">
        <v>6022</v>
      </c>
      <c r="H2653" t="str">
        <f>'Huong dan giao do an'!$B$14</f>
        <v>5 SV (vai trò chính): 1 PM/Scrum Master kiêm Integration; 2 BA/PO; 3 UI-UX + Frontend; 4 Backend/API + DevOps; 5 Database + QA/Tester. Mỗi SV có nhiệm vụ phụ và minh chứng cá nhân.</v>
      </c>
      <c r="I2653" t="s">
        <v>36</v>
      </c>
      <c r="J2653" t="s">
        <v>5993</v>
      </c>
      <c r="K2653" t="str">
        <f>IF(I2653="Trung bình",'Huong dan giao do an'!$B$8,IF(I2653="Khá",'Huong dan giao do an'!$B$9,'Huong dan giao do an'!$B$10))</f>
        <v>Tối thiểu 3 actor; 8-10 use case; 6-8 bảng dữ liệu; 2 quy trình lõi; đăng nhập/RBAC; 1 dashboard; 1 báo cáo; &gt;=25 test case; triển khai bản demo.</v>
      </c>
      <c r="L2653" t="str">
        <f>'Huong dan giao do an'!$B$31</f>
        <v>Bắt buộc: Charter/PMP; SRS + scope/WBS; Gantt/baseline; effort-cost budget; RACI/timesheet; quality-test-defect; communication/minutes; risk register; procurement; change log; closure/lessons learned.</v>
      </c>
      <c r="M2653" t="str">
        <f>'Huong dan giao do an'!$B$33</f>
        <v>Tuần 1: 07.09–13.09.2026; Tuần 2: 14.09–20.09.2026; Tuần 3: 21.09–27.09.2026; Tuần 4: 28.09–04.10.2026; Tuần 5: 05.10–11.10.2026; Tuần 6: 12.10–18.10.2026; Tuần 7: 19.10–25.10.2026; Tuần 8: 26.10–01.11.2026.</v>
      </c>
      <c r="N26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3" s="17" t="str">
        <f t="shared" si="41"/>
        <v>Còn trống</v>
      </c>
    </row>
    <row r="2654" spans="1:16" x14ac:dyDescent="0.3">
      <c r="A2654">
        <v>2653</v>
      </c>
      <c r="B2654" t="s">
        <v>5978</v>
      </c>
      <c r="C2654" t="s">
        <v>6111</v>
      </c>
      <c r="D2654" t="s">
        <v>6112</v>
      </c>
      <c r="E2654" t="s">
        <v>40</v>
      </c>
      <c r="F2654" t="s">
        <v>5991</v>
      </c>
      <c r="G2654" t="s">
        <v>6025</v>
      </c>
      <c r="H2654" t="str">
        <f>'Huong dan giao do an'!$B$14</f>
        <v>5 SV (vai trò chính): 1 PM/Scrum Master kiêm Integration; 2 BA/PO; 3 UI-UX + Frontend; 4 Backend/API + DevOps; 5 Database + QA/Tester. Mỗi SV có nhiệm vụ phụ và minh chứng cá nhân.</v>
      </c>
      <c r="I2654" t="s">
        <v>22</v>
      </c>
      <c r="J2654" t="s">
        <v>5983</v>
      </c>
      <c r="K2654" t="str">
        <f>IF(I2654="Trung bình",'Huong dan giao do an'!$B$8,IF(I2654="Khá",'Huong dan giao do an'!$B$9,'Huong dan giao do an'!$B$10))</f>
        <v>Tối thiểu 4 actor; 10-14 use case; 8-12 bảng; 3 quy trình lõi; phân quyền chi tiết; 2 báo cáo; tích hợp 1 dịch vụ; &gt;=35 test case; CI/CD hoặc deploy cloud.</v>
      </c>
      <c r="L2654" t="str">
        <f>'Huong dan giao do an'!$B$31</f>
        <v>Bắt buộc: Charter/PMP; SRS + scope/WBS; Gantt/baseline; effort-cost budget; RACI/timesheet; quality-test-defect; communication/minutes; risk register; procurement; change log; closure/lessons learned.</v>
      </c>
      <c r="M2654" t="str">
        <f>'Huong dan giao do an'!$B$33</f>
        <v>Tuần 1: 07.09–13.09.2026; Tuần 2: 14.09–20.09.2026; Tuần 3: 21.09–27.09.2026; Tuần 4: 28.09–04.10.2026; Tuần 5: 05.10–11.10.2026; Tuần 6: 12.10–18.10.2026; Tuần 7: 19.10–25.10.2026; Tuần 8: 26.10–01.11.2026.</v>
      </c>
      <c r="N26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4" s="17" t="str">
        <f t="shared" si="41"/>
        <v>Còn trống</v>
      </c>
    </row>
    <row r="2655" spans="1:16" x14ac:dyDescent="0.3">
      <c r="A2655">
        <v>2654</v>
      </c>
      <c r="B2655" t="s">
        <v>5978</v>
      </c>
      <c r="C2655" t="s">
        <v>6113</v>
      </c>
      <c r="D2655" t="s">
        <v>6114</v>
      </c>
      <c r="E2655" t="s">
        <v>45</v>
      </c>
      <c r="F2655" t="s">
        <v>5996</v>
      </c>
      <c r="G2655" t="s">
        <v>6028</v>
      </c>
      <c r="H2655" t="str">
        <f>'Huong dan giao do an'!$B$14</f>
        <v>5 SV (vai trò chính): 1 PM/Scrum Master kiêm Integration; 2 BA/PO; 3 UI-UX + Frontend; 4 Backend/API + DevOps; 5 Database + QA/Tester. Mỗi SV có nhiệm vụ phụ và minh chứng cá nhân.</v>
      </c>
      <c r="I2655" t="s">
        <v>29</v>
      </c>
      <c r="J2655" t="s">
        <v>5988</v>
      </c>
      <c r="K2655" t="str">
        <f>IF(I2655="Trung bình",'Huong dan giao do an'!$B$8,IF(I2655="Khá",'Huong dan giao do an'!$B$9,'Huong dan giao do an'!$B$10))</f>
        <v>Tối thiểu 5 actor; 14-18 use case; 10-15 bảng; 4 quy trình; tích hợp ngoài/realtime hoặc xử lý nâng cao; 3 báo cáo; &gt;=45 test case; logging, backup và deploy.</v>
      </c>
      <c r="L2655" t="str">
        <f>'Huong dan giao do an'!$B$31</f>
        <v>Bắt buộc: Charter/PMP; SRS + scope/WBS; Gantt/baseline; effort-cost budget; RACI/timesheet; quality-test-defect; communication/minutes; risk register; procurement; change log; closure/lessons learned.</v>
      </c>
      <c r="M2655" t="str">
        <f>'Huong dan giao do an'!$B$33</f>
        <v>Tuần 1: 07.09–13.09.2026; Tuần 2: 14.09–20.09.2026; Tuần 3: 21.09–27.09.2026; Tuần 4: 28.09–04.10.2026; Tuần 5: 05.10–11.10.2026; Tuần 6: 12.10–18.10.2026; Tuần 7: 19.10–25.10.2026; Tuần 8: 26.10–01.11.2026.</v>
      </c>
      <c r="N26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5" s="17" t="str">
        <f t="shared" si="41"/>
        <v>Còn trống</v>
      </c>
    </row>
    <row r="2656" spans="1:16" x14ac:dyDescent="0.3">
      <c r="A2656">
        <v>2655</v>
      </c>
      <c r="B2656" t="s">
        <v>5978</v>
      </c>
      <c r="C2656" t="s">
        <v>6115</v>
      </c>
      <c r="D2656" t="s">
        <v>6116</v>
      </c>
      <c r="E2656" t="s">
        <v>19</v>
      </c>
      <c r="F2656" t="s">
        <v>6000</v>
      </c>
      <c r="G2656" t="s">
        <v>6031</v>
      </c>
      <c r="H2656" t="str">
        <f>'Huong dan giao do an'!$B$14</f>
        <v>5 SV (vai trò chính): 1 PM/Scrum Master kiêm Integration; 2 BA/PO; 3 UI-UX + Frontend; 4 Backend/API + DevOps; 5 Database + QA/Tester. Mỗi SV có nhiệm vụ phụ và minh chứng cá nhân.</v>
      </c>
      <c r="I2656" t="s">
        <v>36</v>
      </c>
      <c r="J2656" t="s">
        <v>5993</v>
      </c>
      <c r="K2656" t="str">
        <f>IF(I2656="Trung bình",'Huong dan giao do an'!$B$8,IF(I2656="Khá",'Huong dan giao do an'!$B$9,'Huong dan giao do an'!$B$10))</f>
        <v>Tối thiểu 3 actor; 8-10 use case; 6-8 bảng dữ liệu; 2 quy trình lõi; đăng nhập/RBAC; 1 dashboard; 1 báo cáo; &gt;=25 test case; triển khai bản demo.</v>
      </c>
      <c r="L2656" t="str">
        <f>'Huong dan giao do an'!$B$31</f>
        <v>Bắt buộc: Charter/PMP; SRS + scope/WBS; Gantt/baseline; effort-cost budget; RACI/timesheet; quality-test-defect; communication/minutes; risk register; procurement; change log; closure/lessons learned.</v>
      </c>
      <c r="M2656" t="str">
        <f>'Huong dan giao do an'!$B$33</f>
        <v>Tuần 1: 07.09–13.09.2026; Tuần 2: 14.09–20.09.2026; Tuần 3: 21.09–27.09.2026; Tuần 4: 28.09–04.10.2026; Tuần 5: 05.10–11.10.2026; Tuần 6: 12.10–18.10.2026; Tuần 7: 19.10–25.10.2026; Tuần 8: 26.10–01.11.2026.</v>
      </c>
      <c r="N26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6" s="17" t="str">
        <f t="shared" si="41"/>
        <v>Còn trống</v>
      </c>
    </row>
    <row r="2657" spans="1:16" x14ac:dyDescent="0.3">
      <c r="A2657">
        <v>2656</v>
      </c>
      <c r="B2657" t="s">
        <v>5978</v>
      </c>
      <c r="C2657" t="s">
        <v>6117</v>
      </c>
      <c r="D2657" t="s">
        <v>6118</v>
      </c>
      <c r="E2657" t="s">
        <v>26</v>
      </c>
      <c r="F2657" t="s">
        <v>5981</v>
      </c>
      <c r="G2657" t="s">
        <v>6034</v>
      </c>
      <c r="H2657" t="str">
        <f>'Huong dan giao do an'!$B$14</f>
        <v>5 SV (vai trò chính): 1 PM/Scrum Master kiêm Integration; 2 BA/PO; 3 UI-UX + Frontend; 4 Backend/API + DevOps; 5 Database + QA/Tester. Mỗi SV có nhiệm vụ phụ và minh chứng cá nhân.</v>
      </c>
      <c r="I2657" t="s">
        <v>22</v>
      </c>
      <c r="J2657" t="s">
        <v>5983</v>
      </c>
      <c r="K2657" t="str">
        <f>IF(I2657="Trung bình",'Huong dan giao do an'!$B$8,IF(I2657="Khá",'Huong dan giao do an'!$B$9,'Huong dan giao do an'!$B$10))</f>
        <v>Tối thiểu 4 actor; 10-14 use case; 8-12 bảng; 3 quy trình lõi; phân quyền chi tiết; 2 báo cáo; tích hợp 1 dịch vụ; &gt;=35 test case; CI/CD hoặc deploy cloud.</v>
      </c>
      <c r="L2657" t="str">
        <f>'Huong dan giao do an'!$B$31</f>
        <v>Bắt buộc: Charter/PMP; SRS + scope/WBS; Gantt/baseline; effort-cost budget; RACI/timesheet; quality-test-defect; communication/minutes; risk register; procurement; change log; closure/lessons learned.</v>
      </c>
      <c r="M2657" t="str">
        <f>'Huong dan giao do an'!$B$33</f>
        <v>Tuần 1: 07.09–13.09.2026; Tuần 2: 14.09–20.09.2026; Tuần 3: 21.09–27.09.2026; Tuần 4: 28.09–04.10.2026; Tuần 5: 05.10–11.10.2026; Tuần 6: 12.10–18.10.2026; Tuần 7: 19.10–25.10.2026; Tuần 8: 26.10–01.11.2026.</v>
      </c>
      <c r="N26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7" s="17" t="str">
        <f t="shared" si="41"/>
        <v>Còn trống</v>
      </c>
    </row>
    <row r="2658" spans="1:16" x14ac:dyDescent="0.3">
      <c r="A2658">
        <v>2657</v>
      </c>
      <c r="B2658" t="s">
        <v>5978</v>
      </c>
      <c r="C2658" t="s">
        <v>6119</v>
      </c>
      <c r="D2658" t="s">
        <v>6120</v>
      </c>
      <c r="E2658" t="s">
        <v>33</v>
      </c>
      <c r="F2658" t="s">
        <v>5986</v>
      </c>
      <c r="G2658" t="s">
        <v>6037</v>
      </c>
      <c r="H2658" t="str">
        <f>'Huong dan giao do an'!$B$14</f>
        <v>5 SV (vai trò chính): 1 PM/Scrum Master kiêm Integration; 2 BA/PO; 3 UI-UX + Frontend; 4 Backend/API + DevOps; 5 Database + QA/Tester. Mỗi SV có nhiệm vụ phụ và minh chứng cá nhân.</v>
      </c>
      <c r="I2658" t="s">
        <v>29</v>
      </c>
      <c r="J2658" t="s">
        <v>5988</v>
      </c>
      <c r="K2658" t="str">
        <f>IF(I2658="Trung bình",'Huong dan giao do an'!$B$8,IF(I2658="Khá",'Huong dan giao do an'!$B$9,'Huong dan giao do an'!$B$10))</f>
        <v>Tối thiểu 5 actor; 14-18 use case; 10-15 bảng; 4 quy trình; tích hợp ngoài/realtime hoặc xử lý nâng cao; 3 báo cáo; &gt;=45 test case; logging, backup và deploy.</v>
      </c>
      <c r="L2658" t="str">
        <f>'Huong dan giao do an'!$B$31</f>
        <v>Bắt buộc: Charter/PMP; SRS + scope/WBS; Gantt/baseline; effort-cost budget; RACI/timesheet; quality-test-defect; communication/minutes; risk register; procurement; change log; closure/lessons learned.</v>
      </c>
      <c r="M2658" t="str">
        <f>'Huong dan giao do an'!$B$33</f>
        <v>Tuần 1: 07.09–13.09.2026; Tuần 2: 14.09–20.09.2026; Tuần 3: 21.09–27.09.2026; Tuần 4: 28.09–04.10.2026; Tuần 5: 05.10–11.10.2026; Tuần 6: 12.10–18.10.2026; Tuần 7: 19.10–25.10.2026; Tuần 8: 26.10–01.11.2026.</v>
      </c>
      <c r="N26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8" s="17" t="str">
        <f t="shared" si="41"/>
        <v>Còn trống</v>
      </c>
    </row>
    <row r="2659" spans="1:16" x14ac:dyDescent="0.3">
      <c r="A2659">
        <v>2658</v>
      </c>
      <c r="B2659" t="s">
        <v>5978</v>
      </c>
      <c r="C2659" t="s">
        <v>6121</v>
      </c>
      <c r="D2659" t="s">
        <v>6122</v>
      </c>
      <c r="E2659" t="s">
        <v>40</v>
      </c>
      <c r="F2659" t="s">
        <v>5991</v>
      </c>
      <c r="G2659" t="s">
        <v>6040</v>
      </c>
      <c r="H2659" t="str">
        <f>'Huong dan giao do an'!$B$14</f>
        <v>5 SV (vai trò chính): 1 PM/Scrum Master kiêm Integration; 2 BA/PO; 3 UI-UX + Frontend; 4 Backend/API + DevOps; 5 Database + QA/Tester. Mỗi SV có nhiệm vụ phụ và minh chứng cá nhân.</v>
      </c>
      <c r="I2659" t="s">
        <v>36</v>
      </c>
      <c r="J2659" t="s">
        <v>5993</v>
      </c>
      <c r="K2659" t="str">
        <f>IF(I2659="Trung bình",'Huong dan giao do an'!$B$8,IF(I2659="Khá",'Huong dan giao do an'!$B$9,'Huong dan giao do an'!$B$10))</f>
        <v>Tối thiểu 3 actor; 8-10 use case; 6-8 bảng dữ liệu; 2 quy trình lõi; đăng nhập/RBAC; 1 dashboard; 1 báo cáo; &gt;=25 test case; triển khai bản demo.</v>
      </c>
      <c r="L2659" t="str">
        <f>'Huong dan giao do an'!$B$31</f>
        <v>Bắt buộc: Charter/PMP; SRS + scope/WBS; Gantt/baseline; effort-cost budget; RACI/timesheet; quality-test-defect; communication/minutes; risk register; procurement; change log; closure/lessons learned.</v>
      </c>
      <c r="M2659" t="str">
        <f>'Huong dan giao do an'!$B$33</f>
        <v>Tuần 1: 07.09–13.09.2026; Tuần 2: 14.09–20.09.2026; Tuần 3: 21.09–27.09.2026; Tuần 4: 28.09–04.10.2026; Tuần 5: 05.10–11.10.2026; Tuần 6: 12.10–18.10.2026; Tuần 7: 19.10–25.10.2026; Tuần 8: 26.10–01.11.2026.</v>
      </c>
      <c r="N26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59" s="17" t="str">
        <f t="shared" si="41"/>
        <v>Còn trống</v>
      </c>
    </row>
    <row r="2660" spans="1:16" x14ac:dyDescent="0.3">
      <c r="A2660">
        <v>2659</v>
      </c>
      <c r="B2660" t="s">
        <v>5978</v>
      </c>
      <c r="C2660" t="s">
        <v>6123</v>
      </c>
      <c r="D2660" t="s">
        <v>6124</v>
      </c>
      <c r="E2660" t="s">
        <v>45</v>
      </c>
      <c r="F2660" t="s">
        <v>5996</v>
      </c>
      <c r="G2660" t="s">
        <v>6043</v>
      </c>
      <c r="H2660" t="str">
        <f>'Huong dan giao do an'!$B$14</f>
        <v>5 SV (vai trò chính): 1 PM/Scrum Master kiêm Integration; 2 BA/PO; 3 UI-UX + Frontend; 4 Backend/API + DevOps; 5 Database + QA/Tester. Mỗi SV có nhiệm vụ phụ và minh chứng cá nhân.</v>
      </c>
      <c r="I2660" t="s">
        <v>22</v>
      </c>
      <c r="J2660" t="s">
        <v>5983</v>
      </c>
      <c r="K2660" t="str">
        <f>IF(I2660="Trung bình",'Huong dan giao do an'!$B$8,IF(I2660="Khá",'Huong dan giao do an'!$B$9,'Huong dan giao do an'!$B$10))</f>
        <v>Tối thiểu 4 actor; 10-14 use case; 8-12 bảng; 3 quy trình lõi; phân quyền chi tiết; 2 báo cáo; tích hợp 1 dịch vụ; &gt;=35 test case; CI/CD hoặc deploy cloud.</v>
      </c>
      <c r="L2660" t="str">
        <f>'Huong dan giao do an'!$B$31</f>
        <v>Bắt buộc: Charter/PMP; SRS + scope/WBS; Gantt/baseline; effort-cost budget; RACI/timesheet; quality-test-defect; communication/minutes; risk register; procurement; change log; closure/lessons learned.</v>
      </c>
      <c r="M2660" t="str">
        <f>'Huong dan giao do an'!$B$33</f>
        <v>Tuần 1: 07.09–13.09.2026; Tuần 2: 14.09–20.09.2026; Tuần 3: 21.09–27.09.2026; Tuần 4: 28.09–04.10.2026; Tuần 5: 05.10–11.10.2026; Tuần 6: 12.10–18.10.2026; Tuần 7: 19.10–25.10.2026; Tuần 8: 26.10–01.11.2026.</v>
      </c>
      <c r="N26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0" s="17" t="str">
        <f t="shared" si="41"/>
        <v>Còn trống</v>
      </c>
    </row>
    <row r="2661" spans="1:16" x14ac:dyDescent="0.3">
      <c r="A2661">
        <v>2660</v>
      </c>
      <c r="B2661" t="s">
        <v>5978</v>
      </c>
      <c r="C2661" t="s">
        <v>6125</v>
      </c>
      <c r="D2661" t="s">
        <v>6126</v>
      </c>
      <c r="E2661" t="s">
        <v>19</v>
      </c>
      <c r="F2661" t="s">
        <v>6000</v>
      </c>
      <c r="G2661" t="s">
        <v>6046</v>
      </c>
      <c r="H2661" t="str">
        <f>'Huong dan giao do an'!$B$14</f>
        <v>5 SV (vai trò chính): 1 PM/Scrum Master kiêm Integration; 2 BA/PO; 3 UI-UX + Frontend; 4 Backend/API + DevOps; 5 Database + QA/Tester. Mỗi SV có nhiệm vụ phụ và minh chứng cá nhân.</v>
      </c>
      <c r="I2661" t="s">
        <v>29</v>
      </c>
      <c r="J2661" t="s">
        <v>5988</v>
      </c>
      <c r="K2661" t="str">
        <f>IF(I2661="Trung bình",'Huong dan giao do an'!$B$8,IF(I2661="Khá",'Huong dan giao do an'!$B$9,'Huong dan giao do an'!$B$10))</f>
        <v>Tối thiểu 5 actor; 14-18 use case; 10-15 bảng; 4 quy trình; tích hợp ngoài/realtime hoặc xử lý nâng cao; 3 báo cáo; &gt;=45 test case; logging, backup và deploy.</v>
      </c>
      <c r="L2661" t="str">
        <f>'Huong dan giao do an'!$B$31</f>
        <v>Bắt buộc: Charter/PMP; SRS + scope/WBS; Gantt/baseline; effort-cost budget; RACI/timesheet; quality-test-defect; communication/minutes; risk register; procurement; change log; closure/lessons learned.</v>
      </c>
      <c r="M2661" t="str">
        <f>'Huong dan giao do an'!$B$33</f>
        <v>Tuần 1: 07.09–13.09.2026; Tuần 2: 14.09–20.09.2026; Tuần 3: 21.09–27.09.2026; Tuần 4: 28.09–04.10.2026; Tuần 5: 05.10–11.10.2026; Tuần 6: 12.10–18.10.2026; Tuần 7: 19.10–25.10.2026; Tuần 8: 26.10–01.11.2026.</v>
      </c>
      <c r="N26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1" s="17" t="str">
        <f t="shared" si="41"/>
        <v>Còn trống</v>
      </c>
    </row>
    <row r="2662" spans="1:16" x14ac:dyDescent="0.3">
      <c r="A2662">
        <v>2661</v>
      </c>
      <c r="B2662" t="s">
        <v>5978</v>
      </c>
      <c r="C2662" t="s">
        <v>6127</v>
      </c>
      <c r="D2662" t="s">
        <v>6128</v>
      </c>
      <c r="E2662" t="s">
        <v>26</v>
      </c>
      <c r="F2662" t="s">
        <v>5981</v>
      </c>
      <c r="G2662" t="s">
        <v>5982</v>
      </c>
      <c r="H2662" t="str">
        <f>'Huong dan giao do an'!$B$14</f>
        <v>5 SV (vai trò chính): 1 PM/Scrum Master kiêm Integration; 2 BA/PO; 3 UI-UX + Frontend; 4 Backend/API + DevOps; 5 Database + QA/Tester. Mỗi SV có nhiệm vụ phụ và minh chứng cá nhân.</v>
      </c>
      <c r="I2662" t="s">
        <v>22</v>
      </c>
      <c r="J2662" t="s">
        <v>5983</v>
      </c>
      <c r="K2662" t="str">
        <f>IF(I2662="Trung bình",'Huong dan giao do an'!$B$8,IF(I2662="Khá",'Huong dan giao do an'!$B$9,'Huong dan giao do an'!$B$10))</f>
        <v>Tối thiểu 4 actor; 10-14 use case; 8-12 bảng; 3 quy trình lõi; phân quyền chi tiết; 2 báo cáo; tích hợp 1 dịch vụ; &gt;=35 test case; CI/CD hoặc deploy cloud.</v>
      </c>
      <c r="L2662" t="str">
        <f>'Huong dan giao do an'!$B$31</f>
        <v>Bắt buộc: Charter/PMP; SRS + scope/WBS; Gantt/baseline; effort-cost budget; RACI/timesheet; quality-test-defect; communication/minutes; risk register; procurement; change log; closure/lessons learned.</v>
      </c>
      <c r="M2662" t="str">
        <f>'Huong dan giao do an'!$B$33</f>
        <v>Tuần 1: 07.09–13.09.2026; Tuần 2: 14.09–20.09.2026; Tuần 3: 21.09–27.09.2026; Tuần 4: 28.09–04.10.2026; Tuần 5: 05.10–11.10.2026; Tuần 6: 12.10–18.10.2026; Tuần 7: 19.10–25.10.2026; Tuần 8: 26.10–01.11.2026.</v>
      </c>
      <c r="N26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2" s="17" t="str">
        <f t="shared" si="41"/>
        <v>Còn trống</v>
      </c>
    </row>
    <row r="2663" spans="1:16" x14ac:dyDescent="0.3">
      <c r="A2663">
        <v>2662</v>
      </c>
      <c r="B2663" t="s">
        <v>5978</v>
      </c>
      <c r="C2663" t="s">
        <v>6129</v>
      </c>
      <c r="D2663" t="s">
        <v>6130</v>
      </c>
      <c r="E2663" t="s">
        <v>33</v>
      </c>
      <c r="F2663" t="s">
        <v>5986</v>
      </c>
      <c r="G2663" t="s">
        <v>5987</v>
      </c>
      <c r="H2663" t="str">
        <f>'Huong dan giao do an'!$B$14</f>
        <v>5 SV (vai trò chính): 1 PM/Scrum Master kiêm Integration; 2 BA/PO; 3 UI-UX + Frontend; 4 Backend/API + DevOps; 5 Database + QA/Tester. Mỗi SV có nhiệm vụ phụ và minh chứng cá nhân.</v>
      </c>
      <c r="I2663" t="s">
        <v>29</v>
      </c>
      <c r="J2663" t="s">
        <v>5988</v>
      </c>
      <c r="K2663" t="str">
        <f>IF(I2663="Trung bình",'Huong dan giao do an'!$B$8,IF(I2663="Khá",'Huong dan giao do an'!$B$9,'Huong dan giao do an'!$B$10))</f>
        <v>Tối thiểu 5 actor; 14-18 use case; 10-15 bảng; 4 quy trình; tích hợp ngoài/realtime hoặc xử lý nâng cao; 3 báo cáo; &gt;=45 test case; logging, backup và deploy.</v>
      </c>
      <c r="L2663" t="str">
        <f>'Huong dan giao do an'!$B$31</f>
        <v>Bắt buộc: Charter/PMP; SRS + scope/WBS; Gantt/baseline; effort-cost budget; RACI/timesheet; quality-test-defect; communication/minutes; risk register; procurement; change log; closure/lessons learned.</v>
      </c>
      <c r="M2663" t="str">
        <f>'Huong dan giao do an'!$B$33</f>
        <v>Tuần 1: 07.09–13.09.2026; Tuần 2: 14.09–20.09.2026; Tuần 3: 21.09–27.09.2026; Tuần 4: 28.09–04.10.2026; Tuần 5: 05.10–11.10.2026; Tuần 6: 12.10–18.10.2026; Tuần 7: 19.10–25.10.2026; Tuần 8: 26.10–01.11.2026.</v>
      </c>
      <c r="N26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3" s="17" t="str">
        <f t="shared" si="41"/>
        <v>Còn trống</v>
      </c>
    </row>
    <row r="2664" spans="1:16" x14ac:dyDescent="0.3">
      <c r="A2664">
        <v>2663</v>
      </c>
      <c r="B2664" t="s">
        <v>5978</v>
      </c>
      <c r="C2664" t="s">
        <v>6131</v>
      </c>
      <c r="D2664" t="s">
        <v>6132</v>
      </c>
      <c r="E2664" t="s">
        <v>40</v>
      </c>
      <c r="F2664" t="s">
        <v>5991</v>
      </c>
      <c r="G2664" t="s">
        <v>5992</v>
      </c>
      <c r="H2664" t="str">
        <f>'Huong dan giao do an'!$B$14</f>
        <v>5 SV (vai trò chính): 1 PM/Scrum Master kiêm Integration; 2 BA/PO; 3 UI-UX + Frontend; 4 Backend/API + DevOps; 5 Database + QA/Tester. Mỗi SV có nhiệm vụ phụ và minh chứng cá nhân.</v>
      </c>
      <c r="I2664" t="s">
        <v>36</v>
      </c>
      <c r="J2664" t="s">
        <v>5993</v>
      </c>
      <c r="K2664" t="str">
        <f>IF(I2664="Trung bình",'Huong dan giao do an'!$B$8,IF(I2664="Khá",'Huong dan giao do an'!$B$9,'Huong dan giao do an'!$B$10))</f>
        <v>Tối thiểu 3 actor; 8-10 use case; 6-8 bảng dữ liệu; 2 quy trình lõi; đăng nhập/RBAC; 1 dashboard; 1 báo cáo; &gt;=25 test case; triển khai bản demo.</v>
      </c>
      <c r="L2664" t="str">
        <f>'Huong dan giao do an'!$B$31</f>
        <v>Bắt buộc: Charter/PMP; SRS + scope/WBS; Gantt/baseline; effort-cost budget; RACI/timesheet; quality-test-defect; communication/minutes; risk register; procurement; change log; closure/lessons learned.</v>
      </c>
      <c r="M2664" t="str">
        <f>'Huong dan giao do an'!$B$33</f>
        <v>Tuần 1: 07.09–13.09.2026; Tuần 2: 14.09–20.09.2026; Tuần 3: 21.09–27.09.2026; Tuần 4: 28.09–04.10.2026; Tuần 5: 05.10–11.10.2026; Tuần 6: 12.10–18.10.2026; Tuần 7: 19.10–25.10.2026; Tuần 8: 26.10–01.11.2026.</v>
      </c>
      <c r="N26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4" s="17" t="str">
        <f t="shared" si="41"/>
        <v>Còn trống</v>
      </c>
    </row>
    <row r="2665" spans="1:16" x14ac:dyDescent="0.3">
      <c r="A2665">
        <v>2664</v>
      </c>
      <c r="B2665" t="s">
        <v>5978</v>
      </c>
      <c r="C2665" t="s">
        <v>6133</v>
      </c>
      <c r="D2665" t="s">
        <v>6134</v>
      </c>
      <c r="E2665" t="s">
        <v>45</v>
      </c>
      <c r="F2665" t="s">
        <v>5996</v>
      </c>
      <c r="G2665" t="s">
        <v>5997</v>
      </c>
      <c r="H2665" t="str">
        <f>'Huong dan giao do an'!$B$14</f>
        <v>5 SV (vai trò chính): 1 PM/Scrum Master kiêm Integration; 2 BA/PO; 3 UI-UX + Frontend; 4 Backend/API + DevOps; 5 Database + QA/Tester. Mỗi SV có nhiệm vụ phụ và minh chứng cá nhân.</v>
      </c>
      <c r="I2665" t="s">
        <v>22</v>
      </c>
      <c r="J2665" t="s">
        <v>5983</v>
      </c>
      <c r="K2665" t="str">
        <f>IF(I2665="Trung bình",'Huong dan giao do an'!$B$8,IF(I2665="Khá",'Huong dan giao do an'!$B$9,'Huong dan giao do an'!$B$10))</f>
        <v>Tối thiểu 4 actor; 10-14 use case; 8-12 bảng; 3 quy trình lõi; phân quyền chi tiết; 2 báo cáo; tích hợp 1 dịch vụ; &gt;=35 test case; CI/CD hoặc deploy cloud.</v>
      </c>
      <c r="L2665" t="str">
        <f>'Huong dan giao do an'!$B$31</f>
        <v>Bắt buộc: Charter/PMP; SRS + scope/WBS; Gantt/baseline; effort-cost budget; RACI/timesheet; quality-test-defect; communication/minutes; risk register; procurement; change log; closure/lessons learned.</v>
      </c>
      <c r="M2665" t="str">
        <f>'Huong dan giao do an'!$B$33</f>
        <v>Tuần 1: 07.09–13.09.2026; Tuần 2: 14.09–20.09.2026; Tuần 3: 21.09–27.09.2026; Tuần 4: 28.09–04.10.2026; Tuần 5: 05.10–11.10.2026; Tuần 6: 12.10–18.10.2026; Tuần 7: 19.10–25.10.2026; Tuần 8: 26.10–01.11.2026.</v>
      </c>
      <c r="N26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5" s="17" t="str">
        <f t="shared" si="41"/>
        <v>Còn trống</v>
      </c>
    </row>
    <row r="2666" spans="1:16" x14ac:dyDescent="0.3">
      <c r="A2666">
        <v>2665</v>
      </c>
      <c r="B2666" t="s">
        <v>5978</v>
      </c>
      <c r="C2666" t="s">
        <v>6135</v>
      </c>
      <c r="D2666" t="s">
        <v>6136</v>
      </c>
      <c r="E2666" t="s">
        <v>19</v>
      </c>
      <c r="F2666" t="s">
        <v>6000</v>
      </c>
      <c r="G2666" t="s">
        <v>6001</v>
      </c>
      <c r="H2666" t="str">
        <f>'Huong dan giao do an'!$B$14</f>
        <v>5 SV (vai trò chính): 1 PM/Scrum Master kiêm Integration; 2 BA/PO; 3 UI-UX + Frontend; 4 Backend/API + DevOps; 5 Database + QA/Tester. Mỗi SV có nhiệm vụ phụ và minh chứng cá nhân.</v>
      </c>
      <c r="I2666" t="s">
        <v>29</v>
      </c>
      <c r="J2666" t="s">
        <v>5988</v>
      </c>
      <c r="K2666" t="str">
        <f>IF(I2666="Trung bình",'Huong dan giao do an'!$B$8,IF(I2666="Khá",'Huong dan giao do an'!$B$9,'Huong dan giao do an'!$B$10))</f>
        <v>Tối thiểu 5 actor; 14-18 use case; 10-15 bảng; 4 quy trình; tích hợp ngoài/realtime hoặc xử lý nâng cao; 3 báo cáo; &gt;=45 test case; logging, backup và deploy.</v>
      </c>
      <c r="L2666" t="str">
        <f>'Huong dan giao do an'!$B$31</f>
        <v>Bắt buộc: Charter/PMP; SRS + scope/WBS; Gantt/baseline; effort-cost budget; RACI/timesheet; quality-test-defect; communication/minutes; risk register; procurement; change log; closure/lessons learned.</v>
      </c>
      <c r="M2666" t="str">
        <f>'Huong dan giao do an'!$B$33</f>
        <v>Tuần 1: 07.09–13.09.2026; Tuần 2: 14.09–20.09.2026; Tuần 3: 21.09–27.09.2026; Tuần 4: 28.09–04.10.2026; Tuần 5: 05.10–11.10.2026; Tuần 6: 12.10–18.10.2026; Tuần 7: 19.10–25.10.2026; Tuần 8: 26.10–01.11.2026.</v>
      </c>
      <c r="N26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6" s="17" t="str">
        <f t="shared" si="41"/>
        <v>Còn trống</v>
      </c>
    </row>
    <row r="2667" spans="1:16" x14ac:dyDescent="0.3">
      <c r="A2667">
        <v>2666</v>
      </c>
      <c r="B2667" t="s">
        <v>5978</v>
      </c>
      <c r="C2667" t="s">
        <v>6137</v>
      </c>
      <c r="D2667" t="s">
        <v>6138</v>
      </c>
      <c r="E2667" t="s">
        <v>26</v>
      </c>
      <c r="F2667" t="s">
        <v>5981</v>
      </c>
      <c r="G2667" t="s">
        <v>6004</v>
      </c>
      <c r="H2667" t="str">
        <f>'Huong dan giao do an'!$B$14</f>
        <v>5 SV (vai trò chính): 1 PM/Scrum Master kiêm Integration; 2 BA/PO; 3 UI-UX + Frontend; 4 Backend/API + DevOps; 5 Database + QA/Tester. Mỗi SV có nhiệm vụ phụ và minh chứng cá nhân.</v>
      </c>
      <c r="I2667" t="s">
        <v>36</v>
      </c>
      <c r="J2667" t="s">
        <v>5993</v>
      </c>
      <c r="K2667" t="str">
        <f>IF(I2667="Trung bình",'Huong dan giao do an'!$B$8,IF(I2667="Khá",'Huong dan giao do an'!$B$9,'Huong dan giao do an'!$B$10))</f>
        <v>Tối thiểu 3 actor; 8-10 use case; 6-8 bảng dữ liệu; 2 quy trình lõi; đăng nhập/RBAC; 1 dashboard; 1 báo cáo; &gt;=25 test case; triển khai bản demo.</v>
      </c>
      <c r="L2667" t="str">
        <f>'Huong dan giao do an'!$B$31</f>
        <v>Bắt buộc: Charter/PMP; SRS + scope/WBS; Gantt/baseline; effort-cost budget; RACI/timesheet; quality-test-defect; communication/minutes; risk register; procurement; change log; closure/lessons learned.</v>
      </c>
      <c r="M2667" t="str">
        <f>'Huong dan giao do an'!$B$33</f>
        <v>Tuần 1: 07.09–13.09.2026; Tuần 2: 14.09–20.09.2026; Tuần 3: 21.09–27.09.2026; Tuần 4: 28.09–04.10.2026; Tuần 5: 05.10–11.10.2026; Tuần 6: 12.10–18.10.2026; Tuần 7: 19.10–25.10.2026; Tuần 8: 26.10–01.11.2026.</v>
      </c>
      <c r="N26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7" s="17" t="str">
        <f t="shared" si="41"/>
        <v>Còn trống</v>
      </c>
    </row>
    <row r="2668" spans="1:16" x14ac:dyDescent="0.3">
      <c r="A2668">
        <v>2667</v>
      </c>
      <c r="B2668" t="s">
        <v>5978</v>
      </c>
      <c r="C2668" t="s">
        <v>6139</v>
      </c>
      <c r="D2668" t="s">
        <v>6140</v>
      </c>
      <c r="E2668" t="s">
        <v>33</v>
      </c>
      <c r="F2668" t="s">
        <v>5986</v>
      </c>
      <c r="G2668" t="s">
        <v>6007</v>
      </c>
      <c r="H2668" t="str">
        <f>'Huong dan giao do an'!$B$14</f>
        <v>5 SV (vai trò chính): 1 PM/Scrum Master kiêm Integration; 2 BA/PO; 3 UI-UX + Frontend; 4 Backend/API + DevOps; 5 Database + QA/Tester. Mỗi SV có nhiệm vụ phụ và minh chứng cá nhân.</v>
      </c>
      <c r="I2668" t="s">
        <v>22</v>
      </c>
      <c r="J2668" t="s">
        <v>5983</v>
      </c>
      <c r="K2668" t="str">
        <f>IF(I2668="Trung bình",'Huong dan giao do an'!$B$8,IF(I2668="Khá",'Huong dan giao do an'!$B$9,'Huong dan giao do an'!$B$10))</f>
        <v>Tối thiểu 4 actor; 10-14 use case; 8-12 bảng; 3 quy trình lõi; phân quyền chi tiết; 2 báo cáo; tích hợp 1 dịch vụ; &gt;=35 test case; CI/CD hoặc deploy cloud.</v>
      </c>
      <c r="L2668" t="str">
        <f>'Huong dan giao do an'!$B$31</f>
        <v>Bắt buộc: Charter/PMP; SRS + scope/WBS; Gantt/baseline; effort-cost budget; RACI/timesheet; quality-test-defect; communication/minutes; risk register; procurement; change log; closure/lessons learned.</v>
      </c>
      <c r="M2668" t="str">
        <f>'Huong dan giao do an'!$B$33</f>
        <v>Tuần 1: 07.09–13.09.2026; Tuần 2: 14.09–20.09.2026; Tuần 3: 21.09–27.09.2026; Tuần 4: 28.09–04.10.2026; Tuần 5: 05.10–11.10.2026; Tuần 6: 12.10–18.10.2026; Tuần 7: 19.10–25.10.2026; Tuần 8: 26.10–01.11.2026.</v>
      </c>
      <c r="N26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8" s="17" t="str">
        <f t="shared" si="41"/>
        <v>Còn trống</v>
      </c>
    </row>
    <row r="2669" spans="1:16" x14ac:dyDescent="0.3">
      <c r="A2669">
        <v>2668</v>
      </c>
      <c r="B2669" t="s">
        <v>5978</v>
      </c>
      <c r="C2669" t="s">
        <v>6141</v>
      </c>
      <c r="D2669" t="s">
        <v>6142</v>
      </c>
      <c r="E2669" t="s">
        <v>40</v>
      </c>
      <c r="F2669" t="s">
        <v>5991</v>
      </c>
      <c r="G2669" t="s">
        <v>6010</v>
      </c>
      <c r="H2669" t="str">
        <f>'Huong dan giao do an'!$B$14</f>
        <v>5 SV (vai trò chính): 1 PM/Scrum Master kiêm Integration; 2 BA/PO; 3 UI-UX + Frontend; 4 Backend/API + DevOps; 5 Database + QA/Tester. Mỗi SV có nhiệm vụ phụ và minh chứng cá nhân.</v>
      </c>
      <c r="I2669" t="s">
        <v>29</v>
      </c>
      <c r="J2669" t="s">
        <v>5988</v>
      </c>
      <c r="K2669" t="str">
        <f>IF(I2669="Trung bình",'Huong dan giao do an'!$B$8,IF(I2669="Khá",'Huong dan giao do an'!$B$9,'Huong dan giao do an'!$B$10))</f>
        <v>Tối thiểu 5 actor; 14-18 use case; 10-15 bảng; 4 quy trình; tích hợp ngoài/realtime hoặc xử lý nâng cao; 3 báo cáo; &gt;=45 test case; logging, backup và deploy.</v>
      </c>
      <c r="L2669" t="str">
        <f>'Huong dan giao do an'!$B$31</f>
        <v>Bắt buộc: Charter/PMP; SRS + scope/WBS; Gantt/baseline; effort-cost budget; RACI/timesheet; quality-test-defect; communication/minutes; risk register; procurement; change log; closure/lessons learned.</v>
      </c>
      <c r="M2669" t="str">
        <f>'Huong dan giao do an'!$B$33</f>
        <v>Tuần 1: 07.09–13.09.2026; Tuần 2: 14.09–20.09.2026; Tuần 3: 21.09–27.09.2026; Tuần 4: 28.09–04.10.2026; Tuần 5: 05.10–11.10.2026; Tuần 6: 12.10–18.10.2026; Tuần 7: 19.10–25.10.2026; Tuần 8: 26.10–01.11.2026.</v>
      </c>
      <c r="N26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69" s="17" t="str">
        <f t="shared" si="41"/>
        <v>Còn trống</v>
      </c>
    </row>
    <row r="2670" spans="1:16" x14ac:dyDescent="0.3">
      <c r="A2670">
        <v>2669</v>
      </c>
      <c r="B2670" t="s">
        <v>5978</v>
      </c>
      <c r="C2670" t="s">
        <v>6143</v>
      </c>
      <c r="D2670" t="s">
        <v>6144</v>
      </c>
      <c r="E2670" t="s">
        <v>45</v>
      </c>
      <c r="F2670" t="s">
        <v>5996</v>
      </c>
      <c r="G2670" t="s">
        <v>6013</v>
      </c>
      <c r="H2670" t="str">
        <f>'Huong dan giao do an'!$B$14</f>
        <v>5 SV (vai trò chính): 1 PM/Scrum Master kiêm Integration; 2 BA/PO; 3 UI-UX + Frontend; 4 Backend/API + DevOps; 5 Database + QA/Tester. Mỗi SV có nhiệm vụ phụ và minh chứng cá nhân.</v>
      </c>
      <c r="I2670" t="s">
        <v>36</v>
      </c>
      <c r="J2670" t="s">
        <v>5993</v>
      </c>
      <c r="K2670" t="str">
        <f>IF(I2670="Trung bình",'Huong dan giao do an'!$B$8,IF(I2670="Khá",'Huong dan giao do an'!$B$9,'Huong dan giao do an'!$B$10))</f>
        <v>Tối thiểu 3 actor; 8-10 use case; 6-8 bảng dữ liệu; 2 quy trình lõi; đăng nhập/RBAC; 1 dashboard; 1 báo cáo; &gt;=25 test case; triển khai bản demo.</v>
      </c>
      <c r="L2670" t="str">
        <f>'Huong dan giao do an'!$B$31</f>
        <v>Bắt buộc: Charter/PMP; SRS + scope/WBS; Gantt/baseline; effort-cost budget; RACI/timesheet; quality-test-defect; communication/minutes; risk register; procurement; change log; closure/lessons learned.</v>
      </c>
      <c r="M2670" t="str">
        <f>'Huong dan giao do an'!$B$33</f>
        <v>Tuần 1: 07.09–13.09.2026; Tuần 2: 14.09–20.09.2026; Tuần 3: 21.09–27.09.2026; Tuần 4: 28.09–04.10.2026; Tuần 5: 05.10–11.10.2026; Tuần 6: 12.10–18.10.2026; Tuần 7: 19.10–25.10.2026; Tuần 8: 26.10–01.11.2026.</v>
      </c>
      <c r="N26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0" s="17" t="str">
        <f t="shared" si="41"/>
        <v>Còn trống</v>
      </c>
    </row>
    <row r="2671" spans="1:16" x14ac:dyDescent="0.3">
      <c r="A2671">
        <v>2670</v>
      </c>
      <c r="B2671" t="s">
        <v>5978</v>
      </c>
      <c r="C2671" t="s">
        <v>6145</v>
      </c>
      <c r="D2671" t="s">
        <v>6146</v>
      </c>
      <c r="E2671" t="s">
        <v>19</v>
      </c>
      <c r="F2671" t="s">
        <v>6000</v>
      </c>
      <c r="G2671" t="s">
        <v>6016</v>
      </c>
      <c r="H2671" t="str">
        <f>'Huong dan giao do an'!$B$14</f>
        <v>5 SV (vai trò chính): 1 PM/Scrum Master kiêm Integration; 2 BA/PO; 3 UI-UX + Frontend; 4 Backend/API + DevOps; 5 Database + QA/Tester. Mỗi SV có nhiệm vụ phụ và minh chứng cá nhân.</v>
      </c>
      <c r="I2671" t="s">
        <v>22</v>
      </c>
      <c r="J2671" t="s">
        <v>5983</v>
      </c>
      <c r="K2671" t="str">
        <f>IF(I2671="Trung bình",'Huong dan giao do an'!$B$8,IF(I2671="Khá",'Huong dan giao do an'!$B$9,'Huong dan giao do an'!$B$10))</f>
        <v>Tối thiểu 4 actor; 10-14 use case; 8-12 bảng; 3 quy trình lõi; phân quyền chi tiết; 2 báo cáo; tích hợp 1 dịch vụ; &gt;=35 test case; CI/CD hoặc deploy cloud.</v>
      </c>
      <c r="L2671" t="str">
        <f>'Huong dan giao do an'!$B$31</f>
        <v>Bắt buộc: Charter/PMP; SRS + scope/WBS; Gantt/baseline; effort-cost budget; RACI/timesheet; quality-test-defect; communication/minutes; risk register; procurement; change log; closure/lessons learned.</v>
      </c>
      <c r="M2671" t="str">
        <f>'Huong dan giao do an'!$B$33</f>
        <v>Tuần 1: 07.09–13.09.2026; Tuần 2: 14.09–20.09.2026; Tuần 3: 21.09–27.09.2026; Tuần 4: 28.09–04.10.2026; Tuần 5: 05.10–11.10.2026; Tuần 6: 12.10–18.10.2026; Tuần 7: 19.10–25.10.2026; Tuần 8: 26.10–01.11.2026.</v>
      </c>
      <c r="N26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1" s="17" t="str">
        <f t="shared" si="41"/>
        <v>Còn trống</v>
      </c>
    </row>
    <row r="2672" spans="1:16" x14ac:dyDescent="0.3">
      <c r="A2672">
        <v>2671</v>
      </c>
      <c r="B2672" t="s">
        <v>5978</v>
      </c>
      <c r="C2672" t="s">
        <v>6147</v>
      </c>
      <c r="D2672" t="s">
        <v>6148</v>
      </c>
      <c r="E2672" t="s">
        <v>26</v>
      </c>
      <c r="F2672" t="s">
        <v>5981</v>
      </c>
      <c r="G2672" t="s">
        <v>6019</v>
      </c>
      <c r="H2672" t="str">
        <f>'Huong dan giao do an'!$B$14</f>
        <v>5 SV (vai trò chính): 1 PM/Scrum Master kiêm Integration; 2 BA/PO; 3 UI-UX + Frontend; 4 Backend/API + DevOps; 5 Database + QA/Tester. Mỗi SV có nhiệm vụ phụ và minh chứng cá nhân.</v>
      </c>
      <c r="I2672" t="s">
        <v>29</v>
      </c>
      <c r="J2672" t="s">
        <v>5988</v>
      </c>
      <c r="K2672" t="str">
        <f>IF(I2672="Trung bình",'Huong dan giao do an'!$B$8,IF(I2672="Khá",'Huong dan giao do an'!$B$9,'Huong dan giao do an'!$B$10))</f>
        <v>Tối thiểu 5 actor; 14-18 use case; 10-15 bảng; 4 quy trình; tích hợp ngoài/realtime hoặc xử lý nâng cao; 3 báo cáo; &gt;=45 test case; logging, backup và deploy.</v>
      </c>
      <c r="L2672" t="str">
        <f>'Huong dan giao do an'!$B$31</f>
        <v>Bắt buộc: Charter/PMP; SRS + scope/WBS; Gantt/baseline; effort-cost budget; RACI/timesheet; quality-test-defect; communication/minutes; risk register; procurement; change log; closure/lessons learned.</v>
      </c>
      <c r="M2672" t="str">
        <f>'Huong dan giao do an'!$B$33</f>
        <v>Tuần 1: 07.09–13.09.2026; Tuần 2: 14.09–20.09.2026; Tuần 3: 21.09–27.09.2026; Tuần 4: 28.09–04.10.2026; Tuần 5: 05.10–11.10.2026; Tuần 6: 12.10–18.10.2026; Tuần 7: 19.10–25.10.2026; Tuần 8: 26.10–01.11.2026.</v>
      </c>
      <c r="N26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2" s="17" t="str">
        <f t="shared" si="41"/>
        <v>Còn trống</v>
      </c>
    </row>
    <row r="2673" spans="1:16" x14ac:dyDescent="0.3">
      <c r="A2673">
        <v>2672</v>
      </c>
      <c r="B2673" t="s">
        <v>5978</v>
      </c>
      <c r="C2673" t="s">
        <v>6149</v>
      </c>
      <c r="D2673" t="s">
        <v>6150</v>
      </c>
      <c r="E2673" t="s">
        <v>33</v>
      </c>
      <c r="F2673" t="s">
        <v>5986</v>
      </c>
      <c r="G2673" t="s">
        <v>6022</v>
      </c>
      <c r="H2673" t="str">
        <f>'Huong dan giao do an'!$B$14</f>
        <v>5 SV (vai trò chính): 1 PM/Scrum Master kiêm Integration; 2 BA/PO; 3 UI-UX + Frontend; 4 Backend/API + DevOps; 5 Database + QA/Tester. Mỗi SV có nhiệm vụ phụ và minh chứng cá nhân.</v>
      </c>
      <c r="I2673" t="s">
        <v>36</v>
      </c>
      <c r="J2673" t="s">
        <v>5993</v>
      </c>
      <c r="K2673" t="str">
        <f>IF(I2673="Trung bình",'Huong dan giao do an'!$B$8,IF(I2673="Khá",'Huong dan giao do an'!$B$9,'Huong dan giao do an'!$B$10))</f>
        <v>Tối thiểu 3 actor; 8-10 use case; 6-8 bảng dữ liệu; 2 quy trình lõi; đăng nhập/RBAC; 1 dashboard; 1 báo cáo; &gt;=25 test case; triển khai bản demo.</v>
      </c>
      <c r="L2673" t="str">
        <f>'Huong dan giao do an'!$B$31</f>
        <v>Bắt buộc: Charter/PMP; SRS + scope/WBS; Gantt/baseline; effort-cost budget; RACI/timesheet; quality-test-defect; communication/minutes; risk register; procurement; change log; closure/lessons learned.</v>
      </c>
      <c r="M2673" t="str">
        <f>'Huong dan giao do an'!$B$33</f>
        <v>Tuần 1: 07.09–13.09.2026; Tuần 2: 14.09–20.09.2026; Tuần 3: 21.09–27.09.2026; Tuần 4: 28.09–04.10.2026; Tuần 5: 05.10–11.10.2026; Tuần 6: 12.10–18.10.2026; Tuần 7: 19.10–25.10.2026; Tuần 8: 26.10–01.11.2026.</v>
      </c>
      <c r="N26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3" s="17" t="str">
        <f t="shared" si="41"/>
        <v>Còn trống</v>
      </c>
    </row>
    <row r="2674" spans="1:16" x14ac:dyDescent="0.3">
      <c r="A2674">
        <v>2673</v>
      </c>
      <c r="B2674" t="s">
        <v>5978</v>
      </c>
      <c r="C2674" t="s">
        <v>6151</v>
      </c>
      <c r="D2674" t="s">
        <v>6152</v>
      </c>
      <c r="E2674" t="s">
        <v>40</v>
      </c>
      <c r="F2674" t="s">
        <v>5991</v>
      </c>
      <c r="G2674" t="s">
        <v>6025</v>
      </c>
      <c r="H2674" t="str">
        <f>'Huong dan giao do an'!$B$14</f>
        <v>5 SV (vai trò chính): 1 PM/Scrum Master kiêm Integration; 2 BA/PO; 3 UI-UX + Frontend; 4 Backend/API + DevOps; 5 Database + QA/Tester. Mỗi SV có nhiệm vụ phụ và minh chứng cá nhân.</v>
      </c>
      <c r="I2674" t="s">
        <v>22</v>
      </c>
      <c r="J2674" t="s">
        <v>5983</v>
      </c>
      <c r="K2674" t="str">
        <f>IF(I2674="Trung bình",'Huong dan giao do an'!$B$8,IF(I2674="Khá",'Huong dan giao do an'!$B$9,'Huong dan giao do an'!$B$10))</f>
        <v>Tối thiểu 4 actor; 10-14 use case; 8-12 bảng; 3 quy trình lõi; phân quyền chi tiết; 2 báo cáo; tích hợp 1 dịch vụ; &gt;=35 test case; CI/CD hoặc deploy cloud.</v>
      </c>
      <c r="L2674" t="str">
        <f>'Huong dan giao do an'!$B$31</f>
        <v>Bắt buộc: Charter/PMP; SRS + scope/WBS; Gantt/baseline; effort-cost budget; RACI/timesheet; quality-test-defect; communication/minutes; risk register; procurement; change log; closure/lessons learned.</v>
      </c>
      <c r="M2674" t="str">
        <f>'Huong dan giao do an'!$B$33</f>
        <v>Tuần 1: 07.09–13.09.2026; Tuần 2: 14.09–20.09.2026; Tuần 3: 21.09–27.09.2026; Tuần 4: 28.09–04.10.2026; Tuần 5: 05.10–11.10.2026; Tuần 6: 12.10–18.10.2026; Tuần 7: 19.10–25.10.2026; Tuần 8: 26.10–01.11.2026.</v>
      </c>
      <c r="N26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4" s="17" t="str">
        <f t="shared" si="41"/>
        <v>Còn trống</v>
      </c>
    </row>
    <row r="2675" spans="1:16" x14ac:dyDescent="0.3">
      <c r="A2675">
        <v>2674</v>
      </c>
      <c r="B2675" t="s">
        <v>5978</v>
      </c>
      <c r="C2675" t="s">
        <v>6153</v>
      </c>
      <c r="D2675" t="s">
        <v>6154</v>
      </c>
      <c r="E2675" t="s">
        <v>45</v>
      </c>
      <c r="F2675" t="s">
        <v>5996</v>
      </c>
      <c r="G2675" t="s">
        <v>6028</v>
      </c>
      <c r="H2675" t="str">
        <f>'Huong dan giao do an'!$B$14</f>
        <v>5 SV (vai trò chính): 1 PM/Scrum Master kiêm Integration; 2 BA/PO; 3 UI-UX + Frontend; 4 Backend/API + DevOps; 5 Database + QA/Tester. Mỗi SV có nhiệm vụ phụ và minh chứng cá nhân.</v>
      </c>
      <c r="I2675" t="s">
        <v>29</v>
      </c>
      <c r="J2675" t="s">
        <v>5988</v>
      </c>
      <c r="K2675" t="str">
        <f>IF(I2675="Trung bình",'Huong dan giao do an'!$B$8,IF(I2675="Khá",'Huong dan giao do an'!$B$9,'Huong dan giao do an'!$B$10))</f>
        <v>Tối thiểu 5 actor; 14-18 use case; 10-15 bảng; 4 quy trình; tích hợp ngoài/realtime hoặc xử lý nâng cao; 3 báo cáo; &gt;=45 test case; logging, backup và deploy.</v>
      </c>
      <c r="L2675" t="str">
        <f>'Huong dan giao do an'!$B$31</f>
        <v>Bắt buộc: Charter/PMP; SRS + scope/WBS; Gantt/baseline; effort-cost budget; RACI/timesheet; quality-test-defect; communication/minutes; risk register; procurement; change log; closure/lessons learned.</v>
      </c>
      <c r="M2675" t="str">
        <f>'Huong dan giao do an'!$B$33</f>
        <v>Tuần 1: 07.09–13.09.2026; Tuần 2: 14.09–20.09.2026; Tuần 3: 21.09–27.09.2026; Tuần 4: 28.09–04.10.2026; Tuần 5: 05.10–11.10.2026; Tuần 6: 12.10–18.10.2026; Tuần 7: 19.10–25.10.2026; Tuần 8: 26.10–01.11.2026.</v>
      </c>
      <c r="N26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5" s="17" t="str">
        <f t="shared" si="41"/>
        <v>Còn trống</v>
      </c>
    </row>
    <row r="2676" spans="1:16" x14ac:dyDescent="0.3">
      <c r="A2676">
        <v>2675</v>
      </c>
      <c r="B2676" t="s">
        <v>5978</v>
      </c>
      <c r="C2676" t="s">
        <v>6155</v>
      </c>
      <c r="D2676" t="s">
        <v>6156</v>
      </c>
      <c r="E2676" t="s">
        <v>19</v>
      </c>
      <c r="F2676" t="s">
        <v>6000</v>
      </c>
      <c r="G2676" t="s">
        <v>6031</v>
      </c>
      <c r="H2676" t="str">
        <f>'Huong dan giao do an'!$B$14</f>
        <v>5 SV (vai trò chính): 1 PM/Scrum Master kiêm Integration; 2 BA/PO; 3 UI-UX + Frontend; 4 Backend/API + DevOps; 5 Database + QA/Tester. Mỗi SV có nhiệm vụ phụ và minh chứng cá nhân.</v>
      </c>
      <c r="I2676" t="s">
        <v>36</v>
      </c>
      <c r="J2676" t="s">
        <v>5993</v>
      </c>
      <c r="K2676" t="str">
        <f>IF(I2676="Trung bình",'Huong dan giao do an'!$B$8,IF(I2676="Khá",'Huong dan giao do an'!$B$9,'Huong dan giao do an'!$B$10))</f>
        <v>Tối thiểu 3 actor; 8-10 use case; 6-8 bảng dữ liệu; 2 quy trình lõi; đăng nhập/RBAC; 1 dashboard; 1 báo cáo; &gt;=25 test case; triển khai bản demo.</v>
      </c>
      <c r="L2676" t="str">
        <f>'Huong dan giao do an'!$B$31</f>
        <v>Bắt buộc: Charter/PMP; SRS + scope/WBS; Gantt/baseline; effort-cost budget; RACI/timesheet; quality-test-defect; communication/minutes; risk register; procurement; change log; closure/lessons learned.</v>
      </c>
      <c r="M2676" t="str">
        <f>'Huong dan giao do an'!$B$33</f>
        <v>Tuần 1: 07.09–13.09.2026; Tuần 2: 14.09–20.09.2026; Tuần 3: 21.09–27.09.2026; Tuần 4: 28.09–04.10.2026; Tuần 5: 05.10–11.10.2026; Tuần 6: 12.10–18.10.2026; Tuần 7: 19.10–25.10.2026; Tuần 8: 26.10–01.11.2026.</v>
      </c>
      <c r="N26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6" s="17" t="str">
        <f t="shared" si="41"/>
        <v>Còn trống</v>
      </c>
    </row>
    <row r="2677" spans="1:16" x14ac:dyDescent="0.3">
      <c r="A2677">
        <v>2676</v>
      </c>
      <c r="B2677" t="s">
        <v>5978</v>
      </c>
      <c r="C2677" t="s">
        <v>6157</v>
      </c>
      <c r="D2677" t="s">
        <v>6158</v>
      </c>
      <c r="E2677" t="s">
        <v>26</v>
      </c>
      <c r="F2677" t="s">
        <v>5981</v>
      </c>
      <c r="G2677" t="s">
        <v>6034</v>
      </c>
      <c r="H2677" t="str">
        <f>'Huong dan giao do an'!$B$14</f>
        <v>5 SV (vai trò chính): 1 PM/Scrum Master kiêm Integration; 2 BA/PO; 3 UI-UX + Frontend; 4 Backend/API + DevOps; 5 Database + QA/Tester. Mỗi SV có nhiệm vụ phụ và minh chứng cá nhân.</v>
      </c>
      <c r="I2677" t="s">
        <v>22</v>
      </c>
      <c r="J2677" t="s">
        <v>5983</v>
      </c>
      <c r="K2677" t="str">
        <f>IF(I2677="Trung bình",'Huong dan giao do an'!$B$8,IF(I2677="Khá",'Huong dan giao do an'!$B$9,'Huong dan giao do an'!$B$10))</f>
        <v>Tối thiểu 4 actor; 10-14 use case; 8-12 bảng; 3 quy trình lõi; phân quyền chi tiết; 2 báo cáo; tích hợp 1 dịch vụ; &gt;=35 test case; CI/CD hoặc deploy cloud.</v>
      </c>
      <c r="L2677" t="str">
        <f>'Huong dan giao do an'!$B$31</f>
        <v>Bắt buộc: Charter/PMP; SRS + scope/WBS; Gantt/baseline; effort-cost budget; RACI/timesheet; quality-test-defect; communication/minutes; risk register; procurement; change log; closure/lessons learned.</v>
      </c>
      <c r="M2677" t="str">
        <f>'Huong dan giao do an'!$B$33</f>
        <v>Tuần 1: 07.09–13.09.2026; Tuần 2: 14.09–20.09.2026; Tuần 3: 21.09–27.09.2026; Tuần 4: 28.09–04.10.2026; Tuần 5: 05.10–11.10.2026; Tuần 6: 12.10–18.10.2026; Tuần 7: 19.10–25.10.2026; Tuần 8: 26.10–01.11.2026.</v>
      </c>
      <c r="N26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7" s="17" t="str">
        <f t="shared" si="41"/>
        <v>Còn trống</v>
      </c>
    </row>
    <row r="2678" spans="1:16" x14ac:dyDescent="0.3">
      <c r="A2678">
        <v>2677</v>
      </c>
      <c r="B2678" t="s">
        <v>5978</v>
      </c>
      <c r="C2678" t="s">
        <v>6159</v>
      </c>
      <c r="D2678" t="s">
        <v>6160</v>
      </c>
      <c r="E2678" t="s">
        <v>33</v>
      </c>
      <c r="F2678" t="s">
        <v>5986</v>
      </c>
      <c r="G2678" t="s">
        <v>6037</v>
      </c>
      <c r="H2678" t="str">
        <f>'Huong dan giao do an'!$B$14</f>
        <v>5 SV (vai trò chính): 1 PM/Scrum Master kiêm Integration; 2 BA/PO; 3 UI-UX + Frontend; 4 Backend/API + DevOps; 5 Database + QA/Tester. Mỗi SV có nhiệm vụ phụ và minh chứng cá nhân.</v>
      </c>
      <c r="I2678" t="s">
        <v>29</v>
      </c>
      <c r="J2678" t="s">
        <v>5988</v>
      </c>
      <c r="K2678" t="str">
        <f>IF(I2678="Trung bình",'Huong dan giao do an'!$B$8,IF(I2678="Khá",'Huong dan giao do an'!$B$9,'Huong dan giao do an'!$B$10))</f>
        <v>Tối thiểu 5 actor; 14-18 use case; 10-15 bảng; 4 quy trình; tích hợp ngoài/realtime hoặc xử lý nâng cao; 3 báo cáo; &gt;=45 test case; logging, backup và deploy.</v>
      </c>
      <c r="L2678" t="str">
        <f>'Huong dan giao do an'!$B$31</f>
        <v>Bắt buộc: Charter/PMP; SRS + scope/WBS; Gantt/baseline; effort-cost budget; RACI/timesheet; quality-test-defect; communication/minutes; risk register; procurement; change log; closure/lessons learned.</v>
      </c>
      <c r="M2678" t="str">
        <f>'Huong dan giao do an'!$B$33</f>
        <v>Tuần 1: 07.09–13.09.2026; Tuần 2: 14.09–20.09.2026; Tuần 3: 21.09–27.09.2026; Tuần 4: 28.09–04.10.2026; Tuần 5: 05.10–11.10.2026; Tuần 6: 12.10–18.10.2026; Tuần 7: 19.10–25.10.2026; Tuần 8: 26.10–01.11.2026.</v>
      </c>
      <c r="N26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8" s="17" t="str">
        <f t="shared" si="41"/>
        <v>Còn trống</v>
      </c>
    </row>
    <row r="2679" spans="1:16" x14ac:dyDescent="0.3">
      <c r="A2679">
        <v>2678</v>
      </c>
      <c r="B2679" t="s">
        <v>5978</v>
      </c>
      <c r="C2679" t="s">
        <v>6161</v>
      </c>
      <c r="D2679" t="s">
        <v>6162</v>
      </c>
      <c r="E2679" t="s">
        <v>40</v>
      </c>
      <c r="F2679" t="s">
        <v>5991</v>
      </c>
      <c r="G2679" t="s">
        <v>6040</v>
      </c>
      <c r="H2679" t="str">
        <f>'Huong dan giao do an'!$B$14</f>
        <v>5 SV (vai trò chính): 1 PM/Scrum Master kiêm Integration; 2 BA/PO; 3 UI-UX + Frontend; 4 Backend/API + DevOps; 5 Database + QA/Tester. Mỗi SV có nhiệm vụ phụ và minh chứng cá nhân.</v>
      </c>
      <c r="I2679" t="s">
        <v>36</v>
      </c>
      <c r="J2679" t="s">
        <v>5993</v>
      </c>
      <c r="K2679" t="str">
        <f>IF(I2679="Trung bình",'Huong dan giao do an'!$B$8,IF(I2679="Khá",'Huong dan giao do an'!$B$9,'Huong dan giao do an'!$B$10))</f>
        <v>Tối thiểu 3 actor; 8-10 use case; 6-8 bảng dữ liệu; 2 quy trình lõi; đăng nhập/RBAC; 1 dashboard; 1 báo cáo; &gt;=25 test case; triển khai bản demo.</v>
      </c>
      <c r="L2679" t="str">
        <f>'Huong dan giao do an'!$B$31</f>
        <v>Bắt buộc: Charter/PMP; SRS + scope/WBS; Gantt/baseline; effort-cost budget; RACI/timesheet; quality-test-defect; communication/minutes; risk register; procurement; change log; closure/lessons learned.</v>
      </c>
      <c r="M2679" t="str">
        <f>'Huong dan giao do an'!$B$33</f>
        <v>Tuần 1: 07.09–13.09.2026; Tuần 2: 14.09–20.09.2026; Tuần 3: 21.09–27.09.2026; Tuần 4: 28.09–04.10.2026; Tuần 5: 05.10–11.10.2026; Tuần 6: 12.10–18.10.2026; Tuần 7: 19.10–25.10.2026; Tuần 8: 26.10–01.11.2026.</v>
      </c>
      <c r="N26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79" s="17" t="str">
        <f t="shared" si="41"/>
        <v>Còn trống</v>
      </c>
    </row>
    <row r="2680" spans="1:16" x14ac:dyDescent="0.3">
      <c r="A2680">
        <v>2679</v>
      </c>
      <c r="B2680" t="s">
        <v>5978</v>
      </c>
      <c r="C2680" t="s">
        <v>6163</v>
      </c>
      <c r="D2680" t="s">
        <v>6164</v>
      </c>
      <c r="E2680" t="s">
        <v>45</v>
      </c>
      <c r="F2680" t="s">
        <v>5996</v>
      </c>
      <c r="G2680" t="s">
        <v>6043</v>
      </c>
      <c r="H2680" t="str">
        <f>'Huong dan giao do an'!$B$14</f>
        <v>5 SV (vai trò chính): 1 PM/Scrum Master kiêm Integration; 2 BA/PO; 3 UI-UX + Frontend; 4 Backend/API + DevOps; 5 Database + QA/Tester. Mỗi SV có nhiệm vụ phụ và minh chứng cá nhân.</v>
      </c>
      <c r="I2680" t="s">
        <v>22</v>
      </c>
      <c r="J2680" t="s">
        <v>5983</v>
      </c>
      <c r="K2680" t="str">
        <f>IF(I2680="Trung bình",'Huong dan giao do an'!$B$8,IF(I2680="Khá",'Huong dan giao do an'!$B$9,'Huong dan giao do an'!$B$10))</f>
        <v>Tối thiểu 4 actor; 10-14 use case; 8-12 bảng; 3 quy trình lõi; phân quyền chi tiết; 2 báo cáo; tích hợp 1 dịch vụ; &gt;=35 test case; CI/CD hoặc deploy cloud.</v>
      </c>
      <c r="L2680" t="str">
        <f>'Huong dan giao do an'!$B$31</f>
        <v>Bắt buộc: Charter/PMP; SRS + scope/WBS; Gantt/baseline; effort-cost budget; RACI/timesheet; quality-test-defect; communication/minutes; risk register; procurement; change log; closure/lessons learned.</v>
      </c>
      <c r="M2680" t="str">
        <f>'Huong dan giao do an'!$B$33</f>
        <v>Tuần 1: 07.09–13.09.2026; Tuần 2: 14.09–20.09.2026; Tuần 3: 21.09–27.09.2026; Tuần 4: 28.09–04.10.2026; Tuần 5: 05.10–11.10.2026; Tuần 6: 12.10–18.10.2026; Tuần 7: 19.10–25.10.2026; Tuần 8: 26.10–01.11.2026.</v>
      </c>
      <c r="N26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0" s="17" t="str">
        <f t="shared" si="41"/>
        <v>Còn trống</v>
      </c>
    </row>
    <row r="2681" spans="1:16" x14ac:dyDescent="0.3">
      <c r="A2681">
        <v>2680</v>
      </c>
      <c r="B2681" t="s">
        <v>5978</v>
      </c>
      <c r="C2681" t="s">
        <v>6165</v>
      </c>
      <c r="D2681" t="s">
        <v>6166</v>
      </c>
      <c r="E2681" t="s">
        <v>19</v>
      </c>
      <c r="F2681" t="s">
        <v>6000</v>
      </c>
      <c r="G2681" t="s">
        <v>6046</v>
      </c>
      <c r="H2681" t="str">
        <f>'Huong dan giao do an'!$B$14</f>
        <v>5 SV (vai trò chính): 1 PM/Scrum Master kiêm Integration; 2 BA/PO; 3 UI-UX + Frontend; 4 Backend/API + DevOps; 5 Database + QA/Tester. Mỗi SV có nhiệm vụ phụ và minh chứng cá nhân.</v>
      </c>
      <c r="I2681" t="s">
        <v>29</v>
      </c>
      <c r="J2681" t="s">
        <v>5988</v>
      </c>
      <c r="K2681" t="str">
        <f>IF(I2681="Trung bình",'Huong dan giao do an'!$B$8,IF(I2681="Khá",'Huong dan giao do an'!$B$9,'Huong dan giao do an'!$B$10))</f>
        <v>Tối thiểu 5 actor; 14-18 use case; 10-15 bảng; 4 quy trình; tích hợp ngoài/realtime hoặc xử lý nâng cao; 3 báo cáo; &gt;=45 test case; logging, backup và deploy.</v>
      </c>
      <c r="L2681" t="str">
        <f>'Huong dan giao do an'!$B$31</f>
        <v>Bắt buộc: Charter/PMP; SRS + scope/WBS; Gantt/baseline; effort-cost budget; RACI/timesheet; quality-test-defect; communication/minutes; risk register; procurement; change log; closure/lessons learned.</v>
      </c>
      <c r="M2681" t="str">
        <f>'Huong dan giao do an'!$B$33</f>
        <v>Tuần 1: 07.09–13.09.2026; Tuần 2: 14.09–20.09.2026; Tuần 3: 21.09–27.09.2026; Tuần 4: 28.09–04.10.2026; Tuần 5: 05.10–11.10.2026; Tuần 6: 12.10–18.10.2026; Tuần 7: 19.10–25.10.2026; Tuần 8: 26.10–01.11.2026.</v>
      </c>
      <c r="N26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1" s="17" t="str">
        <f t="shared" si="41"/>
        <v>Còn trống</v>
      </c>
    </row>
    <row r="2682" spans="1:16" x14ac:dyDescent="0.3">
      <c r="A2682">
        <v>2681</v>
      </c>
      <c r="B2682" t="s">
        <v>5978</v>
      </c>
      <c r="C2682" t="s">
        <v>6167</v>
      </c>
      <c r="D2682" t="s">
        <v>6168</v>
      </c>
      <c r="E2682" t="s">
        <v>26</v>
      </c>
      <c r="F2682" t="s">
        <v>5981</v>
      </c>
      <c r="G2682" t="s">
        <v>5982</v>
      </c>
      <c r="H2682" t="str">
        <f>'Huong dan giao do an'!$B$14</f>
        <v>5 SV (vai trò chính): 1 PM/Scrum Master kiêm Integration; 2 BA/PO; 3 UI-UX + Frontend; 4 Backend/API + DevOps; 5 Database + QA/Tester. Mỗi SV có nhiệm vụ phụ và minh chứng cá nhân.</v>
      </c>
      <c r="I2682" t="s">
        <v>22</v>
      </c>
      <c r="J2682" t="s">
        <v>5983</v>
      </c>
      <c r="K2682" t="str">
        <f>IF(I2682="Trung bình",'Huong dan giao do an'!$B$8,IF(I2682="Khá",'Huong dan giao do an'!$B$9,'Huong dan giao do an'!$B$10))</f>
        <v>Tối thiểu 4 actor; 10-14 use case; 8-12 bảng; 3 quy trình lõi; phân quyền chi tiết; 2 báo cáo; tích hợp 1 dịch vụ; &gt;=35 test case; CI/CD hoặc deploy cloud.</v>
      </c>
      <c r="L2682" t="str">
        <f>'Huong dan giao do an'!$B$31</f>
        <v>Bắt buộc: Charter/PMP; SRS + scope/WBS; Gantt/baseline; effort-cost budget; RACI/timesheet; quality-test-defect; communication/minutes; risk register; procurement; change log; closure/lessons learned.</v>
      </c>
      <c r="M2682" t="str">
        <f>'Huong dan giao do an'!$B$33</f>
        <v>Tuần 1: 07.09–13.09.2026; Tuần 2: 14.09–20.09.2026; Tuần 3: 21.09–27.09.2026; Tuần 4: 28.09–04.10.2026; Tuần 5: 05.10–11.10.2026; Tuần 6: 12.10–18.10.2026; Tuần 7: 19.10–25.10.2026; Tuần 8: 26.10–01.11.2026.</v>
      </c>
      <c r="N26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2" s="17" t="str">
        <f t="shared" si="41"/>
        <v>Còn trống</v>
      </c>
    </row>
    <row r="2683" spans="1:16" x14ac:dyDescent="0.3">
      <c r="A2683">
        <v>2682</v>
      </c>
      <c r="B2683" t="s">
        <v>5978</v>
      </c>
      <c r="C2683" t="s">
        <v>6169</v>
      </c>
      <c r="D2683" t="s">
        <v>6170</v>
      </c>
      <c r="E2683" t="s">
        <v>33</v>
      </c>
      <c r="F2683" t="s">
        <v>5986</v>
      </c>
      <c r="G2683" t="s">
        <v>5987</v>
      </c>
      <c r="H2683" t="str">
        <f>'Huong dan giao do an'!$B$14</f>
        <v>5 SV (vai trò chính): 1 PM/Scrum Master kiêm Integration; 2 BA/PO; 3 UI-UX + Frontend; 4 Backend/API + DevOps; 5 Database + QA/Tester. Mỗi SV có nhiệm vụ phụ và minh chứng cá nhân.</v>
      </c>
      <c r="I2683" t="s">
        <v>29</v>
      </c>
      <c r="J2683" t="s">
        <v>5988</v>
      </c>
      <c r="K2683" t="str">
        <f>IF(I2683="Trung bình",'Huong dan giao do an'!$B$8,IF(I2683="Khá",'Huong dan giao do an'!$B$9,'Huong dan giao do an'!$B$10))</f>
        <v>Tối thiểu 5 actor; 14-18 use case; 10-15 bảng; 4 quy trình; tích hợp ngoài/realtime hoặc xử lý nâng cao; 3 báo cáo; &gt;=45 test case; logging, backup và deploy.</v>
      </c>
      <c r="L2683" t="str">
        <f>'Huong dan giao do an'!$B$31</f>
        <v>Bắt buộc: Charter/PMP; SRS + scope/WBS; Gantt/baseline; effort-cost budget; RACI/timesheet; quality-test-defect; communication/minutes; risk register; procurement; change log; closure/lessons learned.</v>
      </c>
      <c r="M2683" t="str">
        <f>'Huong dan giao do an'!$B$33</f>
        <v>Tuần 1: 07.09–13.09.2026; Tuần 2: 14.09–20.09.2026; Tuần 3: 21.09–27.09.2026; Tuần 4: 28.09–04.10.2026; Tuần 5: 05.10–11.10.2026; Tuần 6: 12.10–18.10.2026; Tuần 7: 19.10–25.10.2026; Tuần 8: 26.10–01.11.2026.</v>
      </c>
      <c r="N26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3" s="17" t="str">
        <f t="shared" si="41"/>
        <v>Còn trống</v>
      </c>
    </row>
    <row r="2684" spans="1:16" x14ac:dyDescent="0.3">
      <c r="A2684">
        <v>2683</v>
      </c>
      <c r="B2684" t="s">
        <v>5978</v>
      </c>
      <c r="C2684" t="s">
        <v>6171</v>
      </c>
      <c r="D2684" t="s">
        <v>6172</v>
      </c>
      <c r="E2684" t="s">
        <v>40</v>
      </c>
      <c r="F2684" t="s">
        <v>5991</v>
      </c>
      <c r="G2684" t="s">
        <v>5992</v>
      </c>
      <c r="H2684" t="str">
        <f>'Huong dan giao do an'!$B$14</f>
        <v>5 SV (vai trò chính): 1 PM/Scrum Master kiêm Integration; 2 BA/PO; 3 UI-UX + Frontend; 4 Backend/API + DevOps; 5 Database + QA/Tester. Mỗi SV có nhiệm vụ phụ và minh chứng cá nhân.</v>
      </c>
      <c r="I2684" t="s">
        <v>36</v>
      </c>
      <c r="J2684" t="s">
        <v>5993</v>
      </c>
      <c r="K2684" t="str">
        <f>IF(I2684="Trung bình",'Huong dan giao do an'!$B$8,IF(I2684="Khá",'Huong dan giao do an'!$B$9,'Huong dan giao do an'!$B$10))</f>
        <v>Tối thiểu 3 actor; 8-10 use case; 6-8 bảng dữ liệu; 2 quy trình lõi; đăng nhập/RBAC; 1 dashboard; 1 báo cáo; &gt;=25 test case; triển khai bản demo.</v>
      </c>
      <c r="L2684" t="str">
        <f>'Huong dan giao do an'!$B$31</f>
        <v>Bắt buộc: Charter/PMP; SRS + scope/WBS; Gantt/baseline; effort-cost budget; RACI/timesheet; quality-test-defect; communication/minutes; risk register; procurement; change log; closure/lessons learned.</v>
      </c>
      <c r="M2684" t="str">
        <f>'Huong dan giao do an'!$B$33</f>
        <v>Tuần 1: 07.09–13.09.2026; Tuần 2: 14.09–20.09.2026; Tuần 3: 21.09–27.09.2026; Tuần 4: 28.09–04.10.2026; Tuần 5: 05.10–11.10.2026; Tuần 6: 12.10–18.10.2026; Tuần 7: 19.10–25.10.2026; Tuần 8: 26.10–01.11.2026.</v>
      </c>
      <c r="N26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4" s="17" t="str">
        <f t="shared" si="41"/>
        <v>Còn trống</v>
      </c>
    </row>
    <row r="2685" spans="1:16" x14ac:dyDescent="0.3">
      <c r="A2685">
        <v>2684</v>
      </c>
      <c r="B2685" t="s">
        <v>5978</v>
      </c>
      <c r="C2685" t="s">
        <v>6173</v>
      </c>
      <c r="D2685" t="s">
        <v>6174</v>
      </c>
      <c r="E2685" t="s">
        <v>45</v>
      </c>
      <c r="F2685" t="s">
        <v>5996</v>
      </c>
      <c r="G2685" t="s">
        <v>5997</v>
      </c>
      <c r="H2685" t="str">
        <f>'Huong dan giao do an'!$B$14</f>
        <v>5 SV (vai trò chính): 1 PM/Scrum Master kiêm Integration; 2 BA/PO; 3 UI-UX + Frontend; 4 Backend/API + DevOps; 5 Database + QA/Tester. Mỗi SV có nhiệm vụ phụ và minh chứng cá nhân.</v>
      </c>
      <c r="I2685" t="s">
        <v>22</v>
      </c>
      <c r="J2685" t="s">
        <v>5983</v>
      </c>
      <c r="K2685" t="str">
        <f>IF(I2685="Trung bình",'Huong dan giao do an'!$B$8,IF(I2685="Khá",'Huong dan giao do an'!$B$9,'Huong dan giao do an'!$B$10))</f>
        <v>Tối thiểu 4 actor; 10-14 use case; 8-12 bảng; 3 quy trình lõi; phân quyền chi tiết; 2 báo cáo; tích hợp 1 dịch vụ; &gt;=35 test case; CI/CD hoặc deploy cloud.</v>
      </c>
      <c r="L2685" t="str">
        <f>'Huong dan giao do an'!$B$31</f>
        <v>Bắt buộc: Charter/PMP; SRS + scope/WBS; Gantt/baseline; effort-cost budget; RACI/timesheet; quality-test-defect; communication/minutes; risk register; procurement; change log; closure/lessons learned.</v>
      </c>
      <c r="M2685" t="str">
        <f>'Huong dan giao do an'!$B$33</f>
        <v>Tuần 1: 07.09–13.09.2026; Tuần 2: 14.09–20.09.2026; Tuần 3: 21.09–27.09.2026; Tuần 4: 28.09–04.10.2026; Tuần 5: 05.10–11.10.2026; Tuần 6: 12.10–18.10.2026; Tuần 7: 19.10–25.10.2026; Tuần 8: 26.10–01.11.2026.</v>
      </c>
      <c r="N26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5" s="17" t="str">
        <f t="shared" si="41"/>
        <v>Còn trống</v>
      </c>
    </row>
    <row r="2686" spans="1:16" x14ac:dyDescent="0.3">
      <c r="A2686">
        <v>2685</v>
      </c>
      <c r="B2686" t="s">
        <v>5978</v>
      </c>
      <c r="C2686" t="s">
        <v>6175</v>
      </c>
      <c r="D2686" t="s">
        <v>6176</v>
      </c>
      <c r="E2686" t="s">
        <v>19</v>
      </c>
      <c r="F2686" t="s">
        <v>6000</v>
      </c>
      <c r="G2686" t="s">
        <v>6001</v>
      </c>
      <c r="H2686" t="str">
        <f>'Huong dan giao do an'!$B$14</f>
        <v>5 SV (vai trò chính): 1 PM/Scrum Master kiêm Integration; 2 BA/PO; 3 UI-UX + Frontend; 4 Backend/API + DevOps; 5 Database + QA/Tester. Mỗi SV có nhiệm vụ phụ và minh chứng cá nhân.</v>
      </c>
      <c r="I2686" t="s">
        <v>29</v>
      </c>
      <c r="J2686" t="s">
        <v>5988</v>
      </c>
      <c r="K2686" t="str">
        <f>IF(I2686="Trung bình",'Huong dan giao do an'!$B$8,IF(I2686="Khá",'Huong dan giao do an'!$B$9,'Huong dan giao do an'!$B$10))</f>
        <v>Tối thiểu 5 actor; 14-18 use case; 10-15 bảng; 4 quy trình; tích hợp ngoài/realtime hoặc xử lý nâng cao; 3 báo cáo; &gt;=45 test case; logging, backup và deploy.</v>
      </c>
      <c r="L2686" t="str">
        <f>'Huong dan giao do an'!$B$31</f>
        <v>Bắt buộc: Charter/PMP; SRS + scope/WBS; Gantt/baseline; effort-cost budget; RACI/timesheet; quality-test-defect; communication/minutes; risk register; procurement; change log; closure/lessons learned.</v>
      </c>
      <c r="M2686" t="str">
        <f>'Huong dan giao do an'!$B$33</f>
        <v>Tuần 1: 07.09–13.09.2026; Tuần 2: 14.09–20.09.2026; Tuần 3: 21.09–27.09.2026; Tuần 4: 28.09–04.10.2026; Tuần 5: 05.10–11.10.2026; Tuần 6: 12.10–18.10.2026; Tuần 7: 19.10–25.10.2026; Tuần 8: 26.10–01.11.2026.</v>
      </c>
      <c r="N26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6" s="17" t="str">
        <f t="shared" si="41"/>
        <v>Còn trống</v>
      </c>
    </row>
    <row r="2687" spans="1:16" x14ac:dyDescent="0.3">
      <c r="A2687">
        <v>2686</v>
      </c>
      <c r="B2687" t="s">
        <v>5978</v>
      </c>
      <c r="C2687" t="s">
        <v>6177</v>
      </c>
      <c r="D2687" t="s">
        <v>6178</v>
      </c>
      <c r="E2687" t="s">
        <v>26</v>
      </c>
      <c r="F2687" t="s">
        <v>5981</v>
      </c>
      <c r="G2687" t="s">
        <v>6004</v>
      </c>
      <c r="H2687" t="str">
        <f>'Huong dan giao do an'!$B$14</f>
        <v>5 SV (vai trò chính): 1 PM/Scrum Master kiêm Integration; 2 BA/PO; 3 UI-UX + Frontend; 4 Backend/API + DevOps; 5 Database + QA/Tester. Mỗi SV có nhiệm vụ phụ và minh chứng cá nhân.</v>
      </c>
      <c r="I2687" t="s">
        <v>36</v>
      </c>
      <c r="J2687" t="s">
        <v>5993</v>
      </c>
      <c r="K2687" t="str">
        <f>IF(I2687="Trung bình",'Huong dan giao do an'!$B$8,IF(I2687="Khá",'Huong dan giao do an'!$B$9,'Huong dan giao do an'!$B$10))</f>
        <v>Tối thiểu 3 actor; 8-10 use case; 6-8 bảng dữ liệu; 2 quy trình lõi; đăng nhập/RBAC; 1 dashboard; 1 báo cáo; &gt;=25 test case; triển khai bản demo.</v>
      </c>
      <c r="L2687" t="str">
        <f>'Huong dan giao do an'!$B$31</f>
        <v>Bắt buộc: Charter/PMP; SRS + scope/WBS; Gantt/baseline; effort-cost budget; RACI/timesheet; quality-test-defect; communication/minutes; risk register; procurement; change log; closure/lessons learned.</v>
      </c>
      <c r="M2687" t="str">
        <f>'Huong dan giao do an'!$B$33</f>
        <v>Tuần 1: 07.09–13.09.2026; Tuần 2: 14.09–20.09.2026; Tuần 3: 21.09–27.09.2026; Tuần 4: 28.09–04.10.2026; Tuần 5: 05.10–11.10.2026; Tuần 6: 12.10–18.10.2026; Tuần 7: 19.10–25.10.2026; Tuần 8: 26.10–01.11.2026.</v>
      </c>
      <c r="N26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7" s="17" t="str">
        <f t="shared" si="41"/>
        <v>Còn trống</v>
      </c>
    </row>
    <row r="2688" spans="1:16" x14ac:dyDescent="0.3">
      <c r="A2688">
        <v>2687</v>
      </c>
      <c r="B2688" t="s">
        <v>5978</v>
      </c>
      <c r="C2688" t="s">
        <v>6179</v>
      </c>
      <c r="D2688" t="s">
        <v>6180</v>
      </c>
      <c r="E2688" t="s">
        <v>33</v>
      </c>
      <c r="F2688" t="s">
        <v>5986</v>
      </c>
      <c r="G2688" t="s">
        <v>6007</v>
      </c>
      <c r="H2688" t="str">
        <f>'Huong dan giao do an'!$B$14</f>
        <v>5 SV (vai trò chính): 1 PM/Scrum Master kiêm Integration; 2 BA/PO; 3 UI-UX + Frontend; 4 Backend/API + DevOps; 5 Database + QA/Tester. Mỗi SV có nhiệm vụ phụ và minh chứng cá nhân.</v>
      </c>
      <c r="I2688" t="s">
        <v>22</v>
      </c>
      <c r="J2688" t="s">
        <v>5983</v>
      </c>
      <c r="K2688" t="str">
        <f>IF(I2688="Trung bình",'Huong dan giao do an'!$B$8,IF(I2688="Khá",'Huong dan giao do an'!$B$9,'Huong dan giao do an'!$B$10))</f>
        <v>Tối thiểu 4 actor; 10-14 use case; 8-12 bảng; 3 quy trình lõi; phân quyền chi tiết; 2 báo cáo; tích hợp 1 dịch vụ; &gt;=35 test case; CI/CD hoặc deploy cloud.</v>
      </c>
      <c r="L2688" t="str">
        <f>'Huong dan giao do an'!$B$31</f>
        <v>Bắt buộc: Charter/PMP; SRS + scope/WBS; Gantt/baseline; effort-cost budget; RACI/timesheet; quality-test-defect; communication/minutes; risk register; procurement; change log; closure/lessons learned.</v>
      </c>
      <c r="M2688" t="str">
        <f>'Huong dan giao do an'!$B$33</f>
        <v>Tuần 1: 07.09–13.09.2026; Tuần 2: 14.09–20.09.2026; Tuần 3: 21.09–27.09.2026; Tuần 4: 28.09–04.10.2026; Tuần 5: 05.10–11.10.2026; Tuần 6: 12.10–18.10.2026; Tuần 7: 19.10–25.10.2026; Tuần 8: 26.10–01.11.2026.</v>
      </c>
      <c r="N26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8" s="17" t="str">
        <f t="shared" si="41"/>
        <v>Còn trống</v>
      </c>
    </row>
    <row r="2689" spans="1:16" x14ac:dyDescent="0.3">
      <c r="A2689">
        <v>2688</v>
      </c>
      <c r="B2689" t="s">
        <v>5978</v>
      </c>
      <c r="C2689" t="s">
        <v>6181</v>
      </c>
      <c r="D2689" t="s">
        <v>6182</v>
      </c>
      <c r="E2689" t="s">
        <v>40</v>
      </c>
      <c r="F2689" t="s">
        <v>5991</v>
      </c>
      <c r="G2689" t="s">
        <v>6010</v>
      </c>
      <c r="H2689" t="str">
        <f>'Huong dan giao do an'!$B$14</f>
        <v>5 SV (vai trò chính): 1 PM/Scrum Master kiêm Integration; 2 BA/PO; 3 UI-UX + Frontend; 4 Backend/API + DevOps; 5 Database + QA/Tester. Mỗi SV có nhiệm vụ phụ và minh chứng cá nhân.</v>
      </c>
      <c r="I2689" t="s">
        <v>29</v>
      </c>
      <c r="J2689" t="s">
        <v>5988</v>
      </c>
      <c r="K2689" t="str">
        <f>IF(I2689="Trung bình",'Huong dan giao do an'!$B$8,IF(I2689="Khá",'Huong dan giao do an'!$B$9,'Huong dan giao do an'!$B$10))</f>
        <v>Tối thiểu 5 actor; 14-18 use case; 10-15 bảng; 4 quy trình; tích hợp ngoài/realtime hoặc xử lý nâng cao; 3 báo cáo; &gt;=45 test case; logging, backup và deploy.</v>
      </c>
      <c r="L2689" t="str">
        <f>'Huong dan giao do an'!$B$31</f>
        <v>Bắt buộc: Charter/PMP; SRS + scope/WBS; Gantt/baseline; effort-cost budget; RACI/timesheet; quality-test-defect; communication/minutes; risk register; procurement; change log; closure/lessons learned.</v>
      </c>
      <c r="M2689" t="str">
        <f>'Huong dan giao do an'!$B$33</f>
        <v>Tuần 1: 07.09–13.09.2026; Tuần 2: 14.09–20.09.2026; Tuần 3: 21.09–27.09.2026; Tuần 4: 28.09–04.10.2026; Tuần 5: 05.10–11.10.2026; Tuần 6: 12.10–18.10.2026; Tuần 7: 19.10–25.10.2026; Tuần 8: 26.10–01.11.2026.</v>
      </c>
      <c r="N26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89" s="17" t="str">
        <f t="shared" si="41"/>
        <v>Còn trống</v>
      </c>
    </row>
    <row r="2690" spans="1:16" x14ac:dyDescent="0.3">
      <c r="A2690">
        <v>2689</v>
      </c>
      <c r="B2690" t="s">
        <v>5978</v>
      </c>
      <c r="C2690" t="s">
        <v>6183</v>
      </c>
      <c r="D2690" t="s">
        <v>6184</v>
      </c>
      <c r="E2690" t="s">
        <v>45</v>
      </c>
      <c r="F2690" t="s">
        <v>5996</v>
      </c>
      <c r="G2690" t="s">
        <v>6013</v>
      </c>
      <c r="H2690" t="str">
        <f>'Huong dan giao do an'!$B$14</f>
        <v>5 SV (vai trò chính): 1 PM/Scrum Master kiêm Integration; 2 BA/PO; 3 UI-UX + Frontend; 4 Backend/API + DevOps; 5 Database + QA/Tester. Mỗi SV có nhiệm vụ phụ và minh chứng cá nhân.</v>
      </c>
      <c r="I2690" t="s">
        <v>36</v>
      </c>
      <c r="J2690" t="s">
        <v>5993</v>
      </c>
      <c r="K2690" t="str">
        <f>IF(I2690="Trung bình",'Huong dan giao do an'!$B$8,IF(I2690="Khá",'Huong dan giao do an'!$B$9,'Huong dan giao do an'!$B$10))</f>
        <v>Tối thiểu 3 actor; 8-10 use case; 6-8 bảng dữ liệu; 2 quy trình lõi; đăng nhập/RBAC; 1 dashboard; 1 báo cáo; &gt;=25 test case; triển khai bản demo.</v>
      </c>
      <c r="L2690" t="str">
        <f>'Huong dan giao do an'!$B$31</f>
        <v>Bắt buộc: Charter/PMP; SRS + scope/WBS; Gantt/baseline; effort-cost budget; RACI/timesheet; quality-test-defect; communication/minutes; risk register; procurement; change log; closure/lessons learned.</v>
      </c>
      <c r="M2690" t="str">
        <f>'Huong dan giao do an'!$B$33</f>
        <v>Tuần 1: 07.09–13.09.2026; Tuần 2: 14.09–20.09.2026; Tuần 3: 21.09–27.09.2026; Tuần 4: 28.09–04.10.2026; Tuần 5: 05.10–11.10.2026; Tuần 6: 12.10–18.10.2026; Tuần 7: 19.10–25.10.2026; Tuần 8: 26.10–01.11.2026.</v>
      </c>
      <c r="N26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0" s="17" t="str">
        <f t="shared" si="41"/>
        <v>Còn trống</v>
      </c>
    </row>
    <row r="2691" spans="1:16" x14ac:dyDescent="0.3">
      <c r="A2691">
        <v>2690</v>
      </c>
      <c r="B2691" t="s">
        <v>5978</v>
      </c>
      <c r="C2691" t="s">
        <v>6185</v>
      </c>
      <c r="D2691" t="s">
        <v>6186</v>
      </c>
      <c r="E2691" t="s">
        <v>19</v>
      </c>
      <c r="F2691" t="s">
        <v>6000</v>
      </c>
      <c r="G2691" t="s">
        <v>6016</v>
      </c>
      <c r="H2691" t="str">
        <f>'Huong dan giao do an'!$B$14</f>
        <v>5 SV (vai trò chính): 1 PM/Scrum Master kiêm Integration; 2 BA/PO; 3 UI-UX + Frontend; 4 Backend/API + DevOps; 5 Database + QA/Tester. Mỗi SV có nhiệm vụ phụ và minh chứng cá nhân.</v>
      </c>
      <c r="I2691" t="s">
        <v>22</v>
      </c>
      <c r="J2691" t="s">
        <v>5983</v>
      </c>
      <c r="K2691" t="str">
        <f>IF(I2691="Trung bình",'Huong dan giao do an'!$B$8,IF(I2691="Khá",'Huong dan giao do an'!$B$9,'Huong dan giao do an'!$B$10))</f>
        <v>Tối thiểu 4 actor; 10-14 use case; 8-12 bảng; 3 quy trình lõi; phân quyền chi tiết; 2 báo cáo; tích hợp 1 dịch vụ; &gt;=35 test case; CI/CD hoặc deploy cloud.</v>
      </c>
      <c r="L2691" t="str">
        <f>'Huong dan giao do an'!$B$31</f>
        <v>Bắt buộc: Charter/PMP; SRS + scope/WBS; Gantt/baseline; effort-cost budget; RACI/timesheet; quality-test-defect; communication/minutes; risk register; procurement; change log; closure/lessons learned.</v>
      </c>
      <c r="M2691" t="str">
        <f>'Huong dan giao do an'!$B$33</f>
        <v>Tuần 1: 07.09–13.09.2026; Tuần 2: 14.09–20.09.2026; Tuần 3: 21.09–27.09.2026; Tuần 4: 28.09–04.10.2026; Tuần 5: 05.10–11.10.2026; Tuần 6: 12.10–18.10.2026; Tuần 7: 19.10–25.10.2026; Tuần 8: 26.10–01.11.2026.</v>
      </c>
      <c r="N26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1" s="17" t="str">
        <f t="shared" ref="P2691:P2754" si="42">IF(O2691="","Còn trống","Đã đăng ký")</f>
        <v>Còn trống</v>
      </c>
    </row>
    <row r="2692" spans="1:16" x14ac:dyDescent="0.3">
      <c r="A2692">
        <v>2691</v>
      </c>
      <c r="B2692" t="s">
        <v>5978</v>
      </c>
      <c r="C2692" t="s">
        <v>6187</v>
      </c>
      <c r="D2692" t="s">
        <v>6188</v>
      </c>
      <c r="E2692" t="s">
        <v>26</v>
      </c>
      <c r="F2692" t="s">
        <v>5981</v>
      </c>
      <c r="G2692" t="s">
        <v>6019</v>
      </c>
      <c r="H2692" t="str">
        <f>'Huong dan giao do an'!$B$14</f>
        <v>5 SV (vai trò chính): 1 PM/Scrum Master kiêm Integration; 2 BA/PO; 3 UI-UX + Frontend; 4 Backend/API + DevOps; 5 Database + QA/Tester. Mỗi SV có nhiệm vụ phụ và minh chứng cá nhân.</v>
      </c>
      <c r="I2692" t="s">
        <v>29</v>
      </c>
      <c r="J2692" t="s">
        <v>5988</v>
      </c>
      <c r="K2692" t="str">
        <f>IF(I2692="Trung bình",'Huong dan giao do an'!$B$8,IF(I2692="Khá",'Huong dan giao do an'!$B$9,'Huong dan giao do an'!$B$10))</f>
        <v>Tối thiểu 5 actor; 14-18 use case; 10-15 bảng; 4 quy trình; tích hợp ngoài/realtime hoặc xử lý nâng cao; 3 báo cáo; &gt;=45 test case; logging, backup và deploy.</v>
      </c>
      <c r="L2692" t="str">
        <f>'Huong dan giao do an'!$B$31</f>
        <v>Bắt buộc: Charter/PMP; SRS + scope/WBS; Gantt/baseline; effort-cost budget; RACI/timesheet; quality-test-defect; communication/minutes; risk register; procurement; change log; closure/lessons learned.</v>
      </c>
      <c r="M2692" t="str">
        <f>'Huong dan giao do an'!$B$33</f>
        <v>Tuần 1: 07.09–13.09.2026; Tuần 2: 14.09–20.09.2026; Tuần 3: 21.09–27.09.2026; Tuần 4: 28.09–04.10.2026; Tuần 5: 05.10–11.10.2026; Tuần 6: 12.10–18.10.2026; Tuần 7: 19.10–25.10.2026; Tuần 8: 26.10–01.11.2026.</v>
      </c>
      <c r="N26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2" s="17" t="str">
        <f t="shared" si="42"/>
        <v>Còn trống</v>
      </c>
    </row>
    <row r="2693" spans="1:16" x14ac:dyDescent="0.3">
      <c r="A2693">
        <v>2692</v>
      </c>
      <c r="B2693" t="s">
        <v>5978</v>
      </c>
      <c r="C2693" t="s">
        <v>6189</v>
      </c>
      <c r="D2693" t="s">
        <v>6190</v>
      </c>
      <c r="E2693" t="s">
        <v>33</v>
      </c>
      <c r="F2693" t="s">
        <v>5986</v>
      </c>
      <c r="G2693" t="s">
        <v>6022</v>
      </c>
      <c r="H2693" t="str">
        <f>'Huong dan giao do an'!$B$14</f>
        <v>5 SV (vai trò chính): 1 PM/Scrum Master kiêm Integration; 2 BA/PO; 3 UI-UX + Frontend; 4 Backend/API + DevOps; 5 Database + QA/Tester. Mỗi SV có nhiệm vụ phụ và minh chứng cá nhân.</v>
      </c>
      <c r="I2693" t="s">
        <v>36</v>
      </c>
      <c r="J2693" t="s">
        <v>5993</v>
      </c>
      <c r="K2693" t="str">
        <f>IF(I2693="Trung bình",'Huong dan giao do an'!$B$8,IF(I2693="Khá",'Huong dan giao do an'!$B$9,'Huong dan giao do an'!$B$10))</f>
        <v>Tối thiểu 3 actor; 8-10 use case; 6-8 bảng dữ liệu; 2 quy trình lõi; đăng nhập/RBAC; 1 dashboard; 1 báo cáo; &gt;=25 test case; triển khai bản demo.</v>
      </c>
      <c r="L2693" t="str">
        <f>'Huong dan giao do an'!$B$31</f>
        <v>Bắt buộc: Charter/PMP; SRS + scope/WBS; Gantt/baseline; effort-cost budget; RACI/timesheet; quality-test-defect; communication/minutes; risk register; procurement; change log; closure/lessons learned.</v>
      </c>
      <c r="M2693" t="str">
        <f>'Huong dan giao do an'!$B$33</f>
        <v>Tuần 1: 07.09–13.09.2026; Tuần 2: 14.09–20.09.2026; Tuần 3: 21.09–27.09.2026; Tuần 4: 28.09–04.10.2026; Tuần 5: 05.10–11.10.2026; Tuần 6: 12.10–18.10.2026; Tuần 7: 19.10–25.10.2026; Tuần 8: 26.10–01.11.2026.</v>
      </c>
      <c r="N26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3" s="17" t="str">
        <f t="shared" si="42"/>
        <v>Còn trống</v>
      </c>
    </row>
    <row r="2694" spans="1:16" x14ac:dyDescent="0.3">
      <c r="A2694">
        <v>2693</v>
      </c>
      <c r="B2694" t="s">
        <v>5978</v>
      </c>
      <c r="C2694" t="s">
        <v>6191</v>
      </c>
      <c r="D2694" t="s">
        <v>6192</v>
      </c>
      <c r="E2694" t="s">
        <v>40</v>
      </c>
      <c r="F2694" t="s">
        <v>5991</v>
      </c>
      <c r="G2694" t="s">
        <v>6025</v>
      </c>
      <c r="H2694" t="str">
        <f>'Huong dan giao do an'!$B$14</f>
        <v>5 SV (vai trò chính): 1 PM/Scrum Master kiêm Integration; 2 BA/PO; 3 UI-UX + Frontend; 4 Backend/API + DevOps; 5 Database + QA/Tester. Mỗi SV có nhiệm vụ phụ và minh chứng cá nhân.</v>
      </c>
      <c r="I2694" t="s">
        <v>22</v>
      </c>
      <c r="J2694" t="s">
        <v>5983</v>
      </c>
      <c r="K2694" t="str">
        <f>IF(I2694="Trung bình",'Huong dan giao do an'!$B$8,IF(I2694="Khá",'Huong dan giao do an'!$B$9,'Huong dan giao do an'!$B$10))</f>
        <v>Tối thiểu 4 actor; 10-14 use case; 8-12 bảng; 3 quy trình lõi; phân quyền chi tiết; 2 báo cáo; tích hợp 1 dịch vụ; &gt;=35 test case; CI/CD hoặc deploy cloud.</v>
      </c>
      <c r="L2694" t="str">
        <f>'Huong dan giao do an'!$B$31</f>
        <v>Bắt buộc: Charter/PMP; SRS + scope/WBS; Gantt/baseline; effort-cost budget; RACI/timesheet; quality-test-defect; communication/minutes; risk register; procurement; change log; closure/lessons learned.</v>
      </c>
      <c r="M2694" t="str">
        <f>'Huong dan giao do an'!$B$33</f>
        <v>Tuần 1: 07.09–13.09.2026; Tuần 2: 14.09–20.09.2026; Tuần 3: 21.09–27.09.2026; Tuần 4: 28.09–04.10.2026; Tuần 5: 05.10–11.10.2026; Tuần 6: 12.10–18.10.2026; Tuần 7: 19.10–25.10.2026; Tuần 8: 26.10–01.11.2026.</v>
      </c>
      <c r="N26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4" s="17" t="str">
        <f t="shared" si="42"/>
        <v>Còn trống</v>
      </c>
    </row>
    <row r="2695" spans="1:16" x14ac:dyDescent="0.3">
      <c r="A2695">
        <v>2694</v>
      </c>
      <c r="B2695" t="s">
        <v>5978</v>
      </c>
      <c r="C2695" t="s">
        <v>6193</v>
      </c>
      <c r="D2695" t="s">
        <v>6194</v>
      </c>
      <c r="E2695" t="s">
        <v>45</v>
      </c>
      <c r="F2695" t="s">
        <v>5996</v>
      </c>
      <c r="G2695" t="s">
        <v>6028</v>
      </c>
      <c r="H2695" t="str">
        <f>'Huong dan giao do an'!$B$14</f>
        <v>5 SV (vai trò chính): 1 PM/Scrum Master kiêm Integration; 2 BA/PO; 3 UI-UX + Frontend; 4 Backend/API + DevOps; 5 Database + QA/Tester. Mỗi SV có nhiệm vụ phụ và minh chứng cá nhân.</v>
      </c>
      <c r="I2695" t="s">
        <v>29</v>
      </c>
      <c r="J2695" t="s">
        <v>5988</v>
      </c>
      <c r="K2695" t="str">
        <f>IF(I2695="Trung bình",'Huong dan giao do an'!$B$8,IF(I2695="Khá",'Huong dan giao do an'!$B$9,'Huong dan giao do an'!$B$10))</f>
        <v>Tối thiểu 5 actor; 14-18 use case; 10-15 bảng; 4 quy trình; tích hợp ngoài/realtime hoặc xử lý nâng cao; 3 báo cáo; &gt;=45 test case; logging, backup và deploy.</v>
      </c>
      <c r="L2695" t="str">
        <f>'Huong dan giao do an'!$B$31</f>
        <v>Bắt buộc: Charter/PMP; SRS + scope/WBS; Gantt/baseline; effort-cost budget; RACI/timesheet; quality-test-defect; communication/minutes; risk register; procurement; change log; closure/lessons learned.</v>
      </c>
      <c r="M2695" t="str">
        <f>'Huong dan giao do an'!$B$33</f>
        <v>Tuần 1: 07.09–13.09.2026; Tuần 2: 14.09–20.09.2026; Tuần 3: 21.09–27.09.2026; Tuần 4: 28.09–04.10.2026; Tuần 5: 05.10–11.10.2026; Tuần 6: 12.10–18.10.2026; Tuần 7: 19.10–25.10.2026; Tuần 8: 26.10–01.11.2026.</v>
      </c>
      <c r="N26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5" s="17" t="str">
        <f t="shared" si="42"/>
        <v>Còn trống</v>
      </c>
    </row>
    <row r="2696" spans="1:16" x14ac:dyDescent="0.3">
      <c r="A2696">
        <v>2695</v>
      </c>
      <c r="B2696" t="s">
        <v>5978</v>
      </c>
      <c r="C2696" t="s">
        <v>6195</v>
      </c>
      <c r="D2696" t="s">
        <v>6196</v>
      </c>
      <c r="E2696" t="s">
        <v>19</v>
      </c>
      <c r="F2696" t="s">
        <v>6000</v>
      </c>
      <c r="G2696" t="s">
        <v>6031</v>
      </c>
      <c r="H2696" t="str">
        <f>'Huong dan giao do an'!$B$14</f>
        <v>5 SV (vai trò chính): 1 PM/Scrum Master kiêm Integration; 2 BA/PO; 3 UI-UX + Frontend; 4 Backend/API + DevOps; 5 Database + QA/Tester. Mỗi SV có nhiệm vụ phụ và minh chứng cá nhân.</v>
      </c>
      <c r="I2696" t="s">
        <v>36</v>
      </c>
      <c r="J2696" t="s">
        <v>5993</v>
      </c>
      <c r="K2696" t="str">
        <f>IF(I2696="Trung bình",'Huong dan giao do an'!$B$8,IF(I2696="Khá",'Huong dan giao do an'!$B$9,'Huong dan giao do an'!$B$10))</f>
        <v>Tối thiểu 3 actor; 8-10 use case; 6-8 bảng dữ liệu; 2 quy trình lõi; đăng nhập/RBAC; 1 dashboard; 1 báo cáo; &gt;=25 test case; triển khai bản demo.</v>
      </c>
      <c r="L2696" t="str">
        <f>'Huong dan giao do an'!$B$31</f>
        <v>Bắt buộc: Charter/PMP; SRS + scope/WBS; Gantt/baseline; effort-cost budget; RACI/timesheet; quality-test-defect; communication/minutes; risk register; procurement; change log; closure/lessons learned.</v>
      </c>
      <c r="M2696" t="str">
        <f>'Huong dan giao do an'!$B$33</f>
        <v>Tuần 1: 07.09–13.09.2026; Tuần 2: 14.09–20.09.2026; Tuần 3: 21.09–27.09.2026; Tuần 4: 28.09–04.10.2026; Tuần 5: 05.10–11.10.2026; Tuần 6: 12.10–18.10.2026; Tuần 7: 19.10–25.10.2026; Tuần 8: 26.10–01.11.2026.</v>
      </c>
      <c r="N26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6" s="17" t="str">
        <f t="shared" si="42"/>
        <v>Còn trống</v>
      </c>
    </row>
    <row r="2697" spans="1:16" x14ac:dyDescent="0.3">
      <c r="A2697">
        <v>2696</v>
      </c>
      <c r="B2697" t="s">
        <v>5978</v>
      </c>
      <c r="C2697" t="s">
        <v>6197</v>
      </c>
      <c r="D2697" t="s">
        <v>6198</v>
      </c>
      <c r="E2697" t="s">
        <v>26</v>
      </c>
      <c r="F2697" t="s">
        <v>5981</v>
      </c>
      <c r="G2697" t="s">
        <v>6034</v>
      </c>
      <c r="H2697" t="str">
        <f>'Huong dan giao do an'!$B$14</f>
        <v>5 SV (vai trò chính): 1 PM/Scrum Master kiêm Integration; 2 BA/PO; 3 UI-UX + Frontend; 4 Backend/API + DevOps; 5 Database + QA/Tester. Mỗi SV có nhiệm vụ phụ và minh chứng cá nhân.</v>
      </c>
      <c r="I2697" t="s">
        <v>22</v>
      </c>
      <c r="J2697" t="s">
        <v>5983</v>
      </c>
      <c r="K2697" t="str">
        <f>IF(I2697="Trung bình",'Huong dan giao do an'!$B$8,IF(I2697="Khá",'Huong dan giao do an'!$B$9,'Huong dan giao do an'!$B$10))</f>
        <v>Tối thiểu 4 actor; 10-14 use case; 8-12 bảng; 3 quy trình lõi; phân quyền chi tiết; 2 báo cáo; tích hợp 1 dịch vụ; &gt;=35 test case; CI/CD hoặc deploy cloud.</v>
      </c>
      <c r="L2697" t="str">
        <f>'Huong dan giao do an'!$B$31</f>
        <v>Bắt buộc: Charter/PMP; SRS + scope/WBS; Gantt/baseline; effort-cost budget; RACI/timesheet; quality-test-defect; communication/minutes; risk register; procurement; change log; closure/lessons learned.</v>
      </c>
      <c r="M2697" t="str">
        <f>'Huong dan giao do an'!$B$33</f>
        <v>Tuần 1: 07.09–13.09.2026; Tuần 2: 14.09–20.09.2026; Tuần 3: 21.09–27.09.2026; Tuần 4: 28.09–04.10.2026; Tuần 5: 05.10–11.10.2026; Tuần 6: 12.10–18.10.2026; Tuần 7: 19.10–25.10.2026; Tuần 8: 26.10–01.11.2026.</v>
      </c>
      <c r="N26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7" s="17" t="str">
        <f t="shared" si="42"/>
        <v>Còn trống</v>
      </c>
    </row>
    <row r="2698" spans="1:16" x14ac:dyDescent="0.3">
      <c r="A2698">
        <v>2697</v>
      </c>
      <c r="B2698" t="s">
        <v>5978</v>
      </c>
      <c r="C2698" t="s">
        <v>6199</v>
      </c>
      <c r="D2698" t="s">
        <v>6200</v>
      </c>
      <c r="E2698" t="s">
        <v>33</v>
      </c>
      <c r="F2698" t="s">
        <v>5986</v>
      </c>
      <c r="G2698" t="s">
        <v>6037</v>
      </c>
      <c r="H2698" t="str">
        <f>'Huong dan giao do an'!$B$14</f>
        <v>5 SV (vai trò chính): 1 PM/Scrum Master kiêm Integration; 2 BA/PO; 3 UI-UX + Frontend; 4 Backend/API + DevOps; 5 Database + QA/Tester. Mỗi SV có nhiệm vụ phụ và minh chứng cá nhân.</v>
      </c>
      <c r="I2698" t="s">
        <v>29</v>
      </c>
      <c r="J2698" t="s">
        <v>5988</v>
      </c>
      <c r="K2698" t="str">
        <f>IF(I2698="Trung bình",'Huong dan giao do an'!$B$8,IF(I2698="Khá",'Huong dan giao do an'!$B$9,'Huong dan giao do an'!$B$10))</f>
        <v>Tối thiểu 5 actor; 14-18 use case; 10-15 bảng; 4 quy trình; tích hợp ngoài/realtime hoặc xử lý nâng cao; 3 báo cáo; &gt;=45 test case; logging, backup và deploy.</v>
      </c>
      <c r="L2698" t="str">
        <f>'Huong dan giao do an'!$B$31</f>
        <v>Bắt buộc: Charter/PMP; SRS + scope/WBS; Gantt/baseline; effort-cost budget; RACI/timesheet; quality-test-defect; communication/minutes; risk register; procurement; change log; closure/lessons learned.</v>
      </c>
      <c r="M2698" t="str">
        <f>'Huong dan giao do an'!$B$33</f>
        <v>Tuần 1: 07.09–13.09.2026; Tuần 2: 14.09–20.09.2026; Tuần 3: 21.09–27.09.2026; Tuần 4: 28.09–04.10.2026; Tuần 5: 05.10–11.10.2026; Tuần 6: 12.10–18.10.2026; Tuần 7: 19.10–25.10.2026; Tuần 8: 26.10–01.11.2026.</v>
      </c>
      <c r="N26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8" s="17" t="str">
        <f t="shared" si="42"/>
        <v>Còn trống</v>
      </c>
    </row>
    <row r="2699" spans="1:16" x14ac:dyDescent="0.3">
      <c r="A2699">
        <v>2698</v>
      </c>
      <c r="B2699" t="s">
        <v>5978</v>
      </c>
      <c r="C2699" t="s">
        <v>6201</v>
      </c>
      <c r="D2699" t="s">
        <v>6202</v>
      </c>
      <c r="E2699" t="s">
        <v>40</v>
      </c>
      <c r="F2699" t="s">
        <v>5991</v>
      </c>
      <c r="G2699" t="s">
        <v>6040</v>
      </c>
      <c r="H2699" t="str">
        <f>'Huong dan giao do an'!$B$14</f>
        <v>5 SV (vai trò chính): 1 PM/Scrum Master kiêm Integration; 2 BA/PO; 3 UI-UX + Frontend; 4 Backend/API + DevOps; 5 Database + QA/Tester. Mỗi SV có nhiệm vụ phụ và minh chứng cá nhân.</v>
      </c>
      <c r="I2699" t="s">
        <v>36</v>
      </c>
      <c r="J2699" t="s">
        <v>5993</v>
      </c>
      <c r="K2699" t="str">
        <f>IF(I2699="Trung bình",'Huong dan giao do an'!$B$8,IF(I2699="Khá",'Huong dan giao do an'!$B$9,'Huong dan giao do an'!$B$10))</f>
        <v>Tối thiểu 3 actor; 8-10 use case; 6-8 bảng dữ liệu; 2 quy trình lõi; đăng nhập/RBAC; 1 dashboard; 1 báo cáo; &gt;=25 test case; triển khai bản demo.</v>
      </c>
      <c r="L2699" t="str">
        <f>'Huong dan giao do an'!$B$31</f>
        <v>Bắt buộc: Charter/PMP; SRS + scope/WBS; Gantt/baseline; effort-cost budget; RACI/timesheet; quality-test-defect; communication/minutes; risk register; procurement; change log; closure/lessons learned.</v>
      </c>
      <c r="M2699" t="str">
        <f>'Huong dan giao do an'!$B$33</f>
        <v>Tuần 1: 07.09–13.09.2026; Tuần 2: 14.09–20.09.2026; Tuần 3: 21.09–27.09.2026; Tuần 4: 28.09–04.10.2026; Tuần 5: 05.10–11.10.2026; Tuần 6: 12.10–18.10.2026; Tuần 7: 19.10–25.10.2026; Tuần 8: 26.10–01.11.2026.</v>
      </c>
      <c r="N26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699" s="17" t="str">
        <f t="shared" si="42"/>
        <v>Còn trống</v>
      </c>
    </row>
    <row r="2700" spans="1:16" x14ac:dyDescent="0.3">
      <c r="A2700">
        <v>2699</v>
      </c>
      <c r="B2700" t="s">
        <v>5978</v>
      </c>
      <c r="C2700" t="s">
        <v>6203</v>
      </c>
      <c r="D2700" t="s">
        <v>6204</v>
      </c>
      <c r="E2700" t="s">
        <v>45</v>
      </c>
      <c r="F2700" t="s">
        <v>5996</v>
      </c>
      <c r="G2700" t="s">
        <v>6043</v>
      </c>
      <c r="H2700" t="str">
        <f>'Huong dan giao do an'!$B$14</f>
        <v>5 SV (vai trò chính): 1 PM/Scrum Master kiêm Integration; 2 BA/PO; 3 UI-UX + Frontend; 4 Backend/API + DevOps; 5 Database + QA/Tester. Mỗi SV có nhiệm vụ phụ và minh chứng cá nhân.</v>
      </c>
      <c r="I2700" t="s">
        <v>22</v>
      </c>
      <c r="J2700" t="s">
        <v>5983</v>
      </c>
      <c r="K2700" t="str">
        <f>IF(I2700="Trung bình",'Huong dan giao do an'!$B$8,IF(I2700="Khá",'Huong dan giao do an'!$B$9,'Huong dan giao do an'!$B$10))</f>
        <v>Tối thiểu 4 actor; 10-14 use case; 8-12 bảng; 3 quy trình lõi; phân quyền chi tiết; 2 báo cáo; tích hợp 1 dịch vụ; &gt;=35 test case; CI/CD hoặc deploy cloud.</v>
      </c>
      <c r="L2700" t="str">
        <f>'Huong dan giao do an'!$B$31</f>
        <v>Bắt buộc: Charter/PMP; SRS + scope/WBS; Gantt/baseline; effort-cost budget; RACI/timesheet; quality-test-defect; communication/minutes; risk register; procurement; change log; closure/lessons learned.</v>
      </c>
      <c r="M2700" t="str">
        <f>'Huong dan giao do an'!$B$33</f>
        <v>Tuần 1: 07.09–13.09.2026; Tuần 2: 14.09–20.09.2026; Tuần 3: 21.09–27.09.2026; Tuần 4: 28.09–04.10.2026; Tuần 5: 05.10–11.10.2026; Tuần 6: 12.10–18.10.2026; Tuần 7: 19.10–25.10.2026; Tuần 8: 26.10–01.11.2026.</v>
      </c>
      <c r="N27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0" s="17" t="str">
        <f t="shared" si="42"/>
        <v>Còn trống</v>
      </c>
    </row>
    <row r="2701" spans="1:16" x14ac:dyDescent="0.3">
      <c r="A2701">
        <v>2700</v>
      </c>
      <c r="B2701" t="s">
        <v>5978</v>
      </c>
      <c r="C2701" t="s">
        <v>6205</v>
      </c>
      <c r="D2701" t="s">
        <v>6206</v>
      </c>
      <c r="E2701" t="s">
        <v>19</v>
      </c>
      <c r="F2701" t="s">
        <v>6000</v>
      </c>
      <c r="G2701" t="s">
        <v>6046</v>
      </c>
      <c r="H2701" t="str">
        <f>'Huong dan giao do an'!$B$14</f>
        <v>5 SV (vai trò chính): 1 PM/Scrum Master kiêm Integration; 2 BA/PO; 3 UI-UX + Frontend; 4 Backend/API + DevOps; 5 Database + QA/Tester. Mỗi SV có nhiệm vụ phụ và minh chứng cá nhân.</v>
      </c>
      <c r="I2701" t="s">
        <v>29</v>
      </c>
      <c r="J2701" t="s">
        <v>5988</v>
      </c>
      <c r="K2701" t="str">
        <f>IF(I2701="Trung bình",'Huong dan giao do an'!$B$8,IF(I2701="Khá",'Huong dan giao do an'!$B$9,'Huong dan giao do an'!$B$10))</f>
        <v>Tối thiểu 5 actor; 14-18 use case; 10-15 bảng; 4 quy trình; tích hợp ngoài/realtime hoặc xử lý nâng cao; 3 báo cáo; &gt;=45 test case; logging, backup và deploy.</v>
      </c>
      <c r="L2701" t="str">
        <f>'Huong dan giao do an'!$B$31</f>
        <v>Bắt buộc: Charter/PMP; SRS + scope/WBS; Gantt/baseline; effort-cost budget; RACI/timesheet; quality-test-defect; communication/minutes; risk register; procurement; change log; closure/lessons learned.</v>
      </c>
      <c r="M2701" t="str">
        <f>'Huong dan giao do an'!$B$33</f>
        <v>Tuần 1: 07.09–13.09.2026; Tuần 2: 14.09–20.09.2026; Tuần 3: 21.09–27.09.2026; Tuần 4: 28.09–04.10.2026; Tuần 5: 05.10–11.10.2026; Tuần 6: 12.10–18.10.2026; Tuần 7: 19.10–25.10.2026; Tuần 8: 26.10–01.11.2026.</v>
      </c>
      <c r="N27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1" s="17" t="str">
        <f t="shared" si="42"/>
        <v>Còn trống</v>
      </c>
    </row>
    <row r="2702" spans="1:16" x14ac:dyDescent="0.3">
      <c r="A2702">
        <v>2701</v>
      </c>
      <c r="B2702" t="s">
        <v>6207</v>
      </c>
      <c r="C2702" t="s">
        <v>6208</v>
      </c>
      <c r="D2702" t="s">
        <v>6209</v>
      </c>
      <c r="E2702" t="s">
        <v>33</v>
      </c>
      <c r="F2702" t="s">
        <v>6210</v>
      </c>
      <c r="G2702" t="s">
        <v>6211</v>
      </c>
      <c r="H2702" t="str">
        <f>'Huong dan giao do an'!$B$14</f>
        <v>5 SV (vai trò chính): 1 PM/Scrum Master kiêm Integration; 2 BA/PO; 3 UI-UX + Frontend; 4 Backend/API + DevOps; 5 Database + QA/Tester. Mỗi SV có nhiệm vụ phụ và minh chứng cá nhân.</v>
      </c>
      <c r="I2702" t="s">
        <v>22</v>
      </c>
      <c r="J2702" t="s">
        <v>6212</v>
      </c>
      <c r="K2702" t="str">
        <f>IF(I2702="Trung bình",'Huong dan giao do an'!$B$8,IF(I2702="Khá",'Huong dan giao do an'!$B$9,'Huong dan giao do an'!$B$10))</f>
        <v>Tối thiểu 4 actor; 10-14 use case; 8-12 bảng; 3 quy trình lõi; phân quyền chi tiết; 2 báo cáo; tích hợp 1 dịch vụ; &gt;=35 test case; CI/CD hoặc deploy cloud.</v>
      </c>
      <c r="L2702" t="str">
        <f>'Huong dan giao do an'!$B$31</f>
        <v>Bắt buộc: Charter/PMP; SRS + scope/WBS; Gantt/baseline; effort-cost budget; RACI/timesheet; quality-test-defect; communication/minutes; risk register; procurement; change log; closure/lessons learned.</v>
      </c>
      <c r="M2702" t="str">
        <f>'Huong dan giao do an'!$B$33</f>
        <v>Tuần 1: 07.09–13.09.2026; Tuần 2: 14.09–20.09.2026; Tuần 3: 21.09–27.09.2026; Tuần 4: 28.09–04.10.2026; Tuần 5: 05.10–11.10.2026; Tuần 6: 12.10–18.10.2026; Tuần 7: 19.10–25.10.2026; Tuần 8: 26.10–01.11.2026.</v>
      </c>
      <c r="N27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2" s="17" t="str">
        <f t="shared" si="42"/>
        <v>Còn trống</v>
      </c>
    </row>
    <row r="2703" spans="1:16" x14ac:dyDescent="0.3">
      <c r="A2703">
        <v>2702</v>
      </c>
      <c r="B2703" t="s">
        <v>6207</v>
      </c>
      <c r="C2703" t="s">
        <v>6213</v>
      </c>
      <c r="D2703" t="s">
        <v>6214</v>
      </c>
      <c r="E2703" t="s">
        <v>40</v>
      </c>
      <c r="F2703" t="s">
        <v>6215</v>
      </c>
      <c r="G2703" t="s">
        <v>6216</v>
      </c>
      <c r="H2703" t="str">
        <f>'Huong dan giao do an'!$B$14</f>
        <v>5 SV (vai trò chính): 1 PM/Scrum Master kiêm Integration; 2 BA/PO; 3 UI-UX + Frontend; 4 Backend/API + DevOps; 5 Database + QA/Tester. Mỗi SV có nhiệm vụ phụ và minh chứng cá nhân.</v>
      </c>
      <c r="I2703" t="s">
        <v>29</v>
      </c>
      <c r="J2703" t="s">
        <v>6217</v>
      </c>
      <c r="K2703" t="str">
        <f>IF(I2703="Trung bình",'Huong dan giao do an'!$B$8,IF(I2703="Khá",'Huong dan giao do an'!$B$9,'Huong dan giao do an'!$B$10))</f>
        <v>Tối thiểu 5 actor; 14-18 use case; 10-15 bảng; 4 quy trình; tích hợp ngoài/realtime hoặc xử lý nâng cao; 3 báo cáo; &gt;=45 test case; logging, backup và deploy.</v>
      </c>
      <c r="L2703" t="str">
        <f>'Huong dan giao do an'!$B$31</f>
        <v>Bắt buộc: Charter/PMP; SRS + scope/WBS; Gantt/baseline; effort-cost budget; RACI/timesheet; quality-test-defect; communication/minutes; risk register; procurement; change log; closure/lessons learned.</v>
      </c>
      <c r="M2703" t="str">
        <f>'Huong dan giao do an'!$B$33</f>
        <v>Tuần 1: 07.09–13.09.2026; Tuần 2: 14.09–20.09.2026; Tuần 3: 21.09–27.09.2026; Tuần 4: 28.09–04.10.2026; Tuần 5: 05.10–11.10.2026; Tuần 6: 12.10–18.10.2026; Tuần 7: 19.10–25.10.2026; Tuần 8: 26.10–01.11.2026.</v>
      </c>
      <c r="N27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3" s="17" t="str">
        <f t="shared" si="42"/>
        <v>Còn trống</v>
      </c>
    </row>
    <row r="2704" spans="1:16" x14ac:dyDescent="0.3">
      <c r="A2704">
        <v>2703</v>
      </c>
      <c r="B2704" t="s">
        <v>6207</v>
      </c>
      <c r="C2704" t="s">
        <v>6218</v>
      </c>
      <c r="D2704" t="s">
        <v>6219</v>
      </c>
      <c r="E2704" t="s">
        <v>45</v>
      </c>
      <c r="F2704" t="s">
        <v>6220</v>
      </c>
      <c r="G2704" t="s">
        <v>6221</v>
      </c>
      <c r="H2704" t="str">
        <f>'Huong dan giao do an'!$B$14</f>
        <v>5 SV (vai trò chính): 1 PM/Scrum Master kiêm Integration; 2 BA/PO; 3 UI-UX + Frontend; 4 Backend/API + DevOps; 5 Database + QA/Tester. Mỗi SV có nhiệm vụ phụ và minh chứng cá nhân.</v>
      </c>
      <c r="I2704" t="s">
        <v>36</v>
      </c>
      <c r="J2704" t="s">
        <v>6222</v>
      </c>
      <c r="K2704" t="str">
        <f>IF(I2704="Trung bình",'Huong dan giao do an'!$B$8,IF(I2704="Khá",'Huong dan giao do an'!$B$9,'Huong dan giao do an'!$B$10))</f>
        <v>Tối thiểu 3 actor; 8-10 use case; 6-8 bảng dữ liệu; 2 quy trình lõi; đăng nhập/RBAC; 1 dashboard; 1 báo cáo; &gt;=25 test case; triển khai bản demo.</v>
      </c>
      <c r="L2704" t="str">
        <f>'Huong dan giao do an'!$B$31</f>
        <v>Bắt buộc: Charter/PMP; SRS + scope/WBS; Gantt/baseline; effort-cost budget; RACI/timesheet; quality-test-defect; communication/minutes; risk register; procurement; change log; closure/lessons learned.</v>
      </c>
      <c r="M2704" t="str">
        <f>'Huong dan giao do an'!$B$33</f>
        <v>Tuần 1: 07.09–13.09.2026; Tuần 2: 14.09–20.09.2026; Tuần 3: 21.09–27.09.2026; Tuần 4: 28.09–04.10.2026; Tuần 5: 05.10–11.10.2026; Tuần 6: 12.10–18.10.2026; Tuần 7: 19.10–25.10.2026; Tuần 8: 26.10–01.11.2026.</v>
      </c>
      <c r="N27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4" s="17" t="str">
        <f t="shared" si="42"/>
        <v>Còn trống</v>
      </c>
    </row>
    <row r="2705" spans="1:16" x14ac:dyDescent="0.3">
      <c r="A2705">
        <v>2704</v>
      </c>
      <c r="B2705" t="s">
        <v>6207</v>
      </c>
      <c r="C2705" t="s">
        <v>6223</v>
      </c>
      <c r="D2705" t="s">
        <v>6224</v>
      </c>
      <c r="E2705" t="s">
        <v>19</v>
      </c>
      <c r="F2705" t="s">
        <v>6225</v>
      </c>
      <c r="G2705" t="s">
        <v>6226</v>
      </c>
      <c r="H2705" t="str">
        <f>'Huong dan giao do an'!$B$14</f>
        <v>5 SV (vai trò chính): 1 PM/Scrum Master kiêm Integration; 2 BA/PO; 3 UI-UX + Frontend; 4 Backend/API + DevOps; 5 Database + QA/Tester. Mỗi SV có nhiệm vụ phụ và minh chứng cá nhân.</v>
      </c>
      <c r="I2705" t="s">
        <v>22</v>
      </c>
      <c r="J2705" t="s">
        <v>6212</v>
      </c>
      <c r="K2705" t="str">
        <f>IF(I2705="Trung bình",'Huong dan giao do an'!$B$8,IF(I2705="Khá",'Huong dan giao do an'!$B$9,'Huong dan giao do an'!$B$10))</f>
        <v>Tối thiểu 4 actor; 10-14 use case; 8-12 bảng; 3 quy trình lõi; phân quyền chi tiết; 2 báo cáo; tích hợp 1 dịch vụ; &gt;=35 test case; CI/CD hoặc deploy cloud.</v>
      </c>
      <c r="L2705" t="str">
        <f>'Huong dan giao do an'!$B$31</f>
        <v>Bắt buộc: Charter/PMP; SRS + scope/WBS; Gantt/baseline; effort-cost budget; RACI/timesheet; quality-test-defect; communication/minutes; risk register; procurement; change log; closure/lessons learned.</v>
      </c>
      <c r="M2705" t="str">
        <f>'Huong dan giao do an'!$B$33</f>
        <v>Tuần 1: 07.09–13.09.2026; Tuần 2: 14.09–20.09.2026; Tuần 3: 21.09–27.09.2026; Tuần 4: 28.09–04.10.2026; Tuần 5: 05.10–11.10.2026; Tuần 6: 12.10–18.10.2026; Tuần 7: 19.10–25.10.2026; Tuần 8: 26.10–01.11.2026.</v>
      </c>
      <c r="N27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5" s="17" t="str">
        <f t="shared" si="42"/>
        <v>Còn trống</v>
      </c>
    </row>
    <row r="2706" spans="1:16" x14ac:dyDescent="0.3">
      <c r="A2706">
        <v>2705</v>
      </c>
      <c r="B2706" t="s">
        <v>6207</v>
      </c>
      <c r="C2706" t="s">
        <v>6227</v>
      </c>
      <c r="D2706" t="s">
        <v>6228</v>
      </c>
      <c r="E2706" t="s">
        <v>26</v>
      </c>
      <c r="F2706" t="s">
        <v>6229</v>
      </c>
      <c r="G2706" t="s">
        <v>6230</v>
      </c>
      <c r="H2706" t="str">
        <f>'Huong dan giao do an'!$B$14</f>
        <v>5 SV (vai trò chính): 1 PM/Scrum Master kiêm Integration; 2 BA/PO; 3 UI-UX + Frontend; 4 Backend/API + DevOps; 5 Database + QA/Tester. Mỗi SV có nhiệm vụ phụ và minh chứng cá nhân.</v>
      </c>
      <c r="I2706" t="s">
        <v>29</v>
      </c>
      <c r="J2706" t="s">
        <v>6217</v>
      </c>
      <c r="K2706" t="str">
        <f>IF(I2706="Trung bình",'Huong dan giao do an'!$B$8,IF(I2706="Khá",'Huong dan giao do an'!$B$9,'Huong dan giao do an'!$B$10))</f>
        <v>Tối thiểu 5 actor; 14-18 use case; 10-15 bảng; 4 quy trình; tích hợp ngoài/realtime hoặc xử lý nâng cao; 3 báo cáo; &gt;=45 test case; logging, backup và deploy.</v>
      </c>
      <c r="L2706" t="str">
        <f>'Huong dan giao do an'!$B$31</f>
        <v>Bắt buộc: Charter/PMP; SRS + scope/WBS; Gantt/baseline; effort-cost budget; RACI/timesheet; quality-test-defect; communication/minutes; risk register; procurement; change log; closure/lessons learned.</v>
      </c>
      <c r="M2706" t="str">
        <f>'Huong dan giao do an'!$B$33</f>
        <v>Tuần 1: 07.09–13.09.2026; Tuần 2: 14.09–20.09.2026; Tuần 3: 21.09–27.09.2026; Tuần 4: 28.09–04.10.2026; Tuần 5: 05.10–11.10.2026; Tuần 6: 12.10–18.10.2026; Tuần 7: 19.10–25.10.2026; Tuần 8: 26.10–01.11.2026.</v>
      </c>
      <c r="N27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6" s="17" t="str">
        <f t="shared" si="42"/>
        <v>Còn trống</v>
      </c>
    </row>
    <row r="2707" spans="1:16" x14ac:dyDescent="0.3">
      <c r="A2707">
        <v>2706</v>
      </c>
      <c r="B2707" t="s">
        <v>6207</v>
      </c>
      <c r="C2707" t="s">
        <v>6231</v>
      </c>
      <c r="D2707" t="s">
        <v>6232</v>
      </c>
      <c r="E2707" t="s">
        <v>33</v>
      </c>
      <c r="F2707" t="s">
        <v>6210</v>
      </c>
      <c r="G2707" t="s">
        <v>6233</v>
      </c>
      <c r="H2707" t="str">
        <f>'Huong dan giao do an'!$B$14</f>
        <v>5 SV (vai trò chính): 1 PM/Scrum Master kiêm Integration; 2 BA/PO; 3 UI-UX + Frontend; 4 Backend/API + DevOps; 5 Database + QA/Tester. Mỗi SV có nhiệm vụ phụ và minh chứng cá nhân.</v>
      </c>
      <c r="I2707" t="s">
        <v>36</v>
      </c>
      <c r="J2707" t="s">
        <v>6222</v>
      </c>
      <c r="K2707" t="str">
        <f>IF(I2707="Trung bình",'Huong dan giao do an'!$B$8,IF(I2707="Khá",'Huong dan giao do an'!$B$9,'Huong dan giao do an'!$B$10))</f>
        <v>Tối thiểu 3 actor; 8-10 use case; 6-8 bảng dữ liệu; 2 quy trình lõi; đăng nhập/RBAC; 1 dashboard; 1 báo cáo; &gt;=25 test case; triển khai bản demo.</v>
      </c>
      <c r="L2707" t="str">
        <f>'Huong dan giao do an'!$B$31</f>
        <v>Bắt buộc: Charter/PMP; SRS + scope/WBS; Gantt/baseline; effort-cost budget; RACI/timesheet; quality-test-defect; communication/minutes; risk register; procurement; change log; closure/lessons learned.</v>
      </c>
      <c r="M2707" t="str">
        <f>'Huong dan giao do an'!$B$33</f>
        <v>Tuần 1: 07.09–13.09.2026; Tuần 2: 14.09–20.09.2026; Tuần 3: 21.09–27.09.2026; Tuần 4: 28.09–04.10.2026; Tuần 5: 05.10–11.10.2026; Tuần 6: 12.10–18.10.2026; Tuần 7: 19.10–25.10.2026; Tuần 8: 26.10–01.11.2026.</v>
      </c>
      <c r="N27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7" s="17" t="str">
        <f t="shared" si="42"/>
        <v>Còn trống</v>
      </c>
    </row>
    <row r="2708" spans="1:16" x14ac:dyDescent="0.3">
      <c r="A2708">
        <v>2707</v>
      </c>
      <c r="B2708" t="s">
        <v>6207</v>
      </c>
      <c r="C2708" t="s">
        <v>6234</v>
      </c>
      <c r="D2708" t="s">
        <v>6235</v>
      </c>
      <c r="E2708" t="s">
        <v>40</v>
      </c>
      <c r="F2708" t="s">
        <v>6215</v>
      </c>
      <c r="G2708" t="s">
        <v>6236</v>
      </c>
      <c r="H2708" t="str">
        <f>'Huong dan giao do an'!$B$14</f>
        <v>5 SV (vai trò chính): 1 PM/Scrum Master kiêm Integration; 2 BA/PO; 3 UI-UX + Frontend; 4 Backend/API + DevOps; 5 Database + QA/Tester. Mỗi SV có nhiệm vụ phụ và minh chứng cá nhân.</v>
      </c>
      <c r="I2708" t="s">
        <v>22</v>
      </c>
      <c r="J2708" t="s">
        <v>6212</v>
      </c>
      <c r="K2708" t="str">
        <f>IF(I2708="Trung bình",'Huong dan giao do an'!$B$8,IF(I2708="Khá",'Huong dan giao do an'!$B$9,'Huong dan giao do an'!$B$10))</f>
        <v>Tối thiểu 4 actor; 10-14 use case; 8-12 bảng; 3 quy trình lõi; phân quyền chi tiết; 2 báo cáo; tích hợp 1 dịch vụ; &gt;=35 test case; CI/CD hoặc deploy cloud.</v>
      </c>
      <c r="L2708" t="str">
        <f>'Huong dan giao do an'!$B$31</f>
        <v>Bắt buộc: Charter/PMP; SRS + scope/WBS; Gantt/baseline; effort-cost budget; RACI/timesheet; quality-test-defect; communication/minutes; risk register; procurement; change log; closure/lessons learned.</v>
      </c>
      <c r="M2708" t="str">
        <f>'Huong dan giao do an'!$B$33</f>
        <v>Tuần 1: 07.09–13.09.2026; Tuần 2: 14.09–20.09.2026; Tuần 3: 21.09–27.09.2026; Tuần 4: 28.09–04.10.2026; Tuần 5: 05.10–11.10.2026; Tuần 6: 12.10–18.10.2026; Tuần 7: 19.10–25.10.2026; Tuần 8: 26.10–01.11.2026.</v>
      </c>
      <c r="N27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8" s="17" t="str">
        <f t="shared" si="42"/>
        <v>Còn trống</v>
      </c>
    </row>
    <row r="2709" spans="1:16" x14ac:dyDescent="0.3">
      <c r="A2709">
        <v>2708</v>
      </c>
      <c r="B2709" t="s">
        <v>6207</v>
      </c>
      <c r="C2709" t="s">
        <v>6237</v>
      </c>
      <c r="D2709" t="s">
        <v>6238</v>
      </c>
      <c r="E2709" t="s">
        <v>45</v>
      </c>
      <c r="F2709" t="s">
        <v>6220</v>
      </c>
      <c r="G2709" t="s">
        <v>6239</v>
      </c>
      <c r="H2709" t="str">
        <f>'Huong dan giao do an'!$B$14</f>
        <v>5 SV (vai trò chính): 1 PM/Scrum Master kiêm Integration; 2 BA/PO; 3 UI-UX + Frontend; 4 Backend/API + DevOps; 5 Database + QA/Tester. Mỗi SV có nhiệm vụ phụ và minh chứng cá nhân.</v>
      </c>
      <c r="I2709" t="s">
        <v>29</v>
      </c>
      <c r="J2709" t="s">
        <v>6217</v>
      </c>
      <c r="K2709" t="str">
        <f>IF(I2709="Trung bình",'Huong dan giao do an'!$B$8,IF(I2709="Khá",'Huong dan giao do an'!$B$9,'Huong dan giao do an'!$B$10))</f>
        <v>Tối thiểu 5 actor; 14-18 use case; 10-15 bảng; 4 quy trình; tích hợp ngoài/realtime hoặc xử lý nâng cao; 3 báo cáo; &gt;=45 test case; logging, backup và deploy.</v>
      </c>
      <c r="L2709" t="str">
        <f>'Huong dan giao do an'!$B$31</f>
        <v>Bắt buộc: Charter/PMP; SRS + scope/WBS; Gantt/baseline; effort-cost budget; RACI/timesheet; quality-test-defect; communication/minutes; risk register; procurement; change log; closure/lessons learned.</v>
      </c>
      <c r="M2709" t="str">
        <f>'Huong dan giao do an'!$B$33</f>
        <v>Tuần 1: 07.09–13.09.2026; Tuần 2: 14.09–20.09.2026; Tuần 3: 21.09–27.09.2026; Tuần 4: 28.09–04.10.2026; Tuần 5: 05.10–11.10.2026; Tuần 6: 12.10–18.10.2026; Tuần 7: 19.10–25.10.2026; Tuần 8: 26.10–01.11.2026.</v>
      </c>
      <c r="N27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09" s="17" t="str">
        <f t="shared" si="42"/>
        <v>Còn trống</v>
      </c>
    </row>
    <row r="2710" spans="1:16" x14ac:dyDescent="0.3">
      <c r="A2710">
        <v>2709</v>
      </c>
      <c r="B2710" t="s">
        <v>6207</v>
      </c>
      <c r="C2710" t="s">
        <v>6240</v>
      </c>
      <c r="D2710" t="s">
        <v>6241</v>
      </c>
      <c r="E2710" t="s">
        <v>19</v>
      </c>
      <c r="F2710" t="s">
        <v>6225</v>
      </c>
      <c r="G2710" t="s">
        <v>6242</v>
      </c>
      <c r="H2710" t="str">
        <f>'Huong dan giao do an'!$B$14</f>
        <v>5 SV (vai trò chính): 1 PM/Scrum Master kiêm Integration; 2 BA/PO; 3 UI-UX + Frontend; 4 Backend/API + DevOps; 5 Database + QA/Tester. Mỗi SV có nhiệm vụ phụ và minh chứng cá nhân.</v>
      </c>
      <c r="I2710" t="s">
        <v>36</v>
      </c>
      <c r="J2710" t="s">
        <v>6222</v>
      </c>
      <c r="K2710" t="str">
        <f>IF(I2710="Trung bình",'Huong dan giao do an'!$B$8,IF(I2710="Khá",'Huong dan giao do an'!$B$9,'Huong dan giao do an'!$B$10))</f>
        <v>Tối thiểu 3 actor; 8-10 use case; 6-8 bảng dữ liệu; 2 quy trình lõi; đăng nhập/RBAC; 1 dashboard; 1 báo cáo; &gt;=25 test case; triển khai bản demo.</v>
      </c>
      <c r="L2710" t="str">
        <f>'Huong dan giao do an'!$B$31</f>
        <v>Bắt buộc: Charter/PMP; SRS + scope/WBS; Gantt/baseline; effort-cost budget; RACI/timesheet; quality-test-defect; communication/minutes; risk register; procurement; change log; closure/lessons learned.</v>
      </c>
      <c r="M2710" t="str">
        <f>'Huong dan giao do an'!$B$33</f>
        <v>Tuần 1: 07.09–13.09.2026; Tuần 2: 14.09–20.09.2026; Tuần 3: 21.09–27.09.2026; Tuần 4: 28.09–04.10.2026; Tuần 5: 05.10–11.10.2026; Tuần 6: 12.10–18.10.2026; Tuần 7: 19.10–25.10.2026; Tuần 8: 26.10–01.11.2026.</v>
      </c>
      <c r="N27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0" s="17" t="str">
        <f t="shared" si="42"/>
        <v>Còn trống</v>
      </c>
    </row>
    <row r="2711" spans="1:16" x14ac:dyDescent="0.3">
      <c r="A2711">
        <v>2710</v>
      </c>
      <c r="B2711" t="s">
        <v>6207</v>
      </c>
      <c r="C2711" t="s">
        <v>6243</v>
      </c>
      <c r="D2711" t="s">
        <v>6244</v>
      </c>
      <c r="E2711" t="s">
        <v>26</v>
      </c>
      <c r="F2711" t="s">
        <v>6229</v>
      </c>
      <c r="G2711" t="s">
        <v>6245</v>
      </c>
      <c r="H2711" t="str">
        <f>'Huong dan giao do an'!$B$14</f>
        <v>5 SV (vai trò chính): 1 PM/Scrum Master kiêm Integration; 2 BA/PO; 3 UI-UX + Frontend; 4 Backend/API + DevOps; 5 Database + QA/Tester. Mỗi SV có nhiệm vụ phụ và minh chứng cá nhân.</v>
      </c>
      <c r="I2711" t="s">
        <v>22</v>
      </c>
      <c r="J2711" t="s">
        <v>6212</v>
      </c>
      <c r="K2711" t="str">
        <f>IF(I2711="Trung bình",'Huong dan giao do an'!$B$8,IF(I2711="Khá",'Huong dan giao do an'!$B$9,'Huong dan giao do an'!$B$10))</f>
        <v>Tối thiểu 4 actor; 10-14 use case; 8-12 bảng; 3 quy trình lõi; phân quyền chi tiết; 2 báo cáo; tích hợp 1 dịch vụ; &gt;=35 test case; CI/CD hoặc deploy cloud.</v>
      </c>
      <c r="L2711" t="str">
        <f>'Huong dan giao do an'!$B$31</f>
        <v>Bắt buộc: Charter/PMP; SRS + scope/WBS; Gantt/baseline; effort-cost budget; RACI/timesheet; quality-test-defect; communication/minutes; risk register; procurement; change log; closure/lessons learned.</v>
      </c>
      <c r="M2711" t="str">
        <f>'Huong dan giao do an'!$B$33</f>
        <v>Tuần 1: 07.09–13.09.2026; Tuần 2: 14.09–20.09.2026; Tuần 3: 21.09–27.09.2026; Tuần 4: 28.09–04.10.2026; Tuần 5: 05.10–11.10.2026; Tuần 6: 12.10–18.10.2026; Tuần 7: 19.10–25.10.2026; Tuần 8: 26.10–01.11.2026.</v>
      </c>
      <c r="N27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1" s="17" t="str">
        <f t="shared" si="42"/>
        <v>Còn trống</v>
      </c>
    </row>
    <row r="2712" spans="1:16" x14ac:dyDescent="0.3">
      <c r="A2712">
        <v>2711</v>
      </c>
      <c r="B2712" t="s">
        <v>6207</v>
      </c>
      <c r="C2712" t="s">
        <v>6246</v>
      </c>
      <c r="D2712" t="s">
        <v>6247</v>
      </c>
      <c r="E2712" t="s">
        <v>33</v>
      </c>
      <c r="F2712" t="s">
        <v>6210</v>
      </c>
      <c r="G2712" t="s">
        <v>6248</v>
      </c>
      <c r="H2712" t="str">
        <f>'Huong dan giao do an'!$B$14</f>
        <v>5 SV (vai trò chính): 1 PM/Scrum Master kiêm Integration; 2 BA/PO; 3 UI-UX + Frontend; 4 Backend/API + DevOps; 5 Database + QA/Tester. Mỗi SV có nhiệm vụ phụ và minh chứng cá nhân.</v>
      </c>
      <c r="I2712" t="s">
        <v>29</v>
      </c>
      <c r="J2712" t="s">
        <v>6217</v>
      </c>
      <c r="K2712" t="str">
        <f>IF(I2712="Trung bình",'Huong dan giao do an'!$B$8,IF(I2712="Khá",'Huong dan giao do an'!$B$9,'Huong dan giao do an'!$B$10))</f>
        <v>Tối thiểu 5 actor; 14-18 use case; 10-15 bảng; 4 quy trình; tích hợp ngoài/realtime hoặc xử lý nâng cao; 3 báo cáo; &gt;=45 test case; logging, backup và deploy.</v>
      </c>
      <c r="L2712" t="str">
        <f>'Huong dan giao do an'!$B$31</f>
        <v>Bắt buộc: Charter/PMP; SRS + scope/WBS; Gantt/baseline; effort-cost budget; RACI/timesheet; quality-test-defect; communication/minutes; risk register; procurement; change log; closure/lessons learned.</v>
      </c>
      <c r="M2712" t="str">
        <f>'Huong dan giao do an'!$B$33</f>
        <v>Tuần 1: 07.09–13.09.2026; Tuần 2: 14.09–20.09.2026; Tuần 3: 21.09–27.09.2026; Tuần 4: 28.09–04.10.2026; Tuần 5: 05.10–11.10.2026; Tuần 6: 12.10–18.10.2026; Tuần 7: 19.10–25.10.2026; Tuần 8: 26.10–01.11.2026.</v>
      </c>
      <c r="N27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2" s="17" t="str">
        <f t="shared" si="42"/>
        <v>Còn trống</v>
      </c>
    </row>
    <row r="2713" spans="1:16" x14ac:dyDescent="0.3">
      <c r="A2713">
        <v>2712</v>
      </c>
      <c r="B2713" t="s">
        <v>6207</v>
      </c>
      <c r="C2713" t="s">
        <v>6249</v>
      </c>
      <c r="D2713" t="s">
        <v>6250</v>
      </c>
      <c r="E2713" t="s">
        <v>40</v>
      </c>
      <c r="F2713" t="s">
        <v>6215</v>
      </c>
      <c r="G2713" t="s">
        <v>6251</v>
      </c>
      <c r="H2713" t="str">
        <f>'Huong dan giao do an'!$B$14</f>
        <v>5 SV (vai trò chính): 1 PM/Scrum Master kiêm Integration; 2 BA/PO; 3 UI-UX + Frontend; 4 Backend/API + DevOps; 5 Database + QA/Tester. Mỗi SV có nhiệm vụ phụ và minh chứng cá nhân.</v>
      </c>
      <c r="I2713" t="s">
        <v>36</v>
      </c>
      <c r="J2713" t="s">
        <v>6222</v>
      </c>
      <c r="K2713" t="str">
        <f>IF(I2713="Trung bình",'Huong dan giao do an'!$B$8,IF(I2713="Khá",'Huong dan giao do an'!$B$9,'Huong dan giao do an'!$B$10))</f>
        <v>Tối thiểu 3 actor; 8-10 use case; 6-8 bảng dữ liệu; 2 quy trình lõi; đăng nhập/RBAC; 1 dashboard; 1 báo cáo; &gt;=25 test case; triển khai bản demo.</v>
      </c>
      <c r="L2713" t="str">
        <f>'Huong dan giao do an'!$B$31</f>
        <v>Bắt buộc: Charter/PMP; SRS + scope/WBS; Gantt/baseline; effort-cost budget; RACI/timesheet; quality-test-defect; communication/minutes; risk register; procurement; change log; closure/lessons learned.</v>
      </c>
      <c r="M2713" t="str">
        <f>'Huong dan giao do an'!$B$33</f>
        <v>Tuần 1: 07.09–13.09.2026; Tuần 2: 14.09–20.09.2026; Tuần 3: 21.09–27.09.2026; Tuần 4: 28.09–04.10.2026; Tuần 5: 05.10–11.10.2026; Tuần 6: 12.10–18.10.2026; Tuần 7: 19.10–25.10.2026; Tuần 8: 26.10–01.11.2026.</v>
      </c>
      <c r="N27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3" s="17" t="str">
        <f t="shared" si="42"/>
        <v>Còn trống</v>
      </c>
    </row>
    <row r="2714" spans="1:16" x14ac:dyDescent="0.3">
      <c r="A2714">
        <v>2713</v>
      </c>
      <c r="B2714" t="s">
        <v>6207</v>
      </c>
      <c r="C2714" t="s">
        <v>6252</v>
      </c>
      <c r="D2714" t="s">
        <v>6253</v>
      </c>
      <c r="E2714" t="s">
        <v>45</v>
      </c>
      <c r="F2714" t="s">
        <v>6220</v>
      </c>
      <c r="G2714" t="s">
        <v>6254</v>
      </c>
      <c r="H2714" t="str">
        <f>'Huong dan giao do an'!$B$14</f>
        <v>5 SV (vai trò chính): 1 PM/Scrum Master kiêm Integration; 2 BA/PO; 3 UI-UX + Frontend; 4 Backend/API + DevOps; 5 Database + QA/Tester. Mỗi SV có nhiệm vụ phụ và minh chứng cá nhân.</v>
      </c>
      <c r="I2714" t="s">
        <v>22</v>
      </c>
      <c r="J2714" t="s">
        <v>6212</v>
      </c>
      <c r="K2714" t="str">
        <f>IF(I2714="Trung bình",'Huong dan giao do an'!$B$8,IF(I2714="Khá",'Huong dan giao do an'!$B$9,'Huong dan giao do an'!$B$10))</f>
        <v>Tối thiểu 4 actor; 10-14 use case; 8-12 bảng; 3 quy trình lõi; phân quyền chi tiết; 2 báo cáo; tích hợp 1 dịch vụ; &gt;=35 test case; CI/CD hoặc deploy cloud.</v>
      </c>
      <c r="L2714" t="str">
        <f>'Huong dan giao do an'!$B$31</f>
        <v>Bắt buộc: Charter/PMP; SRS + scope/WBS; Gantt/baseline; effort-cost budget; RACI/timesheet; quality-test-defect; communication/minutes; risk register; procurement; change log; closure/lessons learned.</v>
      </c>
      <c r="M2714" t="str">
        <f>'Huong dan giao do an'!$B$33</f>
        <v>Tuần 1: 07.09–13.09.2026; Tuần 2: 14.09–20.09.2026; Tuần 3: 21.09–27.09.2026; Tuần 4: 28.09–04.10.2026; Tuần 5: 05.10–11.10.2026; Tuần 6: 12.10–18.10.2026; Tuần 7: 19.10–25.10.2026; Tuần 8: 26.10–01.11.2026.</v>
      </c>
      <c r="N27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4" s="17" t="str">
        <f t="shared" si="42"/>
        <v>Còn trống</v>
      </c>
    </row>
    <row r="2715" spans="1:16" x14ac:dyDescent="0.3">
      <c r="A2715">
        <v>2714</v>
      </c>
      <c r="B2715" t="s">
        <v>6207</v>
      </c>
      <c r="C2715" t="s">
        <v>6255</v>
      </c>
      <c r="D2715" t="s">
        <v>6256</v>
      </c>
      <c r="E2715" t="s">
        <v>19</v>
      </c>
      <c r="F2715" t="s">
        <v>6225</v>
      </c>
      <c r="G2715" t="s">
        <v>6257</v>
      </c>
      <c r="H2715" t="str">
        <f>'Huong dan giao do an'!$B$14</f>
        <v>5 SV (vai trò chính): 1 PM/Scrum Master kiêm Integration; 2 BA/PO; 3 UI-UX + Frontend; 4 Backend/API + DevOps; 5 Database + QA/Tester. Mỗi SV có nhiệm vụ phụ và minh chứng cá nhân.</v>
      </c>
      <c r="I2715" t="s">
        <v>29</v>
      </c>
      <c r="J2715" t="s">
        <v>6217</v>
      </c>
      <c r="K2715" t="str">
        <f>IF(I2715="Trung bình",'Huong dan giao do an'!$B$8,IF(I2715="Khá",'Huong dan giao do an'!$B$9,'Huong dan giao do an'!$B$10))</f>
        <v>Tối thiểu 5 actor; 14-18 use case; 10-15 bảng; 4 quy trình; tích hợp ngoài/realtime hoặc xử lý nâng cao; 3 báo cáo; &gt;=45 test case; logging, backup và deploy.</v>
      </c>
      <c r="L2715" t="str">
        <f>'Huong dan giao do an'!$B$31</f>
        <v>Bắt buộc: Charter/PMP; SRS + scope/WBS; Gantt/baseline; effort-cost budget; RACI/timesheet; quality-test-defect; communication/minutes; risk register; procurement; change log; closure/lessons learned.</v>
      </c>
      <c r="M2715" t="str">
        <f>'Huong dan giao do an'!$B$33</f>
        <v>Tuần 1: 07.09–13.09.2026; Tuần 2: 14.09–20.09.2026; Tuần 3: 21.09–27.09.2026; Tuần 4: 28.09–04.10.2026; Tuần 5: 05.10–11.10.2026; Tuần 6: 12.10–18.10.2026; Tuần 7: 19.10–25.10.2026; Tuần 8: 26.10–01.11.2026.</v>
      </c>
      <c r="N27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5" s="17" t="str">
        <f t="shared" si="42"/>
        <v>Còn trống</v>
      </c>
    </row>
    <row r="2716" spans="1:16" x14ac:dyDescent="0.3">
      <c r="A2716">
        <v>2715</v>
      </c>
      <c r="B2716" t="s">
        <v>6207</v>
      </c>
      <c r="C2716" t="s">
        <v>6258</v>
      </c>
      <c r="D2716" t="s">
        <v>6259</v>
      </c>
      <c r="E2716" t="s">
        <v>26</v>
      </c>
      <c r="F2716" t="s">
        <v>6229</v>
      </c>
      <c r="G2716" t="s">
        <v>6260</v>
      </c>
      <c r="H2716" t="str">
        <f>'Huong dan giao do an'!$B$14</f>
        <v>5 SV (vai trò chính): 1 PM/Scrum Master kiêm Integration; 2 BA/PO; 3 UI-UX + Frontend; 4 Backend/API + DevOps; 5 Database + QA/Tester. Mỗi SV có nhiệm vụ phụ và minh chứng cá nhân.</v>
      </c>
      <c r="I2716" t="s">
        <v>36</v>
      </c>
      <c r="J2716" t="s">
        <v>6222</v>
      </c>
      <c r="K2716" t="str">
        <f>IF(I2716="Trung bình",'Huong dan giao do an'!$B$8,IF(I2716="Khá",'Huong dan giao do an'!$B$9,'Huong dan giao do an'!$B$10))</f>
        <v>Tối thiểu 3 actor; 8-10 use case; 6-8 bảng dữ liệu; 2 quy trình lõi; đăng nhập/RBAC; 1 dashboard; 1 báo cáo; &gt;=25 test case; triển khai bản demo.</v>
      </c>
      <c r="L2716" t="str">
        <f>'Huong dan giao do an'!$B$31</f>
        <v>Bắt buộc: Charter/PMP; SRS + scope/WBS; Gantt/baseline; effort-cost budget; RACI/timesheet; quality-test-defect; communication/minutes; risk register; procurement; change log; closure/lessons learned.</v>
      </c>
      <c r="M2716" t="str">
        <f>'Huong dan giao do an'!$B$33</f>
        <v>Tuần 1: 07.09–13.09.2026; Tuần 2: 14.09–20.09.2026; Tuần 3: 21.09–27.09.2026; Tuần 4: 28.09–04.10.2026; Tuần 5: 05.10–11.10.2026; Tuần 6: 12.10–18.10.2026; Tuần 7: 19.10–25.10.2026; Tuần 8: 26.10–01.11.2026.</v>
      </c>
      <c r="N27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6" s="17" t="str">
        <f t="shared" si="42"/>
        <v>Còn trống</v>
      </c>
    </row>
    <row r="2717" spans="1:16" x14ac:dyDescent="0.3">
      <c r="A2717">
        <v>2716</v>
      </c>
      <c r="B2717" t="s">
        <v>6207</v>
      </c>
      <c r="C2717" t="s">
        <v>6261</v>
      </c>
      <c r="D2717" t="s">
        <v>6262</v>
      </c>
      <c r="E2717" t="s">
        <v>33</v>
      </c>
      <c r="F2717" t="s">
        <v>6210</v>
      </c>
      <c r="G2717" t="s">
        <v>6263</v>
      </c>
      <c r="H2717" t="str">
        <f>'Huong dan giao do an'!$B$14</f>
        <v>5 SV (vai trò chính): 1 PM/Scrum Master kiêm Integration; 2 BA/PO; 3 UI-UX + Frontend; 4 Backend/API + DevOps; 5 Database + QA/Tester. Mỗi SV có nhiệm vụ phụ và minh chứng cá nhân.</v>
      </c>
      <c r="I2717" t="s">
        <v>22</v>
      </c>
      <c r="J2717" t="s">
        <v>6212</v>
      </c>
      <c r="K2717" t="str">
        <f>IF(I2717="Trung bình",'Huong dan giao do an'!$B$8,IF(I2717="Khá",'Huong dan giao do an'!$B$9,'Huong dan giao do an'!$B$10))</f>
        <v>Tối thiểu 4 actor; 10-14 use case; 8-12 bảng; 3 quy trình lõi; phân quyền chi tiết; 2 báo cáo; tích hợp 1 dịch vụ; &gt;=35 test case; CI/CD hoặc deploy cloud.</v>
      </c>
      <c r="L2717" t="str">
        <f>'Huong dan giao do an'!$B$31</f>
        <v>Bắt buộc: Charter/PMP; SRS + scope/WBS; Gantt/baseline; effort-cost budget; RACI/timesheet; quality-test-defect; communication/minutes; risk register; procurement; change log; closure/lessons learned.</v>
      </c>
      <c r="M2717" t="str">
        <f>'Huong dan giao do an'!$B$33</f>
        <v>Tuần 1: 07.09–13.09.2026; Tuần 2: 14.09–20.09.2026; Tuần 3: 21.09–27.09.2026; Tuần 4: 28.09–04.10.2026; Tuần 5: 05.10–11.10.2026; Tuần 6: 12.10–18.10.2026; Tuần 7: 19.10–25.10.2026; Tuần 8: 26.10–01.11.2026.</v>
      </c>
      <c r="N27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7" s="17" t="str">
        <f t="shared" si="42"/>
        <v>Còn trống</v>
      </c>
    </row>
    <row r="2718" spans="1:16" x14ac:dyDescent="0.3">
      <c r="A2718">
        <v>2717</v>
      </c>
      <c r="B2718" t="s">
        <v>6207</v>
      </c>
      <c r="C2718" t="s">
        <v>6264</v>
      </c>
      <c r="D2718" t="s">
        <v>6265</v>
      </c>
      <c r="E2718" t="s">
        <v>40</v>
      </c>
      <c r="F2718" t="s">
        <v>6215</v>
      </c>
      <c r="G2718" t="s">
        <v>6266</v>
      </c>
      <c r="H2718" t="str">
        <f>'Huong dan giao do an'!$B$14</f>
        <v>5 SV (vai trò chính): 1 PM/Scrum Master kiêm Integration; 2 BA/PO; 3 UI-UX + Frontend; 4 Backend/API + DevOps; 5 Database + QA/Tester. Mỗi SV có nhiệm vụ phụ và minh chứng cá nhân.</v>
      </c>
      <c r="I2718" t="s">
        <v>29</v>
      </c>
      <c r="J2718" t="s">
        <v>6217</v>
      </c>
      <c r="K2718" t="str">
        <f>IF(I2718="Trung bình",'Huong dan giao do an'!$B$8,IF(I2718="Khá",'Huong dan giao do an'!$B$9,'Huong dan giao do an'!$B$10))</f>
        <v>Tối thiểu 5 actor; 14-18 use case; 10-15 bảng; 4 quy trình; tích hợp ngoài/realtime hoặc xử lý nâng cao; 3 báo cáo; &gt;=45 test case; logging, backup và deploy.</v>
      </c>
      <c r="L2718" t="str">
        <f>'Huong dan giao do an'!$B$31</f>
        <v>Bắt buộc: Charter/PMP; SRS + scope/WBS; Gantt/baseline; effort-cost budget; RACI/timesheet; quality-test-defect; communication/minutes; risk register; procurement; change log; closure/lessons learned.</v>
      </c>
      <c r="M2718" t="str">
        <f>'Huong dan giao do an'!$B$33</f>
        <v>Tuần 1: 07.09–13.09.2026; Tuần 2: 14.09–20.09.2026; Tuần 3: 21.09–27.09.2026; Tuần 4: 28.09–04.10.2026; Tuần 5: 05.10–11.10.2026; Tuần 6: 12.10–18.10.2026; Tuần 7: 19.10–25.10.2026; Tuần 8: 26.10–01.11.2026.</v>
      </c>
      <c r="N27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8" s="17" t="str">
        <f t="shared" si="42"/>
        <v>Còn trống</v>
      </c>
    </row>
    <row r="2719" spans="1:16" x14ac:dyDescent="0.3">
      <c r="A2719">
        <v>2718</v>
      </c>
      <c r="B2719" t="s">
        <v>6207</v>
      </c>
      <c r="C2719" t="s">
        <v>6267</v>
      </c>
      <c r="D2719" t="s">
        <v>6268</v>
      </c>
      <c r="E2719" t="s">
        <v>45</v>
      </c>
      <c r="F2719" t="s">
        <v>6220</v>
      </c>
      <c r="G2719" t="s">
        <v>6269</v>
      </c>
      <c r="H2719" t="str">
        <f>'Huong dan giao do an'!$B$14</f>
        <v>5 SV (vai trò chính): 1 PM/Scrum Master kiêm Integration; 2 BA/PO; 3 UI-UX + Frontend; 4 Backend/API + DevOps; 5 Database + QA/Tester. Mỗi SV có nhiệm vụ phụ và minh chứng cá nhân.</v>
      </c>
      <c r="I2719" t="s">
        <v>36</v>
      </c>
      <c r="J2719" t="s">
        <v>6222</v>
      </c>
      <c r="K2719" t="str">
        <f>IF(I2719="Trung bình",'Huong dan giao do an'!$B$8,IF(I2719="Khá",'Huong dan giao do an'!$B$9,'Huong dan giao do an'!$B$10))</f>
        <v>Tối thiểu 3 actor; 8-10 use case; 6-8 bảng dữ liệu; 2 quy trình lõi; đăng nhập/RBAC; 1 dashboard; 1 báo cáo; &gt;=25 test case; triển khai bản demo.</v>
      </c>
      <c r="L2719" t="str">
        <f>'Huong dan giao do an'!$B$31</f>
        <v>Bắt buộc: Charter/PMP; SRS + scope/WBS; Gantt/baseline; effort-cost budget; RACI/timesheet; quality-test-defect; communication/minutes; risk register; procurement; change log; closure/lessons learned.</v>
      </c>
      <c r="M2719" t="str">
        <f>'Huong dan giao do an'!$B$33</f>
        <v>Tuần 1: 07.09–13.09.2026; Tuần 2: 14.09–20.09.2026; Tuần 3: 21.09–27.09.2026; Tuần 4: 28.09–04.10.2026; Tuần 5: 05.10–11.10.2026; Tuần 6: 12.10–18.10.2026; Tuần 7: 19.10–25.10.2026; Tuần 8: 26.10–01.11.2026.</v>
      </c>
      <c r="N27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19" s="17" t="str">
        <f t="shared" si="42"/>
        <v>Còn trống</v>
      </c>
    </row>
    <row r="2720" spans="1:16" x14ac:dyDescent="0.3">
      <c r="A2720">
        <v>2719</v>
      </c>
      <c r="B2720" t="s">
        <v>6207</v>
      </c>
      <c r="C2720" t="s">
        <v>6270</v>
      </c>
      <c r="D2720" t="s">
        <v>6271</v>
      </c>
      <c r="E2720" t="s">
        <v>19</v>
      </c>
      <c r="F2720" t="s">
        <v>6225</v>
      </c>
      <c r="G2720" t="s">
        <v>6272</v>
      </c>
      <c r="H2720" t="str">
        <f>'Huong dan giao do an'!$B$14</f>
        <v>5 SV (vai trò chính): 1 PM/Scrum Master kiêm Integration; 2 BA/PO; 3 UI-UX + Frontend; 4 Backend/API + DevOps; 5 Database + QA/Tester. Mỗi SV có nhiệm vụ phụ và minh chứng cá nhân.</v>
      </c>
      <c r="I2720" t="s">
        <v>22</v>
      </c>
      <c r="J2720" t="s">
        <v>6212</v>
      </c>
      <c r="K2720" t="str">
        <f>IF(I2720="Trung bình",'Huong dan giao do an'!$B$8,IF(I2720="Khá",'Huong dan giao do an'!$B$9,'Huong dan giao do an'!$B$10))</f>
        <v>Tối thiểu 4 actor; 10-14 use case; 8-12 bảng; 3 quy trình lõi; phân quyền chi tiết; 2 báo cáo; tích hợp 1 dịch vụ; &gt;=35 test case; CI/CD hoặc deploy cloud.</v>
      </c>
      <c r="L2720" t="str">
        <f>'Huong dan giao do an'!$B$31</f>
        <v>Bắt buộc: Charter/PMP; SRS + scope/WBS; Gantt/baseline; effort-cost budget; RACI/timesheet; quality-test-defect; communication/minutes; risk register; procurement; change log; closure/lessons learned.</v>
      </c>
      <c r="M2720" t="str">
        <f>'Huong dan giao do an'!$B$33</f>
        <v>Tuần 1: 07.09–13.09.2026; Tuần 2: 14.09–20.09.2026; Tuần 3: 21.09–27.09.2026; Tuần 4: 28.09–04.10.2026; Tuần 5: 05.10–11.10.2026; Tuần 6: 12.10–18.10.2026; Tuần 7: 19.10–25.10.2026; Tuần 8: 26.10–01.11.2026.</v>
      </c>
      <c r="N27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0" s="17" t="str">
        <f t="shared" si="42"/>
        <v>Còn trống</v>
      </c>
    </row>
    <row r="2721" spans="1:16" x14ac:dyDescent="0.3">
      <c r="A2721">
        <v>2720</v>
      </c>
      <c r="B2721" t="s">
        <v>6207</v>
      </c>
      <c r="C2721" t="s">
        <v>6273</v>
      </c>
      <c r="D2721" t="s">
        <v>6274</v>
      </c>
      <c r="E2721" t="s">
        <v>26</v>
      </c>
      <c r="F2721" t="s">
        <v>6229</v>
      </c>
      <c r="G2721" t="s">
        <v>6275</v>
      </c>
      <c r="H2721" t="str">
        <f>'Huong dan giao do an'!$B$14</f>
        <v>5 SV (vai trò chính): 1 PM/Scrum Master kiêm Integration; 2 BA/PO; 3 UI-UX + Frontend; 4 Backend/API + DevOps; 5 Database + QA/Tester. Mỗi SV có nhiệm vụ phụ và minh chứng cá nhân.</v>
      </c>
      <c r="I2721" t="s">
        <v>29</v>
      </c>
      <c r="J2721" t="s">
        <v>6217</v>
      </c>
      <c r="K2721" t="str">
        <f>IF(I2721="Trung bình",'Huong dan giao do an'!$B$8,IF(I2721="Khá",'Huong dan giao do an'!$B$9,'Huong dan giao do an'!$B$10))</f>
        <v>Tối thiểu 5 actor; 14-18 use case; 10-15 bảng; 4 quy trình; tích hợp ngoài/realtime hoặc xử lý nâng cao; 3 báo cáo; &gt;=45 test case; logging, backup và deploy.</v>
      </c>
      <c r="L2721" t="str">
        <f>'Huong dan giao do an'!$B$31</f>
        <v>Bắt buộc: Charter/PMP; SRS + scope/WBS; Gantt/baseline; effort-cost budget; RACI/timesheet; quality-test-defect; communication/minutes; risk register; procurement; change log; closure/lessons learned.</v>
      </c>
      <c r="M2721" t="str">
        <f>'Huong dan giao do an'!$B$33</f>
        <v>Tuần 1: 07.09–13.09.2026; Tuần 2: 14.09–20.09.2026; Tuần 3: 21.09–27.09.2026; Tuần 4: 28.09–04.10.2026; Tuần 5: 05.10–11.10.2026; Tuần 6: 12.10–18.10.2026; Tuần 7: 19.10–25.10.2026; Tuần 8: 26.10–01.11.2026.</v>
      </c>
      <c r="N27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1" s="17" t="str">
        <f t="shared" si="42"/>
        <v>Còn trống</v>
      </c>
    </row>
    <row r="2722" spans="1:16" x14ac:dyDescent="0.3">
      <c r="A2722">
        <v>2721</v>
      </c>
      <c r="B2722" t="s">
        <v>6207</v>
      </c>
      <c r="C2722" t="s">
        <v>6276</v>
      </c>
      <c r="D2722" t="s">
        <v>6277</v>
      </c>
      <c r="E2722" t="s">
        <v>33</v>
      </c>
      <c r="F2722" t="s">
        <v>6210</v>
      </c>
      <c r="G2722" t="s">
        <v>6211</v>
      </c>
      <c r="H2722" t="str">
        <f>'Huong dan giao do an'!$B$14</f>
        <v>5 SV (vai trò chính): 1 PM/Scrum Master kiêm Integration; 2 BA/PO; 3 UI-UX + Frontend; 4 Backend/API + DevOps; 5 Database + QA/Tester. Mỗi SV có nhiệm vụ phụ và minh chứng cá nhân.</v>
      </c>
      <c r="I2722" t="s">
        <v>22</v>
      </c>
      <c r="J2722" t="s">
        <v>6212</v>
      </c>
      <c r="K2722" t="str">
        <f>IF(I2722="Trung bình",'Huong dan giao do an'!$B$8,IF(I2722="Khá",'Huong dan giao do an'!$B$9,'Huong dan giao do an'!$B$10))</f>
        <v>Tối thiểu 4 actor; 10-14 use case; 8-12 bảng; 3 quy trình lõi; phân quyền chi tiết; 2 báo cáo; tích hợp 1 dịch vụ; &gt;=35 test case; CI/CD hoặc deploy cloud.</v>
      </c>
      <c r="L2722" t="str">
        <f>'Huong dan giao do an'!$B$31</f>
        <v>Bắt buộc: Charter/PMP; SRS + scope/WBS; Gantt/baseline; effort-cost budget; RACI/timesheet; quality-test-defect; communication/minutes; risk register; procurement; change log; closure/lessons learned.</v>
      </c>
      <c r="M2722" t="str">
        <f>'Huong dan giao do an'!$B$33</f>
        <v>Tuần 1: 07.09–13.09.2026; Tuần 2: 14.09–20.09.2026; Tuần 3: 21.09–27.09.2026; Tuần 4: 28.09–04.10.2026; Tuần 5: 05.10–11.10.2026; Tuần 6: 12.10–18.10.2026; Tuần 7: 19.10–25.10.2026; Tuần 8: 26.10–01.11.2026.</v>
      </c>
      <c r="N27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2" s="17" t="str">
        <f t="shared" si="42"/>
        <v>Còn trống</v>
      </c>
    </row>
    <row r="2723" spans="1:16" x14ac:dyDescent="0.3">
      <c r="A2723">
        <v>2722</v>
      </c>
      <c r="B2723" t="s">
        <v>6207</v>
      </c>
      <c r="C2723" t="s">
        <v>6278</v>
      </c>
      <c r="D2723" t="s">
        <v>6279</v>
      </c>
      <c r="E2723" t="s">
        <v>40</v>
      </c>
      <c r="F2723" t="s">
        <v>6215</v>
      </c>
      <c r="G2723" t="s">
        <v>6216</v>
      </c>
      <c r="H2723" t="str">
        <f>'Huong dan giao do an'!$B$14</f>
        <v>5 SV (vai trò chính): 1 PM/Scrum Master kiêm Integration; 2 BA/PO; 3 UI-UX + Frontend; 4 Backend/API + DevOps; 5 Database + QA/Tester. Mỗi SV có nhiệm vụ phụ và minh chứng cá nhân.</v>
      </c>
      <c r="I2723" t="s">
        <v>29</v>
      </c>
      <c r="J2723" t="s">
        <v>6217</v>
      </c>
      <c r="K2723" t="str">
        <f>IF(I2723="Trung bình",'Huong dan giao do an'!$B$8,IF(I2723="Khá",'Huong dan giao do an'!$B$9,'Huong dan giao do an'!$B$10))</f>
        <v>Tối thiểu 5 actor; 14-18 use case; 10-15 bảng; 4 quy trình; tích hợp ngoài/realtime hoặc xử lý nâng cao; 3 báo cáo; &gt;=45 test case; logging, backup và deploy.</v>
      </c>
      <c r="L2723" t="str">
        <f>'Huong dan giao do an'!$B$31</f>
        <v>Bắt buộc: Charter/PMP; SRS + scope/WBS; Gantt/baseline; effort-cost budget; RACI/timesheet; quality-test-defect; communication/minutes; risk register; procurement; change log; closure/lessons learned.</v>
      </c>
      <c r="M2723" t="str">
        <f>'Huong dan giao do an'!$B$33</f>
        <v>Tuần 1: 07.09–13.09.2026; Tuần 2: 14.09–20.09.2026; Tuần 3: 21.09–27.09.2026; Tuần 4: 28.09–04.10.2026; Tuần 5: 05.10–11.10.2026; Tuần 6: 12.10–18.10.2026; Tuần 7: 19.10–25.10.2026; Tuần 8: 26.10–01.11.2026.</v>
      </c>
      <c r="N27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3" s="17" t="str">
        <f t="shared" si="42"/>
        <v>Còn trống</v>
      </c>
    </row>
    <row r="2724" spans="1:16" x14ac:dyDescent="0.3">
      <c r="A2724">
        <v>2723</v>
      </c>
      <c r="B2724" t="s">
        <v>6207</v>
      </c>
      <c r="C2724" t="s">
        <v>6280</v>
      </c>
      <c r="D2724" t="s">
        <v>6281</v>
      </c>
      <c r="E2724" t="s">
        <v>45</v>
      </c>
      <c r="F2724" t="s">
        <v>6220</v>
      </c>
      <c r="G2724" t="s">
        <v>6221</v>
      </c>
      <c r="H2724" t="str">
        <f>'Huong dan giao do an'!$B$14</f>
        <v>5 SV (vai trò chính): 1 PM/Scrum Master kiêm Integration; 2 BA/PO; 3 UI-UX + Frontend; 4 Backend/API + DevOps; 5 Database + QA/Tester. Mỗi SV có nhiệm vụ phụ và minh chứng cá nhân.</v>
      </c>
      <c r="I2724" t="s">
        <v>36</v>
      </c>
      <c r="J2724" t="s">
        <v>6222</v>
      </c>
      <c r="K2724" t="str">
        <f>IF(I2724="Trung bình",'Huong dan giao do an'!$B$8,IF(I2724="Khá",'Huong dan giao do an'!$B$9,'Huong dan giao do an'!$B$10))</f>
        <v>Tối thiểu 3 actor; 8-10 use case; 6-8 bảng dữ liệu; 2 quy trình lõi; đăng nhập/RBAC; 1 dashboard; 1 báo cáo; &gt;=25 test case; triển khai bản demo.</v>
      </c>
      <c r="L2724" t="str">
        <f>'Huong dan giao do an'!$B$31</f>
        <v>Bắt buộc: Charter/PMP; SRS + scope/WBS; Gantt/baseline; effort-cost budget; RACI/timesheet; quality-test-defect; communication/minutes; risk register; procurement; change log; closure/lessons learned.</v>
      </c>
      <c r="M2724" t="str">
        <f>'Huong dan giao do an'!$B$33</f>
        <v>Tuần 1: 07.09–13.09.2026; Tuần 2: 14.09–20.09.2026; Tuần 3: 21.09–27.09.2026; Tuần 4: 28.09–04.10.2026; Tuần 5: 05.10–11.10.2026; Tuần 6: 12.10–18.10.2026; Tuần 7: 19.10–25.10.2026; Tuần 8: 26.10–01.11.2026.</v>
      </c>
      <c r="N27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4" s="17" t="str">
        <f t="shared" si="42"/>
        <v>Còn trống</v>
      </c>
    </row>
    <row r="2725" spans="1:16" x14ac:dyDescent="0.3">
      <c r="A2725">
        <v>2724</v>
      </c>
      <c r="B2725" t="s">
        <v>6207</v>
      </c>
      <c r="C2725" t="s">
        <v>6282</v>
      </c>
      <c r="D2725" t="s">
        <v>6283</v>
      </c>
      <c r="E2725" t="s">
        <v>19</v>
      </c>
      <c r="F2725" t="s">
        <v>6225</v>
      </c>
      <c r="G2725" t="s">
        <v>6226</v>
      </c>
      <c r="H2725" t="str">
        <f>'Huong dan giao do an'!$B$14</f>
        <v>5 SV (vai trò chính): 1 PM/Scrum Master kiêm Integration; 2 BA/PO; 3 UI-UX + Frontend; 4 Backend/API + DevOps; 5 Database + QA/Tester. Mỗi SV có nhiệm vụ phụ và minh chứng cá nhân.</v>
      </c>
      <c r="I2725" t="s">
        <v>22</v>
      </c>
      <c r="J2725" t="s">
        <v>6212</v>
      </c>
      <c r="K2725" t="str">
        <f>IF(I2725="Trung bình",'Huong dan giao do an'!$B$8,IF(I2725="Khá",'Huong dan giao do an'!$B$9,'Huong dan giao do an'!$B$10))</f>
        <v>Tối thiểu 4 actor; 10-14 use case; 8-12 bảng; 3 quy trình lõi; phân quyền chi tiết; 2 báo cáo; tích hợp 1 dịch vụ; &gt;=35 test case; CI/CD hoặc deploy cloud.</v>
      </c>
      <c r="L2725" t="str">
        <f>'Huong dan giao do an'!$B$31</f>
        <v>Bắt buộc: Charter/PMP; SRS + scope/WBS; Gantt/baseline; effort-cost budget; RACI/timesheet; quality-test-defect; communication/minutes; risk register; procurement; change log; closure/lessons learned.</v>
      </c>
      <c r="M2725" t="str">
        <f>'Huong dan giao do an'!$B$33</f>
        <v>Tuần 1: 07.09–13.09.2026; Tuần 2: 14.09–20.09.2026; Tuần 3: 21.09–27.09.2026; Tuần 4: 28.09–04.10.2026; Tuần 5: 05.10–11.10.2026; Tuần 6: 12.10–18.10.2026; Tuần 7: 19.10–25.10.2026; Tuần 8: 26.10–01.11.2026.</v>
      </c>
      <c r="N27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5" s="17" t="str">
        <f t="shared" si="42"/>
        <v>Còn trống</v>
      </c>
    </row>
    <row r="2726" spans="1:16" x14ac:dyDescent="0.3">
      <c r="A2726">
        <v>2725</v>
      </c>
      <c r="B2726" t="s">
        <v>6207</v>
      </c>
      <c r="C2726" t="s">
        <v>6284</v>
      </c>
      <c r="D2726" t="s">
        <v>6285</v>
      </c>
      <c r="E2726" t="s">
        <v>26</v>
      </c>
      <c r="F2726" t="s">
        <v>6229</v>
      </c>
      <c r="G2726" t="s">
        <v>6230</v>
      </c>
      <c r="H2726" t="str">
        <f>'Huong dan giao do an'!$B$14</f>
        <v>5 SV (vai trò chính): 1 PM/Scrum Master kiêm Integration; 2 BA/PO; 3 UI-UX + Frontend; 4 Backend/API + DevOps; 5 Database + QA/Tester. Mỗi SV có nhiệm vụ phụ và minh chứng cá nhân.</v>
      </c>
      <c r="I2726" t="s">
        <v>29</v>
      </c>
      <c r="J2726" t="s">
        <v>6217</v>
      </c>
      <c r="K2726" t="str">
        <f>IF(I2726="Trung bình",'Huong dan giao do an'!$B$8,IF(I2726="Khá",'Huong dan giao do an'!$B$9,'Huong dan giao do an'!$B$10))</f>
        <v>Tối thiểu 5 actor; 14-18 use case; 10-15 bảng; 4 quy trình; tích hợp ngoài/realtime hoặc xử lý nâng cao; 3 báo cáo; &gt;=45 test case; logging, backup và deploy.</v>
      </c>
      <c r="L2726" t="str">
        <f>'Huong dan giao do an'!$B$31</f>
        <v>Bắt buộc: Charter/PMP; SRS + scope/WBS; Gantt/baseline; effort-cost budget; RACI/timesheet; quality-test-defect; communication/minutes; risk register; procurement; change log; closure/lessons learned.</v>
      </c>
      <c r="M2726" t="str">
        <f>'Huong dan giao do an'!$B$33</f>
        <v>Tuần 1: 07.09–13.09.2026; Tuần 2: 14.09–20.09.2026; Tuần 3: 21.09–27.09.2026; Tuần 4: 28.09–04.10.2026; Tuần 5: 05.10–11.10.2026; Tuần 6: 12.10–18.10.2026; Tuần 7: 19.10–25.10.2026; Tuần 8: 26.10–01.11.2026.</v>
      </c>
      <c r="N27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6" s="17" t="str">
        <f t="shared" si="42"/>
        <v>Còn trống</v>
      </c>
    </row>
    <row r="2727" spans="1:16" x14ac:dyDescent="0.3">
      <c r="A2727">
        <v>2726</v>
      </c>
      <c r="B2727" t="s">
        <v>6207</v>
      </c>
      <c r="C2727" t="s">
        <v>6286</v>
      </c>
      <c r="D2727" t="s">
        <v>6287</v>
      </c>
      <c r="E2727" t="s">
        <v>33</v>
      </c>
      <c r="F2727" t="s">
        <v>6210</v>
      </c>
      <c r="G2727" t="s">
        <v>6233</v>
      </c>
      <c r="H2727" t="str">
        <f>'Huong dan giao do an'!$B$14</f>
        <v>5 SV (vai trò chính): 1 PM/Scrum Master kiêm Integration; 2 BA/PO; 3 UI-UX + Frontend; 4 Backend/API + DevOps; 5 Database + QA/Tester. Mỗi SV có nhiệm vụ phụ và minh chứng cá nhân.</v>
      </c>
      <c r="I2727" t="s">
        <v>36</v>
      </c>
      <c r="J2727" t="s">
        <v>6222</v>
      </c>
      <c r="K2727" t="str">
        <f>IF(I2727="Trung bình",'Huong dan giao do an'!$B$8,IF(I2727="Khá",'Huong dan giao do an'!$B$9,'Huong dan giao do an'!$B$10))</f>
        <v>Tối thiểu 3 actor; 8-10 use case; 6-8 bảng dữ liệu; 2 quy trình lõi; đăng nhập/RBAC; 1 dashboard; 1 báo cáo; &gt;=25 test case; triển khai bản demo.</v>
      </c>
      <c r="L2727" t="str">
        <f>'Huong dan giao do an'!$B$31</f>
        <v>Bắt buộc: Charter/PMP; SRS + scope/WBS; Gantt/baseline; effort-cost budget; RACI/timesheet; quality-test-defect; communication/minutes; risk register; procurement; change log; closure/lessons learned.</v>
      </c>
      <c r="M2727" t="str">
        <f>'Huong dan giao do an'!$B$33</f>
        <v>Tuần 1: 07.09–13.09.2026; Tuần 2: 14.09–20.09.2026; Tuần 3: 21.09–27.09.2026; Tuần 4: 28.09–04.10.2026; Tuần 5: 05.10–11.10.2026; Tuần 6: 12.10–18.10.2026; Tuần 7: 19.10–25.10.2026; Tuần 8: 26.10–01.11.2026.</v>
      </c>
      <c r="N27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7" s="17" t="str">
        <f t="shared" si="42"/>
        <v>Còn trống</v>
      </c>
    </row>
    <row r="2728" spans="1:16" x14ac:dyDescent="0.3">
      <c r="A2728">
        <v>2727</v>
      </c>
      <c r="B2728" t="s">
        <v>6207</v>
      </c>
      <c r="C2728" t="s">
        <v>6288</v>
      </c>
      <c r="D2728" t="s">
        <v>6289</v>
      </c>
      <c r="E2728" t="s">
        <v>40</v>
      </c>
      <c r="F2728" t="s">
        <v>6215</v>
      </c>
      <c r="G2728" t="s">
        <v>6236</v>
      </c>
      <c r="H2728" t="str">
        <f>'Huong dan giao do an'!$B$14</f>
        <v>5 SV (vai trò chính): 1 PM/Scrum Master kiêm Integration; 2 BA/PO; 3 UI-UX + Frontend; 4 Backend/API + DevOps; 5 Database + QA/Tester. Mỗi SV có nhiệm vụ phụ và minh chứng cá nhân.</v>
      </c>
      <c r="I2728" t="s">
        <v>22</v>
      </c>
      <c r="J2728" t="s">
        <v>6212</v>
      </c>
      <c r="K2728" t="str">
        <f>IF(I2728="Trung bình",'Huong dan giao do an'!$B$8,IF(I2728="Khá",'Huong dan giao do an'!$B$9,'Huong dan giao do an'!$B$10))</f>
        <v>Tối thiểu 4 actor; 10-14 use case; 8-12 bảng; 3 quy trình lõi; phân quyền chi tiết; 2 báo cáo; tích hợp 1 dịch vụ; &gt;=35 test case; CI/CD hoặc deploy cloud.</v>
      </c>
      <c r="L2728" t="str">
        <f>'Huong dan giao do an'!$B$31</f>
        <v>Bắt buộc: Charter/PMP; SRS + scope/WBS; Gantt/baseline; effort-cost budget; RACI/timesheet; quality-test-defect; communication/minutes; risk register; procurement; change log; closure/lessons learned.</v>
      </c>
      <c r="M2728" t="str">
        <f>'Huong dan giao do an'!$B$33</f>
        <v>Tuần 1: 07.09–13.09.2026; Tuần 2: 14.09–20.09.2026; Tuần 3: 21.09–27.09.2026; Tuần 4: 28.09–04.10.2026; Tuần 5: 05.10–11.10.2026; Tuần 6: 12.10–18.10.2026; Tuần 7: 19.10–25.10.2026; Tuần 8: 26.10–01.11.2026.</v>
      </c>
      <c r="N27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8" s="17" t="str">
        <f t="shared" si="42"/>
        <v>Còn trống</v>
      </c>
    </row>
    <row r="2729" spans="1:16" x14ac:dyDescent="0.3">
      <c r="A2729">
        <v>2728</v>
      </c>
      <c r="B2729" t="s">
        <v>6207</v>
      </c>
      <c r="C2729" t="s">
        <v>6290</v>
      </c>
      <c r="D2729" t="s">
        <v>6291</v>
      </c>
      <c r="E2729" t="s">
        <v>45</v>
      </c>
      <c r="F2729" t="s">
        <v>6220</v>
      </c>
      <c r="G2729" t="s">
        <v>6239</v>
      </c>
      <c r="H2729" t="str">
        <f>'Huong dan giao do an'!$B$14</f>
        <v>5 SV (vai trò chính): 1 PM/Scrum Master kiêm Integration; 2 BA/PO; 3 UI-UX + Frontend; 4 Backend/API + DevOps; 5 Database + QA/Tester. Mỗi SV có nhiệm vụ phụ và minh chứng cá nhân.</v>
      </c>
      <c r="I2729" t="s">
        <v>29</v>
      </c>
      <c r="J2729" t="s">
        <v>6217</v>
      </c>
      <c r="K2729" t="str">
        <f>IF(I2729="Trung bình",'Huong dan giao do an'!$B$8,IF(I2729="Khá",'Huong dan giao do an'!$B$9,'Huong dan giao do an'!$B$10))</f>
        <v>Tối thiểu 5 actor; 14-18 use case; 10-15 bảng; 4 quy trình; tích hợp ngoài/realtime hoặc xử lý nâng cao; 3 báo cáo; &gt;=45 test case; logging, backup và deploy.</v>
      </c>
      <c r="L2729" t="str">
        <f>'Huong dan giao do an'!$B$31</f>
        <v>Bắt buộc: Charter/PMP; SRS + scope/WBS; Gantt/baseline; effort-cost budget; RACI/timesheet; quality-test-defect; communication/minutes; risk register; procurement; change log; closure/lessons learned.</v>
      </c>
      <c r="M2729" t="str">
        <f>'Huong dan giao do an'!$B$33</f>
        <v>Tuần 1: 07.09–13.09.2026; Tuần 2: 14.09–20.09.2026; Tuần 3: 21.09–27.09.2026; Tuần 4: 28.09–04.10.2026; Tuần 5: 05.10–11.10.2026; Tuần 6: 12.10–18.10.2026; Tuần 7: 19.10–25.10.2026; Tuần 8: 26.10–01.11.2026.</v>
      </c>
      <c r="N27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29" s="17" t="str">
        <f t="shared" si="42"/>
        <v>Còn trống</v>
      </c>
    </row>
    <row r="2730" spans="1:16" x14ac:dyDescent="0.3">
      <c r="A2730">
        <v>2729</v>
      </c>
      <c r="B2730" t="s">
        <v>6207</v>
      </c>
      <c r="C2730" t="s">
        <v>6292</v>
      </c>
      <c r="D2730" t="s">
        <v>6293</v>
      </c>
      <c r="E2730" t="s">
        <v>19</v>
      </c>
      <c r="F2730" t="s">
        <v>6225</v>
      </c>
      <c r="G2730" t="s">
        <v>6242</v>
      </c>
      <c r="H2730" t="str">
        <f>'Huong dan giao do an'!$B$14</f>
        <v>5 SV (vai trò chính): 1 PM/Scrum Master kiêm Integration; 2 BA/PO; 3 UI-UX + Frontend; 4 Backend/API + DevOps; 5 Database + QA/Tester. Mỗi SV có nhiệm vụ phụ và minh chứng cá nhân.</v>
      </c>
      <c r="I2730" t="s">
        <v>36</v>
      </c>
      <c r="J2730" t="s">
        <v>6222</v>
      </c>
      <c r="K2730" t="str">
        <f>IF(I2730="Trung bình",'Huong dan giao do an'!$B$8,IF(I2730="Khá",'Huong dan giao do an'!$B$9,'Huong dan giao do an'!$B$10))</f>
        <v>Tối thiểu 3 actor; 8-10 use case; 6-8 bảng dữ liệu; 2 quy trình lõi; đăng nhập/RBAC; 1 dashboard; 1 báo cáo; &gt;=25 test case; triển khai bản demo.</v>
      </c>
      <c r="L2730" t="str">
        <f>'Huong dan giao do an'!$B$31</f>
        <v>Bắt buộc: Charter/PMP; SRS + scope/WBS; Gantt/baseline; effort-cost budget; RACI/timesheet; quality-test-defect; communication/minutes; risk register; procurement; change log; closure/lessons learned.</v>
      </c>
      <c r="M2730" t="str">
        <f>'Huong dan giao do an'!$B$33</f>
        <v>Tuần 1: 07.09–13.09.2026; Tuần 2: 14.09–20.09.2026; Tuần 3: 21.09–27.09.2026; Tuần 4: 28.09–04.10.2026; Tuần 5: 05.10–11.10.2026; Tuần 6: 12.10–18.10.2026; Tuần 7: 19.10–25.10.2026; Tuần 8: 26.10–01.11.2026.</v>
      </c>
      <c r="N27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0" s="17" t="str">
        <f t="shared" si="42"/>
        <v>Còn trống</v>
      </c>
    </row>
    <row r="2731" spans="1:16" x14ac:dyDescent="0.3">
      <c r="A2731">
        <v>2730</v>
      </c>
      <c r="B2731" t="s">
        <v>6207</v>
      </c>
      <c r="C2731" t="s">
        <v>6294</v>
      </c>
      <c r="D2731" t="s">
        <v>6295</v>
      </c>
      <c r="E2731" t="s">
        <v>26</v>
      </c>
      <c r="F2731" t="s">
        <v>6229</v>
      </c>
      <c r="G2731" t="s">
        <v>6245</v>
      </c>
      <c r="H2731" t="str">
        <f>'Huong dan giao do an'!$B$14</f>
        <v>5 SV (vai trò chính): 1 PM/Scrum Master kiêm Integration; 2 BA/PO; 3 UI-UX + Frontend; 4 Backend/API + DevOps; 5 Database + QA/Tester. Mỗi SV có nhiệm vụ phụ và minh chứng cá nhân.</v>
      </c>
      <c r="I2731" t="s">
        <v>22</v>
      </c>
      <c r="J2731" t="s">
        <v>6212</v>
      </c>
      <c r="K2731" t="str">
        <f>IF(I2731="Trung bình",'Huong dan giao do an'!$B$8,IF(I2731="Khá",'Huong dan giao do an'!$B$9,'Huong dan giao do an'!$B$10))</f>
        <v>Tối thiểu 4 actor; 10-14 use case; 8-12 bảng; 3 quy trình lõi; phân quyền chi tiết; 2 báo cáo; tích hợp 1 dịch vụ; &gt;=35 test case; CI/CD hoặc deploy cloud.</v>
      </c>
      <c r="L2731" t="str">
        <f>'Huong dan giao do an'!$B$31</f>
        <v>Bắt buộc: Charter/PMP; SRS + scope/WBS; Gantt/baseline; effort-cost budget; RACI/timesheet; quality-test-defect; communication/minutes; risk register; procurement; change log; closure/lessons learned.</v>
      </c>
      <c r="M2731" t="str">
        <f>'Huong dan giao do an'!$B$33</f>
        <v>Tuần 1: 07.09–13.09.2026; Tuần 2: 14.09–20.09.2026; Tuần 3: 21.09–27.09.2026; Tuần 4: 28.09–04.10.2026; Tuần 5: 05.10–11.10.2026; Tuần 6: 12.10–18.10.2026; Tuần 7: 19.10–25.10.2026; Tuần 8: 26.10–01.11.2026.</v>
      </c>
      <c r="N27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1" s="17" t="str">
        <f t="shared" si="42"/>
        <v>Còn trống</v>
      </c>
    </row>
    <row r="2732" spans="1:16" x14ac:dyDescent="0.3">
      <c r="A2732">
        <v>2731</v>
      </c>
      <c r="B2732" t="s">
        <v>6207</v>
      </c>
      <c r="C2732" t="s">
        <v>6296</v>
      </c>
      <c r="D2732" t="s">
        <v>6297</v>
      </c>
      <c r="E2732" t="s">
        <v>33</v>
      </c>
      <c r="F2732" t="s">
        <v>6210</v>
      </c>
      <c r="G2732" t="s">
        <v>6248</v>
      </c>
      <c r="H2732" t="str">
        <f>'Huong dan giao do an'!$B$14</f>
        <v>5 SV (vai trò chính): 1 PM/Scrum Master kiêm Integration; 2 BA/PO; 3 UI-UX + Frontend; 4 Backend/API + DevOps; 5 Database + QA/Tester. Mỗi SV có nhiệm vụ phụ và minh chứng cá nhân.</v>
      </c>
      <c r="I2732" t="s">
        <v>29</v>
      </c>
      <c r="J2732" t="s">
        <v>6217</v>
      </c>
      <c r="K2732" t="str">
        <f>IF(I2732="Trung bình",'Huong dan giao do an'!$B$8,IF(I2732="Khá",'Huong dan giao do an'!$B$9,'Huong dan giao do an'!$B$10))</f>
        <v>Tối thiểu 5 actor; 14-18 use case; 10-15 bảng; 4 quy trình; tích hợp ngoài/realtime hoặc xử lý nâng cao; 3 báo cáo; &gt;=45 test case; logging, backup và deploy.</v>
      </c>
      <c r="L2732" t="str">
        <f>'Huong dan giao do an'!$B$31</f>
        <v>Bắt buộc: Charter/PMP; SRS + scope/WBS; Gantt/baseline; effort-cost budget; RACI/timesheet; quality-test-defect; communication/minutes; risk register; procurement; change log; closure/lessons learned.</v>
      </c>
      <c r="M2732" t="str">
        <f>'Huong dan giao do an'!$B$33</f>
        <v>Tuần 1: 07.09–13.09.2026; Tuần 2: 14.09–20.09.2026; Tuần 3: 21.09–27.09.2026; Tuần 4: 28.09–04.10.2026; Tuần 5: 05.10–11.10.2026; Tuần 6: 12.10–18.10.2026; Tuần 7: 19.10–25.10.2026; Tuần 8: 26.10–01.11.2026.</v>
      </c>
      <c r="N27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2" s="17" t="str">
        <f t="shared" si="42"/>
        <v>Còn trống</v>
      </c>
    </row>
    <row r="2733" spans="1:16" x14ac:dyDescent="0.3">
      <c r="A2733">
        <v>2732</v>
      </c>
      <c r="B2733" t="s">
        <v>6207</v>
      </c>
      <c r="C2733" t="s">
        <v>6298</v>
      </c>
      <c r="D2733" t="s">
        <v>6299</v>
      </c>
      <c r="E2733" t="s">
        <v>40</v>
      </c>
      <c r="F2733" t="s">
        <v>6215</v>
      </c>
      <c r="G2733" t="s">
        <v>6251</v>
      </c>
      <c r="H2733" t="str">
        <f>'Huong dan giao do an'!$B$14</f>
        <v>5 SV (vai trò chính): 1 PM/Scrum Master kiêm Integration; 2 BA/PO; 3 UI-UX + Frontend; 4 Backend/API + DevOps; 5 Database + QA/Tester. Mỗi SV có nhiệm vụ phụ và minh chứng cá nhân.</v>
      </c>
      <c r="I2733" t="s">
        <v>36</v>
      </c>
      <c r="J2733" t="s">
        <v>6222</v>
      </c>
      <c r="K2733" t="str">
        <f>IF(I2733="Trung bình",'Huong dan giao do an'!$B$8,IF(I2733="Khá",'Huong dan giao do an'!$B$9,'Huong dan giao do an'!$B$10))</f>
        <v>Tối thiểu 3 actor; 8-10 use case; 6-8 bảng dữ liệu; 2 quy trình lõi; đăng nhập/RBAC; 1 dashboard; 1 báo cáo; &gt;=25 test case; triển khai bản demo.</v>
      </c>
      <c r="L2733" t="str">
        <f>'Huong dan giao do an'!$B$31</f>
        <v>Bắt buộc: Charter/PMP; SRS + scope/WBS; Gantt/baseline; effort-cost budget; RACI/timesheet; quality-test-defect; communication/minutes; risk register; procurement; change log; closure/lessons learned.</v>
      </c>
      <c r="M2733" t="str">
        <f>'Huong dan giao do an'!$B$33</f>
        <v>Tuần 1: 07.09–13.09.2026; Tuần 2: 14.09–20.09.2026; Tuần 3: 21.09–27.09.2026; Tuần 4: 28.09–04.10.2026; Tuần 5: 05.10–11.10.2026; Tuần 6: 12.10–18.10.2026; Tuần 7: 19.10–25.10.2026; Tuần 8: 26.10–01.11.2026.</v>
      </c>
      <c r="N27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3" s="17" t="str">
        <f t="shared" si="42"/>
        <v>Còn trống</v>
      </c>
    </row>
    <row r="2734" spans="1:16" x14ac:dyDescent="0.3">
      <c r="A2734">
        <v>2733</v>
      </c>
      <c r="B2734" t="s">
        <v>6207</v>
      </c>
      <c r="C2734" t="s">
        <v>6300</v>
      </c>
      <c r="D2734" t="s">
        <v>6301</v>
      </c>
      <c r="E2734" t="s">
        <v>45</v>
      </c>
      <c r="F2734" t="s">
        <v>6220</v>
      </c>
      <c r="G2734" t="s">
        <v>6254</v>
      </c>
      <c r="H2734" t="str">
        <f>'Huong dan giao do an'!$B$14</f>
        <v>5 SV (vai trò chính): 1 PM/Scrum Master kiêm Integration; 2 BA/PO; 3 UI-UX + Frontend; 4 Backend/API + DevOps; 5 Database + QA/Tester. Mỗi SV có nhiệm vụ phụ và minh chứng cá nhân.</v>
      </c>
      <c r="I2734" t="s">
        <v>22</v>
      </c>
      <c r="J2734" t="s">
        <v>6212</v>
      </c>
      <c r="K2734" t="str">
        <f>IF(I2734="Trung bình",'Huong dan giao do an'!$B$8,IF(I2734="Khá",'Huong dan giao do an'!$B$9,'Huong dan giao do an'!$B$10))</f>
        <v>Tối thiểu 4 actor; 10-14 use case; 8-12 bảng; 3 quy trình lõi; phân quyền chi tiết; 2 báo cáo; tích hợp 1 dịch vụ; &gt;=35 test case; CI/CD hoặc deploy cloud.</v>
      </c>
      <c r="L2734" t="str">
        <f>'Huong dan giao do an'!$B$31</f>
        <v>Bắt buộc: Charter/PMP; SRS + scope/WBS; Gantt/baseline; effort-cost budget; RACI/timesheet; quality-test-defect; communication/minutes; risk register; procurement; change log; closure/lessons learned.</v>
      </c>
      <c r="M2734" t="str">
        <f>'Huong dan giao do an'!$B$33</f>
        <v>Tuần 1: 07.09–13.09.2026; Tuần 2: 14.09–20.09.2026; Tuần 3: 21.09–27.09.2026; Tuần 4: 28.09–04.10.2026; Tuần 5: 05.10–11.10.2026; Tuần 6: 12.10–18.10.2026; Tuần 7: 19.10–25.10.2026; Tuần 8: 26.10–01.11.2026.</v>
      </c>
      <c r="N27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4" s="17" t="str">
        <f t="shared" si="42"/>
        <v>Còn trống</v>
      </c>
    </row>
    <row r="2735" spans="1:16" x14ac:dyDescent="0.3">
      <c r="A2735">
        <v>2734</v>
      </c>
      <c r="B2735" t="s">
        <v>6207</v>
      </c>
      <c r="C2735" t="s">
        <v>6302</v>
      </c>
      <c r="D2735" t="s">
        <v>6303</v>
      </c>
      <c r="E2735" t="s">
        <v>19</v>
      </c>
      <c r="F2735" t="s">
        <v>6225</v>
      </c>
      <c r="G2735" t="s">
        <v>6257</v>
      </c>
      <c r="H2735" t="str">
        <f>'Huong dan giao do an'!$B$14</f>
        <v>5 SV (vai trò chính): 1 PM/Scrum Master kiêm Integration; 2 BA/PO; 3 UI-UX + Frontend; 4 Backend/API + DevOps; 5 Database + QA/Tester. Mỗi SV có nhiệm vụ phụ và minh chứng cá nhân.</v>
      </c>
      <c r="I2735" t="s">
        <v>29</v>
      </c>
      <c r="J2735" t="s">
        <v>6217</v>
      </c>
      <c r="K2735" t="str">
        <f>IF(I2735="Trung bình",'Huong dan giao do an'!$B$8,IF(I2735="Khá",'Huong dan giao do an'!$B$9,'Huong dan giao do an'!$B$10))</f>
        <v>Tối thiểu 5 actor; 14-18 use case; 10-15 bảng; 4 quy trình; tích hợp ngoài/realtime hoặc xử lý nâng cao; 3 báo cáo; &gt;=45 test case; logging, backup và deploy.</v>
      </c>
      <c r="L2735" t="str">
        <f>'Huong dan giao do an'!$B$31</f>
        <v>Bắt buộc: Charter/PMP; SRS + scope/WBS; Gantt/baseline; effort-cost budget; RACI/timesheet; quality-test-defect; communication/minutes; risk register; procurement; change log; closure/lessons learned.</v>
      </c>
      <c r="M2735" t="str">
        <f>'Huong dan giao do an'!$B$33</f>
        <v>Tuần 1: 07.09–13.09.2026; Tuần 2: 14.09–20.09.2026; Tuần 3: 21.09–27.09.2026; Tuần 4: 28.09–04.10.2026; Tuần 5: 05.10–11.10.2026; Tuần 6: 12.10–18.10.2026; Tuần 7: 19.10–25.10.2026; Tuần 8: 26.10–01.11.2026.</v>
      </c>
      <c r="N27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5" s="17" t="str">
        <f t="shared" si="42"/>
        <v>Còn trống</v>
      </c>
    </row>
    <row r="2736" spans="1:16" x14ac:dyDescent="0.3">
      <c r="A2736">
        <v>2735</v>
      </c>
      <c r="B2736" t="s">
        <v>6207</v>
      </c>
      <c r="C2736" t="s">
        <v>6304</v>
      </c>
      <c r="D2736" t="s">
        <v>6305</v>
      </c>
      <c r="E2736" t="s">
        <v>26</v>
      </c>
      <c r="F2736" t="s">
        <v>6229</v>
      </c>
      <c r="G2736" t="s">
        <v>6260</v>
      </c>
      <c r="H2736" t="str">
        <f>'Huong dan giao do an'!$B$14</f>
        <v>5 SV (vai trò chính): 1 PM/Scrum Master kiêm Integration; 2 BA/PO; 3 UI-UX + Frontend; 4 Backend/API + DevOps; 5 Database + QA/Tester. Mỗi SV có nhiệm vụ phụ và minh chứng cá nhân.</v>
      </c>
      <c r="I2736" t="s">
        <v>36</v>
      </c>
      <c r="J2736" t="s">
        <v>6222</v>
      </c>
      <c r="K2736" t="str">
        <f>IF(I2736="Trung bình",'Huong dan giao do an'!$B$8,IF(I2736="Khá",'Huong dan giao do an'!$B$9,'Huong dan giao do an'!$B$10))</f>
        <v>Tối thiểu 3 actor; 8-10 use case; 6-8 bảng dữ liệu; 2 quy trình lõi; đăng nhập/RBAC; 1 dashboard; 1 báo cáo; &gt;=25 test case; triển khai bản demo.</v>
      </c>
      <c r="L2736" t="str">
        <f>'Huong dan giao do an'!$B$31</f>
        <v>Bắt buộc: Charter/PMP; SRS + scope/WBS; Gantt/baseline; effort-cost budget; RACI/timesheet; quality-test-defect; communication/minutes; risk register; procurement; change log; closure/lessons learned.</v>
      </c>
      <c r="M2736" t="str">
        <f>'Huong dan giao do an'!$B$33</f>
        <v>Tuần 1: 07.09–13.09.2026; Tuần 2: 14.09–20.09.2026; Tuần 3: 21.09–27.09.2026; Tuần 4: 28.09–04.10.2026; Tuần 5: 05.10–11.10.2026; Tuần 6: 12.10–18.10.2026; Tuần 7: 19.10–25.10.2026; Tuần 8: 26.10–01.11.2026.</v>
      </c>
      <c r="N27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6" s="17" t="str">
        <f t="shared" si="42"/>
        <v>Còn trống</v>
      </c>
    </row>
    <row r="2737" spans="1:16" x14ac:dyDescent="0.3">
      <c r="A2737">
        <v>2736</v>
      </c>
      <c r="B2737" t="s">
        <v>6207</v>
      </c>
      <c r="C2737" t="s">
        <v>6306</v>
      </c>
      <c r="D2737" t="s">
        <v>6307</v>
      </c>
      <c r="E2737" t="s">
        <v>33</v>
      </c>
      <c r="F2737" t="s">
        <v>6210</v>
      </c>
      <c r="G2737" t="s">
        <v>6263</v>
      </c>
      <c r="H2737" t="str">
        <f>'Huong dan giao do an'!$B$14</f>
        <v>5 SV (vai trò chính): 1 PM/Scrum Master kiêm Integration; 2 BA/PO; 3 UI-UX + Frontend; 4 Backend/API + DevOps; 5 Database + QA/Tester. Mỗi SV có nhiệm vụ phụ và minh chứng cá nhân.</v>
      </c>
      <c r="I2737" t="s">
        <v>22</v>
      </c>
      <c r="J2737" t="s">
        <v>6212</v>
      </c>
      <c r="K2737" t="str">
        <f>IF(I2737="Trung bình",'Huong dan giao do an'!$B$8,IF(I2737="Khá",'Huong dan giao do an'!$B$9,'Huong dan giao do an'!$B$10))</f>
        <v>Tối thiểu 4 actor; 10-14 use case; 8-12 bảng; 3 quy trình lõi; phân quyền chi tiết; 2 báo cáo; tích hợp 1 dịch vụ; &gt;=35 test case; CI/CD hoặc deploy cloud.</v>
      </c>
      <c r="L2737" t="str">
        <f>'Huong dan giao do an'!$B$31</f>
        <v>Bắt buộc: Charter/PMP; SRS + scope/WBS; Gantt/baseline; effort-cost budget; RACI/timesheet; quality-test-defect; communication/minutes; risk register; procurement; change log; closure/lessons learned.</v>
      </c>
      <c r="M2737" t="str">
        <f>'Huong dan giao do an'!$B$33</f>
        <v>Tuần 1: 07.09–13.09.2026; Tuần 2: 14.09–20.09.2026; Tuần 3: 21.09–27.09.2026; Tuần 4: 28.09–04.10.2026; Tuần 5: 05.10–11.10.2026; Tuần 6: 12.10–18.10.2026; Tuần 7: 19.10–25.10.2026; Tuần 8: 26.10–01.11.2026.</v>
      </c>
      <c r="N27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7" s="17" t="str">
        <f t="shared" si="42"/>
        <v>Còn trống</v>
      </c>
    </row>
    <row r="2738" spans="1:16" x14ac:dyDescent="0.3">
      <c r="A2738">
        <v>2737</v>
      </c>
      <c r="B2738" t="s">
        <v>6207</v>
      </c>
      <c r="C2738" t="s">
        <v>6308</v>
      </c>
      <c r="D2738" t="s">
        <v>6309</v>
      </c>
      <c r="E2738" t="s">
        <v>40</v>
      </c>
      <c r="F2738" t="s">
        <v>6215</v>
      </c>
      <c r="G2738" t="s">
        <v>6266</v>
      </c>
      <c r="H2738" t="str">
        <f>'Huong dan giao do an'!$B$14</f>
        <v>5 SV (vai trò chính): 1 PM/Scrum Master kiêm Integration; 2 BA/PO; 3 UI-UX + Frontend; 4 Backend/API + DevOps; 5 Database + QA/Tester. Mỗi SV có nhiệm vụ phụ và minh chứng cá nhân.</v>
      </c>
      <c r="I2738" t="s">
        <v>29</v>
      </c>
      <c r="J2738" t="s">
        <v>6217</v>
      </c>
      <c r="K2738" t="str">
        <f>IF(I2738="Trung bình",'Huong dan giao do an'!$B$8,IF(I2738="Khá",'Huong dan giao do an'!$B$9,'Huong dan giao do an'!$B$10))</f>
        <v>Tối thiểu 5 actor; 14-18 use case; 10-15 bảng; 4 quy trình; tích hợp ngoài/realtime hoặc xử lý nâng cao; 3 báo cáo; &gt;=45 test case; logging, backup và deploy.</v>
      </c>
      <c r="L2738" t="str">
        <f>'Huong dan giao do an'!$B$31</f>
        <v>Bắt buộc: Charter/PMP; SRS + scope/WBS; Gantt/baseline; effort-cost budget; RACI/timesheet; quality-test-defect; communication/minutes; risk register; procurement; change log; closure/lessons learned.</v>
      </c>
      <c r="M2738" t="str">
        <f>'Huong dan giao do an'!$B$33</f>
        <v>Tuần 1: 07.09–13.09.2026; Tuần 2: 14.09–20.09.2026; Tuần 3: 21.09–27.09.2026; Tuần 4: 28.09–04.10.2026; Tuần 5: 05.10–11.10.2026; Tuần 6: 12.10–18.10.2026; Tuần 7: 19.10–25.10.2026; Tuần 8: 26.10–01.11.2026.</v>
      </c>
      <c r="N27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8" s="17" t="str">
        <f t="shared" si="42"/>
        <v>Còn trống</v>
      </c>
    </row>
    <row r="2739" spans="1:16" x14ac:dyDescent="0.3">
      <c r="A2739">
        <v>2738</v>
      </c>
      <c r="B2739" t="s">
        <v>6207</v>
      </c>
      <c r="C2739" t="s">
        <v>6310</v>
      </c>
      <c r="D2739" t="s">
        <v>6311</v>
      </c>
      <c r="E2739" t="s">
        <v>45</v>
      </c>
      <c r="F2739" t="s">
        <v>6220</v>
      </c>
      <c r="G2739" t="s">
        <v>6269</v>
      </c>
      <c r="H2739" t="str">
        <f>'Huong dan giao do an'!$B$14</f>
        <v>5 SV (vai trò chính): 1 PM/Scrum Master kiêm Integration; 2 BA/PO; 3 UI-UX + Frontend; 4 Backend/API + DevOps; 5 Database + QA/Tester. Mỗi SV có nhiệm vụ phụ và minh chứng cá nhân.</v>
      </c>
      <c r="I2739" t="s">
        <v>36</v>
      </c>
      <c r="J2739" t="s">
        <v>6222</v>
      </c>
      <c r="K2739" t="str">
        <f>IF(I2739="Trung bình",'Huong dan giao do an'!$B$8,IF(I2739="Khá",'Huong dan giao do an'!$B$9,'Huong dan giao do an'!$B$10))</f>
        <v>Tối thiểu 3 actor; 8-10 use case; 6-8 bảng dữ liệu; 2 quy trình lõi; đăng nhập/RBAC; 1 dashboard; 1 báo cáo; &gt;=25 test case; triển khai bản demo.</v>
      </c>
      <c r="L2739" t="str">
        <f>'Huong dan giao do an'!$B$31</f>
        <v>Bắt buộc: Charter/PMP; SRS + scope/WBS; Gantt/baseline; effort-cost budget; RACI/timesheet; quality-test-defect; communication/minutes; risk register; procurement; change log; closure/lessons learned.</v>
      </c>
      <c r="M2739" t="str">
        <f>'Huong dan giao do an'!$B$33</f>
        <v>Tuần 1: 07.09–13.09.2026; Tuần 2: 14.09–20.09.2026; Tuần 3: 21.09–27.09.2026; Tuần 4: 28.09–04.10.2026; Tuần 5: 05.10–11.10.2026; Tuần 6: 12.10–18.10.2026; Tuần 7: 19.10–25.10.2026; Tuần 8: 26.10–01.11.2026.</v>
      </c>
      <c r="N27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39" s="17" t="str">
        <f t="shared" si="42"/>
        <v>Còn trống</v>
      </c>
    </row>
    <row r="2740" spans="1:16" x14ac:dyDescent="0.3">
      <c r="A2740">
        <v>2739</v>
      </c>
      <c r="B2740" t="s">
        <v>6207</v>
      </c>
      <c r="C2740" t="s">
        <v>6312</v>
      </c>
      <c r="D2740" t="s">
        <v>6313</v>
      </c>
      <c r="E2740" t="s">
        <v>19</v>
      </c>
      <c r="F2740" t="s">
        <v>6225</v>
      </c>
      <c r="G2740" t="s">
        <v>6272</v>
      </c>
      <c r="H2740" t="str">
        <f>'Huong dan giao do an'!$B$14</f>
        <v>5 SV (vai trò chính): 1 PM/Scrum Master kiêm Integration; 2 BA/PO; 3 UI-UX + Frontend; 4 Backend/API + DevOps; 5 Database + QA/Tester. Mỗi SV có nhiệm vụ phụ và minh chứng cá nhân.</v>
      </c>
      <c r="I2740" t="s">
        <v>22</v>
      </c>
      <c r="J2740" t="s">
        <v>6212</v>
      </c>
      <c r="K2740" t="str">
        <f>IF(I2740="Trung bình",'Huong dan giao do an'!$B$8,IF(I2740="Khá",'Huong dan giao do an'!$B$9,'Huong dan giao do an'!$B$10))</f>
        <v>Tối thiểu 4 actor; 10-14 use case; 8-12 bảng; 3 quy trình lõi; phân quyền chi tiết; 2 báo cáo; tích hợp 1 dịch vụ; &gt;=35 test case; CI/CD hoặc deploy cloud.</v>
      </c>
      <c r="L2740" t="str">
        <f>'Huong dan giao do an'!$B$31</f>
        <v>Bắt buộc: Charter/PMP; SRS + scope/WBS; Gantt/baseline; effort-cost budget; RACI/timesheet; quality-test-defect; communication/minutes; risk register; procurement; change log; closure/lessons learned.</v>
      </c>
      <c r="M2740" t="str">
        <f>'Huong dan giao do an'!$B$33</f>
        <v>Tuần 1: 07.09–13.09.2026; Tuần 2: 14.09–20.09.2026; Tuần 3: 21.09–27.09.2026; Tuần 4: 28.09–04.10.2026; Tuần 5: 05.10–11.10.2026; Tuần 6: 12.10–18.10.2026; Tuần 7: 19.10–25.10.2026; Tuần 8: 26.10–01.11.2026.</v>
      </c>
      <c r="N27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0" s="17" t="str">
        <f t="shared" si="42"/>
        <v>Còn trống</v>
      </c>
    </row>
    <row r="2741" spans="1:16" x14ac:dyDescent="0.3">
      <c r="A2741">
        <v>2740</v>
      </c>
      <c r="B2741" t="s">
        <v>6207</v>
      </c>
      <c r="C2741" t="s">
        <v>6314</v>
      </c>
      <c r="D2741" t="s">
        <v>6315</v>
      </c>
      <c r="E2741" t="s">
        <v>26</v>
      </c>
      <c r="F2741" t="s">
        <v>6229</v>
      </c>
      <c r="G2741" t="s">
        <v>6275</v>
      </c>
      <c r="H2741" t="str">
        <f>'Huong dan giao do an'!$B$14</f>
        <v>5 SV (vai trò chính): 1 PM/Scrum Master kiêm Integration; 2 BA/PO; 3 UI-UX + Frontend; 4 Backend/API + DevOps; 5 Database + QA/Tester. Mỗi SV có nhiệm vụ phụ và minh chứng cá nhân.</v>
      </c>
      <c r="I2741" t="s">
        <v>29</v>
      </c>
      <c r="J2741" t="s">
        <v>6217</v>
      </c>
      <c r="K2741" t="str">
        <f>IF(I2741="Trung bình",'Huong dan giao do an'!$B$8,IF(I2741="Khá",'Huong dan giao do an'!$B$9,'Huong dan giao do an'!$B$10))</f>
        <v>Tối thiểu 5 actor; 14-18 use case; 10-15 bảng; 4 quy trình; tích hợp ngoài/realtime hoặc xử lý nâng cao; 3 báo cáo; &gt;=45 test case; logging, backup và deploy.</v>
      </c>
      <c r="L2741" t="str">
        <f>'Huong dan giao do an'!$B$31</f>
        <v>Bắt buộc: Charter/PMP; SRS + scope/WBS; Gantt/baseline; effort-cost budget; RACI/timesheet; quality-test-defect; communication/minutes; risk register; procurement; change log; closure/lessons learned.</v>
      </c>
      <c r="M2741" t="str">
        <f>'Huong dan giao do an'!$B$33</f>
        <v>Tuần 1: 07.09–13.09.2026; Tuần 2: 14.09–20.09.2026; Tuần 3: 21.09–27.09.2026; Tuần 4: 28.09–04.10.2026; Tuần 5: 05.10–11.10.2026; Tuần 6: 12.10–18.10.2026; Tuần 7: 19.10–25.10.2026; Tuần 8: 26.10–01.11.2026.</v>
      </c>
      <c r="N27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1" s="17" t="str">
        <f t="shared" si="42"/>
        <v>Còn trống</v>
      </c>
    </row>
    <row r="2742" spans="1:16" x14ac:dyDescent="0.3">
      <c r="A2742">
        <v>2741</v>
      </c>
      <c r="B2742" t="s">
        <v>6207</v>
      </c>
      <c r="C2742" t="s">
        <v>6316</v>
      </c>
      <c r="D2742" t="s">
        <v>6317</v>
      </c>
      <c r="E2742" t="s">
        <v>33</v>
      </c>
      <c r="F2742" t="s">
        <v>6210</v>
      </c>
      <c r="G2742" t="s">
        <v>6211</v>
      </c>
      <c r="H2742" t="str">
        <f>'Huong dan giao do an'!$B$14</f>
        <v>5 SV (vai trò chính): 1 PM/Scrum Master kiêm Integration; 2 BA/PO; 3 UI-UX + Frontend; 4 Backend/API + DevOps; 5 Database + QA/Tester. Mỗi SV có nhiệm vụ phụ và minh chứng cá nhân.</v>
      </c>
      <c r="I2742" t="s">
        <v>22</v>
      </c>
      <c r="J2742" t="s">
        <v>6212</v>
      </c>
      <c r="K2742" t="str">
        <f>IF(I2742="Trung bình",'Huong dan giao do an'!$B$8,IF(I2742="Khá",'Huong dan giao do an'!$B$9,'Huong dan giao do an'!$B$10))</f>
        <v>Tối thiểu 4 actor; 10-14 use case; 8-12 bảng; 3 quy trình lõi; phân quyền chi tiết; 2 báo cáo; tích hợp 1 dịch vụ; &gt;=35 test case; CI/CD hoặc deploy cloud.</v>
      </c>
      <c r="L2742" t="str">
        <f>'Huong dan giao do an'!$B$31</f>
        <v>Bắt buộc: Charter/PMP; SRS + scope/WBS; Gantt/baseline; effort-cost budget; RACI/timesheet; quality-test-defect; communication/minutes; risk register; procurement; change log; closure/lessons learned.</v>
      </c>
      <c r="M2742" t="str">
        <f>'Huong dan giao do an'!$B$33</f>
        <v>Tuần 1: 07.09–13.09.2026; Tuần 2: 14.09–20.09.2026; Tuần 3: 21.09–27.09.2026; Tuần 4: 28.09–04.10.2026; Tuần 5: 05.10–11.10.2026; Tuần 6: 12.10–18.10.2026; Tuần 7: 19.10–25.10.2026; Tuần 8: 26.10–01.11.2026.</v>
      </c>
      <c r="N27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2" s="17" t="str">
        <f t="shared" si="42"/>
        <v>Còn trống</v>
      </c>
    </row>
    <row r="2743" spans="1:16" x14ac:dyDescent="0.3">
      <c r="A2743">
        <v>2742</v>
      </c>
      <c r="B2743" t="s">
        <v>6207</v>
      </c>
      <c r="C2743" t="s">
        <v>6318</v>
      </c>
      <c r="D2743" t="s">
        <v>6319</v>
      </c>
      <c r="E2743" t="s">
        <v>40</v>
      </c>
      <c r="F2743" t="s">
        <v>6215</v>
      </c>
      <c r="G2743" t="s">
        <v>6216</v>
      </c>
      <c r="H2743" t="str">
        <f>'Huong dan giao do an'!$B$14</f>
        <v>5 SV (vai trò chính): 1 PM/Scrum Master kiêm Integration; 2 BA/PO; 3 UI-UX + Frontend; 4 Backend/API + DevOps; 5 Database + QA/Tester. Mỗi SV có nhiệm vụ phụ và minh chứng cá nhân.</v>
      </c>
      <c r="I2743" t="s">
        <v>29</v>
      </c>
      <c r="J2743" t="s">
        <v>6217</v>
      </c>
      <c r="K2743" t="str">
        <f>IF(I2743="Trung bình",'Huong dan giao do an'!$B$8,IF(I2743="Khá",'Huong dan giao do an'!$B$9,'Huong dan giao do an'!$B$10))</f>
        <v>Tối thiểu 5 actor; 14-18 use case; 10-15 bảng; 4 quy trình; tích hợp ngoài/realtime hoặc xử lý nâng cao; 3 báo cáo; &gt;=45 test case; logging, backup và deploy.</v>
      </c>
      <c r="L2743" t="str">
        <f>'Huong dan giao do an'!$B$31</f>
        <v>Bắt buộc: Charter/PMP; SRS + scope/WBS; Gantt/baseline; effort-cost budget; RACI/timesheet; quality-test-defect; communication/minutes; risk register; procurement; change log; closure/lessons learned.</v>
      </c>
      <c r="M2743" t="str">
        <f>'Huong dan giao do an'!$B$33</f>
        <v>Tuần 1: 07.09–13.09.2026; Tuần 2: 14.09–20.09.2026; Tuần 3: 21.09–27.09.2026; Tuần 4: 28.09–04.10.2026; Tuần 5: 05.10–11.10.2026; Tuần 6: 12.10–18.10.2026; Tuần 7: 19.10–25.10.2026; Tuần 8: 26.10–01.11.2026.</v>
      </c>
      <c r="N27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3" s="17" t="str">
        <f t="shared" si="42"/>
        <v>Còn trống</v>
      </c>
    </row>
    <row r="2744" spans="1:16" x14ac:dyDescent="0.3">
      <c r="A2744">
        <v>2743</v>
      </c>
      <c r="B2744" t="s">
        <v>6207</v>
      </c>
      <c r="C2744" t="s">
        <v>6320</v>
      </c>
      <c r="D2744" t="s">
        <v>6321</v>
      </c>
      <c r="E2744" t="s">
        <v>45</v>
      </c>
      <c r="F2744" t="s">
        <v>6220</v>
      </c>
      <c r="G2744" t="s">
        <v>6221</v>
      </c>
      <c r="H2744" t="str">
        <f>'Huong dan giao do an'!$B$14</f>
        <v>5 SV (vai trò chính): 1 PM/Scrum Master kiêm Integration; 2 BA/PO; 3 UI-UX + Frontend; 4 Backend/API + DevOps; 5 Database + QA/Tester. Mỗi SV có nhiệm vụ phụ và minh chứng cá nhân.</v>
      </c>
      <c r="I2744" t="s">
        <v>36</v>
      </c>
      <c r="J2744" t="s">
        <v>6222</v>
      </c>
      <c r="K2744" t="str">
        <f>IF(I2744="Trung bình",'Huong dan giao do an'!$B$8,IF(I2744="Khá",'Huong dan giao do an'!$B$9,'Huong dan giao do an'!$B$10))</f>
        <v>Tối thiểu 3 actor; 8-10 use case; 6-8 bảng dữ liệu; 2 quy trình lõi; đăng nhập/RBAC; 1 dashboard; 1 báo cáo; &gt;=25 test case; triển khai bản demo.</v>
      </c>
      <c r="L2744" t="str">
        <f>'Huong dan giao do an'!$B$31</f>
        <v>Bắt buộc: Charter/PMP; SRS + scope/WBS; Gantt/baseline; effort-cost budget; RACI/timesheet; quality-test-defect; communication/minutes; risk register; procurement; change log; closure/lessons learned.</v>
      </c>
      <c r="M2744" t="str">
        <f>'Huong dan giao do an'!$B$33</f>
        <v>Tuần 1: 07.09–13.09.2026; Tuần 2: 14.09–20.09.2026; Tuần 3: 21.09–27.09.2026; Tuần 4: 28.09–04.10.2026; Tuần 5: 05.10–11.10.2026; Tuần 6: 12.10–18.10.2026; Tuần 7: 19.10–25.10.2026; Tuần 8: 26.10–01.11.2026.</v>
      </c>
      <c r="N27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4" s="17" t="str">
        <f t="shared" si="42"/>
        <v>Còn trống</v>
      </c>
    </row>
    <row r="2745" spans="1:16" x14ac:dyDescent="0.3">
      <c r="A2745">
        <v>2744</v>
      </c>
      <c r="B2745" t="s">
        <v>6207</v>
      </c>
      <c r="C2745" t="s">
        <v>6322</v>
      </c>
      <c r="D2745" t="s">
        <v>6323</v>
      </c>
      <c r="E2745" t="s">
        <v>19</v>
      </c>
      <c r="F2745" t="s">
        <v>6225</v>
      </c>
      <c r="G2745" t="s">
        <v>6226</v>
      </c>
      <c r="H2745" t="str">
        <f>'Huong dan giao do an'!$B$14</f>
        <v>5 SV (vai trò chính): 1 PM/Scrum Master kiêm Integration; 2 BA/PO; 3 UI-UX + Frontend; 4 Backend/API + DevOps; 5 Database + QA/Tester. Mỗi SV có nhiệm vụ phụ và minh chứng cá nhân.</v>
      </c>
      <c r="I2745" t="s">
        <v>22</v>
      </c>
      <c r="J2745" t="s">
        <v>6212</v>
      </c>
      <c r="K2745" t="str">
        <f>IF(I2745="Trung bình",'Huong dan giao do an'!$B$8,IF(I2745="Khá",'Huong dan giao do an'!$B$9,'Huong dan giao do an'!$B$10))</f>
        <v>Tối thiểu 4 actor; 10-14 use case; 8-12 bảng; 3 quy trình lõi; phân quyền chi tiết; 2 báo cáo; tích hợp 1 dịch vụ; &gt;=35 test case; CI/CD hoặc deploy cloud.</v>
      </c>
      <c r="L2745" t="str">
        <f>'Huong dan giao do an'!$B$31</f>
        <v>Bắt buộc: Charter/PMP; SRS + scope/WBS; Gantt/baseline; effort-cost budget; RACI/timesheet; quality-test-defect; communication/minutes; risk register; procurement; change log; closure/lessons learned.</v>
      </c>
      <c r="M2745" t="str">
        <f>'Huong dan giao do an'!$B$33</f>
        <v>Tuần 1: 07.09–13.09.2026; Tuần 2: 14.09–20.09.2026; Tuần 3: 21.09–27.09.2026; Tuần 4: 28.09–04.10.2026; Tuần 5: 05.10–11.10.2026; Tuần 6: 12.10–18.10.2026; Tuần 7: 19.10–25.10.2026; Tuần 8: 26.10–01.11.2026.</v>
      </c>
      <c r="N27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5" s="17" t="str">
        <f t="shared" si="42"/>
        <v>Còn trống</v>
      </c>
    </row>
    <row r="2746" spans="1:16" x14ac:dyDescent="0.3">
      <c r="A2746">
        <v>2745</v>
      </c>
      <c r="B2746" t="s">
        <v>6207</v>
      </c>
      <c r="C2746" t="s">
        <v>6324</v>
      </c>
      <c r="D2746" t="s">
        <v>6325</v>
      </c>
      <c r="E2746" t="s">
        <v>26</v>
      </c>
      <c r="F2746" t="s">
        <v>6229</v>
      </c>
      <c r="G2746" t="s">
        <v>6230</v>
      </c>
      <c r="H2746" t="str">
        <f>'Huong dan giao do an'!$B$14</f>
        <v>5 SV (vai trò chính): 1 PM/Scrum Master kiêm Integration; 2 BA/PO; 3 UI-UX + Frontend; 4 Backend/API + DevOps; 5 Database + QA/Tester. Mỗi SV có nhiệm vụ phụ và minh chứng cá nhân.</v>
      </c>
      <c r="I2746" t="s">
        <v>29</v>
      </c>
      <c r="J2746" t="s">
        <v>6217</v>
      </c>
      <c r="K2746" t="str">
        <f>IF(I2746="Trung bình",'Huong dan giao do an'!$B$8,IF(I2746="Khá",'Huong dan giao do an'!$B$9,'Huong dan giao do an'!$B$10))</f>
        <v>Tối thiểu 5 actor; 14-18 use case; 10-15 bảng; 4 quy trình; tích hợp ngoài/realtime hoặc xử lý nâng cao; 3 báo cáo; &gt;=45 test case; logging, backup và deploy.</v>
      </c>
      <c r="L2746" t="str">
        <f>'Huong dan giao do an'!$B$31</f>
        <v>Bắt buộc: Charter/PMP; SRS + scope/WBS; Gantt/baseline; effort-cost budget; RACI/timesheet; quality-test-defect; communication/minutes; risk register; procurement; change log; closure/lessons learned.</v>
      </c>
      <c r="M2746" t="str">
        <f>'Huong dan giao do an'!$B$33</f>
        <v>Tuần 1: 07.09–13.09.2026; Tuần 2: 14.09–20.09.2026; Tuần 3: 21.09–27.09.2026; Tuần 4: 28.09–04.10.2026; Tuần 5: 05.10–11.10.2026; Tuần 6: 12.10–18.10.2026; Tuần 7: 19.10–25.10.2026; Tuần 8: 26.10–01.11.2026.</v>
      </c>
      <c r="N27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6" s="17" t="str">
        <f t="shared" si="42"/>
        <v>Còn trống</v>
      </c>
    </row>
    <row r="2747" spans="1:16" x14ac:dyDescent="0.3">
      <c r="A2747">
        <v>2746</v>
      </c>
      <c r="B2747" t="s">
        <v>6207</v>
      </c>
      <c r="C2747" t="s">
        <v>6326</v>
      </c>
      <c r="D2747" t="s">
        <v>6327</v>
      </c>
      <c r="E2747" t="s">
        <v>33</v>
      </c>
      <c r="F2747" t="s">
        <v>6210</v>
      </c>
      <c r="G2747" t="s">
        <v>6233</v>
      </c>
      <c r="H2747" t="str">
        <f>'Huong dan giao do an'!$B$14</f>
        <v>5 SV (vai trò chính): 1 PM/Scrum Master kiêm Integration; 2 BA/PO; 3 UI-UX + Frontend; 4 Backend/API + DevOps; 5 Database + QA/Tester. Mỗi SV có nhiệm vụ phụ và minh chứng cá nhân.</v>
      </c>
      <c r="I2747" t="s">
        <v>36</v>
      </c>
      <c r="J2747" t="s">
        <v>6222</v>
      </c>
      <c r="K2747" t="str">
        <f>IF(I2747="Trung bình",'Huong dan giao do an'!$B$8,IF(I2747="Khá",'Huong dan giao do an'!$B$9,'Huong dan giao do an'!$B$10))</f>
        <v>Tối thiểu 3 actor; 8-10 use case; 6-8 bảng dữ liệu; 2 quy trình lõi; đăng nhập/RBAC; 1 dashboard; 1 báo cáo; &gt;=25 test case; triển khai bản demo.</v>
      </c>
      <c r="L2747" t="str">
        <f>'Huong dan giao do an'!$B$31</f>
        <v>Bắt buộc: Charter/PMP; SRS + scope/WBS; Gantt/baseline; effort-cost budget; RACI/timesheet; quality-test-defect; communication/minutes; risk register; procurement; change log; closure/lessons learned.</v>
      </c>
      <c r="M2747" t="str">
        <f>'Huong dan giao do an'!$B$33</f>
        <v>Tuần 1: 07.09–13.09.2026; Tuần 2: 14.09–20.09.2026; Tuần 3: 21.09–27.09.2026; Tuần 4: 28.09–04.10.2026; Tuần 5: 05.10–11.10.2026; Tuần 6: 12.10–18.10.2026; Tuần 7: 19.10–25.10.2026; Tuần 8: 26.10–01.11.2026.</v>
      </c>
      <c r="N27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7" s="17" t="str">
        <f t="shared" si="42"/>
        <v>Còn trống</v>
      </c>
    </row>
    <row r="2748" spans="1:16" x14ac:dyDescent="0.3">
      <c r="A2748">
        <v>2747</v>
      </c>
      <c r="B2748" t="s">
        <v>6207</v>
      </c>
      <c r="C2748" t="s">
        <v>6328</v>
      </c>
      <c r="D2748" t="s">
        <v>6329</v>
      </c>
      <c r="E2748" t="s">
        <v>40</v>
      </c>
      <c r="F2748" t="s">
        <v>6215</v>
      </c>
      <c r="G2748" t="s">
        <v>6236</v>
      </c>
      <c r="H2748" t="str">
        <f>'Huong dan giao do an'!$B$14</f>
        <v>5 SV (vai trò chính): 1 PM/Scrum Master kiêm Integration; 2 BA/PO; 3 UI-UX + Frontend; 4 Backend/API + DevOps; 5 Database + QA/Tester. Mỗi SV có nhiệm vụ phụ và minh chứng cá nhân.</v>
      </c>
      <c r="I2748" t="s">
        <v>22</v>
      </c>
      <c r="J2748" t="s">
        <v>6212</v>
      </c>
      <c r="K2748" t="str">
        <f>IF(I2748="Trung bình",'Huong dan giao do an'!$B$8,IF(I2748="Khá",'Huong dan giao do an'!$B$9,'Huong dan giao do an'!$B$10))</f>
        <v>Tối thiểu 4 actor; 10-14 use case; 8-12 bảng; 3 quy trình lõi; phân quyền chi tiết; 2 báo cáo; tích hợp 1 dịch vụ; &gt;=35 test case; CI/CD hoặc deploy cloud.</v>
      </c>
      <c r="L2748" t="str">
        <f>'Huong dan giao do an'!$B$31</f>
        <v>Bắt buộc: Charter/PMP; SRS + scope/WBS; Gantt/baseline; effort-cost budget; RACI/timesheet; quality-test-defect; communication/minutes; risk register; procurement; change log; closure/lessons learned.</v>
      </c>
      <c r="M2748" t="str">
        <f>'Huong dan giao do an'!$B$33</f>
        <v>Tuần 1: 07.09–13.09.2026; Tuần 2: 14.09–20.09.2026; Tuần 3: 21.09–27.09.2026; Tuần 4: 28.09–04.10.2026; Tuần 5: 05.10–11.10.2026; Tuần 6: 12.10–18.10.2026; Tuần 7: 19.10–25.10.2026; Tuần 8: 26.10–01.11.2026.</v>
      </c>
      <c r="N27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8" s="17" t="str">
        <f t="shared" si="42"/>
        <v>Còn trống</v>
      </c>
    </row>
    <row r="2749" spans="1:16" x14ac:dyDescent="0.3">
      <c r="A2749">
        <v>2748</v>
      </c>
      <c r="B2749" t="s">
        <v>6207</v>
      </c>
      <c r="C2749" t="s">
        <v>6330</v>
      </c>
      <c r="D2749" t="s">
        <v>6331</v>
      </c>
      <c r="E2749" t="s">
        <v>45</v>
      </c>
      <c r="F2749" t="s">
        <v>6220</v>
      </c>
      <c r="G2749" t="s">
        <v>6239</v>
      </c>
      <c r="H2749" t="str">
        <f>'Huong dan giao do an'!$B$14</f>
        <v>5 SV (vai trò chính): 1 PM/Scrum Master kiêm Integration; 2 BA/PO; 3 UI-UX + Frontend; 4 Backend/API + DevOps; 5 Database + QA/Tester. Mỗi SV có nhiệm vụ phụ và minh chứng cá nhân.</v>
      </c>
      <c r="I2749" t="s">
        <v>29</v>
      </c>
      <c r="J2749" t="s">
        <v>6217</v>
      </c>
      <c r="K2749" t="str">
        <f>IF(I2749="Trung bình",'Huong dan giao do an'!$B$8,IF(I2749="Khá",'Huong dan giao do an'!$B$9,'Huong dan giao do an'!$B$10))</f>
        <v>Tối thiểu 5 actor; 14-18 use case; 10-15 bảng; 4 quy trình; tích hợp ngoài/realtime hoặc xử lý nâng cao; 3 báo cáo; &gt;=45 test case; logging, backup và deploy.</v>
      </c>
      <c r="L2749" t="str">
        <f>'Huong dan giao do an'!$B$31</f>
        <v>Bắt buộc: Charter/PMP; SRS + scope/WBS; Gantt/baseline; effort-cost budget; RACI/timesheet; quality-test-defect; communication/minutes; risk register; procurement; change log; closure/lessons learned.</v>
      </c>
      <c r="M2749" t="str">
        <f>'Huong dan giao do an'!$B$33</f>
        <v>Tuần 1: 07.09–13.09.2026; Tuần 2: 14.09–20.09.2026; Tuần 3: 21.09–27.09.2026; Tuần 4: 28.09–04.10.2026; Tuần 5: 05.10–11.10.2026; Tuần 6: 12.10–18.10.2026; Tuần 7: 19.10–25.10.2026; Tuần 8: 26.10–01.11.2026.</v>
      </c>
      <c r="N27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49" s="17" t="str">
        <f t="shared" si="42"/>
        <v>Còn trống</v>
      </c>
    </row>
    <row r="2750" spans="1:16" x14ac:dyDescent="0.3">
      <c r="A2750">
        <v>2749</v>
      </c>
      <c r="B2750" t="s">
        <v>6207</v>
      </c>
      <c r="C2750" t="s">
        <v>6332</v>
      </c>
      <c r="D2750" t="s">
        <v>6333</v>
      </c>
      <c r="E2750" t="s">
        <v>19</v>
      </c>
      <c r="F2750" t="s">
        <v>6225</v>
      </c>
      <c r="G2750" t="s">
        <v>6242</v>
      </c>
      <c r="H2750" t="str">
        <f>'Huong dan giao do an'!$B$14</f>
        <v>5 SV (vai trò chính): 1 PM/Scrum Master kiêm Integration; 2 BA/PO; 3 UI-UX + Frontend; 4 Backend/API + DevOps; 5 Database + QA/Tester. Mỗi SV có nhiệm vụ phụ và minh chứng cá nhân.</v>
      </c>
      <c r="I2750" t="s">
        <v>36</v>
      </c>
      <c r="J2750" t="s">
        <v>6222</v>
      </c>
      <c r="K2750" t="str">
        <f>IF(I2750="Trung bình",'Huong dan giao do an'!$B$8,IF(I2750="Khá",'Huong dan giao do an'!$B$9,'Huong dan giao do an'!$B$10))</f>
        <v>Tối thiểu 3 actor; 8-10 use case; 6-8 bảng dữ liệu; 2 quy trình lõi; đăng nhập/RBAC; 1 dashboard; 1 báo cáo; &gt;=25 test case; triển khai bản demo.</v>
      </c>
      <c r="L2750" t="str">
        <f>'Huong dan giao do an'!$B$31</f>
        <v>Bắt buộc: Charter/PMP; SRS + scope/WBS; Gantt/baseline; effort-cost budget; RACI/timesheet; quality-test-defect; communication/minutes; risk register; procurement; change log; closure/lessons learned.</v>
      </c>
      <c r="M2750" t="str">
        <f>'Huong dan giao do an'!$B$33</f>
        <v>Tuần 1: 07.09–13.09.2026; Tuần 2: 14.09–20.09.2026; Tuần 3: 21.09–27.09.2026; Tuần 4: 28.09–04.10.2026; Tuần 5: 05.10–11.10.2026; Tuần 6: 12.10–18.10.2026; Tuần 7: 19.10–25.10.2026; Tuần 8: 26.10–01.11.2026.</v>
      </c>
      <c r="N27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0" s="17" t="str">
        <f t="shared" si="42"/>
        <v>Còn trống</v>
      </c>
    </row>
    <row r="2751" spans="1:16" x14ac:dyDescent="0.3">
      <c r="A2751">
        <v>2750</v>
      </c>
      <c r="B2751" t="s">
        <v>6207</v>
      </c>
      <c r="C2751" t="s">
        <v>6334</v>
      </c>
      <c r="D2751" t="s">
        <v>6335</v>
      </c>
      <c r="E2751" t="s">
        <v>26</v>
      </c>
      <c r="F2751" t="s">
        <v>6229</v>
      </c>
      <c r="G2751" t="s">
        <v>6245</v>
      </c>
      <c r="H2751" t="str">
        <f>'Huong dan giao do an'!$B$14</f>
        <v>5 SV (vai trò chính): 1 PM/Scrum Master kiêm Integration; 2 BA/PO; 3 UI-UX + Frontend; 4 Backend/API + DevOps; 5 Database + QA/Tester. Mỗi SV có nhiệm vụ phụ và minh chứng cá nhân.</v>
      </c>
      <c r="I2751" t="s">
        <v>22</v>
      </c>
      <c r="J2751" t="s">
        <v>6212</v>
      </c>
      <c r="K2751" t="str">
        <f>IF(I2751="Trung bình",'Huong dan giao do an'!$B$8,IF(I2751="Khá",'Huong dan giao do an'!$B$9,'Huong dan giao do an'!$B$10))</f>
        <v>Tối thiểu 4 actor; 10-14 use case; 8-12 bảng; 3 quy trình lõi; phân quyền chi tiết; 2 báo cáo; tích hợp 1 dịch vụ; &gt;=35 test case; CI/CD hoặc deploy cloud.</v>
      </c>
      <c r="L2751" t="str">
        <f>'Huong dan giao do an'!$B$31</f>
        <v>Bắt buộc: Charter/PMP; SRS + scope/WBS; Gantt/baseline; effort-cost budget; RACI/timesheet; quality-test-defect; communication/minutes; risk register; procurement; change log; closure/lessons learned.</v>
      </c>
      <c r="M2751" t="str">
        <f>'Huong dan giao do an'!$B$33</f>
        <v>Tuần 1: 07.09–13.09.2026; Tuần 2: 14.09–20.09.2026; Tuần 3: 21.09–27.09.2026; Tuần 4: 28.09–04.10.2026; Tuần 5: 05.10–11.10.2026; Tuần 6: 12.10–18.10.2026; Tuần 7: 19.10–25.10.2026; Tuần 8: 26.10–01.11.2026.</v>
      </c>
      <c r="N27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1" s="17" t="str">
        <f t="shared" si="42"/>
        <v>Còn trống</v>
      </c>
    </row>
    <row r="2752" spans="1:16" x14ac:dyDescent="0.3">
      <c r="A2752">
        <v>2751</v>
      </c>
      <c r="B2752" t="s">
        <v>6207</v>
      </c>
      <c r="C2752" t="s">
        <v>6336</v>
      </c>
      <c r="D2752" t="s">
        <v>6337</v>
      </c>
      <c r="E2752" t="s">
        <v>33</v>
      </c>
      <c r="F2752" t="s">
        <v>6210</v>
      </c>
      <c r="G2752" t="s">
        <v>6248</v>
      </c>
      <c r="H2752" t="str">
        <f>'Huong dan giao do an'!$B$14</f>
        <v>5 SV (vai trò chính): 1 PM/Scrum Master kiêm Integration; 2 BA/PO; 3 UI-UX + Frontend; 4 Backend/API + DevOps; 5 Database + QA/Tester. Mỗi SV có nhiệm vụ phụ và minh chứng cá nhân.</v>
      </c>
      <c r="I2752" t="s">
        <v>29</v>
      </c>
      <c r="J2752" t="s">
        <v>6217</v>
      </c>
      <c r="K2752" t="str">
        <f>IF(I2752="Trung bình",'Huong dan giao do an'!$B$8,IF(I2752="Khá",'Huong dan giao do an'!$B$9,'Huong dan giao do an'!$B$10))</f>
        <v>Tối thiểu 5 actor; 14-18 use case; 10-15 bảng; 4 quy trình; tích hợp ngoài/realtime hoặc xử lý nâng cao; 3 báo cáo; &gt;=45 test case; logging, backup và deploy.</v>
      </c>
      <c r="L2752" t="str">
        <f>'Huong dan giao do an'!$B$31</f>
        <v>Bắt buộc: Charter/PMP; SRS + scope/WBS; Gantt/baseline; effort-cost budget; RACI/timesheet; quality-test-defect; communication/minutes; risk register; procurement; change log; closure/lessons learned.</v>
      </c>
      <c r="M2752" t="str">
        <f>'Huong dan giao do an'!$B$33</f>
        <v>Tuần 1: 07.09–13.09.2026; Tuần 2: 14.09–20.09.2026; Tuần 3: 21.09–27.09.2026; Tuần 4: 28.09–04.10.2026; Tuần 5: 05.10–11.10.2026; Tuần 6: 12.10–18.10.2026; Tuần 7: 19.10–25.10.2026; Tuần 8: 26.10–01.11.2026.</v>
      </c>
      <c r="N27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2" s="17" t="str">
        <f t="shared" si="42"/>
        <v>Còn trống</v>
      </c>
    </row>
    <row r="2753" spans="1:16" x14ac:dyDescent="0.3">
      <c r="A2753">
        <v>2752</v>
      </c>
      <c r="B2753" t="s">
        <v>6207</v>
      </c>
      <c r="C2753" t="s">
        <v>6338</v>
      </c>
      <c r="D2753" t="s">
        <v>6339</v>
      </c>
      <c r="E2753" t="s">
        <v>40</v>
      </c>
      <c r="F2753" t="s">
        <v>6215</v>
      </c>
      <c r="G2753" t="s">
        <v>6251</v>
      </c>
      <c r="H2753" t="str">
        <f>'Huong dan giao do an'!$B$14</f>
        <v>5 SV (vai trò chính): 1 PM/Scrum Master kiêm Integration; 2 BA/PO; 3 UI-UX + Frontend; 4 Backend/API + DevOps; 5 Database + QA/Tester. Mỗi SV có nhiệm vụ phụ và minh chứng cá nhân.</v>
      </c>
      <c r="I2753" t="s">
        <v>36</v>
      </c>
      <c r="J2753" t="s">
        <v>6222</v>
      </c>
      <c r="K2753" t="str">
        <f>IF(I2753="Trung bình",'Huong dan giao do an'!$B$8,IF(I2753="Khá",'Huong dan giao do an'!$B$9,'Huong dan giao do an'!$B$10))</f>
        <v>Tối thiểu 3 actor; 8-10 use case; 6-8 bảng dữ liệu; 2 quy trình lõi; đăng nhập/RBAC; 1 dashboard; 1 báo cáo; &gt;=25 test case; triển khai bản demo.</v>
      </c>
      <c r="L2753" t="str">
        <f>'Huong dan giao do an'!$B$31</f>
        <v>Bắt buộc: Charter/PMP; SRS + scope/WBS; Gantt/baseline; effort-cost budget; RACI/timesheet; quality-test-defect; communication/minutes; risk register; procurement; change log; closure/lessons learned.</v>
      </c>
      <c r="M2753" t="str">
        <f>'Huong dan giao do an'!$B$33</f>
        <v>Tuần 1: 07.09–13.09.2026; Tuần 2: 14.09–20.09.2026; Tuần 3: 21.09–27.09.2026; Tuần 4: 28.09–04.10.2026; Tuần 5: 05.10–11.10.2026; Tuần 6: 12.10–18.10.2026; Tuần 7: 19.10–25.10.2026; Tuần 8: 26.10–01.11.2026.</v>
      </c>
      <c r="N27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3" s="17" t="str">
        <f t="shared" si="42"/>
        <v>Còn trống</v>
      </c>
    </row>
    <row r="2754" spans="1:16" x14ac:dyDescent="0.3">
      <c r="A2754">
        <v>2753</v>
      </c>
      <c r="B2754" t="s">
        <v>6207</v>
      </c>
      <c r="C2754" t="s">
        <v>6340</v>
      </c>
      <c r="D2754" t="s">
        <v>6341</v>
      </c>
      <c r="E2754" t="s">
        <v>45</v>
      </c>
      <c r="F2754" t="s">
        <v>6220</v>
      </c>
      <c r="G2754" t="s">
        <v>6254</v>
      </c>
      <c r="H2754" t="str">
        <f>'Huong dan giao do an'!$B$14</f>
        <v>5 SV (vai trò chính): 1 PM/Scrum Master kiêm Integration; 2 BA/PO; 3 UI-UX + Frontend; 4 Backend/API + DevOps; 5 Database + QA/Tester. Mỗi SV có nhiệm vụ phụ và minh chứng cá nhân.</v>
      </c>
      <c r="I2754" t="s">
        <v>22</v>
      </c>
      <c r="J2754" t="s">
        <v>6212</v>
      </c>
      <c r="K2754" t="str">
        <f>IF(I2754="Trung bình",'Huong dan giao do an'!$B$8,IF(I2754="Khá",'Huong dan giao do an'!$B$9,'Huong dan giao do an'!$B$10))</f>
        <v>Tối thiểu 4 actor; 10-14 use case; 8-12 bảng; 3 quy trình lõi; phân quyền chi tiết; 2 báo cáo; tích hợp 1 dịch vụ; &gt;=35 test case; CI/CD hoặc deploy cloud.</v>
      </c>
      <c r="L2754" t="str">
        <f>'Huong dan giao do an'!$B$31</f>
        <v>Bắt buộc: Charter/PMP; SRS + scope/WBS; Gantt/baseline; effort-cost budget; RACI/timesheet; quality-test-defect; communication/minutes; risk register; procurement; change log; closure/lessons learned.</v>
      </c>
      <c r="M2754" t="str">
        <f>'Huong dan giao do an'!$B$33</f>
        <v>Tuần 1: 07.09–13.09.2026; Tuần 2: 14.09–20.09.2026; Tuần 3: 21.09–27.09.2026; Tuần 4: 28.09–04.10.2026; Tuần 5: 05.10–11.10.2026; Tuần 6: 12.10–18.10.2026; Tuần 7: 19.10–25.10.2026; Tuần 8: 26.10–01.11.2026.</v>
      </c>
      <c r="N27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4" s="17" t="str">
        <f t="shared" si="42"/>
        <v>Còn trống</v>
      </c>
    </row>
    <row r="2755" spans="1:16" x14ac:dyDescent="0.3">
      <c r="A2755">
        <v>2754</v>
      </c>
      <c r="B2755" t="s">
        <v>6207</v>
      </c>
      <c r="C2755" t="s">
        <v>6342</v>
      </c>
      <c r="D2755" t="s">
        <v>6343</v>
      </c>
      <c r="E2755" t="s">
        <v>19</v>
      </c>
      <c r="F2755" t="s">
        <v>6225</v>
      </c>
      <c r="G2755" t="s">
        <v>6257</v>
      </c>
      <c r="H2755" t="str">
        <f>'Huong dan giao do an'!$B$14</f>
        <v>5 SV (vai trò chính): 1 PM/Scrum Master kiêm Integration; 2 BA/PO; 3 UI-UX + Frontend; 4 Backend/API + DevOps; 5 Database + QA/Tester. Mỗi SV có nhiệm vụ phụ và minh chứng cá nhân.</v>
      </c>
      <c r="I2755" t="s">
        <v>29</v>
      </c>
      <c r="J2755" t="s">
        <v>6217</v>
      </c>
      <c r="K2755" t="str">
        <f>IF(I2755="Trung bình",'Huong dan giao do an'!$B$8,IF(I2755="Khá",'Huong dan giao do an'!$B$9,'Huong dan giao do an'!$B$10))</f>
        <v>Tối thiểu 5 actor; 14-18 use case; 10-15 bảng; 4 quy trình; tích hợp ngoài/realtime hoặc xử lý nâng cao; 3 báo cáo; &gt;=45 test case; logging, backup và deploy.</v>
      </c>
      <c r="L2755" t="str">
        <f>'Huong dan giao do an'!$B$31</f>
        <v>Bắt buộc: Charter/PMP; SRS + scope/WBS; Gantt/baseline; effort-cost budget; RACI/timesheet; quality-test-defect; communication/minutes; risk register; procurement; change log; closure/lessons learned.</v>
      </c>
      <c r="M2755" t="str">
        <f>'Huong dan giao do an'!$B$33</f>
        <v>Tuần 1: 07.09–13.09.2026; Tuần 2: 14.09–20.09.2026; Tuần 3: 21.09–27.09.2026; Tuần 4: 28.09–04.10.2026; Tuần 5: 05.10–11.10.2026; Tuần 6: 12.10–18.10.2026; Tuần 7: 19.10–25.10.2026; Tuần 8: 26.10–01.11.2026.</v>
      </c>
      <c r="N27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5" s="17" t="str">
        <f t="shared" ref="P2755:P2818" si="43">IF(O2755="","Còn trống","Đã đăng ký")</f>
        <v>Còn trống</v>
      </c>
    </row>
    <row r="2756" spans="1:16" x14ac:dyDescent="0.3">
      <c r="A2756">
        <v>2755</v>
      </c>
      <c r="B2756" t="s">
        <v>6207</v>
      </c>
      <c r="C2756" t="s">
        <v>6344</v>
      </c>
      <c r="D2756" t="s">
        <v>6345</v>
      </c>
      <c r="E2756" t="s">
        <v>26</v>
      </c>
      <c r="F2756" t="s">
        <v>6229</v>
      </c>
      <c r="G2756" t="s">
        <v>6260</v>
      </c>
      <c r="H2756" t="str">
        <f>'Huong dan giao do an'!$B$14</f>
        <v>5 SV (vai trò chính): 1 PM/Scrum Master kiêm Integration; 2 BA/PO; 3 UI-UX + Frontend; 4 Backend/API + DevOps; 5 Database + QA/Tester. Mỗi SV có nhiệm vụ phụ và minh chứng cá nhân.</v>
      </c>
      <c r="I2756" t="s">
        <v>36</v>
      </c>
      <c r="J2756" t="s">
        <v>6222</v>
      </c>
      <c r="K2756" t="str">
        <f>IF(I2756="Trung bình",'Huong dan giao do an'!$B$8,IF(I2756="Khá",'Huong dan giao do an'!$B$9,'Huong dan giao do an'!$B$10))</f>
        <v>Tối thiểu 3 actor; 8-10 use case; 6-8 bảng dữ liệu; 2 quy trình lõi; đăng nhập/RBAC; 1 dashboard; 1 báo cáo; &gt;=25 test case; triển khai bản demo.</v>
      </c>
      <c r="L2756" t="str">
        <f>'Huong dan giao do an'!$B$31</f>
        <v>Bắt buộc: Charter/PMP; SRS + scope/WBS; Gantt/baseline; effort-cost budget; RACI/timesheet; quality-test-defect; communication/minutes; risk register; procurement; change log; closure/lessons learned.</v>
      </c>
      <c r="M2756" t="str">
        <f>'Huong dan giao do an'!$B$33</f>
        <v>Tuần 1: 07.09–13.09.2026; Tuần 2: 14.09–20.09.2026; Tuần 3: 21.09–27.09.2026; Tuần 4: 28.09–04.10.2026; Tuần 5: 05.10–11.10.2026; Tuần 6: 12.10–18.10.2026; Tuần 7: 19.10–25.10.2026; Tuần 8: 26.10–01.11.2026.</v>
      </c>
      <c r="N27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6" s="17" t="str">
        <f t="shared" si="43"/>
        <v>Còn trống</v>
      </c>
    </row>
    <row r="2757" spans="1:16" x14ac:dyDescent="0.3">
      <c r="A2757">
        <v>2756</v>
      </c>
      <c r="B2757" t="s">
        <v>6207</v>
      </c>
      <c r="C2757" t="s">
        <v>6346</v>
      </c>
      <c r="D2757" t="s">
        <v>6347</v>
      </c>
      <c r="E2757" t="s">
        <v>33</v>
      </c>
      <c r="F2757" t="s">
        <v>6210</v>
      </c>
      <c r="G2757" t="s">
        <v>6263</v>
      </c>
      <c r="H2757" t="str">
        <f>'Huong dan giao do an'!$B$14</f>
        <v>5 SV (vai trò chính): 1 PM/Scrum Master kiêm Integration; 2 BA/PO; 3 UI-UX + Frontend; 4 Backend/API + DevOps; 5 Database + QA/Tester. Mỗi SV có nhiệm vụ phụ và minh chứng cá nhân.</v>
      </c>
      <c r="I2757" t="s">
        <v>22</v>
      </c>
      <c r="J2757" t="s">
        <v>6212</v>
      </c>
      <c r="K2757" t="str">
        <f>IF(I2757="Trung bình",'Huong dan giao do an'!$B$8,IF(I2757="Khá",'Huong dan giao do an'!$B$9,'Huong dan giao do an'!$B$10))</f>
        <v>Tối thiểu 4 actor; 10-14 use case; 8-12 bảng; 3 quy trình lõi; phân quyền chi tiết; 2 báo cáo; tích hợp 1 dịch vụ; &gt;=35 test case; CI/CD hoặc deploy cloud.</v>
      </c>
      <c r="L2757" t="str">
        <f>'Huong dan giao do an'!$B$31</f>
        <v>Bắt buộc: Charter/PMP; SRS + scope/WBS; Gantt/baseline; effort-cost budget; RACI/timesheet; quality-test-defect; communication/minutes; risk register; procurement; change log; closure/lessons learned.</v>
      </c>
      <c r="M2757" t="str">
        <f>'Huong dan giao do an'!$B$33</f>
        <v>Tuần 1: 07.09–13.09.2026; Tuần 2: 14.09–20.09.2026; Tuần 3: 21.09–27.09.2026; Tuần 4: 28.09–04.10.2026; Tuần 5: 05.10–11.10.2026; Tuần 6: 12.10–18.10.2026; Tuần 7: 19.10–25.10.2026; Tuần 8: 26.10–01.11.2026.</v>
      </c>
      <c r="N27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7" s="17" t="str">
        <f t="shared" si="43"/>
        <v>Còn trống</v>
      </c>
    </row>
    <row r="2758" spans="1:16" x14ac:dyDescent="0.3">
      <c r="A2758">
        <v>2757</v>
      </c>
      <c r="B2758" t="s">
        <v>6207</v>
      </c>
      <c r="C2758" t="s">
        <v>6348</v>
      </c>
      <c r="D2758" t="s">
        <v>6349</v>
      </c>
      <c r="E2758" t="s">
        <v>40</v>
      </c>
      <c r="F2758" t="s">
        <v>6215</v>
      </c>
      <c r="G2758" t="s">
        <v>6266</v>
      </c>
      <c r="H2758" t="str">
        <f>'Huong dan giao do an'!$B$14</f>
        <v>5 SV (vai trò chính): 1 PM/Scrum Master kiêm Integration; 2 BA/PO; 3 UI-UX + Frontend; 4 Backend/API + DevOps; 5 Database + QA/Tester. Mỗi SV có nhiệm vụ phụ và minh chứng cá nhân.</v>
      </c>
      <c r="I2758" t="s">
        <v>29</v>
      </c>
      <c r="J2758" t="s">
        <v>6217</v>
      </c>
      <c r="K2758" t="str">
        <f>IF(I2758="Trung bình",'Huong dan giao do an'!$B$8,IF(I2758="Khá",'Huong dan giao do an'!$B$9,'Huong dan giao do an'!$B$10))</f>
        <v>Tối thiểu 5 actor; 14-18 use case; 10-15 bảng; 4 quy trình; tích hợp ngoài/realtime hoặc xử lý nâng cao; 3 báo cáo; &gt;=45 test case; logging, backup và deploy.</v>
      </c>
      <c r="L2758" t="str">
        <f>'Huong dan giao do an'!$B$31</f>
        <v>Bắt buộc: Charter/PMP; SRS + scope/WBS; Gantt/baseline; effort-cost budget; RACI/timesheet; quality-test-defect; communication/minutes; risk register; procurement; change log; closure/lessons learned.</v>
      </c>
      <c r="M2758" t="str">
        <f>'Huong dan giao do an'!$B$33</f>
        <v>Tuần 1: 07.09–13.09.2026; Tuần 2: 14.09–20.09.2026; Tuần 3: 21.09–27.09.2026; Tuần 4: 28.09–04.10.2026; Tuần 5: 05.10–11.10.2026; Tuần 6: 12.10–18.10.2026; Tuần 7: 19.10–25.10.2026; Tuần 8: 26.10–01.11.2026.</v>
      </c>
      <c r="N27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8" s="17" t="str">
        <f t="shared" si="43"/>
        <v>Còn trống</v>
      </c>
    </row>
    <row r="2759" spans="1:16" x14ac:dyDescent="0.3">
      <c r="A2759">
        <v>2758</v>
      </c>
      <c r="B2759" t="s">
        <v>6207</v>
      </c>
      <c r="C2759" t="s">
        <v>6350</v>
      </c>
      <c r="D2759" t="s">
        <v>6351</v>
      </c>
      <c r="E2759" t="s">
        <v>45</v>
      </c>
      <c r="F2759" t="s">
        <v>6220</v>
      </c>
      <c r="G2759" t="s">
        <v>6269</v>
      </c>
      <c r="H2759" t="str">
        <f>'Huong dan giao do an'!$B$14</f>
        <v>5 SV (vai trò chính): 1 PM/Scrum Master kiêm Integration; 2 BA/PO; 3 UI-UX + Frontend; 4 Backend/API + DevOps; 5 Database + QA/Tester. Mỗi SV có nhiệm vụ phụ và minh chứng cá nhân.</v>
      </c>
      <c r="I2759" t="s">
        <v>36</v>
      </c>
      <c r="J2759" t="s">
        <v>6222</v>
      </c>
      <c r="K2759" t="str">
        <f>IF(I2759="Trung bình",'Huong dan giao do an'!$B$8,IF(I2759="Khá",'Huong dan giao do an'!$B$9,'Huong dan giao do an'!$B$10))</f>
        <v>Tối thiểu 3 actor; 8-10 use case; 6-8 bảng dữ liệu; 2 quy trình lõi; đăng nhập/RBAC; 1 dashboard; 1 báo cáo; &gt;=25 test case; triển khai bản demo.</v>
      </c>
      <c r="L2759" t="str">
        <f>'Huong dan giao do an'!$B$31</f>
        <v>Bắt buộc: Charter/PMP; SRS + scope/WBS; Gantt/baseline; effort-cost budget; RACI/timesheet; quality-test-defect; communication/minutes; risk register; procurement; change log; closure/lessons learned.</v>
      </c>
      <c r="M2759" t="str">
        <f>'Huong dan giao do an'!$B$33</f>
        <v>Tuần 1: 07.09–13.09.2026; Tuần 2: 14.09–20.09.2026; Tuần 3: 21.09–27.09.2026; Tuần 4: 28.09–04.10.2026; Tuần 5: 05.10–11.10.2026; Tuần 6: 12.10–18.10.2026; Tuần 7: 19.10–25.10.2026; Tuần 8: 26.10–01.11.2026.</v>
      </c>
      <c r="N27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59" s="17" t="str">
        <f t="shared" si="43"/>
        <v>Còn trống</v>
      </c>
    </row>
    <row r="2760" spans="1:16" x14ac:dyDescent="0.3">
      <c r="A2760">
        <v>2759</v>
      </c>
      <c r="B2760" t="s">
        <v>6207</v>
      </c>
      <c r="C2760" t="s">
        <v>6352</v>
      </c>
      <c r="D2760" t="s">
        <v>6353</v>
      </c>
      <c r="E2760" t="s">
        <v>19</v>
      </c>
      <c r="F2760" t="s">
        <v>6225</v>
      </c>
      <c r="G2760" t="s">
        <v>6272</v>
      </c>
      <c r="H2760" t="str">
        <f>'Huong dan giao do an'!$B$14</f>
        <v>5 SV (vai trò chính): 1 PM/Scrum Master kiêm Integration; 2 BA/PO; 3 UI-UX + Frontend; 4 Backend/API + DevOps; 5 Database + QA/Tester. Mỗi SV có nhiệm vụ phụ và minh chứng cá nhân.</v>
      </c>
      <c r="I2760" t="s">
        <v>22</v>
      </c>
      <c r="J2760" t="s">
        <v>6212</v>
      </c>
      <c r="K2760" t="str">
        <f>IF(I2760="Trung bình",'Huong dan giao do an'!$B$8,IF(I2760="Khá",'Huong dan giao do an'!$B$9,'Huong dan giao do an'!$B$10))</f>
        <v>Tối thiểu 4 actor; 10-14 use case; 8-12 bảng; 3 quy trình lõi; phân quyền chi tiết; 2 báo cáo; tích hợp 1 dịch vụ; &gt;=35 test case; CI/CD hoặc deploy cloud.</v>
      </c>
      <c r="L2760" t="str">
        <f>'Huong dan giao do an'!$B$31</f>
        <v>Bắt buộc: Charter/PMP; SRS + scope/WBS; Gantt/baseline; effort-cost budget; RACI/timesheet; quality-test-defect; communication/minutes; risk register; procurement; change log; closure/lessons learned.</v>
      </c>
      <c r="M2760" t="str">
        <f>'Huong dan giao do an'!$B$33</f>
        <v>Tuần 1: 07.09–13.09.2026; Tuần 2: 14.09–20.09.2026; Tuần 3: 21.09–27.09.2026; Tuần 4: 28.09–04.10.2026; Tuần 5: 05.10–11.10.2026; Tuần 6: 12.10–18.10.2026; Tuần 7: 19.10–25.10.2026; Tuần 8: 26.10–01.11.2026.</v>
      </c>
      <c r="N27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0" s="17" t="str">
        <f t="shared" si="43"/>
        <v>Còn trống</v>
      </c>
    </row>
    <row r="2761" spans="1:16" x14ac:dyDescent="0.3">
      <c r="A2761">
        <v>2760</v>
      </c>
      <c r="B2761" t="s">
        <v>6207</v>
      </c>
      <c r="C2761" t="s">
        <v>6354</v>
      </c>
      <c r="D2761" t="s">
        <v>6355</v>
      </c>
      <c r="E2761" t="s">
        <v>26</v>
      </c>
      <c r="F2761" t="s">
        <v>6229</v>
      </c>
      <c r="G2761" t="s">
        <v>6275</v>
      </c>
      <c r="H2761" t="str">
        <f>'Huong dan giao do an'!$B$14</f>
        <v>5 SV (vai trò chính): 1 PM/Scrum Master kiêm Integration; 2 BA/PO; 3 UI-UX + Frontend; 4 Backend/API + DevOps; 5 Database + QA/Tester. Mỗi SV có nhiệm vụ phụ và minh chứng cá nhân.</v>
      </c>
      <c r="I2761" t="s">
        <v>29</v>
      </c>
      <c r="J2761" t="s">
        <v>6217</v>
      </c>
      <c r="K2761" t="str">
        <f>IF(I2761="Trung bình",'Huong dan giao do an'!$B$8,IF(I2761="Khá",'Huong dan giao do an'!$B$9,'Huong dan giao do an'!$B$10))</f>
        <v>Tối thiểu 5 actor; 14-18 use case; 10-15 bảng; 4 quy trình; tích hợp ngoài/realtime hoặc xử lý nâng cao; 3 báo cáo; &gt;=45 test case; logging, backup và deploy.</v>
      </c>
      <c r="L2761" t="str">
        <f>'Huong dan giao do an'!$B$31</f>
        <v>Bắt buộc: Charter/PMP; SRS + scope/WBS; Gantt/baseline; effort-cost budget; RACI/timesheet; quality-test-defect; communication/minutes; risk register; procurement; change log; closure/lessons learned.</v>
      </c>
      <c r="M2761" t="str">
        <f>'Huong dan giao do an'!$B$33</f>
        <v>Tuần 1: 07.09–13.09.2026; Tuần 2: 14.09–20.09.2026; Tuần 3: 21.09–27.09.2026; Tuần 4: 28.09–04.10.2026; Tuần 5: 05.10–11.10.2026; Tuần 6: 12.10–18.10.2026; Tuần 7: 19.10–25.10.2026; Tuần 8: 26.10–01.11.2026.</v>
      </c>
      <c r="N27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1" s="17" t="str">
        <f t="shared" si="43"/>
        <v>Còn trống</v>
      </c>
    </row>
    <row r="2762" spans="1:16" x14ac:dyDescent="0.3">
      <c r="A2762">
        <v>2761</v>
      </c>
      <c r="B2762" t="s">
        <v>6207</v>
      </c>
      <c r="C2762" t="s">
        <v>6356</v>
      </c>
      <c r="D2762" t="s">
        <v>6357</v>
      </c>
      <c r="E2762" t="s">
        <v>33</v>
      </c>
      <c r="F2762" t="s">
        <v>6210</v>
      </c>
      <c r="G2762" t="s">
        <v>6211</v>
      </c>
      <c r="H2762" t="str">
        <f>'Huong dan giao do an'!$B$14</f>
        <v>5 SV (vai trò chính): 1 PM/Scrum Master kiêm Integration; 2 BA/PO; 3 UI-UX + Frontend; 4 Backend/API + DevOps; 5 Database + QA/Tester. Mỗi SV có nhiệm vụ phụ và minh chứng cá nhân.</v>
      </c>
      <c r="I2762" t="s">
        <v>22</v>
      </c>
      <c r="J2762" t="s">
        <v>6212</v>
      </c>
      <c r="K2762" t="str">
        <f>IF(I2762="Trung bình",'Huong dan giao do an'!$B$8,IF(I2762="Khá",'Huong dan giao do an'!$B$9,'Huong dan giao do an'!$B$10))</f>
        <v>Tối thiểu 4 actor; 10-14 use case; 8-12 bảng; 3 quy trình lõi; phân quyền chi tiết; 2 báo cáo; tích hợp 1 dịch vụ; &gt;=35 test case; CI/CD hoặc deploy cloud.</v>
      </c>
      <c r="L2762" t="str">
        <f>'Huong dan giao do an'!$B$31</f>
        <v>Bắt buộc: Charter/PMP; SRS + scope/WBS; Gantt/baseline; effort-cost budget; RACI/timesheet; quality-test-defect; communication/minutes; risk register; procurement; change log; closure/lessons learned.</v>
      </c>
      <c r="M2762" t="str">
        <f>'Huong dan giao do an'!$B$33</f>
        <v>Tuần 1: 07.09–13.09.2026; Tuần 2: 14.09–20.09.2026; Tuần 3: 21.09–27.09.2026; Tuần 4: 28.09–04.10.2026; Tuần 5: 05.10–11.10.2026; Tuần 6: 12.10–18.10.2026; Tuần 7: 19.10–25.10.2026; Tuần 8: 26.10–01.11.2026.</v>
      </c>
      <c r="N27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2" s="17" t="str">
        <f t="shared" si="43"/>
        <v>Còn trống</v>
      </c>
    </row>
    <row r="2763" spans="1:16" x14ac:dyDescent="0.3">
      <c r="A2763">
        <v>2762</v>
      </c>
      <c r="B2763" t="s">
        <v>6207</v>
      </c>
      <c r="C2763" t="s">
        <v>6358</v>
      </c>
      <c r="D2763" t="s">
        <v>6359</v>
      </c>
      <c r="E2763" t="s">
        <v>40</v>
      </c>
      <c r="F2763" t="s">
        <v>6215</v>
      </c>
      <c r="G2763" t="s">
        <v>6216</v>
      </c>
      <c r="H2763" t="str">
        <f>'Huong dan giao do an'!$B$14</f>
        <v>5 SV (vai trò chính): 1 PM/Scrum Master kiêm Integration; 2 BA/PO; 3 UI-UX + Frontend; 4 Backend/API + DevOps; 5 Database + QA/Tester. Mỗi SV có nhiệm vụ phụ và minh chứng cá nhân.</v>
      </c>
      <c r="I2763" t="s">
        <v>29</v>
      </c>
      <c r="J2763" t="s">
        <v>6217</v>
      </c>
      <c r="K2763" t="str">
        <f>IF(I2763="Trung bình",'Huong dan giao do an'!$B$8,IF(I2763="Khá",'Huong dan giao do an'!$B$9,'Huong dan giao do an'!$B$10))</f>
        <v>Tối thiểu 5 actor; 14-18 use case; 10-15 bảng; 4 quy trình; tích hợp ngoài/realtime hoặc xử lý nâng cao; 3 báo cáo; &gt;=45 test case; logging, backup và deploy.</v>
      </c>
      <c r="L2763" t="str">
        <f>'Huong dan giao do an'!$B$31</f>
        <v>Bắt buộc: Charter/PMP; SRS + scope/WBS; Gantt/baseline; effort-cost budget; RACI/timesheet; quality-test-defect; communication/minutes; risk register; procurement; change log; closure/lessons learned.</v>
      </c>
      <c r="M2763" t="str">
        <f>'Huong dan giao do an'!$B$33</f>
        <v>Tuần 1: 07.09–13.09.2026; Tuần 2: 14.09–20.09.2026; Tuần 3: 21.09–27.09.2026; Tuần 4: 28.09–04.10.2026; Tuần 5: 05.10–11.10.2026; Tuần 6: 12.10–18.10.2026; Tuần 7: 19.10–25.10.2026; Tuần 8: 26.10–01.11.2026.</v>
      </c>
      <c r="N27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3" s="17" t="str">
        <f t="shared" si="43"/>
        <v>Còn trống</v>
      </c>
    </row>
    <row r="2764" spans="1:16" x14ac:dyDescent="0.3">
      <c r="A2764">
        <v>2763</v>
      </c>
      <c r="B2764" t="s">
        <v>6207</v>
      </c>
      <c r="C2764" t="s">
        <v>6360</v>
      </c>
      <c r="D2764" t="s">
        <v>6361</v>
      </c>
      <c r="E2764" t="s">
        <v>45</v>
      </c>
      <c r="F2764" t="s">
        <v>6220</v>
      </c>
      <c r="G2764" t="s">
        <v>6221</v>
      </c>
      <c r="H2764" t="str">
        <f>'Huong dan giao do an'!$B$14</f>
        <v>5 SV (vai trò chính): 1 PM/Scrum Master kiêm Integration; 2 BA/PO; 3 UI-UX + Frontend; 4 Backend/API + DevOps; 5 Database + QA/Tester. Mỗi SV có nhiệm vụ phụ và minh chứng cá nhân.</v>
      </c>
      <c r="I2764" t="s">
        <v>36</v>
      </c>
      <c r="J2764" t="s">
        <v>6222</v>
      </c>
      <c r="K2764" t="str">
        <f>IF(I2764="Trung bình",'Huong dan giao do an'!$B$8,IF(I2764="Khá",'Huong dan giao do an'!$B$9,'Huong dan giao do an'!$B$10))</f>
        <v>Tối thiểu 3 actor; 8-10 use case; 6-8 bảng dữ liệu; 2 quy trình lõi; đăng nhập/RBAC; 1 dashboard; 1 báo cáo; &gt;=25 test case; triển khai bản demo.</v>
      </c>
      <c r="L2764" t="str">
        <f>'Huong dan giao do an'!$B$31</f>
        <v>Bắt buộc: Charter/PMP; SRS + scope/WBS; Gantt/baseline; effort-cost budget; RACI/timesheet; quality-test-defect; communication/minutes; risk register; procurement; change log; closure/lessons learned.</v>
      </c>
      <c r="M2764" t="str">
        <f>'Huong dan giao do an'!$B$33</f>
        <v>Tuần 1: 07.09–13.09.2026; Tuần 2: 14.09–20.09.2026; Tuần 3: 21.09–27.09.2026; Tuần 4: 28.09–04.10.2026; Tuần 5: 05.10–11.10.2026; Tuần 6: 12.10–18.10.2026; Tuần 7: 19.10–25.10.2026; Tuần 8: 26.10–01.11.2026.</v>
      </c>
      <c r="N27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4" s="17" t="str">
        <f t="shared" si="43"/>
        <v>Còn trống</v>
      </c>
    </row>
    <row r="2765" spans="1:16" x14ac:dyDescent="0.3">
      <c r="A2765">
        <v>2764</v>
      </c>
      <c r="B2765" t="s">
        <v>6207</v>
      </c>
      <c r="C2765" t="s">
        <v>6362</v>
      </c>
      <c r="D2765" t="s">
        <v>6363</v>
      </c>
      <c r="E2765" t="s">
        <v>19</v>
      </c>
      <c r="F2765" t="s">
        <v>6225</v>
      </c>
      <c r="G2765" t="s">
        <v>6226</v>
      </c>
      <c r="H2765" t="str">
        <f>'Huong dan giao do an'!$B$14</f>
        <v>5 SV (vai trò chính): 1 PM/Scrum Master kiêm Integration; 2 BA/PO; 3 UI-UX + Frontend; 4 Backend/API + DevOps; 5 Database + QA/Tester. Mỗi SV có nhiệm vụ phụ và minh chứng cá nhân.</v>
      </c>
      <c r="I2765" t="s">
        <v>22</v>
      </c>
      <c r="J2765" t="s">
        <v>6212</v>
      </c>
      <c r="K2765" t="str">
        <f>IF(I2765="Trung bình",'Huong dan giao do an'!$B$8,IF(I2765="Khá",'Huong dan giao do an'!$B$9,'Huong dan giao do an'!$B$10))</f>
        <v>Tối thiểu 4 actor; 10-14 use case; 8-12 bảng; 3 quy trình lõi; phân quyền chi tiết; 2 báo cáo; tích hợp 1 dịch vụ; &gt;=35 test case; CI/CD hoặc deploy cloud.</v>
      </c>
      <c r="L2765" t="str">
        <f>'Huong dan giao do an'!$B$31</f>
        <v>Bắt buộc: Charter/PMP; SRS + scope/WBS; Gantt/baseline; effort-cost budget; RACI/timesheet; quality-test-defect; communication/minutes; risk register; procurement; change log; closure/lessons learned.</v>
      </c>
      <c r="M2765" t="str">
        <f>'Huong dan giao do an'!$B$33</f>
        <v>Tuần 1: 07.09–13.09.2026; Tuần 2: 14.09–20.09.2026; Tuần 3: 21.09–27.09.2026; Tuần 4: 28.09–04.10.2026; Tuần 5: 05.10–11.10.2026; Tuần 6: 12.10–18.10.2026; Tuần 7: 19.10–25.10.2026; Tuần 8: 26.10–01.11.2026.</v>
      </c>
      <c r="N27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5" s="17" t="str">
        <f t="shared" si="43"/>
        <v>Còn trống</v>
      </c>
    </row>
    <row r="2766" spans="1:16" x14ac:dyDescent="0.3">
      <c r="A2766">
        <v>2765</v>
      </c>
      <c r="B2766" t="s">
        <v>6207</v>
      </c>
      <c r="C2766" t="s">
        <v>6364</v>
      </c>
      <c r="D2766" t="s">
        <v>6365</v>
      </c>
      <c r="E2766" t="s">
        <v>26</v>
      </c>
      <c r="F2766" t="s">
        <v>6229</v>
      </c>
      <c r="G2766" t="s">
        <v>6230</v>
      </c>
      <c r="H2766" t="str">
        <f>'Huong dan giao do an'!$B$14</f>
        <v>5 SV (vai trò chính): 1 PM/Scrum Master kiêm Integration; 2 BA/PO; 3 UI-UX + Frontend; 4 Backend/API + DevOps; 5 Database + QA/Tester. Mỗi SV có nhiệm vụ phụ và minh chứng cá nhân.</v>
      </c>
      <c r="I2766" t="s">
        <v>29</v>
      </c>
      <c r="J2766" t="s">
        <v>6217</v>
      </c>
      <c r="K2766" t="str">
        <f>IF(I2766="Trung bình",'Huong dan giao do an'!$B$8,IF(I2766="Khá",'Huong dan giao do an'!$B$9,'Huong dan giao do an'!$B$10))</f>
        <v>Tối thiểu 5 actor; 14-18 use case; 10-15 bảng; 4 quy trình; tích hợp ngoài/realtime hoặc xử lý nâng cao; 3 báo cáo; &gt;=45 test case; logging, backup và deploy.</v>
      </c>
      <c r="L2766" t="str">
        <f>'Huong dan giao do an'!$B$31</f>
        <v>Bắt buộc: Charter/PMP; SRS + scope/WBS; Gantt/baseline; effort-cost budget; RACI/timesheet; quality-test-defect; communication/minutes; risk register; procurement; change log; closure/lessons learned.</v>
      </c>
      <c r="M2766" t="str">
        <f>'Huong dan giao do an'!$B$33</f>
        <v>Tuần 1: 07.09–13.09.2026; Tuần 2: 14.09–20.09.2026; Tuần 3: 21.09–27.09.2026; Tuần 4: 28.09–04.10.2026; Tuần 5: 05.10–11.10.2026; Tuần 6: 12.10–18.10.2026; Tuần 7: 19.10–25.10.2026; Tuần 8: 26.10–01.11.2026.</v>
      </c>
      <c r="N27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6" s="17" t="str">
        <f t="shared" si="43"/>
        <v>Còn trống</v>
      </c>
    </row>
    <row r="2767" spans="1:16" x14ac:dyDescent="0.3">
      <c r="A2767">
        <v>2766</v>
      </c>
      <c r="B2767" t="s">
        <v>6207</v>
      </c>
      <c r="C2767" t="s">
        <v>6366</v>
      </c>
      <c r="D2767" t="s">
        <v>6367</v>
      </c>
      <c r="E2767" t="s">
        <v>33</v>
      </c>
      <c r="F2767" t="s">
        <v>6210</v>
      </c>
      <c r="G2767" t="s">
        <v>6233</v>
      </c>
      <c r="H2767" t="str">
        <f>'Huong dan giao do an'!$B$14</f>
        <v>5 SV (vai trò chính): 1 PM/Scrum Master kiêm Integration; 2 BA/PO; 3 UI-UX + Frontend; 4 Backend/API + DevOps; 5 Database + QA/Tester. Mỗi SV có nhiệm vụ phụ và minh chứng cá nhân.</v>
      </c>
      <c r="I2767" t="s">
        <v>36</v>
      </c>
      <c r="J2767" t="s">
        <v>6222</v>
      </c>
      <c r="K2767" t="str">
        <f>IF(I2767="Trung bình",'Huong dan giao do an'!$B$8,IF(I2767="Khá",'Huong dan giao do an'!$B$9,'Huong dan giao do an'!$B$10))</f>
        <v>Tối thiểu 3 actor; 8-10 use case; 6-8 bảng dữ liệu; 2 quy trình lõi; đăng nhập/RBAC; 1 dashboard; 1 báo cáo; &gt;=25 test case; triển khai bản demo.</v>
      </c>
      <c r="L2767" t="str">
        <f>'Huong dan giao do an'!$B$31</f>
        <v>Bắt buộc: Charter/PMP; SRS + scope/WBS; Gantt/baseline; effort-cost budget; RACI/timesheet; quality-test-defect; communication/minutes; risk register; procurement; change log; closure/lessons learned.</v>
      </c>
      <c r="M2767" t="str">
        <f>'Huong dan giao do an'!$B$33</f>
        <v>Tuần 1: 07.09–13.09.2026; Tuần 2: 14.09–20.09.2026; Tuần 3: 21.09–27.09.2026; Tuần 4: 28.09–04.10.2026; Tuần 5: 05.10–11.10.2026; Tuần 6: 12.10–18.10.2026; Tuần 7: 19.10–25.10.2026; Tuần 8: 26.10–01.11.2026.</v>
      </c>
      <c r="N27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7" s="17" t="str">
        <f t="shared" si="43"/>
        <v>Còn trống</v>
      </c>
    </row>
    <row r="2768" spans="1:16" x14ac:dyDescent="0.3">
      <c r="A2768">
        <v>2767</v>
      </c>
      <c r="B2768" t="s">
        <v>6207</v>
      </c>
      <c r="C2768" t="s">
        <v>6368</v>
      </c>
      <c r="D2768" t="s">
        <v>6369</v>
      </c>
      <c r="E2768" t="s">
        <v>40</v>
      </c>
      <c r="F2768" t="s">
        <v>6215</v>
      </c>
      <c r="G2768" t="s">
        <v>6236</v>
      </c>
      <c r="H2768" t="str">
        <f>'Huong dan giao do an'!$B$14</f>
        <v>5 SV (vai trò chính): 1 PM/Scrum Master kiêm Integration; 2 BA/PO; 3 UI-UX + Frontend; 4 Backend/API + DevOps; 5 Database + QA/Tester. Mỗi SV có nhiệm vụ phụ và minh chứng cá nhân.</v>
      </c>
      <c r="I2768" t="s">
        <v>22</v>
      </c>
      <c r="J2768" t="s">
        <v>6212</v>
      </c>
      <c r="K2768" t="str">
        <f>IF(I2768="Trung bình",'Huong dan giao do an'!$B$8,IF(I2768="Khá",'Huong dan giao do an'!$B$9,'Huong dan giao do an'!$B$10))</f>
        <v>Tối thiểu 4 actor; 10-14 use case; 8-12 bảng; 3 quy trình lõi; phân quyền chi tiết; 2 báo cáo; tích hợp 1 dịch vụ; &gt;=35 test case; CI/CD hoặc deploy cloud.</v>
      </c>
      <c r="L2768" t="str">
        <f>'Huong dan giao do an'!$B$31</f>
        <v>Bắt buộc: Charter/PMP; SRS + scope/WBS; Gantt/baseline; effort-cost budget; RACI/timesheet; quality-test-defect; communication/minutes; risk register; procurement; change log; closure/lessons learned.</v>
      </c>
      <c r="M2768" t="str">
        <f>'Huong dan giao do an'!$B$33</f>
        <v>Tuần 1: 07.09–13.09.2026; Tuần 2: 14.09–20.09.2026; Tuần 3: 21.09–27.09.2026; Tuần 4: 28.09–04.10.2026; Tuần 5: 05.10–11.10.2026; Tuần 6: 12.10–18.10.2026; Tuần 7: 19.10–25.10.2026; Tuần 8: 26.10–01.11.2026.</v>
      </c>
      <c r="N27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8" s="17" t="str">
        <f t="shared" si="43"/>
        <v>Còn trống</v>
      </c>
    </row>
    <row r="2769" spans="1:16" x14ac:dyDescent="0.3">
      <c r="A2769">
        <v>2768</v>
      </c>
      <c r="B2769" t="s">
        <v>6207</v>
      </c>
      <c r="C2769" t="s">
        <v>6370</v>
      </c>
      <c r="D2769" t="s">
        <v>6371</v>
      </c>
      <c r="E2769" t="s">
        <v>45</v>
      </c>
      <c r="F2769" t="s">
        <v>6220</v>
      </c>
      <c r="G2769" t="s">
        <v>6239</v>
      </c>
      <c r="H2769" t="str">
        <f>'Huong dan giao do an'!$B$14</f>
        <v>5 SV (vai trò chính): 1 PM/Scrum Master kiêm Integration; 2 BA/PO; 3 UI-UX + Frontend; 4 Backend/API + DevOps; 5 Database + QA/Tester. Mỗi SV có nhiệm vụ phụ và minh chứng cá nhân.</v>
      </c>
      <c r="I2769" t="s">
        <v>29</v>
      </c>
      <c r="J2769" t="s">
        <v>6217</v>
      </c>
      <c r="K2769" t="str">
        <f>IF(I2769="Trung bình",'Huong dan giao do an'!$B$8,IF(I2769="Khá",'Huong dan giao do an'!$B$9,'Huong dan giao do an'!$B$10))</f>
        <v>Tối thiểu 5 actor; 14-18 use case; 10-15 bảng; 4 quy trình; tích hợp ngoài/realtime hoặc xử lý nâng cao; 3 báo cáo; &gt;=45 test case; logging, backup và deploy.</v>
      </c>
      <c r="L2769" t="str">
        <f>'Huong dan giao do an'!$B$31</f>
        <v>Bắt buộc: Charter/PMP; SRS + scope/WBS; Gantt/baseline; effort-cost budget; RACI/timesheet; quality-test-defect; communication/minutes; risk register; procurement; change log; closure/lessons learned.</v>
      </c>
      <c r="M2769" t="str">
        <f>'Huong dan giao do an'!$B$33</f>
        <v>Tuần 1: 07.09–13.09.2026; Tuần 2: 14.09–20.09.2026; Tuần 3: 21.09–27.09.2026; Tuần 4: 28.09–04.10.2026; Tuần 5: 05.10–11.10.2026; Tuần 6: 12.10–18.10.2026; Tuần 7: 19.10–25.10.2026; Tuần 8: 26.10–01.11.2026.</v>
      </c>
      <c r="N27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69" s="17" t="str">
        <f t="shared" si="43"/>
        <v>Còn trống</v>
      </c>
    </row>
    <row r="2770" spans="1:16" x14ac:dyDescent="0.3">
      <c r="A2770">
        <v>2769</v>
      </c>
      <c r="B2770" t="s">
        <v>6207</v>
      </c>
      <c r="C2770" t="s">
        <v>6372</v>
      </c>
      <c r="D2770" t="s">
        <v>6373</v>
      </c>
      <c r="E2770" t="s">
        <v>19</v>
      </c>
      <c r="F2770" t="s">
        <v>6225</v>
      </c>
      <c r="G2770" t="s">
        <v>6242</v>
      </c>
      <c r="H2770" t="str">
        <f>'Huong dan giao do an'!$B$14</f>
        <v>5 SV (vai trò chính): 1 PM/Scrum Master kiêm Integration; 2 BA/PO; 3 UI-UX + Frontend; 4 Backend/API + DevOps; 5 Database + QA/Tester. Mỗi SV có nhiệm vụ phụ và minh chứng cá nhân.</v>
      </c>
      <c r="I2770" t="s">
        <v>36</v>
      </c>
      <c r="J2770" t="s">
        <v>6222</v>
      </c>
      <c r="K2770" t="str">
        <f>IF(I2770="Trung bình",'Huong dan giao do an'!$B$8,IF(I2770="Khá",'Huong dan giao do an'!$B$9,'Huong dan giao do an'!$B$10))</f>
        <v>Tối thiểu 3 actor; 8-10 use case; 6-8 bảng dữ liệu; 2 quy trình lõi; đăng nhập/RBAC; 1 dashboard; 1 báo cáo; &gt;=25 test case; triển khai bản demo.</v>
      </c>
      <c r="L2770" t="str">
        <f>'Huong dan giao do an'!$B$31</f>
        <v>Bắt buộc: Charter/PMP; SRS + scope/WBS; Gantt/baseline; effort-cost budget; RACI/timesheet; quality-test-defect; communication/minutes; risk register; procurement; change log; closure/lessons learned.</v>
      </c>
      <c r="M2770" t="str">
        <f>'Huong dan giao do an'!$B$33</f>
        <v>Tuần 1: 07.09–13.09.2026; Tuần 2: 14.09–20.09.2026; Tuần 3: 21.09–27.09.2026; Tuần 4: 28.09–04.10.2026; Tuần 5: 05.10–11.10.2026; Tuần 6: 12.10–18.10.2026; Tuần 7: 19.10–25.10.2026; Tuần 8: 26.10–01.11.2026.</v>
      </c>
      <c r="N27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0" s="17" t="str">
        <f t="shared" si="43"/>
        <v>Còn trống</v>
      </c>
    </row>
    <row r="2771" spans="1:16" x14ac:dyDescent="0.3">
      <c r="A2771">
        <v>2770</v>
      </c>
      <c r="B2771" t="s">
        <v>6207</v>
      </c>
      <c r="C2771" t="s">
        <v>6374</v>
      </c>
      <c r="D2771" t="s">
        <v>6375</v>
      </c>
      <c r="E2771" t="s">
        <v>26</v>
      </c>
      <c r="F2771" t="s">
        <v>6229</v>
      </c>
      <c r="G2771" t="s">
        <v>6245</v>
      </c>
      <c r="H2771" t="str">
        <f>'Huong dan giao do an'!$B$14</f>
        <v>5 SV (vai trò chính): 1 PM/Scrum Master kiêm Integration; 2 BA/PO; 3 UI-UX + Frontend; 4 Backend/API + DevOps; 5 Database + QA/Tester. Mỗi SV có nhiệm vụ phụ và minh chứng cá nhân.</v>
      </c>
      <c r="I2771" t="s">
        <v>22</v>
      </c>
      <c r="J2771" t="s">
        <v>6212</v>
      </c>
      <c r="K2771" t="str">
        <f>IF(I2771="Trung bình",'Huong dan giao do an'!$B$8,IF(I2771="Khá",'Huong dan giao do an'!$B$9,'Huong dan giao do an'!$B$10))</f>
        <v>Tối thiểu 4 actor; 10-14 use case; 8-12 bảng; 3 quy trình lõi; phân quyền chi tiết; 2 báo cáo; tích hợp 1 dịch vụ; &gt;=35 test case; CI/CD hoặc deploy cloud.</v>
      </c>
      <c r="L2771" t="str">
        <f>'Huong dan giao do an'!$B$31</f>
        <v>Bắt buộc: Charter/PMP; SRS + scope/WBS; Gantt/baseline; effort-cost budget; RACI/timesheet; quality-test-defect; communication/minutes; risk register; procurement; change log; closure/lessons learned.</v>
      </c>
      <c r="M2771" t="str">
        <f>'Huong dan giao do an'!$B$33</f>
        <v>Tuần 1: 07.09–13.09.2026; Tuần 2: 14.09–20.09.2026; Tuần 3: 21.09–27.09.2026; Tuần 4: 28.09–04.10.2026; Tuần 5: 05.10–11.10.2026; Tuần 6: 12.10–18.10.2026; Tuần 7: 19.10–25.10.2026; Tuần 8: 26.10–01.11.2026.</v>
      </c>
      <c r="N27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1" s="17" t="str">
        <f t="shared" si="43"/>
        <v>Còn trống</v>
      </c>
    </row>
    <row r="2772" spans="1:16" x14ac:dyDescent="0.3">
      <c r="A2772">
        <v>2771</v>
      </c>
      <c r="B2772" t="s">
        <v>6207</v>
      </c>
      <c r="C2772" t="s">
        <v>6376</v>
      </c>
      <c r="D2772" t="s">
        <v>6377</v>
      </c>
      <c r="E2772" t="s">
        <v>33</v>
      </c>
      <c r="F2772" t="s">
        <v>6210</v>
      </c>
      <c r="G2772" t="s">
        <v>6248</v>
      </c>
      <c r="H2772" t="str">
        <f>'Huong dan giao do an'!$B$14</f>
        <v>5 SV (vai trò chính): 1 PM/Scrum Master kiêm Integration; 2 BA/PO; 3 UI-UX + Frontend; 4 Backend/API + DevOps; 5 Database + QA/Tester. Mỗi SV có nhiệm vụ phụ và minh chứng cá nhân.</v>
      </c>
      <c r="I2772" t="s">
        <v>29</v>
      </c>
      <c r="J2772" t="s">
        <v>6217</v>
      </c>
      <c r="K2772" t="str">
        <f>IF(I2772="Trung bình",'Huong dan giao do an'!$B$8,IF(I2772="Khá",'Huong dan giao do an'!$B$9,'Huong dan giao do an'!$B$10))</f>
        <v>Tối thiểu 5 actor; 14-18 use case; 10-15 bảng; 4 quy trình; tích hợp ngoài/realtime hoặc xử lý nâng cao; 3 báo cáo; &gt;=45 test case; logging, backup và deploy.</v>
      </c>
      <c r="L2772" t="str">
        <f>'Huong dan giao do an'!$B$31</f>
        <v>Bắt buộc: Charter/PMP; SRS + scope/WBS; Gantt/baseline; effort-cost budget; RACI/timesheet; quality-test-defect; communication/minutes; risk register; procurement; change log; closure/lessons learned.</v>
      </c>
      <c r="M2772" t="str">
        <f>'Huong dan giao do an'!$B$33</f>
        <v>Tuần 1: 07.09–13.09.2026; Tuần 2: 14.09–20.09.2026; Tuần 3: 21.09–27.09.2026; Tuần 4: 28.09–04.10.2026; Tuần 5: 05.10–11.10.2026; Tuần 6: 12.10–18.10.2026; Tuần 7: 19.10–25.10.2026; Tuần 8: 26.10–01.11.2026.</v>
      </c>
      <c r="N27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2" s="17" t="str">
        <f t="shared" si="43"/>
        <v>Còn trống</v>
      </c>
    </row>
    <row r="2773" spans="1:16" x14ac:dyDescent="0.3">
      <c r="A2773">
        <v>2772</v>
      </c>
      <c r="B2773" t="s">
        <v>6207</v>
      </c>
      <c r="C2773" t="s">
        <v>6378</v>
      </c>
      <c r="D2773" t="s">
        <v>6379</v>
      </c>
      <c r="E2773" t="s">
        <v>40</v>
      </c>
      <c r="F2773" t="s">
        <v>6215</v>
      </c>
      <c r="G2773" t="s">
        <v>6251</v>
      </c>
      <c r="H2773" t="str">
        <f>'Huong dan giao do an'!$B$14</f>
        <v>5 SV (vai trò chính): 1 PM/Scrum Master kiêm Integration; 2 BA/PO; 3 UI-UX + Frontend; 4 Backend/API + DevOps; 5 Database + QA/Tester. Mỗi SV có nhiệm vụ phụ và minh chứng cá nhân.</v>
      </c>
      <c r="I2773" t="s">
        <v>36</v>
      </c>
      <c r="J2773" t="s">
        <v>6222</v>
      </c>
      <c r="K2773" t="str">
        <f>IF(I2773="Trung bình",'Huong dan giao do an'!$B$8,IF(I2773="Khá",'Huong dan giao do an'!$B$9,'Huong dan giao do an'!$B$10))</f>
        <v>Tối thiểu 3 actor; 8-10 use case; 6-8 bảng dữ liệu; 2 quy trình lõi; đăng nhập/RBAC; 1 dashboard; 1 báo cáo; &gt;=25 test case; triển khai bản demo.</v>
      </c>
      <c r="L2773" t="str">
        <f>'Huong dan giao do an'!$B$31</f>
        <v>Bắt buộc: Charter/PMP; SRS + scope/WBS; Gantt/baseline; effort-cost budget; RACI/timesheet; quality-test-defect; communication/minutes; risk register; procurement; change log; closure/lessons learned.</v>
      </c>
      <c r="M2773" t="str">
        <f>'Huong dan giao do an'!$B$33</f>
        <v>Tuần 1: 07.09–13.09.2026; Tuần 2: 14.09–20.09.2026; Tuần 3: 21.09–27.09.2026; Tuần 4: 28.09–04.10.2026; Tuần 5: 05.10–11.10.2026; Tuần 6: 12.10–18.10.2026; Tuần 7: 19.10–25.10.2026; Tuần 8: 26.10–01.11.2026.</v>
      </c>
      <c r="N27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3" s="17" t="str">
        <f t="shared" si="43"/>
        <v>Còn trống</v>
      </c>
    </row>
    <row r="2774" spans="1:16" x14ac:dyDescent="0.3">
      <c r="A2774">
        <v>2773</v>
      </c>
      <c r="B2774" t="s">
        <v>6207</v>
      </c>
      <c r="C2774" t="s">
        <v>6380</v>
      </c>
      <c r="D2774" t="s">
        <v>6381</v>
      </c>
      <c r="E2774" t="s">
        <v>45</v>
      </c>
      <c r="F2774" t="s">
        <v>6220</v>
      </c>
      <c r="G2774" t="s">
        <v>6254</v>
      </c>
      <c r="H2774" t="str">
        <f>'Huong dan giao do an'!$B$14</f>
        <v>5 SV (vai trò chính): 1 PM/Scrum Master kiêm Integration; 2 BA/PO; 3 UI-UX + Frontend; 4 Backend/API + DevOps; 5 Database + QA/Tester. Mỗi SV có nhiệm vụ phụ và minh chứng cá nhân.</v>
      </c>
      <c r="I2774" t="s">
        <v>22</v>
      </c>
      <c r="J2774" t="s">
        <v>6212</v>
      </c>
      <c r="K2774" t="str">
        <f>IF(I2774="Trung bình",'Huong dan giao do an'!$B$8,IF(I2774="Khá",'Huong dan giao do an'!$B$9,'Huong dan giao do an'!$B$10))</f>
        <v>Tối thiểu 4 actor; 10-14 use case; 8-12 bảng; 3 quy trình lõi; phân quyền chi tiết; 2 báo cáo; tích hợp 1 dịch vụ; &gt;=35 test case; CI/CD hoặc deploy cloud.</v>
      </c>
      <c r="L2774" t="str">
        <f>'Huong dan giao do an'!$B$31</f>
        <v>Bắt buộc: Charter/PMP; SRS + scope/WBS; Gantt/baseline; effort-cost budget; RACI/timesheet; quality-test-defect; communication/minutes; risk register; procurement; change log; closure/lessons learned.</v>
      </c>
      <c r="M2774" t="str">
        <f>'Huong dan giao do an'!$B$33</f>
        <v>Tuần 1: 07.09–13.09.2026; Tuần 2: 14.09–20.09.2026; Tuần 3: 21.09–27.09.2026; Tuần 4: 28.09–04.10.2026; Tuần 5: 05.10–11.10.2026; Tuần 6: 12.10–18.10.2026; Tuần 7: 19.10–25.10.2026; Tuần 8: 26.10–01.11.2026.</v>
      </c>
      <c r="N27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4" s="17" t="str">
        <f t="shared" si="43"/>
        <v>Còn trống</v>
      </c>
    </row>
    <row r="2775" spans="1:16" x14ac:dyDescent="0.3">
      <c r="A2775">
        <v>2774</v>
      </c>
      <c r="B2775" t="s">
        <v>6207</v>
      </c>
      <c r="C2775" t="s">
        <v>6382</v>
      </c>
      <c r="D2775" t="s">
        <v>6383</v>
      </c>
      <c r="E2775" t="s">
        <v>19</v>
      </c>
      <c r="F2775" t="s">
        <v>6225</v>
      </c>
      <c r="G2775" t="s">
        <v>6257</v>
      </c>
      <c r="H2775" t="str">
        <f>'Huong dan giao do an'!$B$14</f>
        <v>5 SV (vai trò chính): 1 PM/Scrum Master kiêm Integration; 2 BA/PO; 3 UI-UX + Frontend; 4 Backend/API + DevOps; 5 Database + QA/Tester. Mỗi SV có nhiệm vụ phụ và minh chứng cá nhân.</v>
      </c>
      <c r="I2775" t="s">
        <v>29</v>
      </c>
      <c r="J2775" t="s">
        <v>6217</v>
      </c>
      <c r="K2775" t="str">
        <f>IF(I2775="Trung bình",'Huong dan giao do an'!$B$8,IF(I2775="Khá",'Huong dan giao do an'!$B$9,'Huong dan giao do an'!$B$10))</f>
        <v>Tối thiểu 5 actor; 14-18 use case; 10-15 bảng; 4 quy trình; tích hợp ngoài/realtime hoặc xử lý nâng cao; 3 báo cáo; &gt;=45 test case; logging, backup và deploy.</v>
      </c>
      <c r="L2775" t="str">
        <f>'Huong dan giao do an'!$B$31</f>
        <v>Bắt buộc: Charter/PMP; SRS + scope/WBS; Gantt/baseline; effort-cost budget; RACI/timesheet; quality-test-defect; communication/minutes; risk register; procurement; change log; closure/lessons learned.</v>
      </c>
      <c r="M2775" t="str">
        <f>'Huong dan giao do an'!$B$33</f>
        <v>Tuần 1: 07.09–13.09.2026; Tuần 2: 14.09–20.09.2026; Tuần 3: 21.09–27.09.2026; Tuần 4: 28.09–04.10.2026; Tuần 5: 05.10–11.10.2026; Tuần 6: 12.10–18.10.2026; Tuần 7: 19.10–25.10.2026; Tuần 8: 26.10–01.11.2026.</v>
      </c>
      <c r="N27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5" s="17" t="str">
        <f t="shared" si="43"/>
        <v>Còn trống</v>
      </c>
    </row>
    <row r="2776" spans="1:16" x14ac:dyDescent="0.3">
      <c r="A2776">
        <v>2775</v>
      </c>
      <c r="B2776" t="s">
        <v>6207</v>
      </c>
      <c r="C2776" t="s">
        <v>6384</v>
      </c>
      <c r="D2776" t="s">
        <v>6385</v>
      </c>
      <c r="E2776" t="s">
        <v>26</v>
      </c>
      <c r="F2776" t="s">
        <v>6229</v>
      </c>
      <c r="G2776" t="s">
        <v>6260</v>
      </c>
      <c r="H2776" t="str">
        <f>'Huong dan giao do an'!$B$14</f>
        <v>5 SV (vai trò chính): 1 PM/Scrum Master kiêm Integration; 2 BA/PO; 3 UI-UX + Frontend; 4 Backend/API + DevOps; 5 Database + QA/Tester. Mỗi SV có nhiệm vụ phụ và minh chứng cá nhân.</v>
      </c>
      <c r="I2776" t="s">
        <v>36</v>
      </c>
      <c r="J2776" t="s">
        <v>6222</v>
      </c>
      <c r="K2776" t="str">
        <f>IF(I2776="Trung bình",'Huong dan giao do an'!$B$8,IF(I2776="Khá",'Huong dan giao do an'!$B$9,'Huong dan giao do an'!$B$10))</f>
        <v>Tối thiểu 3 actor; 8-10 use case; 6-8 bảng dữ liệu; 2 quy trình lõi; đăng nhập/RBAC; 1 dashboard; 1 báo cáo; &gt;=25 test case; triển khai bản demo.</v>
      </c>
      <c r="L2776" t="str">
        <f>'Huong dan giao do an'!$B$31</f>
        <v>Bắt buộc: Charter/PMP; SRS + scope/WBS; Gantt/baseline; effort-cost budget; RACI/timesheet; quality-test-defect; communication/minutes; risk register; procurement; change log; closure/lessons learned.</v>
      </c>
      <c r="M2776" t="str">
        <f>'Huong dan giao do an'!$B$33</f>
        <v>Tuần 1: 07.09–13.09.2026; Tuần 2: 14.09–20.09.2026; Tuần 3: 21.09–27.09.2026; Tuần 4: 28.09–04.10.2026; Tuần 5: 05.10–11.10.2026; Tuần 6: 12.10–18.10.2026; Tuần 7: 19.10–25.10.2026; Tuần 8: 26.10–01.11.2026.</v>
      </c>
      <c r="N27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6" s="17" t="str">
        <f t="shared" si="43"/>
        <v>Còn trống</v>
      </c>
    </row>
    <row r="2777" spans="1:16" x14ac:dyDescent="0.3">
      <c r="A2777">
        <v>2776</v>
      </c>
      <c r="B2777" t="s">
        <v>6207</v>
      </c>
      <c r="C2777" t="s">
        <v>6386</v>
      </c>
      <c r="D2777" t="s">
        <v>6387</v>
      </c>
      <c r="E2777" t="s">
        <v>33</v>
      </c>
      <c r="F2777" t="s">
        <v>6210</v>
      </c>
      <c r="G2777" t="s">
        <v>6263</v>
      </c>
      <c r="H2777" t="str">
        <f>'Huong dan giao do an'!$B$14</f>
        <v>5 SV (vai trò chính): 1 PM/Scrum Master kiêm Integration; 2 BA/PO; 3 UI-UX + Frontend; 4 Backend/API + DevOps; 5 Database + QA/Tester. Mỗi SV có nhiệm vụ phụ và minh chứng cá nhân.</v>
      </c>
      <c r="I2777" t="s">
        <v>22</v>
      </c>
      <c r="J2777" t="s">
        <v>6212</v>
      </c>
      <c r="K2777" t="str">
        <f>IF(I2777="Trung bình",'Huong dan giao do an'!$B$8,IF(I2777="Khá",'Huong dan giao do an'!$B$9,'Huong dan giao do an'!$B$10))</f>
        <v>Tối thiểu 4 actor; 10-14 use case; 8-12 bảng; 3 quy trình lõi; phân quyền chi tiết; 2 báo cáo; tích hợp 1 dịch vụ; &gt;=35 test case; CI/CD hoặc deploy cloud.</v>
      </c>
      <c r="L2777" t="str">
        <f>'Huong dan giao do an'!$B$31</f>
        <v>Bắt buộc: Charter/PMP; SRS + scope/WBS; Gantt/baseline; effort-cost budget; RACI/timesheet; quality-test-defect; communication/minutes; risk register; procurement; change log; closure/lessons learned.</v>
      </c>
      <c r="M2777" t="str">
        <f>'Huong dan giao do an'!$B$33</f>
        <v>Tuần 1: 07.09–13.09.2026; Tuần 2: 14.09–20.09.2026; Tuần 3: 21.09–27.09.2026; Tuần 4: 28.09–04.10.2026; Tuần 5: 05.10–11.10.2026; Tuần 6: 12.10–18.10.2026; Tuần 7: 19.10–25.10.2026; Tuần 8: 26.10–01.11.2026.</v>
      </c>
      <c r="N27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7" s="17" t="str">
        <f t="shared" si="43"/>
        <v>Còn trống</v>
      </c>
    </row>
    <row r="2778" spans="1:16" x14ac:dyDescent="0.3">
      <c r="A2778">
        <v>2777</v>
      </c>
      <c r="B2778" t="s">
        <v>6207</v>
      </c>
      <c r="C2778" t="s">
        <v>6388</v>
      </c>
      <c r="D2778" t="s">
        <v>6389</v>
      </c>
      <c r="E2778" t="s">
        <v>40</v>
      </c>
      <c r="F2778" t="s">
        <v>6215</v>
      </c>
      <c r="G2778" t="s">
        <v>6266</v>
      </c>
      <c r="H2778" t="str">
        <f>'Huong dan giao do an'!$B$14</f>
        <v>5 SV (vai trò chính): 1 PM/Scrum Master kiêm Integration; 2 BA/PO; 3 UI-UX + Frontend; 4 Backend/API + DevOps; 5 Database + QA/Tester. Mỗi SV có nhiệm vụ phụ và minh chứng cá nhân.</v>
      </c>
      <c r="I2778" t="s">
        <v>29</v>
      </c>
      <c r="J2778" t="s">
        <v>6217</v>
      </c>
      <c r="K2778" t="str">
        <f>IF(I2778="Trung bình",'Huong dan giao do an'!$B$8,IF(I2778="Khá",'Huong dan giao do an'!$B$9,'Huong dan giao do an'!$B$10))</f>
        <v>Tối thiểu 5 actor; 14-18 use case; 10-15 bảng; 4 quy trình; tích hợp ngoài/realtime hoặc xử lý nâng cao; 3 báo cáo; &gt;=45 test case; logging, backup và deploy.</v>
      </c>
      <c r="L2778" t="str">
        <f>'Huong dan giao do an'!$B$31</f>
        <v>Bắt buộc: Charter/PMP; SRS + scope/WBS; Gantt/baseline; effort-cost budget; RACI/timesheet; quality-test-defect; communication/minutes; risk register; procurement; change log; closure/lessons learned.</v>
      </c>
      <c r="M2778" t="str">
        <f>'Huong dan giao do an'!$B$33</f>
        <v>Tuần 1: 07.09–13.09.2026; Tuần 2: 14.09–20.09.2026; Tuần 3: 21.09–27.09.2026; Tuần 4: 28.09–04.10.2026; Tuần 5: 05.10–11.10.2026; Tuần 6: 12.10–18.10.2026; Tuần 7: 19.10–25.10.2026; Tuần 8: 26.10–01.11.2026.</v>
      </c>
      <c r="N27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8" s="17" t="str">
        <f t="shared" si="43"/>
        <v>Còn trống</v>
      </c>
    </row>
    <row r="2779" spans="1:16" x14ac:dyDescent="0.3">
      <c r="A2779">
        <v>2778</v>
      </c>
      <c r="B2779" t="s">
        <v>6207</v>
      </c>
      <c r="C2779" t="s">
        <v>6390</v>
      </c>
      <c r="D2779" t="s">
        <v>6391</v>
      </c>
      <c r="E2779" t="s">
        <v>45</v>
      </c>
      <c r="F2779" t="s">
        <v>6220</v>
      </c>
      <c r="G2779" t="s">
        <v>6269</v>
      </c>
      <c r="H2779" t="str">
        <f>'Huong dan giao do an'!$B$14</f>
        <v>5 SV (vai trò chính): 1 PM/Scrum Master kiêm Integration; 2 BA/PO; 3 UI-UX + Frontend; 4 Backend/API + DevOps; 5 Database + QA/Tester. Mỗi SV có nhiệm vụ phụ và minh chứng cá nhân.</v>
      </c>
      <c r="I2779" t="s">
        <v>36</v>
      </c>
      <c r="J2779" t="s">
        <v>6222</v>
      </c>
      <c r="K2779" t="str">
        <f>IF(I2779="Trung bình",'Huong dan giao do an'!$B$8,IF(I2779="Khá",'Huong dan giao do an'!$B$9,'Huong dan giao do an'!$B$10))</f>
        <v>Tối thiểu 3 actor; 8-10 use case; 6-8 bảng dữ liệu; 2 quy trình lõi; đăng nhập/RBAC; 1 dashboard; 1 báo cáo; &gt;=25 test case; triển khai bản demo.</v>
      </c>
      <c r="L2779" t="str">
        <f>'Huong dan giao do an'!$B$31</f>
        <v>Bắt buộc: Charter/PMP; SRS + scope/WBS; Gantt/baseline; effort-cost budget; RACI/timesheet; quality-test-defect; communication/minutes; risk register; procurement; change log; closure/lessons learned.</v>
      </c>
      <c r="M2779" t="str">
        <f>'Huong dan giao do an'!$B$33</f>
        <v>Tuần 1: 07.09–13.09.2026; Tuần 2: 14.09–20.09.2026; Tuần 3: 21.09–27.09.2026; Tuần 4: 28.09–04.10.2026; Tuần 5: 05.10–11.10.2026; Tuần 6: 12.10–18.10.2026; Tuần 7: 19.10–25.10.2026; Tuần 8: 26.10–01.11.2026.</v>
      </c>
      <c r="N27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79" s="17" t="str">
        <f t="shared" si="43"/>
        <v>Còn trống</v>
      </c>
    </row>
    <row r="2780" spans="1:16" x14ac:dyDescent="0.3">
      <c r="A2780">
        <v>2779</v>
      </c>
      <c r="B2780" t="s">
        <v>6207</v>
      </c>
      <c r="C2780" t="s">
        <v>6392</v>
      </c>
      <c r="D2780" t="s">
        <v>6393</v>
      </c>
      <c r="E2780" t="s">
        <v>19</v>
      </c>
      <c r="F2780" t="s">
        <v>6225</v>
      </c>
      <c r="G2780" t="s">
        <v>6272</v>
      </c>
      <c r="H2780" t="str">
        <f>'Huong dan giao do an'!$B$14</f>
        <v>5 SV (vai trò chính): 1 PM/Scrum Master kiêm Integration; 2 BA/PO; 3 UI-UX + Frontend; 4 Backend/API + DevOps; 5 Database + QA/Tester. Mỗi SV có nhiệm vụ phụ và minh chứng cá nhân.</v>
      </c>
      <c r="I2780" t="s">
        <v>22</v>
      </c>
      <c r="J2780" t="s">
        <v>6212</v>
      </c>
      <c r="K2780" t="str">
        <f>IF(I2780="Trung bình",'Huong dan giao do an'!$B$8,IF(I2780="Khá",'Huong dan giao do an'!$B$9,'Huong dan giao do an'!$B$10))</f>
        <v>Tối thiểu 4 actor; 10-14 use case; 8-12 bảng; 3 quy trình lõi; phân quyền chi tiết; 2 báo cáo; tích hợp 1 dịch vụ; &gt;=35 test case; CI/CD hoặc deploy cloud.</v>
      </c>
      <c r="L2780" t="str">
        <f>'Huong dan giao do an'!$B$31</f>
        <v>Bắt buộc: Charter/PMP; SRS + scope/WBS; Gantt/baseline; effort-cost budget; RACI/timesheet; quality-test-defect; communication/minutes; risk register; procurement; change log; closure/lessons learned.</v>
      </c>
      <c r="M2780" t="str">
        <f>'Huong dan giao do an'!$B$33</f>
        <v>Tuần 1: 07.09–13.09.2026; Tuần 2: 14.09–20.09.2026; Tuần 3: 21.09–27.09.2026; Tuần 4: 28.09–04.10.2026; Tuần 5: 05.10–11.10.2026; Tuần 6: 12.10–18.10.2026; Tuần 7: 19.10–25.10.2026; Tuần 8: 26.10–01.11.2026.</v>
      </c>
      <c r="N27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0" s="17" t="str">
        <f t="shared" si="43"/>
        <v>Còn trống</v>
      </c>
    </row>
    <row r="2781" spans="1:16" x14ac:dyDescent="0.3">
      <c r="A2781">
        <v>2780</v>
      </c>
      <c r="B2781" t="s">
        <v>6207</v>
      </c>
      <c r="C2781" t="s">
        <v>6394</v>
      </c>
      <c r="D2781" t="s">
        <v>6395</v>
      </c>
      <c r="E2781" t="s">
        <v>26</v>
      </c>
      <c r="F2781" t="s">
        <v>6229</v>
      </c>
      <c r="G2781" t="s">
        <v>6275</v>
      </c>
      <c r="H2781" t="str">
        <f>'Huong dan giao do an'!$B$14</f>
        <v>5 SV (vai trò chính): 1 PM/Scrum Master kiêm Integration; 2 BA/PO; 3 UI-UX + Frontend; 4 Backend/API + DevOps; 5 Database + QA/Tester. Mỗi SV có nhiệm vụ phụ và minh chứng cá nhân.</v>
      </c>
      <c r="I2781" t="s">
        <v>29</v>
      </c>
      <c r="J2781" t="s">
        <v>6217</v>
      </c>
      <c r="K2781" t="str">
        <f>IF(I2781="Trung bình",'Huong dan giao do an'!$B$8,IF(I2781="Khá",'Huong dan giao do an'!$B$9,'Huong dan giao do an'!$B$10))</f>
        <v>Tối thiểu 5 actor; 14-18 use case; 10-15 bảng; 4 quy trình; tích hợp ngoài/realtime hoặc xử lý nâng cao; 3 báo cáo; &gt;=45 test case; logging, backup và deploy.</v>
      </c>
      <c r="L2781" t="str">
        <f>'Huong dan giao do an'!$B$31</f>
        <v>Bắt buộc: Charter/PMP; SRS + scope/WBS; Gantt/baseline; effort-cost budget; RACI/timesheet; quality-test-defect; communication/minutes; risk register; procurement; change log; closure/lessons learned.</v>
      </c>
      <c r="M2781" t="str">
        <f>'Huong dan giao do an'!$B$33</f>
        <v>Tuần 1: 07.09–13.09.2026; Tuần 2: 14.09–20.09.2026; Tuần 3: 21.09–27.09.2026; Tuần 4: 28.09–04.10.2026; Tuần 5: 05.10–11.10.2026; Tuần 6: 12.10–18.10.2026; Tuần 7: 19.10–25.10.2026; Tuần 8: 26.10–01.11.2026.</v>
      </c>
      <c r="N27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1" s="17" t="str">
        <f t="shared" si="43"/>
        <v>Còn trống</v>
      </c>
    </row>
    <row r="2782" spans="1:16" x14ac:dyDescent="0.3">
      <c r="A2782">
        <v>2781</v>
      </c>
      <c r="B2782" t="s">
        <v>6207</v>
      </c>
      <c r="C2782" t="s">
        <v>6396</v>
      </c>
      <c r="D2782" t="s">
        <v>6397</v>
      </c>
      <c r="E2782" t="s">
        <v>33</v>
      </c>
      <c r="F2782" t="s">
        <v>6210</v>
      </c>
      <c r="G2782" t="s">
        <v>6211</v>
      </c>
      <c r="H2782" t="str">
        <f>'Huong dan giao do an'!$B$14</f>
        <v>5 SV (vai trò chính): 1 PM/Scrum Master kiêm Integration; 2 BA/PO; 3 UI-UX + Frontend; 4 Backend/API + DevOps; 5 Database + QA/Tester. Mỗi SV có nhiệm vụ phụ và minh chứng cá nhân.</v>
      </c>
      <c r="I2782" t="s">
        <v>22</v>
      </c>
      <c r="J2782" t="s">
        <v>6212</v>
      </c>
      <c r="K2782" t="str">
        <f>IF(I2782="Trung bình",'Huong dan giao do an'!$B$8,IF(I2782="Khá",'Huong dan giao do an'!$B$9,'Huong dan giao do an'!$B$10))</f>
        <v>Tối thiểu 4 actor; 10-14 use case; 8-12 bảng; 3 quy trình lõi; phân quyền chi tiết; 2 báo cáo; tích hợp 1 dịch vụ; &gt;=35 test case; CI/CD hoặc deploy cloud.</v>
      </c>
      <c r="L2782" t="str">
        <f>'Huong dan giao do an'!$B$31</f>
        <v>Bắt buộc: Charter/PMP; SRS + scope/WBS; Gantt/baseline; effort-cost budget; RACI/timesheet; quality-test-defect; communication/minutes; risk register; procurement; change log; closure/lessons learned.</v>
      </c>
      <c r="M2782" t="str">
        <f>'Huong dan giao do an'!$B$33</f>
        <v>Tuần 1: 07.09–13.09.2026; Tuần 2: 14.09–20.09.2026; Tuần 3: 21.09–27.09.2026; Tuần 4: 28.09–04.10.2026; Tuần 5: 05.10–11.10.2026; Tuần 6: 12.10–18.10.2026; Tuần 7: 19.10–25.10.2026; Tuần 8: 26.10–01.11.2026.</v>
      </c>
      <c r="N27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2" s="17" t="str">
        <f t="shared" si="43"/>
        <v>Còn trống</v>
      </c>
    </row>
    <row r="2783" spans="1:16" x14ac:dyDescent="0.3">
      <c r="A2783">
        <v>2782</v>
      </c>
      <c r="B2783" t="s">
        <v>6207</v>
      </c>
      <c r="C2783" t="s">
        <v>6398</v>
      </c>
      <c r="D2783" t="s">
        <v>6399</v>
      </c>
      <c r="E2783" t="s">
        <v>40</v>
      </c>
      <c r="F2783" t="s">
        <v>6215</v>
      </c>
      <c r="G2783" t="s">
        <v>6216</v>
      </c>
      <c r="H2783" t="str">
        <f>'Huong dan giao do an'!$B$14</f>
        <v>5 SV (vai trò chính): 1 PM/Scrum Master kiêm Integration; 2 BA/PO; 3 UI-UX + Frontend; 4 Backend/API + DevOps; 5 Database + QA/Tester. Mỗi SV có nhiệm vụ phụ và minh chứng cá nhân.</v>
      </c>
      <c r="I2783" t="s">
        <v>29</v>
      </c>
      <c r="J2783" t="s">
        <v>6217</v>
      </c>
      <c r="K2783" t="str">
        <f>IF(I2783="Trung bình",'Huong dan giao do an'!$B$8,IF(I2783="Khá",'Huong dan giao do an'!$B$9,'Huong dan giao do an'!$B$10))</f>
        <v>Tối thiểu 5 actor; 14-18 use case; 10-15 bảng; 4 quy trình; tích hợp ngoài/realtime hoặc xử lý nâng cao; 3 báo cáo; &gt;=45 test case; logging, backup và deploy.</v>
      </c>
      <c r="L2783" t="str">
        <f>'Huong dan giao do an'!$B$31</f>
        <v>Bắt buộc: Charter/PMP; SRS + scope/WBS; Gantt/baseline; effort-cost budget; RACI/timesheet; quality-test-defect; communication/minutes; risk register; procurement; change log; closure/lessons learned.</v>
      </c>
      <c r="M2783" t="str">
        <f>'Huong dan giao do an'!$B$33</f>
        <v>Tuần 1: 07.09–13.09.2026; Tuần 2: 14.09–20.09.2026; Tuần 3: 21.09–27.09.2026; Tuần 4: 28.09–04.10.2026; Tuần 5: 05.10–11.10.2026; Tuần 6: 12.10–18.10.2026; Tuần 7: 19.10–25.10.2026; Tuần 8: 26.10–01.11.2026.</v>
      </c>
      <c r="N27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3" s="17" t="str">
        <f t="shared" si="43"/>
        <v>Còn trống</v>
      </c>
    </row>
    <row r="2784" spans="1:16" x14ac:dyDescent="0.3">
      <c r="A2784">
        <v>2783</v>
      </c>
      <c r="B2784" t="s">
        <v>6207</v>
      </c>
      <c r="C2784" t="s">
        <v>6400</v>
      </c>
      <c r="D2784" t="s">
        <v>6401</v>
      </c>
      <c r="E2784" t="s">
        <v>45</v>
      </c>
      <c r="F2784" t="s">
        <v>6220</v>
      </c>
      <c r="G2784" t="s">
        <v>6221</v>
      </c>
      <c r="H2784" t="str">
        <f>'Huong dan giao do an'!$B$14</f>
        <v>5 SV (vai trò chính): 1 PM/Scrum Master kiêm Integration; 2 BA/PO; 3 UI-UX + Frontend; 4 Backend/API + DevOps; 5 Database + QA/Tester. Mỗi SV có nhiệm vụ phụ và minh chứng cá nhân.</v>
      </c>
      <c r="I2784" t="s">
        <v>36</v>
      </c>
      <c r="J2784" t="s">
        <v>6222</v>
      </c>
      <c r="K2784" t="str">
        <f>IF(I2784="Trung bình",'Huong dan giao do an'!$B$8,IF(I2784="Khá",'Huong dan giao do an'!$B$9,'Huong dan giao do an'!$B$10))</f>
        <v>Tối thiểu 3 actor; 8-10 use case; 6-8 bảng dữ liệu; 2 quy trình lõi; đăng nhập/RBAC; 1 dashboard; 1 báo cáo; &gt;=25 test case; triển khai bản demo.</v>
      </c>
      <c r="L2784" t="str">
        <f>'Huong dan giao do an'!$B$31</f>
        <v>Bắt buộc: Charter/PMP; SRS + scope/WBS; Gantt/baseline; effort-cost budget; RACI/timesheet; quality-test-defect; communication/minutes; risk register; procurement; change log; closure/lessons learned.</v>
      </c>
      <c r="M2784" t="str">
        <f>'Huong dan giao do an'!$B$33</f>
        <v>Tuần 1: 07.09–13.09.2026; Tuần 2: 14.09–20.09.2026; Tuần 3: 21.09–27.09.2026; Tuần 4: 28.09–04.10.2026; Tuần 5: 05.10–11.10.2026; Tuần 6: 12.10–18.10.2026; Tuần 7: 19.10–25.10.2026; Tuần 8: 26.10–01.11.2026.</v>
      </c>
      <c r="N27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4" s="17" t="str">
        <f t="shared" si="43"/>
        <v>Còn trống</v>
      </c>
    </row>
    <row r="2785" spans="1:16" x14ac:dyDescent="0.3">
      <c r="A2785">
        <v>2784</v>
      </c>
      <c r="B2785" t="s">
        <v>6207</v>
      </c>
      <c r="C2785" t="s">
        <v>6402</v>
      </c>
      <c r="D2785" t="s">
        <v>6403</v>
      </c>
      <c r="E2785" t="s">
        <v>19</v>
      </c>
      <c r="F2785" t="s">
        <v>6225</v>
      </c>
      <c r="G2785" t="s">
        <v>6226</v>
      </c>
      <c r="H2785" t="str">
        <f>'Huong dan giao do an'!$B$14</f>
        <v>5 SV (vai trò chính): 1 PM/Scrum Master kiêm Integration; 2 BA/PO; 3 UI-UX + Frontend; 4 Backend/API + DevOps; 5 Database + QA/Tester. Mỗi SV có nhiệm vụ phụ và minh chứng cá nhân.</v>
      </c>
      <c r="I2785" t="s">
        <v>22</v>
      </c>
      <c r="J2785" t="s">
        <v>6212</v>
      </c>
      <c r="K2785" t="str">
        <f>IF(I2785="Trung bình",'Huong dan giao do an'!$B$8,IF(I2785="Khá",'Huong dan giao do an'!$B$9,'Huong dan giao do an'!$B$10))</f>
        <v>Tối thiểu 4 actor; 10-14 use case; 8-12 bảng; 3 quy trình lõi; phân quyền chi tiết; 2 báo cáo; tích hợp 1 dịch vụ; &gt;=35 test case; CI/CD hoặc deploy cloud.</v>
      </c>
      <c r="L2785" t="str">
        <f>'Huong dan giao do an'!$B$31</f>
        <v>Bắt buộc: Charter/PMP; SRS + scope/WBS; Gantt/baseline; effort-cost budget; RACI/timesheet; quality-test-defect; communication/minutes; risk register; procurement; change log; closure/lessons learned.</v>
      </c>
      <c r="M2785" t="str">
        <f>'Huong dan giao do an'!$B$33</f>
        <v>Tuần 1: 07.09–13.09.2026; Tuần 2: 14.09–20.09.2026; Tuần 3: 21.09–27.09.2026; Tuần 4: 28.09–04.10.2026; Tuần 5: 05.10–11.10.2026; Tuần 6: 12.10–18.10.2026; Tuần 7: 19.10–25.10.2026; Tuần 8: 26.10–01.11.2026.</v>
      </c>
      <c r="N27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5" s="17" t="str">
        <f t="shared" si="43"/>
        <v>Còn trống</v>
      </c>
    </row>
    <row r="2786" spans="1:16" x14ac:dyDescent="0.3">
      <c r="A2786">
        <v>2785</v>
      </c>
      <c r="B2786" t="s">
        <v>6207</v>
      </c>
      <c r="C2786" t="s">
        <v>6404</v>
      </c>
      <c r="D2786" t="s">
        <v>6405</v>
      </c>
      <c r="E2786" t="s">
        <v>26</v>
      </c>
      <c r="F2786" t="s">
        <v>6229</v>
      </c>
      <c r="G2786" t="s">
        <v>6230</v>
      </c>
      <c r="H2786" t="str">
        <f>'Huong dan giao do an'!$B$14</f>
        <v>5 SV (vai trò chính): 1 PM/Scrum Master kiêm Integration; 2 BA/PO; 3 UI-UX + Frontend; 4 Backend/API + DevOps; 5 Database + QA/Tester. Mỗi SV có nhiệm vụ phụ và minh chứng cá nhân.</v>
      </c>
      <c r="I2786" t="s">
        <v>29</v>
      </c>
      <c r="J2786" t="s">
        <v>6217</v>
      </c>
      <c r="K2786" t="str">
        <f>IF(I2786="Trung bình",'Huong dan giao do an'!$B$8,IF(I2786="Khá",'Huong dan giao do an'!$B$9,'Huong dan giao do an'!$B$10))</f>
        <v>Tối thiểu 5 actor; 14-18 use case; 10-15 bảng; 4 quy trình; tích hợp ngoài/realtime hoặc xử lý nâng cao; 3 báo cáo; &gt;=45 test case; logging, backup và deploy.</v>
      </c>
      <c r="L2786" t="str">
        <f>'Huong dan giao do an'!$B$31</f>
        <v>Bắt buộc: Charter/PMP; SRS + scope/WBS; Gantt/baseline; effort-cost budget; RACI/timesheet; quality-test-defect; communication/minutes; risk register; procurement; change log; closure/lessons learned.</v>
      </c>
      <c r="M2786" t="str">
        <f>'Huong dan giao do an'!$B$33</f>
        <v>Tuần 1: 07.09–13.09.2026; Tuần 2: 14.09–20.09.2026; Tuần 3: 21.09–27.09.2026; Tuần 4: 28.09–04.10.2026; Tuần 5: 05.10–11.10.2026; Tuần 6: 12.10–18.10.2026; Tuần 7: 19.10–25.10.2026; Tuần 8: 26.10–01.11.2026.</v>
      </c>
      <c r="N27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6" s="17" t="str">
        <f t="shared" si="43"/>
        <v>Còn trống</v>
      </c>
    </row>
    <row r="2787" spans="1:16" x14ac:dyDescent="0.3">
      <c r="A2787">
        <v>2786</v>
      </c>
      <c r="B2787" t="s">
        <v>6207</v>
      </c>
      <c r="C2787" t="s">
        <v>6406</v>
      </c>
      <c r="D2787" t="s">
        <v>6407</v>
      </c>
      <c r="E2787" t="s">
        <v>33</v>
      </c>
      <c r="F2787" t="s">
        <v>6210</v>
      </c>
      <c r="G2787" t="s">
        <v>6233</v>
      </c>
      <c r="H2787" t="str">
        <f>'Huong dan giao do an'!$B$14</f>
        <v>5 SV (vai trò chính): 1 PM/Scrum Master kiêm Integration; 2 BA/PO; 3 UI-UX + Frontend; 4 Backend/API + DevOps; 5 Database + QA/Tester. Mỗi SV có nhiệm vụ phụ và minh chứng cá nhân.</v>
      </c>
      <c r="I2787" t="s">
        <v>36</v>
      </c>
      <c r="J2787" t="s">
        <v>6222</v>
      </c>
      <c r="K2787" t="str">
        <f>IF(I2787="Trung bình",'Huong dan giao do an'!$B$8,IF(I2787="Khá",'Huong dan giao do an'!$B$9,'Huong dan giao do an'!$B$10))</f>
        <v>Tối thiểu 3 actor; 8-10 use case; 6-8 bảng dữ liệu; 2 quy trình lõi; đăng nhập/RBAC; 1 dashboard; 1 báo cáo; &gt;=25 test case; triển khai bản demo.</v>
      </c>
      <c r="L2787" t="str">
        <f>'Huong dan giao do an'!$B$31</f>
        <v>Bắt buộc: Charter/PMP; SRS + scope/WBS; Gantt/baseline; effort-cost budget; RACI/timesheet; quality-test-defect; communication/minutes; risk register; procurement; change log; closure/lessons learned.</v>
      </c>
      <c r="M2787" t="str">
        <f>'Huong dan giao do an'!$B$33</f>
        <v>Tuần 1: 07.09–13.09.2026; Tuần 2: 14.09–20.09.2026; Tuần 3: 21.09–27.09.2026; Tuần 4: 28.09–04.10.2026; Tuần 5: 05.10–11.10.2026; Tuần 6: 12.10–18.10.2026; Tuần 7: 19.10–25.10.2026; Tuần 8: 26.10–01.11.2026.</v>
      </c>
      <c r="N27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7" s="17" t="str">
        <f t="shared" si="43"/>
        <v>Còn trống</v>
      </c>
    </row>
    <row r="2788" spans="1:16" x14ac:dyDescent="0.3">
      <c r="A2788">
        <v>2787</v>
      </c>
      <c r="B2788" t="s">
        <v>6207</v>
      </c>
      <c r="C2788" t="s">
        <v>6408</v>
      </c>
      <c r="D2788" t="s">
        <v>6409</v>
      </c>
      <c r="E2788" t="s">
        <v>40</v>
      </c>
      <c r="F2788" t="s">
        <v>6215</v>
      </c>
      <c r="G2788" t="s">
        <v>6236</v>
      </c>
      <c r="H2788" t="str">
        <f>'Huong dan giao do an'!$B$14</f>
        <v>5 SV (vai trò chính): 1 PM/Scrum Master kiêm Integration; 2 BA/PO; 3 UI-UX + Frontend; 4 Backend/API + DevOps; 5 Database + QA/Tester. Mỗi SV có nhiệm vụ phụ và minh chứng cá nhân.</v>
      </c>
      <c r="I2788" t="s">
        <v>22</v>
      </c>
      <c r="J2788" t="s">
        <v>6212</v>
      </c>
      <c r="K2788" t="str">
        <f>IF(I2788="Trung bình",'Huong dan giao do an'!$B$8,IF(I2788="Khá",'Huong dan giao do an'!$B$9,'Huong dan giao do an'!$B$10))</f>
        <v>Tối thiểu 4 actor; 10-14 use case; 8-12 bảng; 3 quy trình lõi; phân quyền chi tiết; 2 báo cáo; tích hợp 1 dịch vụ; &gt;=35 test case; CI/CD hoặc deploy cloud.</v>
      </c>
      <c r="L2788" t="str">
        <f>'Huong dan giao do an'!$B$31</f>
        <v>Bắt buộc: Charter/PMP; SRS + scope/WBS; Gantt/baseline; effort-cost budget; RACI/timesheet; quality-test-defect; communication/minutes; risk register; procurement; change log; closure/lessons learned.</v>
      </c>
      <c r="M2788" t="str">
        <f>'Huong dan giao do an'!$B$33</f>
        <v>Tuần 1: 07.09–13.09.2026; Tuần 2: 14.09–20.09.2026; Tuần 3: 21.09–27.09.2026; Tuần 4: 28.09–04.10.2026; Tuần 5: 05.10–11.10.2026; Tuần 6: 12.10–18.10.2026; Tuần 7: 19.10–25.10.2026; Tuần 8: 26.10–01.11.2026.</v>
      </c>
      <c r="N27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8" s="17" t="str">
        <f t="shared" si="43"/>
        <v>Còn trống</v>
      </c>
    </row>
    <row r="2789" spans="1:16" x14ac:dyDescent="0.3">
      <c r="A2789">
        <v>2788</v>
      </c>
      <c r="B2789" t="s">
        <v>6207</v>
      </c>
      <c r="C2789" t="s">
        <v>6410</v>
      </c>
      <c r="D2789" t="s">
        <v>6411</v>
      </c>
      <c r="E2789" t="s">
        <v>45</v>
      </c>
      <c r="F2789" t="s">
        <v>6220</v>
      </c>
      <c r="G2789" t="s">
        <v>6239</v>
      </c>
      <c r="H2789" t="str">
        <f>'Huong dan giao do an'!$B$14</f>
        <v>5 SV (vai trò chính): 1 PM/Scrum Master kiêm Integration; 2 BA/PO; 3 UI-UX + Frontend; 4 Backend/API + DevOps; 5 Database + QA/Tester. Mỗi SV có nhiệm vụ phụ và minh chứng cá nhân.</v>
      </c>
      <c r="I2789" t="s">
        <v>29</v>
      </c>
      <c r="J2789" t="s">
        <v>6217</v>
      </c>
      <c r="K2789" t="str">
        <f>IF(I2789="Trung bình",'Huong dan giao do an'!$B$8,IF(I2789="Khá",'Huong dan giao do an'!$B$9,'Huong dan giao do an'!$B$10))</f>
        <v>Tối thiểu 5 actor; 14-18 use case; 10-15 bảng; 4 quy trình; tích hợp ngoài/realtime hoặc xử lý nâng cao; 3 báo cáo; &gt;=45 test case; logging, backup và deploy.</v>
      </c>
      <c r="L2789" t="str">
        <f>'Huong dan giao do an'!$B$31</f>
        <v>Bắt buộc: Charter/PMP; SRS + scope/WBS; Gantt/baseline; effort-cost budget; RACI/timesheet; quality-test-defect; communication/minutes; risk register; procurement; change log; closure/lessons learned.</v>
      </c>
      <c r="M2789" t="str">
        <f>'Huong dan giao do an'!$B$33</f>
        <v>Tuần 1: 07.09–13.09.2026; Tuần 2: 14.09–20.09.2026; Tuần 3: 21.09–27.09.2026; Tuần 4: 28.09–04.10.2026; Tuần 5: 05.10–11.10.2026; Tuần 6: 12.10–18.10.2026; Tuần 7: 19.10–25.10.2026; Tuần 8: 26.10–01.11.2026.</v>
      </c>
      <c r="N27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89" s="17" t="str">
        <f t="shared" si="43"/>
        <v>Còn trống</v>
      </c>
    </row>
    <row r="2790" spans="1:16" x14ac:dyDescent="0.3">
      <c r="A2790">
        <v>2789</v>
      </c>
      <c r="B2790" t="s">
        <v>6207</v>
      </c>
      <c r="C2790" t="s">
        <v>6412</v>
      </c>
      <c r="D2790" t="s">
        <v>6413</v>
      </c>
      <c r="E2790" t="s">
        <v>19</v>
      </c>
      <c r="F2790" t="s">
        <v>6225</v>
      </c>
      <c r="G2790" t="s">
        <v>6242</v>
      </c>
      <c r="H2790" t="str">
        <f>'Huong dan giao do an'!$B$14</f>
        <v>5 SV (vai trò chính): 1 PM/Scrum Master kiêm Integration; 2 BA/PO; 3 UI-UX + Frontend; 4 Backend/API + DevOps; 5 Database + QA/Tester. Mỗi SV có nhiệm vụ phụ và minh chứng cá nhân.</v>
      </c>
      <c r="I2790" t="s">
        <v>36</v>
      </c>
      <c r="J2790" t="s">
        <v>6222</v>
      </c>
      <c r="K2790" t="str">
        <f>IF(I2790="Trung bình",'Huong dan giao do an'!$B$8,IF(I2790="Khá",'Huong dan giao do an'!$B$9,'Huong dan giao do an'!$B$10))</f>
        <v>Tối thiểu 3 actor; 8-10 use case; 6-8 bảng dữ liệu; 2 quy trình lõi; đăng nhập/RBAC; 1 dashboard; 1 báo cáo; &gt;=25 test case; triển khai bản demo.</v>
      </c>
      <c r="L2790" t="str">
        <f>'Huong dan giao do an'!$B$31</f>
        <v>Bắt buộc: Charter/PMP; SRS + scope/WBS; Gantt/baseline; effort-cost budget; RACI/timesheet; quality-test-defect; communication/minutes; risk register; procurement; change log; closure/lessons learned.</v>
      </c>
      <c r="M2790" t="str">
        <f>'Huong dan giao do an'!$B$33</f>
        <v>Tuần 1: 07.09–13.09.2026; Tuần 2: 14.09–20.09.2026; Tuần 3: 21.09–27.09.2026; Tuần 4: 28.09–04.10.2026; Tuần 5: 05.10–11.10.2026; Tuần 6: 12.10–18.10.2026; Tuần 7: 19.10–25.10.2026; Tuần 8: 26.10–01.11.2026.</v>
      </c>
      <c r="N27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0" s="17" t="str">
        <f t="shared" si="43"/>
        <v>Còn trống</v>
      </c>
    </row>
    <row r="2791" spans="1:16" x14ac:dyDescent="0.3">
      <c r="A2791">
        <v>2790</v>
      </c>
      <c r="B2791" t="s">
        <v>6207</v>
      </c>
      <c r="C2791" t="s">
        <v>6414</v>
      </c>
      <c r="D2791" t="s">
        <v>6415</v>
      </c>
      <c r="E2791" t="s">
        <v>26</v>
      </c>
      <c r="F2791" t="s">
        <v>6229</v>
      </c>
      <c r="G2791" t="s">
        <v>6245</v>
      </c>
      <c r="H2791" t="str">
        <f>'Huong dan giao do an'!$B$14</f>
        <v>5 SV (vai trò chính): 1 PM/Scrum Master kiêm Integration; 2 BA/PO; 3 UI-UX + Frontend; 4 Backend/API + DevOps; 5 Database + QA/Tester. Mỗi SV có nhiệm vụ phụ và minh chứng cá nhân.</v>
      </c>
      <c r="I2791" t="s">
        <v>22</v>
      </c>
      <c r="J2791" t="s">
        <v>6212</v>
      </c>
      <c r="K2791" t="str">
        <f>IF(I2791="Trung bình",'Huong dan giao do an'!$B$8,IF(I2791="Khá",'Huong dan giao do an'!$B$9,'Huong dan giao do an'!$B$10))</f>
        <v>Tối thiểu 4 actor; 10-14 use case; 8-12 bảng; 3 quy trình lõi; phân quyền chi tiết; 2 báo cáo; tích hợp 1 dịch vụ; &gt;=35 test case; CI/CD hoặc deploy cloud.</v>
      </c>
      <c r="L2791" t="str">
        <f>'Huong dan giao do an'!$B$31</f>
        <v>Bắt buộc: Charter/PMP; SRS + scope/WBS; Gantt/baseline; effort-cost budget; RACI/timesheet; quality-test-defect; communication/minutes; risk register; procurement; change log; closure/lessons learned.</v>
      </c>
      <c r="M2791" t="str">
        <f>'Huong dan giao do an'!$B$33</f>
        <v>Tuần 1: 07.09–13.09.2026; Tuần 2: 14.09–20.09.2026; Tuần 3: 21.09–27.09.2026; Tuần 4: 28.09–04.10.2026; Tuần 5: 05.10–11.10.2026; Tuần 6: 12.10–18.10.2026; Tuần 7: 19.10–25.10.2026; Tuần 8: 26.10–01.11.2026.</v>
      </c>
      <c r="N27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1" s="17" t="str">
        <f t="shared" si="43"/>
        <v>Còn trống</v>
      </c>
    </row>
    <row r="2792" spans="1:16" x14ac:dyDescent="0.3">
      <c r="A2792">
        <v>2791</v>
      </c>
      <c r="B2792" t="s">
        <v>6207</v>
      </c>
      <c r="C2792" t="s">
        <v>6416</v>
      </c>
      <c r="D2792" t="s">
        <v>6417</v>
      </c>
      <c r="E2792" t="s">
        <v>33</v>
      </c>
      <c r="F2792" t="s">
        <v>6210</v>
      </c>
      <c r="G2792" t="s">
        <v>6248</v>
      </c>
      <c r="H2792" t="str">
        <f>'Huong dan giao do an'!$B$14</f>
        <v>5 SV (vai trò chính): 1 PM/Scrum Master kiêm Integration; 2 BA/PO; 3 UI-UX + Frontend; 4 Backend/API + DevOps; 5 Database + QA/Tester. Mỗi SV có nhiệm vụ phụ và minh chứng cá nhân.</v>
      </c>
      <c r="I2792" t="s">
        <v>29</v>
      </c>
      <c r="J2792" t="s">
        <v>6217</v>
      </c>
      <c r="K2792" t="str">
        <f>IF(I2792="Trung bình",'Huong dan giao do an'!$B$8,IF(I2792="Khá",'Huong dan giao do an'!$B$9,'Huong dan giao do an'!$B$10))</f>
        <v>Tối thiểu 5 actor; 14-18 use case; 10-15 bảng; 4 quy trình; tích hợp ngoài/realtime hoặc xử lý nâng cao; 3 báo cáo; &gt;=45 test case; logging, backup và deploy.</v>
      </c>
      <c r="L2792" t="str">
        <f>'Huong dan giao do an'!$B$31</f>
        <v>Bắt buộc: Charter/PMP; SRS + scope/WBS; Gantt/baseline; effort-cost budget; RACI/timesheet; quality-test-defect; communication/minutes; risk register; procurement; change log; closure/lessons learned.</v>
      </c>
      <c r="M2792" t="str">
        <f>'Huong dan giao do an'!$B$33</f>
        <v>Tuần 1: 07.09–13.09.2026; Tuần 2: 14.09–20.09.2026; Tuần 3: 21.09–27.09.2026; Tuần 4: 28.09–04.10.2026; Tuần 5: 05.10–11.10.2026; Tuần 6: 12.10–18.10.2026; Tuần 7: 19.10–25.10.2026; Tuần 8: 26.10–01.11.2026.</v>
      </c>
      <c r="N27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2" s="17" t="str">
        <f t="shared" si="43"/>
        <v>Còn trống</v>
      </c>
    </row>
    <row r="2793" spans="1:16" x14ac:dyDescent="0.3">
      <c r="A2793">
        <v>2792</v>
      </c>
      <c r="B2793" t="s">
        <v>6207</v>
      </c>
      <c r="C2793" t="s">
        <v>6418</v>
      </c>
      <c r="D2793" t="s">
        <v>6419</v>
      </c>
      <c r="E2793" t="s">
        <v>40</v>
      </c>
      <c r="F2793" t="s">
        <v>6215</v>
      </c>
      <c r="G2793" t="s">
        <v>6251</v>
      </c>
      <c r="H2793" t="str">
        <f>'Huong dan giao do an'!$B$14</f>
        <v>5 SV (vai trò chính): 1 PM/Scrum Master kiêm Integration; 2 BA/PO; 3 UI-UX + Frontend; 4 Backend/API + DevOps; 5 Database + QA/Tester. Mỗi SV có nhiệm vụ phụ và minh chứng cá nhân.</v>
      </c>
      <c r="I2793" t="s">
        <v>36</v>
      </c>
      <c r="J2793" t="s">
        <v>6222</v>
      </c>
      <c r="K2793" t="str">
        <f>IF(I2793="Trung bình",'Huong dan giao do an'!$B$8,IF(I2793="Khá",'Huong dan giao do an'!$B$9,'Huong dan giao do an'!$B$10))</f>
        <v>Tối thiểu 3 actor; 8-10 use case; 6-8 bảng dữ liệu; 2 quy trình lõi; đăng nhập/RBAC; 1 dashboard; 1 báo cáo; &gt;=25 test case; triển khai bản demo.</v>
      </c>
      <c r="L2793" t="str">
        <f>'Huong dan giao do an'!$B$31</f>
        <v>Bắt buộc: Charter/PMP; SRS + scope/WBS; Gantt/baseline; effort-cost budget; RACI/timesheet; quality-test-defect; communication/minutes; risk register; procurement; change log; closure/lessons learned.</v>
      </c>
      <c r="M2793" t="str">
        <f>'Huong dan giao do an'!$B$33</f>
        <v>Tuần 1: 07.09–13.09.2026; Tuần 2: 14.09–20.09.2026; Tuần 3: 21.09–27.09.2026; Tuần 4: 28.09–04.10.2026; Tuần 5: 05.10–11.10.2026; Tuần 6: 12.10–18.10.2026; Tuần 7: 19.10–25.10.2026; Tuần 8: 26.10–01.11.2026.</v>
      </c>
      <c r="N27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3" s="17" t="str">
        <f t="shared" si="43"/>
        <v>Còn trống</v>
      </c>
    </row>
    <row r="2794" spans="1:16" x14ac:dyDescent="0.3">
      <c r="A2794">
        <v>2793</v>
      </c>
      <c r="B2794" t="s">
        <v>6207</v>
      </c>
      <c r="C2794" t="s">
        <v>6420</v>
      </c>
      <c r="D2794" t="s">
        <v>6421</v>
      </c>
      <c r="E2794" t="s">
        <v>45</v>
      </c>
      <c r="F2794" t="s">
        <v>6220</v>
      </c>
      <c r="G2794" t="s">
        <v>6254</v>
      </c>
      <c r="H2794" t="str">
        <f>'Huong dan giao do an'!$B$14</f>
        <v>5 SV (vai trò chính): 1 PM/Scrum Master kiêm Integration; 2 BA/PO; 3 UI-UX + Frontend; 4 Backend/API + DevOps; 5 Database + QA/Tester. Mỗi SV có nhiệm vụ phụ và minh chứng cá nhân.</v>
      </c>
      <c r="I2794" t="s">
        <v>22</v>
      </c>
      <c r="J2794" t="s">
        <v>6212</v>
      </c>
      <c r="K2794" t="str">
        <f>IF(I2794="Trung bình",'Huong dan giao do an'!$B$8,IF(I2794="Khá",'Huong dan giao do an'!$B$9,'Huong dan giao do an'!$B$10))</f>
        <v>Tối thiểu 4 actor; 10-14 use case; 8-12 bảng; 3 quy trình lõi; phân quyền chi tiết; 2 báo cáo; tích hợp 1 dịch vụ; &gt;=35 test case; CI/CD hoặc deploy cloud.</v>
      </c>
      <c r="L2794" t="str">
        <f>'Huong dan giao do an'!$B$31</f>
        <v>Bắt buộc: Charter/PMP; SRS + scope/WBS; Gantt/baseline; effort-cost budget; RACI/timesheet; quality-test-defect; communication/minutes; risk register; procurement; change log; closure/lessons learned.</v>
      </c>
      <c r="M2794" t="str">
        <f>'Huong dan giao do an'!$B$33</f>
        <v>Tuần 1: 07.09–13.09.2026; Tuần 2: 14.09–20.09.2026; Tuần 3: 21.09–27.09.2026; Tuần 4: 28.09–04.10.2026; Tuần 5: 05.10–11.10.2026; Tuần 6: 12.10–18.10.2026; Tuần 7: 19.10–25.10.2026; Tuần 8: 26.10–01.11.2026.</v>
      </c>
      <c r="N27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4" s="17" t="str">
        <f t="shared" si="43"/>
        <v>Còn trống</v>
      </c>
    </row>
    <row r="2795" spans="1:16" x14ac:dyDescent="0.3">
      <c r="A2795">
        <v>2794</v>
      </c>
      <c r="B2795" t="s">
        <v>6207</v>
      </c>
      <c r="C2795" t="s">
        <v>6422</v>
      </c>
      <c r="D2795" t="s">
        <v>6423</v>
      </c>
      <c r="E2795" t="s">
        <v>19</v>
      </c>
      <c r="F2795" t="s">
        <v>6225</v>
      </c>
      <c r="G2795" t="s">
        <v>6257</v>
      </c>
      <c r="H2795" t="str">
        <f>'Huong dan giao do an'!$B$14</f>
        <v>5 SV (vai trò chính): 1 PM/Scrum Master kiêm Integration; 2 BA/PO; 3 UI-UX + Frontend; 4 Backend/API + DevOps; 5 Database + QA/Tester. Mỗi SV có nhiệm vụ phụ và minh chứng cá nhân.</v>
      </c>
      <c r="I2795" t="s">
        <v>29</v>
      </c>
      <c r="J2795" t="s">
        <v>6217</v>
      </c>
      <c r="K2795" t="str">
        <f>IF(I2795="Trung bình",'Huong dan giao do an'!$B$8,IF(I2795="Khá",'Huong dan giao do an'!$B$9,'Huong dan giao do an'!$B$10))</f>
        <v>Tối thiểu 5 actor; 14-18 use case; 10-15 bảng; 4 quy trình; tích hợp ngoài/realtime hoặc xử lý nâng cao; 3 báo cáo; &gt;=45 test case; logging, backup và deploy.</v>
      </c>
      <c r="L2795" t="str">
        <f>'Huong dan giao do an'!$B$31</f>
        <v>Bắt buộc: Charter/PMP; SRS + scope/WBS; Gantt/baseline; effort-cost budget; RACI/timesheet; quality-test-defect; communication/minutes; risk register; procurement; change log; closure/lessons learned.</v>
      </c>
      <c r="M2795" t="str">
        <f>'Huong dan giao do an'!$B$33</f>
        <v>Tuần 1: 07.09–13.09.2026; Tuần 2: 14.09–20.09.2026; Tuần 3: 21.09–27.09.2026; Tuần 4: 28.09–04.10.2026; Tuần 5: 05.10–11.10.2026; Tuần 6: 12.10–18.10.2026; Tuần 7: 19.10–25.10.2026; Tuần 8: 26.10–01.11.2026.</v>
      </c>
      <c r="N27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5" s="17" t="str">
        <f t="shared" si="43"/>
        <v>Còn trống</v>
      </c>
    </row>
    <row r="2796" spans="1:16" x14ac:dyDescent="0.3">
      <c r="A2796">
        <v>2795</v>
      </c>
      <c r="B2796" t="s">
        <v>6207</v>
      </c>
      <c r="C2796" t="s">
        <v>6424</v>
      </c>
      <c r="D2796" t="s">
        <v>6425</v>
      </c>
      <c r="E2796" t="s">
        <v>26</v>
      </c>
      <c r="F2796" t="s">
        <v>6229</v>
      </c>
      <c r="G2796" t="s">
        <v>6260</v>
      </c>
      <c r="H2796" t="str">
        <f>'Huong dan giao do an'!$B$14</f>
        <v>5 SV (vai trò chính): 1 PM/Scrum Master kiêm Integration; 2 BA/PO; 3 UI-UX + Frontend; 4 Backend/API + DevOps; 5 Database + QA/Tester. Mỗi SV có nhiệm vụ phụ và minh chứng cá nhân.</v>
      </c>
      <c r="I2796" t="s">
        <v>36</v>
      </c>
      <c r="J2796" t="s">
        <v>6222</v>
      </c>
      <c r="K2796" t="str">
        <f>IF(I2796="Trung bình",'Huong dan giao do an'!$B$8,IF(I2796="Khá",'Huong dan giao do an'!$B$9,'Huong dan giao do an'!$B$10))</f>
        <v>Tối thiểu 3 actor; 8-10 use case; 6-8 bảng dữ liệu; 2 quy trình lõi; đăng nhập/RBAC; 1 dashboard; 1 báo cáo; &gt;=25 test case; triển khai bản demo.</v>
      </c>
      <c r="L2796" t="str">
        <f>'Huong dan giao do an'!$B$31</f>
        <v>Bắt buộc: Charter/PMP; SRS + scope/WBS; Gantt/baseline; effort-cost budget; RACI/timesheet; quality-test-defect; communication/minutes; risk register; procurement; change log; closure/lessons learned.</v>
      </c>
      <c r="M2796" t="str">
        <f>'Huong dan giao do an'!$B$33</f>
        <v>Tuần 1: 07.09–13.09.2026; Tuần 2: 14.09–20.09.2026; Tuần 3: 21.09–27.09.2026; Tuần 4: 28.09–04.10.2026; Tuần 5: 05.10–11.10.2026; Tuần 6: 12.10–18.10.2026; Tuần 7: 19.10–25.10.2026; Tuần 8: 26.10–01.11.2026.</v>
      </c>
      <c r="N27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6" s="17" t="str">
        <f t="shared" si="43"/>
        <v>Còn trống</v>
      </c>
    </row>
    <row r="2797" spans="1:16" x14ac:dyDescent="0.3">
      <c r="A2797">
        <v>2796</v>
      </c>
      <c r="B2797" t="s">
        <v>6207</v>
      </c>
      <c r="C2797" t="s">
        <v>6426</v>
      </c>
      <c r="D2797" t="s">
        <v>6427</v>
      </c>
      <c r="E2797" t="s">
        <v>33</v>
      </c>
      <c r="F2797" t="s">
        <v>6210</v>
      </c>
      <c r="G2797" t="s">
        <v>6263</v>
      </c>
      <c r="H2797" t="str">
        <f>'Huong dan giao do an'!$B$14</f>
        <v>5 SV (vai trò chính): 1 PM/Scrum Master kiêm Integration; 2 BA/PO; 3 UI-UX + Frontend; 4 Backend/API + DevOps; 5 Database + QA/Tester. Mỗi SV có nhiệm vụ phụ và minh chứng cá nhân.</v>
      </c>
      <c r="I2797" t="s">
        <v>22</v>
      </c>
      <c r="J2797" t="s">
        <v>6212</v>
      </c>
      <c r="K2797" t="str">
        <f>IF(I2797="Trung bình",'Huong dan giao do an'!$B$8,IF(I2797="Khá",'Huong dan giao do an'!$B$9,'Huong dan giao do an'!$B$10))</f>
        <v>Tối thiểu 4 actor; 10-14 use case; 8-12 bảng; 3 quy trình lõi; phân quyền chi tiết; 2 báo cáo; tích hợp 1 dịch vụ; &gt;=35 test case; CI/CD hoặc deploy cloud.</v>
      </c>
      <c r="L2797" t="str">
        <f>'Huong dan giao do an'!$B$31</f>
        <v>Bắt buộc: Charter/PMP; SRS + scope/WBS; Gantt/baseline; effort-cost budget; RACI/timesheet; quality-test-defect; communication/minutes; risk register; procurement; change log; closure/lessons learned.</v>
      </c>
      <c r="M2797" t="str">
        <f>'Huong dan giao do an'!$B$33</f>
        <v>Tuần 1: 07.09–13.09.2026; Tuần 2: 14.09–20.09.2026; Tuần 3: 21.09–27.09.2026; Tuần 4: 28.09–04.10.2026; Tuần 5: 05.10–11.10.2026; Tuần 6: 12.10–18.10.2026; Tuần 7: 19.10–25.10.2026; Tuần 8: 26.10–01.11.2026.</v>
      </c>
      <c r="N27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7" s="17" t="str">
        <f t="shared" si="43"/>
        <v>Còn trống</v>
      </c>
    </row>
    <row r="2798" spans="1:16" x14ac:dyDescent="0.3">
      <c r="A2798">
        <v>2797</v>
      </c>
      <c r="B2798" t="s">
        <v>6207</v>
      </c>
      <c r="C2798" t="s">
        <v>6428</v>
      </c>
      <c r="D2798" t="s">
        <v>6429</v>
      </c>
      <c r="E2798" t="s">
        <v>40</v>
      </c>
      <c r="F2798" t="s">
        <v>6215</v>
      </c>
      <c r="G2798" t="s">
        <v>6266</v>
      </c>
      <c r="H2798" t="str">
        <f>'Huong dan giao do an'!$B$14</f>
        <v>5 SV (vai trò chính): 1 PM/Scrum Master kiêm Integration; 2 BA/PO; 3 UI-UX + Frontend; 4 Backend/API + DevOps; 5 Database + QA/Tester. Mỗi SV có nhiệm vụ phụ và minh chứng cá nhân.</v>
      </c>
      <c r="I2798" t="s">
        <v>29</v>
      </c>
      <c r="J2798" t="s">
        <v>6217</v>
      </c>
      <c r="K2798" t="str">
        <f>IF(I2798="Trung bình",'Huong dan giao do an'!$B$8,IF(I2798="Khá",'Huong dan giao do an'!$B$9,'Huong dan giao do an'!$B$10))</f>
        <v>Tối thiểu 5 actor; 14-18 use case; 10-15 bảng; 4 quy trình; tích hợp ngoài/realtime hoặc xử lý nâng cao; 3 báo cáo; &gt;=45 test case; logging, backup và deploy.</v>
      </c>
      <c r="L2798" t="str">
        <f>'Huong dan giao do an'!$B$31</f>
        <v>Bắt buộc: Charter/PMP; SRS + scope/WBS; Gantt/baseline; effort-cost budget; RACI/timesheet; quality-test-defect; communication/minutes; risk register; procurement; change log; closure/lessons learned.</v>
      </c>
      <c r="M2798" t="str">
        <f>'Huong dan giao do an'!$B$33</f>
        <v>Tuần 1: 07.09–13.09.2026; Tuần 2: 14.09–20.09.2026; Tuần 3: 21.09–27.09.2026; Tuần 4: 28.09–04.10.2026; Tuần 5: 05.10–11.10.2026; Tuần 6: 12.10–18.10.2026; Tuần 7: 19.10–25.10.2026; Tuần 8: 26.10–01.11.2026.</v>
      </c>
      <c r="N27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8" s="17" t="str">
        <f t="shared" si="43"/>
        <v>Còn trống</v>
      </c>
    </row>
    <row r="2799" spans="1:16" x14ac:dyDescent="0.3">
      <c r="A2799">
        <v>2798</v>
      </c>
      <c r="B2799" t="s">
        <v>6207</v>
      </c>
      <c r="C2799" t="s">
        <v>6430</v>
      </c>
      <c r="D2799" t="s">
        <v>6431</v>
      </c>
      <c r="E2799" t="s">
        <v>45</v>
      </c>
      <c r="F2799" t="s">
        <v>6220</v>
      </c>
      <c r="G2799" t="s">
        <v>6269</v>
      </c>
      <c r="H2799" t="str">
        <f>'Huong dan giao do an'!$B$14</f>
        <v>5 SV (vai trò chính): 1 PM/Scrum Master kiêm Integration; 2 BA/PO; 3 UI-UX + Frontend; 4 Backend/API + DevOps; 5 Database + QA/Tester. Mỗi SV có nhiệm vụ phụ và minh chứng cá nhân.</v>
      </c>
      <c r="I2799" t="s">
        <v>36</v>
      </c>
      <c r="J2799" t="s">
        <v>6222</v>
      </c>
      <c r="K2799" t="str">
        <f>IF(I2799="Trung bình",'Huong dan giao do an'!$B$8,IF(I2799="Khá",'Huong dan giao do an'!$B$9,'Huong dan giao do an'!$B$10))</f>
        <v>Tối thiểu 3 actor; 8-10 use case; 6-8 bảng dữ liệu; 2 quy trình lõi; đăng nhập/RBAC; 1 dashboard; 1 báo cáo; &gt;=25 test case; triển khai bản demo.</v>
      </c>
      <c r="L2799" t="str">
        <f>'Huong dan giao do an'!$B$31</f>
        <v>Bắt buộc: Charter/PMP; SRS + scope/WBS; Gantt/baseline; effort-cost budget; RACI/timesheet; quality-test-defect; communication/minutes; risk register; procurement; change log; closure/lessons learned.</v>
      </c>
      <c r="M2799" t="str">
        <f>'Huong dan giao do an'!$B$33</f>
        <v>Tuần 1: 07.09–13.09.2026; Tuần 2: 14.09–20.09.2026; Tuần 3: 21.09–27.09.2026; Tuần 4: 28.09–04.10.2026; Tuần 5: 05.10–11.10.2026; Tuần 6: 12.10–18.10.2026; Tuần 7: 19.10–25.10.2026; Tuần 8: 26.10–01.11.2026.</v>
      </c>
      <c r="N27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799" s="17" t="str">
        <f t="shared" si="43"/>
        <v>Còn trống</v>
      </c>
    </row>
    <row r="2800" spans="1:16" x14ac:dyDescent="0.3">
      <c r="A2800">
        <v>2799</v>
      </c>
      <c r="B2800" t="s">
        <v>6207</v>
      </c>
      <c r="C2800" t="s">
        <v>6432</v>
      </c>
      <c r="D2800" t="s">
        <v>6433</v>
      </c>
      <c r="E2800" t="s">
        <v>19</v>
      </c>
      <c r="F2800" t="s">
        <v>6225</v>
      </c>
      <c r="G2800" t="s">
        <v>6272</v>
      </c>
      <c r="H2800" t="str">
        <f>'Huong dan giao do an'!$B$14</f>
        <v>5 SV (vai trò chính): 1 PM/Scrum Master kiêm Integration; 2 BA/PO; 3 UI-UX + Frontend; 4 Backend/API + DevOps; 5 Database + QA/Tester. Mỗi SV có nhiệm vụ phụ và minh chứng cá nhân.</v>
      </c>
      <c r="I2800" t="s">
        <v>22</v>
      </c>
      <c r="J2800" t="s">
        <v>6212</v>
      </c>
      <c r="K2800" t="str">
        <f>IF(I2800="Trung bình",'Huong dan giao do an'!$B$8,IF(I2800="Khá",'Huong dan giao do an'!$B$9,'Huong dan giao do an'!$B$10))</f>
        <v>Tối thiểu 4 actor; 10-14 use case; 8-12 bảng; 3 quy trình lõi; phân quyền chi tiết; 2 báo cáo; tích hợp 1 dịch vụ; &gt;=35 test case; CI/CD hoặc deploy cloud.</v>
      </c>
      <c r="L2800" t="str">
        <f>'Huong dan giao do an'!$B$31</f>
        <v>Bắt buộc: Charter/PMP; SRS + scope/WBS; Gantt/baseline; effort-cost budget; RACI/timesheet; quality-test-defect; communication/minutes; risk register; procurement; change log; closure/lessons learned.</v>
      </c>
      <c r="M2800" t="str">
        <f>'Huong dan giao do an'!$B$33</f>
        <v>Tuần 1: 07.09–13.09.2026; Tuần 2: 14.09–20.09.2026; Tuần 3: 21.09–27.09.2026; Tuần 4: 28.09–04.10.2026; Tuần 5: 05.10–11.10.2026; Tuần 6: 12.10–18.10.2026; Tuần 7: 19.10–25.10.2026; Tuần 8: 26.10–01.11.2026.</v>
      </c>
      <c r="N28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0" s="17" t="str">
        <f t="shared" si="43"/>
        <v>Còn trống</v>
      </c>
    </row>
    <row r="2801" spans="1:16" x14ac:dyDescent="0.3">
      <c r="A2801">
        <v>2800</v>
      </c>
      <c r="B2801" t="s">
        <v>6207</v>
      </c>
      <c r="C2801" t="s">
        <v>6434</v>
      </c>
      <c r="D2801" t="s">
        <v>6435</v>
      </c>
      <c r="E2801" t="s">
        <v>26</v>
      </c>
      <c r="F2801" t="s">
        <v>6229</v>
      </c>
      <c r="G2801" t="s">
        <v>6275</v>
      </c>
      <c r="H2801" t="str">
        <f>'Huong dan giao do an'!$B$14</f>
        <v>5 SV (vai trò chính): 1 PM/Scrum Master kiêm Integration; 2 BA/PO; 3 UI-UX + Frontend; 4 Backend/API + DevOps; 5 Database + QA/Tester. Mỗi SV có nhiệm vụ phụ và minh chứng cá nhân.</v>
      </c>
      <c r="I2801" t="s">
        <v>29</v>
      </c>
      <c r="J2801" t="s">
        <v>6217</v>
      </c>
      <c r="K2801" t="str">
        <f>IF(I2801="Trung bình",'Huong dan giao do an'!$B$8,IF(I2801="Khá",'Huong dan giao do an'!$B$9,'Huong dan giao do an'!$B$10))</f>
        <v>Tối thiểu 5 actor; 14-18 use case; 10-15 bảng; 4 quy trình; tích hợp ngoài/realtime hoặc xử lý nâng cao; 3 báo cáo; &gt;=45 test case; logging, backup và deploy.</v>
      </c>
      <c r="L2801" t="str">
        <f>'Huong dan giao do an'!$B$31</f>
        <v>Bắt buộc: Charter/PMP; SRS + scope/WBS; Gantt/baseline; effort-cost budget; RACI/timesheet; quality-test-defect; communication/minutes; risk register; procurement; change log; closure/lessons learned.</v>
      </c>
      <c r="M2801" t="str">
        <f>'Huong dan giao do an'!$B$33</f>
        <v>Tuần 1: 07.09–13.09.2026; Tuần 2: 14.09–20.09.2026; Tuần 3: 21.09–27.09.2026; Tuần 4: 28.09–04.10.2026; Tuần 5: 05.10–11.10.2026; Tuần 6: 12.10–18.10.2026; Tuần 7: 19.10–25.10.2026; Tuần 8: 26.10–01.11.2026.</v>
      </c>
      <c r="N28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1" s="17" t="str">
        <f t="shared" si="43"/>
        <v>Còn trống</v>
      </c>
    </row>
    <row r="2802" spans="1:16" x14ac:dyDescent="0.3">
      <c r="A2802">
        <v>2801</v>
      </c>
      <c r="B2802" t="s">
        <v>6436</v>
      </c>
      <c r="C2802" t="s">
        <v>6437</v>
      </c>
      <c r="D2802" t="s">
        <v>6438</v>
      </c>
      <c r="E2802" t="s">
        <v>40</v>
      </c>
      <c r="F2802" t="s">
        <v>6439</v>
      </c>
      <c r="G2802" t="s">
        <v>6440</v>
      </c>
      <c r="H2802" t="str">
        <f>'Huong dan giao do an'!$B$14</f>
        <v>5 SV (vai trò chính): 1 PM/Scrum Master kiêm Integration; 2 BA/PO; 3 UI-UX + Frontend; 4 Backend/API + DevOps; 5 Database + QA/Tester. Mỗi SV có nhiệm vụ phụ và minh chứng cá nhân.</v>
      </c>
      <c r="I2802" t="s">
        <v>22</v>
      </c>
      <c r="J2802" t="s">
        <v>6441</v>
      </c>
      <c r="K2802" t="str">
        <f>IF(I2802="Trung bình",'Huong dan giao do an'!$B$8,IF(I2802="Khá",'Huong dan giao do an'!$B$9,'Huong dan giao do an'!$B$10))</f>
        <v>Tối thiểu 4 actor; 10-14 use case; 8-12 bảng; 3 quy trình lõi; phân quyền chi tiết; 2 báo cáo; tích hợp 1 dịch vụ; &gt;=35 test case; CI/CD hoặc deploy cloud.</v>
      </c>
      <c r="L2802" t="str">
        <f>'Huong dan giao do an'!$B$31</f>
        <v>Bắt buộc: Charter/PMP; SRS + scope/WBS; Gantt/baseline; effort-cost budget; RACI/timesheet; quality-test-defect; communication/minutes; risk register; procurement; change log; closure/lessons learned.</v>
      </c>
      <c r="M2802" t="str">
        <f>'Huong dan giao do an'!$B$33</f>
        <v>Tuần 1: 07.09–13.09.2026; Tuần 2: 14.09–20.09.2026; Tuần 3: 21.09–27.09.2026; Tuần 4: 28.09–04.10.2026; Tuần 5: 05.10–11.10.2026; Tuần 6: 12.10–18.10.2026; Tuần 7: 19.10–25.10.2026; Tuần 8: 26.10–01.11.2026.</v>
      </c>
      <c r="N28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2" s="17" t="str">
        <f t="shared" si="43"/>
        <v>Còn trống</v>
      </c>
    </row>
    <row r="2803" spans="1:16" x14ac:dyDescent="0.3">
      <c r="A2803">
        <v>2802</v>
      </c>
      <c r="B2803" t="s">
        <v>6436</v>
      </c>
      <c r="C2803" t="s">
        <v>6442</v>
      </c>
      <c r="D2803" t="s">
        <v>6443</v>
      </c>
      <c r="E2803" t="s">
        <v>45</v>
      </c>
      <c r="F2803" t="s">
        <v>6444</v>
      </c>
      <c r="G2803" t="s">
        <v>6445</v>
      </c>
      <c r="H2803" t="str">
        <f>'Huong dan giao do an'!$B$14</f>
        <v>5 SV (vai trò chính): 1 PM/Scrum Master kiêm Integration; 2 BA/PO; 3 UI-UX + Frontend; 4 Backend/API + DevOps; 5 Database + QA/Tester. Mỗi SV có nhiệm vụ phụ và minh chứng cá nhân.</v>
      </c>
      <c r="I2803" t="s">
        <v>29</v>
      </c>
      <c r="J2803" t="s">
        <v>6446</v>
      </c>
      <c r="K2803" t="str">
        <f>IF(I2803="Trung bình",'Huong dan giao do an'!$B$8,IF(I2803="Khá",'Huong dan giao do an'!$B$9,'Huong dan giao do an'!$B$10))</f>
        <v>Tối thiểu 5 actor; 14-18 use case; 10-15 bảng; 4 quy trình; tích hợp ngoài/realtime hoặc xử lý nâng cao; 3 báo cáo; &gt;=45 test case; logging, backup và deploy.</v>
      </c>
      <c r="L2803" t="str">
        <f>'Huong dan giao do an'!$B$31</f>
        <v>Bắt buộc: Charter/PMP; SRS + scope/WBS; Gantt/baseline; effort-cost budget; RACI/timesheet; quality-test-defect; communication/minutes; risk register; procurement; change log; closure/lessons learned.</v>
      </c>
      <c r="M2803" t="str">
        <f>'Huong dan giao do an'!$B$33</f>
        <v>Tuần 1: 07.09–13.09.2026; Tuần 2: 14.09–20.09.2026; Tuần 3: 21.09–27.09.2026; Tuần 4: 28.09–04.10.2026; Tuần 5: 05.10–11.10.2026; Tuần 6: 12.10–18.10.2026; Tuần 7: 19.10–25.10.2026; Tuần 8: 26.10–01.11.2026.</v>
      </c>
      <c r="N28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3" s="17" t="str">
        <f t="shared" si="43"/>
        <v>Còn trống</v>
      </c>
    </row>
    <row r="2804" spans="1:16" x14ac:dyDescent="0.3">
      <c r="A2804">
        <v>2803</v>
      </c>
      <c r="B2804" t="s">
        <v>6436</v>
      </c>
      <c r="C2804" t="s">
        <v>6447</v>
      </c>
      <c r="D2804" t="s">
        <v>6448</v>
      </c>
      <c r="E2804" t="s">
        <v>19</v>
      </c>
      <c r="F2804" t="s">
        <v>6449</v>
      </c>
      <c r="G2804" t="s">
        <v>6450</v>
      </c>
      <c r="H2804" t="str">
        <f>'Huong dan giao do an'!$B$14</f>
        <v>5 SV (vai trò chính): 1 PM/Scrum Master kiêm Integration; 2 BA/PO; 3 UI-UX + Frontend; 4 Backend/API + DevOps; 5 Database + QA/Tester. Mỗi SV có nhiệm vụ phụ và minh chứng cá nhân.</v>
      </c>
      <c r="I2804" t="s">
        <v>36</v>
      </c>
      <c r="J2804" t="s">
        <v>6451</v>
      </c>
      <c r="K2804" t="str">
        <f>IF(I2804="Trung bình",'Huong dan giao do an'!$B$8,IF(I2804="Khá",'Huong dan giao do an'!$B$9,'Huong dan giao do an'!$B$10))</f>
        <v>Tối thiểu 3 actor; 8-10 use case; 6-8 bảng dữ liệu; 2 quy trình lõi; đăng nhập/RBAC; 1 dashboard; 1 báo cáo; &gt;=25 test case; triển khai bản demo.</v>
      </c>
      <c r="L2804" t="str">
        <f>'Huong dan giao do an'!$B$31</f>
        <v>Bắt buộc: Charter/PMP; SRS + scope/WBS; Gantt/baseline; effort-cost budget; RACI/timesheet; quality-test-defect; communication/minutes; risk register; procurement; change log; closure/lessons learned.</v>
      </c>
      <c r="M2804" t="str">
        <f>'Huong dan giao do an'!$B$33</f>
        <v>Tuần 1: 07.09–13.09.2026; Tuần 2: 14.09–20.09.2026; Tuần 3: 21.09–27.09.2026; Tuần 4: 28.09–04.10.2026; Tuần 5: 05.10–11.10.2026; Tuần 6: 12.10–18.10.2026; Tuần 7: 19.10–25.10.2026; Tuần 8: 26.10–01.11.2026.</v>
      </c>
      <c r="N28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4" s="17" t="str">
        <f t="shared" si="43"/>
        <v>Còn trống</v>
      </c>
    </row>
    <row r="2805" spans="1:16" x14ac:dyDescent="0.3">
      <c r="A2805">
        <v>2804</v>
      </c>
      <c r="B2805" t="s">
        <v>6436</v>
      </c>
      <c r="C2805" t="s">
        <v>6452</v>
      </c>
      <c r="D2805" t="s">
        <v>6453</v>
      </c>
      <c r="E2805" t="s">
        <v>26</v>
      </c>
      <c r="F2805" t="s">
        <v>6454</v>
      </c>
      <c r="G2805" t="s">
        <v>6455</v>
      </c>
      <c r="H2805" t="str">
        <f>'Huong dan giao do an'!$B$14</f>
        <v>5 SV (vai trò chính): 1 PM/Scrum Master kiêm Integration; 2 BA/PO; 3 UI-UX + Frontend; 4 Backend/API + DevOps; 5 Database + QA/Tester. Mỗi SV có nhiệm vụ phụ và minh chứng cá nhân.</v>
      </c>
      <c r="I2805" t="s">
        <v>22</v>
      </c>
      <c r="J2805" t="s">
        <v>6441</v>
      </c>
      <c r="K2805" t="str">
        <f>IF(I2805="Trung bình",'Huong dan giao do an'!$B$8,IF(I2805="Khá",'Huong dan giao do an'!$B$9,'Huong dan giao do an'!$B$10))</f>
        <v>Tối thiểu 4 actor; 10-14 use case; 8-12 bảng; 3 quy trình lõi; phân quyền chi tiết; 2 báo cáo; tích hợp 1 dịch vụ; &gt;=35 test case; CI/CD hoặc deploy cloud.</v>
      </c>
      <c r="L2805" t="str">
        <f>'Huong dan giao do an'!$B$31</f>
        <v>Bắt buộc: Charter/PMP; SRS + scope/WBS; Gantt/baseline; effort-cost budget; RACI/timesheet; quality-test-defect; communication/minutes; risk register; procurement; change log; closure/lessons learned.</v>
      </c>
      <c r="M2805" t="str">
        <f>'Huong dan giao do an'!$B$33</f>
        <v>Tuần 1: 07.09–13.09.2026; Tuần 2: 14.09–20.09.2026; Tuần 3: 21.09–27.09.2026; Tuần 4: 28.09–04.10.2026; Tuần 5: 05.10–11.10.2026; Tuần 6: 12.10–18.10.2026; Tuần 7: 19.10–25.10.2026; Tuần 8: 26.10–01.11.2026.</v>
      </c>
      <c r="N28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5" s="17" t="str">
        <f t="shared" si="43"/>
        <v>Còn trống</v>
      </c>
    </row>
    <row r="2806" spans="1:16" x14ac:dyDescent="0.3">
      <c r="A2806">
        <v>2805</v>
      </c>
      <c r="B2806" t="s">
        <v>6436</v>
      </c>
      <c r="C2806" t="s">
        <v>6456</v>
      </c>
      <c r="D2806" t="s">
        <v>6457</v>
      </c>
      <c r="E2806" t="s">
        <v>33</v>
      </c>
      <c r="F2806" t="s">
        <v>6458</v>
      </c>
      <c r="G2806" t="s">
        <v>6459</v>
      </c>
      <c r="H2806" t="str">
        <f>'Huong dan giao do an'!$B$14</f>
        <v>5 SV (vai trò chính): 1 PM/Scrum Master kiêm Integration; 2 BA/PO; 3 UI-UX + Frontend; 4 Backend/API + DevOps; 5 Database + QA/Tester. Mỗi SV có nhiệm vụ phụ và minh chứng cá nhân.</v>
      </c>
      <c r="I2806" t="s">
        <v>29</v>
      </c>
      <c r="J2806" t="s">
        <v>6446</v>
      </c>
      <c r="K2806" t="str">
        <f>IF(I2806="Trung bình",'Huong dan giao do an'!$B$8,IF(I2806="Khá",'Huong dan giao do an'!$B$9,'Huong dan giao do an'!$B$10))</f>
        <v>Tối thiểu 5 actor; 14-18 use case; 10-15 bảng; 4 quy trình; tích hợp ngoài/realtime hoặc xử lý nâng cao; 3 báo cáo; &gt;=45 test case; logging, backup và deploy.</v>
      </c>
      <c r="L2806" t="str">
        <f>'Huong dan giao do an'!$B$31</f>
        <v>Bắt buộc: Charter/PMP; SRS + scope/WBS; Gantt/baseline; effort-cost budget; RACI/timesheet; quality-test-defect; communication/minutes; risk register; procurement; change log; closure/lessons learned.</v>
      </c>
      <c r="M2806" t="str">
        <f>'Huong dan giao do an'!$B$33</f>
        <v>Tuần 1: 07.09–13.09.2026; Tuần 2: 14.09–20.09.2026; Tuần 3: 21.09–27.09.2026; Tuần 4: 28.09–04.10.2026; Tuần 5: 05.10–11.10.2026; Tuần 6: 12.10–18.10.2026; Tuần 7: 19.10–25.10.2026; Tuần 8: 26.10–01.11.2026.</v>
      </c>
      <c r="N28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6" s="17" t="str">
        <f t="shared" si="43"/>
        <v>Còn trống</v>
      </c>
    </row>
    <row r="2807" spans="1:16" x14ac:dyDescent="0.3">
      <c r="A2807">
        <v>2806</v>
      </c>
      <c r="B2807" t="s">
        <v>6436</v>
      </c>
      <c r="C2807" t="s">
        <v>6460</v>
      </c>
      <c r="D2807" t="s">
        <v>6461</v>
      </c>
      <c r="E2807" t="s">
        <v>40</v>
      </c>
      <c r="F2807" t="s">
        <v>6439</v>
      </c>
      <c r="G2807" t="s">
        <v>6462</v>
      </c>
      <c r="H2807" t="str">
        <f>'Huong dan giao do an'!$B$14</f>
        <v>5 SV (vai trò chính): 1 PM/Scrum Master kiêm Integration; 2 BA/PO; 3 UI-UX + Frontend; 4 Backend/API + DevOps; 5 Database + QA/Tester. Mỗi SV có nhiệm vụ phụ và minh chứng cá nhân.</v>
      </c>
      <c r="I2807" t="s">
        <v>36</v>
      </c>
      <c r="J2807" t="s">
        <v>6451</v>
      </c>
      <c r="K2807" t="str">
        <f>IF(I2807="Trung bình",'Huong dan giao do an'!$B$8,IF(I2807="Khá",'Huong dan giao do an'!$B$9,'Huong dan giao do an'!$B$10))</f>
        <v>Tối thiểu 3 actor; 8-10 use case; 6-8 bảng dữ liệu; 2 quy trình lõi; đăng nhập/RBAC; 1 dashboard; 1 báo cáo; &gt;=25 test case; triển khai bản demo.</v>
      </c>
      <c r="L2807" t="str">
        <f>'Huong dan giao do an'!$B$31</f>
        <v>Bắt buộc: Charter/PMP; SRS + scope/WBS; Gantt/baseline; effort-cost budget; RACI/timesheet; quality-test-defect; communication/minutes; risk register; procurement; change log; closure/lessons learned.</v>
      </c>
      <c r="M2807" t="str">
        <f>'Huong dan giao do an'!$B$33</f>
        <v>Tuần 1: 07.09–13.09.2026; Tuần 2: 14.09–20.09.2026; Tuần 3: 21.09–27.09.2026; Tuần 4: 28.09–04.10.2026; Tuần 5: 05.10–11.10.2026; Tuần 6: 12.10–18.10.2026; Tuần 7: 19.10–25.10.2026; Tuần 8: 26.10–01.11.2026.</v>
      </c>
      <c r="N28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7" s="17" t="str">
        <f t="shared" si="43"/>
        <v>Còn trống</v>
      </c>
    </row>
    <row r="2808" spans="1:16" x14ac:dyDescent="0.3">
      <c r="A2808">
        <v>2807</v>
      </c>
      <c r="B2808" t="s">
        <v>6436</v>
      </c>
      <c r="C2808" t="s">
        <v>6463</v>
      </c>
      <c r="D2808" t="s">
        <v>6464</v>
      </c>
      <c r="E2808" t="s">
        <v>45</v>
      </c>
      <c r="F2808" t="s">
        <v>6444</v>
      </c>
      <c r="G2808" t="s">
        <v>6465</v>
      </c>
      <c r="H2808" t="str">
        <f>'Huong dan giao do an'!$B$14</f>
        <v>5 SV (vai trò chính): 1 PM/Scrum Master kiêm Integration; 2 BA/PO; 3 UI-UX + Frontend; 4 Backend/API + DevOps; 5 Database + QA/Tester. Mỗi SV có nhiệm vụ phụ và minh chứng cá nhân.</v>
      </c>
      <c r="I2808" t="s">
        <v>22</v>
      </c>
      <c r="J2808" t="s">
        <v>6441</v>
      </c>
      <c r="K2808" t="str">
        <f>IF(I2808="Trung bình",'Huong dan giao do an'!$B$8,IF(I2808="Khá",'Huong dan giao do an'!$B$9,'Huong dan giao do an'!$B$10))</f>
        <v>Tối thiểu 4 actor; 10-14 use case; 8-12 bảng; 3 quy trình lõi; phân quyền chi tiết; 2 báo cáo; tích hợp 1 dịch vụ; &gt;=35 test case; CI/CD hoặc deploy cloud.</v>
      </c>
      <c r="L2808" t="str">
        <f>'Huong dan giao do an'!$B$31</f>
        <v>Bắt buộc: Charter/PMP; SRS + scope/WBS; Gantt/baseline; effort-cost budget; RACI/timesheet; quality-test-defect; communication/minutes; risk register; procurement; change log; closure/lessons learned.</v>
      </c>
      <c r="M2808" t="str">
        <f>'Huong dan giao do an'!$B$33</f>
        <v>Tuần 1: 07.09–13.09.2026; Tuần 2: 14.09–20.09.2026; Tuần 3: 21.09–27.09.2026; Tuần 4: 28.09–04.10.2026; Tuần 5: 05.10–11.10.2026; Tuần 6: 12.10–18.10.2026; Tuần 7: 19.10–25.10.2026; Tuần 8: 26.10–01.11.2026.</v>
      </c>
      <c r="N28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8" s="17" t="str">
        <f t="shared" si="43"/>
        <v>Còn trống</v>
      </c>
    </row>
    <row r="2809" spans="1:16" x14ac:dyDescent="0.3">
      <c r="A2809">
        <v>2808</v>
      </c>
      <c r="B2809" t="s">
        <v>6436</v>
      </c>
      <c r="C2809" t="s">
        <v>6466</v>
      </c>
      <c r="D2809" t="s">
        <v>6467</v>
      </c>
      <c r="E2809" t="s">
        <v>19</v>
      </c>
      <c r="F2809" t="s">
        <v>6449</v>
      </c>
      <c r="G2809" t="s">
        <v>6468</v>
      </c>
      <c r="H2809" t="str">
        <f>'Huong dan giao do an'!$B$14</f>
        <v>5 SV (vai trò chính): 1 PM/Scrum Master kiêm Integration; 2 BA/PO; 3 UI-UX + Frontend; 4 Backend/API + DevOps; 5 Database + QA/Tester. Mỗi SV có nhiệm vụ phụ và minh chứng cá nhân.</v>
      </c>
      <c r="I2809" t="s">
        <v>29</v>
      </c>
      <c r="J2809" t="s">
        <v>6446</v>
      </c>
      <c r="K2809" t="str">
        <f>IF(I2809="Trung bình",'Huong dan giao do an'!$B$8,IF(I2809="Khá",'Huong dan giao do an'!$B$9,'Huong dan giao do an'!$B$10))</f>
        <v>Tối thiểu 5 actor; 14-18 use case; 10-15 bảng; 4 quy trình; tích hợp ngoài/realtime hoặc xử lý nâng cao; 3 báo cáo; &gt;=45 test case; logging, backup và deploy.</v>
      </c>
      <c r="L2809" t="str">
        <f>'Huong dan giao do an'!$B$31</f>
        <v>Bắt buộc: Charter/PMP; SRS + scope/WBS; Gantt/baseline; effort-cost budget; RACI/timesheet; quality-test-defect; communication/minutes; risk register; procurement; change log; closure/lessons learned.</v>
      </c>
      <c r="M2809" t="str">
        <f>'Huong dan giao do an'!$B$33</f>
        <v>Tuần 1: 07.09–13.09.2026; Tuần 2: 14.09–20.09.2026; Tuần 3: 21.09–27.09.2026; Tuần 4: 28.09–04.10.2026; Tuần 5: 05.10–11.10.2026; Tuần 6: 12.10–18.10.2026; Tuần 7: 19.10–25.10.2026; Tuần 8: 26.10–01.11.2026.</v>
      </c>
      <c r="N28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09" s="17" t="str">
        <f t="shared" si="43"/>
        <v>Còn trống</v>
      </c>
    </row>
    <row r="2810" spans="1:16" x14ac:dyDescent="0.3">
      <c r="A2810">
        <v>2809</v>
      </c>
      <c r="B2810" t="s">
        <v>6436</v>
      </c>
      <c r="C2810" t="s">
        <v>6469</v>
      </c>
      <c r="D2810" t="s">
        <v>6470</v>
      </c>
      <c r="E2810" t="s">
        <v>26</v>
      </c>
      <c r="F2810" t="s">
        <v>6454</v>
      </c>
      <c r="G2810" t="s">
        <v>6471</v>
      </c>
      <c r="H2810" t="str">
        <f>'Huong dan giao do an'!$B$14</f>
        <v>5 SV (vai trò chính): 1 PM/Scrum Master kiêm Integration; 2 BA/PO; 3 UI-UX + Frontend; 4 Backend/API + DevOps; 5 Database + QA/Tester. Mỗi SV có nhiệm vụ phụ và minh chứng cá nhân.</v>
      </c>
      <c r="I2810" t="s">
        <v>36</v>
      </c>
      <c r="J2810" t="s">
        <v>6451</v>
      </c>
      <c r="K2810" t="str">
        <f>IF(I2810="Trung bình",'Huong dan giao do an'!$B$8,IF(I2810="Khá",'Huong dan giao do an'!$B$9,'Huong dan giao do an'!$B$10))</f>
        <v>Tối thiểu 3 actor; 8-10 use case; 6-8 bảng dữ liệu; 2 quy trình lõi; đăng nhập/RBAC; 1 dashboard; 1 báo cáo; &gt;=25 test case; triển khai bản demo.</v>
      </c>
      <c r="L2810" t="str">
        <f>'Huong dan giao do an'!$B$31</f>
        <v>Bắt buộc: Charter/PMP; SRS + scope/WBS; Gantt/baseline; effort-cost budget; RACI/timesheet; quality-test-defect; communication/minutes; risk register; procurement; change log; closure/lessons learned.</v>
      </c>
      <c r="M2810" t="str">
        <f>'Huong dan giao do an'!$B$33</f>
        <v>Tuần 1: 07.09–13.09.2026; Tuần 2: 14.09–20.09.2026; Tuần 3: 21.09–27.09.2026; Tuần 4: 28.09–04.10.2026; Tuần 5: 05.10–11.10.2026; Tuần 6: 12.10–18.10.2026; Tuần 7: 19.10–25.10.2026; Tuần 8: 26.10–01.11.2026.</v>
      </c>
      <c r="N28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0" s="17" t="str">
        <f t="shared" si="43"/>
        <v>Còn trống</v>
      </c>
    </row>
    <row r="2811" spans="1:16" x14ac:dyDescent="0.3">
      <c r="A2811">
        <v>2810</v>
      </c>
      <c r="B2811" t="s">
        <v>6436</v>
      </c>
      <c r="C2811" t="s">
        <v>6472</v>
      </c>
      <c r="D2811" t="s">
        <v>6473</v>
      </c>
      <c r="E2811" t="s">
        <v>33</v>
      </c>
      <c r="F2811" t="s">
        <v>6458</v>
      </c>
      <c r="G2811" t="s">
        <v>6474</v>
      </c>
      <c r="H2811" t="str">
        <f>'Huong dan giao do an'!$B$14</f>
        <v>5 SV (vai trò chính): 1 PM/Scrum Master kiêm Integration; 2 BA/PO; 3 UI-UX + Frontend; 4 Backend/API + DevOps; 5 Database + QA/Tester. Mỗi SV có nhiệm vụ phụ và minh chứng cá nhân.</v>
      </c>
      <c r="I2811" t="s">
        <v>22</v>
      </c>
      <c r="J2811" t="s">
        <v>6441</v>
      </c>
      <c r="K2811" t="str">
        <f>IF(I2811="Trung bình",'Huong dan giao do an'!$B$8,IF(I2811="Khá",'Huong dan giao do an'!$B$9,'Huong dan giao do an'!$B$10))</f>
        <v>Tối thiểu 4 actor; 10-14 use case; 8-12 bảng; 3 quy trình lõi; phân quyền chi tiết; 2 báo cáo; tích hợp 1 dịch vụ; &gt;=35 test case; CI/CD hoặc deploy cloud.</v>
      </c>
      <c r="L2811" t="str">
        <f>'Huong dan giao do an'!$B$31</f>
        <v>Bắt buộc: Charter/PMP; SRS + scope/WBS; Gantt/baseline; effort-cost budget; RACI/timesheet; quality-test-defect; communication/minutes; risk register; procurement; change log; closure/lessons learned.</v>
      </c>
      <c r="M2811" t="str">
        <f>'Huong dan giao do an'!$B$33</f>
        <v>Tuần 1: 07.09–13.09.2026; Tuần 2: 14.09–20.09.2026; Tuần 3: 21.09–27.09.2026; Tuần 4: 28.09–04.10.2026; Tuần 5: 05.10–11.10.2026; Tuần 6: 12.10–18.10.2026; Tuần 7: 19.10–25.10.2026; Tuần 8: 26.10–01.11.2026.</v>
      </c>
      <c r="N28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1" s="17" t="str">
        <f t="shared" si="43"/>
        <v>Còn trống</v>
      </c>
    </row>
    <row r="2812" spans="1:16" x14ac:dyDescent="0.3">
      <c r="A2812">
        <v>2811</v>
      </c>
      <c r="B2812" t="s">
        <v>6436</v>
      </c>
      <c r="C2812" t="s">
        <v>6475</v>
      </c>
      <c r="D2812" t="s">
        <v>6476</v>
      </c>
      <c r="E2812" t="s">
        <v>40</v>
      </c>
      <c r="F2812" t="s">
        <v>6439</v>
      </c>
      <c r="G2812" t="s">
        <v>6477</v>
      </c>
      <c r="H2812" t="str">
        <f>'Huong dan giao do an'!$B$14</f>
        <v>5 SV (vai trò chính): 1 PM/Scrum Master kiêm Integration; 2 BA/PO; 3 UI-UX + Frontend; 4 Backend/API + DevOps; 5 Database + QA/Tester. Mỗi SV có nhiệm vụ phụ và minh chứng cá nhân.</v>
      </c>
      <c r="I2812" t="s">
        <v>29</v>
      </c>
      <c r="J2812" t="s">
        <v>6446</v>
      </c>
      <c r="K2812" t="str">
        <f>IF(I2812="Trung bình",'Huong dan giao do an'!$B$8,IF(I2812="Khá",'Huong dan giao do an'!$B$9,'Huong dan giao do an'!$B$10))</f>
        <v>Tối thiểu 5 actor; 14-18 use case; 10-15 bảng; 4 quy trình; tích hợp ngoài/realtime hoặc xử lý nâng cao; 3 báo cáo; &gt;=45 test case; logging, backup và deploy.</v>
      </c>
      <c r="L2812" t="str">
        <f>'Huong dan giao do an'!$B$31</f>
        <v>Bắt buộc: Charter/PMP; SRS + scope/WBS; Gantt/baseline; effort-cost budget; RACI/timesheet; quality-test-defect; communication/minutes; risk register; procurement; change log; closure/lessons learned.</v>
      </c>
      <c r="M2812" t="str">
        <f>'Huong dan giao do an'!$B$33</f>
        <v>Tuần 1: 07.09–13.09.2026; Tuần 2: 14.09–20.09.2026; Tuần 3: 21.09–27.09.2026; Tuần 4: 28.09–04.10.2026; Tuần 5: 05.10–11.10.2026; Tuần 6: 12.10–18.10.2026; Tuần 7: 19.10–25.10.2026; Tuần 8: 26.10–01.11.2026.</v>
      </c>
      <c r="N28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2" s="17" t="str">
        <f t="shared" si="43"/>
        <v>Còn trống</v>
      </c>
    </row>
    <row r="2813" spans="1:16" x14ac:dyDescent="0.3">
      <c r="A2813">
        <v>2812</v>
      </c>
      <c r="B2813" t="s">
        <v>6436</v>
      </c>
      <c r="C2813" t="s">
        <v>6478</v>
      </c>
      <c r="D2813" t="s">
        <v>6479</v>
      </c>
      <c r="E2813" t="s">
        <v>45</v>
      </c>
      <c r="F2813" t="s">
        <v>6444</v>
      </c>
      <c r="G2813" t="s">
        <v>6480</v>
      </c>
      <c r="H2813" t="str">
        <f>'Huong dan giao do an'!$B$14</f>
        <v>5 SV (vai trò chính): 1 PM/Scrum Master kiêm Integration; 2 BA/PO; 3 UI-UX + Frontend; 4 Backend/API + DevOps; 5 Database + QA/Tester. Mỗi SV có nhiệm vụ phụ và minh chứng cá nhân.</v>
      </c>
      <c r="I2813" t="s">
        <v>36</v>
      </c>
      <c r="J2813" t="s">
        <v>6451</v>
      </c>
      <c r="K2813" t="str">
        <f>IF(I2813="Trung bình",'Huong dan giao do an'!$B$8,IF(I2813="Khá",'Huong dan giao do an'!$B$9,'Huong dan giao do an'!$B$10))</f>
        <v>Tối thiểu 3 actor; 8-10 use case; 6-8 bảng dữ liệu; 2 quy trình lõi; đăng nhập/RBAC; 1 dashboard; 1 báo cáo; &gt;=25 test case; triển khai bản demo.</v>
      </c>
      <c r="L2813" t="str">
        <f>'Huong dan giao do an'!$B$31</f>
        <v>Bắt buộc: Charter/PMP; SRS + scope/WBS; Gantt/baseline; effort-cost budget; RACI/timesheet; quality-test-defect; communication/minutes; risk register; procurement; change log; closure/lessons learned.</v>
      </c>
      <c r="M2813" t="str">
        <f>'Huong dan giao do an'!$B$33</f>
        <v>Tuần 1: 07.09–13.09.2026; Tuần 2: 14.09–20.09.2026; Tuần 3: 21.09–27.09.2026; Tuần 4: 28.09–04.10.2026; Tuần 5: 05.10–11.10.2026; Tuần 6: 12.10–18.10.2026; Tuần 7: 19.10–25.10.2026; Tuần 8: 26.10–01.11.2026.</v>
      </c>
      <c r="N28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3" s="17" t="str">
        <f t="shared" si="43"/>
        <v>Còn trống</v>
      </c>
    </row>
    <row r="2814" spans="1:16" x14ac:dyDescent="0.3">
      <c r="A2814">
        <v>2813</v>
      </c>
      <c r="B2814" t="s">
        <v>6436</v>
      </c>
      <c r="C2814" t="s">
        <v>6481</v>
      </c>
      <c r="D2814" t="s">
        <v>6482</v>
      </c>
      <c r="E2814" t="s">
        <v>19</v>
      </c>
      <c r="F2814" t="s">
        <v>6449</v>
      </c>
      <c r="G2814" t="s">
        <v>6483</v>
      </c>
      <c r="H2814" t="str">
        <f>'Huong dan giao do an'!$B$14</f>
        <v>5 SV (vai trò chính): 1 PM/Scrum Master kiêm Integration; 2 BA/PO; 3 UI-UX + Frontend; 4 Backend/API + DevOps; 5 Database + QA/Tester. Mỗi SV có nhiệm vụ phụ và minh chứng cá nhân.</v>
      </c>
      <c r="I2814" t="s">
        <v>22</v>
      </c>
      <c r="J2814" t="s">
        <v>6441</v>
      </c>
      <c r="K2814" t="str">
        <f>IF(I2814="Trung bình",'Huong dan giao do an'!$B$8,IF(I2814="Khá",'Huong dan giao do an'!$B$9,'Huong dan giao do an'!$B$10))</f>
        <v>Tối thiểu 4 actor; 10-14 use case; 8-12 bảng; 3 quy trình lõi; phân quyền chi tiết; 2 báo cáo; tích hợp 1 dịch vụ; &gt;=35 test case; CI/CD hoặc deploy cloud.</v>
      </c>
      <c r="L2814" t="str">
        <f>'Huong dan giao do an'!$B$31</f>
        <v>Bắt buộc: Charter/PMP; SRS + scope/WBS; Gantt/baseline; effort-cost budget; RACI/timesheet; quality-test-defect; communication/minutes; risk register; procurement; change log; closure/lessons learned.</v>
      </c>
      <c r="M2814" t="str">
        <f>'Huong dan giao do an'!$B$33</f>
        <v>Tuần 1: 07.09–13.09.2026; Tuần 2: 14.09–20.09.2026; Tuần 3: 21.09–27.09.2026; Tuần 4: 28.09–04.10.2026; Tuần 5: 05.10–11.10.2026; Tuần 6: 12.10–18.10.2026; Tuần 7: 19.10–25.10.2026; Tuần 8: 26.10–01.11.2026.</v>
      </c>
      <c r="N28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4" s="17" t="str">
        <f t="shared" si="43"/>
        <v>Còn trống</v>
      </c>
    </row>
    <row r="2815" spans="1:16" x14ac:dyDescent="0.3">
      <c r="A2815">
        <v>2814</v>
      </c>
      <c r="B2815" t="s">
        <v>6436</v>
      </c>
      <c r="C2815" t="s">
        <v>6484</v>
      </c>
      <c r="D2815" t="s">
        <v>6485</v>
      </c>
      <c r="E2815" t="s">
        <v>26</v>
      </c>
      <c r="F2815" t="s">
        <v>6454</v>
      </c>
      <c r="G2815" t="s">
        <v>6486</v>
      </c>
      <c r="H2815" t="str">
        <f>'Huong dan giao do an'!$B$14</f>
        <v>5 SV (vai trò chính): 1 PM/Scrum Master kiêm Integration; 2 BA/PO; 3 UI-UX + Frontend; 4 Backend/API + DevOps; 5 Database + QA/Tester. Mỗi SV có nhiệm vụ phụ và minh chứng cá nhân.</v>
      </c>
      <c r="I2815" t="s">
        <v>29</v>
      </c>
      <c r="J2815" t="s">
        <v>6446</v>
      </c>
      <c r="K2815" t="str">
        <f>IF(I2815="Trung bình",'Huong dan giao do an'!$B$8,IF(I2815="Khá",'Huong dan giao do an'!$B$9,'Huong dan giao do an'!$B$10))</f>
        <v>Tối thiểu 5 actor; 14-18 use case; 10-15 bảng; 4 quy trình; tích hợp ngoài/realtime hoặc xử lý nâng cao; 3 báo cáo; &gt;=45 test case; logging, backup và deploy.</v>
      </c>
      <c r="L2815" t="str">
        <f>'Huong dan giao do an'!$B$31</f>
        <v>Bắt buộc: Charter/PMP; SRS + scope/WBS; Gantt/baseline; effort-cost budget; RACI/timesheet; quality-test-defect; communication/minutes; risk register; procurement; change log; closure/lessons learned.</v>
      </c>
      <c r="M2815" t="str">
        <f>'Huong dan giao do an'!$B$33</f>
        <v>Tuần 1: 07.09–13.09.2026; Tuần 2: 14.09–20.09.2026; Tuần 3: 21.09–27.09.2026; Tuần 4: 28.09–04.10.2026; Tuần 5: 05.10–11.10.2026; Tuần 6: 12.10–18.10.2026; Tuần 7: 19.10–25.10.2026; Tuần 8: 26.10–01.11.2026.</v>
      </c>
      <c r="N28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5" s="17" t="str">
        <f t="shared" si="43"/>
        <v>Còn trống</v>
      </c>
    </row>
    <row r="2816" spans="1:16" x14ac:dyDescent="0.3">
      <c r="A2816">
        <v>2815</v>
      </c>
      <c r="B2816" t="s">
        <v>6436</v>
      </c>
      <c r="C2816" t="s">
        <v>6487</v>
      </c>
      <c r="D2816" t="s">
        <v>6488</v>
      </c>
      <c r="E2816" t="s">
        <v>33</v>
      </c>
      <c r="F2816" t="s">
        <v>6458</v>
      </c>
      <c r="G2816" t="s">
        <v>6489</v>
      </c>
      <c r="H2816" t="str">
        <f>'Huong dan giao do an'!$B$14</f>
        <v>5 SV (vai trò chính): 1 PM/Scrum Master kiêm Integration; 2 BA/PO; 3 UI-UX + Frontend; 4 Backend/API + DevOps; 5 Database + QA/Tester. Mỗi SV có nhiệm vụ phụ và minh chứng cá nhân.</v>
      </c>
      <c r="I2816" t="s">
        <v>36</v>
      </c>
      <c r="J2816" t="s">
        <v>6451</v>
      </c>
      <c r="K2816" t="str">
        <f>IF(I2816="Trung bình",'Huong dan giao do an'!$B$8,IF(I2816="Khá",'Huong dan giao do an'!$B$9,'Huong dan giao do an'!$B$10))</f>
        <v>Tối thiểu 3 actor; 8-10 use case; 6-8 bảng dữ liệu; 2 quy trình lõi; đăng nhập/RBAC; 1 dashboard; 1 báo cáo; &gt;=25 test case; triển khai bản demo.</v>
      </c>
      <c r="L2816" t="str">
        <f>'Huong dan giao do an'!$B$31</f>
        <v>Bắt buộc: Charter/PMP; SRS + scope/WBS; Gantt/baseline; effort-cost budget; RACI/timesheet; quality-test-defect; communication/minutes; risk register; procurement; change log; closure/lessons learned.</v>
      </c>
      <c r="M2816" t="str">
        <f>'Huong dan giao do an'!$B$33</f>
        <v>Tuần 1: 07.09–13.09.2026; Tuần 2: 14.09–20.09.2026; Tuần 3: 21.09–27.09.2026; Tuần 4: 28.09–04.10.2026; Tuần 5: 05.10–11.10.2026; Tuần 6: 12.10–18.10.2026; Tuần 7: 19.10–25.10.2026; Tuần 8: 26.10–01.11.2026.</v>
      </c>
      <c r="N28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6" s="17" t="str">
        <f t="shared" si="43"/>
        <v>Còn trống</v>
      </c>
    </row>
    <row r="2817" spans="1:16" x14ac:dyDescent="0.3">
      <c r="A2817">
        <v>2816</v>
      </c>
      <c r="B2817" t="s">
        <v>6436</v>
      </c>
      <c r="C2817" t="s">
        <v>6490</v>
      </c>
      <c r="D2817" t="s">
        <v>6491</v>
      </c>
      <c r="E2817" t="s">
        <v>40</v>
      </c>
      <c r="F2817" t="s">
        <v>6439</v>
      </c>
      <c r="G2817" t="s">
        <v>6492</v>
      </c>
      <c r="H2817" t="str">
        <f>'Huong dan giao do an'!$B$14</f>
        <v>5 SV (vai trò chính): 1 PM/Scrum Master kiêm Integration; 2 BA/PO; 3 UI-UX + Frontend; 4 Backend/API + DevOps; 5 Database + QA/Tester. Mỗi SV có nhiệm vụ phụ và minh chứng cá nhân.</v>
      </c>
      <c r="I2817" t="s">
        <v>22</v>
      </c>
      <c r="J2817" t="s">
        <v>6441</v>
      </c>
      <c r="K2817" t="str">
        <f>IF(I2817="Trung bình",'Huong dan giao do an'!$B$8,IF(I2817="Khá",'Huong dan giao do an'!$B$9,'Huong dan giao do an'!$B$10))</f>
        <v>Tối thiểu 4 actor; 10-14 use case; 8-12 bảng; 3 quy trình lõi; phân quyền chi tiết; 2 báo cáo; tích hợp 1 dịch vụ; &gt;=35 test case; CI/CD hoặc deploy cloud.</v>
      </c>
      <c r="L2817" t="str">
        <f>'Huong dan giao do an'!$B$31</f>
        <v>Bắt buộc: Charter/PMP; SRS + scope/WBS; Gantt/baseline; effort-cost budget; RACI/timesheet; quality-test-defect; communication/minutes; risk register; procurement; change log; closure/lessons learned.</v>
      </c>
      <c r="M2817" t="str">
        <f>'Huong dan giao do an'!$B$33</f>
        <v>Tuần 1: 07.09–13.09.2026; Tuần 2: 14.09–20.09.2026; Tuần 3: 21.09–27.09.2026; Tuần 4: 28.09–04.10.2026; Tuần 5: 05.10–11.10.2026; Tuần 6: 12.10–18.10.2026; Tuần 7: 19.10–25.10.2026; Tuần 8: 26.10–01.11.2026.</v>
      </c>
      <c r="N28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7" s="17" t="str">
        <f t="shared" si="43"/>
        <v>Còn trống</v>
      </c>
    </row>
    <row r="2818" spans="1:16" x14ac:dyDescent="0.3">
      <c r="A2818">
        <v>2817</v>
      </c>
      <c r="B2818" t="s">
        <v>6436</v>
      </c>
      <c r="C2818" t="s">
        <v>6493</v>
      </c>
      <c r="D2818" t="s">
        <v>6494</v>
      </c>
      <c r="E2818" t="s">
        <v>45</v>
      </c>
      <c r="F2818" t="s">
        <v>6444</v>
      </c>
      <c r="G2818" t="s">
        <v>6495</v>
      </c>
      <c r="H2818" t="str">
        <f>'Huong dan giao do an'!$B$14</f>
        <v>5 SV (vai trò chính): 1 PM/Scrum Master kiêm Integration; 2 BA/PO; 3 UI-UX + Frontend; 4 Backend/API + DevOps; 5 Database + QA/Tester. Mỗi SV có nhiệm vụ phụ và minh chứng cá nhân.</v>
      </c>
      <c r="I2818" t="s">
        <v>29</v>
      </c>
      <c r="J2818" t="s">
        <v>6446</v>
      </c>
      <c r="K2818" t="str">
        <f>IF(I2818="Trung bình",'Huong dan giao do an'!$B$8,IF(I2818="Khá",'Huong dan giao do an'!$B$9,'Huong dan giao do an'!$B$10))</f>
        <v>Tối thiểu 5 actor; 14-18 use case; 10-15 bảng; 4 quy trình; tích hợp ngoài/realtime hoặc xử lý nâng cao; 3 báo cáo; &gt;=45 test case; logging, backup và deploy.</v>
      </c>
      <c r="L2818" t="str">
        <f>'Huong dan giao do an'!$B$31</f>
        <v>Bắt buộc: Charter/PMP; SRS + scope/WBS; Gantt/baseline; effort-cost budget; RACI/timesheet; quality-test-defect; communication/minutes; risk register; procurement; change log; closure/lessons learned.</v>
      </c>
      <c r="M2818" t="str">
        <f>'Huong dan giao do an'!$B$33</f>
        <v>Tuần 1: 07.09–13.09.2026; Tuần 2: 14.09–20.09.2026; Tuần 3: 21.09–27.09.2026; Tuần 4: 28.09–04.10.2026; Tuần 5: 05.10–11.10.2026; Tuần 6: 12.10–18.10.2026; Tuần 7: 19.10–25.10.2026; Tuần 8: 26.10–01.11.2026.</v>
      </c>
      <c r="N28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8" s="17" t="str">
        <f t="shared" si="43"/>
        <v>Còn trống</v>
      </c>
    </row>
    <row r="2819" spans="1:16" x14ac:dyDescent="0.3">
      <c r="A2819">
        <v>2818</v>
      </c>
      <c r="B2819" t="s">
        <v>6436</v>
      </c>
      <c r="C2819" t="s">
        <v>6496</v>
      </c>
      <c r="D2819" t="s">
        <v>6497</v>
      </c>
      <c r="E2819" t="s">
        <v>19</v>
      </c>
      <c r="F2819" t="s">
        <v>6449</v>
      </c>
      <c r="G2819" t="s">
        <v>6498</v>
      </c>
      <c r="H2819" t="str">
        <f>'Huong dan giao do an'!$B$14</f>
        <v>5 SV (vai trò chính): 1 PM/Scrum Master kiêm Integration; 2 BA/PO; 3 UI-UX + Frontend; 4 Backend/API + DevOps; 5 Database + QA/Tester. Mỗi SV có nhiệm vụ phụ và minh chứng cá nhân.</v>
      </c>
      <c r="I2819" t="s">
        <v>36</v>
      </c>
      <c r="J2819" t="s">
        <v>6451</v>
      </c>
      <c r="K2819" t="str">
        <f>IF(I2819="Trung bình",'Huong dan giao do an'!$B$8,IF(I2819="Khá",'Huong dan giao do an'!$B$9,'Huong dan giao do an'!$B$10))</f>
        <v>Tối thiểu 3 actor; 8-10 use case; 6-8 bảng dữ liệu; 2 quy trình lõi; đăng nhập/RBAC; 1 dashboard; 1 báo cáo; &gt;=25 test case; triển khai bản demo.</v>
      </c>
      <c r="L2819" t="str">
        <f>'Huong dan giao do an'!$B$31</f>
        <v>Bắt buộc: Charter/PMP; SRS + scope/WBS; Gantt/baseline; effort-cost budget; RACI/timesheet; quality-test-defect; communication/minutes; risk register; procurement; change log; closure/lessons learned.</v>
      </c>
      <c r="M2819" t="str">
        <f>'Huong dan giao do an'!$B$33</f>
        <v>Tuần 1: 07.09–13.09.2026; Tuần 2: 14.09–20.09.2026; Tuần 3: 21.09–27.09.2026; Tuần 4: 28.09–04.10.2026; Tuần 5: 05.10–11.10.2026; Tuần 6: 12.10–18.10.2026; Tuần 7: 19.10–25.10.2026; Tuần 8: 26.10–01.11.2026.</v>
      </c>
      <c r="N28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19" s="17" t="str">
        <f t="shared" ref="P2819:P2882" si="44">IF(O2819="","Còn trống","Đã đăng ký")</f>
        <v>Còn trống</v>
      </c>
    </row>
    <row r="2820" spans="1:16" x14ac:dyDescent="0.3">
      <c r="A2820">
        <v>2819</v>
      </c>
      <c r="B2820" t="s">
        <v>6436</v>
      </c>
      <c r="C2820" t="s">
        <v>6499</v>
      </c>
      <c r="D2820" t="s">
        <v>6500</v>
      </c>
      <c r="E2820" t="s">
        <v>26</v>
      </c>
      <c r="F2820" t="s">
        <v>6454</v>
      </c>
      <c r="G2820" t="s">
        <v>6501</v>
      </c>
      <c r="H2820" t="str">
        <f>'Huong dan giao do an'!$B$14</f>
        <v>5 SV (vai trò chính): 1 PM/Scrum Master kiêm Integration; 2 BA/PO; 3 UI-UX + Frontend; 4 Backend/API + DevOps; 5 Database + QA/Tester. Mỗi SV có nhiệm vụ phụ và minh chứng cá nhân.</v>
      </c>
      <c r="I2820" t="s">
        <v>22</v>
      </c>
      <c r="J2820" t="s">
        <v>6441</v>
      </c>
      <c r="K2820" t="str">
        <f>IF(I2820="Trung bình",'Huong dan giao do an'!$B$8,IF(I2820="Khá",'Huong dan giao do an'!$B$9,'Huong dan giao do an'!$B$10))</f>
        <v>Tối thiểu 4 actor; 10-14 use case; 8-12 bảng; 3 quy trình lõi; phân quyền chi tiết; 2 báo cáo; tích hợp 1 dịch vụ; &gt;=35 test case; CI/CD hoặc deploy cloud.</v>
      </c>
      <c r="L2820" t="str">
        <f>'Huong dan giao do an'!$B$31</f>
        <v>Bắt buộc: Charter/PMP; SRS + scope/WBS; Gantt/baseline; effort-cost budget; RACI/timesheet; quality-test-defect; communication/minutes; risk register; procurement; change log; closure/lessons learned.</v>
      </c>
      <c r="M2820" t="str">
        <f>'Huong dan giao do an'!$B$33</f>
        <v>Tuần 1: 07.09–13.09.2026; Tuần 2: 14.09–20.09.2026; Tuần 3: 21.09–27.09.2026; Tuần 4: 28.09–04.10.2026; Tuần 5: 05.10–11.10.2026; Tuần 6: 12.10–18.10.2026; Tuần 7: 19.10–25.10.2026; Tuần 8: 26.10–01.11.2026.</v>
      </c>
      <c r="N28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0" s="17" t="str">
        <f t="shared" si="44"/>
        <v>Còn trống</v>
      </c>
    </row>
    <row r="2821" spans="1:16" x14ac:dyDescent="0.3">
      <c r="A2821">
        <v>2820</v>
      </c>
      <c r="B2821" t="s">
        <v>6436</v>
      </c>
      <c r="C2821" t="s">
        <v>6502</v>
      </c>
      <c r="D2821" t="s">
        <v>6503</v>
      </c>
      <c r="E2821" t="s">
        <v>33</v>
      </c>
      <c r="F2821" t="s">
        <v>6458</v>
      </c>
      <c r="G2821" t="s">
        <v>6504</v>
      </c>
      <c r="H2821" t="str">
        <f>'Huong dan giao do an'!$B$14</f>
        <v>5 SV (vai trò chính): 1 PM/Scrum Master kiêm Integration; 2 BA/PO; 3 UI-UX + Frontend; 4 Backend/API + DevOps; 5 Database + QA/Tester. Mỗi SV có nhiệm vụ phụ và minh chứng cá nhân.</v>
      </c>
      <c r="I2821" t="s">
        <v>29</v>
      </c>
      <c r="J2821" t="s">
        <v>6446</v>
      </c>
      <c r="K2821" t="str">
        <f>IF(I2821="Trung bình",'Huong dan giao do an'!$B$8,IF(I2821="Khá",'Huong dan giao do an'!$B$9,'Huong dan giao do an'!$B$10))</f>
        <v>Tối thiểu 5 actor; 14-18 use case; 10-15 bảng; 4 quy trình; tích hợp ngoài/realtime hoặc xử lý nâng cao; 3 báo cáo; &gt;=45 test case; logging, backup và deploy.</v>
      </c>
      <c r="L2821" t="str">
        <f>'Huong dan giao do an'!$B$31</f>
        <v>Bắt buộc: Charter/PMP; SRS + scope/WBS; Gantt/baseline; effort-cost budget; RACI/timesheet; quality-test-defect; communication/minutes; risk register; procurement; change log; closure/lessons learned.</v>
      </c>
      <c r="M2821" t="str">
        <f>'Huong dan giao do an'!$B$33</f>
        <v>Tuần 1: 07.09–13.09.2026; Tuần 2: 14.09–20.09.2026; Tuần 3: 21.09–27.09.2026; Tuần 4: 28.09–04.10.2026; Tuần 5: 05.10–11.10.2026; Tuần 6: 12.10–18.10.2026; Tuần 7: 19.10–25.10.2026; Tuần 8: 26.10–01.11.2026.</v>
      </c>
      <c r="N28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1" s="17" t="str">
        <f t="shared" si="44"/>
        <v>Còn trống</v>
      </c>
    </row>
    <row r="2822" spans="1:16" x14ac:dyDescent="0.3">
      <c r="A2822">
        <v>2821</v>
      </c>
      <c r="B2822" t="s">
        <v>6436</v>
      </c>
      <c r="C2822" t="s">
        <v>6505</v>
      </c>
      <c r="D2822" t="s">
        <v>6506</v>
      </c>
      <c r="E2822" t="s">
        <v>40</v>
      </c>
      <c r="F2822" t="s">
        <v>6439</v>
      </c>
      <c r="G2822" t="s">
        <v>6440</v>
      </c>
      <c r="H2822" t="str">
        <f>'Huong dan giao do an'!$B$14</f>
        <v>5 SV (vai trò chính): 1 PM/Scrum Master kiêm Integration; 2 BA/PO; 3 UI-UX + Frontend; 4 Backend/API + DevOps; 5 Database + QA/Tester. Mỗi SV có nhiệm vụ phụ và minh chứng cá nhân.</v>
      </c>
      <c r="I2822" t="s">
        <v>22</v>
      </c>
      <c r="J2822" t="s">
        <v>6441</v>
      </c>
      <c r="K2822" t="str">
        <f>IF(I2822="Trung bình",'Huong dan giao do an'!$B$8,IF(I2822="Khá",'Huong dan giao do an'!$B$9,'Huong dan giao do an'!$B$10))</f>
        <v>Tối thiểu 4 actor; 10-14 use case; 8-12 bảng; 3 quy trình lõi; phân quyền chi tiết; 2 báo cáo; tích hợp 1 dịch vụ; &gt;=35 test case; CI/CD hoặc deploy cloud.</v>
      </c>
      <c r="L2822" t="str">
        <f>'Huong dan giao do an'!$B$31</f>
        <v>Bắt buộc: Charter/PMP; SRS + scope/WBS; Gantt/baseline; effort-cost budget; RACI/timesheet; quality-test-defect; communication/minutes; risk register; procurement; change log; closure/lessons learned.</v>
      </c>
      <c r="M2822" t="str">
        <f>'Huong dan giao do an'!$B$33</f>
        <v>Tuần 1: 07.09–13.09.2026; Tuần 2: 14.09–20.09.2026; Tuần 3: 21.09–27.09.2026; Tuần 4: 28.09–04.10.2026; Tuần 5: 05.10–11.10.2026; Tuần 6: 12.10–18.10.2026; Tuần 7: 19.10–25.10.2026; Tuần 8: 26.10–01.11.2026.</v>
      </c>
      <c r="N28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2" s="17" t="str">
        <f t="shared" si="44"/>
        <v>Còn trống</v>
      </c>
    </row>
    <row r="2823" spans="1:16" x14ac:dyDescent="0.3">
      <c r="A2823">
        <v>2822</v>
      </c>
      <c r="B2823" t="s">
        <v>6436</v>
      </c>
      <c r="C2823" t="s">
        <v>6507</v>
      </c>
      <c r="D2823" t="s">
        <v>6508</v>
      </c>
      <c r="E2823" t="s">
        <v>45</v>
      </c>
      <c r="F2823" t="s">
        <v>6444</v>
      </c>
      <c r="G2823" t="s">
        <v>6445</v>
      </c>
      <c r="H2823" t="str">
        <f>'Huong dan giao do an'!$B$14</f>
        <v>5 SV (vai trò chính): 1 PM/Scrum Master kiêm Integration; 2 BA/PO; 3 UI-UX + Frontend; 4 Backend/API + DevOps; 5 Database + QA/Tester. Mỗi SV có nhiệm vụ phụ và minh chứng cá nhân.</v>
      </c>
      <c r="I2823" t="s">
        <v>29</v>
      </c>
      <c r="J2823" t="s">
        <v>6446</v>
      </c>
      <c r="K2823" t="str">
        <f>IF(I2823="Trung bình",'Huong dan giao do an'!$B$8,IF(I2823="Khá",'Huong dan giao do an'!$B$9,'Huong dan giao do an'!$B$10))</f>
        <v>Tối thiểu 5 actor; 14-18 use case; 10-15 bảng; 4 quy trình; tích hợp ngoài/realtime hoặc xử lý nâng cao; 3 báo cáo; &gt;=45 test case; logging, backup và deploy.</v>
      </c>
      <c r="L2823" t="str">
        <f>'Huong dan giao do an'!$B$31</f>
        <v>Bắt buộc: Charter/PMP; SRS + scope/WBS; Gantt/baseline; effort-cost budget; RACI/timesheet; quality-test-defect; communication/minutes; risk register; procurement; change log; closure/lessons learned.</v>
      </c>
      <c r="M2823" t="str">
        <f>'Huong dan giao do an'!$B$33</f>
        <v>Tuần 1: 07.09–13.09.2026; Tuần 2: 14.09–20.09.2026; Tuần 3: 21.09–27.09.2026; Tuần 4: 28.09–04.10.2026; Tuần 5: 05.10–11.10.2026; Tuần 6: 12.10–18.10.2026; Tuần 7: 19.10–25.10.2026; Tuần 8: 26.10–01.11.2026.</v>
      </c>
      <c r="N28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3" s="17" t="str">
        <f t="shared" si="44"/>
        <v>Còn trống</v>
      </c>
    </row>
    <row r="2824" spans="1:16" x14ac:dyDescent="0.3">
      <c r="A2824">
        <v>2823</v>
      </c>
      <c r="B2824" t="s">
        <v>6436</v>
      </c>
      <c r="C2824" t="s">
        <v>6509</v>
      </c>
      <c r="D2824" t="s">
        <v>6510</v>
      </c>
      <c r="E2824" t="s">
        <v>19</v>
      </c>
      <c r="F2824" t="s">
        <v>6449</v>
      </c>
      <c r="G2824" t="s">
        <v>6450</v>
      </c>
      <c r="H2824" t="str">
        <f>'Huong dan giao do an'!$B$14</f>
        <v>5 SV (vai trò chính): 1 PM/Scrum Master kiêm Integration; 2 BA/PO; 3 UI-UX + Frontend; 4 Backend/API + DevOps; 5 Database + QA/Tester. Mỗi SV có nhiệm vụ phụ và minh chứng cá nhân.</v>
      </c>
      <c r="I2824" t="s">
        <v>36</v>
      </c>
      <c r="J2824" t="s">
        <v>6451</v>
      </c>
      <c r="K2824" t="str">
        <f>IF(I2824="Trung bình",'Huong dan giao do an'!$B$8,IF(I2824="Khá",'Huong dan giao do an'!$B$9,'Huong dan giao do an'!$B$10))</f>
        <v>Tối thiểu 3 actor; 8-10 use case; 6-8 bảng dữ liệu; 2 quy trình lõi; đăng nhập/RBAC; 1 dashboard; 1 báo cáo; &gt;=25 test case; triển khai bản demo.</v>
      </c>
      <c r="L2824" t="str">
        <f>'Huong dan giao do an'!$B$31</f>
        <v>Bắt buộc: Charter/PMP; SRS + scope/WBS; Gantt/baseline; effort-cost budget; RACI/timesheet; quality-test-defect; communication/minutes; risk register; procurement; change log; closure/lessons learned.</v>
      </c>
      <c r="M2824" t="str">
        <f>'Huong dan giao do an'!$B$33</f>
        <v>Tuần 1: 07.09–13.09.2026; Tuần 2: 14.09–20.09.2026; Tuần 3: 21.09–27.09.2026; Tuần 4: 28.09–04.10.2026; Tuần 5: 05.10–11.10.2026; Tuần 6: 12.10–18.10.2026; Tuần 7: 19.10–25.10.2026; Tuần 8: 26.10–01.11.2026.</v>
      </c>
      <c r="N28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4" s="17" t="str">
        <f t="shared" si="44"/>
        <v>Còn trống</v>
      </c>
    </row>
    <row r="2825" spans="1:16" x14ac:dyDescent="0.3">
      <c r="A2825">
        <v>2824</v>
      </c>
      <c r="B2825" t="s">
        <v>6436</v>
      </c>
      <c r="C2825" t="s">
        <v>6511</v>
      </c>
      <c r="D2825" t="s">
        <v>6512</v>
      </c>
      <c r="E2825" t="s">
        <v>26</v>
      </c>
      <c r="F2825" t="s">
        <v>6454</v>
      </c>
      <c r="G2825" t="s">
        <v>6455</v>
      </c>
      <c r="H2825" t="str">
        <f>'Huong dan giao do an'!$B$14</f>
        <v>5 SV (vai trò chính): 1 PM/Scrum Master kiêm Integration; 2 BA/PO; 3 UI-UX + Frontend; 4 Backend/API + DevOps; 5 Database + QA/Tester. Mỗi SV có nhiệm vụ phụ và minh chứng cá nhân.</v>
      </c>
      <c r="I2825" t="s">
        <v>22</v>
      </c>
      <c r="J2825" t="s">
        <v>6441</v>
      </c>
      <c r="K2825" t="str">
        <f>IF(I2825="Trung bình",'Huong dan giao do an'!$B$8,IF(I2825="Khá",'Huong dan giao do an'!$B$9,'Huong dan giao do an'!$B$10))</f>
        <v>Tối thiểu 4 actor; 10-14 use case; 8-12 bảng; 3 quy trình lõi; phân quyền chi tiết; 2 báo cáo; tích hợp 1 dịch vụ; &gt;=35 test case; CI/CD hoặc deploy cloud.</v>
      </c>
      <c r="L2825" t="str">
        <f>'Huong dan giao do an'!$B$31</f>
        <v>Bắt buộc: Charter/PMP; SRS + scope/WBS; Gantt/baseline; effort-cost budget; RACI/timesheet; quality-test-defect; communication/minutes; risk register; procurement; change log; closure/lessons learned.</v>
      </c>
      <c r="M2825" t="str">
        <f>'Huong dan giao do an'!$B$33</f>
        <v>Tuần 1: 07.09–13.09.2026; Tuần 2: 14.09–20.09.2026; Tuần 3: 21.09–27.09.2026; Tuần 4: 28.09–04.10.2026; Tuần 5: 05.10–11.10.2026; Tuần 6: 12.10–18.10.2026; Tuần 7: 19.10–25.10.2026; Tuần 8: 26.10–01.11.2026.</v>
      </c>
      <c r="N28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5" s="17" t="str">
        <f t="shared" si="44"/>
        <v>Còn trống</v>
      </c>
    </row>
    <row r="2826" spans="1:16" x14ac:dyDescent="0.3">
      <c r="A2826">
        <v>2825</v>
      </c>
      <c r="B2826" t="s">
        <v>6436</v>
      </c>
      <c r="C2826" t="s">
        <v>6513</v>
      </c>
      <c r="D2826" t="s">
        <v>6514</v>
      </c>
      <c r="E2826" t="s">
        <v>33</v>
      </c>
      <c r="F2826" t="s">
        <v>6458</v>
      </c>
      <c r="G2826" t="s">
        <v>6459</v>
      </c>
      <c r="H2826" t="str">
        <f>'Huong dan giao do an'!$B$14</f>
        <v>5 SV (vai trò chính): 1 PM/Scrum Master kiêm Integration; 2 BA/PO; 3 UI-UX + Frontend; 4 Backend/API + DevOps; 5 Database + QA/Tester. Mỗi SV có nhiệm vụ phụ và minh chứng cá nhân.</v>
      </c>
      <c r="I2826" t="s">
        <v>29</v>
      </c>
      <c r="J2826" t="s">
        <v>6446</v>
      </c>
      <c r="K2826" t="str">
        <f>IF(I2826="Trung bình",'Huong dan giao do an'!$B$8,IF(I2826="Khá",'Huong dan giao do an'!$B$9,'Huong dan giao do an'!$B$10))</f>
        <v>Tối thiểu 5 actor; 14-18 use case; 10-15 bảng; 4 quy trình; tích hợp ngoài/realtime hoặc xử lý nâng cao; 3 báo cáo; &gt;=45 test case; logging, backup và deploy.</v>
      </c>
      <c r="L2826" t="str">
        <f>'Huong dan giao do an'!$B$31</f>
        <v>Bắt buộc: Charter/PMP; SRS + scope/WBS; Gantt/baseline; effort-cost budget; RACI/timesheet; quality-test-defect; communication/minutes; risk register; procurement; change log; closure/lessons learned.</v>
      </c>
      <c r="M2826" t="str">
        <f>'Huong dan giao do an'!$B$33</f>
        <v>Tuần 1: 07.09–13.09.2026; Tuần 2: 14.09–20.09.2026; Tuần 3: 21.09–27.09.2026; Tuần 4: 28.09–04.10.2026; Tuần 5: 05.10–11.10.2026; Tuần 6: 12.10–18.10.2026; Tuần 7: 19.10–25.10.2026; Tuần 8: 26.10–01.11.2026.</v>
      </c>
      <c r="N28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6" s="17" t="str">
        <f t="shared" si="44"/>
        <v>Còn trống</v>
      </c>
    </row>
    <row r="2827" spans="1:16" x14ac:dyDescent="0.3">
      <c r="A2827">
        <v>2826</v>
      </c>
      <c r="B2827" t="s">
        <v>6436</v>
      </c>
      <c r="C2827" t="s">
        <v>6515</v>
      </c>
      <c r="D2827" t="s">
        <v>6516</v>
      </c>
      <c r="E2827" t="s">
        <v>40</v>
      </c>
      <c r="F2827" t="s">
        <v>6439</v>
      </c>
      <c r="G2827" t="s">
        <v>6462</v>
      </c>
      <c r="H2827" t="str">
        <f>'Huong dan giao do an'!$B$14</f>
        <v>5 SV (vai trò chính): 1 PM/Scrum Master kiêm Integration; 2 BA/PO; 3 UI-UX + Frontend; 4 Backend/API + DevOps; 5 Database + QA/Tester. Mỗi SV có nhiệm vụ phụ và minh chứng cá nhân.</v>
      </c>
      <c r="I2827" t="s">
        <v>36</v>
      </c>
      <c r="J2827" t="s">
        <v>6451</v>
      </c>
      <c r="K2827" t="str">
        <f>IF(I2827="Trung bình",'Huong dan giao do an'!$B$8,IF(I2827="Khá",'Huong dan giao do an'!$B$9,'Huong dan giao do an'!$B$10))</f>
        <v>Tối thiểu 3 actor; 8-10 use case; 6-8 bảng dữ liệu; 2 quy trình lõi; đăng nhập/RBAC; 1 dashboard; 1 báo cáo; &gt;=25 test case; triển khai bản demo.</v>
      </c>
      <c r="L2827" t="str">
        <f>'Huong dan giao do an'!$B$31</f>
        <v>Bắt buộc: Charter/PMP; SRS + scope/WBS; Gantt/baseline; effort-cost budget; RACI/timesheet; quality-test-defect; communication/minutes; risk register; procurement; change log; closure/lessons learned.</v>
      </c>
      <c r="M2827" t="str">
        <f>'Huong dan giao do an'!$B$33</f>
        <v>Tuần 1: 07.09–13.09.2026; Tuần 2: 14.09–20.09.2026; Tuần 3: 21.09–27.09.2026; Tuần 4: 28.09–04.10.2026; Tuần 5: 05.10–11.10.2026; Tuần 6: 12.10–18.10.2026; Tuần 7: 19.10–25.10.2026; Tuần 8: 26.10–01.11.2026.</v>
      </c>
      <c r="N28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7" s="17" t="str">
        <f t="shared" si="44"/>
        <v>Còn trống</v>
      </c>
    </row>
    <row r="2828" spans="1:16" x14ac:dyDescent="0.3">
      <c r="A2828">
        <v>2827</v>
      </c>
      <c r="B2828" t="s">
        <v>6436</v>
      </c>
      <c r="C2828" t="s">
        <v>6517</v>
      </c>
      <c r="D2828" t="s">
        <v>6518</v>
      </c>
      <c r="E2828" t="s">
        <v>45</v>
      </c>
      <c r="F2828" t="s">
        <v>6444</v>
      </c>
      <c r="G2828" t="s">
        <v>6465</v>
      </c>
      <c r="H2828" t="str">
        <f>'Huong dan giao do an'!$B$14</f>
        <v>5 SV (vai trò chính): 1 PM/Scrum Master kiêm Integration; 2 BA/PO; 3 UI-UX + Frontend; 4 Backend/API + DevOps; 5 Database + QA/Tester. Mỗi SV có nhiệm vụ phụ và minh chứng cá nhân.</v>
      </c>
      <c r="I2828" t="s">
        <v>22</v>
      </c>
      <c r="J2828" t="s">
        <v>6441</v>
      </c>
      <c r="K2828" t="str">
        <f>IF(I2828="Trung bình",'Huong dan giao do an'!$B$8,IF(I2828="Khá",'Huong dan giao do an'!$B$9,'Huong dan giao do an'!$B$10))</f>
        <v>Tối thiểu 4 actor; 10-14 use case; 8-12 bảng; 3 quy trình lõi; phân quyền chi tiết; 2 báo cáo; tích hợp 1 dịch vụ; &gt;=35 test case; CI/CD hoặc deploy cloud.</v>
      </c>
      <c r="L2828" t="str">
        <f>'Huong dan giao do an'!$B$31</f>
        <v>Bắt buộc: Charter/PMP; SRS + scope/WBS; Gantt/baseline; effort-cost budget; RACI/timesheet; quality-test-defect; communication/minutes; risk register; procurement; change log; closure/lessons learned.</v>
      </c>
      <c r="M2828" t="str">
        <f>'Huong dan giao do an'!$B$33</f>
        <v>Tuần 1: 07.09–13.09.2026; Tuần 2: 14.09–20.09.2026; Tuần 3: 21.09–27.09.2026; Tuần 4: 28.09–04.10.2026; Tuần 5: 05.10–11.10.2026; Tuần 6: 12.10–18.10.2026; Tuần 7: 19.10–25.10.2026; Tuần 8: 26.10–01.11.2026.</v>
      </c>
      <c r="N28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8" s="17" t="str">
        <f t="shared" si="44"/>
        <v>Còn trống</v>
      </c>
    </row>
    <row r="2829" spans="1:16" x14ac:dyDescent="0.3">
      <c r="A2829">
        <v>2828</v>
      </c>
      <c r="B2829" t="s">
        <v>6436</v>
      </c>
      <c r="C2829" t="s">
        <v>6519</v>
      </c>
      <c r="D2829" t="s">
        <v>6520</v>
      </c>
      <c r="E2829" t="s">
        <v>19</v>
      </c>
      <c r="F2829" t="s">
        <v>6449</v>
      </c>
      <c r="G2829" t="s">
        <v>6468</v>
      </c>
      <c r="H2829" t="str">
        <f>'Huong dan giao do an'!$B$14</f>
        <v>5 SV (vai trò chính): 1 PM/Scrum Master kiêm Integration; 2 BA/PO; 3 UI-UX + Frontend; 4 Backend/API + DevOps; 5 Database + QA/Tester. Mỗi SV có nhiệm vụ phụ và minh chứng cá nhân.</v>
      </c>
      <c r="I2829" t="s">
        <v>29</v>
      </c>
      <c r="J2829" t="s">
        <v>6446</v>
      </c>
      <c r="K2829" t="str">
        <f>IF(I2829="Trung bình",'Huong dan giao do an'!$B$8,IF(I2829="Khá",'Huong dan giao do an'!$B$9,'Huong dan giao do an'!$B$10))</f>
        <v>Tối thiểu 5 actor; 14-18 use case; 10-15 bảng; 4 quy trình; tích hợp ngoài/realtime hoặc xử lý nâng cao; 3 báo cáo; &gt;=45 test case; logging, backup và deploy.</v>
      </c>
      <c r="L2829" t="str">
        <f>'Huong dan giao do an'!$B$31</f>
        <v>Bắt buộc: Charter/PMP; SRS + scope/WBS; Gantt/baseline; effort-cost budget; RACI/timesheet; quality-test-defect; communication/minutes; risk register; procurement; change log; closure/lessons learned.</v>
      </c>
      <c r="M2829" t="str">
        <f>'Huong dan giao do an'!$B$33</f>
        <v>Tuần 1: 07.09–13.09.2026; Tuần 2: 14.09–20.09.2026; Tuần 3: 21.09–27.09.2026; Tuần 4: 28.09–04.10.2026; Tuần 5: 05.10–11.10.2026; Tuần 6: 12.10–18.10.2026; Tuần 7: 19.10–25.10.2026; Tuần 8: 26.10–01.11.2026.</v>
      </c>
      <c r="N28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29" s="17" t="str">
        <f t="shared" si="44"/>
        <v>Còn trống</v>
      </c>
    </row>
    <row r="2830" spans="1:16" x14ac:dyDescent="0.3">
      <c r="A2830">
        <v>2829</v>
      </c>
      <c r="B2830" t="s">
        <v>6436</v>
      </c>
      <c r="C2830" t="s">
        <v>6521</v>
      </c>
      <c r="D2830" t="s">
        <v>6522</v>
      </c>
      <c r="E2830" t="s">
        <v>26</v>
      </c>
      <c r="F2830" t="s">
        <v>6454</v>
      </c>
      <c r="G2830" t="s">
        <v>6471</v>
      </c>
      <c r="H2830" t="str">
        <f>'Huong dan giao do an'!$B$14</f>
        <v>5 SV (vai trò chính): 1 PM/Scrum Master kiêm Integration; 2 BA/PO; 3 UI-UX + Frontend; 4 Backend/API + DevOps; 5 Database + QA/Tester. Mỗi SV có nhiệm vụ phụ và minh chứng cá nhân.</v>
      </c>
      <c r="I2830" t="s">
        <v>36</v>
      </c>
      <c r="J2830" t="s">
        <v>6451</v>
      </c>
      <c r="K2830" t="str">
        <f>IF(I2830="Trung bình",'Huong dan giao do an'!$B$8,IF(I2830="Khá",'Huong dan giao do an'!$B$9,'Huong dan giao do an'!$B$10))</f>
        <v>Tối thiểu 3 actor; 8-10 use case; 6-8 bảng dữ liệu; 2 quy trình lõi; đăng nhập/RBAC; 1 dashboard; 1 báo cáo; &gt;=25 test case; triển khai bản demo.</v>
      </c>
      <c r="L2830" t="str">
        <f>'Huong dan giao do an'!$B$31</f>
        <v>Bắt buộc: Charter/PMP; SRS + scope/WBS; Gantt/baseline; effort-cost budget; RACI/timesheet; quality-test-defect; communication/minutes; risk register; procurement; change log; closure/lessons learned.</v>
      </c>
      <c r="M2830" t="str">
        <f>'Huong dan giao do an'!$B$33</f>
        <v>Tuần 1: 07.09–13.09.2026; Tuần 2: 14.09–20.09.2026; Tuần 3: 21.09–27.09.2026; Tuần 4: 28.09–04.10.2026; Tuần 5: 05.10–11.10.2026; Tuần 6: 12.10–18.10.2026; Tuần 7: 19.10–25.10.2026; Tuần 8: 26.10–01.11.2026.</v>
      </c>
      <c r="N28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0" s="17" t="str">
        <f t="shared" si="44"/>
        <v>Còn trống</v>
      </c>
    </row>
    <row r="2831" spans="1:16" x14ac:dyDescent="0.3">
      <c r="A2831">
        <v>2830</v>
      </c>
      <c r="B2831" t="s">
        <v>6436</v>
      </c>
      <c r="C2831" t="s">
        <v>6523</v>
      </c>
      <c r="D2831" t="s">
        <v>6524</v>
      </c>
      <c r="E2831" t="s">
        <v>33</v>
      </c>
      <c r="F2831" t="s">
        <v>6458</v>
      </c>
      <c r="G2831" t="s">
        <v>6474</v>
      </c>
      <c r="H2831" t="str">
        <f>'Huong dan giao do an'!$B$14</f>
        <v>5 SV (vai trò chính): 1 PM/Scrum Master kiêm Integration; 2 BA/PO; 3 UI-UX + Frontend; 4 Backend/API + DevOps; 5 Database + QA/Tester. Mỗi SV có nhiệm vụ phụ và minh chứng cá nhân.</v>
      </c>
      <c r="I2831" t="s">
        <v>22</v>
      </c>
      <c r="J2831" t="s">
        <v>6441</v>
      </c>
      <c r="K2831" t="str">
        <f>IF(I2831="Trung bình",'Huong dan giao do an'!$B$8,IF(I2831="Khá",'Huong dan giao do an'!$B$9,'Huong dan giao do an'!$B$10))</f>
        <v>Tối thiểu 4 actor; 10-14 use case; 8-12 bảng; 3 quy trình lõi; phân quyền chi tiết; 2 báo cáo; tích hợp 1 dịch vụ; &gt;=35 test case; CI/CD hoặc deploy cloud.</v>
      </c>
      <c r="L2831" t="str">
        <f>'Huong dan giao do an'!$B$31</f>
        <v>Bắt buộc: Charter/PMP; SRS + scope/WBS; Gantt/baseline; effort-cost budget; RACI/timesheet; quality-test-defect; communication/minutes; risk register; procurement; change log; closure/lessons learned.</v>
      </c>
      <c r="M2831" t="str">
        <f>'Huong dan giao do an'!$B$33</f>
        <v>Tuần 1: 07.09–13.09.2026; Tuần 2: 14.09–20.09.2026; Tuần 3: 21.09–27.09.2026; Tuần 4: 28.09–04.10.2026; Tuần 5: 05.10–11.10.2026; Tuần 6: 12.10–18.10.2026; Tuần 7: 19.10–25.10.2026; Tuần 8: 26.10–01.11.2026.</v>
      </c>
      <c r="N28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1" s="17" t="str">
        <f t="shared" si="44"/>
        <v>Còn trống</v>
      </c>
    </row>
    <row r="2832" spans="1:16" x14ac:dyDescent="0.3">
      <c r="A2832">
        <v>2831</v>
      </c>
      <c r="B2832" t="s">
        <v>6436</v>
      </c>
      <c r="C2832" t="s">
        <v>6525</v>
      </c>
      <c r="D2832" t="s">
        <v>6526</v>
      </c>
      <c r="E2832" t="s">
        <v>40</v>
      </c>
      <c r="F2832" t="s">
        <v>6439</v>
      </c>
      <c r="G2832" t="s">
        <v>6477</v>
      </c>
      <c r="H2832" t="str">
        <f>'Huong dan giao do an'!$B$14</f>
        <v>5 SV (vai trò chính): 1 PM/Scrum Master kiêm Integration; 2 BA/PO; 3 UI-UX + Frontend; 4 Backend/API + DevOps; 5 Database + QA/Tester. Mỗi SV có nhiệm vụ phụ và minh chứng cá nhân.</v>
      </c>
      <c r="I2832" t="s">
        <v>29</v>
      </c>
      <c r="J2832" t="s">
        <v>6446</v>
      </c>
      <c r="K2832" t="str">
        <f>IF(I2832="Trung bình",'Huong dan giao do an'!$B$8,IF(I2832="Khá",'Huong dan giao do an'!$B$9,'Huong dan giao do an'!$B$10))</f>
        <v>Tối thiểu 5 actor; 14-18 use case; 10-15 bảng; 4 quy trình; tích hợp ngoài/realtime hoặc xử lý nâng cao; 3 báo cáo; &gt;=45 test case; logging, backup và deploy.</v>
      </c>
      <c r="L2832" t="str">
        <f>'Huong dan giao do an'!$B$31</f>
        <v>Bắt buộc: Charter/PMP; SRS + scope/WBS; Gantt/baseline; effort-cost budget; RACI/timesheet; quality-test-defect; communication/minutes; risk register; procurement; change log; closure/lessons learned.</v>
      </c>
      <c r="M2832" t="str">
        <f>'Huong dan giao do an'!$B$33</f>
        <v>Tuần 1: 07.09–13.09.2026; Tuần 2: 14.09–20.09.2026; Tuần 3: 21.09–27.09.2026; Tuần 4: 28.09–04.10.2026; Tuần 5: 05.10–11.10.2026; Tuần 6: 12.10–18.10.2026; Tuần 7: 19.10–25.10.2026; Tuần 8: 26.10–01.11.2026.</v>
      </c>
      <c r="N28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2" s="17" t="str">
        <f t="shared" si="44"/>
        <v>Còn trống</v>
      </c>
    </row>
    <row r="2833" spans="1:16" x14ac:dyDescent="0.3">
      <c r="A2833">
        <v>2832</v>
      </c>
      <c r="B2833" t="s">
        <v>6436</v>
      </c>
      <c r="C2833" t="s">
        <v>6527</v>
      </c>
      <c r="D2833" t="s">
        <v>6528</v>
      </c>
      <c r="E2833" t="s">
        <v>45</v>
      </c>
      <c r="F2833" t="s">
        <v>6444</v>
      </c>
      <c r="G2833" t="s">
        <v>6480</v>
      </c>
      <c r="H2833" t="str">
        <f>'Huong dan giao do an'!$B$14</f>
        <v>5 SV (vai trò chính): 1 PM/Scrum Master kiêm Integration; 2 BA/PO; 3 UI-UX + Frontend; 4 Backend/API + DevOps; 5 Database + QA/Tester. Mỗi SV có nhiệm vụ phụ và minh chứng cá nhân.</v>
      </c>
      <c r="I2833" t="s">
        <v>36</v>
      </c>
      <c r="J2833" t="s">
        <v>6451</v>
      </c>
      <c r="K2833" t="str">
        <f>IF(I2833="Trung bình",'Huong dan giao do an'!$B$8,IF(I2833="Khá",'Huong dan giao do an'!$B$9,'Huong dan giao do an'!$B$10))</f>
        <v>Tối thiểu 3 actor; 8-10 use case; 6-8 bảng dữ liệu; 2 quy trình lõi; đăng nhập/RBAC; 1 dashboard; 1 báo cáo; &gt;=25 test case; triển khai bản demo.</v>
      </c>
      <c r="L2833" t="str">
        <f>'Huong dan giao do an'!$B$31</f>
        <v>Bắt buộc: Charter/PMP; SRS + scope/WBS; Gantt/baseline; effort-cost budget; RACI/timesheet; quality-test-defect; communication/minutes; risk register; procurement; change log; closure/lessons learned.</v>
      </c>
      <c r="M2833" t="str">
        <f>'Huong dan giao do an'!$B$33</f>
        <v>Tuần 1: 07.09–13.09.2026; Tuần 2: 14.09–20.09.2026; Tuần 3: 21.09–27.09.2026; Tuần 4: 28.09–04.10.2026; Tuần 5: 05.10–11.10.2026; Tuần 6: 12.10–18.10.2026; Tuần 7: 19.10–25.10.2026; Tuần 8: 26.10–01.11.2026.</v>
      </c>
      <c r="N28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3" s="17" t="str">
        <f t="shared" si="44"/>
        <v>Còn trống</v>
      </c>
    </row>
    <row r="2834" spans="1:16" x14ac:dyDescent="0.3">
      <c r="A2834">
        <v>2833</v>
      </c>
      <c r="B2834" t="s">
        <v>6436</v>
      </c>
      <c r="C2834" t="s">
        <v>6529</v>
      </c>
      <c r="D2834" t="s">
        <v>6530</v>
      </c>
      <c r="E2834" t="s">
        <v>19</v>
      </c>
      <c r="F2834" t="s">
        <v>6449</v>
      </c>
      <c r="G2834" t="s">
        <v>6483</v>
      </c>
      <c r="H2834" t="str">
        <f>'Huong dan giao do an'!$B$14</f>
        <v>5 SV (vai trò chính): 1 PM/Scrum Master kiêm Integration; 2 BA/PO; 3 UI-UX + Frontend; 4 Backend/API + DevOps; 5 Database + QA/Tester. Mỗi SV có nhiệm vụ phụ và minh chứng cá nhân.</v>
      </c>
      <c r="I2834" t="s">
        <v>22</v>
      </c>
      <c r="J2834" t="s">
        <v>6441</v>
      </c>
      <c r="K2834" t="str">
        <f>IF(I2834="Trung bình",'Huong dan giao do an'!$B$8,IF(I2834="Khá",'Huong dan giao do an'!$B$9,'Huong dan giao do an'!$B$10))</f>
        <v>Tối thiểu 4 actor; 10-14 use case; 8-12 bảng; 3 quy trình lõi; phân quyền chi tiết; 2 báo cáo; tích hợp 1 dịch vụ; &gt;=35 test case; CI/CD hoặc deploy cloud.</v>
      </c>
      <c r="L2834" t="str">
        <f>'Huong dan giao do an'!$B$31</f>
        <v>Bắt buộc: Charter/PMP; SRS + scope/WBS; Gantt/baseline; effort-cost budget; RACI/timesheet; quality-test-defect; communication/minutes; risk register; procurement; change log; closure/lessons learned.</v>
      </c>
      <c r="M2834" t="str">
        <f>'Huong dan giao do an'!$B$33</f>
        <v>Tuần 1: 07.09–13.09.2026; Tuần 2: 14.09–20.09.2026; Tuần 3: 21.09–27.09.2026; Tuần 4: 28.09–04.10.2026; Tuần 5: 05.10–11.10.2026; Tuần 6: 12.10–18.10.2026; Tuần 7: 19.10–25.10.2026; Tuần 8: 26.10–01.11.2026.</v>
      </c>
      <c r="N28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4" s="17" t="str">
        <f t="shared" si="44"/>
        <v>Còn trống</v>
      </c>
    </row>
    <row r="2835" spans="1:16" x14ac:dyDescent="0.3">
      <c r="A2835">
        <v>2834</v>
      </c>
      <c r="B2835" t="s">
        <v>6436</v>
      </c>
      <c r="C2835" t="s">
        <v>6531</v>
      </c>
      <c r="D2835" t="s">
        <v>6532</v>
      </c>
      <c r="E2835" t="s">
        <v>26</v>
      </c>
      <c r="F2835" t="s">
        <v>6454</v>
      </c>
      <c r="G2835" t="s">
        <v>6486</v>
      </c>
      <c r="H2835" t="str">
        <f>'Huong dan giao do an'!$B$14</f>
        <v>5 SV (vai trò chính): 1 PM/Scrum Master kiêm Integration; 2 BA/PO; 3 UI-UX + Frontend; 4 Backend/API + DevOps; 5 Database + QA/Tester. Mỗi SV có nhiệm vụ phụ và minh chứng cá nhân.</v>
      </c>
      <c r="I2835" t="s">
        <v>29</v>
      </c>
      <c r="J2835" t="s">
        <v>6446</v>
      </c>
      <c r="K2835" t="str">
        <f>IF(I2835="Trung bình",'Huong dan giao do an'!$B$8,IF(I2835="Khá",'Huong dan giao do an'!$B$9,'Huong dan giao do an'!$B$10))</f>
        <v>Tối thiểu 5 actor; 14-18 use case; 10-15 bảng; 4 quy trình; tích hợp ngoài/realtime hoặc xử lý nâng cao; 3 báo cáo; &gt;=45 test case; logging, backup và deploy.</v>
      </c>
      <c r="L2835" t="str">
        <f>'Huong dan giao do an'!$B$31</f>
        <v>Bắt buộc: Charter/PMP; SRS + scope/WBS; Gantt/baseline; effort-cost budget; RACI/timesheet; quality-test-defect; communication/minutes; risk register; procurement; change log; closure/lessons learned.</v>
      </c>
      <c r="M2835" t="str">
        <f>'Huong dan giao do an'!$B$33</f>
        <v>Tuần 1: 07.09–13.09.2026; Tuần 2: 14.09–20.09.2026; Tuần 3: 21.09–27.09.2026; Tuần 4: 28.09–04.10.2026; Tuần 5: 05.10–11.10.2026; Tuần 6: 12.10–18.10.2026; Tuần 7: 19.10–25.10.2026; Tuần 8: 26.10–01.11.2026.</v>
      </c>
      <c r="N28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5" s="17" t="str">
        <f t="shared" si="44"/>
        <v>Còn trống</v>
      </c>
    </row>
    <row r="2836" spans="1:16" x14ac:dyDescent="0.3">
      <c r="A2836">
        <v>2835</v>
      </c>
      <c r="B2836" t="s">
        <v>6436</v>
      </c>
      <c r="C2836" t="s">
        <v>6533</v>
      </c>
      <c r="D2836" t="s">
        <v>6534</v>
      </c>
      <c r="E2836" t="s">
        <v>33</v>
      </c>
      <c r="F2836" t="s">
        <v>6458</v>
      </c>
      <c r="G2836" t="s">
        <v>6489</v>
      </c>
      <c r="H2836" t="str">
        <f>'Huong dan giao do an'!$B$14</f>
        <v>5 SV (vai trò chính): 1 PM/Scrum Master kiêm Integration; 2 BA/PO; 3 UI-UX + Frontend; 4 Backend/API + DevOps; 5 Database + QA/Tester. Mỗi SV có nhiệm vụ phụ và minh chứng cá nhân.</v>
      </c>
      <c r="I2836" t="s">
        <v>36</v>
      </c>
      <c r="J2836" t="s">
        <v>6451</v>
      </c>
      <c r="K2836" t="str">
        <f>IF(I2836="Trung bình",'Huong dan giao do an'!$B$8,IF(I2836="Khá",'Huong dan giao do an'!$B$9,'Huong dan giao do an'!$B$10))</f>
        <v>Tối thiểu 3 actor; 8-10 use case; 6-8 bảng dữ liệu; 2 quy trình lõi; đăng nhập/RBAC; 1 dashboard; 1 báo cáo; &gt;=25 test case; triển khai bản demo.</v>
      </c>
      <c r="L2836" t="str">
        <f>'Huong dan giao do an'!$B$31</f>
        <v>Bắt buộc: Charter/PMP; SRS + scope/WBS; Gantt/baseline; effort-cost budget; RACI/timesheet; quality-test-defect; communication/minutes; risk register; procurement; change log; closure/lessons learned.</v>
      </c>
      <c r="M2836" t="str">
        <f>'Huong dan giao do an'!$B$33</f>
        <v>Tuần 1: 07.09–13.09.2026; Tuần 2: 14.09–20.09.2026; Tuần 3: 21.09–27.09.2026; Tuần 4: 28.09–04.10.2026; Tuần 5: 05.10–11.10.2026; Tuần 6: 12.10–18.10.2026; Tuần 7: 19.10–25.10.2026; Tuần 8: 26.10–01.11.2026.</v>
      </c>
      <c r="N28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6" s="17" t="str">
        <f t="shared" si="44"/>
        <v>Còn trống</v>
      </c>
    </row>
    <row r="2837" spans="1:16" x14ac:dyDescent="0.3">
      <c r="A2837">
        <v>2836</v>
      </c>
      <c r="B2837" t="s">
        <v>6436</v>
      </c>
      <c r="C2837" t="s">
        <v>6535</v>
      </c>
      <c r="D2837" t="s">
        <v>6536</v>
      </c>
      <c r="E2837" t="s">
        <v>40</v>
      </c>
      <c r="F2837" t="s">
        <v>6439</v>
      </c>
      <c r="G2837" t="s">
        <v>6492</v>
      </c>
      <c r="H2837" t="str">
        <f>'Huong dan giao do an'!$B$14</f>
        <v>5 SV (vai trò chính): 1 PM/Scrum Master kiêm Integration; 2 BA/PO; 3 UI-UX + Frontend; 4 Backend/API + DevOps; 5 Database + QA/Tester. Mỗi SV có nhiệm vụ phụ và minh chứng cá nhân.</v>
      </c>
      <c r="I2837" t="s">
        <v>22</v>
      </c>
      <c r="J2837" t="s">
        <v>6441</v>
      </c>
      <c r="K2837" t="str">
        <f>IF(I2837="Trung bình",'Huong dan giao do an'!$B$8,IF(I2837="Khá",'Huong dan giao do an'!$B$9,'Huong dan giao do an'!$B$10))</f>
        <v>Tối thiểu 4 actor; 10-14 use case; 8-12 bảng; 3 quy trình lõi; phân quyền chi tiết; 2 báo cáo; tích hợp 1 dịch vụ; &gt;=35 test case; CI/CD hoặc deploy cloud.</v>
      </c>
      <c r="L2837" t="str">
        <f>'Huong dan giao do an'!$B$31</f>
        <v>Bắt buộc: Charter/PMP; SRS + scope/WBS; Gantt/baseline; effort-cost budget; RACI/timesheet; quality-test-defect; communication/minutes; risk register; procurement; change log; closure/lessons learned.</v>
      </c>
      <c r="M2837" t="str">
        <f>'Huong dan giao do an'!$B$33</f>
        <v>Tuần 1: 07.09–13.09.2026; Tuần 2: 14.09–20.09.2026; Tuần 3: 21.09–27.09.2026; Tuần 4: 28.09–04.10.2026; Tuần 5: 05.10–11.10.2026; Tuần 6: 12.10–18.10.2026; Tuần 7: 19.10–25.10.2026; Tuần 8: 26.10–01.11.2026.</v>
      </c>
      <c r="N28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7" s="17" t="str">
        <f t="shared" si="44"/>
        <v>Còn trống</v>
      </c>
    </row>
    <row r="2838" spans="1:16" x14ac:dyDescent="0.3">
      <c r="A2838">
        <v>2837</v>
      </c>
      <c r="B2838" t="s">
        <v>6436</v>
      </c>
      <c r="C2838" t="s">
        <v>6537</v>
      </c>
      <c r="D2838" t="s">
        <v>6538</v>
      </c>
      <c r="E2838" t="s">
        <v>45</v>
      </c>
      <c r="F2838" t="s">
        <v>6444</v>
      </c>
      <c r="G2838" t="s">
        <v>6495</v>
      </c>
      <c r="H2838" t="str">
        <f>'Huong dan giao do an'!$B$14</f>
        <v>5 SV (vai trò chính): 1 PM/Scrum Master kiêm Integration; 2 BA/PO; 3 UI-UX + Frontend; 4 Backend/API + DevOps; 5 Database + QA/Tester. Mỗi SV có nhiệm vụ phụ và minh chứng cá nhân.</v>
      </c>
      <c r="I2838" t="s">
        <v>29</v>
      </c>
      <c r="J2838" t="s">
        <v>6446</v>
      </c>
      <c r="K2838" t="str">
        <f>IF(I2838="Trung bình",'Huong dan giao do an'!$B$8,IF(I2838="Khá",'Huong dan giao do an'!$B$9,'Huong dan giao do an'!$B$10))</f>
        <v>Tối thiểu 5 actor; 14-18 use case; 10-15 bảng; 4 quy trình; tích hợp ngoài/realtime hoặc xử lý nâng cao; 3 báo cáo; &gt;=45 test case; logging, backup và deploy.</v>
      </c>
      <c r="L2838" t="str">
        <f>'Huong dan giao do an'!$B$31</f>
        <v>Bắt buộc: Charter/PMP; SRS + scope/WBS; Gantt/baseline; effort-cost budget; RACI/timesheet; quality-test-defect; communication/minutes; risk register; procurement; change log; closure/lessons learned.</v>
      </c>
      <c r="M2838" t="str">
        <f>'Huong dan giao do an'!$B$33</f>
        <v>Tuần 1: 07.09–13.09.2026; Tuần 2: 14.09–20.09.2026; Tuần 3: 21.09–27.09.2026; Tuần 4: 28.09–04.10.2026; Tuần 5: 05.10–11.10.2026; Tuần 6: 12.10–18.10.2026; Tuần 7: 19.10–25.10.2026; Tuần 8: 26.10–01.11.2026.</v>
      </c>
      <c r="N28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8" s="17" t="str">
        <f t="shared" si="44"/>
        <v>Còn trống</v>
      </c>
    </row>
    <row r="2839" spans="1:16" x14ac:dyDescent="0.3">
      <c r="A2839">
        <v>2838</v>
      </c>
      <c r="B2839" t="s">
        <v>6436</v>
      </c>
      <c r="C2839" t="s">
        <v>6539</v>
      </c>
      <c r="D2839" t="s">
        <v>6540</v>
      </c>
      <c r="E2839" t="s">
        <v>19</v>
      </c>
      <c r="F2839" t="s">
        <v>6449</v>
      </c>
      <c r="G2839" t="s">
        <v>6498</v>
      </c>
      <c r="H2839" t="str">
        <f>'Huong dan giao do an'!$B$14</f>
        <v>5 SV (vai trò chính): 1 PM/Scrum Master kiêm Integration; 2 BA/PO; 3 UI-UX + Frontend; 4 Backend/API + DevOps; 5 Database + QA/Tester. Mỗi SV có nhiệm vụ phụ và minh chứng cá nhân.</v>
      </c>
      <c r="I2839" t="s">
        <v>36</v>
      </c>
      <c r="J2839" t="s">
        <v>6451</v>
      </c>
      <c r="K2839" t="str">
        <f>IF(I2839="Trung bình",'Huong dan giao do an'!$B$8,IF(I2839="Khá",'Huong dan giao do an'!$B$9,'Huong dan giao do an'!$B$10))</f>
        <v>Tối thiểu 3 actor; 8-10 use case; 6-8 bảng dữ liệu; 2 quy trình lõi; đăng nhập/RBAC; 1 dashboard; 1 báo cáo; &gt;=25 test case; triển khai bản demo.</v>
      </c>
      <c r="L2839" t="str">
        <f>'Huong dan giao do an'!$B$31</f>
        <v>Bắt buộc: Charter/PMP; SRS + scope/WBS; Gantt/baseline; effort-cost budget; RACI/timesheet; quality-test-defect; communication/minutes; risk register; procurement; change log; closure/lessons learned.</v>
      </c>
      <c r="M2839" t="str">
        <f>'Huong dan giao do an'!$B$33</f>
        <v>Tuần 1: 07.09–13.09.2026; Tuần 2: 14.09–20.09.2026; Tuần 3: 21.09–27.09.2026; Tuần 4: 28.09–04.10.2026; Tuần 5: 05.10–11.10.2026; Tuần 6: 12.10–18.10.2026; Tuần 7: 19.10–25.10.2026; Tuần 8: 26.10–01.11.2026.</v>
      </c>
      <c r="N28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39" s="17" t="str">
        <f t="shared" si="44"/>
        <v>Còn trống</v>
      </c>
    </row>
    <row r="2840" spans="1:16" x14ac:dyDescent="0.3">
      <c r="A2840">
        <v>2839</v>
      </c>
      <c r="B2840" t="s">
        <v>6436</v>
      </c>
      <c r="C2840" t="s">
        <v>6541</v>
      </c>
      <c r="D2840" t="s">
        <v>6542</v>
      </c>
      <c r="E2840" t="s">
        <v>26</v>
      </c>
      <c r="F2840" t="s">
        <v>6454</v>
      </c>
      <c r="G2840" t="s">
        <v>6501</v>
      </c>
      <c r="H2840" t="str">
        <f>'Huong dan giao do an'!$B$14</f>
        <v>5 SV (vai trò chính): 1 PM/Scrum Master kiêm Integration; 2 BA/PO; 3 UI-UX + Frontend; 4 Backend/API + DevOps; 5 Database + QA/Tester. Mỗi SV có nhiệm vụ phụ và minh chứng cá nhân.</v>
      </c>
      <c r="I2840" t="s">
        <v>22</v>
      </c>
      <c r="J2840" t="s">
        <v>6441</v>
      </c>
      <c r="K2840" t="str">
        <f>IF(I2840="Trung bình",'Huong dan giao do an'!$B$8,IF(I2840="Khá",'Huong dan giao do an'!$B$9,'Huong dan giao do an'!$B$10))</f>
        <v>Tối thiểu 4 actor; 10-14 use case; 8-12 bảng; 3 quy trình lõi; phân quyền chi tiết; 2 báo cáo; tích hợp 1 dịch vụ; &gt;=35 test case; CI/CD hoặc deploy cloud.</v>
      </c>
      <c r="L2840" t="str">
        <f>'Huong dan giao do an'!$B$31</f>
        <v>Bắt buộc: Charter/PMP; SRS + scope/WBS; Gantt/baseline; effort-cost budget; RACI/timesheet; quality-test-defect; communication/minutes; risk register; procurement; change log; closure/lessons learned.</v>
      </c>
      <c r="M2840" t="str">
        <f>'Huong dan giao do an'!$B$33</f>
        <v>Tuần 1: 07.09–13.09.2026; Tuần 2: 14.09–20.09.2026; Tuần 3: 21.09–27.09.2026; Tuần 4: 28.09–04.10.2026; Tuần 5: 05.10–11.10.2026; Tuần 6: 12.10–18.10.2026; Tuần 7: 19.10–25.10.2026; Tuần 8: 26.10–01.11.2026.</v>
      </c>
      <c r="N28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0" s="17" t="str">
        <f t="shared" si="44"/>
        <v>Còn trống</v>
      </c>
    </row>
    <row r="2841" spans="1:16" x14ac:dyDescent="0.3">
      <c r="A2841">
        <v>2840</v>
      </c>
      <c r="B2841" t="s">
        <v>6436</v>
      </c>
      <c r="C2841" t="s">
        <v>6543</v>
      </c>
      <c r="D2841" t="s">
        <v>6544</v>
      </c>
      <c r="E2841" t="s">
        <v>33</v>
      </c>
      <c r="F2841" t="s">
        <v>6458</v>
      </c>
      <c r="G2841" t="s">
        <v>6504</v>
      </c>
      <c r="H2841" t="str">
        <f>'Huong dan giao do an'!$B$14</f>
        <v>5 SV (vai trò chính): 1 PM/Scrum Master kiêm Integration; 2 BA/PO; 3 UI-UX + Frontend; 4 Backend/API + DevOps; 5 Database + QA/Tester. Mỗi SV có nhiệm vụ phụ và minh chứng cá nhân.</v>
      </c>
      <c r="I2841" t="s">
        <v>29</v>
      </c>
      <c r="J2841" t="s">
        <v>6446</v>
      </c>
      <c r="K2841" t="str">
        <f>IF(I2841="Trung bình",'Huong dan giao do an'!$B$8,IF(I2841="Khá",'Huong dan giao do an'!$B$9,'Huong dan giao do an'!$B$10))</f>
        <v>Tối thiểu 5 actor; 14-18 use case; 10-15 bảng; 4 quy trình; tích hợp ngoài/realtime hoặc xử lý nâng cao; 3 báo cáo; &gt;=45 test case; logging, backup và deploy.</v>
      </c>
      <c r="L2841" t="str">
        <f>'Huong dan giao do an'!$B$31</f>
        <v>Bắt buộc: Charter/PMP; SRS + scope/WBS; Gantt/baseline; effort-cost budget; RACI/timesheet; quality-test-defect; communication/minutes; risk register; procurement; change log; closure/lessons learned.</v>
      </c>
      <c r="M2841" t="str">
        <f>'Huong dan giao do an'!$B$33</f>
        <v>Tuần 1: 07.09–13.09.2026; Tuần 2: 14.09–20.09.2026; Tuần 3: 21.09–27.09.2026; Tuần 4: 28.09–04.10.2026; Tuần 5: 05.10–11.10.2026; Tuần 6: 12.10–18.10.2026; Tuần 7: 19.10–25.10.2026; Tuần 8: 26.10–01.11.2026.</v>
      </c>
      <c r="N28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1" s="17" t="str">
        <f t="shared" si="44"/>
        <v>Còn trống</v>
      </c>
    </row>
    <row r="2842" spans="1:16" x14ac:dyDescent="0.3">
      <c r="A2842">
        <v>2841</v>
      </c>
      <c r="B2842" t="s">
        <v>6436</v>
      </c>
      <c r="C2842" t="s">
        <v>6545</v>
      </c>
      <c r="D2842" t="s">
        <v>6546</v>
      </c>
      <c r="E2842" t="s">
        <v>40</v>
      </c>
      <c r="F2842" t="s">
        <v>6439</v>
      </c>
      <c r="G2842" t="s">
        <v>6440</v>
      </c>
      <c r="H2842" t="str">
        <f>'Huong dan giao do an'!$B$14</f>
        <v>5 SV (vai trò chính): 1 PM/Scrum Master kiêm Integration; 2 BA/PO; 3 UI-UX + Frontend; 4 Backend/API + DevOps; 5 Database + QA/Tester. Mỗi SV có nhiệm vụ phụ và minh chứng cá nhân.</v>
      </c>
      <c r="I2842" t="s">
        <v>22</v>
      </c>
      <c r="J2842" t="s">
        <v>6441</v>
      </c>
      <c r="K2842" t="str">
        <f>IF(I2842="Trung bình",'Huong dan giao do an'!$B$8,IF(I2842="Khá",'Huong dan giao do an'!$B$9,'Huong dan giao do an'!$B$10))</f>
        <v>Tối thiểu 4 actor; 10-14 use case; 8-12 bảng; 3 quy trình lõi; phân quyền chi tiết; 2 báo cáo; tích hợp 1 dịch vụ; &gt;=35 test case; CI/CD hoặc deploy cloud.</v>
      </c>
      <c r="L2842" t="str">
        <f>'Huong dan giao do an'!$B$31</f>
        <v>Bắt buộc: Charter/PMP; SRS + scope/WBS; Gantt/baseline; effort-cost budget; RACI/timesheet; quality-test-defect; communication/minutes; risk register; procurement; change log; closure/lessons learned.</v>
      </c>
      <c r="M2842" t="str">
        <f>'Huong dan giao do an'!$B$33</f>
        <v>Tuần 1: 07.09–13.09.2026; Tuần 2: 14.09–20.09.2026; Tuần 3: 21.09–27.09.2026; Tuần 4: 28.09–04.10.2026; Tuần 5: 05.10–11.10.2026; Tuần 6: 12.10–18.10.2026; Tuần 7: 19.10–25.10.2026; Tuần 8: 26.10–01.11.2026.</v>
      </c>
      <c r="N28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2" s="17" t="str">
        <f t="shared" si="44"/>
        <v>Còn trống</v>
      </c>
    </row>
    <row r="2843" spans="1:16" x14ac:dyDescent="0.3">
      <c r="A2843">
        <v>2842</v>
      </c>
      <c r="B2843" t="s">
        <v>6436</v>
      </c>
      <c r="C2843" t="s">
        <v>6547</v>
      </c>
      <c r="D2843" t="s">
        <v>6548</v>
      </c>
      <c r="E2843" t="s">
        <v>45</v>
      </c>
      <c r="F2843" t="s">
        <v>6444</v>
      </c>
      <c r="G2843" t="s">
        <v>6445</v>
      </c>
      <c r="H2843" t="str">
        <f>'Huong dan giao do an'!$B$14</f>
        <v>5 SV (vai trò chính): 1 PM/Scrum Master kiêm Integration; 2 BA/PO; 3 UI-UX + Frontend; 4 Backend/API + DevOps; 5 Database + QA/Tester. Mỗi SV có nhiệm vụ phụ và minh chứng cá nhân.</v>
      </c>
      <c r="I2843" t="s">
        <v>29</v>
      </c>
      <c r="J2843" t="s">
        <v>6446</v>
      </c>
      <c r="K2843" t="str">
        <f>IF(I2843="Trung bình",'Huong dan giao do an'!$B$8,IF(I2843="Khá",'Huong dan giao do an'!$B$9,'Huong dan giao do an'!$B$10))</f>
        <v>Tối thiểu 5 actor; 14-18 use case; 10-15 bảng; 4 quy trình; tích hợp ngoài/realtime hoặc xử lý nâng cao; 3 báo cáo; &gt;=45 test case; logging, backup và deploy.</v>
      </c>
      <c r="L2843" t="str">
        <f>'Huong dan giao do an'!$B$31</f>
        <v>Bắt buộc: Charter/PMP; SRS + scope/WBS; Gantt/baseline; effort-cost budget; RACI/timesheet; quality-test-defect; communication/minutes; risk register; procurement; change log; closure/lessons learned.</v>
      </c>
      <c r="M2843" t="str">
        <f>'Huong dan giao do an'!$B$33</f>
        <v>Tuần 1: 07.09–13.09.2026; Tuần 2: 14.09–20.09.2026; Tuần 3: 21.09–27.09.2026; Tuần 4: 28.09–04.10.2026; Tuần 5: 05.10–11.10.2026; Tuần 6: 12.10–18.10.2026; Tuần 7: 19.10–25.10.2026; Tuần 8: 26.10–01.11.2026.</v>
      </c>
      <c r="N28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3" s="17" t="str">
        <f t="shared" si="44"/>
        <v>Còn trống</v>
      </c>
    </row>
    <row r="2844" spans="1:16" x14ac:dyDescent="0.3">
      <c r="A2844">
        <v>2843</v>
      </c>
      <c r="B2844" t="s">
        <v>6436</v>
      </c>
      <c r="C2844" t="s">
        <v>6549</v>
      </c>
      <c r="D2844" t="s">
        <v>6550</v>
      </c>
      <c r="E2844" t="s">
        <v>19</v>
      </c>
      <c r="F2844" t="s">
        <v>6449</v>
      </c>
      <c r="G2844" t="s">
        <v>6450</v>
      </c>
      <c r="H2844" t="str">
        <f>'Huong dan giao do an'!$B$14</f>
        <v>5 SV (vai trò chính): 1 PM/Scrum Master kiêm Integration; 2 BA/PO; 3 UI-UX + Frontend; 4 Backend/API + DevOps; 5 Database + QA/Tester. Mỗi SV có nhiệm vụ phụ và minh chứng cá nhân.</v>
      </c>
      <c r="I2844" t="s">
        <v>36</v>
      </c>
      <c r="J2844" t="s">
        <v>6451</v>
      </c>
      <c r="K2844" t="str">
        <f>IF(I2844="Trung bình",'Huong dan giao do an'!$B$8,IF(I2844="Khá",'Huong dan giao do an'!$B$9,'Huong dan giao do an'!$B$10))</f>
        <v>Tối thiểu 3 actor; 8-10 use case; 6-8 bảng dữ liệu; 2 quy trình lõi; đăng nhập/RBAC; 1 dashboard; 1 báo cáo; &gt;=25 test case; triển khai bản demo.</v>
      </c>
      <c r="L2844" t="str">
        <f>'Huong dan giao do an'!$B$31</f>
        <v>Bắt buộc: Charter/PMP; SRS + scope/WBS; Gantt/baseline; effort-cost budget; RACI/timesheet; quality-test-defect; communication/minutes; risk register; procurement; change log; closure/lessons learned.</v>
      </c>
      <c r="M2844" t="str">
        <f>'Huong dan giao do an'!$B$33</f>
        <v>Tuần 1: 07.09–13.09.2026; Tuần 2: 14.09–20.09.2026; Tuần 3: 21.09–27.09.2026; Tuần 4: 28.09–04.10.2026; Tuần 5: 05.10–11.10.2026; Tuần 6: 12.10–18.10.2026; Tuần 7: 19.10–25.10.2026; Tuần 8: 26.10–01.11.2026.</v>
      </c>
      <c r="N28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4" s="17" t="str">
        <f t="shared" si="44"/>
        <v>Còn trống</v>
      </c>
    </row>
    <row r="2845" spans="1:16" x14ac:dyDescent="0.3">
      <c r="A2845">
        <v>2844</v>
      </c>
      <c r="B2845" t="s">
        <v>6436</v>
      </c>
      <c r="C2845" t="s">
        <v>6551</v>
      </c>
      <c r="D2845" t="s">
        <v>6552</v>
      </c>
      <c r="E2845" t="s">
        <v>26</v>
      </c>
      <c r="F2845" t="s">
        <v>6454</v>
      </c>
      <c r="G2845" t="s">
        <v>6455</v>
      </c>
      <c r="H2845" t="str">
        <f>'Huong dan giao do an'!$B$14</f>
        <v>5 SV (vai trò chính): 1 PM/Scrum Master kiêm Integration; 2 BA/PO; 3 UI-UX + Frontend; 4 Backend/API + DevOps; 5 Database + QA/Tester. Mỗi SV có nhiệm vụ phụ và minh chứng cá nhân.</v>
      </c>
      <c r="I2845" t="s">
        <v>22</v>
      </c>
      <c r="J2845" t="s">
        <v>6441</v>
      </c>
      <c r="K2845" t="str">
        <f>IF(I2845="Trung bình",'Huong dan giao do an'!$B$8,IF(I2845="Khá",'Huong dan giao do an'!$B$9,'Huong dan giao do an'!$B$10))</f>
        <v>Tối thiểu 4 actor; 10-14 use case; 8-12 bảng; 3 quy trình lõi; phân quyền chi tiết; 2 báo cáo; tích hợp 1 dịch vụ; &gt;=35 test case; CI/CD hoặc deploy cloud.</v>
      </c>
      <c r="L2845" t="str">
        <f>'Huong dan giao do an'!$B$31</f>
        <v>Bắt buộc: Charter/PMP; SRS + scope/WBS; Gantt/baseline; effort-cost budget; RACI/timesheet; quality-test-defect; communication/minutes; risk register; procurement; change log; closure/lessons learned.</v>
      </c>
      <c r="M2845" t="str">
        <f>'Huong dan giao do an'!$B$33</f>
        <v>Tuần 1: 07.09–13.09.2026; Tuần 2: 14.09–20.09.2026; Tuần 3: 21.09–27.09.2026; Tuần 4: 28.09–04.10.2026; Tuần 5: 05.10–11.10.2026; Tuần 6: 12.10–18.10.2026; Tuần 7: 19.10–25.10.2026; Tuần 8: 26.10–01.11.2026.</v>
      </c>
      <c r="N28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5" s="17" t="str">
        <f t="shared" si="44"/>
        <v>Còn trống</v>
      </c>
    </row>
    <row r="2846" spans="1:16" x14ac:dyDescent="0.3">
      <c r="A2846">
        <v>2845</v>
      </c>
      <c r="B2846" t="s">
        <v>6436</v>
      </c>
      <c r="C2846" t="s">
        <v>6553</v>
      </c>
      <c r="D2846" t="s">
        <v>6554</v>
      </c>
      <c r="E2846" t="s">
        <v>33</v>
      </c>
      <c r="F2846" t="s">
        <v>6458</v>
      </c>
      <c r="G2846" t="s">
        <v>6459</v>
      </c>
      <c r="H2846" t="str">
        <f>'Huong dan giao do an'!$B$14</f>
        <v>5 SV (vai trò chính): 1 PM/Scrum Master kiêm Integration; 2 BA/PO; 3 UI-UX + Frontend; 4 Backend/API + DevOps; 5 Database + QA/Tester. Mỗi SV có nhiệm vụ phụ và minh chứng cá nhân.</v>
      </c>
      <c r="I2846" t="s">
        <v>29</v>
      </c>
      <c r="J2846" t="s">
        <v>6446</v>
      </c>
      <c r="K2846" t="str">
        <f>IF(I2846="Trung bình",'Huong dan giao do an'!$B$8,IF(I2846="Khá",'Huong dan giao do an'!$B$9,'Huong dan giao do an'!$B$10))</f>
        <v>Tối thiểu 5 actor; 14-18 use case; 10-15 bảng; 4 quy trình; tích hợp ngoài/realtime hoặc xử lý nâng cao; 3 báo cáo; &gt;=45 test case; logging, backup và deploy.</v>
      </c>
      <c r="L2846" t="str">
        <f>'Huong dan giao do an'!$B$31</f>
        <v>Bắt buộc: Charter/PMP; SRS + scope/WBS; Gantt/baseline; effort-cost budget; RACI/timesheet; quality-test-defect; communication/minutes; risk register; procurement; change log; closure/lessons learned.</v>
      </c>
      <c r="M2846" t="str">
        <f>'Huong dan giao do an'!$B$33</f>
        <v>Tuần 1: 07.09–13.09.2026; Tuần 2: 14.09–20.09.2026; Tuần 3: 21.09–27.09.2026; Tuần 4: 28.09–04.10.2026; Tuần 5: 05.10–11.10.2026; Tuần 6: 12.10–18.10.2026; Tuần 7: 19.10–25.10.2026; Tuần 8: 26.10–01.11.2026.</v>
      </c>
      <c r="N28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6" s="17" t="str">
        <f t="shared" si="44"/>
        <v>Còn trống</v>
      </c>
    </row>
    <row r="2847" spans="1:16" x14ac:dyDescent="0.3">
      <c r="A2847">
        <v>2846</v>
      </c>
      <c r="B2847" t="s">
        <v>6436</v>
      </c>
      <c r="C2847" t="s">
        <v>6555</v>
      </c>
      <c r="D2847" t="s">
        <v>6556</v>
      </c>
      <c r="E2847" t="s">
        <v>40</v>
      </c>
      <c r="F2847" t="s">
        <v>6439</v>
      </c>
      <c r="G2847" t="s">
        <v>6462</v>
      </c>
      <c r="H2847" t="str">
        <f>'Huong dan giao do an'!$B$14</f>
        <v>5 SV (vai trò chính): 1 PM/Scrum Master kiêm Integration; 2 BA/PO; 3 UI-UX + Frontend; 4 Backend/API + DevOps; 5 Database + QA/Tester. Mỗi SV có nhiệm vụ phụ và minh chứng cá nhân.</v>
      </c>
      <c r="I2847" t="s">
        <v>36</v>
      </c>
      <c r="J2847" t="s">
        <v>6451</v>
      </c>
      <c r="K2847" t="str">
        <f>IF(I2847="Trung bình",'Huong dan giao do an'!$B$8,IF(I2847="Khá",'Huong dan giao do an'!$B$9,'Huong dan giao do an'!$B$10))</f>
        <v>Tối thiểu 3 actor; 8-10 use case; 6-8 bảng dữ liệu; 2 quy trình lõi; đăng nhập/RBAC; 1 dashboard; 1 báo cáo; &gt;=25 test case; triển khai bản demo.</v>
      </c>
      <c r="L2847" t="str">
        <f>'Huong dan giao do an'!$B$31</f>
        <v>Bắt buộc: Charter/PMP; SRS + scope/WBS; Gantt/baseline; effort-cost budget; RACI/timesheet; quality-test-defect; communication/minutes; risk register; procurement; change log; closure/lessons learned.</v>
      </c>
      <c r="M2847" t="str">
        <f>'Huong dan giao do an'!$B$33</f>
        <v>Tuần 1: 07.09–13.09.2026; Tuần 2: 14.09–20.09.2026; Tuần 3: 21.09–27.09.2026; Tuần 4: 28.09–04.10.2026; Tuần 5: 05.10–11.10.2026; Tuần 6: 12.10–18.10.2026; Tuần 7: 19.10–25.10.2026; Tuần 8: 26.10–01.11.2026.</v>
      </c>
      <c r="N28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7" s="17" t="str">
        <f t="shared" si="44"/>
        <v>Còn trống</v>
      </c>
    </row>
    <row r="2848" spans="1:16" x14ac:dyDescent="0.3">
      <c r="A2848">
        <v>2847</v>
      </c>
      <c r="B2848" t="s">
        <v>6436</v>
      </c>
      <c r="C2848" t="s">
        <v>6557</v>
      </c>
      <c r="D2848" t="s">
        <v>6558</v>
      </c>
      <c r="E2848" t="s">
        <v>45</v>
      </c>
      <c r="F2848" t="s">
        <v>6444</v>
      </c>
      <c r="G2848" t="s">
        <v>6465</v>
      </c>
      <c r="H2848" t="str">
        <f>'Huong dan giao do an'!$B$14</f>
        <v>5 SV (vai trò chính): 1 PM/Scrum Master kiêm Integration; 2 BA/PO; 3 UI-UX + Frontend; 4 Backend/API + DevOps; 5 Database + QA/Tester. Mỗi SV có nhiệm vụ phụ và minh chứng cá nhân.</v>
      </c>
      <c r="I2848" t="s">
        <v>22</v>
      </c>
      <c r="J2848" t="s">
        <v>6441</v>
      </c>
      <c r="K2848" t="str">
        <f>IF(I2848="Trung bình",'Huong dan giao do an'!$B$8,IF(I2848="Khá",'Huong dan giao do an'!$B$9,'Huong dan giao do an'!$B$10))</f>
        <v>Tối thiểu 4 actor; 10-14 use case; 8-12 bảng; 3 quy trình lõi; phân quyền chi tiết; 2 báo cáo; tích hợp 1 dịch vụ; &gt;=35 test case; CI/CD hoặc deploy cloud.</v>
      </c>
      <c r="L2848" t="str">
        <f>'Huong dan giao do an'!$B$31</f>
        <v>Bắt buộc: Charter/PMP; SRS + scope/WBS; Gantt/baseline; effort-cost budget; RACI/timesheet; quality-test-defect; communication/minutes; risk register; procurement; change log; closure/lessons learned.</v>
      </c>
      <c r="M2848" t="str">
        <f>'Huong dan giao do an'!$B$33</f>
        <v>Tuần 1: 07.09–13.09.2026; Tuần 2: 14.09–20.09.2026; Tuần 3: 21.09–27.09.2026; Tuần 4: 28.09–04.10.2026; Tuần 5: 05.10–11.10.2026; Tuần 6: 12.10–18.10.2026; Tuần 7: 19.10–25.10.2026; Tuần 8: 26.10–01.11.2026.</v>
      </c>
      <c r="N28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8" s="17" t="str">
        <f t="shared" si="44"/>
        <v>Còn trống</v>
      </c>
    </row>
    <row r="2849" spans="1:16" x14ac:dyDescent="0.3">
      <c r="A2849">
        <v>2848</v>
      </c>
      <c r="B2849" t="s">
        <v>6436</v>
      </c>
      <c r="C2849" t="s">
        <v>6559</v>
      </c>
      <c r="D2849" t="s">
        <v>6560</v>
      </c>
      <c r="E2849" t="s">
        <v>19</v>
      </c>
      <c r="F2849" t="s">
        <v>6449</v>
      </c>
      <c r="G2849" t="s">
        <v>6468</v>
      </c>
      <c r="H2849" t="str">
        <f>'Huong dan giao do an'!$B$14</f>
        <v>5 SV (vai trò chính): 1 PM/Scrum Master kiêm Integration; 2 BA/PO; 3 UI-UX + Frontend; 4 Backend/API + DevOps; 5 Database + QA/Tester. Mỗi SV có nhiệm vụ phụ và minh chứng cá nhân.</v>
      </c>
      <c r="I2849" t="s">
        <v>29</v>
      </c>
      <c r="J2849" t="s">
        <v>6446</v>
      </c>
      <c r="K2849" t="str">
        <f>IF(I2849="Trung bình",'Huong dan giao do an'!$B$8,IF(I2849="Khá",'Huong dan giao do an'!$B$9,'Huong dan giao do an'!$B$10))</f>
        <v>Tối thiểu 5 actor; 14-18 use case; 10-15 bảng; 4 quy trình; tích hợp ngoài/realtime hoặc xử lý nâng cao; 3 báo cáo; &gt;=45 test case; logging, backup và deploy.</v>
      </c>
      <c r="L2849" t="str">
        <f>'Huong dan giao do an'!$B$31</f>
        <v>Bắt buộc: Charter/PMP; SRS + scope/WBS; Gantt/baseline; effort-cost budget; RACI/timesheet; quality-test-defect; communication/minutes; risk register; procurement; change log; closure/lessons learned.</v>
      </c>
      <c r="M2849" t="str">
        <f>'Huong dan giao do an'!$B$33</f>
        <v>Tuần 1: 07.09–13.09.2026; Tuần 2: 14.09–20.09.2026; Tuần 3: 21.09–27.09.2026; Tuần 4: 28.09–04.10.2026; Tuần 5: 05.10–11.10.2026; Tuần 6: 12.10–18.10.2026; Tuần 7: 19.10–25.10.2026; Tuần 8: 26.10–01.11.2026.</v>
      </c>
      <c r="N28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49" s="17" t="str">
        <f t="shared" si="44"/>
        <v>Còn trống</v>
      </c>
    </row>
    <row r="2850" spans="1:16" x14ac:dyDescent="0.3">
      <c r="A2850">
        <v>2849</v>
      </c>
      <c r="B2850" t="s">
        <v>6436</v>
      </c>
      <c r="C2850" t="s">
        <v>6561</v>
      </c>
      <c r="D2850" t="s">
        <v>6562</v>
      </c>
      <c r="E2850" t="s">
        <v>26</v>
      </c>
      <c r="F2850" t="s">
        <v>6454</v>
      </c>
      <c r="G2850" t="s">
        <v>6471</v>
      </c>
      <c r="H2850" t="str">
        <f>'Huong dan giao do an'!$B$14</f>
        <v>5 SV (vai trò chính): 1 PM/Scrum Master kiêm Integration; 2 BA/PO; 3 UI-UX + Frontend; 4 Backend/API + DevOps; 5 Database + QA/Tester. Mỗi SV có nhiệm vụ phụ và minh chứng cá nhân.</v>
      </c>
      <c r="I2850" t="s">
        <v>36</v>
      </c>
      <c r="J2850" t="s">
        <v>6451</v>
      </c>
      <c r="K2850" t="str">
        <f>IF(I2850="Trung bình",'Huong dan giao do an'!$B$8,IF(I2850="Khá",'Huong dan giao do an'!$B$9,'Huong dan giao do an'!$B$10))</f>
        <v>Tối thiểu 3 actor; 8-10 use case; 6-8 bảng dữ liệu; 2 quy trình lõi; đăng nhập/RBAC; 1 dashboard; 1 báo cáo; &gt;=25 test case; triển khai bản demo.</v>
      </c>
      <c r="L2850" t="str">
        <f>'Huong dan giao do an'!$B$31</f>
        <v>Bắt buộc: Charter/PMP; SRS + scope/WBS; Gantt/baseline; effort-cost budget; RACI/timesheet; quality-test-defect; communication/minutes; risk register; procurement; change log; closure/lessons learned.</v>
      </c>
      <c r="M2850" t="str">
        <f>'Huong dan giao do an'!$B$33</f>
        <v>Tuần 1: 07.09–13.09.2026; Tuần 2: 14.09–20.09.2026; Tuần 3: 21.09–27.09.2026; Tuần 4: 28.09–04.10.2026; Tuần 5: 05.10–11.10.2026; Tuần 6: 12.10–18.10.2026; Tuần 7: 19.10–25.10.2026; Tuần 8: 26.10–01.11.2026.</v>
      </c>
      <c r="N28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0" s="17" t="str">
        <f t="shared" si="44"/>
        <v>Còn trống</v>
      </c>
    </row>
    <row r="2851" spans="1:16" x14ac:dyDescent="0.3">
      <c r="A2851">
        <v>2850</v>
      </c>
      <c r="B2851" t="s">
        <v>6436</v>
      </c>
      <c r="C2851" t="s">
        <v>6563</v>
      </c>
      <c r="D2851" t="s">
        <v>6564</v>
      </c>
      <c r="E2851" t="s">
        <v>33</v>
      </c>
      <c r="F2851" t="s">
        <v>6458</v>
      </c>
      <c r="G2851" t="s">
        <v>6474</v>
      </c>
      <c r="H2851" t="str">
        <f>'Huong dan giao do an'!$B$14</f>
        <v>5 SV (vai trò chính): 1 PM/Scrum Master kiêm Integration; 2 BA/PO; 3 UI-UX + Frontend; 4 Backend/API + DevOps; 5 Database + QA/Tester. Mỗi SV có nhiệm vụ phụ và minh chứng cá nhân.</v>
      </c>
      <c r="I2851" t="s">
        <v>22</v>
      </c>
      <c r="J2851" t="s">
        <v>6441</v>
      </c>
      <c r="K2851" t="str">
        <f>IF(I2851="Trung bình",'Huong dan giao do an'!$B$8,IF(I2851="Khá",'Huong dan giao do an'!$B$9,'Huong dan giao do an'!$B$10))</f>
        <v>Tối thiểu 4 actor; 10-14 use case; 8-12 bảng; 3 quy trình lõi; phân quyền chi tiết; 2 báo cáo; tích hợp 1 dịch vụ; &gt;=35 test case; CI/CD hoặc deploy cloud.</v>
      </c>
      <c r="L2851" t="str">
        <f>'Huong dan giao do an'!$B$31</f>
        <v>Bắt buộc: Charter/PMP; SRS + scope/WBS; Gantt/baseline; effort-cost budget; RACI/timesheet; quality-test-defect; communication/minutes; risk register; procurement; change log; closure/lessons learned.</v>
      </c>
      <c r="M2851" t="str">
        <f>'Huong dan giao do an'!$B$33</f>
        <v>Tuần 1: 07.09–13.09.2026; Tuần 2: 14.09–20.09.2026; Tuần 3: 21.09–27.09.2026; Tuần 4: 28.09–04.10.2026; Tuần 5: 05.10–11.10.2026; Tuần 6: 12.10–18.10.2026; Tuần 7: 19.10–25.10.2026; Tuần 8: 26.10–01.11.2026.</v>
      </c>
      <c r="N28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1" s="17" t="str">
        <f t="shared" si="44"/>
        <v>Còn trống</v>
      </c>
    </row>
    <row r="2852" spans="1:16" x14ac:dyDescent="0.3">
      <c r="A2852">
        <v>2851</v>
      </c>
      <c r="B2852" t="s">
        <v>6436</v>
      </c>
      <c r="C2852" t="s">
        <v>6565</v>
      </c>
      <c r="D2852" t="s">
        <v>6566</v>
      </c>
      <c r="E2852" t="s">
        <v>40</v>
      </c>
      <c r="F2852" t="s">
        <v>6439</v>
      </c>
      <c r="G2852" t="s">
        <v>6477</v>
      </c>
      <c r="H2852" t="str">
        <f>'Huong dan giao do an'!$B$14</f>
        <v>5 SV (vai trò chính): 1 PM/Scrum Master kiêm Integration; 2 BA/PO; 3 UI-UX + Frontend; 4 Backend/API + DevOps; 5 Database + QA/Tester. Mỗi SV có nhiệm vụ phụ và minh chứng cá nhân.</v>
      </c>
      <c r="I2852" t="s">
        <v>29</v>
      </c>
      <c r="J2852" t="s">
        <v>6446</v>
      </c>
      <c r="K2852" t="str">
        <f>IF(I2852="Trung bình",'Huong dan giao do an'!$B$8,IF(I2852="Khá",'Huong dan giao do an'!$B$9,'Huong dan giao do an'!$B$10))</f>
        <v>Tối thiểu 5 actor; 14-18 use case; 10-15 bảng; 4 quy trình; tích hợp ngoài/realtime hoặc xử lý nâng cao; 3 báo cáo; &gt;=45 test case; logging, backup và deploy.</v>
      </c>
      <c r="L2852" t="str">
        <f>'Huong dan giao do an'!$B$31</f>
        <v>Bắt buộc: Charter/PMP; SRS + scope/WBS; Gantt/baseline; effort-cost budget; RACI/timesheet; quality-test-defect; communication/minutes; risk register; procurement; change log; closure/lessons learned.</v>
      </c>
      <c r="M2852" t="str">
        <f>'Huong dan giao do an'!$B$33</f>
        <v>Tuần 1: 07.09–13.09.2026; Tuần 2: 14.09–20.09.2026; Tuần 3: 21.09–27.09.2026; Tuần 4: 28.09–04.10.2026; Tuần 5: 05.10–11.10.2026; Tuần 6: 12.10–18.10.2026; Tuần 7: 19.10–25.10.2026; Tuần 8: 26.10–01.11.2026.</v>
      </c>
      <c r="N28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2" s="17" t="str">
        <f t="shared" si="44"/>
        <v>Còn trống</v>
      </c>
    </row>
    <row r="2853" spans="1:16" x14ac:dyDescent="0.3">
      <c r="A2853">
        <v>2852</v>
      </c>
      <c r="B2853" t="s">
        <v>6436</v>
      </c>
      <c r="C2853" t="s">
        <v>6567</v>
      </c>
      <c r="D2853" t="s">
        <v>6568</v>
      </c>
      <c r="E2853" t="s">
        <v>45</v>
      </c>
      <c r="F2853" t="s">
        <v>6444</v>
      </c>
      <c r="G2853" t="s">
        <v>6480</v>
      </c>
      <c r="H2853" t="str">
        <f>'Huong dan giao do an'!$B$14</f>
        <v>5 SV (vai trò chính): 1 PM/Scrum Master kiêm Integration; 2 BA/PO; 3 UI-UX + Frontend; 4 Backend/API + DevOps; 5 Database + QA/Tester. Mỗi SV có nhiệm vụ phụ và minh chứng cá nhân.</v>
      </c>
      <c r="I2853" t="s">
        <v>36</v>
      </c>
      <c r="J2853" t="s">
        <v>6451</v>
      </c>
      <c r="K2853" t="str">
        <f>IF(I2853="Trung bình",'Huong dan giao do an'!$B$8,IF(I2853="Khá",'Huong dan giao do an'!$B$9,'Huong dan giao do an'!$B$10))</f>
        <v>Tối thiểu 3 actor; 8-10 use case; 6-8 bảng dữ liệu; 2 quy trình lõi; đăng nhập/RBAC; 1 dashboard; 1 báo cáo; &gt;=25 test case; triển khai bản demo.</v>
      </c>
      <c r="L2853" t="str">
        <f>'Huong dan giao do an'!$B$31</f>
        <v>Bắt buộc: Charter/PMP; SRS + scope/WBS; Gantt/baseline; effort-cost budget; RACI/timesheet; quality-test-defect; communication/minutes; risk register; procurement; change log; closure/lessons learned.</v>
      </c>
      <c r="M2853" t="str">
        <f>'Huong dan giao do an'!$B$33</f>
        <v>Tuần 1: 07.09–13.09.2026; Tuần 2: 14.09–20.09.2026; Tuần 3: 21.09–27.09.2026; Tuần 4: 28.09–04.10.2026; Tuần 5: 05.10–11.10.2026; Tuần 6: 12.10–18.10.2026; Tuần 7: 19.10–25.10.2026; Tuần 8: 26.10–01.11.2026.</v>
      </c>
      <c r="N28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3" s="17" t="str">
        <f t="shared" si="44"/>
        <v>Còn trống</v>
      </c>
    </row>
    <row r="2854" spans="1:16" x14ac:dyDescent="0.3">
      <c r="A2854">
        <v>2853</v>
      </c>
      <c r="B2854" t="s">
        <v>6436</v>
      </c>
      <c r="C2854" t="s">
        <v>6569</v>
      </c>
      <c r="D2854" t="s">
        <v>6570</v>
      </c>
      <c r="E2854" t="s">
        <v>19</v>
      </c>
      <c r="F2854" t="s">
        <v>6449</v>
      </c>
      <c r="G2854" t="s">
        <v>6483</v>
      </c>
      <c r="H2854" t="str">
        <f>'Huong dan giao do an'!$B$14</f>
        <v>5 SV (vai trò chính): 1 PM/Scrum Master kiêm Integration; 2 BA/PO; 3 UI-UX + Frontend; 4 Backend/API + DevOps; 5 Database + QA/Tester. Mỗi SV có nhiệm vụ phụ và minh chứng cá nhân.</v>
      </c>
      <c r="I2854" t="s">
        <v>22</v>
      </c>
      <c r="J2854" t="s">
        <v>6441</v>
      </c>
      <c r="K2854" t="str">
        <f>IF(I2854="Trung bình",'Huong dan giao do an'!$B$8,IF(I2854="Khá",'Huong dan giao do an'!$B$9,'Huong dan giao do an'!$B$10))</f>
        <v>Tối thiểu 4 actor; 10-14 use case; 8-12 bảng; 3 quy trình lõi; phân quyền chi tiết; 2 báo cáo; tích hợp 1 dịch vụ; &gt;=35 test case; CI/CD hoặc deploy cloud.</v>
      </c>
      <c r="L2854" t="str">
        <f>'Huong dan giao do an'!$B$31</f>
        <v>Bắt buộc: Charter/PMP; SRS + scope/WBS; Gantt/baseline; effort-cost budget; RACI/timesheet; quality-test-defect; communication/minutes; risk register; procurement; change log; closure/lessons learned.</v>
      </c>
      <c r="M2854" t="str">
        <f>'Huong dan giao do an'!$B$33</f>
        <v>Tuần 1: 07.09–13.09.2026; Tuần 2: 14.09–20.09.2026; Tuần 3: 21.09–27.09.2026; Tuần 4: 28.09–04.10.2026; Tuần 5: 05.10–11.10.2026; Tuần 6: 12.10–18.10.2026; Tuần 7: 19.10–25.10.2026; Tuần 8: 26.10–01.11.2026.</v>
      </c>
      <c r="N28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4" s="17" t="str">
        <f t="shared" si="44"/>
        <v>Còn trống</v>
      </c>
    </row>
    <row r="2855" spans="1:16" x14ac:dyDescent="0.3">
      <c r="A2855">
        <v>2854</v>
      </c>
      <c r="B2855" t="s">
        <v>6436</v>
      </c>
      <c r="C2855" t="s">
        <v>6571</v>
      </c>
      <c r="D2855" t="s">
        <v>6572</v>
      </c>
      <c r="E2855" t="s">
        <v>26</v>
      </c>
      <c r="F2855" t="s">
        <v>6454</v>
      </c>
      <c r="G2855" t="s">
        <v>6486</v>
      </c>
      <c r="H2855" t="str">
        <f>'Huong dan giao do an'!$B$14</f>
        <v>5 SV (vai trò chính): 1 PM/Scrum Master kiêm Integration; 2 BA/PO; 3 UI-UX + Frontend; 4 Backend/API + DevOps; 5 Database + QA/Tester. Mỗi SV có nhiệm vụ phụ và minh chứng cá nhân.</v>
      </c>
      <c r="I2855" t="s">
        <v>29</v>
      </c>
      <c r="J2855" t="s">
        <v>6446</v>
      </c>
      <c r="K2855" t="str">
        <f>IF(I2855="Trung bình",'Huong dan giao do an'!$B$8,IF(I2855="Khá",'Huong dan giao do an'!$B$9,'Huong dan giao do an'!$B$10))</f>
        <v>Tối thiểu 5 actor; 14-18 use case; 10-15 bảng; 4 quy trình; tích hợp ngoài/realtime hoặc xử lý nâng cao; 3 báo cáo; &gt;=45 test case; logging, backup và deploy.</v>
      </c>
      <c r="L2855" t="str">
        <f>'Huong dan giao do an'!$B$31</f>
        <v>Bắt buộc: Charter/PMP; SRS + scope/WBS; Gantt/baseline; effort-cost budget; RACI/timesheet; quality-test-defect; communication/minutes; risk register; procurement; change log; closure/lessons learned.</v>
      </c>
      <c r="M2855" t="str">
        <f>'Huong dan giao do an'!$B$33</f>
        <v>Tuần 1: 07.09–13.09.2026; Tuần 2: 14.09–20.09.2026; Tuần 3: 21.09–27.09.2026; Tuần 4: 28.09–04.10.2026; Tuần 5: 05.10–11.10.2026; Tuần 6: 12.10–18.10.2026; Tuần 7: 19.10–25.10.2026; Tuần 8: 26.10–01.11.2026.</v>
      </c>
      <c r="N28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5" s="17" t="str">
        <f t="shared" si="44"/>
        <v>Còn trống</v>
      </c>
    </row>
    <row r="2856" spans="1:16" x14ac:dyDescent="0.3">
      <c r="A2856">
        <v>2855</v>
      </c>
      <c r="B2856" t="s">
        <v>6436</v>
      </c>
      <c r="C2856" t="s">
        <v>6573</v>
      </c>
      <c r="D2856" t="s">
        <v>6574</v>
      </c>
      <c r="E2856" t="s">
        <v>33</v>
      </c>
      <c r="F2856" t="s">
        <v>6458</v>
      </c>
      <c r="G2856" t="s">
        <v>6489</v>
      </c>
      <c r="H2856" t="str">
        <f>'Huong dan giao do an'!$B$14</f>
        <v>5 SV (vai trò chính): 1 PM/Scrum Master kiêm Integration; 2 BA/PO; 3 UI-UX + Frontend; 4 Backend/API + DevOps; 5 Database + QA/Tester. Mỗi SV có nhiệm vụ phụ và minh chứng cá nhân.</v>
      </c>
      <c r="I2856" t="s">
        <v>36</v>
      </c>
      <c r="J2856" t="s">
        <v>6451</v>
      </c>
      <c r="K2856" t="str">
        <f>IF(I2856="Trung bình",'Huong dan giao do an'!$B$8,IF(I2856="Khá",'Huong dan giao do an'!$B$9,'Huong dan giao do an'!$B$10))</f>
        <v>Tối thiểu 3 actor; 8-10 use case; 6-8 bảng dữ liệu; 2 quy trình lõi; đăng nhập/RBAC; 1 dashboard; 1 báo cáo; &gt;=25 test case; triển khai bản demo.</v>
      </c>
      <c r="L2856" t="str">
        <f>'Huong dan giao do an'!$B$31</f>
        <v>Bắt buộc: Charter/PMP; SRS + scope/WBS; Gantt/baseline; effort-cost budget; RACI/timesheet; quality-test-defect; communication/minutes; risk register; procurement; change log; closure/lessons learned.</v>
      </c>
      <c r="M2856" t="str">
        <f>'Huong dan giao do an'!$B$33</f>
        <v>Tuần 1: 07.09–13.09.2026; Tuần 2: 14.09–20.09.2026; Tuần 3: 21.09–27.09.2026; Tuần 4: 28.09–04.10.2026; Tuần 5: 05.10–11.10.2026; Tuần 6: 12.10–18.10.2026; Tuần 7: 19.10–25.10.2026; Tuần 8: 26.10–01.11.2026.</v>
      </c>
      <c r="N28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6" s="17" t="str">
        <f t="shared" si="44"/>
        <v>Còn trống</v>
      </c>
    </row>
    <row r="2857" spans="1:16" x14ac:dyDescent="0.3">
      <c r="A2857">
        <v>2856</v>
      </c>
      <c r="B2857" t="s">
        <v>6436</v>
      </c>
      <c r="C2857" t="s">
        <v>6575</v>
      </c>
      <c r="D2857" t="s">
        <v>6576</v>
      </c>
      <c r="E2857" t="s">
        <v>40</v>
      </c>
      <c r="F2857" t="s">
        <v>6439</v>
      </c>
      <c r="G2857" t="s">
        <v>6492</v>
      </c>
      <c r="H2857" t="str">
        <f>'Huong dan giao do an'!$B$14</f>
        <v>5 SV (vai trò chính): 1 PM/Scrum Master kiêm Integration; 2 BA/PO; 3 UI-UX + Frontend; 4 Backend/API + DevOps; 5 Database + QA/Tester. Mỗi SV có nhiệm vụ phụ và minh chứng cá nhân.</v>
      </c>
      <c r="I2857" t="s">
        <v>22</v>
      </c>
      <c r="J2857" t="s">
        <v>6441</v>
      </c>
      <c r="K2857" t="str">
        <f>IF(I2857="Trung bình",'Huong dan giao do an'!$B$8,IF(I2857="Khá",'Huong dan giao do an'!$B$9,'Huong dan giao do an'!$B$10))</f>
        <v>Tối thiểu 4 actor; 10-14 use case; 8-12 bảng; 3 quy trình lõi; phân quyền chi tiết; 2 báo cáo; tích hợp 1 dịch vụ; &gt;=35 test case; CI/CD hoặc deploy cloud.</v>
      </c>
      <c r="L2857" t="str">
        <f>'Huong dan giao do an'!$B$31</f>
        <v>Bắt buộc: Charter/PMP; SRS + scope/WBS; Gantt/baseline; effort-cost budget; RACI/timesheet; quality-test-defect; communication/minutes; risk register; procurement; change log; closure/lessons learned.</v>
      </c>
      <c r="M2857" t="str">
        <f>'Huong dan giao do an'!$B$33</f>
        <v>Tuần 1: 07.09–13.09.2026; Tuần 2: 14.09–20.09.2026; Tuần 3: 21.09–27.09.2026; Tuần 4: 28.09–04.10.2026; Tuần 5: 05.10–11.10.2026; Tuần 6: 12.10–18.10.2026; Tuần 7: 19.10–25.10.2026; Tuần 8: 26.10–01.11.2026.</v>
      </c>
      <c r="N28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7" s="17" t="str">
        <f t="shared" si="44"/>
        <v>Còn trống</v>
      </c>
    </row>
    <row r="2858" spans="1:16" x14ac:dyDescent="0.3">
      <c r="A2858">
        <v>2857</v>
      </c>
      <c r="B2858" t="s">
        <v>6436</v>
      </c>
      <c r="C2858" t="s">
        <v>6577</v>
      </c>
      <c r="D2858" t="s">
        <v>6578</v>
      </c>
      <c r="E2858" t="s">
        <v>45</v>
      </c>
      <c r="F2858" t="s">
        <v>6444</v>
      </c>
      <c r="G2858" t="s">
        <v>6495</v>
      </c>
      <c r="H2858" t="str">
        <f>'Huong dan giao do an'!$B$14</f>
        <v>5 SV (vai trò chính): 1 PM/Scrum Master kiêm Integration; 2 BA/PO; 3 UI-UX + Frontend; 4 Backend/API + DevOps; 5 Database + QA/Tester. Mỗi SV có nhiệm vụ phụ và minh chứng cá nhân.</v>
      </c>
      <c r="I2858" t="s">
        <v>29</v>
      </c>
      <c r="J2858" t="s">
        <v>6446</v>
      </c>
      <c r="K2858" t="str">
        <f>IF(I2858="Trung bình",'Huong dan giao do an'!$B$8,IF(I2858="Khá",'Huong dan giao do an'!$B$9,'Huong dan giao do an'!$B$10))</f>
        <v>Tối thiểu 5 actor; 14-18 use case; 10-15 bảng; 4 quy trình; tích hợp ngoài/realtime hoặc xử lý nâng cao; 3 báo cáo; &gt;=45 test case; logging, backup và deploy.</v>
      </c>
      <c r="L2858" t="str">
        <f>'Huong dan giao do an'!$B$31</f>
        <v>Bắt buộc: Charter/PMP; SRS + scope/WBS; Gantt/baseline; effort-cost budget; RACI/timesheet; quality-test-defect; communication/minutes; risk register; procurement; change log; closure/lessons learned.</v>
      </c>
      <c r="M2858" t="str">
        <f>'Huong dan giao do an'!$B$33</f>
        <v>Tuần 1: 07.09–13.09.2026; Tuần 2: 14.09–20.09.2026; Tuần 3: 21.09–27.09.2026; Tuần 4: 28.09–04.10.2026; Tuần 5: 05.10–11.10.2026; Tuần 6: 12.10–18.10.2026; Tuần 7: 19.10–25.10.2026; Tuần 8: 26.10–01.11.2026.</v>
      </c>
      <c r="N28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8" s="17" t="str">
        <f t="shared" si="44"/>
        <v>Còn trống</v>
      </c>
    </row>
    <row r="2859" spans="1:16" x14ac:dyDescent="0.3">
      <c r="A2859">
        <v>2858</v>
      </c>
      <c r="B2859" t="s">
        <v>6436</v>
      </c>
      <c r="C2859" t="s">
        <v>6579</v>
      </c>
      <c r="D2859" t="s">
        <v>6580</v>
      </c>
      <c r="E2859" t="s">
        <v>19</v>
      </c>
      <c r="F2859" t="s">
        <v>6449</v>
      </c>
      <c r="G2859" t="s">
        <v>6498</v>
      </c>
      <c r="H2859" t="str">
        <f>'Huong dan giao do an'!$B$14</f>
        <v>5 SV (vai trò chính): 1 PM/Scrum Master kiêm Integration; 2 BA/PO; 3 UI-UX + Frontend; 4 Backend/API + DevOps; 5 Database + QA/Tester. Mỗi SV có nhiệm vụ phụ và minh chứng cá nhân.</v>
      </c>
      <c r="I2859" t="s">
        <v>36</v>
      </c>
      <c r="J2859" t="s">
        <v>6451</v>
      </c>
      <c r="K2859" t="str">
        <f>IF(I2859="Trung bình",'Huong dan giao do an'!$B$8,IF(I2859="Khá",'Huong dan giao do an'!$B$9,'Huong dan giao do an'!$B$10))</f>
        <v>Tối thiểu 3 actor; 8-10 use case; 6-8 bảng dữ liệu; 2 quy trình lõi; đăng nhập/RBAC; 1 dashboard; 1 báo cáo; &gt;=25 test case; triển khai bản demo.</v>
      </c>
      <c r="L2859" t="str">
        <f>'Huong dan giao do an'!$B$31</f>
        <v>Bắt buộc: Charter/PMP; SRS + scope/WBS; Gantt/baseline; effort-cost budget; RACI/timesheet; quality-test-defect; communication/minutes; risk register; procurement; change log; closure/lessons learned.</v>
      </c>
      <c r="M2859" t="str">
        <f>'Huong dan giao do an'!$B$33</f>
        <v>Tuần 1: 07.09–13.09.2026; Tuần 2: 14.09–20.09.2026; Tuần 3: 21.09–27.09.2026; Tuần 4: 28.09–04.10.2026; Tuần 5: 05.10–11.10.2026; Tuần 6: 12.10–18.10.2026; Tuần 7: 19.10–25.10.2026; Tuần 8: 26.10–01.11.2026.</v>
      </c>
      <c r="N28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59" s="17" t="str">
        <f t="shared" si="44"/>
        <v>Còn trống</v>
      </c>
    </row>
    <row r="2860" spans="1:16" x14ac:dyDescent="0.3">
      <c r="A2860">
        <v>2859</v>
      </c>
      <c r="B2860" t="s">
        <v>6436</v>
      </c>
      <c r="C2860" t="s">
        <v>6581</v>
      </c>
      <c r="D2860" t="s">
        <v>6582</v>
      </c>
      <c r="E2860" t="s">
        <v>26</v>
      </c>
      <c r="F2860" t="s">
        <v>6454</v>
      </c>
      <c r="G2860" t="s">
        <v>6501</v>
      </c>
      <c r="H2860" t="str">
        <f>'Huong dan giao do an'!$B$14</f>
        <v>5 SV (vai trò chính): 1 PM/Scrum Master kiêm Integration; 2 BA/PO; 3 UI-UX + Frontend; 4 Backend/API + DevOps; 5 Database + QA/Tester. Mỗi SV có nhiệm vụ phụ và minh chứng cá nhân.</v>
      </c>
      <c r="I2860" t="s">
        <v>22</v>
      </c>
      <c r="J2860" t="s">
        <v>6441</v>
      </c>
      <c r="K2860" t="str">
        <f>IF(I2860="Trung bình",'Huong dan giao do an'!$B$8,IF(I2860="Khá",'Huong dan giao do an'!$B$9,'Huong dan giao do an'!$B$10))</f>
        <v>Tối thiểu 4 actor; 10-14 use case; 8-12 bảng; 3 quy trình lõi; phân quyền chi tiết; 2 báo cáo; tích hợp 1 dịch vụ; &gt;=35 test case; CI/CD hoặc deploy cloud.</v>
      </c>
      <c r="L2860" t="str">
        <f>'Huong dan giao do an'!$B$31</f>
        <v>Bắt buộc: Charter/PMP; SRS + scope/WBS; Gantt/baseline; effort-cost budget; RACI/timesheet; quality-test-defect; communication/minutes; risk register; procurement; change log; closure/lessons learned.</v>
      </c>
      <c r="M2860" t="str">
        <f>'Huong dan giao do an'!$B$33</f>
        <v>Tuần 1: 07.09–13.09.2026; Tuần 2: 14.09–20.09.2026; Tuần 3: 21.09–27.09.2026; Tuần 4: 28.09–04.10.2026; Tuần 5: 05.10–11.10.2026; Tuần 6: 12.10–18.10.2026; Tuần 7: 19.10–25.10.2026; Tuần 8: 26.10–01.11.2026.</v>
      </c>
      <c r="N28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0" s="17" t="str">
        <f t="shared" si="44"/>
        <v>Còn trống</v>
      </c>
    </row>
    <row r="2861" spans="1:16" x14ac:dyDescent="0.3">
      <c r="A2861">
        <v>2860</v>
      </c>
      <c r="B2861" t="s">
        <v>6436</v>
      </c>
      <c r="C2861" t="s">
        <v>6583</v>
      </c>
      <c r="D2861" t="s">
        <v>6584</v>
      </c>
      <c r="E2861" t="s">
        <v>33</v>
      </c>
      <c r="F2861" t="s">
        <v>6458</v>
      </c>
      <c r="G2861" t="s">
        <v>6504</v>
      </c>
      <c r="H2861" t="str">
        <f>'Huong dan giao do an'!$B$14</f>
        <v>5 SV (vai trò chính): 1 PM/Scrum Master kiêm Integration; 2 BA/PO; 3 UI-UX + Frontend; 4 Backend/API + DevOps; 5 Database + QA/Tester. Mỗi SV có nhiệm vụ phụ và minh chứng cá nhân.</v>
      </c>
      <c r="I2861" t="s">
        <v>29</v>
      </c>
      <c r="J2861" t="s">
        <v>6446</v>
      </c>
      <c r="K2861" t="str">
        <f>IF(I2861="Trung bình",'Huong dan giao do an'!$B$8,IF(I2861="Khá",'Huong dan giao do an'!$B$9,'Huong dan giao do an'!$B$10))</f>
        <v>Tối thiểu 5 actor; 14-18 use case; 10-15 bảng; 4 quy trình; tích hợp ngoài/realtime hoặc xử lý nâng cao; 3 báo cáo; &gt;=45 test case; logging, backup và deploy.</v>
      </c>
      <c r="L2861" t="str">
        <f>'Huong dan giao do an'!$B$31</f>
        <v>Bắt buộc: Charter/PMP; SRS + scope/WBS; Gantt/baseline; effort-cost budget; RACI/timesheet; quality-test-defect; communication/minutes; risk register; procurement; change log; closure/lessons learned.</v>
      </c>
      <c r="M2861" t="str">
        <f>'Huong dan giao do an'!$B$33</f>
        <v>Tuần 1: 07.09–13.09.2026; Tuần 2: 14.09–20.09.2026; Tuần 3: 21.09–27.09.2026; Tuần 4: 28.09–04.10.2026; Tuần 5: 05.10–11.10.2026; Tuần 6: 12.10–18.10.2026; Tuần 7: 19.10–25.10.2026; Tuần 8: 26.10–01.11.2026.</v>
      </c>
      <c r="N28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1" s="17" t="str">
        <f t="shared" si="44"/>
        <v>Còn trống</v>
      </c>
    </row>
    <row r="2862" spans="1:16" x14ac:dyDescent="0.3">
      <c r="A2862">
        <v>2861</v>
      </c>
      <c r="B2862" t="s">
        <v>6436</v>
      </c>
      <c r="C2862" t="s">
        <v>6585</v>
      </c>
      <c r="D2862" t="s">
        <v>6586</v>
      </c>
      <c r="E2862" t="s">
        <v>40</v>
      </c>
      <c r="F2862" t="s">
        <v>6439</v>
      </c>
      <c r="G2862" t="s">
        <v>6440</v>
      </c>
      <c r="H2862" t="str">
        <f>'Huong dan giao do an'!$B$14</f>
        <v>5 SV (vai trò chính): 1 PM/Scrum Master kiêm Integration; 2 BA/PO; 3 UI-UX + Frontend; 4 Backend/API + DevOps; 5 Database + QA/Tester. Mỗi SV có nhiệm vụ phụ và minh chứng cá nhân.</v>
      </c>
      <c r="I2862" t="s">
        <v>22</v>
      </c>
      <c r="J2862" t="s">
        <v>6441</v>
      </c>
      <c r="K2862" t="str">
        <f>IF(I2862="Trung bình",'Huong dan giao do an'!$B$8,IF(I2862="Khá",'Huong dan giao do an'!$B$9,'Huong dan giao do an'!$B$10))</f>
        <v>Tối thiểu 4 actor; 10-14 use case; 8-12 bảng; 3 quy trình lõi; phân quyền chi tiết; 2 báo cáo; tích hợp 1 dịch vụ; &gt;=35 test case; CI/CD hoặc deploy cloud.</v>
      </c>
      <c r="L2862" t="str">
        <f>'Huong dan giao do an'!$B$31</f>
        <v>Bắt buộc: Charter/PMP; SRS + scope/WBS; Gantt/baseline; effort-cost budget; RACI/timesheet; quality-test-defect; communication/minutes; risk register; procurement; change log; closure/lessons learned.</v>
      </c>
      <c r="M2862" t="str">
        <f>'Huong dan giao do an'!$B$33</f>
        <v>Tuần 1: 07.09–13.09.2026; Tuần 2: 14.09–20.09.2026; Tuần 3: 21.09–27.09.2026; Tuần 4: 28.09–04.10.2026; Tuần 5: 05.10–11.10.2026; Tuần 6: 12.10–18.10.2026; Tuần 7: 19.10–25.10.2026; Tuần 8: 26.10–01.11.2026.</v>
      </c>
      <c r="N28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2" s="17" t="str">
        <f t="shared" si="44"/>
        <v>Còn trống</v>
      </c>
    </row>
    <row r="2863" spans="1:16" x14ac:dyDescent="0.3">
      <c r="A2863">
        <v>2862</v>
      </c>
      <c r="B2863" t="s">
        <v>6436</v>
      </c>
      <c r="C2863" t="s">
        <v>6587</v>
      </c>
      <c r="D2863" t="s">
        <v>6588</v>
      </c>
      <c r="E2863" t="s">
        <v>45</v>
      </c>
      <c r="F2863" t="s">
        <v>6444</v>
      </c>
      <c r="G2863" t="s">
        <v>6445</v>
      </c>
      <c r="H2863" t="str">
        <f>'Huong dan giao do an'!$B$14</f>
        <v>5 SV (vai trò chính): 1 PM/Scrum Master kiêm Integration; 2 BA/PO; 3 UI-UX + Frontend; 4 Backend/API + DevOps; 5 Database + QA/Tester. Mỗi SV có nhiệm vụ phụ và minh chứng cá nhân.</v>
      </c>
      <c r="I2863" t="s">
        <v>29</v>
      </c>
      <c r="J2863" t="s">
        <v>6446</v>
      </c>
      <c r="K2863" t="str">
        <f>IF(I2863="Trung bình",'Huong dan giao do an'!$B$8,IF(I2863="Khá",'Huong dan giao do an'!$B$9,'Huong dan giao do an'!$B$10))</f>
        <v>Tối thiểu 5 actor; 14-18 use case; 10-15 bảng; 4 quy trình; tích hợp ngoài/realtime hoặc xử lý nâng cao; 3 báo cáo; &gt;=45 test case; logging, backup và deploy.</v>
      </c>
      <c r="L2863" t="str">
        <f>'Huong dan giao do an'!$B$31</f>
        <v>Bắt buộc: Charter/PMP; SRS + scope/WBS; Gantt/baseline; effort-cost budget; RACI/timesheet; quality-test-defect; communication/minutes; risk register; procurement; change log; closure/lessons learned.</v>
      </c>
      <c r="M2863" t="str">
        <f>'Huong dan giao do an'!$B$33</f>
        <v>Tuần 1: 07.09–13.09.2026; Tuần 2: 14.09–20.09.2026; Tuần 3: 21.09–27.09.2026; Tuần 4: 28.09–04.10.2026; Tuần 5: 05.10–11.10.2026; Tuần 6: 12.10–18.10.2026; Tuần 7: 19.10–25.10.2026; Tuần 8: 26.10–01.11.2026.</v>
      </c>
      <c r="N28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3" s="17" t="str">
        <f t="shared" si="44"/>
        <v>Còn trống</v>
      </c>
    </row>
    <row r="2864" spans="1:16" x14ac:dyDescent="0.3">
      <c r="A2864">
        <v>2863</v>
      </c>
      <c r="B2864" t="s">
        <v>6436</v>
      </c>
      <c r="C2864" t="s">
        <v>6589</v>
      </c>
      <c r="D2864" t="s">
        <v>6590</v>
      </c>
      <c r="E2864" t="s">
        <v>19</v>
      </c>
      <c r="F2864" t="s">
        <v>6449</v>
      </c>
      <c r="G2864" t="s">
        <v>6450</v>
      </c>
      <c r="H2864" t="str">
        <f>'Huong dan giao do an'!$B$14</f>
        <v>5 SV (vai trò chính): 1 PM/Scrum Master kiêm Integration; 2 BA/PO; 3 UI-UX + Frontend; 4 Backend/API + DevOps; 5 Database + QA/Tester. Mỗi SV có nhiệm vụ phụ và minh chứng cá nhân.</v>
      </c>
      <c r="I2864" t="s">
        <v>36</v>
      </c>
      <c r="J2864" t="s">
        <v>6451</v>
      </c>
      <c r="K2864" t="str">
        <f>IF(I2864="Trung bình",'Huong dan giao do an'!$B$8,IF(I2864="Khá",'Huong dan giao do an'!$B$9,'Huong dan giao do an'!$B$10))</f>
        <v>Tối thiểu 3 actor; 8-10 use case; 6-8 bảng dữ liệu; 2 quy trình lõi; đăng nhập/RBAC; 1 dashboard; 1 báo cáo; &gt;=25 test case; triển khai bản demo.</v>
      </c>
      <c r="L2864" t="str">
        <f>'Huong dan giao do an'!$B$31</f>
        <v>Bắt buộc: Charter/PMP; SRS + scope/WBS; Gantt/baseline; effort-cost budget; RACI/timesheet; quality-test-defect; communication/minutes; risk register; procurement; change log; closure/lessons learned.</v>
      </c>
      <c r="M2864" t="str">
        <f>'Huong dan giao do an'!$B$33</f>
        <v>Tuần 1: 07.09–13.09.2026; Tuần 2: 14.09–20.09.2026; Tuần 3: 21.09–27.09.2026; Tuần 4: 28.09–04.10.2026; Tuần 5: 05.10–11.10.2026; Tuần 6: 12.10–18.10.2026; Tuần 7: 19.10–25.10.2026; Tuần 8: 26.10–01.11.2026.</v>
      </c>
      <c r="N28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4" s="17" t="str">
        <f t="shared" si="44"/>
        <v>Còn trống</v>
      </c>
    </row>
    <row r="2865" spans="1:16" x14ac:dyDescent="0.3">
      <c r="A2865">
        <v>2864</v>
      </c>
      <c r="B2865" t="s">
        <v>6436</v>
      </c>
      <c r="C2865" t="s">
        <v>6591</v>
      </c>
      <c r="D2865" t="s">
        <v>6592</v>
      </c>
      <c r="E2865" t="s">
        <v>26</v>
      </c>
      <c r="F2865" t="s">
        <v>6454</v>
      </c>
      <c r="G2865" t="s">
        <v>6455</v>
      </c>
      <c r="H2865" t="str">
        <f>'Huong dan giao do an'!$B$14</f>
        <v>5 SV (vai trò chính): 1 PM/Scrum Master kiêm Integration; 2 BA/PO; 3 UI-UX + Frontend; 4 Backend/API + DevOps; 5 Database + QA/Tester. Mỗi SV có nhiệm vụ phụ và minh chứng cá nhân.</v>
      </c>
      <c r="I2865" t="s">
        <v>22</v>
      </c>
      <c r="J2865" t="s">
        <v>6441</v>
      </c>
      <c r="K2865" t="str">
        <f>IF(I2865="Trung bình",'Huong dan giao do an'!$B$8,IF(I2865="Khá",'Huong dan giao do an'!$B$9,'Huong dan giao do an'!$B$10))</f>
        <v>Tối thiểu 4 actor; 10-14 use case; 8-12 bảng; 3 quy trình lõi; phân quyền chi tiết; 2 báo cáo; tích hợp 1 dịch vụ; &gt;=35 test case; CI/CD hoặc deploy cloud.</v>
      </c>
      <c r="L2865" t="str">
        <f>'Huong dan giao do an'!$B$31</f>
        <v>Bắt buộc: Charter/PMP; SRS + scope/WBS; Gantt/baseline; effort-cost budget; RACI/timesheet; quality-test-defect; communication/minutes; risk register; procurement; change log; closure/lessons learned.</v>
      </c>
      <c r="M2865" t="str">
        <f>'Huong dan giao do an'!$B$33</f>
        <v>Tuần 1: 07.09–13.09.2026; Tuần 2: 14.09–20.09.2026; Tuần 3: 21.09–27.09.2026; Tuần 4: 28.09–04.10.2026; Tuần 5: 05.10–11.10.2026; Tuần 6: 12.10–18.10.2026; Tuần 7: 19.10–25.10.2026; Tuần 8: 26.10–01.11.2026.</v>
      </c>
      <c r="N28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5" s="17" t="str">
        <f t="shared" si="44"/>
        <v>Còn trống</v>
      </c>
    </row>
    <row r="2866" spans="1:16" x14ac:dyDescent="0.3">
      <c r="A2866">
        <v>2865</v>
      </c>
      <c r="B2866" t="s">
        <v>6436</v>
      </c>
      <c r="C2866" t="s">
        <v>6593</v>
      </c>
      <c r="D2866" t="s">
        <v>6594</v>
      </c>
      <c r="E2866" t="s">
        <v>33</v>
      </c>
      <c r="F2866" t="s">
        <v>6458</v>
      </c>
      <c r="G2866" t="s">
        <v>6459</v>
      </c>
      <c r="H2866" t="str">
        <f>'Huong dan giao do an'!$B$14</f>
        <v>5 SV (vai trò chính): 1 PM/Scrum Master kiêm Integration; 2 BA/PO; 3 UI-UX + Frontend; 4 Backend/API + DevOps; 5 Database + QA/Tester. Mỗi SV có nhiệm vụ phụ và minh chứng cá nhân.</v>
      </c>
      <c r="I2866" t="s">
        <v>29</v>
      </c>
      <c r="J2866" t="s">
        <v>6446</v>
      </c>
      <c r="K2866" t="str">
        <f>IF(I2866="Trung bình",'Huong dan giao do an'!$B$8,IF(I2866="Khá",'Huong dan giao do an'!$B$9,'Huong dan giao do an'!$B$10))</f>
        <v>Tối thiểu 5 actor; 14-18 use case; 10-15 bảng; 4 quy trình; tích hợp ngoài/realtime hoặc xử lý nâng cao; 3 báo cáo; &gt;=45 test case; logging, backup và deploy.</v>
      </c>
      <c r="L2866" t="str">
        <f>'Huong dan giao do an'!$B$31</f>
        <v>Bắt buộc: Charter/PMP; SRS + scope/WBS; Gantt/baseline; effort-cost budget; RACI/timesheet; quality-test-defect; communication/minutes; risk register; procurement; change log; closure/lessons learned.</v>
      </c>
      <c r="M2866" t="str">
        <f>'Huong dan giao do an'!$B$33</f>
        <v>Tuần 1: 07.09–13.09.2026; Tuần 2: 14.09–20.09.2026; Tuần 3: 21.09–27.09.2026; Tuần 4: 28.09–04.10.2026; Tuần 5: 05.10–11.10.2026; Tuần 6: 12.10–18.10.2026; Tuần 7: 19.10–25.10.2026; Tuần 8: 26.10–01.11.2026.</v>
      </c>
      <c r="N28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6" s="17" t="str">
        <f t="shared" si="44"/>
        <v>Còn trống</v>
      </c>
    </row>
    <row r="2867" spans="1:16" x14ac:dyDescent="0.3">
      <c r="A2867">
        <v>2866</v>
      </c>
      <c r="B2867" t="s">
        <v>6436</v>
      </c>
      <c r="C2867" t="s">
        <v>6595</v>
      </c>
      <c r="D2867" t="s">
        <v>6596</v>
      </c>
      <c r="E2867" t="s">
        <v>40</v>
      </c>
      <c r="F2867" t="s">
        <v>6439</v>
      </c>
      <c r="G2867" t="s">
        <v>6462</v>
      </c>
      <c r="H2867" t="str">
        <f>'Huong dan giao do an'!$B$14</f>
        <v>5 SV (vai trò chính): 1 PM/Scrum Master kiêm Integration; 2 BA/PO; 3 UI-UX + Frontend; 4 Backend/API + DevOps; 5 Database + QA/Tester. Mỗi SV có nhiệm vụ phụ và minh chứng cá nhân.</v>
      </c>
      <c r="I2867" t="s">
        <v>36</v>
      </c>
      <c r="J2867" t="s">
        <v>6451</v>
      </c>
      <c r="K2867" t="str">
        <f>IF(I2867="Trung bình",'Huong dan giao do an'!$B$8,IF(I2867="Khá",'Huong dan giao do an'!$B$9,'Huong dan giao do an'!$B$10))</f>
        <v>Tối thiểu 3 actor; 8-10 use case; 6-8 bảng dữ liệu; 2 quy trình lõi; đăng nhập/RBAC; 1 dashboard; 1 báo cáo; &gt;=25 test case; triển khai bản demo.</v>
      </c>
      <c r="L2867" t="str">
        <f>'Huong dan giao do an'!$B$31</f>
        <v>Bắt buộc: Charter/PMP; SRS + scope/WBS; Gantt/baseline; effort-cost budget; RACI/timesheet; quality-test-defect; communication/minutes; risk register; procurement; change log; closure/lessons learned.</v>
      </c>
      <c r="M2867" t="str">
        <f>'Huong dan giao do an'!$B$33</f>
        <v>Tuần 1: 07.09–13.09.2026; Tuần 2: 14.09–20.09.2026; Tuần 3: 21.09–27.09.2026; Tuần 4: 28.09–04.10.2026; Tuần 5: 05.10–11.10.2026; Tuần 6: 12.10–18.10.2026; Tuần 7: 19.10–25.10.2026; Tuần 8: 26.10–01.11.2026.</v>
      </c>
      <c r="N28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7" s="17" t="str">
        <f t="shared" si="44"/>
        <v>Còn trống</v>
      </c>
    </row>
    <row r="2868" spans="1:16" x14ac:dyDescent="0.3">
      <c r="A2868">
        <v>2867</v>
      </c>
      <c r="B2868" t="s">
        <v>6436</v>
      </c>
      <c r="C2868" t="s">
        <v>6597</v>
      </c>
      <c r="D2868" t="s">
        <v>6598</v>
      </c>
      <c r="E2868" t="s">
        <v>45</v>
      </c>
      <c r="F2868" t="s">
        <v>6444</v>
      </c>
      <c r="G2868" t="s">
        <v>6465</v>
      </c>
      <c r="H2868" t="str">
        <f>'Huong dan giao do an'!$B$14</f>
        <v>5 SV (vai trò chính): 1 PM/Scrum Master kiêm Integration; 2 BA/PO; 3 UI-UX + Frontend; 4 Backend/API + DevOps; 5 Database + QA/Tester. Mỗi SV có nhiệm vụ phụ và minh chứng cá nhân.</v>
      </c>
      <c r="I2868" t="s">
        <v>22</v>
      </c>
      <c r="J2868" t="s">
        <v>6441</v>
      </c>
      <c r="K2868" t="str">
        <f>IF(I2868="Trung bình",'Huong dan giao do an'!$B$8,IF(I2868="Khá",'Huong dan giao do an'!$B$9,'Huong dan giao do an'!$B$10))</f>
        <v>Tối thiểu 4 actor; 10-14 use case; 8-12 bảng; 3 quy trình lõi; phân quyền chi tiết; 2 báo cáo; tích hợp 1 dịch vụ; &gt;=35 test case; CI/CD hoặc deploy cloud.</v>
      </c>
      <c r="L2868" t="str">
        <f>'Huong dan giao do an'!$B$31</f>
        <v>Bắt buộc: Charter/PMP; SRS + scope/WBS; Gantt/baseline; effort-cost budget; RACI/timesheet; quality-test-defect; communication/minutes; risk register; procurement; change log; closure/lessons learned.</v>
      </c>
      <c r="M2868" t="str">
        <f>'Huong dan giao do an'!$B$33</f>
        <v>Tuần 1: 07.09–13.09.2026; Tuần 2: 14.09–20.09.2026; Tuần 3: 21.09–27.09.2026; Tuần 4: 28.09–04.10.2026; Tuần 5: 05.10–11.10.2026; Tuần 6: 12.10–18.10.2026; Tuần 7: 19.10–25.10.2026; Tuần 8: 26.10–01.11.2026.</v>
      </c>
      <c r="N28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8" s="17" t="str">
        <f t="shared" si="44"/>
        <v>Còn trống</v>
      </c>
    </row>
    <row r="2869" spans="1:16" x14ac:dyDescent="0.3">
      <c r="A2869">
        <v>2868</v>
      </c>
      <c r="B2869" t="s">
        <v>6436</v>
      </c>
      <c r="C2869" t="s">
        <v>6599</v>
      </c>
      <c r="D2869" t="s">
        <v>6600</v>
      </c>
      <c r="E2869" t="s">
        <v>19</v>
      </c>
      <c r="F2869" t="s">
        <v>6449</v>
      </c>
      <c r="G2869" t="s">
        <v>6468</v>
      </c>
      <c r="H2869" t="str">
        <f>'Huong dan giao do an'!$B$14</f>
        <v>5 SV (vai trò chính): 1 PM/Scrum Master kiêm Integration; 2 BA/PO; 3 UI-UX + Frontend; 4 Backend/API + DevOps; 5 Database + QA/Tester. Mỗi SV có nhiệm vụ phụ và minh chứng cá nhân.</v>
      </c>
      <c r="I2869" t="s">
        <v>29</v>
      </c>
      <c r="J2869" t="s">
        <v>6446</v>
      </c>
      <c r="K2869" t="str">
        <f>IF(I2869="Trung bình",'Huong dan giao do an'!$B$8,IF(I2869="Khá",'Huong dan giao do an'!$B$9,'Huong dan giao do an'!$B$10))</f>
        <v>Tối thiểu 5 actor; 14-18 use case; 10-15 bảng; 4 quy trình; tích hợp ngoài/realtime hoặc xử lý nâng cao; 3 báo cáo; &gt;=45 test case; logging, backup và deploy.</v>
      </c>
      <c r="L2869" t="str">
        <f>'Huong dan giao do an'!$B$31</f>
        <v>Bắt buộc: Charter/PMP; SRS + scope/WBS; Gantt/baseline; effort-cost budget; RACI/timesheet; quality-test-defect; communication/minutes; risk register; procurement; change log; closure/lessons learned.</v>
      </c>
      <c r="M2869" t="str">
        <f>'Huong dan giao do an'!$B$33</f>
        <v>Tuần 1: 07.09–13.09.2026; Tuần 2: 14.09–20.09.2026; Tuần 3: 21.09–27.09.2026; Tuần 4: 28.09–04.10.2026; Tuần 5: 05.10–11.10.2026; Tuần 6: 12.10–18.10.2026; Tuần 7: 19.10–25.10.2026; Tuần 8: 26.10–01.11.2026.</v>
      </c>
      <c r="N28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69" s="17" t="str">
        <f t="shared" si="44"/>
        <v>Còn trống</v>
      </c>
    </row>
    <row r="2870" spans="1:16" x14ac:dyDescent="0.3">
      <c r="A2870">
        <v>2869</v>
      </c>
      <c r="B2870" t="s">
        <v>6436</v>
      </c>
      <c r="C2870" t="s">
        <v>6601</v>
      </c>
      <c r="D2870" t="s">
        <v>6602</v>
      </c>
      <c r="E2870" t="s">
        <v>26</v>
      </c>
      <c r="F2870" t="s">
        <v>6454</v>
      </c>
      <c r="G2870" t="s">
        <v>6471</v>
      </c>
      <c r="H2870" t="str">
        <f>'Huong dan giao do an'!$B$14</f>
        <v>5 SV (vai trò chính): 1 PM/Scrum Master kiêm Integration; 2 BA/PO; 3 UI-UX + Frontend; 4 Backend/API + DevOps; 5 Database + QA/Tester. Mỗi SV có nhiệm vụ phụ và minh chứng cá nhân.</v>
      </c>
      <c r="I2870" t="s">
        <v>36</v>
      </c>
      <c r="J2870" t="s">
        <v>6451</v>
      </c>
      <c r="K2870" t="str">
        <f>IF(I2870="Trung bình",'Huong dan giao do an'!$B$8,IF(I2870="Khá",'Huong dan giao do an'!$B$9,'Huong dan giao do an'!$B$10))</f>
        <v>Tối thiểu 3 actor; 8-10 use case; 6-8 bảng dữ liệu; 2 quy trình lõi; đăng nhập/RBAC; 1 dashboard; 1 báo cáo; &gt;=25 test case; triển khai bản demo.</v>
      </c>
      <c r="L2870" t="str">
        <f>'Huong dan giao do an'!$B$31</f>
        <v>Bắt buộc: Charter/PMP; SRS + scope/WBS; Gantt/baseline; effort-cost budget; RACI/timesheet; quality-test-defect; communication/minutes; risk register; procurement; change log; closure/lessons learned.</v>
      </c>
      <c r="M2870" t="str">
        <f>'Huong dan giao do an'!$B$33</f>
        <v>Tuần 1: 07.09–13.09.2026; Tuần 2: 14.09–20.09.2026; Tuần 3: 21.09–27.09.2026; Tuần 4: 28.09–04.10.2026; Tuần 5: 05.10–11.10.2026; Tuần 6: 12.10–18.10.2026; Tuần 7: 19.10–25.10.2026; Tuần 8: 26.10–01.11.2026.</v>
      </c>
      <c r="N28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0" s="17" t="str">
        <f t="shared" si="44"/>
        <v>Còn trống</v>
      </c>
    </row>
    <row r="2871" spans="1:16" x14ac:dyDescent="0.3">
      <c r="A2871">
        <v>2870</v>
      </c>
      <c r="B2871" t="s">
        <v>6436</v>
      </c>
      <c r="C2871" t="s">
        <v>6603</v>
      </c>
      <c r="D2871" t="s">
        <v>6604</v>
      </c>
      <c r="E2871" t="s">
        <v>33</v>
      </c>
      <c r="F2871" t="s">
        <v>6458</v>
      </c>
      <c r="G2871" t="s">
        <v>6474</v>
      </c>
      <c r="H2871" t="str">
        <f>'Huong dan giao do an'!$B$14</f>
        <v>5 SV (vai trò chính): 1 PM/Scrum Master kiêm Integration; 2 BA/PO; 3 UI-UX + Frontend; 4 Backend/API + DevOps; 5 Database + QA/Tester. Mỗi SV có nhiệm vụ phụ và minh chứng cá nhân.</v>
      </c>
      <c r="I2871" t="s">
        <v>22</v>
      </c>
      <c r="J2871" t="s">
        <v>6441</v>
      </c>
      <c r="K2871" t="str">
        <f>IF(I2871="Trung bình",'Huong dan giao do an'!$B$8,IF(I2871="Khá",'Huong dan giao do an'!$B$9,'Huong dan giao do an'!$B$10))</f>
        <v>Tối thiểu 4 actor; 10-14 use case; 8-12 bảng; 3 quy trình lõi; phân quyền chi tiết; 2 báo cáo; tích hợp 1 dịch vụ; &gt;=35 test case; CI/CD hoặc deploy cloud.</v>
      </c>
      <c r="L2871" t="str">
        <f>'Huong dan giao do an'!$B$31</f>
        <v>Bắt buộc: Charter/PMP; SRS + scope/WBS; Gantt/baseline; effort-cost budget; RACI/timesheet; quality-test-defect; communication/minutes; risk register; procurement; change log; closure/lessons learned.</v>
      </c>
      <c r="M2871" t="str">
        <f>'Huong dan giao do an'!$B$33</f>
        <v>Tuần 1: 07.09–13.09.2026; Tuần 2: 14.09–20.09.2026; Tuần 3: 21.09–27.09.2026; Tuần 4: 28.09–04.10.2026; Tuần 5: 05.10–11.10.2026; Tuần 6: 12.10–18.10.2026; Tuần 7: 19.10–25.10.2026; Tuần 8: 26.10–01.11.2026.</v>
      </c>
      <c r="N28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1" s="17" t="str">
        <f t="shared" si="44"/>
        <v>Còn trống</v>
      </c>
    </row>
    <row r="2872" spans="1:16" x14ac:dyDescent="0.3">
      <c r="A2872">
        <v>2871</v>
      </c>
      <c r="B2872" t="s">
        <v>6436</v>
      </c>
      <c r="C2872" t="s">
        <v>6605</v>
      </c>
      <c r="D2872" t="s">
        <v>6606</v>
      </c>
      <c r="E2872" t="s">
        <v>40</v>
      </c>
      <c r="F2872" t="s">
        <v>6439</v>
      </c>
      <c r="G2872" t="s">
        <v>6477</v>
      </c>
      <c r="H2872" t="str">
        <f>'Huong dan giao do an'!$B$14</f>
        <v>5 SV (vai trò chính): 1 PM/Scrum Master kiêm Integration; 2 BA/PO; 3 UI-UX + Frontend; 4 Backend/API + DevOps; 5 Database + QA/Tester. Mỗi SV có nhiệm vụ phụ và minh chứng cá nhân.</v>
      </c>
      <c r="I2872" t="s">
        <v>29</v>
      </c>
      <c r="J2872" t="s">
        <v>6446</v>
      </c>
      <c r="K2872" t="str">
        <f>IF(I2872="Trung bình",'Huong dan giao do an'!$B$8,IF(I2872="Khá",'Huong dan giao do an'!$B$9,'Huong dan giao do an'!$B$10))</f>
        <v>Tối thiểu 5 actor; 14-18 use case; 10-15 bảng; 4 quy trình; tích hợp ngoài/realtime hoặc xử lý nâng cao; 3 báo cáo; &gt;=45 test case; logging, backup và deploy.</v>
      </c>
      <c r="L2872" t="str">
        <f>'Huong dan giao do an'!$B$31</f>
        <v>Bắt buộc: Charter/PMP; SRS + scope/WBS; Gantt/baseline; effort-cost budget; RACI/timesheet; quality-test-defect; communication/minutes; risk register; procurement; change log; closure/lessons learned.</v>
      </c>
      <c r="M2872" t="str">
        <f>'Huong dan giao do an'!$B$33</f>
        <v>Tuần 1: 07.09–13.09.2026; Tuần 2: 14.09–20.09.2026; Tuần 3: 21.09–27.09.2026; Tuần 4: 28.09–04.10.2026; Tuần 5: 05.10–11.10.2026; Tuần 6: 12.10–18.10.2026; Tuần 7: 19.10–25.10.2026; Tuần 8: 26.10–01.11.2026.</v>
      </c>
      <c r="N28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2" s="17" t="str">
        <f t="shared" si="44"/>
        <v>Còn trống</v>
      </c>
    </row>
    <row r="2873" spans="1:16" x14ac:dyDescent="0.3">
      <c r="A2873">
        <v>2872</v>
      </c>
      <c r="B2873" t="s">
        <v>6436</v>
      </c>
      <c r="C2873" t="s">
        <v>6607</v>
      </c>
      <c r="D2873" t="s">
        <v>6608</v>
      </c>
      <c r="E2873" t="s">
        <v>45</v>
      </c>
      <c r="F2873" t="s">
        <v>6444</v>
      </c>
      <c r="G2873" t="s">
        <v>6480</v>
      </c>
      <c r="H2873" t="str">
        <f>'Huong dan giao do an'!$B$14</f>
        <v>5 SV (vai trò chính): 1 PM/Scrum Master kiêm Integration; 2 BA/PO; 3 UI-UX + Frontend; 4 Backend/API + DevOps; 5 Database + QA/Tester. Mỗi SV có nhiệm vụ phụ và minh chứng cá nhân.</v>
      </c>
      <c r="I2873" t="s">
        <v>36</v>
      </c>
      <c r="J2873" t="s">
        <v>6451</v>
      </c>
      <c r="K2873" t="str">
        <f>IF(I2873="Trung bình",'Huong dan giao do an'!$B$8,IF(I2873="Khá",'Huong dan giao do an'!$B$9,'Huong dan giao do an'!$B$10))</f>
        <v>Tối thiểu 3 actor; 8-10 use case; 6-8 bảng dữ liệu; 2 quy trình lõi; đăng nhập/RBAC; 1 dashboard; 1 báo cáo; &gt;=25 test case; triển khai bản demo.</v>
      </c>
      <c r="L2873" t="str">
        <f>'Huong dan giao do an'!$B$31</f>
        <v>Bắt buộc: Charter/PMP; SRS + scope/WBS; Gantt/baseline; effort-cost budget; RACI/timesheet; quality-test-defect; communication/minutes; risk register; procurement; change log; closure/lessons learned.</v>
      </c>
      <c r="M2873" t="str">
        <f>'Huong dan giao do an'!$B$33</f>
        <v>Tuần 1: 07.09–13.09.2026; Tuần 2: 14.09–20.09.2026; Tuần 3: 21.09–27.09.2026; Tuần 4: 28.09–04.10.2026; Tuần 5: 05.10–11.10.2026; Tuần 6: 12.10–18.10.2026; Tuần 7: 19.10–25.10.2026; Tuần 8: 26.10–01.11.2026.</v>
      </c>
      <c r="N28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3" s="17" t="str">
        <f t="shared" si="44"/>
        <v>Còn trống</v>
      </c>
    </row>
    <row r="2874" spans="1:16" x14ac:dyDescent="0.3">
      <c r="A2874">
        <v>2873</v>
      </c>
      <c r="B2874" t="s">
        <v>6436</v>
      </c>
      <c r="C2874" t="s">
        <v>6609</v>
      </c>
      <c r="D2874" t="s">
        <v>6610</v>
      </c>
      <c r="E2874" t="s">
        <v>19</v>
      </c>
      <c r="F2874" t="s">
        <v>6449</v>
      </c>
      <c r="G2874" t="s">
        <v>6483</v>
      </c>
      <c r="H2874" t="str">
        <f>'Huong dan giao do an'!$B$14</f>
        <v>5 SV (vai trò chính): 1 PM/Scrum Master kiêm Integration; 2 BA/PO; 3 UI-UX + Frontend; 4 Backend/API + DevOps; 5 Database + QA/Tester. Mỗi SV có nhiệm vụ phụ và minh chứng cá nhân.</v>
      </c>
      <c r="I2874" t="s">
        <v>22</v>
      </c>
      <c r="J2874" t="s">
        <v>6441</v>
      </c>
      <c r="K2874" t="str">
        <f>IF(I2874="Trung bình",'Huong dan giao do an'!$B$8,IF(I2874="Khá",'Huong dan giao do an'!$B$9,'Huong dan giao do an'!$B$10))</f>
        <v>Tối thiểu 4 actor; 10-14 use case; 8-12 bảng; 3 quy trình lõi; phân quyền chi tiết; 2 báo cáo; tích hợp 1 dịch vụ; &gt;=35 test case; CI/CD hoặc deploy cloud.</v>
      </c>
      <c r="L2874" t="str">
        <f>'Huong dan giao do an'!$B$31</f>
        <v>Bắt buộc: Charter/PMP; SRS + scope/WBS; Gantt/baseline; effort-cost budget; RACI/timesheet; quality-test-defect; communication/minutes; risk register; procurement; change log; closure/lessons learned.</v>
      </c>
      <c r="M2874" t="str">
        <f>'Huong dan giao do an'!$B$33</f>
        <v>Tuần 1: 07.09–13.09.2026; Tuần 2: 14.09–20.09.2026; Tuần 3: 21.09–27.09.2026; Tuần 4: 28.09–04.10.2026; Tuần 5: 05.10–11.10.2026; Tuần 6: 12.10–18.10.2026; Tuần 7: 19.10–25.10.2026; Tuần 8: 26.10–01.11.2026.</v>
      </c>
      <c r="N28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4" s="17" t="str">
        <f t="shared" si="44"/>
        <v>Còn trống</v>
      </c>
    </row>
    <row r="2875" spans="1:16" x14ac:dyDescent="0.3">
      <c r="A2875">
        <v>2874</v>
      </c>
      <c r="B2875" t="s">
        <v>6436</v>
      </c>
      <c r="C2875" t="s">
        <v>6611</v>
      </c>
      <c r="D2875" t="s">
        <v>6612</v>
      </c>
      <c r="E2875" t="s">
        <v>26</v>
      </c>
      <c r="F2875" t="s">
        <v>6454</v>
      </c>
      <c r="G2875" t="s">
        <v>6486</v>
      </c>
      <c r="H2875" t="str">
        <f>'Huong dan giao do an'!$B$14</f>
        <v>5 SV (vai trò chính): 1 PM/Scrum Master kiêm Integration; 2 BA/PO; 3 UI-UX + Frontend; 4 Backend/API + DevOps; 5 Database + QA/Tester. Mỗi SV có nhiệm vụ phụ và minh chứng cá nhân.</v>
      </c>
      <c r="I2875" t="s">
        <v>29</v>
      </c>
      <c r="J2875" t="s">
        <v>6446</v>
      </c>
      <c r="K2875" t="str">
        <f>IF(I2875="Trung bình",'Huong dan giao do an'!$B$8,IF(I2875="Khá",'Huong dan giao do an'!$B$9,'Huong dan giao do an'!$B$10))</f>
        <v>Tối thiểu 5 actor; 14-18 use case; 10-15 bảng; 4 quy trình; tích hợp ngoài/realtime hoặc xử lý nâng cao; 3 báo cáo; &gt;=45 test case; logging, backup và deploy.</v>
      </c>
      <c r="L2875" t="str">
        <f>'Huong dan giao do an'!$B$31</f>
        <v>Bắt buộc: Charter/PMP; SRS + scope/WBS; Gantt/baseline; effort-cost budget; RACI/timesheet; quality-test-defect; communication/minutes; risk register; procurement; change log; closure/lessons learned.</v>
      </c>
      <c r="M2875" t="str">
        <f>'Huong dan giao do an'!$B$33</f>
        <v>Tuần 1: 07.09–13.09.2026; Tuần 2: 14.09–20.09.2026; Tuần 3: 21.09–27.09.2026; Tuần 4: 28.09–04.10.2026; Tuần 5: 05.10–11.10.2026; Tuần 6: 12.10–18.10.2026; Tuần 7: 19.10–25.10.2026; Tuần 8: 26.10–01.11.2026.</v>
      </c>
      <c r="N28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5" s="17" t="str">
        <f t="shared" si="44"/>
        <v>Còn trống</v>
      </c>
    </row>
    <row r="2876" spans="1:16" x14ac:dyDescent="0.3">
      <c r="A2876">
        <v>2875</v>
      </c>
      <c r="B2876" t="s">
        <v>6436</v>
      </c>
      <c r="C2876" t="s">
        <v>6613</v>
      </c>
      <c r="D2876" t="s">
        <v>6614</v>
      </c>
      <c r="E2876" t="s">
        <v>33</v>
      </c>
      <c r="F2876" t="s">
        <v>6458</v>
      </c>
      <c r="G2876" t="s">
        <v>6489</v>
      </c>
      <c r="H2876" t="str">
        <f>'Huong dan giao do an'!$B$14</f>
        <v>5 SV (vai trò chính): 1 PM/Scrum Master kiêm Integration; 2 BA/PO; 3 UI-UX + Frontend; 4 Backend/API + DevOps; 5 Database + QA/Tester. Mỗi SV có nhiệm vụ phụ và minh chứng cá nhân.</v>
      </c>
      <c r="I2876" t="s">
        <v>36</v>
      </c>
      <c r="J2876" t="s">
        <v>6451</v>
      </c>
      <c r="K2876" t="str">
        <f>IF(I2876="Trung bình",'Huong dan giao do an'!$B$8,IF(I2876="Khá",'Huong dan giao do an'!$B$9,'Huong dan giao do an'!$B$10))</f>
        <v>Tối thiểu 3 actor; 8-10 use case; 6-8 bảng dữ liệu; 2 quy trình lõi; đăng nhập/RBAC; 1 dashboard; 1 báo cáo; &gt;=25 test case; triển khai bản demo.</v>
      </c>
      <c r="L2876" t="str">
        <f>'Huong dan giao do an'!$B$31</f>
        <v>Bắt buộc: Charter/PMP; SRS + scope/WBS; Gantt/baseline; effort-cost budget; RACI/timesheet; quality-test-defect; communication/minutes; risk register; procurement; change log; closure/lessons learned.</v>
      </c>
      <c r="M2876" t="str">
        <f>'Huong dan giao do an'!$B$33</f>
        <v>Tuần 1: 07.09–13.09.2026; Tuần 2: 14.09–20.09.2026; Tuần 3: 21.09–27.09.2026; Tuần 4: 28.09–04.10.2026; Tuần 5: 05.10–11.10.2026; Tuần 6: 12.10–18.10.2026; Tuần 7: 19.10–25.10.2026; Tuần 8: 26.10–01.11.2026.</v>
      </c>
      <c r="N28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6" s="17" t="str">
        <f t="shared" si="44"/>
        <v>Còn trống</v>
      </c>
    </row>
    <row r="2877" spans="1:16" x14ac:dyDescent="0.3">
      <c r="A2877">
        <v>2876</v>
      </c>
      <c r="B2877" t="s">
        <v>6436</v>
      </c>
      <c r="C2877" t="s">
        <v>6615</v>
      </c>
      <c r="D2877" t="s">
        <v>6616</v>
      </c>
      <c r="E2877" t="s">
        <v>40</v>
      </c>
      <c r="F2877" t="s">
        <v>6439</v>
      </c>
      <c r="G2877" t="s">
        <v>6492</v>
      </c>
      <c r="H2877" t="str">
        <f>'Huong dan giao do an'!$B$14</f>
        <v>5 SV (vai trò chính): 1 PM/Scrum Master kiêm Integration; 2 BA/PO; 3 UI-UX + Frontend; 4 Backend/API + DevOps; 5 Database + QA/Tester. Mỗi SV có nhiệm vụ phụ và minh chứng cá nhân.</v>
      </c>
      <c r="I2877" t="s">
        <v>22</v>
      </c>
      <c r="J2877" t="s">
        <v>6441</v>
      </c>
      <c r="K2877" t="str">
        <f>IF(I2877="Trung bình",'Huong dan giao do an'!$B$8,IF(I2877="Khá",'Huong dan giao do an'!$B$9,'Huong dan giao do an'!$B$10))</f>
        <v>Tối thiểu 4 actor; 10-14 use case; 8-12 bảng; 3 quy trình lõi; phân quyền chi tiết; 2 báo cáo; tích hợp 1 dịch vụ; &gt;=35 test case; CI/CD hoặc deploy cloud.</v>
      </c>
      <c r="L2877" t="str">
        <f>'Huong dan giao do an'!$B$31</f>
        <v>Bắt buộc: Charter/PMP; SRS + scope/WBS; Gantt/baseline; effort-cost budget; RACI/timesheet; quality-test-defect; communication/minutes; risk register; procurement; change log; closure/lessons learned.</v>
      </c>
      <c r="M2877" t="str">
        <f>'Huong dan giao do an'!$B$33</f>
        <v>Tuần 1: 07.09–13.09.2026; Tuần 2: 14.09–20.09.2026; Tuần 3: 21.09–27.09.2026; Tuần 4: 28.09–04.10.2026; Tuần 5: 05.10–11.10.2026; Tuần 6: 12.10–18.10.2026; Tuần 7: 19.10–25.10.2026; Tuần 8: 26.10–01.11.2026.</v>
      </c>
      <c r="N28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7" s="17" t="str">
        <f t="shared" si="44"/>
        <v>Còn trống</v>
      </c>
    </row>
    <row r="2878" spans="1:16" x14ac:dyDescent="0.3">
      <c r="A2878">
        <v>2877</v>
      </c>
      <c r="B2878" t="s">
        <v>6436</v>
      </c>
      <c r="C2878" t="s">
        <v>6617</v>
      </c>
      <c r="D2878" t="s">
        <v>6618</v>
      </c>
      <c r="E2878" t="s">
        <v>45</v>
      </c>
      <c r="F2878" t="s">
        <v>6444</v>
      </c>
      <c r="G2878" t="s">
        <v>6495</v>
      </c>
      <c r="H2878" t="str">
        <f>'Huong dan giao do an'!$B$14</f>
        <v>5 SV (vai trò chính): 1 PM/Scrum Master kiêm Integration; 2 BA/PO; 3 UI-UX + Frontend; 4 Backend/API + DevOps; 5 Database + QA/Tester. Mỗi SV có nhiệm vụ phụ và minh chứng cá nhân.</v>
      </c>
      <c r="I2878" t="s">
        <v>29</v>
      </c>
      <c r="J2878" t="s">
        <v>6446</v>
      </c>
      <c r="K2878" t="str">
        <f>IF(I2878="Trung bình",'Huong dan giao do an'!$B$8,IF(I2878="Khá",'Huong dan giao do an'!$B$9,'Huong dan giao do an'!$B$10))</f>
        <v>Tối thiểu 5 actor; 14-18 use case; 10-15 bảng; 4 quy trình; tích hợp ngoài/realtime hoặc xử lý nâng cao; 3 báo cáo; &gt;=45 test case; logging, backup và deploy.</v>
      </c>
      <c r="L2878" t="str">
        <f>'Huong dan giao do an'!$B$31</f>
        <v>Bắt buộc: Charter/PMP; SRS + scope/WBS; Gantt/baseline; effort-cost budget; RACI/timesheet; quality-test-defect; communication/minutes; risk register; procurement; change log; closure/lessons learned.</v>
      </c>
      <c r="M2878" t="str">
        <f>'Huong dan giao do an'!$B$33</f>
        <v>Tuần 1: 07.09–13.09.2026; Tuần 2: 14.09–20.09.2026; Tuần 3: 21.09–27.09.2026; Tuần 4: 28.09–04.10.2026; Tuần 5: 05.10–11.10.2026; Tuần 6: 12.10–18.10.2026; Tuần 7: 19.10–25.10.2026; Tuần 8: 26.10–01.11.2026.</v>
      </c>
      <c r="N28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8" s="17" t="str">
        <f t="shared" si="44"/>
        <v>Còn trống</v>
      </c>
    </row>
    <row r="2879" spans="1:16" x14ac:dyDescent="0.3">
      <c r="A2879">
        <v>2878</v>
      </c>
      <c r="B2879" t="s">
        <v>6436</v>
      </c>
      <c r="C2879" t="s">
        <v>6619</v>
      </c>
      <c r="D2879" t="s">
        <v>6620</v>
      </c>
      <c r="E2879" t="s">
        <v>19</v>
      </c>
      <c r="F2879" t="s">
        <v>6449</v>
      </c>
      <c r="G2879" t="s">
        <v>6498</v>
      </c>
      <c r="H2879" t="str">
        <f>'Huong dan giao do an'!$B$14</f>
        <v>5 SV (vai trò chính): 1 PM/Scrum Master kiêm Integration; 2 BA/PO; 3 UI-UX + Frontend; 4 Backend/API + DevOps; 5 Database + QA/Tester. Mỗi SV có nhiệm vụ phụ và minh chứng cá nhân.</v>
      </c>
      <c r="I2879" t="s">
        <v>36</v>
      </c>
      <c r="J2879" t="s">
        <v>6451</v>
      </c>
      <c r="K2879" t="str">
        <f>IF(I2879="Trung bình",'Huong dan giao do an'!$B$8,IF(I2879="Khá",'Huong dan giao do an'!$B$9,'Huong dan giao do an'!$B$10))</f>
        <v>Tối thiểu 3 actor; 8-10 use case; 6-8 bảng dữ liệu; 2 quy trình lõi; đăng nhập/RBAC; 1 dashboard; 1 báo cáo; &gt;=25 test case; triển khai bản demo.</v>
      </c>
      <c r="L2879" t="str">
        <f>'Huong dan giao do an'!$B$31</f>
        <v>Bắt buộc: Charter/PMP; SRS + scope/WBS; Gantt/baseline; effort-cost budget; RACI/timesheet; quality-test-defect; communication/minutes; risk register; procurement; change log; closure/lessons learned.</v>
      </c>
      <c r="M2879" t="str">
        <f>'Huong dan giao do an'!$B$33</f>
        <v>Tuần 1: 07.09–13.09.2026; Tuần 2: 14.09–20.09.2026; Tuần 3: 21.09–27.09.2026; Tuần 4: 28.09–04.10.2026; Tuần 5: 05.10–11.10.2026; Tuần 6: 12.10–18.10.2026; Tuần 7: 19.10–25.10.2026; Tuần 8: 26.10–01.11.2026.</v>
      </c>
      <c r="N28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79" s="17" t="str">
        <f t="shared" si="44"/>
        <v>Còn trống</v>
      </c>
    </row>
    <row r="2880" spans="1:16" x14ac:dyDescent="0.3">
      <c r="A2880">
        <v>2879</v>
      </c>
      <c r="B2880" t="s">
        <v>6436</v>
      </c>
      <c r="C2880" t="s">
        <v>6621</v>
      </c>
      <c r="D2880" t="s">
        <v>6622</v>
      </c>
      <c r="E2880" t="s">
        <v>26</v>
      </c>
      <c r="F2880" t="s">
        <v>6454</v>
      </c>
      <c r="G2880" t="s">
        <v>6501</v>
      </c>
      <c r="H2880" t="str">
        <f>'Huong dan giao do an'!$B$14</f>
        <v>5 SV (vai trò chính): 1 PM/Scrum Master kiêm Integration; 2 BA/PO; 3 UI-UX + Frontend; 4 Backend/API + DevOps; 5 Database + QA/Tester. Mỗi SV có nhiệm vụ phụ và minh chứng cá nhân.</v>
      </c>
      <c r="I2880" t="s">
        <v>22</v>
      </c>
      <c r="J2880" t="s">
        <v>6441</v>
      </c>
      <c r="K2880" t="str">
        <f>IF(I2880="Trung bình",'Huong dan giao do an'!$B$8,IF(I2880="Khá",'Huong dan giao do an'!$B$9,'Huong dan giao do an'!$B$10))</f>
        <v>Tối thiểu 4 actor; 10-14 use case; 8-12 bảng; 3 quy trình lõi; phân quyền chi tiết; 2 báo cáo; tích hợp 1 dịch vụ; &gt;=35 test case; CI/CD hoặc deploy cloud.</v>
      </c>
      <c r="L2880" t="str">
        <f>'Huong dan giao do an'!$B$31</f>
        <v>Bắt buộc: Charter/PMP; SRS + scope/WBS; Gantt/baseline; effort-cost budget; RACI/timesheet; quality-test-defect; communication/minutes; risk register; procurement; change log; closure/lessons learned.</v>
      </c>
      <c r="M2880" t="str">
        <f>'Huong dan giao do an'!$B$33</f>
        <v>Tuần 1: 07.09–13.09.2026; Tuần 2: 14.09–20.09.2026; Tuần 3: 21.09–27.09.2026; Tuần 4: 28.09–04.10.2026; Tuần 5: 05.10–11.10.2026; Tuần 6: 12.10–18.10.2026; Tuần 7: 19.10–25.10.2026; Tuần 8: 26.10–01.11.2026.</v>
      </c>
      <c r="N28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0" s="17" t="str">
        <f t="shared" si="44"/>
        <v>Còn trống</v>
      </c>
    </row>
    <row r="2881" spans="1:16" x14ac:dyDescent="0.3">
      <c r="A2881">
        <v>2880</v>
      </c>
      <c r="B2881" t="s">
        <v>6436</v>
      </c>
      <c r="C2881" t="s">
        <v>6623</v>
      </c>
      <c r="D2881" t="s">
        <v>6624</v>
      </c>
      <c r="E2881" t="s">
        <v>33</v>
      </c>
      <c r="F2881" t="s">
        <v>6458</v>
      </c>
      <c r="G2881" t="s">
        <v>6504</v>
      </c>
      <c r="H2881" t="str">
        <f>'Huong dan giao do an'!$B$14</f>
        <v>5 SV (vai trò chính): 1 PM/Scrum Master kiêm Integration; 2 BA/PO; 3 UI-UX + Frontend; 4 Backend/API + DevOps; 5 Database + QA/Tester. Mỗi SV có nhiệm vụ phụ và minh chứng cá nhân.</v>
      </c>
      <c r="I2881" t="s">
        <v>29</v>
      </c>
      <c r="J2881" t="s">
        <v>6446</v>
      </c>
      <c r="K2881" t="str">
        <f>IF(I2881="Trung bình",'Huong dan giao do an'!$B$8,IF(I2881="Khá",'Huong dan giao do an'!$B$9,'Huong dan giao do an'!$B$10))</f>
        <v>Tối thiểu 5 actor; 14-18 use case; 10-15 bảng; 4 quy trình; tích hợp ngoài/realtime hoặc xử lý nâng cao; 3 báo cáo; &gt;=45 test case; logging, backup và deploy.</v>
      </c>
      <c r="L2881" t="str">
        <f>'Huong dan giao do an'!$B$31</f>
        <v>Bắt buộc: Charter/PMP; SRS + scope/WBS; Gantt/baseline; effort-cost budget; RACI/timesheet; quality-test-defect; communication/minutes; risk register; procurement; change log; closure/lessons learned.</v>
      </c>
      <c r="M2881" t="str">
        <f>'Huong dan giao do an'!$B$33</f>
        <v>Tuần 1: 07.09–13.09.2026; Tuần 2: 14.09–20.09.2026; Tuần 3: 21.09–27.09.2026; Tuần 4: 28.09–04.10.2026; Tuần 5: 05.10–11.10.2026; Tuần 6: 12.10–18.10.2026; Tuần 7: 19.10–25.10.2026; Tuần 8: 26.10–01.11.2026.</v>
      </c>
      <c r="N28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1" s="17" t="str">
        <f t="shared" si="44"/>
        <v>Còn trống</v>
      </c>
    </row>
    <row r="2882" spans="1:16" x14ac:dyDescent="0.3">
      <c r="A2882">
        <v>2881</v>
      </c>
      <c r="B2882" t="s">
        <v>6436</v>
      </c>
      <c r="C2882" t="s">
        <v>6625</v>
      </c>
      <c r="D2882" t="s">
        <v>6626</v>
      </c>
      <c r="E2882" t="s">
        <v>40</v>
      </c>
      <c r="F2882" t="s">
        <v>6439</v>
      </c>
      <c r="G2882" t="s">
        <v>6440</v>
      </c>
      <c r="H2882" t="str">
        <f>'Huong dan giao do an'!$B$14</f>
        <v>5 SV (vai trò chính): 1 PM/Scrum Master kiêm Integration; 2 BA/PO; 3 UI-UX + Frontend; 4 Backend/API + DevOps; 5 Database + QA/Tester. Mỗi SV có nhiệm vụ phụ và minh chứng cá nhân.</v>
      </c>
      <c r="I2882" t="s">
        <v>22</v>
      </c>
      <c r="J2882" t="s">
        <v>6441</v>
      </c>
      <c r="K2882" t="str">
        <f>IF(I2882="Trung bình",'Huong dan giao do an'!$B$8,IF(I2882="Khá",'Huong dan giao do an'!$B$9,'Huong dan giao do an'!$B$10))</f>
        <v>Tối thiểu 4 actor; 10-14 use case; 8-12 bảng; 3 quy trình lõi; phân quyền chi tiết; 2 báo cáo; tích hợp 1 dịch vụ; &gt;=35 test case; CI/CD hoặc deploy cloud.</v>
      </c>
      <c r="L2882" t="str">
        <f>'Huong dan giao do an'!$B$31</f>
        <v>Bắt buộc: Charter/PMP; SRS + scope/WBS; Gantt/baseline; effort-cost budget; RACI/timesheet; quality-test-defect; communication/minutes; risk register; procurement; change log; closure/lessons learned.</v>
      </c>
      <c r="M2882" t="str">
        <f>'Huong dan giao do an'!$B$33</f>
        <v>Tuần 1: 07.09–13.09.2026; Tuần 2: 14.09–20.09.2026; Tuần 3: 21.09–27.09.2026; Tuần 4: 28.09–04.10.2026; Tuần 5: 05.10–11.10.2026; Tuần 6: 12.10–18.10.2026; Tuần 7: 19.10–25.10.2026; Tuần 8: 26.10–01.11.2026.</v>
      </c>
      <c r="N28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2" s="17" t="str">
        <f t="shared" si="44"/>
        <v>Còn trống</v>
      </c>
    </row>
    <row r="2883" spans="1:16" x14ac:dyDescent="0.3">
      <c r="A2883">
        <v>2882</v>
      </c>
      <c r="B2883" t="s">
        <v>6436</v>
      </c>
      <c r="C2883" t="s">
        <v>6627</v>
      </c>
      <c r="D2883" t="s">
        <v>6628</v>
      </c>
      <c r="E2883" t="s">
        <v>45</v>
      </c>
      <c r="F2883" t="s">
        <v>6444</v>
      </c>
      <c r="G2883" t="s">
        <v>6445</v>
      </c>
      <c r="H2883" t="str">
        <f>'Huong dan giao do an'!$B$14</f>
        <v>5 SV (vai trò chính): 1 PM/Scrum Master kiêm Integration; 2 BA/PO; 3 UI-UX + Frontend; 4 Backend/API + DevOps; 5 Database + QA/Tester. Mỗi SV có nhiệm vụ phụ và minh chứng cá nhân.</v>
      </c>
      <c r="I2883" t="s">
        <v>29</v>
      </c>
      <c r="J2883" t="s">
        <v>6446</v>
      </c>
      <c r="K2883" t="str">
        <f>IF(I2883="Trung bình",'Huong dan giao do an'!$B$8,IF(I2883="Khá",'Huong dan giao do an'!$B$9,'Huong dan giao do an'!$B$10))</f>
        <v>Tối thiểu 5 actor; 14-18 use case; 10-15 bảng; 4 quy trình; tích hợp ngoài/realtime hoặc xử lý nâng cao; 3 báo cáo; &gt;=45 test case; logging, backup và deploy.</v>
      </c>
      <c r="L2883" t="str">
        <f>'Huong dan giao do an'!$B$31</f>
        <v>Bắt buộc: Charter/PMP; SRS + scope/WBS; Gantt/baseline; effort-cost budget; RACI/timesheet; quality-test-defect; communication/minutes; risk register; procurement; change log; closure/lessons learned.</v>
      </c>
      <c r="M2883" t="str">
        <f>'Huong dan giao do an'!$B$33</f>
        <v>Tuần 1: 07.09–13.09.2026; Tuần 2: 14.09–20.09.2026; Tuần 3: 21.09–27.09.2026; Tuần 4: 28.09–04.10.2026; Tuần 5: 05.10–11.10.2026; Tuần 6: 12.10–18.10.2026; Tuần 7: 19.10–25.10.2026; Tuần 8: 26.10–01.11.2026.</v>
      </c>
      <c r="N28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3" s="17" t="str">
        <f t="shared" ref="P2883:P2946" si="45">IF(O2883="","Còn trống","Đã đăng ký")</f>
        <v>Còn trống</v>
      </c>
    </row>
    <row r="2884" spans="1:16" x14ac:dyDescent="0.3">
      <c r="A2884">
        <v>2883</v>
      </c>
      <c r="B2884" t="s">
        <v>6436</v>
      </c>
      <c r="C2884" t="s">
        <v>6629</v>
      </c>
      <c r="D2884" t="s">
        <v>6630</v>
      </c>
      <c r="E2884" t="s">
        <v>19</v>
      </c>
      <c r="F2884" t="s">
        <v>6449</v>
      </c>
      <c r="G2884" t="s">
        <v>6450</v>
      </c>
      <c r="H2884" t="str">
        <f>'Huong dan giao do an'!$B$14</f>
        <v>5 SV (vai trò chính): 1 PM/Scrum Master kiêm Integration; 2 BA/PO; 3 UI-UX + Frontend; 4 Backend/API + DevOps; 5 Database + QA/Tester. Mỗi SV có nhiệm vụ phụ và minh chứng cá nhân.</v>
      </c>
      <c r="I2884" t="s">
        <v>36</v>
      </c>
      <c r="J2884" t="s">
        <v>6451</v>
      </c>
      <c r="K2884" t="str">
        <f>IF(I2884="Trung bình",'Huong dan giao do an'!$B$8,IF(I2884="Khá",'Huong dan giao do an'!$B$9,'Huong dan giao do an'!$B$10))</f>
        <v>Tối thiểu 3 actor; 8-10 use case; 6-8 bảng dữ liệu; 2 quy trình lõi; đăng nhập/RBAC; 1 dashboard; 1 báo cáo; &gt;=25 test case; triển khai bản demo.</v>
      </c>
      <c r="L2884" t="str">
        <f>'Huong dan giao do an'!$B$31</f>
        <v>Bắt buộc: Charter/PMP; SRS + scope/WBS; Gantt/baseline; effort-cost budget; RACI/timesheet; quality-test-defect; communication/minutes; risk register; procurement; change log; closure/lessons learned.</v>
      </c>
      <c r="M2884" t="str">
        <f>'Huong dan giao do an'!$B$33</f>
        <v>Tuần 1: 07.09–13.09.2026; Tuần 2: 14.09–20.09.2026; Tuần 3: 21.09–27.09.2026; Tuần 4: 28.09–04.10.2026; Tuần 5: 05.10–11.10.2026; Tuần 6: 12.10–18.10.2026; Tuần 7: 19.10–25.10.2026; Tuần 8: 26.10–01.11.2026.</v>
      </c>
      <c r="N28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4" s="17" t="str">
        <f t="shared" si="45"/>
        <v>Còn trống</v>
      </c>
    </row>
    <row r="2885" spans="1:16" x14ac:dyDescent="0.3">
      <c r="A2885">
        <v>2884</v>
      </c>
      <c r="B2885" t="s">
        <v>6436</v>
      </c>
      <c r="C2885" t="s">
        <v>6631</v>
      </c>
      <c r="D2885" t="s">
        <v>6632</v>
      </c>
      <c r="E2885" t="s">
        <v>26</v>
      </c>
      <c r="F2885" t="s">
        <v>6454</v>
      </c>
      <c r="G2885" t="s">
        <v>6455</v>
      </c>
      <c r="H2885" t="str">
        <f>'Huong dan giao do an'!$B$14</f>
        <v>5 SV (vai trò chính): 1 PM/Scrum Master kiêm Integration; 2 BA/PO; 3 UI-UX + Frontend; 4 Backend/API + DevOps; 5 Database + QA/Tester. Mỗi SV có nhiệm vụ phụ và minh chứng cá nhân.</v>
      </c>
      <c r="I2885" t="s">
        <v>22</v>
      </c>
      <c r="J2885" t="s">
        <v>6441</v>
      </c>
      <c r="K2885" t="str">
        <f>IF(I2885="Trung bình",'Huong dan giao do an'!$B$8,IF(I2885="Khá",'Huong dan giao do an'!$B$9,'Huong dan giao do an'!$B$10))</f>
        <v>Tối thiểu 4 actor; 10-14 use case; 8-12 bảng; 3 quy trình lõi; phân quyền chi tiết; 2 báo cáo; tích hợp 1 dịch vụ; &gt;=35 test case; CI/CD hoặc deploy cloud.</v>
      </c>
      <c r="L2885" t="str">
        <f>'Huong dan giao do an'!$B$31</f>
        <v>Bắt buộc: Charter/PMP; SRS + scope/WBS; Gantt/baseline; effort-cost budget; RACI/timesheet; quality-test-defect; communication/minutes; risk register; procurement; change log; closure/lessons learned.</v>
      </c>
      <c r="M2885" t="str">
        <f>'Huong dan giao do an'!$B$33</f>
        <v>Tuần 1: 07.09–13.09.2026; Tuần 2: 14.09–20.09.2026; Tuần 3: 21.09–27.09.2026; Tuần 4: 28.09–04.10.2026; Tuần 5: 05.10–11.10.2026; Tuần 6: 12.10–18.10.2026; Tuần 7: 19.10–25.10.2026; Tuần 8: 26.10–01.11.2026.</v>
      </c>
      <c r="N28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5" s="17" t="str">
        <f t="shared" si="45"/>
        <v>Còn trống</v>
      </c>
    </row>
    <row r="2886" spans="1:16" x14ac:dyDescent="0.3">
      <c r="A2886">
        <v>2885</v>
      </c>
      <c r="B2886" t="s">
        <v>6436</v>
      </c>
      <c r="C2886" t="s">
        <v>6633</v>
      </c>
      <c r="D2886" t="s">
        <v>6634</v>
      </c>
      <c r="E2886" t="s">
        <v>33</v>
      </c>
      <c r="F2886" t="s">
        <v>6458</v>
      </c>
      <c r="G2886" t="s">
        <v>6459</v>
      </c>
      <c r="H2886" t="str">
        <f>'Huong dan giao do an'!$B$14</f>
        <v>5 SV (vai trò chính): 1 PM/Scrum Master kiêm Integration; 2 BA/PO; 3 UI-UX + Frontend; 4 Backend/API + DevOps; 5 Database + QA/Tester. Mỗi SV có nhiệm vụ phụ và minh chứng cá nhân.</v>
      </c>
      <c r="I2886" t="s">
        <v>29</v>
      </c>
      <c r="J2886" t="s">
        <v>6446</v>
      </c>
      <c r="K2886" t="str">
        <f>IF(I2886="Trung bình",'Huong dan giao do an'!$B$8,IF(I2886="Khá",'Huong dan giao do an'!$B$9,'Huong dan giao do an'!$B$10))</f>
        <v>Tối thiểu 5 actor; 14-18 use case; 10-15 bảng; 4 quy trình; tích hợp ngoài/realtime hoặc xử lý nâng cao; 3 báo cáo; &gt;=45 test case; logging, backup và deploy.</v>
      </c>
      <c r="L2886" t="str">
        <f>'Huong dan giao do an'!$B$31</f>
        <v>Bắt buộc: Charter/PMP; SRS + scope/WBS; Gantt/baseline; effort-cost budget; RACI/timesheet; quality-test-defect; communication/minutes; risk register; procurement; change log; closure/lessons learned.</v>
      </c>
      <c r="M2886" t="str">
        <f>'Huong dan giao do an'!$B$33</f>
        <v>Tuần 1: 07.09–13.09.2026; Tuần 2: 14.09–20.09.2026; Tuần 3: 21.09–27.09.2026; Tuần 4: 28.09–04.10.2026; Tuần 5: 05.10–11.10.2026; Tuần 6: 12.10–18.10.2026; Tuần 7: 19.10–25.10.2026; Tuần 8: 26.10–01.11.2026.</v>
      </c>
      <c r="N28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6" s="17" t="str">
        <f t="shared" si="45"/>
        <v>Còn trống</v>
      </c>
    </row>
    <row r="2887" spans="1:16" x14ac:dyDescent="0.3">
      <c r="A2887">
        <v>2886</v>
      </c>
      <c r="B2887" t="s">
        <v>6436</v>
      </c>
      <c r="C2887" t="s">
        <v>6635</v>
      </c>
      <c r="D2887" t="s">
        <v>6636</v>
      </c>
      <c r="E2887" t="s">
        <v>40</v>
      </c>
      <c r="F2887" t="s">
        <v>6439</v>
      </c>
      <c r="G2887" t="s">
        <v>6462</v>
      </c>
      <c r="H2887" t="str">
        <f>'Huong dan giao do an'!$B$14</f>
        <v>5 SV (vai trò chính): 1 PM/Scrum Master kiêm Integration; 2 BA/PO; 3 UI-UX + Frontend; 4 Backend/API + DevOps; 5 Database + QA/Tester. Mỗi SV có nhiệm vụ phụ và minh chứng cá nhân.</v>
      </c>
      <c r="I2887" t="s">
        <v>36</v>
      </c>
      <c r="J2887" t="s">
        <v>6451</v>
      </c>
      <c r="K2887" t="str">
        <f>IF(I2887="Trung bình",'Huong dan giao do an'!$B$8,IF(I2887="Khá",'Huong dan giao do an'!$B$9,'Huong dan giao do an'!$B$10))</f>
        <v>Tối thiểu 3 actor; 8-10 use case; 6-8 bảng dữ liệu; 2 quy trình lõi; đăng nhập/RBAC; 1 dashboard; 1 báo cáo; &gt;=25 test case; triển khai bản demo.</v>
      </c>
      <c r="L2887" t="str">
        <f>'Huong dan giao do an'!$B$31</f>
        <v>Bắt buộc: Charter/PMP; SRS + scope/WBS; Gantt/baseline; effort-cost budget; RACI/timesheet; quality-test-defect; communication/minutes; risk register; procurement; change log; closure/lessons learned.</v>
      </c>
      <c r="M2887" t="str">
        <f>'Huong dan giao do an'!$B$33</f>
        <v>Tuần 1: 07.09–13.09.2026; Tuần 2: 14.09–20.09.2026; Tuần 3: 21.09–27.09.2026; Tuần 4: 28.09–04.10.2026; Tuần 5: 05.10–11.10.2026; Tuần 6: 12.10–18.10.2026; Tuần 7: 19.10–25.10.2026; Tuần 8: 26.10–01.11.2026.</v>
      </c>
      <c r="N28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7" s="17" t="str">
        <f t="shared" si="45"/>
        <v>Còn trống</v>
      </c>
    </row>
    <row r="2888" spans="1:16" x14ac:dyDescent="0.3">
      <c r="A2888">
        <v>2887</v>
      </c>
      <c r="B2888" t="s">
        <v>6436</v>
      </c>
      <c r="C2888" t="s">
        <v>6637</v>
      </c>
      <c r="D2888" t="s">
        <v>6638</v>
      </c>
      <c r="E2888" t="s">
        <v>45</v>
      </c>
      <c r="F2888" t="s">
        <v>6444</v>
      </c>
      <c r="G2888" t="s">
        <v>6465</v>
      </c>
      <c r="H2888" t="str">
        <f>'Huong dan giao do an'!$B$14</f>
        <v>5 SV (vai trò chính): 1 PM/Scrum Master kiêm Integration; 2 BA/PO; 3 UI-UX + Frontend; 4 Backend/API + DevOps; 5 Database + QA/Tester. Mỗi SV có nhiệm vụ phụ và minh chứng cá nhân.</v>
      </c>
      <c r="I2888" t="s">
        <v>22</v>
      </c>
      <c r="J2888" t="s">
        <v>6441</v>
      </c>
      <c r="K2888" t="str">
        <f>IF(I2888="Trung bình",'Huong dan giao do an'!$B$8,IF(I2888="Khá",'Huong dan giao do an'!$B$9,'Huong dan giao do an'!$B$10))</f>
        <v>Tối thiểu 4 actor; 10-14 use case; 8-12 bảng; 3 quy trình lõi; phân quyền chi tiết; 2 báo cáo; tích hợp 1 dịch vụ; &gt;=35 test case; CI/CD hoặc deploy cloud.</v>
      </c>
      <c r="L2888" t="str">
        <f>'Huong dan giao do an'!$B$31</f>
        <v>Bắt buộc: Charter/PMP; SRS + scope/WBS; Gantt/baseline; effort-cost budget; RACI/timesheet; quality-test-defect; communication/minutes; risk register; procurement; change log; closure/lessons learned.</v>
      </c>
      <c r="M2888" t="str">
        <f>'Huong dan giao do an'!$B$33</f>
        <v>Tuần 1: 07.09–13.09.2026; Tuần 2: 14.09–20.09.2026; Tuần 3: 21.09–27.09.2026; Tuần 4: 28.09–04.10.2026; Tuần 5: 05.10–11.10.2026; Tuần 6: 12.10–18.10.2026; Tuần 7: 19.10–25.10.2026; Tuần 8: 26.10–01.11.2026.</v>
      </c>
      <c r="N28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8" s="17" t="str">
        <f t="shared" si="45"/>
        <v>Còn trống</v>
      </c>
    </row>
    <row r="2889" spans="1:16" x14ac:dyDescent="0.3">
      <c r="A2889">
        <v>2888</v>
      </c>
      <c r="B2889" t="s">
        <v>6436</v>
      </c>
      <c r="C2889" t="s">
        <v>6639</v>
      </c>
      <c r="D2889" t="s">
        <v>6640</v>
      </c>
      <c r="E2889" t="s">
        <v>19</v>
      </c>
      <c r="F2889" t="s">
        <v>6449</v>
      </c>
      <c r="G2889" t="s">
        <v>6468</v>
      </c>
      <c r="H2889" t="str">
        <f>'Huong dan giao do an'!$B$14</f>
        <v>5 SV (vai trò chính): 1 PM/Scrum Master kiêm Integration; 2 BA/PO; 3 UI-UX + Frontend; 4 Backend/API + DevOps; 5 Database + QA/Tester. Mỗi SV có nhiệm vụ phụ và minh chứng cá nhân.</v>
      </c>
      <c r="I2889" t="s">
        <v>29</v>
      </c>
      <c r="J2889" t="s">
        <v>6446</v>
      </c>
      <c r="K2889" t="str">
        <f>IF(I2889="Trung bình",'Huong dan giao do an'!$B$8,IF(I2889="Khá",'Huong dan giao do an'!$B$9,'Huong dan giao do an'!$B$10))</f>
        <v>Tối thiểu 5 actor; 14-18 use case; 10-15 bảng; 4 quy trình; tích hợp ngoài/realtime hoặc xử lý nâng cao; 3 báo cáo; &gt;=45 test case; logging, backup và deploy.</v>
      </c>
      <c r="L2889" t="str">
        <f>'Huong dan giao do an'!$B$31</f>
        <v>Bắt buộc: Charter/PMP; SRS + scope/WBS; Gantt/baseline; effort-cost budget; RACI/timesheet; quality-test-defect; communication/minutes; risk register; procurement; change log; closure/lessons learned.</v>
      </c>
      <c r="M2889" t="str">
        <f>'Huong dan giao do an'!$B$33</f>
        <v>Tuần 1: 07.09–13.09.2026; Tuần 2: 14.09–20.09.2026; Tuần 3: 21.09–27.09.2026; Tuần 4: 28.09–04.10.2026; Tuần 5: 05.10–11.10.2026; Tuần 6: 12.10–18.10.2026; Tuần 7: 19.10–25.10.2026; Tuần 8: 26.10–01.11.2026.</v>
      </c>
      <c r="N28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89" s="17" t="str">
        <f t="shared" si="45"/>
        <v>Còn trống</v>
      </c>
    </row>
    <row r="2890" spans="1:16" x14ac:dyDescent="0.3">
      <c r="A2890">
        <v>2889</v>
      </c>
      <c r="B2890" t="s">
        <v>6436</v>
      </c>
      <c r="C2890" t="s">
        <v>6641</v>
      </c>
      <c r="D2890" t="s">
        <v>6642</v>
      </c>
      <c r="E2890" t="s">
        <v>26</v>
      </c>
      <c r="F2890" t="s">
        <v>6454</v>
      </c>
      <c r="G2890" t="s">
        <v>6471</v>
      </c>
      <c r="H2890" t="str">
        <f>'Huong dan giao do an'!$B$14</f>
        <v>5 SV (vai trò chính): 1 PM/Scrum Master kiêm Integration; 2 BA/PO; 3 UI-UX + Frontend; 4 Backend/API + DevOps; 5 Database + QA/Tester. Mỗi SV có nhiệm vụ phụ và minh chứng cá nhân.</v>
      </c>
      <c r="I2890" t="s">
        <v>36</v>
      </c>
      <c r="J2890" t="s">
        <v>6451</v>
      </c>
      <c r="K2890" t="str">
        <f>IF(I2890="Trung bình",'Huong dan giao do an'!$B$8,IF(I2890="Khá",'Huong dan giao do an'!$B$9,'Huong dan giao do an'!$B$10))</f>
        <v>Tối thiểu 3 actor; 8-10 use case; 6-8 bảng dữ liệu; 2 quy trình lõi; đăng nhập/RBAC; 1 dashboard; 1 báo cáo; &gt;=25 test case; triển khai bản demo.</v>
      </c>
      <c r="L2890" t="str">
        <f>'Huong dan giao do an'!$B$31</f>
        <v>Bắt buộc: Charter/PMP; SRS + scope/WBS; Gantt/baseline; effort-cost budget; RACI/timesheet; quality-test-defect; communication/minutes; risk register; procurement; change log; closure/lessons learned.</v>
      </c>
      <c r="M2890" t="str">
        <f>'Huong dan giao do an'!$B$33</f>
        <v>Tuần 1: 07.09–13.09.2026; Tuần 2: 14.09–20.09.2026; Tuần 3: 21.09–27.09.2026; Tuần 4: 28.09–04.10.2026; Tuần 5: 05.10–11.10.2026; Tuần 6: 12.10–18.10.2026; Tuần 7: 19.10–25.10.2026; Tuần 8: 26.10–01.11.2026.</v>
      </c>
      <c r="N28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0" s="17" t="str">
        <f t="shared" si="45"/>
        <v>Còn trống</v>
      </c>
    </row>
    <row r="2891" spans="1:16" x14ac:dyDescent="0.3">
      <c r="A2891">
        <v>2890</v>
      </c>
      <c r="B2891" t="s">
        <v>6436</v>
      </c>
      <c r="C2891" t="s">
        <v>6643</v>
      </c>
      <c r="D2891" t="s">
        <v>6644</v>
      </c>
      <c r="E2891" t="s">
        <v>33</v>
      </c>
      <c r="F2891" t="s">
        <v>6458</v>
      </c>
      <c r="G2891" t="s">
        <v>6474</v>
      </c>
      <c r="H2891" t="str">
        <f>'Huong dan giao do an'!$B$14</f>
        <v>5 SV (vai trò chính): 1 PM/Scrum Master kiêm Integration; 2 BA/PO; 3 UI-UX + Frontend; 4 Backend/API + DevOps; 5 Database + QA/Tester. Mỗi SV có nhiệm vụ phụ và minh chứng cá nhân.</v>
      </c>
      <c r="I2891" t="s">
        <v>22</v>
      </c>
      <c r="J2891" t="s">
        <v>6441</v>
      </c>
      <c r="K2891" t="str">
        <f>IF(I2891="Trung bình",'Huong dan giao do an'!$B$8,IF(I2891="Khá",'Huong dan giao do an'!$B$9,'Huong dan giao do an'!$B$10))</f>
        <v>Tối thiểu 4 actor; 10-14 use case; 8-12 bảng; 3 quy trình lõi; phân quyền chi tiết; 2 báo cáo; tích hợp 1 dịch vụ; &gt;=35 test case; CI/CD hoặc deploy cloud.</v>
      </c>
      <c r="L2891" t="str">
        <f>'Huong dan giao do an'!$B$31</f>
        <v>Bắt buộc: Charter/PMP; SRS + scope/WBS; Gantt/baseline; effort-cost budget; RACI/timesheet; quality-test-defect; communication/minutes; risk register; procurement; change log; closure/lessons learned.</v>
      </c>
      <c r="M2891" t="str">
        <f>'Huong dan giao do an'!$B$33</f>
        <v>Tuần 1: 07.09–13.09.2026; Tuần 2: 14.09–20.09.2026; Tuần 3: 21.09–27.09.2026; Tuần 4: 28.09–04.10.2026; Tuần 5: 05.10–11.10.2026; Tuần 6: 12.10–18.10.2026; Tuần 7: 19.10–25.10.2026; Tuần 8: 26.10–01.11.2026.</v>
      </c>
      <c r="N28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1" s="17" t="str">
        <f t="shared" si="45"/>
        <v>Còn trống</v>
      </c>
    </row>
    <row r="2892" spans="1:16" x14ac:dyDescent="0.3">
      <c r="A2892">
        <v>2891</v>
      </c>
      <c r="B2892" t="s">
        <v>6436</v>
      </c>
      <c r="C2892" t="s">
        <v>6645</v>
      </c>
      <c r="D2892" t="s">
        <v>6646</v>
      </c>
      <c r="E2892" t="s">
        <v>40</v>
      </c>
      <c r="F2892" t="s">
        <v>6439</v>
      </c>
      <c r="G2892" t="s">
        <v>6477</v>
      </c>
      <c r="H2892" t="str">
        <f>'Huong dan giao do an'!$B$14</f>
        <v>5 SV (vai trò chính): 1 PM/Scrum Master kiêm Integration; 2 BA/PO; 3 UI-UX + Frontend; 4 Backend/API + DevOps; 5 Database + QA/Tester. Mỗi SV có nhiệm vụ phụ và minh chứng cá nhân.</v>
      </c>
      <c r="I2892" t="s">
        <v>29</v>
      </c>
      <c r="J2892" t="s">
        <v>6446</v>
      </c>
      <c r="K2892" t="str">
        <f>IF(I2892="Trung bình",'Huong dan giao do an'!$B$8,IF(I2892="Khá",'Huong dan giao do an'!$B$9,'Huong dan giao do an'!$B$10))</f>
        <v>Tối thiểu 5 actor; 14-18 use case; 10-15 bảng; 4 quy trình; tích hợp ngoài/realtime hoặc xử lý nâng cao; 3 báo cáo; &gt;=45 test case; logging, backup và deploy.</v>
      </c>
      <c r="L2892" t="str">
        <f>'Huong dan giao do an'!$B$31</f>
        <v>Bắt buộc: Charter/PMP; SRS + scope/WBS; Gantt/baseline; effort-cost budget; RACI/timesheet; quality-test-defect; communication/minutes; risk register; procurement; change log; closure/lessons learned.</v>
      </c>
      <c r="M2892" t="str">
        <f>'Huong dan giao do an'!$B$33</f>
        <v>Tuần 1: 07.09–13.09.2026; Tuần 2: 14.09–20.09.2026; Tuần 3: 21.09–27.09.2026; Tuần 4: 28.09–04.10.2026; Tuần 5: 05.10–11.10.2026; Tuần 6: 12.10–18.10.2026; Tuần 7: 19.10–25.10.2026; Tuần 8: 26.10–01.11.2026.</v>
      </c>
      <c r="N28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2" s="17" t="str">
        <f t="shared" si="45"/>
        <v>Còn trống</v>
      </c>
    </row>
    <row r="2893" spans="1:16" x14ac:dyDescent="0.3">
      <c r="A2893">
        <v>2892</v>
      </c>
      <c r="B2893" t="s">
        <v>6436</v>
      </c>
      <c r="C2893" t="s">
        <v>6647</v>
      </c>
      <c r="D2893" t="s">
        <v>6648</v>
      </c>
      <c r="E2893" t="s">
        <v>45</v>
      </c>
      <c r="F2893" t="s">
        <v>6444</v>
      </c>
      <c r="G2893" t="s">
        <v>6480</v>
      </c>
      <c r="H2893" t="str">
        <f>'Huong dan giao do an'!$B$14</f>
        <v>5 SV (vai trò chính): 1 PM/Scrum Master kiêm Integration; 2 BA/PO; 3 UI-UX + Frontend; 4 Backend/API + DevOps; 5 Database + QA/Tester. Mỗi SV có nhiệm vụ phụ và minh chứng cá nhân.</v>
      </c>
      <c r="I2893" t="s">
        <v>36</v>
      </c>
      <c r="J2893" t="s">
        <v>6451</v>
      </c>
      <c r="K2893" t="str">
        <f>IF(I2893="Trung bình",'Huong dan giao do an'!$B$8,IF(I2893="Khá",'Huong dan giao do an'!$B$9,'Huong dan giao do an'!$B$10))</f>
        <v>Tối thiểu 3 actor; 8-10 use case; 6-8 bảng dữ liệu; 2 quy trình lõi; đăng nhập/RBAC; 1 dashboard; 1 báo cáo; &gt;=25 test case; triển khai bản demo.</v>
      </c>
      <c r="L2893" t="str">
        <f>'Huong dan giao do an'!$B$31</f>
        <v>Bắt buộc: Charter/PMP; SRS + scope/WBS; Gantt/baseline; effort-cost budget; RACI/timesheet; quality-test-defect; communication/minutes; risk register; procurement; change log; closure/lessons learned.</v>
      </c>
      <c r="M2893" t="str">
        <f>'Huong dan giao do an'!$B$33</f>
        <v>Tuần 1: 07.09–13.09.2026; Tuần 2: 14.09–20.09.2026; Tuần 3: 21.09–27.09.2026; Tuần 4: 28.09–04.10.2026; Tuần 5: 05.10–11.10.2026; Tuần 6: 12.10–18.10.2026; Tuần 7: 19.10–25.10.2026; Tuần 8: 26.10–01.11.2026.</v>
      </c>
      <c r="N28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3" s="17" t="str">
        <f t="shared" si="45"/>
        <v>Còn trống</v>
      </c>
    </row>
    <row r="2894" spans="1:16" x14ac:dyDescent="0.3">
      <c r="A2894">
        <v>2893</v>
      </c>
      <c r="B2894" t="s">
        <v>6436</v>
      </c>
      <c r="C2894" t="s">
        <v>6649</v>
      </c>
      <c r="D2894" t="s">
        <v>6650</v>
      </c>
      <c r="E2894" t="s">
        <v>19</v>
      </c>
      <c r="F2894" t="s">
        <v>6449</v>
      </c>
      <c r="G2894" t="s">
        <v>6483</v>
      </c>
      <c r="H2894" t="str">
        <f>'Huong dan giao do an'!$B$14</f>
        <v>5 SV (vai trò chính): 1 PM/Scrum Master kiêm Integration; 2 BA/PO; 3 UI-UX + Frontend; 4 Backend/API + DevOps; 5 Database + QA/Tester. Mỗi SV có nhiệm vụ phụ và minh chứng cá nhân.</v>
      </c>
      <c r="I2894" t="s">
        <v>22</v>
      </c>
      <c r="J2894" t="s">
        <v>6441</v>
      </c>
      <c r="K2894" t="str">
        <f>IF(I2894="Trung bình",'Huong dan giao do an'!$B$8,IF(I2894="Khá",'Huong dan giao do an'!$B$9,'Huong dan giao do an'!$B$10))</f>
        <v>Tối thiểu 4 actor; 10-14 use case; 8-12 bảng; 3 quy trình lõi; phân quyền chi tiết; 2 báo cáo; tích hợp 1 dịch vụ; &gt;=35 test case; CI/CD hoặc deploy cloud.</v>
      </c>
      <c r="L2894" t="str">
        <f>'Huong dan giao do an'!$B$31</f>
        <v>Bắt buộc: Charter/PMP; SRS + scope/WBS; Gantt/baseline; effort-cost budget; RACI/timesheet; quality-test-defect; communication/minutes; risk register; procurement; change log; closure/lessons learned.</v>
      </c>
      <c r="M2894" t="str">
        <f>'Huong dan giao do an'!$B$33</f>
        <v>Tuần 1: 07.09–13.09.2026; Tuần 2: 14.09–20.09.2026; Tuần 3: 21.09–27.09.2026; Tuần 4: 28.09–04.10.2026; Tuần 5: 05.10–11.10.2026; Tuần 6: 12.10–18.10.2026; Tuần 7: 19.10–25.10.2026; Tuần 8: 26.10–01.11.2026.</v>
      </c>
      <c r="N28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4" s="17" t="str">
        <f t="shared" si="45"/>
        <v>Còn trống</v>
      </c>
    </row>
    <row r="2895" spans="1:16" x14ac:dyDescent="0.3">
      <c r="A2895">
        <v>2894</v>
      </c>
      <c r="B2895" t="s">
        <v>6436</v>
      </c>
      <c r="C2895" t="s">
        <v>6651</v>
      </c>
      <c r="D2895" t="s">
        <v>6652</v>
      </c>
      <c r="E2895" t="s">
        <v>26</v>
      </c>
      <c r="F2895" t="s">
        <v>6454</v>
      </c>
      <c r="G2895" t="s">
        <v>6486</v>
      </c>
      <c r="H2895" t="str">
        <f>'Huong dan giao do an'!$B$14</f>
        <v>5 SV (vai trò chính): 1 PM/Scrum Master kiêm Integration; 2 BA/PO; 3 UI-UX + Frontend; 4 Backend/API + DevOps; 5 Database + QA/Tester. Mỗi SV có nhiệm vụ phụ và minh chứng cá nhân.</v>
      </c>
      <c r="I2895" t="s">
        <v>29</v>
      </c>
      <c r="J2895" t="s">
        <v>6446</v>
      </c>
      <c r="K2895" t="str">
        <f>IF(I2895="Trung bình",'Huong dan giao do an'!$B$8,IF(I2895="Khá",'Huong dan giao do an'!$B$9,'Huong dan giao do an'!$B$10))</f>
        <v>Tối thiểu 5 actor; 14-18 use case; 10-15 bảng; 4 quy trình; tích hợp ngoài/realtime hoặc xử lý nâng cao; 3 báo cáo; &gt;=45 test case; logging, backup và deploy.</v>
      </c>
      <c r="L2895" t="str">
        <f>'Huong dan giao do an'!$B$31</f>
        <v>Bắt buộc: Charter/PMP; SRS + scope/WBS; Gantt/baseline; effort-cost budget; RACI/timesheet; quality-test-defect; communication/minutes; risk register; procurement; change log; closure/lessons learned.</v>
      </c>
      <c r="M2895" t="str">
        <f>'Huong dan giao do an'!$B$33</f>
        <v>Tuần 1: 07.09–13.09.2026; Tuần 2: 14.09–20.09.2026; Tuần 3: 21.09–27.09.2026; Tuần 4: 28.09–04.10.2026; Tuần 5: 05.10–11.10.2026; Tuần 6: 12.10–18.10.2026; Tuần 7: 19.10–25.10.2026; Tuần 8: 26.10–01.11.2026.</v>
      </c>
      <c r="N28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5" s="17" t="str">
        <f t="shared" si="45"/>
        <v>Còn trống</v>
      </c>
    </row>
    <row r="2896" spans="1:16" x14ac:dyDescent="0.3">
      <c r="A2896">
        <v>2895</v>
      </c>
      <c r="B2896" t="s">
        <v>6436</v>
      </c>
      <c r="C2896" t="s">
        <v>6653</v>
      </c>
      <c r="D2896" t="s">
        <v>6654</v>
      </c>
      <c r="E2896" t="s">
        <v>33</v>
      </c>
      <c r="F2896" t="s">
        <v>6458</v>
      </c>
      <c r="G2896" t="s">
        <v>6489</v>
      </c>
      <c r="H2896" t="str">
        <f>'Huong dan giao do an'!$B$14</f>
        <v>5 SV (vai trò chính): 1 PM/Scrum Master kiêm Integration; 2 BA/PO; 3 UI-UX + Frontend; 4 Backend/API + DevOps; 5 Database + QA/Tester. Mỗi SV có nhiệm vụ phụ và minh chứng cá nhân.</v>
      </c>
      <c r="I2896" t="s">
        <v>36</v>
      </c>
      <c r="J2896" t="s">
        <v>6451</v>
      </c>
      <c r="K2896" t="str">
        <f>IF(I2896="Trung bình",'Huong dan giao do an'!$B$8,IF(I2896="Khá",'Huong dan giao do an'!$B$9,'Huong dan giao do an'!$B$10))</f>
        <v>Tối thiểu 3 actor; 8-10 use case; 6-8 bảng dữ liệu; 2 quy trình lõi; đăng nhập/RBAC; 1 dashboard; 1 báo cáo; &gt;=25 test case; triển khai bản demo.</v>
      </c>
      <c r="L2896" t="str">
        <f>'Huong dan giao do an'!$B$31</f>
        <v>Bắt buộc: Charter/PMP; SRS + scope/WBS; Gantt/baseline; effort-cost budget; RACI/timesheet; quality-test-defect; communication/minutes; risk register; procurement; change log; closure/lessons learned.</v>
      </c>
      <c r="M2896" t="str">
        <f>'Huong dan giao do an'!$B$33</f>
        <v>Tuần 1: 07.09–13.09.2026; Tuần 2: 14.09–20.09.2026; Tuần 3: 21.09–27.09.2026; Tuần 4: 28.09–04.10.2026; Tuần 5: 05.10–11.10.2026; Tuần 6: 12.10–18.10.2026; Tuần 7: 19.10–25.10.2026; Tuần 8: 26.10–01.11.2026.</v>
      </c>
      <c r="N28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6" s="17" t="str">
        <f t="shared" si="45"/>
        <v>Còn trống</v>
      </c>
    </row>
    <row r="2897" spans="1:16" x14ac:dyDescent="0.3">
      <c r="A2897">
        <v>2896</v>
      </c>
      <c r="B2897" t="s">
        <v>6436</v>
      </c>
      <c r="C2897" t="s">
        <v>6655</v>
      </c>
      <c r="D2897" t="s">
        <v>6656</v>
      </c>
      <c r="E2897" t="s">
        <v>40</v>
      </c>
      <c r="F2897" t="s">
        <v>6439</v>
      </c>
      <c r="G2897" t="s">
        <v>6492</v>
      </c>
      <c r="H2897" t="str">
        <f>'Huong dan giao do an'!$B$14</f>
        <v>5 SV (vai trò chính): 1 PM/Scrum Master kiêm Integration; 2 BA/PO; 3 UI-UX + Frontend; 4 Backend/API + DevOps; 5 Database + QA/Tester. Mỗi SV có nhiệm vụ phụ và minh chứng cá nhân.</v>
      </c>
      <c r="I2897" t="s">
        <v>22</v>
      </c>
      <c r="J2897" t="s">
        <v>6441</v>
      </c>
      <c r="K2897" t="str">
        <f>IF(I2897="Trung bình",'Huong dan giao do an'!$B$8,IF(I2897="Khá",'Huong dan giao do an'!$B$9,'Huong dan giao do an'!$B$10))</f>
        <v>Tối thiểu 4 actor; 10-14 use case; 8-12 bảng; 3 quy trình lõi; phân quyền chi tiết; 2 báo cáo; tích hợp 1 dịch vụ; &gt;=35 test case; CI/CD hoặc deploy cloud.</v>
      </c>
      <c r="L2897" t="str">
        <f>'Huong dan giao do an'!$B$31</f>
        <v>Bắt buộc: Charter/PMP; SRS + scope/WBS; Gantt/baseline; effort-cost budget; RACI/timesheet; quality-test-defect; communication/minutes; risk register; procurement; change log; closure/lessons learned.</v>
      </c>
      <c r="M2897" t="str">
        <f>'Huong dan giao do an'!$B$33</f>
        <v>Tuần 1: 07.09–13.09.2026; Tuần 2: 14.09–20.09.2026; Tuần 3: 21.09–27.09.2026; Tuần 4: 28.09–04.10.2026; Tuần 5: 05.10–11.10.2026; Tuần 6: 12.10–18.10.2026; Tuần 7: 19.10–25.10.2026; Tuần 8: 26.10–01.11.2026.</v>
      </c>
      <c r="N28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7" s="17" t="str">
        <f t="shared" si="45"/>
        <v>Còn trống</v>
      </c>
    </row>
    <row r="2898" spans="1:16" x14ac:dyDescent="0.3">
      <c r="A2898">
        <v>2897</v>
      </c>
      <c r="B2898" t="s">
        <v>6436</v>
      </c>
      <c r="C2898" t="s">
        <v>6657</v>
      </c>
      <c r="D2898" t="s">
        <v>6658</v>
      </c>
      <c r="E2898" t="s">
        <v>45</v>
      </c>
      <c r="F2898" t="s">
        <v>6444</v>
      </c>
      <c r="G2898" t="s">
        <v>6495</v>
      </c>
      <c r="H2898" t="str">
        <f>'Huong dan giao do an'!$B$14</f>
        <v>5 SV (vai trò chính): 1 PM/Scrum Master kiêm Integration; 2 BA/PO; 3 UI-UX + Frontend; 4 Backend/API + DevOps; 5 Database + QA/Tester. Mỗi SV có nhiệm vụ phụ và minh chứng cá nhân.</v>
      </c>
      <c r="I2898" t="s">
        <v>29</v>
      </c>
      <c r="J2898" t="s">
        <v>6446</v>
      </c>
      <c r="K2898" t="str">
        <f>IF(I2898="Trung bình",'Huong dan giao do an'!$B$8,IF(I2898="Khá",'Huong dan giao do an'!$B$9,'Huong dan giao do an'!$B$10))</f>
        <v>Tối thiểu 5 actor; 14-18 use case; 10-15 bảng; 4 quy trình; tích hợp ngoài/realtime hoặc xử lý nâng cao; 3 báo cáo; &gt;=45 test case; logging, backup và deploy.</v>
      </c>
      <c r="L2898" t="str">
        <f>'Huong dan giao do an'!$B$31</f>
        <v>Bắt buộc: Charter/PMP; SRS + scope/WBS; Gantt/baseline; effort-cost budget; RACI/timesheet; quality-test-defect; communication/minutes; risk register; procurement; change log; closure/lessons learned.</v>
      </c>
      <c r="M2898" t="str">
        <f>'Huong dan giao do an'!$B$33</f>
        <v>Tuần 1: 07.09–13.09.2026; Tuần 2: 14.09–20.09.2026; Tuần 3: 21.09–27.09.2026; Tuần 4: 28.09–04.10.2026; Tuần 5: 05.10–11.10.2026; Tuần 6: 12.10–18.10.2026; Tuần 7: 19.10–25.10.2026; Tuần 8: 26.10–01.11.2026.</v>
      </c>
      <c r="N28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8" s="17" t="str">
        <f t="shared" si="45"/>
        <v>Còn trống</v>
      </c>
    </row>
    <row r="2899" spans="1:16" x14ac:dyDescent="0.3">
      <c r="A2899">
        <v>2898</v>
      </c>
      <c r="B2899" t="s">
        <v>6436</v>
      </c>
      <c r="C2899" t="s">
        <v>6659</v>
      </c>
      <c r="D2899" t="s">
        <v>6660</v>
      </c>
      <c r="E2899" t="s">
        <v>19</v>
      </c>
      <c r="F2899" t="s">
        <v>6449</v>
      </c>
      <c r="G2899" t="s">
        <v>6498</v>
      </c>
      <c r="H2899" t="str">
        <f>'Huong dan giao do an'!$B$14</f>
        <v>5 SV (vai trò chính): 1 PM/Scrum Master kiêm Integration; 2 BA/PO; 3 UI-UX + Frontend; 4 Backend/API + DevOps; 5 Database + QA/Tester. Mỗi SV có nhiệm vụ phụ và minh chứng cá nhân.</v>
      </c>
      <c r="I2899" t="s">
        <v>36</v>
      </c>
      <c r="J2899" t="s">
        <v>6451</v>
      </c>
      <c r="K2899" t="str">
        <f>IF(I2899="Trung bình",'Huong dan giao do an'!$B$8,IF(I2899="Khá",'Huong dan giao do an'!$B$9,'Huong dan giao do an'!$B$10))</f>
        <v>Tối thiểu 3 actor; 8-10 use case; 6-8 bảng dữ liệu; 2 quy trình lõi; đăng nhập/RBAC; 1 dashboard; 1 báo cáo; &gt;=25 test case; triển khai bản demo.</v>
      </c>
      <c r="L2899" t="str">
        <f>'Huong dan giao do an'!$B$31</f>
        <v>Bắt buộc: Charter/PMP; SRS + scope/WBS; Gantt/baseline; effort-cost budget; RACI/timesheet; quality-test-defect; communication/minutes; risk register; procurement; change log; closure/lessons learned.</v>
      </c>
      <c r="M2899" t="str">
        <f>'Huong dan giao do an'!$B$33</f>
        <v>Tuần 1: 07.09–13.09.2026; Tuần 2: 14.09–20.09.2026; Tuần 3: 21.09–27.09.2026; Tuần 4: 28.09–04.10.2026; Tuần 5: 05.10–11.10.2026; Tuần 6: 12.10–18.10.2026; Tuần 7: 19.10–25.10.2026; Tuần 8: 26.10–01.11.2026.</v>
      </c>
      <c r="N28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899" s="17" t="str">
        <f t="shared" si="45"/>
        <v>Còn trống</v>
      </c>
    </row>
    <row r="2900" spans="1:16" x14ac:dyDescent="0.3">
      <c r="A2900">
        <v>2899</v>
      </c>
      <c r="B2900" t="s">
        <v>6436</v>
      </c>
      <c r="C2900" t="s">
        <v>6661</v>
      </c>
      <c r="D2900" t="s">
        <v>6662</v>
      </c>
      <c r="E2900" t="s">
        <v>26</v>
      </c>
      <c r="F2900" t="s">
        <v>6454</v>
      </c>
      <c r="G2900" t="s">
        <v>6501</v>
      </c>
      <c r="H2900" t="str">
        <f>'Huong dan giao do an'!$B$14</f>
        <v>5 SV (vai trò chính): 1 PM/Scrum Master kiêm Integration; 2 BA/PO; 3 UI-UX + Frontend; 4 Backend/API + DevOps; 5 Database + QA/Tester. Mỗi SV có nhiệm vụ phụ và minh chứng cá nhân.</v>
      </c>
      <c r="I2900" t="s">
        <v>22</v>
      </c>
      <c r="J2900" t="s">
        <v>6441</v>
      </c>
      <c r="K2900" t="str">
        <f>IF(I2900="Trung bình",'Huong dan giao do an'!$B$8,IF(I2900="Khá",'Huong dan giao do an'!$B$9,'Huong dan giao do an'!$B$10))</f>
        <v>Tối thiểu 4 actor; 10-14 use case; 8-12 bảng; 3 quy trình lõi; phân quyền chi tiết; 2 báo cáo; tích hợp 1 dịch vụ; &gt;=35 test case; CI/CD hoặc deploy cloud.</v>
      </c>
      <c r="L2900" t="str">
        <f>'Huong dan giao do an'!$B$31</f>
        <v>Bắt buộc: Charter/PMP; SRS + scope/WBS; Gantt/baseline; effort-cost budget; RACI/timesheet; quality-test-defect; communication/minutes; risk register; procurement; change log; closure/lessons learned.</v>
      </c>
      <c r="M2900" t="str">
        <f>'Huong dan giao do an'!$B$33</f>
        <v>Tuần 1: 07.09–13.09.2026; Tuần 2: 14.09–20.09.2026; Tuần 3: 21.09–27.09.2026; Tuần 4: 28.09–04.10.2026; Tuần 5: 05.10–11.10.2026; Tuần 6: 12.10–18.10.2026; Tuần 7: 19.10–25.10.2026; Tuần 8: 26.10–01.11.2026.</v>
      </c>
      <c r="N29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0" s="17" t="str">
        <f t="shared" si="45"/>
        <v>Còn trống</v>
      </c>
    </row>
    <row r="2901" spans="1:16" x14ac:dyDescent="0.3">
      <c r="A2901">
        <v>2900</v>
      </c>
      <c r="B2901" t="s">
        <v>6436</v>
      </c>
      <c r="C2901" t="s">
        <v>6663</v>
      </c>
      <c r="D2901" t="s">
        <v>6664</v>
      </c>
      <c r="E2901" t="s">
        <v>33</v>
      </c>
      <c r="F2901" t="s">
        <v>6458</v>
      </c>
      <c r="G2901" t="s">
        <v>6504</v>
      </c>
      <c r="H2901" t="str">
        <f>'Huong dan giao do an'!$B$14</f>
        <v>5 SV (vai trò chính): 1 PM/Scrum Master kiêm Integration; 2 BA/PO; 3 UI-UX + Frontend; 4 Backend/API + DevOps; 5 Database + QA/Tester. Mỗi SV có nhiệm vụ phụ và minh chứng cá nhân.</v>
      </c>
      <c r="I2901" t="s">
        <v>29</v>
      </c>
      <c r="J2901" t="s">
        <v>6446</v>
      </c>
      <c r="K2901" t="str">
        <f>IF(I2901="Trung bình",'Huong dan giao do an'!$B$8,IF(I2901="Khá",'Huong dan giao do an'!$B$9,'Huong dan giao do an'!$B$10))</f>
        <v>Tối thiểu 5 actor; 14-18 use case; 10-15 bảng; 4 quy trình; tích hợp ngoài/realtime hoặc xử lý nâng cao; 3 báo cáo; &gt;=45 test case; logging, backup và deploy.</v>
      </c>
      <c r="L2901" t="str">
        <f>'Huong dan giao do an'!$B$31</f>
        <v>Bắt buộc: Charter/PMP; SRS + scope/WBS; Gantt/baseline; effort-cost budget; RACI/timesheet; quality-test-defect; communication/minutes; risk register; procurement; change log; closure/lessons learned.</v>
      </c>
      <c r="M2901" t="str">
        <f>'Huong dan giao do an'!$B$33</f>
        <v>Tuần 1: 07.09–13.09.2026; Tuần 2: 14.09–20.09.2026; Tuần 3: 21.09–27.09.2026; Tuần 4: 28.09–04.10.2026; Tuần 5: 05.10–11.10.2026; Tuần 6: 12.10–18.10.2026; Tuần 7: 19.10–25.10.2026; Tuần 8: 26.10–01.11.2026.</v>
      </c>
      <c r="N29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1" s="17" t="str">
        <f t="shared" si="45"/>
        <v>Còn trống</v>
      </c>
    </row>
    <row r="2902" spans="1:16" x14ac:dyDescent="0.3">
      <c r="A2902">
        <v>2901</v>
      </c>
      <c r="B2902" t="s">
        <v>6665</v>
      </c>
      <c r="C2902" t="s">
        <v>6666</v>
      </c>
      <c r="D2902" t="s">
        <v>6667</v>
      </c>
      <c r="E2902" t="s">
        <v>45</v>
      </c>
      <c r="F2902" t="s">
        <v>6668</v>
      </c>
      <c r="G2902" t="s">
        <v>6669</v>
      </c>
      <c r="H2902" t="str">
        <f>'Huong dan giao do an'!$B$14</f>
        <v>5 SV (vai trò chính): 1 PM/Scrum Master kiêm Integration; 2 BA/PO; 3 UI-UX + Frontend; 4 Backend/API + DevOps; 5 Database + QA/Tester. Mỗi SV có nhiệm vụ phụ và minh chứng cá nhân.</v>
      </c>
      <c r="I2902" t="s">
        <v>22</v>
      </c>
      <c r="J2902" t="s">
        <v>6670</v>
      </c>
      <c r="K2902" t="str">
        <f>IF(I2902="Trung bình",'Huong dan giao do an'!$B$8,IF(I2902="Khá",'Huong dan giao do an'!$B$9,'Huong dan giao do an'!$B$10))</f>
        <v>Tối thiểu 4 actor; 10-14 use case; 8-12 bảng; 3 quy trình lõi; phân quyền chi tiết; 2 báo cáo; tích hợp 1 dịch vụ; &gt;=35 test case; CI/CD hoặc deploy cloud.</v>
      </c>
      <c r="L2902" t="str">
        <f>'Huong dan giao do an'!$B$31</f>
        <v>Bắt buộc: Charter/PMP; SRS + scope/WBS; Gantt/baseline; effort-cost budget; RACI/timesheet; quality-test-defect; communication/minutes; risk register; procurement; change log; closure/lessons learned.</v>
      </c>
      <c r="M2902" t="str">
        <f>'Huong dan giao do an'!$B$33</f>
        <v>Tuần 1: 07.09–13.09.2026; Tuần 2: 14.09–20.09.2026; Tuần 3: 21.09–27.09.2026; Tuần 4: 28.09–04.10.2026; Tuần 5: 05.10–11.10.2026; Tuần 6: 12.10–18.10.2026; Tuần 7: 19.10–25.10.2026; Tuần 8: 26.10–01.11.2026.</v>
      </c>
      <c r="N29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2" s="17" t="str">
        <f t="shared" si="45"/>
        <v>Còn trống</v>
      </c>
    </row>
    <row r="2903" spans="1:16" x14ac:dyDescent="0.3">
      <c r="A2903">
        <v>2902</v>
      </c>
      <c r="B2903" t="s">
        <v>6665</v>
      </c>
      <c r="C2903" t="s">
        <v>6671</v>
      </c>
      <c r="D2903" t="s">
        <v>6672</v>
      </c>
      <c r="E2903" t="s">
        <v>19</v>
      </c>
      <c r="F2903" t="s">
        <v>6673</v>
      </c>
      <c r="G2903" t="s">
        <v>6674</v>
      </c>
      <c r="H2903" t="str">
        <f>'Huong dan giao do an'!$B$14</f>
        <v>5 SV (vai trò chính): 1 PM/Scrum Master kiêm Integration; 2 BA/PO; 3 UI-UX + Frontend; 4 Backend/API + DevOps; 5 Database + QA/Tester. Mỗi SV có nhiệm vụ phụ và minh chứng cá nhân.</v>
      </c>
      <c r="I2903" t="s">
        <v>29</v>
      </c>
      <c r="J2903" t="s">
        <v>6675</v>
      </c>
      <c r="K2903" t="str">
        <f>IF(I2903="Trung bình",'Huong dan giao do an'!$B$8,IF(I2903="Khá",'Huong dan giao do an'!$B$9,'Huong dan giao do an'!$B$10))</f>
        <v>Tối thiểu 5 actor; 14-18 use case; 10-15 bảng; 4 quy trình; tích hợp ngoài/realtime hoặc xử lý nâng cao; 3 báo cáo; &gt;=45 test case; logging, backup và deploy.</v>
      </c>
      <c r="L2903" t="str">
        <f>'Huong dan giao do an'!$B$31</f>
        <v>Bắt buộc: Charter/PMP; SRS + scope/WBS; Gantt/baseline; effort-cost budget; RACI/timesheet; quality-test-defect; communication/minutes; risk register; procurement; change log; closure/lessons learned.</v>
      </c>
      <c r="M2903" t="str">
        <f>'Huong dan giao do an'!$B$33</f>
        <v>Tuần 1: 07.09–13.09.2026; Tuần 2: 14.09–20.09.2026; Tuần 3: 21.09–27.09.2026; Tuần 4: 28.09–04.10.2026; Tuần 5: 05.10–11.10.2026; Tuần 6: 12.10–18.10.2026; Tuần 7: 19.10–25.10.2026; Tuần 8: 26.10–01.11.2026.</v>
      </c>
      <c r="N29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3" s="17" t="str">
        <f t="shared" si="45"/>
        <v>Còn trống</v>
      </c>
    </row>
    <row r="2904" spans="1:16" x14ac:dyDescent="0.3">
      <c r="A2904">
        <v>2903</v>
      </c>
      <c r="B2904" t="s">
        <v>6665</v>
      </c>
      <c r="C2904" t="s">
        <v>6676</v>
      </c>
      <c r="D2904" t="s">
        <v>6677</v>
      </c>
      <c r="E2904" t="s">
        <v>26</v>
      </c>
      <c r="F2904" t="s">
        <v>6678</v>
      </c>
      <c r="G2904" t="s">
        <v>6679</v>
      </c>
      <c r="H2904" t="str">
        <f>'Huong dan giao do an'!$B$14</f>
        <v>5 SV (vai trò chính): 1 PM/Scrum Master kiêm Integration; 2 BA/PO; 3 UI-UX + Frontend; 4 Backend/API + DevOps; 5 Database + QA/Tester. Mỗi SV có nhiệm vụ phụ và minh chứng cá nhân.</v>
      </c>
      <c r="I2904" t="s">
        <v>36</v>
      </c>
      <c r="J2904" t="s">
        <v>6680</v>
      </c>
      <c r="K2904" t="str">
        <f>IF(I2904="Trung bình",'Huong dan giao do an'!$B$8,IF(I2904="Khá",'Huong dan giao do an'!$B$9,'Huong dan giao do an'!$B$10))</f>
        <v>Tối thiểu 3 actor; 8-10 use case; 6-8 bảng dữ liệu; 2 quy trình lõi; đăng nhập/RBAC; 1 dashboard; 1 báo cáo; &gt;=25 test case; triển khai bản demo.</v>
      </c>
      <c r="L2904" t="str">
        <f>'Huong dan giao do an'!$B$31</f>
        <v>Bắt buộc: Charter/PMP; SRS + scope/WBS; Gantt/baseline; effort-cost budget; RACI/timesheet; quality-test-defect; communication/minutes; risk register; procurement; change log; closure/lessons learned.</v>
      </c>
      <c r="M2904" t="str">
        <f>'Huong dan giao do an'!$B$33</f>
        <v>Tuần 1: 07.09–13.09.2026; Tuần 2: 14.09–20.09.2026; Tuần 3: 21.09–27.09.2026; Tuần 4: 28.09–04.10.2026; Tuần 5: 05.10–11.10.2026; Tuần 6: 12.10–18.10.2026; Tuần 7: 19.10–25.10.2026; Tuần 8: 26.10–01.11.2026.</v>
      </c>
      <c r="N29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4" s="17" t="str">
        <f t="shared" si="45"/>
        <v>Còn trống</v>
      </c>
    </row>
    <row r="2905" spans="1:16" x14ac:dyDescent="0.3">
      <c r="A2905">
        <v>2904</v>
      </c>
      <c r="B2905" t="s">
        <v>6665</v>
      </c>
      <c r="C2905" t="s">
        <v>6681</v>
      </c>
      <c r="D2905" t="s">
        <v>6682</v>
      </c>
      <c r="E2905" t="s">
        <v>33</v>
      </c>
      <c r="F2905" t="s">
        <v>6683</v>
      </c>
      <c r="G2905" t="s">
        <v>6684</v>
      </c>
      <c r="H2905" t="str">
        <f>'Huong dan giao do an'!$B$14</f>
        <v>5 SV (vai trò chính): 1 PM/Scrum Master kiêm Integration; 2 BA/PO; 3 UI-UX + Frontend; 4 Backend/API + DevOps; 5 Database + QA/Tester. Mỗi SV có nhiệm vụ phụ và minh chứng cá nhân.</v>
      </c>
      <c r="I2905" t="s">
        <v>22</v>
      </c>
      <c r="J2905" t="s">
        <v>6670</v>
      </c>
      <c r="K2905" t="str">
        <f>IF(I2905="Trung bình",'Huong dan giao do an'!$B$8,IF(I2905="Khá",'Huong dan giao do an'!$B$9,'Huong dan giao do an'!$B$10))</f>
        <v>Tối thiểu 4 actor; 10-14 use case; 8-12 bảng; 3 quy trình lõi; phân quyền chi tiết; 2 báo cáo; tích hợp 1 dịch vụ; &gt;=35 test case; CI/CD hoặc deploy cloud.</v>
      </c>
      <c r="L2905" t="str">
        <f>'Huong dan giao do an'!$B$31</f>
        <v>Bắt buộc: Charter/PMP; SRS + scope/WBS; Gantt/baseline; effort-cost budget; RACI/timesheet; quality-test-defect; communication/minutes; risk register; procurement; change log; closure/lessons learned.</v>
      </c>
      <c r="M2905" t="str">
        <f>'Huong dan giao do an'!$B$33</f>
        <v>Tuần 1: 07.09–13.09.2026; Tuần 2: 14.09–20.09.2026; Tuần 3: 21.09–27.09.2026; Tuần 4: 28.09–04.10.2026; Tuần 5: 05.10–11.10.2026; Tuần 6: 12.10–18.10.2026; Tuần 7: 19.10–25.10.2026; Tuần 8: 26.10–01.11.2026.</v>
      </c>
      <c r="N29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5" s="17" t="str">
        <f t="shared" si="45"/>
        <v>Còn trống</v>
      </c>
    </row>
    <row r="2906" spans="1:16" x14ac:dyDescent="0.3">
      <c r="A2906">
        <v>2905</v>
      </c>
      <c r="B2906" t="s">
        <v>6665</v>
      </c>
      <c r="C2906" t="s">
        <v>6685</v>
      </c>
      <c r="D2906" t="s">
        <v>6686</v>
      </c>
      <c r="E2906" t="s">
        <v>40</v>
      </c>
      <c r="F2906" t="s">
        <v>6687</v>
      </c>
      <c r="G2906" t="s">
        <v>6688</v>
      </c>
      <c r="H2906" t="str">
        <f>'Huong dan giao do an'!$B$14</f>
        <v>5 SV (vai trò chính): 1 PM/Scrum Master kiêm Integration; 2 BA/PO; 3 UI-UX + Frontend; 4 Backend/API + DevOps; 5 Database + QA/Tester. Mỗi SV có nhiệm vụ phụ và minh chứng cá nhân.</v>
      </c>
      <c r="I2906" t="s">
        <v>29</v>
      </c>
      <c r="J2906" t="s">
        <v>6675</v>
      </c>
      <c r="K2906" t="str">
        <f>IF(I2906="Trung bình",'Huong dan giao do an'!$B$8,IF(I2906="Khá",'Huong dan giao do an'!$B$9,'Huong dan giao do an'!$B$10))</f>
        <v>Tối thiểu 5 actor; 14-18 use case; 10-15 bảng; 4 quy trình; tích hợp ngoài/realtime hoặc xử lý nâng cao; 3 báo cáo; &gt;=45 test case; logging, backup và deploy.</v>
      </c>
      <c r="L2906" t="str">
        <f>'Huong dan giao do an'!$B$31</f>
        <v>Bắt buộc: Charter/PMP; SRS + scope/WBS; Gantt/baseline; effort-cost budget; RACI/timesheet; quality-test-defect; communication/minutes; risk register; procurement; change log; closure/lessons learned.</v>
      </c>
      <c r="M2906" t="str">
        <f>'Huong dan giao do an'!$B$33</f>
        <v>Tuần 1: 07.09–13.09.2026; Tuần 2: 14.09–20.09.2026; Tuần 3: 21.09–27.09.2026; Tuần 4: 28.09–04.10.2026; Tuần 5: 05.10–11.10.2026; Tuần 6: 12.10–18.10.2026; Tuần 7: 19.10–25.10.2026; Tuần 8: 26.10–01.11.2026.</v>
      </c>
      <c r="N29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6" s="17" t="str">
        <f t="shared" si="45"/>
        <v>Còn trống</v>
      </c>
    </row>
    <row r="2907" spans="1:16" x14ac:dyDescent="0.3">
      <c r="A2907">
        <v>2906</v>
      </c>
      <c r="B2907" t="s">
        <v>6665</v>
      </c>
      <c r="C2907" t="s">
        <v>6689</v>
      </c>
      <c r="D2907" t="s">
        <v>6690</v>
      </c>
      <c r="E2907" t="s">
        <v>45</v>
      </c>
      <c r="F2907" t="s">
        <v>6668</v>
      </c>
      <c r="G2907" t="s">
        <v>6691</v>
      </c>
      <c r="H2907" t="str">
        <f>'Huong dan giao do an'!$B$14</f>
        <v>5 SV (vai trò chính): 1 PM/Scrum Master kiêm Integration; 2 BA/PO; 3 UI-UX + Frontend; 4 Backend/API + DevOps; 5 Database + QA/Tester. Mỗi SV có nhiệm vụ phụ và minh chứng cá nhân.</v>
      </c>
      <c r="I2907" t="s">
        <v>36</v>
      </c>
      <c r="J2907" t="s">
        <v>6680</v>
      </c>
      <c r="K2907" t="str">
        <f>IF(I2907="Trung bình",'Huong dan giao do an'!$B$8,IF(I2907="Khá",'Huong dan giao do an'!$B$9,'Huong dan giao do an'!$B$10))</f>
        <v>Tối thiểu 3 actor; 8-10 use case; 6-8 bảng dữ liệu; 2 quy trình lõi; đăng nhập/RBAC; 1 dashboard; 1 báo cáo; &gt;=25 test case; triển khai bản demo.</v>
      </c>
      <c r="L2907" t="str">
        <f>'Huong dan giao do an'!$B$31</f>
        <v>Bắt buộc: Charter/PMP; SRS + scope/WBS; Gantt/baseline; effort-cost budget; RACI/timesheet; quality-test-defect; communication/minutes; risk register; procurement; change log; closure/lessons learned.</v>
      </c>
      <c r="M2907" t="str">
        <f>'Huong dan giao do an'!$B$33</f>
        <v>Tuần 1: 07.09–13.09.2026; Tuần 2: 14.09–20.09.2026; Tuần 3: 21.09–27.09.2026; Tuần 4: 28.09–04.10.2026; Tuần 5: 05.10–11.10.2026; Tuần 6: 12.10–18.10.2026; Tuần 7: 19.10–25.10.2026; Tuần 8: 26.10–01.11.2026.</v>
      </c>
      <c r="N29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7" s="17" t="str">
        <f t="shared" si="45"/>
        <v>Còn trống</v>
      </c>
    </row>
    <row r="2908" spans="1:16" x14ac:dyDescent="0.3">
      <c r="A2908">
        <v>2907</v>
      </c>
      <c r="B2908" t="s">
        <v>6665</v>
      </c>
      <c r="C2908" t="s">
        <v>6692</v>
      </c>
      <c r="D2908" t="s">
        <v>6693</v>
      </c>
      <c r="E2908" t="s">
        <v>19</v>
      </c>
      <c r="F2908" t="s">
        <v>6673</v>
      </c>
      <c r="G2908" t="s">
        <v>6694</v>
      </c>
      <c r="H2908" t="str">
        <f>'Huong dan giao do an'!$B$14</f>
        <v>5 SV (vai trò chính): 1 PM/Scrum Master kiêm Integration; 2 BA/PO; 3 UI-UX + Frontend; 4 Backend/API + DevOps; 5 Database + QA/Tester. Mỗi SV có nhiệm vụ phụ và minh chứng cá nhân.</v>
      </c>
      <c r="I2908" t="s">
        <v>22</v>
      </c>
      <c r="J2908" t="s">
        <v>6670</v>
      </c>
      <c r="K2908" t="str">
        <f>IF(I2908="Trung bình",'Huong dan giao do an'!$B$8,IF(I2908="Khá",'Huong dan giao do an'!$B$9,'Huong dan giao do an'!$B$10))</f>
        <v>Tối thiểu 4 actor; 10-14 use case; 8-12 bảng; 3 quy trình lõi; phân quyền chi tiết; 2 báo cáo; tích hợp 1 dịch vụ; &gt;=35 test case; CI/CD hoặc deploy cloud.</v>
      </c>
      <c r="L2908" t="str">
        <f>'Huong dan giao do an'!$B$31</f>
        <v>Bắt buộc: Charter/PMP; SRS + scope/WBS; Gantt/baseline; effort-cost budget; RACI/timesheet; quality-test-defect; communication/minutes; risk register; procurement; change log; closure/lessons learned.</v>
      </c>
      <c r="M2908" t="str">
        <f>'Huong dan giao do an'!$B$33</f>
        <v>Tuần 1: 07.09–13.09.2026; Tuần 2: 14.09–20.09.2026; Tuần 3: 21.09–27.09.2026; Tuần 4: 28.09–04.10.2026; Tuần 5: 05.10–11.10.2026; Tuần 6: 12.10–18.10.2026; Tuần 7: 19.10–25.10.2026; Tuần 8: 26.10–01.11.2026.</v>
      </c>
      <c r="N29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8" s="17" t="str">
        <f t="shared" si="45"/>
        <v>Còn trống</v>
      </c>
    </row>
    <row r="2909" spans="1:16" x14ac:dyDescent="0.3">
      <c r="A2909">
        <v>2908</v>
      </c>
      <c r="B2909" t="s">
        <v>6665</v>
      </c>
      <c r="C2909" t="s">
        <v>6695</v>
      </c>
      <c r="D2909" t="s">
        <v>6696</v>
      </c>
      <c r="E2909" t="s">
        <v>26</v>
      </c>
      <c r="F2909" t="s">
        <v>6678</v>
      </c>
      <c r="G2909" t="s">
        <v>6697</v>
      </c>
      <c r="H2909" t="str">
        <f>'Huong dan giao do an'!$B$14</f>
        <v>5 SV (vai trò chính): 1 PM/Scrum Master kiêm Integration; 2 BA/PO; 3 UI-UX + Frontend; 4 Backend/API + DevOps; 5 Database + QA/Tester. Mỗi SV có nhiệm vụ phụ và minh chứng cá nhân.</v>
      </c>
      <c r="I2909" t="s">
        <v>29</v>
      </c>
      <c r="J2909" t="s">
        <v>6675</v>
      </c>
      <c r="K2909" t="str">
        <f>IF(I2909="Trung bình",'Huong dan giao do an'!$B$8,IF(I2909="Khá",'Huong dan giao do an'!$B$9,'Huong dan giao do an'!$B$10))</f>
        <v>Tối thiểu 5 actor; 14-18 use case; 10-15 bảng; 4 quy trình; tích hợp ngoài/realtime hoặc xử lý nâng cao; 3 báo cáo; &gt;=45 test case; logging, backup và deploy.</v>
      </c>
      <c r="L2909" t="str">
        <f>'Huong dan giao do an'!$B$31</f>
        <v>Bắt buộc: Charter/PMP; SRS + scope/WBS; Gantt/baseline; effort-cost budget; RACI/timesheet; quality-test-defect; communication/minutes; risk register; procurement; change log; closure/lessons learned.</v>
      </c>
      <c r="M2909" t="str">
        <f>'Huong dan giao do an'!$B$33</f>
        <v>Tuần 1: 07.09–13.09.2026; Tuần 2: 14.09–20.09.2026; Tuần 3: 21.09–27.09.2026; Tuần 4: 28.09–04.10.2026; Tuần 5: 05.10–11.10.2026; Tuần 6: 12.10–18.10.2026; Tuần 7: 19.10–25.10.2026; Tuần 8: 26.10–01.11.2026.</v>
      </c>
      <c r="N29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09" s="17" t="str">
        <f t="shared" si="45"/>
        <v>Còn trống</v>
      </c>
    </row>
    <row r="2910" spans="1:16" x14ac:dyDescent="0.3">
      <c r="A2910">
        <v>2909</v>
      </c>
      <c r="B2910" t="s">
        <v>6665</v>
      </c>
      <c r="C2910" t="s">
        <v>6698</v>
      </c>
      <c r="D2910" t="s">
        <v>6699</v>
      </c>
      <c r="E2910" t="s">
        <v>33</v>
      </c>
      <c r="F2910" t="s">
        <v>6683</v>
      </c>
      <c r="G2910" t="s">
        <v>6700</v>
      </c>
      <c r="H2910" t="str">
        <f>'Huong dan giao do an'!$B$14</f>
        <v>5 SV (vai trò chính): 1 PM/Scrum Master kiêm Integration; 2 BA/PO; 3 UI-UX + Frontend; 4 Backend/API + DevOps; 5 Database + QA/Tester. Mỗi SV có nhiệm vụ phụ và minh chứng cá nhân.</v>
      </c>
      <c r="I2910" t="s">
        <v>36</v>
      </c>
      <c r="J2910" t="s">
        <v>6680</v>
      </c>
      <c r="K2910" t="str">
        <f>IF(I2910="Trung bình",'Huong dan giao do an'!$B$8,IF(I2910="Khá",'Huong dan giao do an'!$B$9,'Huong dan giao do an'!$B$10))</f>
        <v>Tối thiểu 3 actor; 8-10 use case; 6-8 bảng dữ liệu; 2 quy trình lõi; đăng nhập/RBAC; 1 dashboard; 1 báo cáo; &gt;=25 test case; triển khai bản demo.</v>
      </c>
      <c r="L2910" t="str">
        <f>'Huong dan giao do an'!$B$31</f>
        <v>Bắt buộc: Charter/PMP; SRS + scope/WBS; Gantt/baseline; effort-cost budget; RACI/timesheet; quality-test-defect; communication/minutes; risk register; procurement; change log; closure/lessons learned.</v>
      </c>
      <c r="M2910" t="str">
        <f>'Huong dan giao do an'!$B$33</f>
        <v>Tuần 1: 07.09–13.09.2026; Tuần 2: 14.09–20.09.2026; Tuần 3: 21.09–27.09.2026; Tuần 4: 28.09–04.10.2026; Tuần 5: 05.10–11.10.2026; Tuần 6: 12.10–18.10.2026; Tuần 7: 19.10–25.10.2026; Tuần 8: 26.10–01.11.2026.</v>
      </c>
      <c r="N29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0" s="17" t="str">
        <f t="shared" si="45"/>
        <v>Còn trống</v>
      </c>
    </row>
    <row r="2911" spans="1:16" x14ac:dyDescent="0.3">
      <c r="A2911">
        <v>2910</v>
      </c>
      <c r="B2911" t="s">
        <v>6665</v>
      </c>
      <c r="C2911" t="s">
        <v>6701</v>
      </c>
      <c r="D2911" t="s">
        <v>6702</v>
      </c>
      <c r="E2911" t="s">
        <v>40</v>
      </c>
      <c r="F2911" t="s">
        <v>6687</v>
      </c>
      <c r="G2911" t="s">
        <v>6703</v>
      </c>
      <c r="H2911" t="str">
        <f>'Huong dan giao do an'!$B$14</f>
        <v>5 SV (vai trò chính): 1 PM/Scrum Master kiêm Integration; 2 BA/PO; 3 UI-UX + Frontend; 4 Backend/API + DevOps; 5 Database + QA/Tester. Mỗi SV có nhiệm vụ phụ và minh chứng cá nhân.</v>
      </c>
      <c r="I2911" t="s">
        <v>22</v>
      </c>
      <c r="J2911" t="s">
        <v>6670</v>
      </c>
      <c r="K2911" t="str">
        <f>IF(I2911="Trung bình",'Huong dan giao do an'!$B$8,IF(I2911="Khá",'Huong dan giao do an'!$B$9,'Huong dan giao do an'!$B$10))</f>
        <v>Tối thiểu 4 actor; 10-14 use case; 8-12 bảng; 3 quy trình lõi; phân quyền chi tiết; 2 báo cáo; tích hợp 1 dịch vụ; &gt;=35 test case; CI/CD hoặc deploy cloud.</v>
      </c>
      <c r="L2911" t="str">
        <f>'Huong dan giao do an'!$B$31</f>
        <v>Bắt buộc: Charter/PMP; SRS + scope/WBS; Gantt/baseline; effort-cost budget; RACI/timesheet; quality-test-defect; communication/minutes; risk register; procurement; change log; closure/lessons learned.</v>
      </c>
      <c r="M2911" t="str">
        <f>'Huong dan giao do an'!$B$33</f>
        <v>Tuần 1: 07.09–13.09.2026; Tuần 2: 14.09–20.09.2026; Tuần 3: 21.09–27.09.2026; Tuần 4: 28.09–04.10.2026; Tuần 5: 05.10–11.10.2026; Tuần 6: 12.10–18.10.2026; Tuần 7: 19.10–25.10.2026; Tuần 8: 26.10–01.11.2026.</v>
      </c>
      <c r="N29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1" s="17" t="str">
        <f t="shared" si="45"/>
        <v>Còn trống</v>
      </c>
    </row>
    <row r="2912" spans="1:16" x14ac:dyDescent="0.3">
      <c r="A2912">
        <v>2911</v>
      </c>
      <c r="B2912" t="s">
        <v>6665</v>
      </c>
      <c r="C2912" t="s">
        <v>6704</v>
      </c>
      <c r="D2912" t="s">
        <v>6705</v>
      </c>
      <c r="E2912" t="s">
        <v>45</v>
      </c>
      <c r="F2912" t="s">
        <v>6668</v>
      </c>
      <c r="G2912" t="s">
        <v>6706</v>
      </c>
      <c r="H2912" t="str">
        <f>'Huong dan giao do an'!$B$14</f>
        <v>5 SV (vai trò chính): 1 PM/Scrum Master kiêm Integration; 2 BA/PO; 3 UI-UX + Frontend; 4 Backend/API + DevOps; 5 Database + QA/Tester. Mỗi SV có nhiệm vụ phụ và minh chứng cá nhân.</v>
      </c>
      <c r="I2912" t="s">
        <v>29</v>
      </c>
      <c r="J2912" t="s">
        <v>6675</v>
      </c>
      <c r="K2912" t="str">
        <f>IF(I2912="Trung bình",'Huong dan giao do an'!$B$8,IF(I2912="Khá",'Huong dan giao do an'!$B$9,'Huong dan giao do an'!$B$10))</f>
        <v>Tối thiểu 5 actor; 14-18 use case; 10-15 bảng; 4 quy trình; tích hợp ngoài/realtime hoặc xử lý nâng cao; 3 báo cáo; &gt;=45 test case; logging, backup và deploy.</v>
      </c>
      <c r="L2912" t="str">
        <f>'Huong dan giao do an'!$B$31</f>
        <v>Bắt buộc: Charter/PMP; SRS + scope/WBS; Gantt/baseline; effort-cost budget; RACI/timesheet; quality-test-defect; communication/minutes; risk register; procurement; change log; closure/lessons learned.</v>
      </c>
      <c r="M2912" t="str">
        <f>'Huong dan giao do an'!$B$33</f>
        <v>Tuần 1: 07.09–13.09.2026; Tuần 2: 14.09–20.09.2026; Tuần 3: 21.09–27.09.2026; Tuần 4: 28.09–04.10.2026; Tuần 5: 05.10–11.10.2026; Tuần 6: 12.10–18.10.2026; Tuần 7: 19.10–25.10.2026; Tuần 8: 26.10–01.11.2026.</v>
      </c>
      <c r="N29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2" s="17" t="str">
        <f t="shared" si="45"/>
        <v>Còn trống</v>
      </c>
    </row>
    <row r="2913" spans="1:16" x14ac:dyDescent="0.3">
      <c r="A2913">
        <v>2912</v>
      </c>
      <c r="B2913" t="s">
        <v>6665</v>
      </c>
      <c r="C2913" t="s">
        <v>6707</v>
      </c>
      <c r="D2913" t="s">
        <v>6708</v>
      </c>
      <c r="E2913" t="s">
        <v>19</v>
      </c>
      <c r="F2913" t="s">
        <v>6673</v>
      </c>
      <c r="G2913" t="s">
        <v>6709</v>
      </c>
      <c r="H2913" t="str">
        <f>'Huong dan giao do an'!$B$14</f>
        <v>5 SV (vai trò chính): 1 PM/Scrum Master kiêm Integration; 2 BA/PO; 3 UI-UX + Frontend; 4 Backend/API + DevOps; 5 Database + QA/Tester. Mỗi SV có nhiệm vụ phụ và minh chứng cá nhân.</v>
      </c>
      <c r="I2913" t="s">
        <v>36</v>
      </c>
      <c r="J2913" t="s">
        <v>6680</v>
      </c>
      <c r="K2913" t="str">
        <f>IF(I2913="Trung bình",'Huong dan giao do an'!$B$8,IF(I2913="Khá",'Huong dan giao do an'!$B$9,'Huong dan giao do an'!$B$10))</f>
        <v>Tối thiểu 3 actor; 8-10 use case; 6-8 bảng dữ liệu; 2 quy trình lõi; đăng nhập/RBAC; 1 dashboard; 1 báo cáo; &gt;=25 test case; triển khai bản demo.</v>
      </c>
      <c r="L2913" t="str">
        <f>'Huong dan giao do an'!$B$31</f>
        <v>Bắt buộc: Charter/PMP; SRS + scope/WBS; Gantt/baseline; effort-cost budget; RACI/timesheet; quality-test-defect; communication/minutes; risk register; procurement; change log; closure/lessons learned.</v>
      </c>
      <c r="M2913" t="str">
        <f>'Huong dan giao do an'!$B$33</f>
        <v>Tuần 1: 07.09–13.09.2026; Tuần 2: 14.09–20.09.2026; Tuần 3: 21.09–27.09.2026; Tuần 4: 28.09–04.10.2026; Tuần 5: 05.10–11.10.2026; Tuần 6: 12.10–18.10.2026; Tuần 7: 19.10–25.10.2026; Tuần 8: 26.10–01.11.2026.</v>
      </c>
      <c r="N29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3" s="17" t="str">
        <f t="shared" si="45"/>
        <v>Còn trống</v>
      </c>
    </row>
    <row r="2914" spans="1:16" x14ac:dyDescent="0.3">
      <c r="A2914">
        <v>2913</v>
      </c>
      <c r="B2914" t="s">
        <v>6665</v>
      </c>
      <c r="C2914" t="s">
        <v>6710</v>
      </c>
      <c r="D2914" t="s">
        <v>6711</v>
      </c>
      <c r="E2914" t="s">
        <v>26</v>
      </c>
      <c r="F2914" t="s">
        <v>6678</v>
      </c>
      <c r="G2914" t="s">
        <v>6712</v>
      </c>
      <c r="H2914" t="str">
        <f>'Huong dan giao do an'!$B$14</f>
        <v>5 SV (vai trò chính): 1 PM/Scrum Master kiêm Integration; 2 BA/PO; 3 UI-UX + Frontend; 4 Backend/API + DevOps; 5 Database + QA/Tester. Mỗi SV có nhiệm vụ phụ và minh chứng cá nhân.</v>
      </c>
      <c r="I2914" t="s">
        <v>22</v>
      </c>
      <c r="J2914" t="s">
        <v>6670</v>
      </c>
      <c r="K2914" t="str">
        <f>IF(I2914="Trung bình",'Huong dan giao do an'!$B$8,IF(I2914="Khá",'Huong dan giao do an'!$B$9,'Huong dan giao do an'!$B$10))</f>
        <v>Tối thiểu 4 actor; 10-14 use case; 8-12 bảng; 3 quy trình lõi; phân quyền chi tiết; 2 báo cáo; tích hợp 1 dịch vụ; &gt;=35 test case; CI/CD hoặc deploy cloud.</v>
      </c>
      <c r="L2914" t="str">
        <f>'Huong dan giao do an'!$B$31</f>
        <v>Bắt buộc: Charter/PMP; SRS + scope/WBS; Gantt/baseline; effort-cost budget; RACI/timesheet; quality-test-defect; communication/minutes; risk register; procurement; change log; closure/lessons learned.</v>
      </c>
      <c r="M2914" t="str">
        <f>'Huong dan giao do an'!$B$33</f>
        <v>Tuần 1: 07.09–13.09.2026; Tuần 2: 14.09–20.09.2026; Tuần 3: 21.09–27.09.2026; Tuần 4: 28.09–04.10.2026; Tuần 5: 05.10–11.10.2026; Tuần 6: 12.10–18.10.2026; Tuần 7: 19.10–25.10.2026; Tuần 8: 26.10–01.11.2026.</v>
      </c>
      <c r="N29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4" s="17" t="str">
        <f t="shared" si="45"/>
        <v>Còn trống</v>
      </c>
    </row>
    <row r="2915" spans="1:16" x14ac:dyDescent="0.3">
      <c r="A2915">
        <v>2914</v>
      </c>
      <c r="B2915" t="s">
        <v>6665</v>
      </c>
      <c r="C2915" t="s">
        <v>6713</v>
      </c>
      <c r="D2915" t="s">
        <v>6714</v>
      </c>
      <c r="E2915" t="s">
        <v>33</v>
      </c>
      <c r="F2915" t="s">
        <v>6683</v>
      </c>
      <c r="G2915" t="s">
        <v>6715</v>
      </c>
      <c r="H2915" t="str">
        <f>'Huong dan giao do an'!$B$14</f>
        <v>5 SV (vai trò chính): 1 PM/Scrum Master kiêm Integration; 2 BA/PO; 3 UI-UX + Frontend; 4 Backend/API + DevOps; 5 Database + QA/Tester. Mỗi SV có nhiệm vụ phụ và minh chứng cá nhân.</v>
      </c>
      <c r="I2915" t="s">
        <v>29</v>
      </c>
      <c r="J2915" t="s">
        <v>6675</v>
      </c>
      <c r="K2915" t="str">
        <f>IF(I2915="Trung bình",'Huong dan giao do an'!$B$8,IF(I2915="Khá",'Huong dan giao do an'!$B$9,'Huong dan giao do an'!$B$10))</f>
        <v>Tối thiểu 5 actor; 14-18 use case; 10-15 bảng; 4 quy trình; tích hợp ngoài/realtime hoặc xử lý nâng cao; 3 báo cáo; &gt;=45 test case; logging, backup và deploy.</v>
      </c>
      <c r="L2915" t="str">
        <f>'Huong dan giao do an'!$B$31</f>
        <v>Bắt buộc: Charter/PMP; SRS + scope/WBS; Gantt/baseline; effort-cost budget; RACI/timesheet; quality-test-defect; communication/minutes; risk register; procurement; change log; closure/lessons learned.</v>
      </c>
      <c r="M2915" t="str">
        <f>'Huong dan giao do an'!$B$33</f>
        <v>Tuần 1: 07.09–13.09.2026; Tuần 2: 14.09–20.09.2026; Tuần 3: 21.09–27.09.2026; Tuần 4: 28.09–04.10.2026; Tuần 5: 05.10–11.10.2026; Tuần 6: 12.10–18.10.2026; Tuần 7: 19.10–25.10.2026; Tuần 8: 26.10–01.11.2026.</v>
      </c>
      <c r="N29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5" s="17" t="str">
        <f t="shared" si="45"/>
        <v>Còn trống</v>
      </c>
    </row>
    <row r="2916" spans="1:16" x14ac:dyDescent="0.3">
      <c r="A2916">
        <v>2915</v>
      </c>
      <c r="B2916" t="s">
        <v>6665</v>
      </c>
      <c r="C2916" t="s">
        <v>6716</v>
      </c>
      <c r="D2916" t="s">
        <v>6717</v>
      </c>
      <c r="E2916" t="s">
        <v>40</v>
      </c>
      <c r="F2916" t="s">
        <v>6687</v>
      </c>
      <c r="G2916" t="s">
        <v>6718</v>
      </c>
      <c r="H2916" t="str">
        <f>'Huong dan giao do an'!$B$14</f>
        <v>5 SV (vai trò chính): 1 PM/Scrum Master kiêm Integration; 2 BA/PO; 3 UI-UX + Frontend; 4 Backend/API + DevOps; 5 Database + QA/Tester. Mỗi SV có nhiệm vụ phụ và minh chứng cá nhân.</v>
      </c>
      <c r="I2916" t="s">
        <v>36</v>
      </c>
      <c r="J2916" t="s">
        <v>6680</v>
      </c>
      <c r="K2916" t="str">
        <f>IF(I2916="Trung bình",'Huong dan giao do an'!$B$8,IF(I2916="Khá",'Huong dan giao do an'!$B$9,'Huong dan giao do an'!$B$10))</f>
        <v>Tối thiểu 3 actor; 8-10 use case; 6-8 bảng dữ liệu; 2 quy trình lõi; đăng nhập/RBAC; 1 dashboard; 1 báo cáo; &gt;=25 test case; triển khai bản demo.</v>
      </c>
      <c r="L2916" t="str">
        <f>'Huong dan giao do an'!$B$31</f>
        <v>Bắt buộc: Charter/PMP; SRS + scope/WBS; Gantt/baseline; effort-cost budget; RACI/timesheet; quality-test-defect; communication/minutes; risk register; procurement; change log; closure/lessons learned.</v>
      </c>
      <c r="M2916" t="str">
        <f>'Huong dan giao do an'!$B$33</f>
        <v>Tuần 1: 07.09–13.09.2026; Tuần 2: 14.09–20.09.2026; Tuần 3: 21.09–27.09.2026; Tuần 4: 28.09–04.10.2026; Tuần 5: 05.10–11.10.2026; Tuần 6: 12.10–18.10.2026; Tuần 7: 19.10–25.10.2026; Tuần 8: 26.10–01.11.2026.</v>
      </c>
      <c r="N29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6" s="17" t="str">
        <f t="shared" si="45"/>
        <v>Còn trống</v>
      </c>
    </row>
    <row r="2917" spans="1:16" x14ac:dyDescent="0.3">
      <c r="A2917">
        <v>2916</v>
      </c>
      <c r="B2917" t="s">
        <v>6665</v>
      </c>
      <c r="C2917" t="s">
        <v>6719</v>
      </c>
      <c r="D2917" t="s">
        <v>6720</v>
      </c>
      <c r="E2917" t="s">
        <v>45</v>
      </c>
      <c r="F2917" t="s">
        <v>6668</v>
      </c>
      <c r="G2917" t="s">
        <v>6721</v>
      </c>
      <c r="H2917" t="str">
        <f>'Huong dan giao do an'!$B$14</f>
        <v>5 SV (vai trò chính): 1 PM/Scrum Master kiêm Integration; 2 BA/PO; 3 UI-UX + Frontend; 4 Backend/API + DevOps; 5 Database + QA/Tester. Mỗi SV có nhiệm vụ phụ và minh chứng cá nhân.</v>
      </c>
      <c r="I2917" t="s">
        <v>22</v>
      </c>
      <c r="J2917" t="s">
        <v>6670</v>
      </c>
      <c r="K2917" t="str">
        <f>IF(I2917="Trung bình",'Huong dan giao do an'!$B$8,IF(I2917="Khá",'Huong dan giao do an'!$B$9,'Huong dan giao do an'!$B$10))</f>
        <v>Tối thiểu 4 actor; 10-14 use case; 8-12 bảng; 3 quy trình lõi; phân quyền chi tiết; 2 báo cáo; tích hợp 1 dịch vụ; &gt;=35 test case; CI/CD hoặc deploy cloud.</v>
      </c>
      <c r="L2917" t="str">
        <f>'Huong dan giao do an'!$B$31</f>
        <v>Bắt buộc: Charter/PMP; SRS + scope/WBS; Gantt/baseline; effort-cost budget; RACI/timesheet; quality-test-defect; communication/minutes; risk register; procurement; change log; closure/lessons learned.</v>
      </c>
      <c r="M2917" t="str">
        <f>'Huong dan giao do an'!$B$33</f>
        <v>Tuần 1: 07.09–13.09.2026; Tuần 2: 14.09–20.09.2026; Tuần 3: 21.09–27.09.2026; Tuần 4: 28.09–04.10.2026; Tuần 5: 05.10–11.10.2026; Tuần 6: 12.10–18.10.2026; Tuần 7: 19.10–25.10.2026; Tuần 8: 26.10–01.11.2026.</v>
      </c>
      <c r="N29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7" s="17" t="str">
        <f t="shared" si="45"/>
        <v>Còn trống</v>
      </c>
    </row>
    <row r="2918" spans="1:16" x14ac:dyDescent="0.3">
      <c r="A2918">
        <v>2917</v>
      </c>
      <c r="B2918" t="s">
        <v>6665</v>
      </c>
      <c r="C2918" t="s">
        <v>6722</v>
      </c>
      <c r="D2918" t="s">
        <v>6723</v>
      </c>
      <c r="E2918" t="s">
        <v>19</v>
      </c>
      <c r="F2918" t="s">
        <v>6673</v>
      </c>
      <c r="G2918" t="s">
        <v>6724</v>
      </c>
      <c r="H2918" t="str">
        <f>'Huong dan giao do an'!$B$14</f>
        <v>5 SV (vai trò chính): 1 PM/Scrum Master kiêm Integration; 2 BA/PO; 3 UI-UX + Frontend; 4 Backend/API + DevOps; 5 Database + QA/Tester. Mỗi SV có nhiệm vụ phụ và minh chứng cá nhân.</v>
      </c>
      <c r="I2918" t="s">
        <v>29</v>
      </c>
      <c r="J2918" t="s">
        <v>6675</v>
      </c>
      <c r="K2918" t="str">
        <f>IF(I2918="Trung bình",'Huong dan giao do an'!$B$8,IF(I2918="Khá",'Huong dan giao do an'!$B$9,'Huong dan giao do an'!$B$10))</f>
        <v>Tối thiểu 5 actor; 14-18 use case; 10-15 bảng; 4 quy trình; tích hợp ngoài/realtime hoặc xử lý nâng cao; 3 báo cáo; &gt;=45 test case; logging, backup và deploy.</v>
      </c>
      <c r="L2918" t="str">
        <f>'Huong dan giao do an'!$B$31</f>
        <v>Bắt buộc: Charter/PMP; SRS + scope/WBS; Gantt/baseline; effort-cost budget; RACI/timesheet; quality-test-defect; communication/minutes; risk register; procurement; change log; closure/lessons learned.</v>
      </c>
      <c r="M2918" t="str">
        <f>'Huong dan giao do an'!$B$33</f>
        <v>Tuần 1: 07.09–13.09.2026; Tuần 2: 14.09–20.09.2026; Tuần 3: 21.09–27.09.2026; Tuần 4: 28.09–04.10.2026; Tuần 5: 05.10–11.10.2026; Tuần 6: 12.10–18.10.2026; Tuần 7: 19.10–25.10.2026; Tuần 8: 26.10–01.11.2026.</v>
      </c>
      <c r="N29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8" s="17" t="str">
        <f t="shared" si="45"/>
        <v>Còn trống</v>
      </c>
    </row>
    <row r="2919" spans="1:16" x14ac:dyDescent="0.3">
      <c r="A2919">
        <v>2918</v>
      </c>
      <c r="B2919" t="s">
        <v>6665</v>
      </c>
      <c r="C2919" t="s">
        <v>6725</v>
      </c>
      <c r="D2919" t="s">
        <v>6726</v>
      </c>
      <c r="E2919" t="s">
        <v>26</v>
      </c>
      <c r="F2919" t="s">
        <v>6678</v>
      </c>
      <c r="G2919" t="s">
        <v>6727</v>
      </c>
      <c r="H2919" t="str">
        <f>'Huong dan giao do an'!$B$14</f>
        <v>5 SV (vai trò chính): 1 PM/Scrum Master kiêm Integration; 2 BA/PO; 3 UI-UX + Frontend; 4 Backend/API + DevOps; 5 Database + QA/Tester. Mỗi SV có nhiệm vụ phụ và minh chứng cá nhân.</v>
      </c>
      <c r="I2919" t="s">
        <v>36</v>
      </c>
      <c r="J2919" t="s">
        <v>6680</v>
      </c>
      <c r="K2919" t="str">
        <f>IF(I2919="Trung bình",'Huong dan giao do an'!$B$8,IF(I2919="Khá",'Huong dan giao do an'!$B$9,'Huong dan giao do an'!$B$10))</f>
        <v>Tối thiểu 3 actor; 8-10 use case; 6-8 bảng dữ liệu; 2 quy trình lõi; đăng nhập/RBAC; 1 dashboard; 1 báo cáo; &gt;=25 test case; triển khai bản demo.</v>
      </c>
      <c r="L2919" t="str">
        <f>'Huong dan giao do an'!$B$31</f>
        <v>Bắt buộc: Charter/PMP; SRS + scope/WBS; Gantt/baseline; effort-cost budget; RACI/timesheet; quality-test-defect; communication/minutes; risk register; procurement; change log; closure/lessons learned.</v>
      </c>
      <c r="M2919" t="str">
        <f>'Huong dan giao do an'!$B$33</f>
        <v>Tuần 1: 07.09–13.09.2026; Tuần 2: 14.09–20.09.2026; Tuần 3: 21.09–27.09.2026; Tuần 4: 28.09–04.10.2026; Tuần 5: 05.10–11.10.2026; Tuần 6: 12.10–18.10.2026; Tuần 7: 19.10–25.10.2026; Tuần 8: 26.10–01.11.2026.</v>
      </c>
      <c r="N29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19" s="17" t="str">
        <f t="shared" si="45"/>
        <v>Còn trống</v>
      </c>
    </row>
    <row r="2920" spans="1:16" x14ac:dyDescent="0.3">
      <c r="A2920">
        <v>2919</v>
      </c>
      <c r="B2920" t="s">
        <v>6665</v>
      </c>
      <c r="C2920" t="s">
        <v>6728</v>
      </c>
      <c r="D2920" t="s">
        <v>6729</v>
      </c>
      <c r="E2920" t="s">
        <v>33</v>
      </c>
      <c r="F2920" t="s">
        <v>6683</v>
      </c>
      <c r="G2920" t="s">
        <v>6730</v>
      </c>
      <c r="H2920" t="str">
        <f>'Huong dan giao do an'!$B$14</f>
        <v>5 SV (vai trò chính): 1 PM/Scrum Master kiêm Integration; 2 BA/PO; 3 UI-UX + Frontend; 4 Backend/API + DevOps; 5 Database + QA/Tester. Mỗi SV có nhiệm vụ phụ và minh chứng cá nhân.</v>
      </c>
      <c r="I2920" t="s">
        <v>22</v>
      </c>
      <c r="J2920" t="s">
        <v>6670</v>
      </c>
      <c r="K2920" t="str">
        <f>IF(I2920="Trung bình",'Huong dan giao do an'!$B$8,IF(I2920="Khá",'Huong dan giao do an'!$B$9,'Huong dan giao do an'!$B$10))</f>
        <v>Tối thiểu 4 actor; 10-14 use case; 8-12 bảng; 3 quy trình lõi; phân quyền chi tiết; 2 báo cáo; tích hợp 1 dịch vụ; &gt;=35 test case; CI/CD hoặc deploy cloud.</v>
      </c>
      <c r="L2920" t="str">
        <f>'Huong dan giao do an'!$B$31</f>
        <v>Bắt buộc: Charter/PMP; SRS + scope/WBS; Gantt/baseline; effort-cost budget; RACI/timesheet; quality-test-defect; communication/minutes; risk register; procurement; change log; closure/lessons learned.</v>
      </c>
      <c r="M2920" t="str">
        <f>'Huong dan giao do an'!$B$33</f>
        <v>Tuần 1: 07.09–13.09.2026; Tuần 2: 14.09–20.09.2026; Tuần 3: 21.09–27.09.2026; Tuần 4: 28.09–04.10.2026; Tuần 5: 05.10–11.10.2026; Tuần 6: 12.10–18.10.2026; Tuần 7: 19.10–25.10.2026; Tuần 8: 26.10–01.11.2026.</v>
      </c>
      <c r="N29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0" s="17" t="str">
        <f t="shared" si="45"/>
        <v>Còn trống</v>
      </c>
    </row>
    <row r="2921" spans="1:16" x14ac:dyDescent="0.3">
      <c r="A2921">
        <v>2920</v>
      </c>
      <c r="B2921" t="s">
        <v>6665</v>
      </c>
      <c r="C2921" t="s">
        <v>6731</v>
      </c>
      <c r="D2921" t="s">
        <v>6732</v>
      </c>
      <c r="E2921" t="s">
        <v>40</v>
      </c>
      <c r="F2921" t="s">
        <v>6687</v>
      </c>
      <c r="G2921" t="s">
        <v>6733</v>
      </c>
      <c r="H2921" t="str">
        <f>'Huong dan giao do an'!$B$14</f>
        <v>5 SV (vai trò chính): 1 PM/Scrum Master kiêm Integration; 2 BA/PO; 3 UI-UX + Frontend; 4 Backend/API + DevOps; 5 Database + QA/Tester. Mỗi SV có nhiệm vụ phụ và minh chứng cá nhân.</v>
      </c>
      <c r="I2921" t="s">
        <v>29</v>
      </c>
      <c r="J2921" t="s">
        <v>6675</v>
      </c>
      <c r="K2921" t="str">
        <f>IF(I2921="Trung bình",'Huong dan giao do an'!$B$8,IF(I2921="Khá",'Huong dan giao do an'!$B$9,'Huong dan giao do an'!$B$10))</f>
        <v>Tối thiểu 5 actor; 14-18 use case; 10-15 bảng; 4 quy trình; tích hợp ngoài/realtime hoặc xử lý nâng cao; 3 báo cáo; &gt;=45 test case; logging, backup và deploy.</v>
      </c>
      <c r="L2921" t="str">
        <f>'Huong dan giao do an'!$B$31</f>
        <v>Bắt buộc: Charter/PMP; SRS + scope/WBS; Gantt/baseline; effort-cost budget; RACI/timesheet; quality-test-defect; communication/minutes; risk register; procurement; change log; closure/lessons learned.</v>
      </c>
      <c r="M2921" t="str">
        <f>'Huong dan giao do an'!$B$33</f>
        <v>Tuần 1: 07.09–13.09.2026; Tuần 2: 14.09–20.09.2026; Tuần 3: 21.09–27.09.2026; Tuần 4: 28.09–04.10.2026; Tuần 5: 05.10–11.10.2026; Tuần 6: 12.10–18.10.2026; Tuần 7: 19.10–25.10.2026; Tuần 8: 26.10–01.11.2026.</v>
      </c>
      <c r="N29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1" s="17" t="str">
        <f t="shared" si="45"/>
        <v>Còn trống</v>
      </c>
    </row>
    <row r="2922" spans="1:16" x14ac:dyDescent="0.3">
      <c r="A2922">
        <v>2921</v>
      </c>
      <c r="B2922" t="s">
        <v>6665</v>
      </c>
      <c r="C2922" t="s">
        <v>6734</v>
      </c>
      <c r="D2922" t="s">
        <v>6735</v>
      </c>
      <c r="E2922" t="s">
        <v>45</v>
      </c>
      <c r="F2922" t="s">
        <v>6668</v>
      </c>
      <c r="G2922" t="s">
        <v>6669</v>
      </c>
      <c r="H2922" t="str">
        <f>'Huong dan giao do an'!$B$14</f>
        <v>5 SV (vai trò chính): 1 PM/Scrum Master kiêm Integration; 2 BA/PO; 3 UI-UX + Frontend; 4 Backend/API + DevOps; 5 Database + QA/Tester. Mỗi SV có nhiệm vụ phụ và minh chứng cá nhân.</v>
      </c>
      <c r="I2922" t="s">
        <v>22</v>
      </c>
      <c r="J2922" t="s">
        <v>6670</v>
      </c>
      <c r="K2922" t="str">
        <f>IF(I2922="Trung bình",'Huong dan giao do an'!$B$8,IF(I2922="Khá",'Huong dan giao do an'!$B$9,'Huong dan giao do an'!$B$10))</f>
        <v>Tối thiểu 4 actor; 10-14 use case; 8-12 bảng; 3 quy trình lõi; phân quyền chi tiết; 2 báo cáo; tích hợp 1 dịch vụ; &gt;=35 test case; CI/CD hoặc deploy cloud.</v>
      </c>
      <c r="L2922" t="str">
        <f>'Huong dan giao do an'!$B$31</f>
        <v>Bắt buộc: Charter/PMP; SRS + scope/WBS; Gantt/baseline; effort-cost budget; RACI/timesheet; quality-test-defect; communication/minutes; risk register; procurement; change log; closure/lessons learned.</v>
      </c>
      <c r="M2922" t="str">
        <f>'Huong dan giao do an'!$B$33</f>
        <v>Tuần 1: 07.09–13.09.2026; Tuần 2: 14.09–20.09.2026; Tuần 3: 21.09–27.09.2026; Tuần 4: 28.09–04.10.2026; Tuần 5: 05.10–11.10.2026; Tuần 6: 12.10–18.10.2026; Tuần 7: 19.10–25.10.2026; Tuần 8: 26.10–01.11.2026.</v>
      </c>
      <c r="N29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2" s="17" t="str">
        <f t="shared" si="45"/>
        <v>Còn trống</v>
      </c>
    </row>
    <row r="2923" spans="1:16" x14ac:dyDescent="0.3">
      <c r="A2923">
        <v>2922</v>
      </c>
      <c r="B2923" t="s">
        <v>6665</v>
      </c>
      <c r="C2923" t="s">
        <v>6736</v>
      </c>
      <c r="D2923" t="s">
        <v>6737</v>
      </c>
      <c r="E2923" t="s">
        <v>19</v>
      </c>
      <c r="F2923" t="s">
        <v>6673</v>
      </c>
      <c r="G2923" t="s">
        <v>6674</v>
      </c>
      <c r="H2923" t="str">
        <f>'Huong dan giao do an'!$B$14</f>
        <v>5 SV (vai trò chính): 1 PM/Scrum Master kiêm Integration; 2 BA/PO; 3 UI-UX + Frontend; 4 Backend/API + DevOps; 5 Database + QA/Tester. Mỗi SV có nhiệm vụ phụ và minh chứng cá nhân.</v>
      </c>
      <c r="I2923" t="s">
        <v>29</v>
      </c>
      <c r="J2923" t="s">
        <v>6675</v>
      </c>
      <c r="K2923" t="str">
        <f>IF(I2923="Trung bình",'Huong dan giao do an'!$B$8,IF(I2923="Khá",'Huong dan giao do an'!$B$9,'Huong dan giao do an'!$B$10))</f>
        <v>Tối thiểu 5 actor; 14-18 use case; 10-15 bảng; 4 quy trình; tích hợp ngoài/realtime hoặc xử lý nâng cao; 3 báo cáo; &gt;=45 test case; logging, backup và deploy.</v>
      </c>
      <c r="L2923" t="str">
        <f>'Huong dan giao do an'!$B$31</f>
        <v>Bắt buộc: Charter/PMP; SRS + scope/WBS; Gantt/baseline; effort-cost budget; RACI/timesheet; quality-test-defect; communication/minutes; risk register; procurement; change log; closure/lessons learned.</v>
      </c>
      <c r="M2923" t="str">
        <f>'Huong dan giao do an'!$B$33</f>
        <v>Tuần 1: 07.09–13.09.2026; Tuần 2: 14.09–20.09.2026; Tuần 3: 21.09–27.09.2026; Tuần 4: 28.09–04.10.2026; Tuần 5: 05.10–11.10.2026; Tuần 6: 12.10–18.10.2026; Tuần 7: 19.10–25.10.2026; Tuần 8: 26.10–01.11.2026.</v>
      </c>
      <c r="N29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3" s="17" t="str">
        <f t="shared" si="45"/>
        <v>Còn trống</v>
      </c>
    </row>
    <row r="2924" spans="1:16" x14ac:dyDescent="0.3">
      <c r="A2924">
        <v>2923</v>
      </c>
      <c r="B2924" t="s">
        <v>6665</v>
      </c>
      <c r="C2924" t="s">
        <v>6738</v>
      </c>
      <c r="D2924" t="s">
        <v>6739</v>
      </c>
      <c r="E2924" t="s">
        <v>26</v>
      </c>
      <c r="F2924" t="s">
        <v>6678</v>
      </c>
      <c r="G2924" t="s">
        <v>6679</v>
      </c>
      <c r="H2924" t="str">
        <f>'Huong dan giao do an'!$B$14</f>
        <v>5 SV (vai trò chính): 1 PM/Scrum Master kiêm Integration; 2 BA/PO; 3 UI-UX + Frontend; 4 Backend/API + DevOps; 5 Database + QA/Tester. Mỗi SV có nhiệm vụ phụ và minh chứng cá nhân.</v>
      </c>
      <c r="I2924" t="s">
        <v>36</v>
      </c>
      <c r="J2924" t="s">
        <v>6680</v>
      </c>
      <c r="K2924" t="str">
        <f>IF(I2924="Trung bình",'Huong dan giao do an'!$B$8,IF(I2924="Khá",'Huong dan giao do an'!$B$9,'Huong dan giao do an'!$B$10))</f>
        <v>Tối thiểu 3 actor; 8-10 use case; 6-8 bảng dữ liệu; 2 quy trình lõi; đăng nhập/RBAC; 1 dashboard; 1 báo cáo; &gt;=25 test case; triển khai bản demo.</v>
      </c>
      <c r="L2924" t="str">
        <f>'Huong dan giao do an'!$B$31</f>
        <v>Bắt buộc: Charter/PMP; SRS + scope/WBS; Gantt/baseline; effort-cost budget; RACI/timesheet; quality-test-defect; communication/minutes; risk register; procurement; change log; closure/lessons learned.</v>
      </c>
      <c r="M2924" t="str">
        <f>'Huong dan giao do an'!$B$33</f>
        <v>Tuần 1: 07.09–13.09.2026; Tuần 2: 14.09–20.09.2026; Tuần 3: 21.09–27.09.2026; Tuần 4: 28.09–04.10.2026; Tuần 5: 05.10–11.10.2026; Tuần 6: 12.10–18.10.2026; Tuần 7: 19.10–25.10.2026; Tuần 8: 26.10–01.11.2026.</v>
      </c>
      <c r="N29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4" s="17" t="str">
        <f t="shared" si="45"/>
        <v>Còn trống</v>
      </c>
    </row>
    <row r="2925" spans="1:16" x14ac:dyDescent="0.3">
      <c r="A2925">
        <v>2924</v>
      </c>
      <c r="B2925" t="s">
        <v>6665</v>
      </c>
      <c r="C2925" t="s">
        <v>6740</v>
      </c>
      <c r="D2925" t="s">
        <v>6741</v>
      </c>
      <c r="E2925" t="s">
        <v>33</v>
      </c>
      <c r="F2925" t="s">
        <v>6683</v>
      </c>
      <c r="G2925" t="s">
        <v>6684</v>
      </c>
      <c r="H2925" t="str">
        <f>'Huong dan giao do an'!$B$14</f>
        <v>5 SV (vai trò chính): 1 PM/Scrum Master kiêm Integration; 2 BA/PO; 3 UI-UX + Frontend; 4 Backend/API + DevOps; 5 Database + QA/Tester. Mỗi SV có nhiệm vụ phụ và minh chứng cá nhân.</v>
      </c>
      <c r="I2925" t="s">
        <v>22</v>
      </c>
      <c r="J2925" t="s">
        <v>6670</v>
      </c>
      <c r="K2925" t="str">
        <f>IF(I2925="Trung bình",'Huong dan giao do an'!$B$8,IF(I2925="Khá",'Huong dan giao do an'!$B$9,'Huong dan giao do an'!$B$10))</f>
        <v>Tối thiểu 4 actor; 10-14 use case; 8-12 bảng; 3 quy trình lõi; phân quyền chi tiết; 2 báo cáo; tích hợp 1 dịch vụ; &gt;=35 test case; CI/CD hoặc deploy cloud.</v>
      </c>
      <c r="L2925" t="str">
        <f>'Huong dan giao do an'!$B$31</f>
        <v>Bắt buộc: Charter/PMP; SRS + scope/WBS; Gantt/baseline; effort-cost budget; RACI/timesheet; quality-test-defect; communication/minutes; risk register; procurement; change log; closure/lessons learned.</v>
      </c>
      <c r="M2925" t="str">
        <f>'Huong dan giao do an'!$B$33</f>
        <v>Tuần 1: 07.09–13.09.2026; Tuần 2: 14.09–20.09.2026; Tuần 3: 21.09–27.09.2026; Tuần 4: 28.09–04.10.2026; Tuần 5: 05.10–11.10.2026; Tuần 6: 12.10–18.10.2026; Tuần 7: 19.10–25.10.2026; Tuần 8: 26.10–01.11.2026.</v>
      </c>
      <c r="N29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5" s="17" t="str">
        <f t="shared" si="45"/>
        <v>Còn trống</v>
      </c>
    </row>
    <row r="2926" spans="1:16" x14ac:dyDescent="0.3">
      <c r="A2926">
        <v>2925</v>
      </c>
      <c r="B2926" t="s">
        <v>6665</v>
      </c>
      <c r="C2926" t="s">
        <v>6742</v>
      </c>
      <c r="D2926" t="s">
        <v>6743</v>
      </c>
      <c r="E2926" t="s">
        <v>40</v>
      </c>
      <c r="F2926" t="s">
        <v>6687</v>
      </c>
      <c r="G2926" t="s">
        <v>6688</v>
      </c>
      <c r="H2926" t="str">
        <f>'Huong dan giao do an'!$B$14</f>
        <v>5 SV (vai trò chính): 1 PM/Scrum Master kiêm Integration; 2 BA/PO; 3 UI-UX + Frontend; 4 Backend/API + DevOps; 5 Database + QA/Tester. Mỗi SV có nhiệm vụ phụ và minh chứng cá nhân.</v>
      </c>
      <c r="I2926" t="s">
        <v>29</v>
      </c>
      <c r="J2926" t="s">
        <v>6675</v>
      </c>
      <c r="K2926" t="str">
        <f>IF(I2926="Trung bình",'Huong dan giao do an'!$B$8,IF(I2926="Khá",'Huong dan giao do an'!$B$9,'Huong dan giao do an'!$B$10))</f>
        <v>Tối thiểu 5 actor; 14-18 use case; 10-15 bảng; 4 quy trình; tích hợp ngoài/realtime hoặc xử lý nâng cao; 3 báo cáo; &gt;=45 test case; logging, backup và deploy.</v>
      </c>
      <c r="L2926" t="str">
        <f>'Huong dan giao do an'!$B$31</f>
        <v>Bắt buộc: Charter/PMP; SRS + scope/WBS; Gantt/baseline; effort-cost budget; RACI/timesheet; quality-test-defect; communication/minutes; risk register; procurement; change log; closure/lessons learned.</v>
      </c>
      <c r="M2926" t="str">
        <f>'Huong dan giao do an'!$B$33</f>
        <v>Tuần 1: 07.09–13.09.2026; Tuần 2: 14.09–20.09.2026; Tuần 3: 21.09–27.09.2026; Tuần 4: 28.09–04.10.2026; Tuần 5: 05.10–11.10.2026; Tuần 6: 12.10–18.10.2026; Tuần 7: 19.10–25.10.2026; Tuần 8: 26.10–01.11.2026.</v>
      </c>
      <c r="N29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6" s="17" t="str">
        <f t="shared" si="45"/>
        <v>Còn trống</v>
      </c>
    </row>
    <row r="2927" spans="1:16" x14ac:dyDescent="0.3">
      <c r="A2927">
        <v>2926</v>
      </c>
      <c r="B2927" t="s">
        <v>6665</v>
      </c>
      <c r="C2927" t="s">
        <v>6744</v>
      </c>
      <c r="D2927" t="s">
        <v>6745</v>
      </c>
      <c r="E2927" t="s">
        <v>45</v>
      </c>
      <c r="F2927" t="s">
        <v>6668</v>
      </c>
      <c r="G2927" t="s">
        <v>6691</v>
      </c>
      <c r="H2927" t="str">
        <f>'Huong dan giao do an'!$B$14</f>
        <v>5 SV (vai trò chính): 1 PM/Scrum Master kiêm Integration; 2 BA/PO; 3 UI-UX + Frontend; 4 Backend/API + DevOps; 5 Database + QA/Tester. Mỗi SV có nhiệm vụ phụ và minh chứng cá nhân.</v>
      </c>
      <c r="I2927" t="s">
        <v>36</v>
      </c>
      <c r="J2927" t="s">
        <v>6680</v>
      </c>
      <c r="K2927" t="str">
        <f>IF(I2927="Trung bình",'Huong dan giao do an'!$B$8,IF(I2927="Khá",'Huong dan giao do an'!$B$9,'Huong dan giao do an'!$B$10))</f>
        <v>Tối thiểu 3 actor; 8-10 use case; 6-8 bảng dữ liệu; 2 quy trình lõi; đăng nhập/RBAC; 1 dashboard; 1 báo cáo; &gt;=25 test case; triển khai bản demo.</v>
      </c>
      <c r="L2927" t="str">
        <f>'Huong dan giao do an'!$B$31</f>
        <v>Bắt buộc: Charter/PMP; SRS + scope/WBS; Gantt/baseline; effort-cost budget; RACI/timesheet; quality-test-defect; communication/minutes; risk register; procurement; change log; closure/lessons learned.</v>
      </c>
      <c r="M2927" t="str">
        <f>'Huong dan giao do an'!$B$33</f>
        <v>Tuần 1: 07.09–13.09.2026; Tuần 2: 14.09–20.09.2026; Tuần 3: 21.09–27.09.2026; Tuần 4: 28.09–04.10.2026; Tuần 5: 05.10–11.10.2026; Tuần 6: 12.10–18.10.2026; Tuần 7: 19.10–25.10.2026; Tuần 8: 26.10–01.11.2026.</v>
      </c>
      <c r="N29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7" s="17" t="str">
        <f t="shared" si="45"/>
        <v>Còn trống</v>
      </c>
    </row>
    <row r="2928" spans="1:16" x14ac:dyDescent="0.3">
      <c r="A2928">
        <v>2927</v>
      </c>
      <c r="B2928" t="s">
        <v>6665</v>
      </c>
      <c r="C2928" t="s">
        <v>6746</v>
      </c>
      <c r="D2928" t="s">
        <v>6747</v>
      </c>
      <c r="E2928" t="s">
        <v>19</v>
      </c>
      <c r="F2928" t="s">
        <v>6673</v>
      </c>
      <c r="G2928" t="s">
        <v>6694</v>
      </c>
      <c r="H2928" t="str">
        <f>'Huong dan giao do an'!$B$14</f>
        <v>5 SV (vai trò chính): 1 PM/Scrum Master kiêm Integration; 2 BA/PO; 3 UI-UX + Frontend; 4 Backend/API + DevOps; 5 Database + QA/Tester. Mỗi SV có nhiệm vụ phụ và minh chứng cá nhân.</v>
      </c>
      <c r="I2928" t="s">
        <v>22</v>
      </c>
      <c r="J2928" t="s">
        <v>6670</v>
      </c>
      <c r="K2928" t="str">
        <f>IF(I2928="Trung bình",'Huong dan giao do an'!$B$8,IF(I2928="Khá",'Huong dan giao do an'!$B$9,'Huong dan giao do an'!$B$10))</f>
        <v>Tối thiểu 4 actor; 10-14 use case; 8-12 bảng; 3 quy trình lõi; phân quyền chi tiết; 2 báo cáo; tích hợp 1 dịch vụ; &gt;=35 test case; CI/CD hoặc deploy cloud.</v>
      </c>
      <c r="L2928" t="str">
        <f>'Huong dan giao do an'!$B$31</f>
        <v>Bắt buộc: Charter/PMP; SRS + scope/WBS; Gantt/baseline; effort-cost budget; RACI/timesheet; quality-test-defect; communication/minutes; risk register; procurement; change log; closure/lessons learned.</v>
      </c>
      <c r="M2928" t="str">
        <f>'Huong dan giao do an'!$B$33</f>
        <v>Tuần 1: 07.09–13.09.2026; Tuần 2: 14.09–20.09.2026; Tuần 3: 21.09–27.09.2026; Tuần 4: 28.09–04.10.2026; Tuần 5: 05.10–11.10.2026; Tuần 6: 12.10–18.10.2026; Tuần 7: 19.10–25.10.2026; Tuần 8: 26.10–01.11.2026.</v>
      </c>
      <c r="N29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8" s="17" t="str">
        <f t="shared" si="45"/>
        <v>Còn trống</v>
      </c>
    </row>
    <row r="2929" spans="1:16" x14ac:dyDescent="0.3">
      <c r="A2929">
        <v>2928</v>
      </c>
      <c r="B2929" t="s">
        <v>6665</v>
      </c>
      <c r="C2929" t="s">
        <v>6748</v>
      </c>
      <c r="D2929" t="s">
        <v>6749</v>
      </c>
      <c r="E2929" t="s">
        <v>26</v>
      </c>
      <c r="F2929" t="s">
        <v>6678</v>
      </c>
      <c r="G2929" t="s">
        <v>6697</v>
      </c>
      <c r="H2929" t="str">
        <f>'Huong dan giao do an'!$B$14</f>
        <v>5 SV (vai trò chính): 1 PM/Scrum Master kiêm Integration; 2 BA/PO; 3 UI-UX + Frontend; 4 Backend/API + DevOps; 5 Database + QA/Tester. Mỗi SV có nhiệm vụ phụ và minh chứng cá nhân.</v>
      </c>
      <c r="I2929" t="s">
        <v>29</v>
      </c>
      <c r="J2929" t="s">
        <v>6675</v>
      </c>
      <c r="K2929" t="str">
        <f>IF(I2929="Trung bình",'Huong dan giao do an'!$B$8,IF(I2929="Khá",'Huong dan giao do an'!$B$9,'Huong dan giao do an'!$B$10))</f>
        <v>Tối thiểu 5 actor; 14-18 use case; 10-15 bảng; 4 quy trình; tích hợp ngoài/realtime hoặc xử lý nâng cao; 3 báo cáo; &gt;=45 test case; logging, backup và deploy.</v>
      </c>
      <c r="L2929" t="str">
        <f>'Huong dan giao do an'!$B$31</f>
        <v>Bắt buộc: Charter/PMP; SRS + scope/WBS; Gantt/baseline; effort-cost budget; RACI/timesheet; quality-test-defect; communication/minutes; risk register; procurement; change log; closure/lessons learned.</v>
      </c>
      <c r="M2929" t="str">
        <f>'Huong dan giao do an'!$B$33</f>
        <v>Tuần 1: 07.09–13.09.2026; Tuần 2: 14.09–20.09.2026; Tuần 3: 21.09–27.09.2026; Tuần 4: 28.09–04.10.2026; Tuần 5: 05.10–11.10.2026; Tuần 6: 12.10–18.10.2026; Tuần 7: 19.10–25.10.2026; Tuần 8: 26.10–01.11.2026.</v>
      </c>
      <c r="N29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29" s="17" t="str">
        <f t="shared" si="45"/>
        <v>Còn trống</v>
      </c>
    </row>
    <row r="2930" spans="1:16" x14ac:dyDescent="0.3">
      <c r="A2930">
        <v>2929</v>
      </c>
      <c r="B2930" t="s">
        <v>6665</v>
      </c>
      <c r="C2930" t="s">
        <v>6750</v>
      </c>
      <c r="D2930" t="s">
        <v>6751</v>
      </c>
      <c r="E2930" t="s">
        <v>33</v>
      </c>
      <c r="F2930" t="s">
        <v>6683</v>
      </c>
      <c r="G2930" t="s">
        <v>6700</v>
      </c>
      <c r="H2930" t="str">
        <f>'Huong dan giao do an'!$B$14</f>
        <v>5 SV (vai trò chính): 1 PM/Scrum Master kiêm Integration; 2 BA/PO; 3 UI-UX + Frontend; 4 Backend/API + DevOps; 5 Database + QA/Tester. Mỗi SV có nhiệm vụ phụ và minh chứng cá nhân.</v>
      </c>
      <c r="I2930" t="s">
        <v>36</v>
      </c>
      <c r="J2930" t="s">
        <v>6680</v>
      </c>
      <c r="K2930" t="str">
        <f>IF(I2930="Trung bình",'Huong dan giao do an'!$B$8,IF(I2930="Khá",'Huong dan giao do an'!$B$9,'Huong dan giao do an'!$B$10))</f>
        <v>Tối thiểu 3 actor; 8-10 use case; 6-8 bảng dữ liệu; 2 quy trình lõi; đăng nhập/RBAC; 1 dashboard; 1 báo cáo; &gt;=25 test case; triển khai bản demo.</v>
      </c>
      <c r="L2930" t="str">
        <f>'Huong dan giao do an'!$B$31</f>
        <v>Bắt buộc: Charter/PMP; SRS + scope/WBS; Gantt/baseline; effort-cost budget; RACI/timesheet; quality-test-defect; communication/minutes; risk register; procurement; change log; closure/lessons learned.</v>
      </c>
      <c r="M2930" t="str">
        <f>'Huong dan giao do an'!$B$33</f>
        <v>Tuần 1: 07.09–13.09.2026; Tuần 2: 14.09–20.09.2026; Tuần 3: 21.09–27.09.2026; Tuần 4: 28.09–04.10.2026; Tuần 5: 05.10–11.10.2026; Tuần 6: 12.10–18.10.2026; Tuần 7: 19.10–25.10.2026; Tuần 8: 26.10–01.11.2026.</v>
      </c>
      <c r="N29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0" s="17" t="str">
        <f t="shared" si="45"/>
        <v>Còn trống</v>
      </c>
    </row>
    <row r="2931" spans="1:16" x14ac:dyDescent="0.3">
      <c r="A2931">
        <v>2930</v>
      </c>
      <c r="B2931" t="s">
        <v>6665</v>
      </c>
      <c r="C2931" t="s">
        <v>6752</v>
      </c>
      <c r="D2931" t="s">
        <v>6753</v>
      </c>
      <c r="E2931" t="s">
        <v>40</v>
      </c>
      <c r="F2931" t="s">
        <v>6687</v>
      </c>
      <c r="G2931" t="s">
        <v>6703</v>
      </c>
      <c r="H2931" t="str">
        <f>'Huong dan giao do an'!$B$14</f>
        <v>5 SV (vai trò chính): 1 PM/Scrum Master kiêm Integration; 2 BA/PO; 3 UI-UX + Frontend; 4 Backend/API + DevOps; 5 Database + QA/Tester. Mỗi SV có nhiệm vụ phụ và minh chứng cá nhân.</v>
      </c>
      <c r="I2931" t="s">
        <v>22</v>
      </c>
      <c r="J2931" t="s">
        <v>6670</v>
      </c>
      <c r="K2931" t="str">
        <f>IF(I2931="Trung bình",'Huong dan giao do an'!$B$8,IF(I2931="Khá",'Huong dan giao do an'!$B$9,'Huong dan giao do an'!$B$10))</f>
        <v>Tối thiểu 4 actor; 10-14 use case; 8-12 bảng; 3 quy trình lõi; phân quyền chi tiết; 2 báo cáo; tích hợp 1 dịch vụ; &gt;=35 test case; CI/CD hoặc deploy cloud.</v>
      </c>
      <c r="L2931" t="str">
        <f>'Huong dan giao do an'!$B$31</f>
        <v>Bắt buộc: Charter/PMP; SRS + scope/WBS; Gantt/baseline; effort-cost budget; RACI/timesheet; quality-test-defect; communication/minutes; risk register; procurement; change log; closure/lessons learned.</v>
      </c>
      <c r="M2931" t="str">
        <f>'Huong dan giao do an'!$B$33</f>
        <v>Tuần 1: 07.09–13.09.2026; Tuần 2: 14.09–20.09.2026; Tuần 3: 21.09–27.09.2026; Tuần 4: 28.09–04.10.2026; Tuần 5: 05.10–11.10.2026; Tuần 6: 12.10–18.10.2026; Tuần 7: 19.10–25.10.2026; Tuần 8: 26.10–01.11.2026.</v>
      </c>
      <c r="N29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1" s="17" t="str">
        <f t="shared" si="45"/>
        <v>Còn trống</v>
      </c>
    </row>
    <row r="2932" spans="1:16" x14ac:dyDescent="0.3">
      <c r="A2932">
        <v>2931</v>
      </c>
      <c r="B2932" t="s">
        <v>6665</v>
      </c>
      <c r="C2932" t="s">
        <v>6754</v>
      </c>
      <c r="D2932" t="s">
        <v>6755</v>
      </c>
      <c r="E2932" t="s">
        <v>45</v>
      </c>
      <c r="F2932" t="s">
        <v>6668</v>
      </c>
      <c r="G2932" t="s">
        <v>6706</v>
      </c>
      <c r="H2932" t="str">
        <f>'Huong dan giao do an'!$B$14</f>
        <v>5 SV (vai trò chính): 1 PM/Scrum Master kiêm Integration; 2 BA/PO; 3 UI-UX + Frontend; 4 Backend/API + DevOps; 5 Database + QA/Tester. Mỗi SV có nhiệm vụ phụ và minh chứng cá nhân.</v>
      </c>
      <c r="I2932" t="s">
        <v>29</v>
      </c>
      <c r="J2932" t="s">
        <v>6675</v>
      </c>
      <c r="K2932" t="str">
        <f>IF(I2932="Trung bình",'Huong dan giao do an'!$B$8,IF(I2932="Khá",'Huong dan giao do an'!$B$9,'Huong dan giao do an'!$B$10))</f>
        <v>Tối thiểu 5 actor; 14-18 use case; 10-15 bảng; 4 quy trình; tích hợp ngoài/realtime hoặc xử lý nâng cao; 3 báo cáo; &gt;=45 test case; logging, backup và deploy.</v>
      </c>
      <c r="L2932" t="str">
        <f>'Huong dan giao do an'!$B$31</f>
        <v>Bắt buộc: Charter/PMP; SRS + scope/WBS; Gantt/baseline; effort-cost budget; RACI/timesheet; quality-test-defect; communication/minutes; risk register; procurement; change log; closure/lessons learned.</v>
      </c>
      <c r="M2932" t="str">
        <f>'Huong dan giao do an'!$B$33</f>
        <v>Tuần 1: 07.09–13.09.2026; Tuần 2: 14.09–20.09.2026; Tuần 3: 21.09–27.09.2026; Tuần 4: 28.09–04.10.2026; Tuần 5: 05.10–11.10.2026; Tuần 6: 12.10–18.10.2026; Tuần 7: 19.10–25.10.2026; Tuần 8: 26.10–01.11.2026.</v>
      </c>
      <c r="N29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2" s="17" t="str">
        <f t="shared" si="45"/>
        <v>Còn trống</v>
      </c>
    </row>
    <row r="2933" spans="1:16" x14ac:dyDescent="0.3">
      <c r="A2933">
        <v>2932</v>
      </c>
      <c r="B2933" t="s">
        <v>6665</v>
      </c>
      <c r="C2933" t="s">
        <v>6756</v>
      </c>
      <c r="D2933" t="s">
        <v>6757</v>
      </c>
      <c r="E2933" t="s">
        <v>19</v>
      </c>
      <c r="F2933" t="s">
        <v>6673</v>
      </c>
      <c r="G2933" t="s">
        <v>6709</v>
      </c>
      <c r="H2933" t="str">
        <f>'Huong dan giao do an'!$B$14</f>
        <v>5 SV (vai trò chính): 1 PM/Scrum Master kiêm Integration; 2 BA/PO; 3 UI-UX + Frontend; 4 Backend/API + DevOps; 5 Database + QA/Tester. Mỗi SV có nhiệm vụ phụ và minh chứng cá nhân.</v>
      </c>
      <c r="I2933" t="s">
        <v>36</v>
      </c>
      <c r="J2933" t="s">
        <v>6680</v>
      </c>
      <c r="K2933" t="str">
        <f>IF(I2933="Trung bình",'Huong dan giao do an'!$B$8,IF(I2933="Khá",'Huong dan giao do an'!$B$9,'Huong dan giao do an'!$B$10))</f>
        <v>Tối thiểu 3 actor; 8-10 use case; 6-8 bảng dữ liệu; 2 quy trình lõi; đăng nhập/RBAC; 1 dashboard; 1 báo cáo; &gt;=25 test case; triển khai bản demo.</v>
      </c>
      <c r="L2933" t="str">
        <f>'Huong dan giao do an'!$B$31</f>
        <v>Bắt buộc: Charter/PMP; SRS + scope/WBS; Gantt/baseline; effort-cost budget; RACI/timesheet; quality-test-defect; communication/minutes; risk register; procurement; change log; closure/lessons learned.</v>
      </c>
      <c r="M2933" t="str">
        <f>'Huong dan giao do an'!$B$33</f>
        <v>Tuần 1: 07.09–13.09.2026; Tuần 2: 14.09–20.09.2026; Tuần 3: 21.09–27.09.2026; Tuần 4: 28.09–04.10.2026; Tuần 5: 05.10–11.10.2026; Tuần 6: 12.10–18.10.2026; Tuần 7: 19.10–25.10.2026; Tuần 8: 26.10–01.11.2026.</v>
      </c>
      <c r="N29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3" s="17" t="str">
        <f t="shared" si="45"/>
        <v>Còn trống</v>
      </c>
    </row>
    <row r="2934" spans="1:16" x14ac:dyDescent="0.3">
      <c r="A2934">
        <v>2933</v>
      </c>
      <c r="B2934" t="s">
        <v>6665</v>
      </c>
      <c r="C2934" t="s">
        <v>6758</v>
      </c>
      <c r="D2934" t="s">
        <v>6759</v>
      </c>
      <c r="E2934" t="s">
        <v>26</v>
      </c>
      <c r="F2934" t="s">
        <v>6678</v>
      </c>
      <c r="G2934" t="s">
        <v>6712</v>
      </c>
      <c r="H2934" t="str">
        <f>'Huong dan giao do an'!$B$14</f>
        <v>5 SV (vai trò chính): 1 PM/Scrum Master kiêm Integration; 2 BA/PO; 3 UI-UX + Frontend; 4 Backend/API + DevOps; 5 Database + QA/Tester. Mỗi SV có nhiệm vụ phụ và minh chứng cá nhân.</v>
      </c>
      <c r="I2934" t="s">
        <v>22</v>
      </c>
      <c r="J2934" t="s">
        <v>6670</v>
      </c>
      <c r="K2934" t="str">
        <f>IF(I2934="Trung bình",'Huong dan giao do an'!$B$8,IF(I2934="Khá",'Huong dan giao do an'!$B$9,'Huong dan giao do an'!$B$10))</f>
        <v>Tối thiểu 4 actor; 10-14 use case; 8-12 bảng; 3 quy trình lõi; phân quyền chi tiết; 2 báo cáo; tích hợp 1 dịch vụ; &gt;=35 test case; CI/CD hoặc deploy cloud.</v>
      </c>
      <c r="L2934" t="str">
        <f>'Huong dan giao do an'!$B$31</f>
        <v>Bắt buộc: Charter/PMP; SRS + scope/WBS; Gantt/baseline; effort-cost budget; RACI/timesheet; quality-test-defect; communication/minutes; risk register; procurement; change log; closure/lessons learned.</v>
      </c>
      <c r="M2934" t="str">
        <f>'Huong dan giao do an'!$B$33</f>
        <v>Tuần 1: 07.09–13.09.2026; Tuần 2: 14.09–20.09.2026; Tuần 3: 21.09–27.09.2026; Tuần 4: 28.09–04.10.2026; Tuần 5: 05.10–11.10.2026; Tuần 6: 12.10–18.10.2026; Tuần 7: 19.10–25.10.2026; Tuần 8: 26.10–01.11.2026.</v>
      </c>
      <c r="N29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4" s="17" t="str">
        <f t="shared" si="45"/>
        <v>Còn trống</v>
      </c>
    </row>
    <row r="2935" spans="1:16" x14ac:dyDescent="0.3">
      <c r="A2935">
        <v>2934</v>
      </c>
      <c r="B2935" t="s">
        <v>6665</v>
      </c>
      <c r="C2935" t="s">
        <v>6760</v>
      </c>
      <c r="D2935" t="s">
        <v>6761</v>
      </c>
      <c r="E2935" t="s">
        <v>33</v>
      </c>
      <c r="F2935" t="s">
        <v>6683</v>
      </c>
      <c r="G2935" t="s">
        <v>6715</v>
      </c>
      <c r="H2935" t="str">
        <f>'Huong dan giao do an'!$B$14</f>
        <v>5 SV (vai trò chính): 1 PM/Scrum Master kiêm Integration; 2 BA/PO; 3 UI-UX + Frontend; 4 Backend/API + DevOps; 5 Database + QA/Tester. Mỗi SV có nhiệm vụ phụ và minh chứng cá nhân.</v>
      </c>
      <c r="I2935" t="s">
        <v>29</v>
      </c>
      <c r="J2935" t="s">
        <v>6675</v>
      </c>
      <c r="K2935" t="str">
        <f>IF(I2935="Trung bình",'Huong dan giao do an'!$B$8,IF(I2935="Khá",'Huong dan giao do an'!$B$9,'Huong dan giao do an'!$B$10))</f>
        <v>Tối thiểu 5 actor; 14-18 use case; 10-15 bảng; 4 quy trình; tích hợp ngoài/realtime hoặc xử lý nâng cao; 3 báo cáo; &gt;=45 test case; logging, backup và deploy.</v>
      </c>
      <c r="L2935" t="str">
        <f>'Huong dan giao do an'!$B$31</f>
        <v>Bắt buộc: Charter/PMP; SRS + scope/WBS; Gantt/baseline; effort-cost budget; RACI/timesheet; quality-test-defect; communication/minutes; risk register; procurement; change log; closure/lessons learned.</v>
      </c>
      <c r="M2935" t="str">
        <f>'Huong dan giao do an'!$B$33</f>
        <v>Tuần 1: 07.09–13.09.2026; Tuần 2: 14.09–20.09.2026; Tuần 3: 21.09–27.09.2026; Tuần 4: 28.09–04.10.2026; Tuần 5: 05.10–11.10.2026; Tuần 6: 12.10–18.10.2026; Tuần 7: 19.10–25.10.2026; Tuần 8: 26.10–01.11.2026.</v>
      </c>
      <c r="N29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5" s="17" t="str">
        <f t="shared" si="45"/>
        <v>Còn trống</v>
      </c>
    </row>
    <row r="2936" spans="1:16" x14ac:dyDescent="0.3">
      <c r="A2936">
        <v>2935</v>
      </c>
      <c r="B2936" t="s">
        <v>6665</v>
      </c>
      <c r="C2936" t="s">
        <v>6762</v>
      </c>
      <c r="D2936" t="s">
        <v>6763</v>
      </c>
      <c r="E2936" t="s">
        <v>40</v>
      </c>
      <c r="F2936" t="s">
        <v>6687</v>
      </c>
      <c r="G2936" t="s">
        <v>6718</v>
      </c>
      <c r="H2936" t="str">
        <f>'Huong dan giao do an'!$B$14</f>
        <v>5 SV (vai trò chính): 1 PM/Scrum Master kiêm Integration; 2 BA/PO; 3 UI-UX + Frontend; 4 Backend/API + DevOps; 5 Database + QA/Tester. Mỗi SV có nhiệm vụ phụ và minh chứng cá nhân.</v>
      </c>
      <c r="I2936" t="s">
        <v>36</v>
      </c>
      <c r="J2936" t="s">
        <v>6680</v>
      </c>
      <c r="K2936" t="str">
        <f>IF(I2936="Trung bình",'Huong dan giao do an'!$B$8,IF(I2936="Khá",'Huong dan giao do an'!$B$9,'Huong dan giao do an'!$B$10))</f>
        <v>Tối thiểu 3 actor; 8-10 use case; 6-8 bảng dữ liệu; 2 quy trình lõi; đăng nhập/RBAC; 1 dashboard; 1 báo cáo; &gt;=25 test case; triển khai bản demo.</v>
      </c>
      <c r="L2936" t="str">
        <f>'Huong dan giao do an'!$B$31</f>
        <v>Bắt buộc: Charter/PMP; SRS + scope/WBS; Gantt/baseline; effort-cost budget; RACI/timesheet; quality-test-defect; communication/minutes; risk register; procurement; change log; closure/lessons learned.</v>
      </c>
      <c r="M2936" t="str">
        <f>'Huong dan giao do an'!$B$33</f>
        <v>Tuần 1: 07.09–13.09.2026; Tuần 2: 14.09–20.09.2026; Tuần 3: 21.09–27.09.2026; Tuần 4: 28.09–04.10.2026; Tuần 5: 05.10–11.10.2026; Tuần 6: 12.10–18.10.2026; Tuần 7: 19.10–25.10.2026; Tuần 8: 26.10–01.11.2026.</v>
      </c>
      <c r="N29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6" s="17" t="str">
        <f t="shared" si="45"/>
        <v>Còn trống</v>
      </c>
    </row>
    <row r="2937" spans="1:16" x14ac:dyDescent="0.3">
      <c r="A2937">
        <v>2936</v>
      </c>
      <c r="B2937" t="s">
        <v>6665</v>
      </c>
      <c r="C2937" t="s">
        <v>6764</v>
      </c>
      <c r="D2937" t="s">
        <v>6765</v>
      </c>
      <c r="E2937" t="s">
        <v>45</v>
      </c>
      <c r="F2937" t="s">
        <v>6668</v>
      </c>
      <c r="G2937" t="s">
        <v>6721</v>
      </c>
      <c r="H2937" t="str">
        <f>'Huong dan giao do an'!$B$14</f>
        <v>5 SV (vai trò chính): 1 PM/Scrum Master kiêm Integration; 2 BA/PO; 3 UI-UX + Frontend; 4 Backend/API + DevOps; 5 Database + QA/Tester. Mỗi SV có nhiệm vụ phụ và minh chứng cá nhân.</v>
      </c>
      <c r="I2937" t="s">
        <v>22</v>
      </c>
      <c r="J2937" t="s">
        <v>6670</v>
      </c>
      <c r="K2937" t="str">
        <f>IF(I2937="Trung bình",'Huong dan giao do an'!$B$8,IF(I2937="Khá",'Huong dan giao do an'!$B$9,'Huong dan giao do an'!$B$10))</f>
        <v>Tối thiểu 4 actor; 10-14 use case; 8-12 bảng; 3 quy trình lõi; phân quyền chi tiết; 2 báo cáo; tích hợp 1 dịch vụ; &gt;=35 test case; CI/CD hoặc deploy cloud.</v>
      </c>
      <c r="L2937" t="str">
        <f>'Huong dan giao do an'!$B$31</f>
        <v>Bắt buộc: Charter/PMP; SRS + scope/WBS; Gantt/baseline; effort-cost budget; RACI/timesheet; quality-test-defect; communication/minutes; risk register; procurement; change log; closure/lessons learned.</v>
      </c>
      <c r="M2937" t="str">
        <f>'Huong dan giao do an'!$B$33</f>
        <v>Tuần 1: 07.09–13.09.2026; Tuần 2: 14.09–20.09.2026; Tuần 3: 21.09–27.09.2026; Tuần 4: 28.09–04.10.2026; Tuần 5: 05.10–11.10.2026; Tuần 6: 12.10–18.10.2026; Tuần 7: 19.10–25.10.2026; Tuần 8: 26.10–01.11.2026.</v>
      </c>
      <c r="N29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7" s="17" t="str">
        <f t="shared" si="45"/>
        <v>Còn trống</v>
      </c>
    </row>
    <row r="2938" spans="1:16" x14ac:dyDescent="0.3">
      <c r="A2938">
        <v>2937</v>
      </c>
      <c r="B2938" t="s">
        <v>6665</v>
      </c>
      <c r="C2938" t="s">
        <v>6766</v>
      </c>
      <c r="D2938" t="s">
        <v>6767</v>
      </c>
      <c r="E2938" t="s">
        <v>19</v>
      </c>
      <c r="F2938" t="s">
        <v>6673</v>
      </c>
      <c r="G2938" t="s">
        <v>6724</v>
      </c>
      <c r="H2938" t="str">
        <f>'Huong dan giao do an'!$B$14</f>
        <v>5 SV (vai trò chính): 1 PM/Scrum Master kiêm Integration; 2 BA/PO; 3 UI-UX + Frontend; 4 Backend/API + DevOps; 5 Database + QA/Tester. Mỗi SV có nhiệm vụ phụ và minh chứng cá nhân.</v>
      </c>
      <c r="I2938" t="s">
        <v>29</v>
      </c>
      <c r="J2938" t="s">
        <v>6675</v>
      </c>
      <c r="K2938" t="str">
        <f>IF(I2938="Trung bình",'Huong dan giao do an'!$B$8,IF(I2938="Khá",'Huong dan giao do an'!$B$9,'Huong dan giao do an'!$B$10))</f>
        <v>Tối thiểu 5 actor; 14-18 use case; 10-15 bảng; 4 quy trình; tích hợp ngoài/realtime hoặc xử lý nâng cao; 3 báo cáo; &gt;=45 test case; logging, backup và deploy.</v>
      </c>
      <c r="L2938" t="str">
        <f>'Huong dan giao do an'!$B$31</f>
        <v>Bắt buộc: Charter/PMP; SRS + scope/WBS; Gantt/baseline; effort-cost budget; RACI/timesheet; quality-test-defect; communication/minutes; risk register; procurement; change log; closure/lessons learned.</v>
      </c>
      <c r="M2938" t="str">
        <f>'Huong dan giao do an'!$B$33</f>
        <v>Tuần 1: 07.09–13.09.2026; Tuần 2: 14.09–20.09.2026; Tuần 3: 21.09–27.09.2026; Tuần 4: 28.09–04.10.2026; Tuần 5: 05.10–11.10.2026; Tuần 6: 12.10–18.10.2026; Tuần 7: 19.10–25.10.2026; Tuần 8: 26.10–01.11.2026.</v>
      </c>
      <c r="N29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8" s="17" t="str">
        <f t="shared" si="45"/>
        <v>Còn trống</v>
      </c>
    </row>
    <row r="2939" spans="1:16" x14ac:dyDescent="0.3">
      <c r="A2939">
        <v>2938</v>
      </c>
      <c r="B2939" t="s">
        <v>6665</v>
      </c>
      <c r="C2939" t="s">
        <v>6768</v>
      </c>
      <c r="D2939" t="s">
        <v>6769</v>
      </c>
      <c r="E2939" t="s">
        <v>26</v>
      </c>
      <c r="F2939" t="s">
        <v>6678</v>
      </c>
      <c r="G2939" t="s">
        <v>6727</v>
      </c>
      <c r="H2939" t="str">
        <f>'Huong dan giao do an'!$B$14</f>
        <v>5 SV (vai trò chính): 1 PM/Scrum Master kiêm Integration; 2 BA/PO; 3 UI-UX + Frontend; 4 Backend/API + DevOps; 5 Database + QA/Tester. Mỗi SV có nhiệm vụ phụ và minh chứng cá nhân.</v>
      </c>
      <c r="I2939" t="s">
        <v>36</v>
      </c>
      <c r="J2939" t="s">
        <v>6680</v>
      </c>
      <c r="K2939" t="str">
        <f>IF(I2939="Trung bình",'Huong dan giao do an'!$B$8,IF(I2939="Khá",'Huong dan giao do an'!$B$9,'Huong dan giao do an'!$B$10))</f>
        <v>Tối thiểu 3 actor; 8-10 use case; 6-8 bảng dữ liệu; 2 quy trình lõi; đăng nhập/RBAC; 1 dashboard; 1 báo cáo; &gt;=25 test case; triển khai bản demo.</v>
      </c>
      <c r="L2939" t="str">
        <f>'Huong dan giao do an'!$B$31</f>
        <v>Bắt buộc: Charter/PMP; SRS + scope/WBS; Gantt/baseline; effort-cost budget; RACI/timesheet; quality-test-defect; communication/minutes; risk register; procurement; change log; closure/lessons learned.</v>
      </c>
      <c r="M2939" t="str">
        <f>'Huong dan giao do an'!$B$33</f>
        <v>Tuần 1: 07.09–13.09.2026; Tuần 2: 14.09–20.09.2026; Tuần 3: 21.09–27.09.2026; Tuần 4: 28.09–04.10.2026; Tuần 5: 05.10–11.10.2026; Tuần 6: 12.10–18.10.2026; Tuần 7: 19.10–25.10.2026; Tuần 8: 26.10–01.11.2026.</v>
      </c>
      <c r="N29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39" s="17" t="str">
        <f t="shared" si="45"/>
        <v>Còn trống</v>
      </c>
    </row>
    <row r="2940" spans="1:16" x14ac:dyDescent="0.3">
      <c r="A2940">
        <v>2939</v>
      </c>
      <c r="B2940" t="s">
        <v>6665</v>
      </c>
      <c r="C2940" t="s">
        <v>6770</v>
      </c>
      <c r="D2940" t="s">
        <v>6771</v>
      </c>
      <c r="E2940" t="s">
        <v>33</v>
      </c>
      <c r="F2940" t="s">
        <v>6683</v>
      </c>
      <c r="G2940" t="s">
        <v>6730</v>
      </c>
      <c r="H2940" t="str">
        <f>'Huong dan giao do an'!$B$14</f>
        <v>5 SV (vai trò chính): 1 PM/Scrum Master kiêm Integration; 2 BA/PO; 3 UI-UX + Frontend; 4 Backend/API + DevOps; 5 Database + QA/Tester. Mỗi SV có nhiệm vụ phụ và minh chứng cá nhân.</v>
      </c>
      <c r="I2940" t="s">
        <v>22</v>
      </c>
      <c r="J2940" t="s">
        <v>6670</v>
      </c>
      <c r="K2940" t="str">
        <f>IF(I2940="Trung bình",'Huong dan giao do an'!$B$8,IF(I2940="Khá",'Huong dan giao do an'!$B$9,'Huong dan giao do an'!$B$10))</f>
        <v>Tối thiểu 4 actor; 10-14 use case; 8-12 bảng; 3 quy trình lõi; phân quyền chi tiết; 2 báo cáo; tích hợp 1 dịch vụ; &gt;=35 test case; CI/CD hoặc deploy cloud.</v>
      </c>
      <c r="L2940" t="str">
        <f>'Huong dan giao do an'!$B$31</f>
        <v>Bắt buộc: Charter/PMP; SRS + scope/WBS; Gantt/baseline; effort-cost budget; RACI/timesheet; quality-test-defect; communication/minutes; risk register; procurement; change log; closure/lessons learned.</v>
      </c>
      <c r="M2940" t="str">
        <f>'Huong dan giao do an'!$B$33</f>
        <v>Tuần 1: 07.09–13.09.2026; Tuần 2: 14.09–20.09.2026; Tuần 3: 21.09–27.09.2026; Tuần 4: 28.09–04.10.2026; Tuần 5: 05.10–11.10.2026; Tuần 6: 12.10–18.10.2026; Tuần 7: 19.10–25.10.2026; Tuần 8: 26.10–01.11.2026.</v>
      </c>
      <c r="N29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0" s="17" t="str">
        <f t="shared" si="45"/>
        <v>Còn trống</v>
      </c>
    </row>
    <row r="2941" spans="1:16" x14ac:dyDescent="0.3">
      <c r="A2941">
        <v>2940</v>
      </c>
      <c r="B2941" t="s">
        <v>6665</v>
      </c>
      <c r="C2941" t="s">
        <v>6772</v>
      </c>
      <c r="D2941" t="s">
        <v>6773</v>
      </c>
      <c r="E2941" t="s">
        <v>40</v>
      </c>
      <c r="F2941" t="s">
        <v>6687</v>
      </c>
      <c r="G2941" t="s">
        <v>6733</v>
      </c>
      <c r="H2941" t="str">
        <f>'Huong dan giao do an'!$B$14</f>
        <v>5 SV (vai trò chính): 1 PM/Scrum Master kiêm Integration; 2 BA/PO; 3 UI-UX + Frontend; 4 Backend/API + DevOps; 5 Database + QA/Tester. Mỗi SV có nhiệm vụ phụ và minh chứng cá nhân.</v>
      </c>
      <c r="I2941" t="s">
        <v>29</v>
      </c>
      <c r="J2941" t="s">
        <v>6675</v>
      </c>
      <c r="K2941" t="str">
        <f>IF(I2941="Trung bình",'Huong dan giao do an'!$B$8,IF(I2941="Khá",'Huong dan giao do an'!$B$9,'Huong dan giao do an'!$B$10))</f>
        <v>Tối thiểu 5 actor; 14-18 use case; 10-15 bảng; 4 quy trình; tích hợp ngoài/realtime hoặc xử lý nâng cao; 3 báo cáo; &gt;=45 test case; logging, backup và deploy.</v>
      </c>
      <c r="L2941" t="str">
        <f>'Huong dan giao do an'!$B$31</f>
        <v>Bắt buộc: Charter/PMP; SRS + scope/WBS; Gantt/baseline; effort-cost budget; RACI/timesheet; quality-test-defect; communication/minutes; risk register; procurement; change log; closure/lessons learned.</v>
      </c>
      <c r="M2941" t="str">
        <f>'Huong dan giao do an'!$B$33</f>
        <v>Tuần 1: 07.09–13.09.2026; Tuần 2: 14.09–20.09.2026; Tuần 3: 21.09–27.09.2026; Tuần 4: 28.09–04.10.2026; Tuần 5: 05.10–11.10.2026; Tuần 6: 12.10–18.10.2026; Tuần 7: 19.10–25.10.2026; Tuần 8: 26.10–01.11.2026.</v>
      </c>
      <c r="N29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1" s="17" t="str">
        <f t="shared" si="45"/>
        <v>Còn trống</v>
      </c>
    </row>
    <row r="2942" spans="1:16" x14ac:dyDescent="0.3">
      <c r="A2942">
        <v>2941</v>
      </c>
      <c r="B2942" t="s">
        <v>6665</v>
      </c>
      <c r="C2942" t="s">
        <v>6774</v>
      </c>
      <c r="D2942" t="s">
        <v>6775</v>
      </c>
      <c r="E2942" t="s">
        <v>45</v>
      </c>
      <c r="F2942" t="s">
        <v>6668</v>
      </c>
      <c r="G2942" t="s">
        <v>6669</v>
      </c>
      <c r="H2942" t="str">
        <f>'Huong dan giao do an'!$B$14</f>
        <v>5 SV (vai trò chính): 1 PM/Scrum Master kiêm Integration; 2 BA/PO; 3 UI-UX + Frontend; 4 Backend/API + DevOps; 5 Database + QA/Tester. Mỗi SV có nhiệm vụ phụ và minh chứng cá nhân.</v>
      </c>
      <c r="I2942" t="s">
        <v>22</v>
      </c>
      <c r="J2942" t="s">
        <v>6670</v>
      </c>
      <c r="K2942" t="str">
        <f>IF(I2942="Trung bình",'Huong dan giao do an'!$B$8,IF(I2942="Khá",'Huong dan giao do an'!$B$9,'Huong dan giao do an'!$B$10))</f>
        <v>Tối thiểu 4 actor; 10-14 use case; 8-12 bảng; 3 quy trình lõi; phân quyền chi tiết; 2 báo cáo; tích hợp 1 dịch vụ; &gt;=35 test case; CI/CD hoặc deploy cloud.</v>
      </c>
      <c r="L2942" t="str">
        <f>'Huong dan giao do an'!$B$31</f>
        <v>Bắt buộc: Charter/PMP; SRS + scope/WBS; Gantt/baseline; effort-cost budget; RACI/timesheet; quality-test-defect; communication/minutes; risk register; procurement; change log; closure/lessons learned.</v>
      </c>
      <c r="M2942" t="str">
        <f>'Huong dan giao do an'!$B$33</f>
        <v>Tuần 1: 07.09–13.09.2026; Tuần 2: 14.09–20.09.2026; Tuần 3: 21.09–27.09.2026; Tuần 4: 28.09–04.10.2026; Tuần 5: 05.10–11.10.2026; Tuần 6: 12.10–18.10.2026; Tuần 7: 19.10–25.10.2026; Tuần 8: 26.10–01.11.2026.</v>
      </c>
      <c r="N29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2" s="17" t="str">
        <f t="shared" si="45"/>
        <v>Còn trống</v>
      </c>
    </row>
    <row r="2943" spans="1:16" x14ac:dyDescent="0.3">
      <c r="A2943">
        <v>2942</v>
      </c>
      <c r="B2943" t="s">
        <v>6665</v>
      </c>
      <c r="C2943" t="s">
        <v>6776</v>
      </c>
      <c r="D2943" t="s">
        <v>6777</v>
      </c>
      <c r="E2943" t="s">
        <v>19</v>
      </c>
      <c r="F2943" t="s">
        <v>6673</v>
      </c>
      <c r="G2943" t="s">
        <v>6674</v>
      </c>
      <c r="H2943" t="str">
        <f>'Huong dan giao do an'!$B$14</f>
        <v>5 SV (vai trò chính): 1 PM/Scrum Master kiêm Integration; 2 BA/PO; 3 UI-UX + Frontend; 4 Backend/API + DevOps; 5 Database + QA/Tester. Mỗi SV có nhiệm vụ phụ và minh chứng cá nhân.</v>
      </c>
      <c r="I2943" t="s">
        <v>29</v>
      </c>
      <c r="J2943" t="s">
        <v>6675</v>
      </c>
      <c r="K2943" t="str">
        <f>IF(I2943="Trung bình",'Huong dan giao do an'!$B$8,IF(I2943="Khá",'Huong dan giao do an'!$B$9,'Huong dan giao do an'!$B$10))</f>
        <v>Tối thiểu 5 actor; 14-18 use case; 10-15 bảng; 4 quy trình; tích hợp ngoài/realtime hoặc xử lý nâng cao; 3 báo cáo; &gt;=45 test case; logging, backup và deploy.</v>
      </c>
      <c r="L2943" t="str">
        <f>'Huong dan giao do an'!$B$31</f>
        <v>Bắt buộc: Charter/PMP; SRS + scope/WBS; Gantt/baseline; effort-cost budget; RACI/timesheet; quality-test-defect; communication/minutes; risk register; procurement; change log; closure/lessons learned.</v>
      </c>
      <c r="M2943" t="str">
        <f>'Huong dan giao do an'!$B$33</f>
        <v>Tuần 1: 07.09–13.09.2026; Tuần 2: 14.09–20.09.2026; Tuần 3: 21.09–27.09.2026; Tuần 4: 28.09–04.10.2026; Tuần 5: 05.10–11.10.2026; Tuần 6: 12.10–18.10.2026; Tuần 7: 19.10–25.10.2026; Tuần 8: 26.10–01.11.2026.</v>
      </c>
      <c r="N29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3" s="17" t="str">
        <f t="shared" si="45"/>
        <v>Còn trống</v>
      </c>
    </row>
    <row r="2944" spans="1:16" x14ac:dyDescent="0.3">
      <c r="A2944">
        <v>2943</v>
      </c>
      <c r="B2944" t="s">
        <v>6665</v>
      </c>
      <c r="C2944" t="s">
        <v>6778</v>
      </c>
      <c r="D2944" t="s">
        <v>6779</v>
      </c>
      <c r="E2944" t="s">
        <v>26</v>
      </c>
      <c r="F2944" t="s">
        <v>6678</v>
      </c>
      <c r="G2944" t="s">
        <v>6679</v>
      </c>
      <c r="H2944" t="str">
        <f>'Huong dan giao do an'!$B$14</f>
        <v>5 SV (vai trò chính): 1 PM/Scrum Master kiêm Integration; 2 BA/PO; 3 UI-UX + Frontend; 4 Backend/API + DevOps; 5 Database + QA/Tester. Mỗi SV có nhiệm vụ phụ và minh chứng cá nhân.</v>
      </c>
      <c r="I2944" t="s">
        <v>36</v>
      </c>
      <c r="J2944" t="s">
        <v>6680</v>
      </c>
      <c r="K2944" t="str">
        <f>IF(I2944="Trung bình",'Huong dan giao do an'!$B$8,IF(I2944="Khá",'Huong dan giao do an'!$B$9,'Huong dan giao do an'!$B$10))</f>
        <v>Tối thiểu 3 actor; 8-10 use case; 6-8 bảng dữ liệu; 2 quy trình lõi; đăng nhập/RBAC; 1 dashboard; 1 báo cáo; &gt;=25 test case; triển khai bản demo.</v>
      </c>
      <c r="L2944" t="str">
        <f>'Huong dan giao do an'!$B$31</f>
        <v>Bắt buộc: Charter/PMP; SRS + scope/WBS; Gantt/baseline; effort-cost budget; RACI/timesheet; quality-test-defect; communication/minutes; risk register; procurement; change log; closure/lessons learned.</v>
      </c>
      <c r="M2944" t="str">
        <f>'Huong dan giao do an'!$B$33</f>
        <v>Tuần 1: 07.09–13.09.2026; Tuần 2: 14.09–20.09.2026; Tuần 3: 21.09–27.09.2026; Tuần 4: 28.09–04.10.2026; Tuần 5: 05.10–11.10.2026; Tuần 6: 12.10–18.10.2026; Tuần 7: 19.10–25.10.2026; Tuần 8: 26.10–01.11.2026.</v>
      </c>
      <c r="N29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4" s="17" t="str">
        <f t="shared" si="45"/>
        <v>Còn trống</v>
      </c>
    </row>
    <row r="2945" spans="1:16" x14ac:dyDescent="0.3">
      <c r="A2945">
        <v>2944</v>
      </c>
      <c r="B2945" t="s">
        <v>6665</v>
      </c>
      <c r="C2945" t="s">
        <v>6780</v>
      </c>
      <c r="D2945" t="s">
        <v>6781</v>
      </c>
      <c r="E2945" t="s">
        <v>33</v>
      </c>
      <c r="F2945" t="s">
        <v>6683</v>
      </c>
      <c r="G2945" t="s">
        <v>6684</v>
      </c>
      <c r="H2945" t="str">
        <f>'Huong dan giao do an'!$B$14</f>
        <v>5 SV (vai trò chính): 1 PM/Scrum Master kiêm Integration; 2 BA/PO; 3 UI-UX + Frontend; 4 Backend/API + DevOps; 5 Database + QA/Tester. Mỗi SV có nhiệm vụ phụ và minh chứng cá nhân.</v>
      </c>
      <c r="I2945" t="s">
        <v>22</v>
      </c>
      <c r="J2945" t="s">
        <v>6670</v>
      </c>
      <c r="K2945" t="str">
        <f>IF(I2945="Trung bình",'Huong dan giao do an'!$B$8,IF(I2945="Khá",'Huong dan giao do an'!$B$9,'Huong dan giao do an'!$B$10))</f>
        <v>Tối thiểu 4 actor; 10-14 use case; 8-12 bảng; 3 quy trình lõi; phân quyền chi tiết; 2 báo cáo; tích hợp 1 dịch vụ; &gt;=35 test case; CI/CD hoặc deploy cloud.</v>
      </c>
      <c r="L2945" t="str">
        <f>'Huong dan giao do an'!$B$31</f>
        <v>Bắt buộc: Charter/PMP; SRS + scope/WBS; Gantt/baseline; effort-cost budget; RACI/timesheet; quality-test-defect; communication/minutes; risk register; procurement; change log; closure/lessons learned.</v>
      </c>
      <c r="M2945" t="str">
        <f>'Huong dan giao do an'!$B$33</f>
        <v>Tuần 1: 07.09–13.09.2026; Tuần 2: 14.09–20.09.2026; Tuần 3: 21.09–27.09.2026; Tuần 4: 28.09–04.10.2026; Tuần 5: 05.10–11.10.2026; Tuần 6: 12.10–18.10.2026; Tuần 7: 19.10–25.10.2026; Tuần 8: 26.10–01.11.2026.</v>
      </c>
      <c r="N29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5" s="17" t="str">
        <f t="shared" si="45"/>
        <v>Còn trống</v>
      </c>
    </row>
    <row r="2946" spans="1:16" x14ac:dyDescent="0.3">
      <c r="A2946">
        <v>2945</v>
      </c>
      <c r="B2946" t="s">
        <v>6665</v>
      </c>
      <c r="C2946" t="s">
        <v>6782</v>
      </c>
      <c r="D2946" t="s">
        <v>6783</v>
      </c>
      <c r="E2946" t="s">
        <v>40</v>
      </c>
      <c r="F2946" t="s">
        <v>6687</v>
      </c>
      <c r="G2946" t="s">
        <v>6688</v>
      </c>
      <c r="H2946" t="str">
        <f>'Huong dan giao do an'!$B$14</f>
        <v>5 SV (vai trò chính): 1 PM/Scrum Master kiêm Integration; 2 BA/PO; 3 UI-UX + Frontend; 4 Backend/API + DevOps; 5 Database + QA/Tester. Mỗi SV có nhiệm vụ phụ và minh chứng cá nhân.</v>
      </c>
      <c r="I2946" t="s">
        <v>29</v>
      </c>
      <c r="J2946" t="s">
        <v>6675</v>
      </c>
      <c r="K2946" t="str">
        <f>IF(I2946="Trung bình",'Huong dan giao do an'!$B$8,IF(I2946="Khá",'Huong dan giao do an'!$B$9,'Huong dan giao do an'!$B$10))</f>
        <v>Tối thiểu 5 actor; 14-18 use case; 10-15 bảng; 4 quy trình; tích hợp ngoài/realtime hoặc xử lý nâng cao; 3 báo cáo; &gt;=45 test case; logging, backup và deploy.</v>
      </c>
      <c r="L2946" t="str">
        <f>'Huong dan giao do an'!$B$31</f>
        <v>Bắt buộc: Charter/PMP; SRS + scope/WBS; Gantt/baseline; effort-cost budget; RACI/timesheet; quality-test-defect; communication/minutes; risk register; procurement; change log; closure/lessons learned.</v>
      </c>
      <c r="M2946" t="str">
        <f>'Huong dan giao do an'!$B$33</f>
        <v>Tuần 1: 07.09–13.09.2026; Tuần 2: 14.09–20.09.2026; Tuần 3: 21.09–27.09.2026; Tuần 4: 28.09–04.10.2026; Tuần 5: 05.10–11.10.2026; Tuần 6: 12.10–18.10.2026; Tuần 7: 19.10–25.10.2026; Tuần 8: 26.10–01.11.2026.</v>
      </c>
      <c r="N29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6" s="17" t="str">
        <f t="shared" si="45"/>
        <v>Còn trống</v>
      </c>
    </row>
    <row r="2947" spans="1:16" x14ac:dyDescent="0.3">
      <c r="A2947">
        <v>2946</v>
      </c>
      <c r="B2947" t="s">
        <v>6665</v>
      </c>
      <c r="C2947" t="s">
        <v>6784</v>
      </c>
      <c r="D2947" t="s">
        <v>6785</v>
      </c>
      <c r="E2947" t="s">
        <v>45</v>
      </c>
      <c r="F2947" t="s">
        <v>6668</v>
      </c>
      <c r="G2947" t="s">
        <v>6691</v>
      </c>
      <c r="H2947" t="str">
        <f>'Huong dan giao do an'!$B$14</f>
        <v>5 SV (vai trò chính): 1 PM/Scrum Master kiêm Integration; 2 BA/PO; 3 UI-UX + Frontend; 4 Backend/API + DevOps; 5 Database + QA/Tester. Mỗi SV có nhiệm vụ phụ và minh chứng cá nhân.</v>
      </c>
      <c r="I2947" t="s">
        <v>36</v>
      </c>
      <c r="J2947" t="s">
        <v>6680</v>
      </c>
      <c r="K2947" t="str">
        <f>IF(I2947="Trung bình",'Huong dan giao do an'!$B$8,IF(I2947="Khá",'Huong dan giao do an'!$B$9,'Huong dan giao do an'!$B$10))</f>
        <v>Tối thiểu 3 actor; 8-10 use case; 6-8 bảng dữ liệu; 2 quy trình lõi; đăng nhập/RBAC; 1 dashboard; 1 báo cáo; &gt;=25 test case; triển khai bản demo.</v>
      </c>
      <c r="L2947" t="str">
        <f>'Huong dan giao do an'!$B$31</f>
        <v>Bắt buộc: Charter/PMP; SRS + scope/WBS; Gantt/baseline; effort-cost budget; RACI/timesheet; quality-test-defect; communication/minutes; risk register; procurement; change log; closure/lessons learned.</v>
      </c>
      <c r="M2947" t="str">
        <f>'Huong dan giao do an'!$B$33</f>
        <v>Tuần 1: 07.09–13.09.2026; Tuần 2: 14.09–20.09.2026; Tuần 3: 21.09–27.09.2026; Tuần 4: 28.09–04.10.2026; Tuần 5: 05.10–11.10.2026; Tuần 6: 12.10–18.10.2026; Tuần 7: 19.10–25.10.2026; Tuần 8: 26.10–01.11.2026.</v>
      </c>
      <c r="N29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7" s="17" t="str">
        <f t="shared" ref="P2947:P3010" si="46">IF(O2947="","Còn trống","Đã đăng ký")</f>
        <v>Còn trống</v>
      </c>
    </row>
    <row r="2948" spans="1:16" x14ac:dyDescent="0.3">
      <c r="A2948">
        <v>2947</v>
      </c>
      <c r="B2948" t="s">
        <v>6665</v>
      </c>
      <c r="C2948" t="s">
        <v>6786</v>
      </c>
      <c r="D2948" t="s">
        <v>6787</v>
      </c>
      <c r="E2948" t="s">
        <v>19</v>
      </c>
      <c r="F2948" t="s">
        <v>6673</v>
      </c>
      <c r="G2948" t="s">
        <v>6694</v>
      </c>
      <c r="H2948" t="str">
        <f>'Huong dan giao do an'!$B$14</f>
        <v>5 SV (vai trò chính): 1 PM/Scrum Master kiêm Integration; 2 BA/PO; 3 UI-UX + Frontend; 4 Backend/API + DevOps; 5 Database + QA/Tester. Mỗi SV có nhiệm vụ phụ và minh chứng cá nhân.</v>
      </c>
      <c r="I2948" t="s">
        <v>22</v>
      </c>
      <c r="J2948" t="s">
        <v>6670</v>
      </c>
      <c r="K2948" t="str">
        <f>IF(I2948="Trung bình",'Huong dan giao do an'!$B$8,IF(I2948="Khá",'Huong dan giao do an'!$B$9,'Huong dan giao do an'!$B$10))</f>
        <v>Tối thiểu 4 actor; 10-14 use case; 8-12 bảng; 3 quy trình lõi; phân quyền chi tiết; 2 báo cáo; tích hợp 1 dịch vụ; &gt;=35 test case; CI/CD hoặc deploy cloud.</v>
      </c>
      <c r="L2948" t="str">
        <f>'Huong dan giao do an'!$B$31</f>
        <v>Bắt buộc: Charter/PMP; SRS + scope/WBS; Gantt/baseline; effort-cost budget; RACI/timesheet; quality-test-defect; communication/minutes; risk register; procurement; change log; closure/lessons learned.</v>
      </c>
      <c r="M2948" t="str">
        <f>'Huong dan giao do an'!$B$33</f>
        <v>Tuần 1: 07.09–13.09.2026; Tuần 2: 14.09–20.09.2026; Tuần 3: 21.09–27.09.2026; Tuần 4: 28.09–04.10.2026; Tuần 5: 05.10–11.10.2026; Tuần 6: 12.10–18.10.2026; Tuần 7: 19.10–25.10.2026; Tuần 8: 26.10–01.11.2026.</v>
      </c>
      <c r="N29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8" s="17" t="str">
        <f t="shared" si="46"/>
        <v>Còn trống</v>
      </c>
    </row>
    <row r="2949" spans="1:16" x14ac:dyDescent="0.3">
      <c r="A2949">
        <v>2948</v>
      </c>
      <c r="B2949" t="s">
        <v>6665</v>
      </c>
      <c r="C2949" t="s">
        <v>6788</v>
      </c>
      <c r="D2949" t="s">
        <v>6789</v>
      </c>
      <c r="E2949" t="s">
        <v>26</v>
      </c>
      <c r="F2949" t="s">
        <v>6678</v>
      </c>
      <c r="G2949" t="s">
        <v>6697</v>
      </c>
      <c r="H2949" t="str">
        <f>'Huong dan giao do an'!$B$14</f>
        <v>5 SV (vai trò chính): 1 PM/Scrum Master kiêm Integration; 2 BA/PO; 3 UI-UX + Frontend; 4 Backend/API + DevOps; 5 Database + QA/Tester. Mỗi SV có nhiệm vụ phụ và minh chứng cá nhân.</v>
      </c>
      <c r="I2949" t="s">
        <v>29</v>
      </c>
      <c r="J2949" t="s">
        <v>6675</v>
      </c>
      <c r="K2949" t="str">
        <f>IF(I2949="Trung bình",'Huong dan giao do an'!$B$8,IF(I2949="Khá",'Huong dan giao do an'!$B$9,'Huong dan giao do an'!$B$10))</f>
        <v>Tối thiểu 5 actor; 14-18 use case; 10-15 bảng; 4 quy trình; tích hợp ngoài/realtime hoặc xử lý nâng cao; 3 báo cáo; &gt;=45 test case; logging, backup và deploy.</v>
      </c>
      <c r="L2949" t="str">
        <f>'Huong dan giao do an'!$B$31</f>
        <v>Bắt buộc: Charter/PMP; SRS + scope/WBS; Gantt/baseline; effort-cost budget; RACI/timesheet; quality-test-defect; communication/minutes; risk register; procurement; change log; closure/lessons learned.</v>
      </c>
      <c r="M2949" t="str">
        <f>'Huong dan giao do an'!$B$33</f>
        <v>Tuần 1: 07.09–13.09.2026; Tuần 2: 14.09–20.09.2026; Tuần 3: 21.09–27.09.2026; Tuần 4: 28.09–04.10.2026; Tuần 5: 05.10–11.10.2026; Tuần 6: 12.10–18.10.2026; Tuần 7: 19.10–25.10.2026; Tuần 8: 26.10–01.11.2026.</v>
      </c>
      <c r="N29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49" s="17" t="str">
        <f t="shared" si="46"/>
        <v>Còn trống</v>
      </c>
    </row>
    <row r="2950" spans="1:16" x14ac:dyDescent="0.3">
      <c r="A2950">
        <v>2949</v>
      </c>
      <c r="B2950" t="s">
        <v>6665</v>
      </c>
      <c r="C2950" t="s">
        <v>6790</v>
      </c>
      <c r="D2950" t="s">
        <v>6791</v>
      </c>
      <c r="E2950" t="s">
        <v>33</v>
      </c>
      <c r="F2950" t="s">
        <v>6683</v>
      </c>
      <c r="G2950" t="s">
        <v>6700</v>
      </c>
      <c r="H2950" t="str">
        <f>'Huong dan giao do an'!$B$14</f>
        <v>5 SV (vai trò chính): 1 PM/Scrum Master kiêm Integration; 2 BA/PO; 3 UI-UX + Frontend; 4 Backend/API + DevOps; 5 Database + QA/Tester. Mỗi SV có nhiệm vụ phụ và minh chứng cá nhân.</v>
      </c>
      <c r="I2950" t="s">
        <v>36</v>
      </c>
      <c r="J2950" t="s">
        <v>6680</v>
      </c>
      <c r="K2950" t="str">
        <f>IF(I2950="Trung bình",'Huong dan giao do an'!$B$8,IF(I2950="Khá",'Huong dan giao do an'!$B$9,'Huong dan giao do an'!$B$10))</f>
        <v>Tối thiểu 3 actor; 8-10 use case; 6-8 bảng dữ liệu; 2 quy trình lõi; đăng nhập/RBAC; 1 dashboard; 1 báo cáo; &gt;=25 test case; triển khai bản demo.</v>
      </c>
      <c r="L2950" t="str">
        <f>'Huong dan giao do an'!$B$31</f>
        <v>Bắt buộc: Charter/PMP; SRS + scope/WBS; Gantt/baseline; effort-cost budget; RACI/timesheet; quality-test-defect; communication/minutes; risk register; procurement; change log; closure/lessons learned.</v>
      </c>
      <c r="M2950" t="str">
        <f>'Huong dan giao do an'!$B$33</f>
        <v>Tuần 1: 07.09–13.09.2026; Tuần 2: 14.09–20.09.2026; Tuần 3: 21.09–27.09.2026; Tuần 4: 28.09–04.10.2026; Tuần 5: 05.10–11.10.2026; Tuần 6: 12.10–18.10.2026; Tuần 7: 19.10–25.10.2026; Tuần 8: 26.10–01.11.2026.</v>
      </c>
      <c r="N29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0" s="17" t="str">
        <f t="shared" si="46"/>
        <v>Còn trống</v>
      </c>
    </row>
    <row r="2951" spans="1:16" x14ac:dyDescent="0.3">
      <c r="A2951">
        <v>2950</v>
      </c>
      <c r="B2951" t="s">
        <v>6665</v>
      </c>
      <c r="C2951" t="s">
        <v>6792</v>
      </c>
      <c r="D2951" t="s">
        <v>6793</v>
      </c>
      <c r="E2951" t="s">
        <v>40</v>
      </c>
      <c r="F2951" t="s">
        <v>6687</v>
      </c>
      <c r="G2951" t="s">
        <v>6703</v>
      </c>
      <c r="H2951" t="str">
        <f>'Huong dan giao do an'!$B$14</f>
        <v>5 SV (vai trò chính): 1 PM/Scrum Master kiêm Integration; 2 BA/PO; 3 UI-UX + Frontend; 4 Backend/API + DevOps; 5 Database + QA/Tester. Mỗi SV có nhiệm vụ phụ và minh chứng cá nhân.</v>
      </c>
      <c r="I2951" t="s">
        <v>22</v>
      </c>
      <c r="J2951" t="s">
        <v>6670</v>
      </c>
      <c r="K2951" t="str">
        <f>IF(I2951="Trung bình",'Huong dan giao do an'!$B$8,IF(I2951="Khá",'Huong dan giao do an'!$B$9,'Huong dan giao do an'!$B$10))</f>
        <v>Tối thiểu 4 actor; 10-14 use case; 8-12 bảng; 3 quy trình lõi; phân quyền chi tiết; 2 báo cáo; tích hợp 1 dịch vụ; &gt;=35 test case; CI/CD hoặc deploy cloud.</v>
      </c>
      <c r="L2951" t="str">
        <f>'Huong dan giao do an'!$B$31</f>
        <v>Bắt buộc: Charter/PMP; SRS + scope/WBS; Gantt/baseline; effort-cost budget; RACI/timesheet; quality-test-defect; communication/minutes; risk register; procurement; change log; closure/lessons learned.</v>
      </c>
      <c r="M2951" t="str">
        <f>'Huong dan giao do an'!$B$33</f>
        <v>Tuần 1: 07.09–13.09.2026; Tuần 2: 14.09–20.09.2026; Tuần 3: 21.09–27.09.2026; Tuần 4: 28.09–04.10.2026; Tuần 5: 05.10–11.10.2026; Tuần 6: 12.10–18.10.2026; Tuần 7: 19.10–25.10.2026; Tuần 8: 26.10–01.11.2026.</v>
      </c>
      <c r="N29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1" s="17" t="str">
        <f t="shared" si="46"/>
        <v>Còn trống</v>
      </c>
    </row>
    <row r="2952" spans="1:16" x14ac:dyDescent="0.3">
      <c r="A2952">
        <v>2951</v>
      </c>
      <c r="B2952" t="s">
        <v>6665</v>
      </c>
      <c r="C2952" t="s">
        <v>6794</v>
      </c>
      <c r="D2952" t="s">
        <v>6795</v>
      </c>
      <c r="E2952" t="s">
        <v>45</v>
      </c>
      <c r="F2952" t="s">
        <v>6668</v>
      </c>
      <c r="G2952" t="s">
        <v>6706</v>
      </c>
      <c r="H2952" t="str">
        <f>'Huong dan giao do an'!$B$14</f>
        <v>5 SV (vai trò chính): 1 PM/Scrum Master kiêm Integration; 2 BA/PO; 3 UI-UX + Frontend; 4 Backend/API + DevOps; 5 Database + QA/Tester. Mỗi SV có nhiệm vụ phụ và minh chứng cá nhân.</v>
      </c>
      <c r="I2952" t="s">
        <v>29</v>
      </c>
      <c r="J2952" t="s">
        <v>6675</v>
      </c>
      <c r="K2952" t="str">
        <f>IF(I2952="Trung bình",'Huong dan giao do an'!$B$8,IF(I2952="Khá",'Huong dan giao do an'!$B$9,'Huong dan giao do an'!$B$10))</f>
        <v>Tối thiểu 5 actor; 14-18 use case; 10-15 bảng; 4 quy trình; tích hợp ngoài/realtime hoặc xử lý nâng cao; 3 báo cáo; &gt;=45 test case; logging, backup và deploy.</v>
      </c>
      <c r="L2952" t="str">
        <f>'Huong dan giao do an'!$B$31</f>
        <v>Bắt buộc: Charter/PMP; SRS + scope/WBS; Gantt/baseline; effort-cost budget; RACI/timesheet; quality-test-defect; communication/minutes; risk register; procurement; change log; closure/lessons learned.</v>
      </c>
      <c r="M2952" t="str">
        <f>'Huong dan giao do an'!$B$33</f>
        <v>Tuần 1: 07.09–13.09.2026; Tuần 2: 14.09–20.09.2026; Tuần 3: 21.09–27.09.2026; Tuần 4: 28.09–04.10.2026; Tuần 5: 05.10–11.10.2026; Tuần 6: 12.10–18.10.2026; Tuần 7: 19.10–25.10.2026; Tuần 8: 26.10–01.11.2026.</v>
      </c>
      <c r="N29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2" s="17" t="str">
        <f t="shared" si="46"/>
        <v>Còn trống</v>
      </c>
    </row>
    <row r="2953" spans="1:16" x14ac:dyDescent="0.3">
      <c r="A2953">
        <v>2952</v>
      </c>
      <c r="B2953" t="s">
        <v>6665</v>
      </c>
      <c r="C2953" t="s">
        <v>6796</v>
      </c>
      <c r="D2953" t="s">
        <v>6797</v>
      </c>
      <c r="E2953" t="s">
        <v>19</v>
      </c>
      <c r="F2953" t="s">
        <v>6673</v>
      </c>
      <c r="G2953" t="s">
        <v>6709</v>
      </c>
      <c r="H2953" t="str">
        <f>'Huong dan giao do an'!$B$14</f>
        <v>5 SV (vai trò chính): 1 PM/Scrum Master kiêm Integration; 2 BA/PO; 3 UI-UX + Frontend; 4 Backend/API + DevOps; 5 Database + QA/Tester. Mỗi SV có nhiệm vụ phụ và minh chứng cá nhân.</v>
      </c>
      <c r="I2953" t="s">
        <v>36</v>
      </c>
      <c r="J2953" t="s">
        <v>6680</v>
      </c>
      <c r="K2953" t="str">
        <f>IF(I2953="Trung bình",'Huong dan giao do an'!$B$8,IF(I2953="Khá",'Huong dan giao do an'!$B$9,'Huong dan giao do an'!$B$10))</f>
        <v>Tối thiểu 3 actor; 8-10 use case; 6-8 bảng dữ liệu; 2 quy trình lõi; đăng nhập/RBAC; 1 dashboard; 1 báo cáo; &gt;=25 test case; triển khai bản demo.</v>
      </c>
      <c r="L2953" t="str">
        <f>'Huong dan giao do an'!$B$31</f>
        <v>Bắt buộc: Charter/PMP; SRS + scope/WBS; Gantt/baseline; effort-cost budget; RACI/timesheet; quality-test-defect; communication/minutes; risk register; procurement; change log; closure/lessons learned.</v>
      </c>
      <c r="M2953" t="str">
        <f>'Huong dan giao do an'!$B$33</f>
        <v>Tuần 1: 07.09–13.09.2026; Tuần 2: 14.09–20.09.2026; Tuần 3: 21.09–27.09.2026; Tuần 4: 28.09–04.10.2026; Tuần 5: 05.10–11.10.2026; Tuần 6: 12.10–18.10.2026; Tuần 7: 19.10–25.10.2026; Tuần 8: 26.10–01.11.2026.</v>
      </c>
      <c r="N29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3" s="17" t="str">
        <f t="shared" si="46"/>
        <v>Còn trống</v>
      </c>
    </row>
    <row r="2954" spans="1:16" x14ac:dyDescent="0.3">
      <c r="A2954">
        <v>2953</v>
      </c>
      <c r="B2954" t="s">
        <v>6665</v>
      </c>
      <c r="C2954" t="s">
        <v>6798</v>
      </c>
      <c r="D2954" t="s">
        <v>6799</v>
      </c>
      <c r="E2954" t="s">
        <v>26</v>
      </c>
      <c r="F2954" t="s">
        <v>6678</v>
      </c>
      <c r="G2954" t="s">
        <v>6712</v>
      </c>
      <c r="H2954" t="str">
        <f>'Huong dan giao do an'!$B$14</f>
        <v>5 SV (vai trò chính): 1 PM/Scrum Master kiêm Integration; 2 BA/PO; 3 UI-UX + Frontend; 4 Backend/API + DevOps; 5 Database + QA/Tester. Mỗi SV có nhiệm vụ phụ và minh chứng cá nhân.</v>
      </c>
      <c r="I2954" t="s">
        <v>22</v>
      </c>
      <c r="J2954" t="s">
        <v>6670</v>
      </c>
      <c r="K2954" t="str">
        <f>IF(I2954="Trung bình",'Huong dan giao do an'!$B$8,IF(I2954="Khá",'Huong dan giao do an'!$B$9,'Huong dan giao do an'!$B$10))</f>
        <v>Tối thiểu 4 actor; 10-14 use case; 8-12 bảng; 3 quy trình lõi; phân quyền chi tiết; 2 báo cáo; tích hợp 1 dịch vụ; &gt;=35 test case; CI/CD hoặc deploy cloud.</v>
      </c>
      <c r="L2954" t="str">
        <f>'Huong dan giao do an'!$B$31</f>
        <v>Bắt buộc: Charter/PMP; SRS + scope/WBS; Gantt/baseline; effort-cost budget; RACI/timesheet; quality-test-defect; communication/minutes; risk register; procurement; change log; closure/lessons learned.</v>
      </c>
      <c r="M2954" t="str">
        <f>'Huong dan giao do an'!$B$33</f>
        <v>Tuần 1: 07.09–13.09.2026; Tuần 2: 14.09–20.09.2026; Tuần 3: 21.09–27.09.2026; Tuần 4: 28.09–04.10.2026; Tuần 5: 05.10–11.10.2026; Tuần 6: 12.10–18.10.2026; Tuần 7: 19.10–25.10.2026; Tuần 8: 26.10–01.11.2026.</v>
      </c>
      <c r="N29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4" s="17" t="str">
        <f t="shared" si="46"/>
        <v>Còn trống</v>
      </c>
    </row>
    <row r="2955" spans="1:16" x14ac:dyDescent="0.3">
      <c r="A2955">
        <v>2954</v>
      </c>
      <c r="B2955" t="s">
        <v>6665</v>
      </c>
      <c r="C2955" t="s">
        <v>6800</v>
      </c>
      <c r="D2955" t="s">
        <v>6801</v>
      </c>
      <c r="E2955" t="s">
        <v>33</v>
      </c>
      <c r="F2955" t="s">
        <v>6683</v>
      </c>
      <c r="G2955" t="s">
        <v>6715</v>
      </c>
      <c r="H2955" t="str">
        <f>'Huong dan giao do an'!$B$14</f>
        <v>5 SV (vai trò chính): 1 PM/Scrum Master kiêm Integration; 2 BA/PO; 3 UI-UX + Frontend; 4 Backend/API + DevOps; 5 Database + QA/Tester. Mỗi SV có nhiệm vụ phụ và minh chứng cá nhân.</v>
      </c>
      <c r="I2955" t="s">
        <v>29</v>
      </c>
      <c r="J2955" t="s">
        <v>6675</v>
      </c>
      <c r="K2955" t="str">
        <f>IF(I2955="Trung bình",'Huong dan giao do an'!$B$8,IF(I2955="Khá",'Huong dan giao do an'!$B$9,'Huong dan giao do an'!$B$10))</f>
        <v>Tối thiểu 5 actor; 14-18 use case; 10-15 bảng; 4 quy trình; tích hợp ngoài/realtime hoặc xử lý nâng cao; 3 báo cáo; &gt;=45 test case; logging, backup và deploy.</v>
      </c>
      <c r="L2955" t="str">
        <f>'Huong dan giao do an'!$B$31</f>
        <v>Bắt buộc: Charter/PMP; SRS + scope/WBS; Gantt/baseline; effort-cost budget; RACI/timesheet; quality-test-defect; communication/minutes; risk register; procurement; change log; closure/lessons learned.</v>
      </c>
      <c r="M2955" t="str">
        <f>'Huong dan giao do an'!$B$33</f>
        <v>Tuần 1: 07.09–13.09.2026; Tuần 2: 14.09–20.09.2026; Tuần 3: 21.09–27.09.2026; Tuần 4: 28.09–04.10.2026; Tuần 5: 05.10–11.10.2026; Tuần 6: 12.10–18.10.2026; Tuần 7: 19.10–25.10.2026; Tuần 8: 26.10–01.11.2026.</v>
      </c>
      <c r="N29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5" s="17" t="str">
        <f t="shared" si="46"/>
        <v>Còn trống</v>
      </c>
    </row>
    <row r="2956" spans="1:16" x14ac:dyDescent="0.3">
      <c r="A2956">
        <v>2955</v>
      </c>
      <c r="B2956" t="s">
        <v>6665</v>
      </c>
      <c r="C2956" t="s">
        <v>6802</v>
      </c>
      <c r="D2956" t="s">
        <v>6803</v>
      </c>
      <c r="E2956" t="s">
        <v>40</v>
      </c>
      <c r="F2956" t="s">
        <v>6687</v>
      </c>
      <c r="G2956" t="s">
        <v>6718</v>
      </c>
      <c r="H2956" t="str">
        <f>'Huong dan giao do an'!$B$14</f>
        <v>5 SV (vai trò chính): 1 PM/Scrum Master kiêm Integration; 2 BA/PO; 3 UI-UX + Frontend; 4 Backend/API + DevOps; 5 Database + QA/Tester. Mỗi SV có nhiệm vụ phụ và minh chứng cá nhân.</v>
      </c>
      <c r="I2956" t="s">
        <v>36</v>
      </c>
      <c r="J2956" t="s">
        <v>6680</v>
      </c>
      <c r="K2956" t="str">
        <f>IF(I2956="Trung bình",'Huong dan giao do an'!$B$8,IF(I2956="Khá",'Huong dan giao do an'!$B$9,'Huong dan giao do an'!$B$10))</f>
        <v>Tối thiểu 3 actor; 8-10 use case; 6-8 bảng dữ liệu; 2 quy trình lõi; đăng nhập/RBAC; 1 dashboard; 1 báo cáo; &gt;=25 test case; triển khai bản demo.</v>
      </c>
      <c r="L2956" t="str">
        <f>'Huong dan giao do an'!$B$31</f>
        <v>Bắt buộc: Charter/PMP; SRS + scope/WBS; Gantt/baseline; effort-cost budget; RACI/timesheet; quality-test-defect; communication/minutes; risk register; procurement; change log; closure/lessons learned.</v>
      </c>
      <c r="M2956" t="str">
        <f>'Huong dan giao do an'!$B$33</f>
        <v>Tuần 1: 07.09–13.09.2026; Tuần 2: 14.09–20.09.2026; Tuần 3: 21.09–27.09.2026; Tuần 4: 28.09–04.10.2026; Tuần 5: 05.10–11.10.2026; Tuần 6: 12.10–18.10.2026; Tuần 7: 19.10–25.10.2026; Tuần 8: 26.10–01.11.2026.</v>
      </c>
      <c r="N29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6" s="17" t="str">
        <f t="shared" si="46"/>
        <v>Còn trống</v>
      </c>
    </row>
    <row r="2957" spans="1:16" x14ac:dyDescent="0.3">
      <c r="A2957">
        <v>2956</v>
      </c>
      <c r="B2957" t="s">
        <v>6665</v>
      </c>
      <c r="C2957" t="s">
        <v>6804</v>
      </c>
      <c r="D2957" t="s">
        <v>6805</v>
      </c>
      <c r="E2957" t="s">
        <v>45</v>
      </c>
      <c r="F2957" t="s">
        <v>6668</v>
      </c>
      <c r="G2957" t="s">
        <v>6721</v>
      </c>
      <c r="H2957" t="str">
        <f>'Huong dan giao do an'!$B$14</f>
        <v>5 SV (vai trò chính): 1 PM/Scrum Master kiêm Integration; 2 BA/PO; 3 UI-UX + Frontend; 4 Backend/API + DevOps; 5 Database + QA/Tester. Mỗi SV có nhiệm vụ phụ và minh chứng cá nhân.</v>
      </c>
      <c r="I2957" t="s">
        <v>22</v>
      </c>
      <c r="J2957" t="s">
        <v>6670</v>
      </c>
      <c r="K2957" t="str">
        <f>IF(I2957="Trung bình",'Huong dan giao do an'!$B$8,IF(I2957="Khá",'Huong dan giao do an'!$B$9,'Huong dan giao do an'!$B$10))</f>
        <v>Tối thiểu 4 actor; 10-14 use case; 8-12 bảng; 3 quy trình lõi; phân quyền chi tiết; 2 báo cáo; tích hợp 1 dịch vụ; &gt;=35 test case; CI/CD hoặc deploy cloud.</v>
      </c>
      <c r="L2957" t="str">
        <f>'Huong dan giao do an'!$B$31</f>
        <v>Bắt buộc: Charter/PMP; SRS + scope/WBS; Gantt/baseline; effort-cost budget; RACI/timesheet; quality-test-defect; communication/minutes; risk register; procurement; change log; closure/lessons learned.</v>
      </c>
      <c r="M2957" t="str">
        <f>'Huong dan giao do an'!$B$33</f>
        <v>Tuần 1: 07.09–13.09.2026; Tuần 2: 14.09–20.09.2026; Tuần 3: 21.09–27.09.2026; Tuần 4: 28.09–04.10.2026; Tuần 5: 05.10–11.10.2026; Tuần 6: 12.10–18.10.2026; Tuần 7: 19.10–25.10.2026; Tuần 8: 26.10–01.11.2026.</v>
      </c>
      <c r="N29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7" s="17" t="str">
        <f t="shared" si="46"/>
        <v>Còn trống</v>
      </c>
    </row>
    <row r="2958" spans="1:16" x14ac:dyDescent="0.3">
      <c r="A2958">
        <v>2957</v>
      </c>
      <c r="B2958" t="s">
        <v>6665</v>
      </c>
      <c r="C2958" t="s">
        <v>6806</v>
      </c>
      <c r="D2958" t="s">
        <v>6807</v>
      </c>
      <c r="E2958" t="s">
        <v>19</v>
      </c>
      <c r="F2958" t="s">
        <v>6673</v>
      </c>
      <c r="G2958" t="s">
        <v>6724</v>
      </c>
      <c r="H2958" t="str">
        <f>'Huong dan giao do an'!$B$14</f>
        <v>5 SV (vai trò chính): 1 PM/Scrum Master kiêm Integration; 2 BA/PO; 3 UI-UX + Frontend; 4 Backend/API + DevOps; 5 Database + QA/Tester. Mỗi SV có nhiệm vụ phụ và minh chứng cá nhân.</v>
      </c>
      <c r="I2958" t="s">
        <v>29</v>
      </c>
      <c r="J2958" t="s">
        <v>6675</v>
      </c>
      <c r="K2958" t="str">
        <f>IF(I2958="Trung bình",'Huong dan giao do an'!$B$8,IF(I2958="Khá",'Huong dan giao do an'!$B$9,'Huong dan giao do an'!$B$10))</f>
        <v>Tối thiểu 5 actor; 14-18 use case; 10-15 bảng; 4 quy trình; tích hợp ngoài/realtime hoặc xử lý nâng cao; 3 báo cáo; &gt;=45 test case; logging, backup và deploy.</v>
      </c>
      <c r="L2958" t="str">
        <f>'Huong dan giao do an'!$B$31</f>
        <v>Bắt buộc: Charter/PMP; SRS + scope/WBS; Gantt/baseline; effort-cost budget; RACI/timesheet; quality-test-defect; communication/minutes; risk register; procurement; change log; closure/lessons learned.</v>
      </c>
      <c r="M2958" t="str">
        <f>'Huong dan giao do an'!$B$33</f>
        <v>Tuần 1: 07.09–13.09.2026; Tuần 2: 14.09–20.09.2026; Tuần 3: 21.09–27.09.2026; Tuần 4: 28.09–04.10.2026; Tuần 5: 05.10–11.10.2026; Tuần 6: 12.10–18.10.2026; Tuần 7: 19.10–25.10.2026; Tuần 8: 26.10–01.11.2026.</v>
      </c>
      <c r="N29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8" s="17" t="str">
        <f t="shared" si="46"/>
        <v>Còn trống</v>
      </c>
    </row>
    <row r="2959" spans="1:16" x14ac:dyDescent="0.3">
      <c r="A2959">
        <v>2958</v>
      </c>
      <c r="B2959" t="s">
        <v>6665</v>
      </c>
      <c r="C2959" t="s">
        <v>6808</v>
      </c>
      <c r="D2959" t="s">
        <v>6809</v>
      </c>
      <c r="E2959" t="s">
        <v>26</v>
      </c>
      <c r="F2959" t="s">
        <v>6678</v>
      </c>
      <c r="G2959" t="s">
        <v>6727</v>
      </c>
      <c r="H2959" t="str">
        <f>'Huong dan giao do an'!$B$14</f>
        <v>5 SV (vai trò chính): 1 PM/Scrum Master kiêm Integration; 2 BA/PO; 3 UI-UX + Frontend; 4 Backend/API + DevOps; 5 Database + QA/Tester. Mỗi SV có nhiệm vụ phụ và minh chứng cá nhân.</v>
      </c>
      <c r="I2959" t="s">
        <v>36</v>
      </c>
      <c r="J2959" t="s">
        <v>6680</v>
      </c>
      <c r="K2959" t="str">
        <f>IF(I2959="Trung bình",'Huong dan giao do an'!$B$8,IF(I2959="Khá",'Huong dan giao do an'!$B$9,'Huong dan giao do an'!$B$10))</f>
        <v>Tối thiểu 3 actor; 8-10 use case; 6-8 bảng dữ liệu; 2 quy trình lõi; đăng nhập/RBAC; 1 dashboard; 1 báo cáo; &gt;=25 test case; triển khai bản demo.</v>
      </c>
      <c r="L2959" t="str">
        <f>'Huong dan giao do an'!$B$31</f>
        <v>Bắt buộc: Charter/PMP; SRS + scope/WBS; Gantt/baseline; effort-cost budget; RACI/timesheet; quality-test-defect; communication/minutes; risk register; procurement; change log; closure/lessons learned.</v>
      </c>
      <c r="M2959" t="str">
        <f>'Huong dan giao do an'!$B$33</f>
        <v>Tuần 1: 07.09–13.09.2026; Tuần 2: 14.09–20.09.2026; Tuần 3: 21.09–27.09.2026; Tuần 4: 28.09–04.10.2026; Tuần 5: 05.10–11.10.2026; Tuần 6: 12.10–18.10.2026; Tuần 7: 19.10–25.10.2026; Tuần 8: 26.10–01.11.2026.</v>
      </c>
      <c r="N29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59" s="17" t="str">
        <f t="shared" si="46"/>
        <v>Còn trống</v>
      </c>
    </row>
    <row r="2960" spans="1:16" x14ac:dyDescent="0.3">
      <c r="A2960">
        <v>2959</v>
      </c>
      <c r="B2960" t="s">
        <v>6665</v>
      </c>
      <c r="C2960" t="s">
        <v>6810</v>
      </c>
      <c r="D2960" t="s">
        <v>6811</v>
      </c>
      <c r="E2960" t="s">
        <v>33</v>
      </c>
      <c r="F2960" t="s">
        <v>6683</v>
      </c>
      <c r="G2960" t="s">
        <v>6730</v>
      </c>
      <c r="H2960" t="str">
        <f>'Huong dan giao do an'!$B$14</f>
        <v>5 SV (vai trò chính): 1 PM/Scrum Master kiêm Integration; 2 BA/PO; 3 UI-UX + Frontend; 4 Backend/API + DevOps; 5 Database + QA/Tester. Mỗi SV có nhiệm vụ phụ và minh chứng cá nhân.</v>
      </c>
      <c r="I2960" t="s">
        <v>22</v>
      </c>
      <c r="J2960" t="s">
        <v>6670</v>
      </c>
      <c r="K2960" t="str">
        <f>IF(I2960="Trung bình",'Huong dan giao do an'!$B$8,IF(I2960="Khá",'Huong dan giao do an'!$B$9,'Huong dan giao do an'!$B$10))</f>
        <v>Tối thiểu 4 actor; 10-14 use case; 8-12 bảng; 3 quy trình lõi; phân quyền chi tiết; 2 báo cáo; tích hợp 1 dịch vụ; &gt;=35 test case; CI/CD hoặc deploy cloud.</v>
      </c>
      <c r="L2960" t="str">
        <f>'Huong dan giao do an'!$B$31</f>
        <v>Bắt buộc: Charter/PMP; SRS + scope/WBS; Gantt/baseline; effort-cost budget; RACI/timesheet; quality-test-defect; communication/minutes; risk register; procurement; change log; closure/lessons learned.</v>
      </c>
      <c r="M2960" t="str">
        <f>'Huong dan giao do an'!$B$33</f>
        <v>Tuần 1: 07.09–13.09.2026; Tuần 2: 14.09–20.09.2026; Tuần 3: 21.09–27.09.2026; Tuần 4: 28.09–04.10.2026; Tuần 5: 05.10–11.10.2026; Tuần 6: 12.10–18.10.2026; Tuần 7: 19.10–25.10.2026; Tuần 8: 26.10–01.11.2026.</v>
      </c>
      <c r="N29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0" s="17" t="str">
        <f t="shared" si="46"/>
        <v>Còn trống</v>
      </c>
    </row>
    <row r="2961" spans="1:16" x14ac:dyDescent="0.3">
      <c r="A2961">
        <v>2960</v>
      </c>
      <c r="B2961" t="s">
        <v>6665</v>
      </c>
      <c r="C2961" t="s">
        <v>6812</v>
      </c>
      <c r="D2961" t="s">
        <v>6813</v>
      </c>
      <c r="E2961" t="s">
        <v>40</v>
      </c>
      <c r="F2961" t="s">
        <v>6687</v>
      </c>
      <c r="G2961" t="s">
        <v>6733</v>
      </c>
      <c r="H2961" t="str">
        <f>'Huong dan giao do an'!$B$14</f>
        <v>5 SV (vai trò chính): 1 PM/Scrum Master kiêm Integration; 2 BA/PO; 3 UI-UX + Frontend; 4 Backend/API + DevOps; 5 Database + QA/Tester. Mỗi SV có nhiệm vụ phụ và minh chứng cá nhân.</v>
      </c>
      <c r="I2961" t="s">
        <v>29</v>
      </c>
      <c r="J2961" t="s">
        <v>6675</v>
      </c>
      <c r="K2961" t="str">
        <f>IF(I2961="Trung bình",'Huong dan giao do an'!$B$8,IF(I2961="Khá",'Huong dan giao do an'!$B$9,'Huong dan giao do an'!$B$10))</f>
        <v>Tối thiểu 5 actor; 14-18 use case; 10-15 bảng; 4 quy trình; tích hợp ngoài/realtime hoặc xử lý nâng cao; 3 báo cáo; &gt;=45 test case; logging, backup và deploy.</v>
      </c>
      <c r="L2961" t="str">
        <f>'Huong dan giao do an'!$B$31</f>
        <v>Bắt buộc: Charter/PMP; SRS + scope/WBS; Gantt/baseline; effort-cost budget; RACI/timesheet; quality-test-defect; communication/minutes; risk register; procurement; change log; closure/lessons learned.</v>
      </c>
      <c r="M2961" t="str">
        <f>'Huong dan giao do an'!$B$33</f>
        <v>Tuần 1: 07.09–13.09.2026; Tuần 2: 14.09–20.09.2026; Tuần 3: 21.09–27.09.2026; Tuần 4: 28.09–04.10.2026; Tuần 5: 05.10–11.10.2026; Tuần 6: 12.10–18.10.2026; Tuần 7: 19.10–25.10.2026; Tuần 8: 26.10–01.11.2026.</v>
      </c>
      <c r="N29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1" s="17" t="str">
        <f t="shared" si="46"/>
        <v>Còn trống</v>
      </c>
    </row>
    <row r="2962" spans="1:16" x14ac:dyDescent="0.3">
      <c r="A2962">
        <v>2961</v>
      </c>
      <c r="B2962" t="s">
        <v>6665</v>
      </c>
      <c r="C2962" t="s">
        <v>6814</v>
      </c>
      <c r="D2962" t="s">
        <v>6815</v>
      </c>
      <c r="E2962" t="s">
        <v>45</v>
      </c>
      <c r="F2962" t="s">
        <v>6668</v>
      </c>
      <c r="G2962" t="s">
        <v>6669</v>
      </c>
      <c r="H2962" t="str">
        <f>'Huong dan giao do an'!$B$14</f>
        <v>5 SV (vai trò chính): 1 PM/Scrum Master kiêm Integration; 2 BA/PO; 3 UI-UX + Frontend; 4 Backend/API + DevOps; 5 Database + QA/Tester. Mỗi SV có nhiệm vụ phụ và minh chứng cá nhân.</v>
      </c>
      <c r="I2962" t="s">
        <v>22</v>
      </c>
      <c r="J2962" t="s">
        <v>6670</v>
      </c>
      <c r="K2962" t="str">
        <f>IF(I2962="Trung bình",'Huong dan giao do an'!$B$8,IF(I2962="Khá",'Huong dan giao do an'!$B$9,'Huong dan giao do an'!$B$10))</f>
        <v>Tối thiểu 4 actor; 10-14 use case; 8-12 bảng; 3 quy trình lõi; phân quyền chi tiết; 2 báo cáo; tích hợp 1 dịch vụ; &gt;=35 test case; CI/CD hoặc deploy cloud.</v>
      </c>
      <c r="L2962" t="str">
        <f>'Huong dan giao do an'!$B$31</f>
        <v>Bắt buộc: Charter/PMP; SRS + scope/WBS; Gantt/baseline; effort-cost budget; RACI/timesheet; quality-test-defect; communication/minutes; risk register; procurement; change log; closure/lessons learned.</v>
      </c>
      <c r="M2962" t="str">
        <f>'Huong dan giao do an'!$B$33</f>
        <v>Tuần 1: 07.09–13.09.2026; Tuần 2: 14.09–20.09.2026; Tuần 3: 21.09–27.09.2026; Tuần 4: 28.09–04.10.2026; Tuần 5: 05.10–11.10.2026; Tuần 6: 12.10–18.10.2026; Tuần 7: 19.10–25.10.2026; Tuần 8: 26.10–01.11.2026.</v>
      </c>
      <c r="N29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2" s="17" t="str">
        <f t="shared" si="46"/>
        <v>Còn trống</v>
      </c>
    </row>
    <row r="2963" spans="1:16" x14ac:dyDescent="0.3">
      <c r="A2963">
        <v>2962</v>
      </c>
      <c r="B2963" t="s">
        <v>6665</v>
      </c>
      <c r="C2963" t="s">
        <v>6816</v>
      </c>
      <c r="D2963" t="s">
        <v>6817</v>
      </c>
      <c r="E2963" t="s">
        <v>19</v>
      </c>
      <c r="F2963" t="s">
        <v>6673</v>
      </c>
      <c r="G2963" t="s">
        <v>6674</v>
      </c>
      <c r="H2963" t="str">
        <f>'Huong dan giao do an'!$B$14</f>
        <v>5 SV (vai trò chính): 1 PM/Scrum Master kiêm Integration; 2 BA/PO; 3 UI-UX + Frontend; 4 Backend/API + DevOps; 5 Database + QA/Tester. Mỗi SV có nhiệm vụ phụ và minh chứng cá nhân.</v>
      </c>
      <c r="I2963" t="s">
        <v>29</v>
      </c>
      <c r="J2963" t="s">
        <v>6675</v>
      </c>
      <c r="K2963" t="str">
        <f>IF(I2963="Trung bình",'Huong dan giao do an'!$B$8,IF(I2963="Khá",'Huong dan giao do an'!$B$9,'Huong dan giao do an'!$B$10))</f>
        <v>Tối thiểu 5 actor; 14-18 use case; 10-15 bảng; 4 quy trình; tích hợp ngoài/realtime hoặc xử lý nâng cao; 3 báo cáo; &gt;=45 test case; logging, backup và deploy.</v>
      </c>
      <c r="L2963" t="str">
        <f>'Huong dan giao do an'!$B$31</f>
        <v>Bắt buộc: Charter/PMP; SRS + scope/WBS; Gantt/baseline; effort-cost budget; RACI/timesheet; quality-test-defect; communication/minutes; risk register; procurement; change log; closure/lessons learned.</v>
      </c>
      <c r="M2963" t="str">
        <f>'Huong dan giao do an'!$B$33</f>
        <v>Tuần 1: 07.09–13.09.2026; Tuần 2: 14.09–20.09.2026; Tuần 3: 21.09–27.09.2026; Tuần 4: 28.09–04.10.2026; Tuần 5: 05.10–11.10.2026; Tuần 6: 12.10–18.10.2026; Tuần 7: 19.10–25.10.2026; Tuần 8: 26.10–01.11.2026.</v>
      </c>
      <c r="N29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3" s="17" t="str">
        <f t="shared" si="46"/>
        <v>Còn trống</v>
      </c>
    </row>
    <row r="2964" spans="1:16" x14ac:dyDescent="0.3">
      <c r="A2964">
        <v>2963</v>
      </c>
      <c r="B2964" t="s">
        <v>6665</v>
      </c>
      <c r="C2964" t="s">
        <v>6818</v>
      </c>
      <c r="D2964" t="s">
        <v>6819</v>
      </c>
      <c r="E2964" t="s">
        <v>26</v>
      </c>
      <c r="F2964" t="s">
        <v>6678</v>
      </c>
      <c r="G2964" t="s">
        <v>6679</v>
      </c>
      <c r="H2964" t="str">
        <f>'Huong dan giao do an'!$B$14</f>
        <v>5 SV (vai trò chính): 1 PM/Scrum Master kiêm Integration; 2 BA/PO; 3 UI-UX + Frontend; 4 Backend/API + DevOps; 5 Database + QA/Tester. Mỗi SV có nhiệm vụ phụ và minh chứng cá nhân.</v>
      </c>
      <c r="I2964" t="s">
        <v>36</v>
      </c>
      <c r="J2964" t="s">
        <v>6680</v>
      </c>
      <c r="K2964" t="str">
        <f>IF(I2964="Trung bình",'Huong dan giao do an'!$B$8,IF(I2964="Khá",'Huong dan giao do an'!$B$9,'Huong dan giao do an'!$B$10))</f>
        <v>Tối thiểu 3 actor; 8-10 use case; 6-8 bảng dữ liệu; 2 quy trình lõi; đăng nhập/RBAC; 1 dashboard; 1 báo cáo; &gt;=25 test case; triển khai bản demo.</v>
      </c>
      <c r="L2964" t="str">
        <f>'Huong dan giao do an'!$B$31</f>
        <v>Bắt buộc: Charter/PMP; SRS + scope/WBS; Gantt/baseline; effort-cost budget; RACI/timesheet; quality-test-defect; communication/minutes; risk register; procurement; change log; closure/lessons learned.</v>
      </c>
      <c r="M2964" t="str">
        <f>'Huong dan giao do an'!$B$33</f>
        <v>Tuần 1: 07.09–13.09.2026; Tuần 2: 14.09–20.09.2026; Tuần 3: 21.09–27.09.2026; Tuần 4: 28.09–04.10.2026; Tuần 5: 05.10–11.10.2026; Tuần 6: 12.10–18.10.2026; Tuần 7: 19.10–25.10.2026; Tuần 8: 26.10–01.11.2026.</v>
      </c>
      <c r="N29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4" s="17" t="str">
        <f t="shared" si="46"/>
        <v>Còn trống</v>
      </c>
    </row>
    <row r="2965" spans="1:16" x14ac:dyDescent="0.3">
      <c r="A2965">
        <v>2964</v>
      </c>
      <c r="B2965" t="s">
        <v>6665</v>
      </c>
      <c r="C2965" t="s">
        <v>6820</v>
      </c>
      <c r="D2965" t="s">
        <v>6821</v>
      </c>
      <c r="E2965" t="s">
        <v>33</v>
      </c>
      <c r="F2965" t="s">
        <v>6683</v>
      </c>
      <c r="G2965" t="s">
        <v>6684</v>
      </c>
      <c r="H2965" t="str">
        <f>'Huong dan giao do an'!$B$14</f>
        <v>5 SV (vai trò chính): 1 PM/Scrum Master kiêm Integration; 2 BA/PO; 3 UI-UX + Frontend; 4 Backend/API + DevOps; 5 Database + QA/Tester. Mỗi SV có nhiệm vụ phụ và minh chứng cá nhân.</v>
      </c>
      <c r="I2965" t="s">
        <v>22</v>
      </c>
      <c r="J2965" t="s">
        <v>6670</v>
      </c>
      <c r="K2965" t="str">
        <f>IF(I2965="Trung bình",'Huong dan giao do an'!$B$8,IF(I2965="Khá",'Huong dan giao do an'!$B$9,'Huong dan giao do an'!$B$10))</f>
        <v>Tối thiểu 4 actor; 10-14 use case; 8-12 bảng; 3 quy trình lõi; phân quyền chi tiết; 2 báo cáo; tích hợp 1 dịch vụ; &gt;=35 test case; CI/CD hoặc deploy cloud.</v>
      </c>
      <c r="L2965" t="str">
        <f>'Huong dan giao do an'!$B$31</f>
        <v>Bắt buộc: Charter/PMP; SRS + scope/WBS; Gantt/baseline; effort-cost budget; RACI/timesheet; quality-test-defect; communication/minutes; risk register; procurement; change log; closure/lessons learned.</v>
      </c>
      <c r="M2965" t="str">
        <f>'Huong dan giao do an'!$B$33</f>
        <v>Tuần 1: 07.09–13.09.2026; Tuần 2: 14.09–20.09.2026; Tuần 3: 21.09–27.09.2026; Tuần 4: 28.09–04.10.2026; Tuần 5: 05.10–11.10.2026; Tuần 6: 12.10–18.10.2026; Tuần 7: 19.10–25.10.2026; Tuần 8: 26.10–01.11.2026.</v>
      </c>
      <c r="N29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5" s="17" t="str">
        <f t="shared" si="46"/>
        <v>Còn trống</v>
      </c>
    </row>
    <row r="2966" spans="1:16" x14ac:dyDescent="0.3">
      <c r="A2966">
        <v>2965</v>
      </c>
      <c r="B2966" t="s">
        <v>6665</v>
      </c>
      <c r="C2966" t="s">
        <v>6822</v>
      </c>
      <c r="D2966" t="s">
        <v>6823</v>
      </c>
      <c r="E2966" t="s">
        <v>40</v>
      </c>
      <c r="F2966" t="s">
        <v>6687</v>
      </c>
      <c r="G2966" t="s">
        <v>6688</v>
      </c>
      <c r="H2966" t="str">
        <f>'Huong dan giao do an'!$B$14</f>
        <v>5 SV (vai trò chính): 1 PM/Scrum Master kiêm Integration; 2 BA/PO; 3 UI-UX + Frontend; 4 Backend/API + DevOps; 5 Database + QA/Tester. Mỗi SV có nhiệm vụ phụ và minh chứng cá nhân.</v>
      </c>
      <c r="I2966" t="s">
        <v>29</v>
      </c>
      <c r="J2966" t="s">
        <v>6675</v>
      </c>
      <c r="K2966" t="str">
        <f>IF(I2966="Trung bình",'Huong dan giao do an'!$B$8,IF(I2966="Khá",'Huong dan giao do an'!$B$9,'Huong dan giao do an'!$B$10))</f>
        <v>Tối thiểu 5 actor; 14-18 use case; 10-15 bảng; 4 quy trình; tích hợp ngoài/realtime hoặc xử lý nâng cao; 3 báo cáo; &gt;=45 test case; logging, backup và deploy.</v>
      </c>
      <c r="L2966" t="str">
        <f>'Huong dan giao do an'!$B$31</f>
        <v>Bắt buộc: Charter/PMP; SRS + scope/WBS; Gantt/baseline; effort-cost budget; RACI/timesheet; quality-test-defect; communication/minutes; risk register; procurement; change log; closure/lessons learned.</v>
      </c>
      <c r="M2966" t="str">
        <f>'Huong dan giao do an'!$B$33</f>
        <v>Tuần 1: 07.09–13.09.2026; Tuần 2: 14.09–20.09.2026; Tuần 3: 21.09–27.09.2026; Tuần 4: 28.09–04.10.2026; Tuần 5: 05.10–11.10.2026; Tuần 6: 12.10–18.10.2026; Tuần 7: 19.10–25.10.2026; Tuần 8: 26.10–01.11.2026.</v>
      </c>
      <c r="N29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6" s="17" t="str">
        <f t="shared" si="46"/>
        <v>Còn trống</v>
      </c>
    </row>
    <row r="2967" spans="1:16" x14ac:dyDescent="0.3">
      <c r="A2967">
        <v>2966</v>
      </c>
      <c r="B2967" t="s">
        <v>6665</v>
      </c>
      <c r="C2967" t="s">
        <v>6824</v>
      </c>
      <c r="D2967" t="s">
        <v>6825</v>
      </c>
      <c r="E2967" t="s">
        <v>45</v>
      </c>
      <c r="F2967" t="s">
        <v>6668</v>
      </c>
      <c r="G2967" t="s">
        <v>6691</v>
      </c>
      <c r="H2967" t="str">
        <f>'Huong dan giao do an'!$B$14</f>
        <v>5 SV (vai trò chính): 1 PM/Scrum Master kiêm Integration; 2 BA/PO; 3 UI-UX + Frontend; 4 Backend/API + DevOps; 5 Database + QA/Tester. Mỗi SV có nhiệm vụ phụ và minh chứng cá nhân.</v>
      </c>
      <c r="I2967" t="s">
        <v>36</v>
      </c>
      <c r="J2967" t="s">
        <v>6680</v>
      </c>
      <c r="K2967" t="str">
        <f>IF(I2967="Trung bình",'Huong dan giao do an'!$B$8,IF(I2967="Khá",'Huong dan giao do an'!$B$9,'Huong dan giao do an'!$B$10))</f>
        <v>Tối thiểu 3 actor; 8-10 use case; 6-8 bảng dữ liệu; 2 quy trình lõi; đăng nhập/RBAC; 1 dashboard; 1 báo cáo; &gt;=25 test case; triển khai bản demo.</v>
      </c>
      <c r="L2967" t="str">
        <f>'Huong dan giao do an'!$B$31</f>
        <v>Bắt buộc: Charter/PMP; SRS + scope/WBS; Gantt/baseline; effort-cost budget; RACI/timesheet; quality-test-defect; communication/minutes; risk register; procurement; change log; closure/lessons learned.</v>
      </c>
      <c r="M2967" t="str">
        <f>'Huong dan giao do an'!$B$33</f>
        <v>Tuần 1: 07.09–13.09.2026; Tuần 2: 14.09–20.09.2026; Tuần 3: 21.09–27.09.2026; Tuần 4: 28.09–04.10.2026; Tuần 5: 05.10–11.10.2026; Tuần 6: 12.10–18.10.2026; Tuần 7: 19.10–25.10.2026; Tuần 8: 26.10–01.11.2026.</v>
      </c>
      <c r="N29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7" s="17" t="str">
        <f t="shared" si="46"/>
        <v>Còn trống</v>
      </c>
    </row>
    <row r="2968" spans="1:16" x14ac:dyDescent="0.3">
      <c r="A2968">
        <v>2967</v>
      </c>
      <c r="B2968" t="s">
        <v>6665</v>
      </c>
      <c r="C2968" t="s">
        <v>6826</v>
      </c>
      <c r="D2968" t="s">
        <v>6827</v>
      </c>
      <c r="E2968" t="s">
        <v>19</v>
      </c>
      <c r="F2968" t="s">
        <v>6673</v>
      </c>
      <c r="G2968" t="s">
        <v>6694</v>
      </c>
      <c r="H2968" t="str">
        <f>'Huong dan giao do an'!$B$14</f>
        <v>5 SV (vai trò chính): 1 PM/Scrum Master kiêm Integration; 2 BA/PO; 3 UI-UX + Frontend; 4 Backend/API + DevOps; 5 Database + QA/Tester. Mỗi SV có nhiệm vụ phụ và minh chứng cá nhân.</v>
      </c>
      <c r="I2968" t="s">
        <v>22</v>
      </c>
      <c r="J2968" t="s">
        <v>6670</v>
      </c>
      <c r="K2968" t="str">
        <f>IF(I2968="Trung bình",'Huong dan giao do an'!$B$8,IF(I2968="Khá",'Huong dan giao do an'!$B$9,'Huong dan giao do an'!$B$10))</f>
        <v>Tối thiểu 4 actor; 10-14 use case; 8-12 bảng; 3 quy trình lõi; phân quyền chi tiết; 2 báo cáo; tích hợp 1 dịch vụ; &gt;=35 test case; CI/CD hoặc deploy cloud.</v>
      </c>
      <c r="L2968" t="str">
        <f>'Huong dan giao do an'!$B$31</f>
        <v>Bắt buộc: Charter/PMP; SRS + scope/WBS; Gantt/baseline; effort-cost budget; RACI/timesheet; quality-test-defect; communication/minutes; risk register; procurement; change log; closure/lessons learned.</v>
      </c>
      <c r="M2968" t="str">
        <f>'Huong dan giao do an'!$B$33</f>
        <v>Tuần 1: 07.09–13.09.2026; Tuần 2: 14.09–20.09.2026; Tuần 3: 21.09–27.09.2026; Tuần 4: 28.09–04.10.2026; Tuần 5: 05.10–11.10.2026; Tuần 6: 12.10–18.10.2026; Tuần 7: 19.10–25.10.2026; Tuần 8: 26.10–01.11.2026.</v>
      </c>
      <c r="N29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8" s="17" t="str">
        <f t="shared" si="46"/>
        <v>Còn trống</v>
      </c>
    </row>
    <row r="2969" spans="1:16" x14ac:dyDescent="0.3">
      <c r="A2969">
        <v>2968</v>
      </c>
      <c r="B2969" t="s">
        <v>6665</v>
      </c>
      <c r="C2969" t="s">
        <v>6828</v>
      </c>
      <c r="D2969" t="s">
        <v>6829</v>
      </c>
      <c r="E2969" t="s">
        <v>26</v>
      </c>
      <c r="F2969" t="s">
        <v>6678</v>
      </c>
      <c r="G2969" t="s">
        <v>6697</v>
      </c>
      <c r="H2969" t="str">
        <f>'Huong dan giao do an'!$B$14</f>
        <v>5 SV (vai trò chính): 1 PM/Scrum Master kiêm Integration; 2 BA/PO; 3 UI-UX + Frontend; 4 Backend/API + DevOps; 5 Database + QA/Tester. Mỗi SV có nhiệm vụ phụ và minh chứng cá nhân.</v>
      </c>
      <c r="I2969" t="s">
        <v>29</v>
      </c>
      <c r="J2969" t="s">
        <v>6675</v>
      </c>
      <c r="K2969" t="str">
        <f>IF(I2969="Trung bình",'Huong dan giao do an'!$B$8,IF(I2969="Khá",'Huong dan giao do an'!$B$9,'Huong dan giao do an'!$B$10))</f>
        <v>Tối thiểu 5 actor; 14-18 use case; 10-15 bảng; 4 quy trình; tích hợp ngoài/realtime hoặc xử lý nâng cao; 3 báo cáo; &gt;=45 test case; logging, backup và deploy.</v>
      </c>
      <c r="L2969" t="str">
        <f>'Huong dan giao do an'!$B$31</f>
        <v>Bắt buộc: Charter/PMP; SRS + scope/WBS; Gantt/baseline; effort-cost budget; RACI/timesheet; quality-test-defect; communication/minutes; risk register; procurement; change log; closure/lessons learned.</v>
      </c>
      <c r="M2969" t="str">
        <f>'Huong dan giao do an'!$B$33</f>
        <v>Tuần 1: 07.09–13.09.2026; Tuần 2: 14.09–20.09.2026; Tuần 3: 21.09–27.09.2026; Tuần 4: 28.09–04.10.2026; Tuần 5: 05.10–11.10.2026; Tuần 6: 12.10–18.10.2026; Tuần 7: 19.10–25.10.2026; Tuần 8: 26.10–01.11.2026.</v>
      </c>
      <c r="N29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69" s="17" t="str">
        <f t="shared" si="46"/>
        <v>Còn trống</v>
      </c>
    </row>
    <row r="2970" spans="1:16" x14ac:dyDescent="0.3">
      <c r="A2970">
        <v>2969</v>
      </c>
      <c r="B2970" t="s">
        <v>6665</v>
      </c>
      <c r="C2970" t="s">
        <v>6830</v>
      </c>
      <c r="D2970" t="s">
        <v>6831</v>
      </c>
      <c r="E2970" t="s">
        <v>33</v>
      </c>
      <c r="F2970" t="s">
        <v>6683</v>
      </c>
      <c r="G2970" t="s">
        <v>6700</v>
      </c>
      <c r="H2970" t="str">
        <f>'Huong dan giao do an'!$B$14</f>
        <v>5 SV (vai trò chính): 1 PM/Scrum Master kiêm Integration; 2 BA/PO; 3 UI-UX + Frontend; 4 Backend/API + DevOps; 5 Database + QA/Tester. Mỗi SV có nhiệm vụ phụ và minh chứng cá nhân.</v>
      </c>
      <c r="I2970" t="s">
        <v>36</v>
      </c>
      <c r="J2970" t="s">
        <v>6680</v>
      </c>
      <c r="K2970" t="str">
        <f>IF(I2970="Trung bình",'Huong dan giao do an'!$B$8,IF(I2970="Khá",'Huong dan giao do an'!$B$9,'Huong dan giao do an'!$B$10))</f>
        <v>Tối thiểu 3 actor; 8-10 use case; 6-8 bảng dữ liệu; 2 quy trình lõi; đăng nhập/RBAC; 1 dashboard; 1 báo cáo; &gt;=25 test case; triển khai bản demo.</v>
      </c>
      <c r="L2970" t="str">
        <f>'Huong dan giao do an'!$B$31</f>
        <v>Bắt buộc: Charter/PMP; SRS + scope/WBS; Gantt/baseline; effort-cost budget; RACI/timesheet; quality-test-defect; communication/minutes; risk register; procurement; change log; closure/lessons learned.</v>
      </c>
      <c r="M2970" t="str">
        <f>'Huong dan giao do an'!$B$33</f>
        <v>Tuần 1: 07.09–13.09.2026; Tuần 2: 14.09–20.09.2026; Tuần 3: 21.09–27.09.2026; Tuần 4: 28.09–04.10.2026; Tuần 5: 05.10–11.10.2026; Tuần 6: 12.10–18.10.2026; Tuần 7: 19.10–25.10.2026; Tuần 8: 26.10–01.11.2026.</v>
      </c>
      <c r="N29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0" s="17" t="str">
        <f t="shared" si="46"/>
        <v>Còn trống</v>
      </c>
    </row>
    <row r="2971" spans="1:16" x14ac:dyDescent="0.3">
      <c r="A2971">
        <v>2970</v>
      </c>
      <c r="B2971" t="s">
        <v>6665</v>
      </c>
      <c r="C2971" t="s">
        <v>6832</v>
      </c>
      <c r="D2971" t="s">
        <v>6833</v>
      </c>
      <c r="E2971" t="s">
        <v>40</v>
      </c>
      <c r="F2971" t="s">
        <v>6687</v>
      </c>
      <c r="G2971" t="s">
        <v>6703</v>
      </c>
      <c r="H2971" t="str">
        <f>'Huong dan giao do an'!$B$14</f>
        <v>5 SV (vai trò chính): 1 PM/Scrum Master kiêm Integration; 2 BA/PO; 3 UI-UX + Frontend; 4 Backend/API + DevOps; 5 Database + QA/Tester. Mỗi SV có nhiệm vụ phụ và minh chứng cá nhân.</v>
      </c>
      <c r="I2971" t="s">
        <v>22</v>
      </c>
      <c r="J2971" t="s">
        <v>6670</v>
      </c>
      <c r="K2971" t="str">
        <f>IF(I2971="Trung bình",'Huong dan giao do an'!$B$8,IF(I2971="Khá",'Huong dan giao do an'!$B$9,'Huong dan giao do an'!$B$10))</f>
        <v>Tối thiểu 4 actor; 10-14 use case; 8-12 bảng; 3 quy trình lõi; phân quyền chi tiết; 2 báo cáo; tích hợp 1 dịch vụ; &gt;=35 test case; CI/CD hoặc deploy cloud.</v>
      </c>
      <c r="L2971" t="str">
        <f>'Huong dan giao do an'!$B$31</f>
        <v>Bắt buộc: Charter/PMP; SRS + scope/WBS; Gantt/baseline; effort-cost budget; RACI/timesheet; quality-test-defect; communication/minutes; risk register; procurement; change log; closure/lessons learned.</v>
      </c>
      <c r="M2971" t="str">
        <f>'Huong dan giao do an'!$B$33</f>
        <v>Tuần 1: 07.09–13.09.2026; Tuần 2: 14.09–20.09.2026; Tuần 3: 21.09–27.09.2026; Tuần 4: 28.09–04.10.2026; Tuần 5: 05.10–11.10.2026; Tuần 6: 12.10–18.10.2026; Tuần 7: 19.10–25.10.2026; Tuần 8: 26.10–01.11.2026.</v>
      </c>
      <c r="N29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1" s="17" t="str">
        <f t="shared" si="46"/>
        <v>Còn trống</v>
      </c>
    </row>
    <row r="2972" spans="1:16" x14ac:dyDescent="0.3">
      <c r="A2972">
        <v>2971</v>
      </c>
      <c r="B2972" t="s">
        <v>6665</v>
      </c>
      <c r="C2972" t="s">
        <v>6834</v>
      </c>
      <c r="D2972" t="s">
        <v>6835</v>
      </c>
      <c r="E2972" t="s">
        <v>45</v>
      </c>
      <c r="F2972" t="s">
        <v>6668</v>
      </c>
      <c r="G2972" t="s">
        <v>6706</v>
      </c>
      <c r="H2972" t="str">
        <f>'Huong dan giao do an'!$B$14</f>
        <v>5 SV (vai trò chính): 1 PM/Scrum Master kiêm Integration; 2 BA/PO; 3 UI-UX + Frontend; 4 Backend/API + DevOps; 5 Database + QA/Tester. Mỗi SV có nhiệm vụ phụ và minh chứng cá nhân.</v>
      </c>
      <c r="I2972" t="s">
        <v>29</v>
      </c>
      <c r="J2972" t="s">
        <v>6675</v>
      </c>
      <c r="K2972" t="str">
        <f>IF(I2972="Trung bình",'Huong dan giao do an'!$B$8,IF(I2972="Khá",'Huong dan giao do an'!$B$9,'Huong dan giao do an'!$B$10))</f>
        <v>Tối thiểu 5 actor; 14-18 use case; 10-15 bảng; 4 quy trình; tích hợp ngoài/realtime hoặc xử lý nâng cao; 3 báo cáo; &gt;=45 test case; logging, backup và deploy.</v>
      </c>
      <c r="L2972" t="str">
        <f>'Huong dan giao do an'!$B$31</f>
        <v>Bắt buộc: Charter/PMP; SRS + scope/WBS; Gantt/baseline; effort-cost budget; RACI/timesheet; quality-test-defect; communication/minutes; risk register; procurement; change log; closure/lessons learned.</v>
      </c>
      <c r="M2972" t="str">
        <f>'Huong dan giao do an'!$B$33</f>
        <v>Tuần 1: 07.09–13.09.2026; Tuần 2: 14.09–20.09.2026; Tuần 3: 21.09–27.09.2026; Tuần 4: 28.09–04.10.2026; Tuần 5: 05.10–11.10.2026; Tuần 6: 12.10–18.10.2026; Tuần 7: 19.10–25.10.2026; Tuần 8: 26.10–01.11.2026.</v>
      </c>
      <c r="N29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2" s="17" t="str">
        <f t="shared" si="46"/>
        <v>Còn trống</v>
      </c>
    </row>
    <row r="2973" spans="1:16" x14ac:dyDescent="0.3">
      <c r="A2973">
        <v>2972</v>
      </c>
      <c r="B2973" t="s">
        <v>6665</v>
      </c>
      <c r="C2973" t="s">
        <v>6836</v>
      </c>
      <c r="D2973" t="s">
        <v>6837</v>
      </c>
      <c r="E2973" t="s">
        <v>19</v>
      </c>
      <c r="F2973" t="s">
        <v>6673</v>
      </c>
      <c r="G2973" t="s">
        <v>6709</v>
      </c>
      <c r="H2973" t="str">
        <f>'Huong dan giao do an'!$B$14</f>
        <v>5 SV (vai trò chính): 1 PM/Scrum Master kiêm Integration; 2 BA/PO; 3 UI-UX + Frontend; 4 Backend/API + DevOps; 5 Database + QA/Tester. Mỗi SV có nhiệm vụ phụ và minh chứng cá nhân.</v>
      </c>
      <c r="I2973" t="s">
        <v>36</v>
      </c>
      <c r="J2973" t="s">
        <v>6680</v>
      </c>
      <c r="K2973" t="str">
        <f>IF(I2973="Trung bình",'Huong dan giao do an'!$B$8,IF(I2973="Khá",'Huong dan giao do an'!$B$9,'Huong dan giao do an'!$B$10))</f>
        <v>Tối thiểu 3 actor; 8-10 use case; 6-8 bảng dữ liệu; 2 quy trình lõi; đăng nhập/RBAC; 1 dashboard; 1 báo cáo; &gt;=25 test case; triển khai bản demo.</v>
      </c>
      <c r="L2973" t="str">
        <f>'Huong dan giao do an'!$B$31</f>
        <v>Bắt buộc: Charter/PMP; SRS + scope/WBS; Gantt/baseline; effort-cost budget; RACI/timesheet; quality-test-defect; communication/minutes; risk register; procurement; change log; closure/lessons learned.</v>
      </c>
      <c r="M2973" t="str">
        <f>'Huong dan giao do an'!$B$33</f>
        <v>Tuần 1: 07.09–13.09.2026; Tuần 2: 14.09–20.09.2026; Tuần 3: 21.09–27.09.2026; Tuần 4: 28.09–04.10.2026; Tuần 5: 05.10–11.10.2026; Tuần 6: 12.10–18.10.2026; Tuần 7: 19.10–25.10.2026; Tuần 8: 26.10–01.11.2026.</v>
      </c>
      <c r="N29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3" s="17" t="str">
        <f t="shared" si="46"/>
        <v>Còn trống</v>
      </c>
    </row>
    <row r="2974" spans="1:16" x14ac:dyDescent="0.3">
      <c r="A2974">
        <v>2973</v>
      </c>
      <c r="B2974" t="s">
        <v>6665</v>
      </c>
      <c r="C2974" t="s">
        <v>6838</v>
      </c>
      <c r="D2974" t="s">
        <v>6839</v>
      </c>
      <c r="E2974" t="s">
        <v>26</v>
      </c>
      <c r="F2974" t="s">
        <v>6678</v>
      </c>
      <c r="G2974" t="s">
        <v>6712</v>
      </c>
      <c r="H2974" t="str">
        <f>'Huong dan giao do an'!$B$14</f>
        <v>5 SV (vai trò chính): 1 PM/Scrum Master kiêm Integration; 2 BA/PO; 3 UI-UX + Frontend; 4 Backend/API + DevOps; 5 Database + QA/Tester. Mỗi SV có nhiệm vụ phụ và minh chứng cá nhân.</v>
      </c>
      <c r="I2974" t="s">
        <v>22</v>
      </c>
      <c r="J2974" t="s">
        <v>6670</v>
      </c>
      <c r="K2974" t="str">
        <f>IF(I2974="Trung bình",'Huong dan giao do an'!$B$8,IF(I2974="Khá",'Huong dan giao do an'!$B$9,'Huong dan giao do an'!$B$10))</f>
        <v>Tối thiểu 4 actor; 10-14 use case; 8-12 bảng; 3 quy trình lõi; phân quyền chi tiết; 2 báo cáo; tích hợp 1 dịch vụ; &gt;=35 test case; CI/CD hoặc deploy cloud.</v>
      </c>
      <c r="L2974" t="str">
        <f>'Huong dan giao do an'!$B$31</f>
        <v>Bắt buộc: Charter/PMP; SRS + scope/WBS; Gantt/baseline; effort-cost budget; RACI/timesheet; quality-test-defect; communication/minutes; risk register; procurement; change log; closure/lessons learned.</v>
      </c>
      <c r="M2974" t="str">
        <f>'Huong dan giao do an'!$B$33</f>
        <v>Tuần 1: 07.09–13.09.2026; Tuần 2: 14.09–20.09.2026; Tuần 3: 21.09–27.09.2026; Tuần 4: 28.09–04.10.2026; Tuần 5: 05.10–11.10.2026; Tuần 6: 12.10–18.10.2026; Tuần 7: 19.10–25.10.2026; Tuần 8: 26.10–01.11.2026.</v>
      </c>
      <c r="N29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4" s="17" t="str">
        <f t="shared" si="46"/>
        <v>Còn trống</v>
      </c>
    </row>
    <row r="2975" spans="1:16" x14ac:dyDescent="0.3">
      <c r="A2975">
        <v>2974</v>
      </c>
      <c r="B2975" t="s">
        <v>6665</v>
      </c>
      <c r="C2975" t="s">
        <v>6840</v>
      </c>
      <c r="D2975" t="s">
        <v>6841</v>
      </c>
      <c r="E2975" t="s">
        <v>33</v>
      </c>
      <c r="F2975" t="s">
        <v>6683</v>
      </c>
      <c r="G2975" t="s">
        <v>6715</v>
      </c>
      <c r="H2975" t="str">
        <f>'Huong dan giao do an'!$B$14</f>
        <v>5 SV (vai trò chính): 1 PM/Scrum Master kiêm Integration; 2 BA/PO; 3 UI-UX + Frontend; 4 Backend/API + DevOps; 5 Database + QA/Tester. Mỗi SV có nhiệm vụ phụ và minh chứng cá nhân.</v>
      </c>
      <c r="I2975" t="s">
        <v>29</v>
      </c>
      <c r="J2975" t="s">
        <v>6675</v>
      </c>
      <c r="K2975" t="str">
        <f>IF(I2975="Trung bình",'Huong dan giao do an'!$B$8,IF(I2975="Khá",'Huong dan giao do an'!$B$9,'Huong dan giao do an'!$B$10))</f>
        <v>Tối thiểu 5 actor; 14-18 use case; 10-15 bảng; 4 quy trình; tích hợp ngoài/realtime hoặc xử lý nâng cao; 3 báo cáo; &gt;=45 test case; logging, backup và deploy.</v>
      </c>
      <c r="L2975" t="str">
        <f>'Huong dan giao do an'!$B$31</f>
        <v>Bắt buộc: Charter/PMP; SRS + scope/WBS; Gantt/baseline; effort-cost budget; RACI/timesheet; quality-test-defect; communication/minutes; risk register; procurement; change log; closure/lessons learned.</v>
      </c>
      <c r="M2975" t="str">
        <f>'Huong dan giao do an'!$B$33</f>
        <v>Tuần 1: 07.09–13.09.2026; Tuần 2: 14.09–20.09.2026; Tuần 3: 21.09–27.09.2026; Tuần 4: 28.09–04.10.2026; Tuần 5: 05.10–11.10.2026; Tuần 6: 12.10–18.10.2026; Tuần 7: 19.10–25.10.2026; Tuần 8: 26.10–01.11.2026.</v>
      </c>
      <c r="N29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5" s="17" t="str">
        <f t="shared" si="46"/>
        <v>Còn trống</v>
      </c>
    </row>
    <row r="2976" spans="1:16" x14ac:dyDescent="0.3">
      <c r="A2976">
        <v>2975</v>
      </c>
      <c r="B2976" t="s">
        <v>6665</v>
      </c>
      <c r="C2976" t="s">
        <v>6842</v>
      </c>
      <c r="D2976" t="s">
        <v>6843</v>
      </c>
      <c r="E2976" t="s">
        <v>40</v>
      </c>
      <c r="F2976" t="s">
        <v>6687</v>
      </c>
      <c r="G2976" t="s">
        <v>6718</v>
      </c>
      <c r="H2976" t="str">
        <f>'Huong dan giao do an'!$B$14</f>
        <v>5 SV (vai trò chính): 1 PM/Scrum Master kiêm Integration; 2 BA/PO; 3 UI-UX + Frontend; 4 Backend/API + DevOps; 5 Database + QA/Tester. Mỗi SV có nhiệm vụ phụ và minh chứng cá nhân.</v>
      </c>
      <c r="I2976" t="s">
        <v>36</v>
      </c>
      <c r="J2976" t="s">
        <v>6680</v>
      </c>
      <c r="K2976" t="str">
        <f>IF(I2976="Trung bình",'Huong dan giao do an'!$B$8,IF(I2976="Khá",'Huong dan giao do an'!$B$9,'Huong dan giao do an'!$B$10))</f>
        <v>Tối thiểu 3 actor; 8-10 use case; 6-8 bảng dữ liệu; 2 quy trình lõi; đăng nhập/RBAC; 1 dashboard; 1 báo cáo; &gt;=25 test case; triển khai bản demo.</v>
      </c>
      <c r="L2976" t="str">
        <f>'Huong dan giao do an'!$B$31</f>
        <v>Bắt buộc: Charter/PMP; SRS + scope/WBS; Gantt/baseline; effort-cost budget; RACI/timesheet; quality-test-defect; communication/minutes; risk register; procurement; change log; closure/lessons learned.</v>
      </c>
      <c r="M2976" t="str">
        <f>'Huong dan giao do an'!$B$33</f>
        <v>Tuần 1: 07.09–13.09.2026; Tuần 2: 14.09–20.09.2026; Tuần 3: 21.09–27.09.2026; Tuần 4: 28.09–04.10.2026; Tuần 5: 05.10–11.10.2026; Tuần 6: 12.10–18.10.2026; Tuần 7: 19.10–25.10.2026; Tuần 8: 26.10–01.11.2026.</v>
      </c>
      <c r="N29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6" s="17" t="str">
        <f t="shared" si="46"/>
        <v>Còn trống</v>
      </c>
    </row>
    <row r="2977" spans="1:16" x14ac:dyDescent="0.3">
      <c r="A2977">
        <v>2976</v>
      </c>
      <c r="B2977" t="s">
        <v>6665</v>
      </c>
      <c r="C2977" t="s">
        <v>6844</v>
      </c>
      <c r="D2977" t="s">
        <v>6845</v>
      </c>
      <c r="E2977" t="s">
        <v>45</v>
      </c>
      <c r="F2977" t="s">
        <v>6668</v>
      </c>
      <c r="G2977" t="s">
        <v>6721</v>
      </c>
      <c r="H2977" t="str">
        <f>'Huong dan giao do an'!$B$14</f>
        <v>5 SV (vai trò chính): 1 PM/Scrum Master kiêm Integration; 2 BA/PO; 3 UI-UX + Frontend; 4 Backend/API + DevOps; 5 Database + QA/Tester. Mỗi SV có nhiệm vụ phụ và minh chứng cá nhân.</v>
      </c>
      <c r="I2977" t="s">
        <v>22</v>
      </c>
      <c r="J2977" t="s">
        <v>6670</v>
      </c>
      <c r="K2977" t="str">
        <f>IF(I2977="Trung bình",'Huong dan giao do an'!$B$8,IF(I2977="Khá",'Huong dan giao do an'!$B$9,'Huong dan giao do an'!$B$10))</f>
        <v>Tối thiểu 4 actor; 10-14 use case; 8-12 bảng; 3 quy trình lõi; phân quyền chi tiết; 2 báo cáo; tích hợp 1 dịch vụ; &gt;=35 test case; CI/CD hoặc deploy cloud.</v>
      </c>
      <c r="L2977" t="str">
        <f>'Huong dan giao do an'!$B$31</f>
        <v>Bắt buộc: Charter/PMP; SRS + scope/WBS; Gantt/baseline; effort-cost budget; RACI/timesheet; quality-test-defect; communication/minutes; risk register; procurement; change log; closure/lessons learned.</v>
      </c>
      <c r="M2977" t="str">
        <f>'Huong dan giao do an'!$B$33</f>
        <v>Tuần 1: 07.09–13.09.2026; Tuần 2: 14.09–20.09.2026; Tuần 3: 21.09–27.09.2026; Tuần 4: 28.09–04.10.2026; Tuần 5: 05.10–11.10.2026; Tuần 6: 12.10–18.10.2026; Tuần 7: 19.10–25.10.2026; Tuần 8: 26.10–01.11.2026.</v>
      </c>
      <c r="N29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7" s="17" t="str">
        <f t="shared" si="46"/>
        <v>Còn trống</v>
      </c>
    </row>
    <row r="2978" spans="1:16" x14ac:dyDescent="0.3">
      <c r="A2978">
        <v>2977</v>
      </c>
      <c r="B2978" t="s">
        <v>6665</v>
      </c>
      <c r="C2978" t="s">
        <v>6846</v>
      </c>
      <c r="D2978" t="s">
        <v>6847</v>
      </c>
      <c r="E2978" t="s">
        <v>19</v>
      </c>
      <c r="F2978" t="s">
        <v>6673</v>
      </c>
      <c r="G2978" t="s">
        <v>6724</v>
      </c>
      <c r="H2978" t="str">
        <f>'Huong dan giao do an'!$B$14</f>
        <v>5 SV (vai trò chính): 1 PM/Scrum Master kiêm Integration; 2 BA/PO; 3 UI-UX + Frontend; 4 Backend/API + DevOps; 5 Database + QA/Tester. Mỗi SV có nhiệm vụ phụ và minh chứng cá nhân.</v>
      </c>
      <c r="I2978" t="s">
        <v>29</v>
      </c>
      <c r="J2978" t="s">
        <v>6675</v>
      </c>
      <c r="K2978" t="str">
        <f>IF(I2978="Trung bình",'Huong dan giao do an'!$B$8,IF(I2978="Khá",'Huong dan giao do an'!$B$9,'Huong dan giao do an'!$B$10))</f>
        <v>Tối thiểu 5 actor; 14-18 use case; 10-15 bảng; 4 quy trình; tích hợp ngoài/realtime hoặc xử lý nâng cao; 3 báo cáo; &gt;=45 test case; logging, backup và deploy.</v>
      </c>
      <c r="L2978" t="str">
        <f>'Huong dan giao do an'!$B$31</f>
        <v>Bắt buộc: Charter/PMP; SRS + scope/WBS; Gantt/baseline; effort-cost budget; RACI/timesheet; quality-test-defect; communication/minutes; risk register; procurement; change log; closure/lessons learned.</v>
      </c>
      <c r="M2978" t="str">
        <f>'Huong dan giao do an'!$B$33</f>
        <v>Tuần 1: 07.09–13.09.2026; Tuần 2: 14.09–20.09.2026; Tuần 3: 21.09–27.09.2026; Tuần 4: 28.09–04.10.2026; Tuần 5: 05.10–11.10.2026; Tuần 6: 12.10–18.10.2026; Tuần 7: 19.10–25.10.2026; Tuần 8: 26.10–01.11.2026.</v>
      </c>
      <c r="N29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8" s="17" t="str">
        <f t="shared" si="46"/>
        <v>Còn trống</v>
      </c>
    </row>
    <row r="2979" spans="1:16" x14ac:dyDescent="0.3">
      <c r="A2979">
        <v>2978</v>
      </c>
      <c r="B2979" t="s">
        <v>6665</v>
      </c>
      <c r="C2979" t="s">
        <v>6848</v>
      </c>
      <c r="D2979" t="s">
        <v>6849</v>
      </c>
      <c r="E2979" t="s">
        <v>26</v>
      </c>
      <c r="F2979" t="s">
        <v>6678</v>
      </c>
      <c r="G2979" t="s">
        <v>6727</v>
      </c>
      <c r="H2979" t="str">
        <f>'Huong dan giao do an'!$B$14</f>
        <v>5 SV (vai trò chính): 1 PM/Scrum Master kiêm Integration; 2 BA/PO; 3 UI-UX + Frontend; 4 Backend/API + DevOps; 5 Database + QA/Tester. Mỗi SV có nhiệm vụ phụ và minh chứng cá nhân.</v>
      </c>
      <c r="I2979" t="s">
        <v>36</v>
      </c>
      <c r="J2979" t="s">
        <v>6680</v>
      </c>
      <c r="K2979" t="str">
        <f>IF(I2979="Trung bình",'Huong dan giao do an'!$B$8,IF(I2979="Khá",'Huong dan giao do an'!$B$9,'Huong dan giao do an'!$B$10))</f>
        <v>Tối thiểu 3 actor; 8-10 use case; 6-8 bảng dữ liệu; 2 quy trình lõi; đăng nhập/RBAC; 1 dashboard; 1 báo cáo; &gt;=25 test case; triển khai bản demo.</v>
      </c>
      <c r="L2979" t="str">
        <f>'Huong dan giao do an'!$B$31</f>
        <v>Bắt buộc: Charter/PMP; SRS + scope/WBS; Gantt/baseline; effort-cost budget; RACI/timesheet; quality-test-defect; communication/minutes; risk register; procurement; change log; closure/lessons learned.</v>
      </c>
      <c r="M2979" t="str">
        <f>'Huong dan giao do an'!$B$33</f>
        <v>Tuần 1: 07.09–13.09.2026; Tuần 2: 14.09–20.09.2026; Tuần 3: 21.09–27.09.2026; Tuần 4: 28.09–04.10.2026; Tuần 5: 05.10–11.10.2026; Tuần 6: 12.10–18.10.2026; Tuần 7: 19.10–25.10.2026; Tuần 8: 26.10–01.11.2026.</v>
      </c>
      <c r="N29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79" s="17" t="str">
        <f t="shared" si="46"/>
        <v>Còn trống</v>
      </c>
    </row>
    <row r="2980" spans="1:16" x14ac:dyDescent="0.3">
      <c r="A2980">
        <v>2979</v>
      </c>
      <c r="B2980" t="s">
        <v>6665</v>
      </c>
      <c r="C2980" t="s">
        <v>6850</v>
      </c>
      <c r="D2980" t="s">
        <v>6851</v>
      </c>
      <c r="E2980" t="s">
        <v>33</v>
      </c>
      <c r="F2980" t="s">
        <v>6683</v>
      </c>
      <c r="G2980" t="s">
        <v>6730</v>
      </c>
      <c r="H2980" t="str">
        <f>'Huong dan giao do an'!$B$14</f>
        <v>5 SV (vai trò chính): 1 PM/Scrum Master kiêm Integration; 2 BA/PO; 3 UI-UX + Frontend; 4 Backend/API + DevOps; 5 Database + QA/Tester. Mỗi SV có nhiệm vụ phụ và minh chứng cá nhân.</v>
      </c>
      <c r="I2980" t="s">
        <v>22</v>
      </c>
      <c r="J2980" t="s">
        <v>6670</v>
      </c>
      <c r="K2980" t="str">
        <f>IF(I2980="Trung bình",'Huong dan giao do an'!$B$8,IF(I2980="Khá",'Huong dan giao do an'!$B$9,'Huong dan giao do an'!$B$10))</f>
        <v>Tối thiểu 4 actor; 10-14 use case; 8-12 bảng; 3 quy trình lõi; phân quyền chi tiết; 2 báo cáo; tích hợp 1 dịch vụ; &gt;=35 test case; CI/CD hoặc deploy cloud.</v>
      </c>
      <c r="L2980" t="str">
        <f>'Huong dan giao do an'!$B$31</f>
        <v>Bắt buộc: Charter/PMP; SRS + scope/WBS; Gantt/baseline; effort-cost budget; RACI/timesheet; quality-test-defect; communication/minutes; risk register; procurement; change log; closure/lessons learned.</v>
      </c>
      <c r="M2980" t="str">
        <f>'Huong dan giao do an'!$B$33</f>
        <v>Tuần 1: 07.09–13.09.2026; Tuần 2: 14.09–20.09.2026; Tuần 3: 21.09–27.09.2026; Tuần 4: 28.09–04.10.2026; Tuần 5: 05.10–11.10.2026; Tuần 6: 12.10–18.10.2026; Tuần 7: 19.10–25.10.2026; Tuần 8: 26.10–01.11.2026.</v>
      </c>
      <c r="N29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0" s="17" t="str">
        <f t="shared" si="46"/>
        <v>Còn trống</v>
      </c>
    </row>
    <row r="2981" spans="1:16" x14ac:dyDescent="0.3">
      <c r="A2981">
        <v>2980</v>
      </c>
      <c r="B2981" t="s">
        <v>6665</v>
      </c>
      <c r="C2981" t="s">
        <v>6852</v>
      </c>
      <c r="D2981" t="s">
        <v>6853</v>
      </c>
      <c r="E2981" t="s">
        <v>40</v>
      </c>
      <c r="F2981" t="s">
        <v>6687</v>
      </c>
      <c r="G2981" t="s">
        <v>6733</v>
      </c>
      <c r="H2981" t="str">
        <f>'Huong dan giao do an'!$B$14</f>
        <v>5 SV (vai trò chính): 1 PM/Scrum Master kiêm Integration; 2 BA/PO; 3 UI-UX + Frontend; 4 Backend/API + DevOps; 5 Database + QA/Tester. Mỗi SV có nhiệm vụ phụ và minh chứng cá nhân.</v>
      </c>
      <c r="I2981" t="s">
        <v>29</v>
      </c>
      <c r="J2981" t="s">
        <v>6675</v>
      </c>
      <c r="K2981" t="str">
        <f>IF(I2981="Trung bình",'Huong dan giao do an'!$B$8,IF(I2981="Khá",'Huong dan giao do an'!$B$9,'Huong dan giao do an'!$B$10))</f>
        <v>Tối thiểu 5 actor; 14-18 use case; 10-15 bảng; 4 quy trình; tích hợp ngoài/realtime hoặc xử lý nâng cao; 3 báo cáo; &gt;=45 test case; logging, backup và deploy.</v>
      </c>
      <c r="L2981" t="str">
        <f>'Huong dan giao do an'!$B$31</f>
        <v>Bắt buộc: Charter/PMP; SRS + scope/WBS; Gantt/baseline; effort-cost budget; RACI/timesheet; quality-test-defect; communication/minutes; risk register; procurement; change log; closure/lessons learned.</v>
      </c>
      <c r="M2981" t="str">
        <f>'Huong dan giao do an'!$B$33</f>
        <v>Tuần 1: 07.09–13.09.2026; Tuần 2: 14.09–20.09.2026; Tuần 3: 21.09–27.09.2026; Tuần 4: 28.09–04.10.2026; Tuần 5: 05.10–11.10.2026; Tuần 6: 12.10–18.10.2026; Tuần 7: 19.10–25.10.2026; Tuần 8: 26.10–01.11.2026.</v>
      </c>
      <c r="N29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1" s="17" t="str">
        <f t="shared" si="46"/>
        <v>Còn trống</v>
      </c>
    </row>
    <row r="2982" spans="1:16" x14ac:dyDescent="0.3">
      <c r="A2982">
        <v>2981</v>
      </c>
      <c r="B2982" t="s">
        <v>6665</v>
      </c>
      <c r="C2982" t="s">
        <v>6854</v>
      </c>
      <c r="D2982" t="s">
        <v>6855</v>
      </c>
      <c r="E2982" t="s">
        <v>45</v>
      </c>
      <c r="F2982" t="s">
        <v>6668</v>
      </c>
      <c r="G2982" t="s">
        <v>6669</v>
      </c>
      <c r="H2982" t="str">
        <f>'Huong dan giao do an'!$B$14</f>
        <v>5 SV (vai trò chính): 1 PM/Scrum Master kiêm Integration; 2 BA/PO; 3 UI-UX + Frontend; 4 Backend/API + DevOps; 5 Database + QA/Tester. Mỗi SV có nhiệm vụ phụ và minh chứng cá nhân.</v>
      </c>
      <c r="I2982" t="s">
        <v>22</v>
      </c>
      <c r="J2982" t="s">
        <v>6670</v>
      </c>
      <c r="K2982" t="str">
        <f>IF(I2982="Trung bình",'Huong dan giao do an'!$B$8,IF(I2982="Khá",'Huong dan giao do an'!$B$9,'Huong dan giao do an'!$B$10))</f>
        <v>Tối thiểu 4 actor; 10-14 use case; 8-12 bảng; 3 quy trình lõi; phân quyền chi tiết; 2 báo cáo; tích hợp 1 dịch vụ; &gt;=35 test case; CI/CD hoặc deploy cloud.</v>
      </c>
      <c r="L2982" t="str">
        <f>'Huong dan giao do an'!$B$31</f>
        <v>Bắt buộc: Charter/PMP; SRS + scope/WBS; Gantt/baseline; effort-cost budget; RACI/timesheet; quality-test-defect; communication/minutes; risk register; procurement; change log; closure/lessons learned.</v>
      </c>
      <c r="M2982" t="str">
        <f>'Huong dan giao do an'!$B$33</f>
        <v>Tuần 1: 07.09–13.09.2026; Tuần 2: 14.09–20.09.2026; Tuần 3: 21.09–27.09.2026; Tuần 4: 28.09–04.10.2026; Tuần 5: 05.10–11.10.2026; Tuần 6: 12.10–18.10.2026; Tuần 7: 19.10–25.10.2026; Tuần 8: 26.10–01.11.2026.</v>
      </c>
      <c r="N29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2" s="17" t="str">
        <f t="shared" si="46"/>
        <v>Còn trống</v>
      </c>
    </row>
    <row r="2983" spans="1:16" x14ac:dyDescent="0.3">
      <c r="A2983">
        <v>2982</v>
      </c>
      <c r="B2983" t="s">
        <v>6665</v>
      </c>
      <c r="C2983" t="s">
        <v>6856</v>
      </c>
      <c r="D2983" t="s">
        <v>6857</v>
      </c>
      <c r="E2983" t="s">
        <v>19</v>
      </c>
      <c r="F2983" t="s">
        <v>6673</v>
      </c>
      <c r="G2983" t="s">
        <v>6674</v>
      </c>
      <c r="H2983" t="str">
        <f>'Huong dan giao do an'!$B$14</f>
        <v>5 SV (vai trò chính): 1 PM/Scrum Master kiêm Integration; 2 BA/PO; 3 UI-UX + Frontend; 4 Backend/API + DevOps; 5 Database + QA/Tester. Mỗi SV có nhiệm vụ phụ và minh chứng cá nhân.</v>
      </c>
      <c r="I2983" t="s">
        <v>29</v>
      </c>
      <c r="J2983" t="s">
        <v>6675</v>
      </c>
      <c r="K2983" t="str">
        <f>IF(I2983="Trung bình",'Huong dan giao do an'!$B$8,IF(I2983="Khá",'Huong dan giao do an'!$B$9,'Huong dan giao do an'!$B$10))</f>
        <v>Tối thiểu 5 actor; 14-18 use case; 10-15 bảng; 4 quy trình; tích hợp ngoài/realtime hoặc xử lý nâng cao; 3 báo cáo; &gt;=45 test case; logging, backup và deploy.</v>
      </c>
      <c r="L2983" t="str">
        <f>'Huong dan giao do an'!$B$31</f>
        <v>Bắt buộc: Charter/PMP; SRS + scope/WBS; Gantt/baseline; effort-cost budget; RACI/timesheet; quality-test-defect; communication/minutes; risk register; procurement; change log; closure/lessons learned.</v>
      </c>
      <c r="M2983" t="str">
        <f>'Huong dan giao do an'!$B$33</f>
        <v>Tuần 1: 07.09–13.09.2026; Tuần 2: 14.09–20.09.2026; Tuần 3: 21.09–27.09.2026; Tuần 4: 28.09–04.10.2026; Tuần 5: 05.10–11.10.2026; Tuần 6: 12.10–18.10.2026; Tuần 7: 19.10–25.10.2026; Tuần 8: 26.10–01.11.2026.</v>
      </c>
      <c r="N29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3" s="17" t="str">
        <f t="shared" si="46"/>
        <v>Còn trống</v>
      </c>
    </row>
    <row r="2984" spans="1:16" x14ac:dyDescent="0.3">
      <c r="A2984">
        <v>2983</v>
      </c>
      <c r="B2984" t="s">
        <v>6665</v>
      </c>
      <c r="C2984" t="s">
        <v>6858</v>
      </c>
      <c r="D2984" t="s">
        <v>6859</v>
      </c>
      <c r="E2984" t="s">
        <v>26</v>
      </c>
      <c r="F2984" t="s">
        <v>6678</v>
      </c>
      <c r="G2984" t="s">
        <v>6679</v>
      </c>
      <c r="H2984" t="str">
        <f>'Huong dan giao do an'!$B$14</f>
        <v>5 SV (vai trò chính): 1 PM/Scrum Master kiêm Integration; 2 BA/PO; 3 UI-UX + Frontend; 4 Backend/API + DevOps; 5 Database + QA/Tester. Mỗi SV có nhiệm vụ phụ và minh chứng cá nhân.</v>
      </c>
      <c r="I2984" t="s">
        <v>36</v>
      </c>
      <c r="J2984" t="s">
        <v>6680</v>
      </c>
      <c r="K2984" t="str">
        <f>IF(I2984="Trung bình",'Huong dan giao do an'!$B$8,IF(I2984="Khá",'Huong dan giao do an'!$B$9,'Huong dan giao do an'!$B$10))</f>
        <v>Tối thiểu 3 actor; 8-10 use case; 6-8 bảng dữ liệu; 2 quy trình lõi; đăng nhập/RBAC; 1 dashboard; 1 báo cáo; &gt;=25 test case; triển khai bản demo.</v>
      </c>
      <c r="L2984" t="str">
        <f>'Huong dan giao do an'!$B$31</f>
        <v>Bắt buộc: Charter/PMP; SRS + scope/WBS; Gantt/baseline; effort-cost budget; RACI/timesheet; quality-test-defect; communication/minutes; risk register; procurement; change log; closure/lessons learned.</v>
      </c>
      <c r="M2984" t="str">
        <f>'Huong dan giao do an'!$B$33</f>
        <v>Tuần 1: 07.09–13.09.2026; Tuần 2: 14.09–20.09.2026; Tuần 3: 21.09–27.09.2026; Tuần 4: 28.09–04.10.2026; Tuần 5: 05.10–11.10.2026; Tuần 6: 12.10–18.10.2026; Tuần 7: 19.10–25.10.2026; Tuần 8: 26.10–01.11.2026.</v>
      </c>
      <c r="N29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4" s="17" t="str">
        <f t="shared" si="46"/>
        <v>Còn trống</v>
      </c>
    </row>
    <row r="2985" spans="1:16" x14ac:dyDescent="0.3">
      <c r="A2985">
        <v>2984</v>
      </c>
      <c r="B2985" t="s">
        <v>6665</v>
      </c>
      <c r="C2985" t="s">
        <v>6860</v>
      </c>
      <c r="D2985" t="s">
        <v>6861</v>
      </c>
      <c r="E2985" t="s">
        <v>33</v>
      </c>
      <c r="F2985" t="s">
        <v>6683</v>
      </c>
      <c r="G2985" t="s">
        <v>6684</v>
      </c>
      <c r="H2985" t="str">
        <f>'Huong dan giao do an'!$B$14</f>
        <v>5 SV (vai trò chính): 1 PM/Scrum Master kiêm Integration; 2 BA/PO; 3 UI-UX + Frontend; 4 Backend/API + DevOps; 5 Database + QA/Tester. Mỗi SV có nhiệm vụ phụ và minh chứng cá nhân.</v>
      </c>
      <c r="I2985" t="s">
        <v>22</v>
      </c>
      <c r="J2985" t="s">
        <v>6670</v>
      </c>
      <c r="K2985" t="str">
        <f>IF(I2985="Trung bình",'Huong dan giao do an'!$B$8,IF(I2985="Khá",'Huong dan giao do an'!$B$9,'Huong dan giao do an'!$B$10))</f>
        <v>Tối thiểu 4 actor; 10-14 use case; 8-12 bảng; 3 quy trình lõi; phân quyền chi tiết; 2 báo cáo; tích hợp 1 dịch vụ; &gt;=35 test case; CI/CD hoặc deploy cloud.</v>
      </c>
      <c r="L2985" t="str">
        <f>'Huong dan giao do an'!$B$31</f>
        <v>Bắt buộc: Charter/PMP; SRS + scope/WBS; Gantt/baseline; effort-cost budget; RACI/timesheet; quality-test-defect; communication/minutes; risk register; procurement; change log; closure/lessons learned.</v>
      </c>
      <c r="M2985" t="str">
        <f>'Huong dan giao do an'!$B$33</f>
        <v>Tuần 1: 07.09–13.09.2026; Tuần 2: 14.09–20.09.2026; Tuần 3: 21.09–27.09.2026; Tuần 4: 28.09–04.10.2026; Tuần 5: 05.10–11.10.2026; Tuần 6: 12.10–18.10.2026; Tuần 7: 19.10–25.10.2026; Tuần 8: 26.10–01.11.2026.</v>
      </c>
      <c r="N29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5" s="17" t="str">
        <f t="shared" si="46"/>
        <v>Còn trống</v>
      </c>
    </row>
    <row r="2986" spans="1:16" x14ac:dyDescent="0.3">
      <c r="A2986">
        <v>2985</v>
      </c>
      <c r="B2986" t="s">
        <v>6665</v>
      </c>
      <c r="C2986" t="s">
        <v>6862</v>
      </c>
      <c r="D2986" t="s">
        <v>6863</v>
      </c>
      <c r="E2986" t="s">
        <v>40</v>
      </c>
      <c r="F2986" t="s">
        <v>6687</v>
      </c>
      <c r="G2986" t="s">
        <v>6688</v>
      </c>
      <c r="H2986" t="str">
        <f>'Huong dan giao do an'!$B$14</f>
        <v>5 SV (vai trò chính): 1 PM/Scrum Master kiêm Integration; 2 BA/PO; 3 UI-UX + Frontend; 4 Backend/API + DevOps; 5 Database + QA/Tester. Mỗi SV có nhiệm vụ phụ và minh chứng cá nhân.</v>
      </c>
      <c r="I2986" t="s">
        <v>29</v>
      </c>
      <c r="J2986" t="s">
        <v>6675</v>
      </c>
      <c r="K2986" t="str">
        <f>IF(I2986="Trung bình",'Huong dan giao do an'!$B$8,IF(I2986="Khá",'Huong dan giao do an'!$B$9,'Huong dan giao do an'!$B$10))</f>
        <v>Tối thiểu 5 actor; 14-18 use case; 10-15 bảng; 4 quy trình; tích hợp ngoài/realtime hoặc xử lý nâng cao; 3 báo cáo; &gt;=45 test case; logging, backup và deploy.</v>
      </c>
      <c r="L2986" t="str">
        <f>'Huong dan giao do an'!$B$31</f>
        <v>Bắt buộc: Charter/PMP; SRS + scope/WBS; Gantt/baseline; effort-cost budget; RACI/timesheet; quality-test-defect; communication/minutes; risk register; procurement; change log; closure/lessons learned.</v>
      </c>
      <c r="M2986" t="str">
        <f>'Huong dan giao do an'!$B$33</f>
        <v>Tuần 1: 07.09–13.09.2026; Tuần 2: 14.09–20.09.2026; Tuần 3: 21.09–27.09.2026; Tuần 4: 28.09–04.10.2026; Tuần 5: 05.10–11.10.2026; Tuần 6: 12.10–18.10.2026; Tuần 7: 19.10–25.10.2026; Tuần 8: 26.10–01.11.2026.</v>
      </c>
      <c r="N29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6" s="17" t="str">
        <f t="shared" si="46"/>
        <v>Còn trống</v>
      </c>
    </row>
    <row r="2987" spans="1:16" x14ac:dyDescent="0.3">
      <c r="A2987">
        <v>2986</v>
      </c>
      <c r="B2987" t="s">
        <v>6665</v>
      </c>
      <c r="C2987" t="s">
        <v>6864</v>
      </c>
      <c r="D2987" t="s">
        <v>6865</v>
      </c>
      <c r="E2987" t="s">
        <v>45</v>
      </c>
      <c r="F2987" t="s">
        <v>6668</v>
      </c>
      <c r="G2987" t="s">
        <v>6691</v>
      </c>
      <c r="H2987" t="str">
        <f>'Huong dan giao do an'!$B$14</f>
        <v>5 SV (vai trò chính): 1 PM/Scrum Master kiêm Integration; 2 BA/PO; 3 UI-UX + Frontend; 4 Backend/API + DevOps; 5 Database + QA/Tester. Mỗi SV có nhiệm vụ phụ và minh chứng cá nhân.</v>
      </c>
      <c r="I2987" t="s">
        <v>36</v>
      </c>
      <c r="J2987" t="s">
        <v>6680</v>
      </c>
      <c r="K2987" t="str">
        <f>IF(I2987="Trung bình",'Huong dan giao do an'!$B$8,IF(I2987="Khá",'Huong dan giao do an'!$B$9,'Huong dan giao do an'!$B$10))</f>
        <v>Tối thiểu 3 actor; 8-10 use case; 6-8 bảng dữ liệu; 2 quy trình lõi; đăng nhập/RBAC; 1 dashboard; 1 báo cáo; &gt;=25 test case; triển khai bản demo.</v>
      </c>
      <c r="L2987" t="str">
        <f>'Huong dan giao do an'!$B$31</f>
        <v>Bắt buộc: Charter/PMP; SRS + scope/WBS; Gantt/baseline; effort-cost budget; RACI/timesheet; quality-test-defect; communication/minutes; risk register; procurement; change log; closure/lessons learned.</v>
      </c>
      <c r="M2987" t="str">
        <f>'Huong dan giao do an'!$B$33</f>
        <v>Tuần 1: 07.09–13.09.2026; Tuần 2: 14.09–20.09.2026; Tuần 3: 21.09–27.09.2026; Tuần 4: 28.09–04.10.2026; Tuần 5: 05.10–11.10.2026; Tuần 6: 12.10–18.10.2026; Tuần 7: 19.10–25.10.2026; Tuần 8: 26.10–01.11.2026.</v>
      </c>
      <c r="N29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7" s="17" t="str">
        <f t="shared" si="46"/>
        <v>Còn trống</v>
      </c>
    </row>
    <row r="2988" spans="1:16" x14ac:dyDescent="0.3">
      <c r="A2988">
        <v>2987</v>
      </c>
      <c r="B2988" t="s">
        <v>6665</v>
      </c>
      <c r="C2988" t="s">
        <v>6866</v>
      </c>
      <c r="D2988" t="s">
        <v>6867</v>
      </c>
      <c r="E2988" t="s">
        <v>19</v>
      </c>
      <c r="F2988" t="s">
        <v>6673</v>
      </c>
      <c r="G2988" t="s">
        <v>6694</v>
      </c>
      <c r="H2988" t="str">
        <f>'Huong dan giao do an'!$B$14</f>
        <v>5 SV (vai trò chính): 1 PM/Scrum Master kiêm Integration; 2 BA/PO; 3 UI-UX + Frontend; 4 Backend/API + DevOps; 5 Database + QA/Tester. Mỗi SV có nhiệm vụ phụ và minh chứng cá nhân.</v>
      </c>
      <c r="I2988" t="s">
        <v>22</v>
      </c>
      <c r="J2988" t="s">
        <v>6670</v>
      </c>
      <c r="K2988" t="str">
        <f>IF(I2988="Trung bình",'Huong dan giao do an'!$B$8,IF(I2988="Khá",'Huong dan giao do an'!$B$9,'Huong dan giao do an'!$B$10))</f>
        <v>Tối thiểu 4 actor; 10-14 use case; 8-12 bảng; 3 quy trình lõi; phân quyền chi tiết; 2 báo cáo; tích hợp 1 dịch vụ; &gt;=35 test case; CI/CD hoặc deploy cloud.</v>
      </c>
      <c r="L2988" t="str">
        <f>'Huong dan giao do an'!$B$31</f>
        <v>Bắt buộc: Charter/PMP; SRS + scope/WBS; Gantt/baseline; effort-cost budget; RACI/timesheet; quality-test-defect; communication/minutes; risk register; procurement; change log; closure/lessons learned.</v>
      </c>
      <c r="M2988" t="str">
        <f>'Huong dan giao do an'!$B$33</f>
        <v>Tuần 1: 07.09–13.09.2026; Tuần 2: 14.09–20.09.2026; Tuần 3: 21.09–27.09.2026; Tuần 4: 28.09–04.10.2026; Tuần 5: 05.10–11.10.2026; Tuần 6: 12.10–18.10.2026; Tuần 7: 19.10–25.10.2026; Tuần 8: 26.10–01.11.2026.</v>
      </c>
      <c r="N29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8" s="17" t="str">
        <f t="shared" si="46"/>
        <v>Còn trống</v>
      </c>
    </row>
    <row r="2989" spans="1:16" x14ac:dyDescent="0.3">
      <c r="A2989">
        <v>2988</v>
      </c>
      <c r="B2989" t="s">
        <v>6665</v>
      </c>
      <c r="C2989" t="s">
        <v>6868</v>
      </c>
      <c r="D2989" t="s">
        <v>6869</v>
      </c>
      <c r="E2989" t="s">
        <v>26</v>
      </c>
      <c r="F2989" t="s">
        <v>6678</v>
      </c>
      <c r="G2989" t="s">
        <v>6697</v>
      </c>
      <c r="H2989" t="str">
        <f>'Huong dan giao do an'!$B$14</f>
        <v>5 SV (vai trò chính): 1 PM/Scrum Master kiêm Integration; 2 BA/PO; 3 UI-UX + Frontend; 4 Backend/API + DevOps; 5 Database + QA/Tester. Mỗi SV có nhiệm vụ phụ và minh chứng cá nhân.</v>
      </c>
      <c r="I2989" t="s">
        <v>29</v>
      </c>
      <c r="J2989" t="s">
        <v>6675</v>
      </c>
      <c r="K2989" t="str">
        <f>IF(I2989="Trung bình",'Huong dan giao do an'!$B$8,IF(I2989="Khá",'Huong dan giao do an'!$B$9,'Huong dan giao do an'!$B$10))</f>
        <v>Tối thiểu 5 actor; 14-18 use case; 10-15 bảng; 4 quy trình; tích hợp ngoài/realtime hoặc xử lý nâng cao; 3 báo cáo; &gt;=45 test case; logging, backup và deploy.</v>
      </c>
      <c r="L2989" t="str">
        <f>'Huong dan giao do an'!$B$31</f>
        <v>Bắt buộc: Charter/PMP; SRS + scope/WBS; Gantt/baseline; effort-cost budget; RACI/timesheet; quality-test-defect; communication/minutes; risk register; procurement; change log; closure/lessons learned.</v>
      </c>
      <c r="M2989" t="str">
        <f>'Huong dan giao do an'!$B$33</f>
        <v>Tuần 1: 07.09–13.09.2026; Tuần 2: 14.09–20.09.2026; Tuần 3: 21.09–27.09.2026; Tuần 4: 28.09–04.10.2026; Tuần 5: 05.10–11.10.2026; Tuần 6: 12.10–18.10.2026; Tuần 7: 19.10–25.10.2026; Tuần 8: 26.10–01.11.2026.</v>
      </c>
      <c r="N29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89" s="17" t="str">
        <f t="shared" si="46"/>
        <v>Còn trống</v>
      </c>
    </row>
    <row r="2990" spans="1:16" x14ac:dyDescent="0.3">
      <c r="A2990">
        <v>2989</v>
      </c>
      <c r="B2990" t="s">
        <v>6665</v>
      </c>
      <c r="C2990" t="s">
        <v>6870</v>
      </c>
      <c r="D2990" t="s">
        <v>6871</v>
      </c>
      <c r="E2990" t="s">
        <v>33</v>
      </c>
      <c r="F2990" t="s">
        <v>6683</v>
      </c>
      <c r="G2990" t="s">
        <v>6700</v>
      </c>
      <c r="H2990" t="str">
        <f>'Huong dan giao do an'!$B$14</f>
        <v>5 SV (vai trò chính): 1 PM/Scrum Master kiêm Integration; 2 BA/PO; 3 UI-UX + Frontend; 4 Backend/API + DevOps; 5 Database + QA/Tester. Mỗi SV có nhiệm vụ phụ và minh chứng cá nhân.</v>
      </c>
      <c r="I2990" t="s">
        <v>36</v>
      </c>
      <c r="J2990" t="s">
        <v>6680</v>
      </c>
      <c r="K2990" t="str">
        <f>IF(I2990="Trung bình",'Huong dan giao do an'!$B$8,IF(I2990="Khá",'Huong dan giao do an'!$B$9,'Huong dan giao do an'!$B$10))</f>
        <v>Tối thiểu 3 actor; 8-10 use case; 6-8 bảng dữ liệu; 2 quy trình lõi; đăng nhập/RBAC; 1 dashboard; 1 báo cáo; &gt;=25 test case; triển khai bản demo.</v>
      </c>
      <c r="L2990" t="str">
        <f>'Huong dan giao do an'!$B$31</f>
        <v>Bắt buộc: Charter/PMP; SRS + scope/WBS; Gantt/baseline; effort-cost budget; RACI/timesheet; quality-test-defect; communication/minutes; risk register; procurement; change log; closure/lessons learned.</v>
      </c>
      <c r="M2990" t="str">
        <f>'Huong dan giao do an'!$B$33</f>
        <v>Tuần 1: 07.09–13.09.2026; Tuần 2: 14.09–20.09.2026; Tuần 3: 21.09–27.09.2026; Tuần 4: 28.09–04.10.2026; Tuần 5: 05.10–11.10.2026; Tuần 6: 12.10–18.10.2026; Tuần 7: 19.10–25.10.2026; Tuần 8: 26.10–01.11.2026.</v>
      </c>
      <c r="N29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0" s="17" t="str">
        <f t="shared" si="46"/>
        <v>Còn trống</v>
      </c>
    </row>
    <row r="2991" spans="1:16" x14ac:dyDescent="0.3">
      <c r="A2991">
        <v>2990</v>
      </c>
      <c r="B2991" t="s">
        <v>6665</v>
      </c>
      <c r="C2991" t="s">
        <v>6872</v>
      </c>
      <c r="D2991" t="s">
        <v>6873</v>
      </c>
      <c r="E2991" t="s">
        <v>40</v>
      </c>
      <c r="F2991" t="s">
        <v>6687</v>
      </c>
      <c r="G2991" t="s">
        <v>6703</v>
      </c>
      <c r="H2991" t="str">
        <f>'Huong dan giao do an'!$B$14</f>
        <v>5 SV (vai trò chính): 1 PM/Scrum Master kiêm Integration; 2 BA/PO; 3 UI-UX + Frontend; 4 Backend/API + DevOps; 5 Database + QA/Tester. Mỗi SV có nhiệm vụ phụ và minh chứng cá nhân.</v>
      </c>
      <c r="I2991" t="s">
        <v>22</v>
      </c>
      <c r="J2991" t="s">
        <v>6670</v>
      </c>
      <c r="K2991" t="str">
        <f>IF(I2991="Trung bình",'Huong dan giao do an'!$B$8,IF(I2991="Khá",'Huong dan giao do an'!$B$9,'Huong dan giao do an'!$B$10))</f>
        <v>Tối thiểu 4 actor; 10-14 use case; 8-12 bảng; 3 quy trình lõi; phân quyền chi tiết; 2 báo cáo; tích hợp 1 dịch vụ; &gt;=35 test case; CI/CD hoặc deploy cloud.</v>
      </c>
      <c r="L2991" t="str">
        <f>'Huong dan giao do an'!$B$31</f>
        <v>Bắt buộc: Charter/PMP; SRS + scope/WBS; Gantt/baseline; effort-cost budget; RACI/timesheet; quality-test-defect; communication/minutes; risk register; procurement; change log; closure/lessons learned.</v>
      </c>
      <c r="M2991" t="str">
        <f>'Huong dan giao do an'!$B$33</f>
        <v>Tuần 1: 07.09–13.09.2026; Tuần 2: 14.09–20.09.2026; Tuần 3: 21.09–27.09.2026; Tuần 4: 28.09–04.10.2026; Tuần 5: 05.10–11.10.2026; Tuần 6: 12.10–18.10.2026; Tuần 7: 19.10–25.10.2026; Tuần 8: 26.10–01.11.2026.</v>
      </c>
      <c r="N29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1" s="17" t="str">
        <f t="shared" si="46"/>
        <v>Còn trống</v>
      </c>
    </row>
    <row r="2992" spans="1:16" x14ac:dyDescent="0.3">
      <c r="A2992">
        <v>2991</v>
      </c>
      <c r="B2992" t="s">
        <v>6665</v>
      </c>
      <c r="C2992" t="s">
        <v>6874</v>
      </c>
      <c r="D2992" t="s">
        <v>6875</v>
      </c>
      <c r="E2992" t="s">
        <v>45</v>
      </c>
      <c r="F2992" t="s">
        <v>6668</v>
      </c>
      <c r="G2992" t="s">
        <v>6706</v>
      </c>
      <c r="H2992" t="str">
        <f>'Huong dan giao do an'!$B$14</f>
        <v>5 SV (vai trò chính): 1 PM/Scrum Master kiêm Integration; 2 BA/PO; 3 UI-UX + Frontend; 4 Backend/API + DevOps; 5 Database + QA/Tester. Mỗi SV có nhiệm vụ phụ và minh chứng cá nhân.</v>
      </c>
      <c r="I2992" t="s">
        <v>29</v>
      </c>
      <c r="J2992" t="s">
        <v>6675</v>
      </c>
      <c r="K2992" t="str">
        <f>IF(I2992="Trung bình",'Huong dan giao do an'!$B$8,IF(I2992="Khá",'Huong dan giao do an'!$B$9,'Huong dan giao do an'!$B$10))</f>
        <v>Tối thiểu 5 actor; 14-18 use case; 10-15 bảng; 4 quy trình; tích hợp ngoài/realtime hoặc xử lý nâng cao; 3 báo cáo; &gt;=45 test case; logging, backup và deploy.</v>
      </c>
      <c r="L2992" t="str">
        <f>'Huong dan giao do an'!$B$31</f>
        <v>Bắt buộc: Charter/PMP; SRS + scope/WBS; Gantt/baseline; effort-cost budget; RACI/timesheet; quality-test-defect; communication/minutes; risk register; procurement; change log; closure/lessons learned.</v>
      </c>
      <c r="M2992" t="str">
        <f>'Huong dan giao do an'!$B$33</f>
        <v>Tuần 1: 07.09–13.09.2026; Tuần 2: 14.09–20.09.2026; Tuần 3: 21.09–27.09.2026; Tuần 4: 28.09–04.10.2026; Tuần 5: 05.10–11.10.2026; Tuần 6: 12.10–18.10.2026; Tuần 7: 19.10–25.10.2026; Tuần 8: 26.10–01.11.2026.</v>
      </c>
      <c r="N29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2" s="17" t="str">
        <f t="shared" si="46"/>
        <v>Còn trống</v>
      </c>
    </row>
    <row r="2993" spans="1:16" x14ac:dyDescent="0.3">
      <c r="A2993">
        <v>2992</v>
      </c>
      <c r="B2993" t="s">
        <v>6665</v>
      </c>
      <c r="C2993" t="s">
        <v>6876</v>
      </c>
      <c r="D2993" t="s">
        <v>6877</v>
      </c>
      <c r="E2993" t="s">
        <v>19</v>
      </c>
      <c r="F2993" t="s">
        <v>6673</v>
      </c>
      <c r="G2993" t="s">
        <v>6709</v>
      </c>
      <c r="H2993" t="str">
        <f>'Huong dan giao do an'!$B$14</f>
        <v>5 SV (vai trò chính): 1 PM/Scrum Master kiêm Integration; 2 BA/PO; 3 UI-UX + Frontend; 4 Backend/API + DevOps; 5 Database + QA/Tester. Mỗi SV có nhiệm vụ phụ và minh chứng cá nhân.</v>
      </c>
      <c r="I2993" t="s">
        <v>36</v>
      </c>
      <c r="J2993" t="s">
        <v>6680</v>
      </c>
      <c r="K2993" t="str">
        <f>IF(I2993="Trung bình",'Huong dan giao do an'!$B$8,IF(I2993="Khá",'Huong dan giao do an'!$B$9,'Huong dan giao do an'!$B$10))</f>
        <v>Tối thiểu 3 actor; 8-10 use case; 6-8 bảng dữ liệu; 2 quy trình lõi; đăng nhập/RBAC; 1 dashboard; 1 báo cáo; &gt;=25 test case; triển khai bản demo.</v>
      </c>
      <c r="L2993" t="str">
        <f>'Huong dan giao do an'!$B$31</f>
        <v>Bắt buộc: Charter/PMP; SRS + scope/WBS; Gantt/baseline; effort-cost budget; RACI/timesheet; quality-test-defect; communication/minutes; risk register; procurement; change log; closure/lessons learned.</v>
      </c>
      <c r="M2993" t="str">
        <f>'Huong dan giao do an'!$B$33</f>
        <v>Tuần 1: 07.09–13.09.2026; Tuần 2: 14.09–20.09.2026; Tuần 3: 21.09–27.09.2026; Tuần 4: 28.09–04.10.2026; Tuần 5: 05.10–11.10.2026; Tuần 6: 12.10–18.10.2026; Tuần 7: 19.10–25.10.2026; Tuần 8: 26.10–01.11.2026.</v>
      </c>
      <c r="N29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3" s="17" t="str">
        <f t="shared" si="46"/>
        <v>Còn trống</v>
      </c>
    </row>
    <row r="2994" spans="1:16" x14ac:dyDescent="0.3">
      <c r="A2994">
        <v>2993</v>
      </c>
      <c r="B2994" t="s">
        <v>6665</v>
      </c>
      <c r="C2994" t="s">
        <v>6878</v>
      </c>
      <c r="D2994" t="s">
        <v>6879</v>
      </c>
      <c r="E2994" t="s">
        <v>26</v>
      </c>
      <c r="F2994" t="s">
        <v>6678</v>
      </c>
      <c r="G2994" t="s">
        <v>6712</v>
      </c>
      <c r="H2994" t="str">
        <f>'Huong dan giao do an'!$B$14</f>
        <v>5 SV (vai trò chính): 1 PM/Scrum Master kiêm Integration; 2 BA/PO; 3 UI-UX + Frontend; 4 Backend/API + DevOps; 5 Database + QA/Tester. Mỗi SV có nhiệm vụ phụ và minh chứng cá nhân.</v>
      </c>
      <c r="I2994" t="s">
        <v>22</v>
      </c>
      <c r="J2994" t="s">
        <v>6670</v>
      </c>
      <c r="K2994" t="str">
        <f>IF(I2994="Trung bình",'Huong dan giao do an'!$B$8,IF(I2994="Khá",'Huong dan giao do an'!$B$9,'Huong dan giao do an'!$B$10))</f>
        <v>Tối thiểu 4 actor; 10-14 use case; 8-12 bảng; 3 quy trình lõi; phân quyền chi tiết; 2 báo cáo; tích hợp 1 dịch vụ; &gt;=35 test case; CI/CD hoặc deploy cloud.</v>
      </c>
      <c r="L2994" t="str">
        <f>'Huong dan giao do an'!$B$31</f>
        <v>Bắt buộc: Charter/PMP; SRS + scope/WBS; Gantt/baseline; effort-cost budget; RACI/timesheet; quality-test-defect; communication/minutes; risk register; procurement; change log; closure/lessons learned.</v>
      </c>
      <c r="M2994" t="str">
        <f>'Huong dan giao do an'!$B$33</f>
        <v>Tuần 1: 07.09–13.09.2026; Tuần 2: 14.09–20.09.2026; Tuần 3: 21.09–27.09.2026; Tuần 4: 28.09–04.10.2026; Tuần 5: 05.10–11.10.2026; Tuần 6: 12.10–18.10.2026; Tuần 7: 19.10–25.10.2026; Tuần 8: 26.10–01.11.2026.</v>
      </c>
      <c r="N29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4" s="17" t="str">
        <f t="shared" si="46"/>
        <v>Còn trống</v>
      </c>
    </row>
    <row r="2995" spans="1:16" x14ac:dyDescent="0.3">
      <c r="A2995">
        <v>2994</v>
      </c>
      <c r="B2995" t="s">
        <v>6665</v>
      </c>
      <c r="C2995" t="s">
        <v>6880</v>
      </c>
      <c r="D2995" t="s">
        <v>6881</v>
      </c>
      <c r="E2995" t="s">
        <v>33</v>
      </c>
      <c r="F2995" t="s">
        <v>6683</v>
      </c>
      <c r="G2995" t="s">
        <v>6715</v>
      </c>
      <c r="H2995" t="str">
        <f>'Huong dan giao do an'!$B$14</f>
        <v>5 SV (vai trò chính): 1 PM/Scrum Master kiêm Integration; 2 BA/PO; 3 UI-UX + Frontend; 4 Backend/API + DevOps; 5 Database + QA/Tester. Mỗi SV có nhiệm vụ phụ và minh chứng cá nhân.</v>
      </c>
      <c r="I2995" t="s">
        <v>29</v>
      </c>
      <c r="J2995" t="s">
        <v>6675</v>
      </c>
      <c r="K2995" t="str">
        <f>IF(I2995="Trung bình",'Huong dan giao do an'!$B$8,IF(I2995="Khá",'Huong dan giao do an'!$B$9,'Huong dan giao do an'!$B$10))</f>
        <v>Tối thiểu 5 actor; 14-18 use case; 10-15 bảng; 4 quy trình; tích hợp ngoài/realtime hoặc xử lý nâng cao; 3 báo cáo; &gt;=45 test case; logging, backup và deploy.</v>
      </c>
      <c r="L2995" t="str">
        <f>'Huong dan giao do an'!$B$31</f>
        <v>Bắt buộc: Charter/PMP; SRS + scope/WBS; Gantt/baseline; effort-cost budget; RACI/timesheet; quality-test-defect; communication/minutes; risk register; procurement; change log; closure/lessons learned.</v>
      </c>
      <c r="M2995" t="str">
        <f>'Huong dan giao do an'!$B$33</f>
        <v>Tuần 1: 07.09–13.09.2026; Tuần 2: 14.09–20.09.2026; Tuần 3: 21.09–27.09.2026; Tuần 4: 28.09–04.10.2026; Tuần 5: 05.10–11.10.2026; Tuần 6: 12.10–18.10.2026; Tuần 7: 19.10–25.10.2026; Tuần 8: 26.10–01.11.2026.</v>
      </c>
      <c r="N29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5" s="17" t="str">
        <f t="shared" si="46"/>
        <v>Còn trống</v>
      </c>
    </row>
    <row r="2996" spans="1:16" x14ac:dyDescent="0.3">
      <c r="A2996">
        <v>2995</v>
      </c>
      <c r="B2996" t="s">
        <v>6665</v>
      </c>
      <c r="C2996" t="s">
        <v>6882</v>
      </c>
      <c r="D2996" t="s">
        <v>6883</v>
      </c>
      <c r="E2996" t="s">
        <v>40</v>
      </c>
      <c r="F2996" t="s">
        <v>6687</v>
      </c>
      <c r="G2996" t="s">
        <v>6718</v>
      </c>
      <c r="H2996" t="str">
        <f>'Huong dan giao do an'!$B$14</f>
        <v>5 SV (vai trò chính): 1 PM/Scrum Master kiêm Integration; 2 BA/PO; 3 UI-UX + Frontend; 4 Backend/API + DevOps; 5 Database + QA/Tester. Mỗi SV có nhiệm vụ phụ và minh chứng cá nhân.</v>
      </c>
      <c r="I2996" t="s">
        <v>36</v>
      </c>
      <c r="J2996" t="s">
        <v>6680</v>
      </c>
      <c r="K2996" t="str">
        <f>IF(I2996="Trung bình",'Huong dan giao do an'!$B$8,IF(I2996="Khá",'Huong dan giao do an'!$B$9,'Huong dan giao do an'!$B$10))</f>
        <v>Tối thiểu 3 actor; 8-10 use case; 6-8 bảng dữ liệu; 2 quy trình lõi; đăng nhập/RBAC; 1 dashboard; 1 báo cáo; &gt;=25 test case; triển khai bản demo.</v>
      </c>
      <c r="L2996" t="str">
        <f>'Huong dan giao do an'!$B$31</f>
        <v>Bắt buộc: Charter/PMP; SRS + scope/WBS; Gantt/baseline; effort-cost budget; RACI/timesheet; quality-test-defect; communication/minutes; risk register; procurement; change log; closure/lessons learned.</v>
      </c>
      <c r="M2996" t="str">
        <f>'Huong dan giao do an'!$B$33</f>
        <v>Tuần 1: 07.09–13.09.2026; Tuần 2: 14.09–20.09.2026; Tuần 3: 21.09–27.09.2026; Tuần 4: 28.09–04.10.2026; Tuần 5: 05.10–11.10.2026; Tuần 6: 12.10–18.10.2026; Tuần 7: 19.10–25.10.2026; Tuần 8: 26.10–01.11.2026.</v>
      </c>
      <c r="N29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6" s="17" t="str">
        <f t="shared" si="46"/>
        <v>Còn trống</v>
      </c>
    </row>
    <row r="2997" spans="1:16" x14ac:dyDescent="0.3">
      <c r="A2997">
        <v>2996</v>
      </c>
      <c r="B2997" t="s">
        <v>6665</v>
      </c>
      <c r="C2997" t="s">
        <v>6884</v>
      </c>
      <c r="D2997" t="s">
        <v>6885</v>
      </c>
      <c r="E2997" t="s">
        <v>45</v>
      </c>
      <c r="F2997" t="s">
        <v>6668</v>
      </c>
      <c r="G2997" t="s">
        <v>6721</v>
      </c>
      <c r="H2997" t="str">
        <f>'Huong dan giao do an'!$B$14</f>
        <v>5 SV (vai trò chính): 1 PM/Scrum Master kiêm Integration; 2 BA/PO; 3 UI-UX + Frontend; 4 Backend/API + DevOps; 5 Database + QA/Tester. Mỗi SV có nhiệm vụ phụ và minh chứng cá nhân.</v>
      </c>
      <c r="I2997" t="s">
        <v>22</v>
      </c>
      <c r="J2997" t="s">
        <v>6670</v>
      </c>
      <c r="K2997" t="str">
        <f>IF(I2997="Trung bình",'Huong dan giao do an'!$B$8,IF(I2997="Khá",'Huong dan giao do an'!$B$9,'Huong dan giao do an'!$B$10))</f>
        <v>Tối thiểu 4 actor; 10-14 use case; 8-12 bảng; 3 quy trình lõi; phân quyền chi tiết; 2 báo cáo; tích hợp 1 dịch vụ; &gt;=35 test case; CI/CD hoặc deploy cloud.</v>
      </c>
      <c r="L2997" t="str">
        <f>'Huong dan giao do an'!$B$31</f>
        <v>Bắt buộc: Charter/PMP; SRS + scope/WBS; Gantt/baseline; effort-cost budget; RACI/timesheet; quality-test-defect; communication/minutes; risk register; procurement; change log; closure/lessons learned.</v>
      </c>
      <c r="M2997" t="str">
        <f>'Huong dan giao do an'!$B$33</f>
        <v>Tuần 1: 07.09–13.09.2026; Tuần 2: 14.09–20.09.2026; Tuần 3: 21.09–27.09.2026; Tuần 4: 28.09–04.10.2026; Tuần 5: 05.10–11.10.2026; Tuần 6: 12.10–18.10.2026; Tuần 7: 19.10–25.10.2026; Tuần 8: 26.10–01.11.2026.</v>
      </c>
      <c r="N29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7" s="17" t="str">
        <f t="shared" si="46"/>
        <v>Còn trống</v>
      </c>
    </row>
    <row r="2998" spans="1:16" x14ac:dyDescent="0.3">
      <c r="A2998">
        <v>2997</v>
      </c>
      <c r="B2998" t="s">
        <v>6665</v>
      </c>
      <c r="C2998" t="s">
        <v>6886</v>
      </c>
      <c r="D2998" t="s">
        <v>6887</v>
      </c>
      <c r="E2998" t="s">
        <v>19</v>
      </c>
      <c r="F2998" t="s">
        <v>6673</v>
      </c>
      <c r="G2998" t="s">
        <v>6724</v>
      </c>
      <c r="H2998" t="str">
        <f>'Huong dan giao do an'!$B$14</f>
        <v>5 SV (vai trò chính): 1 PM/Scrum Master kiêm Integration; 2 BA/PO; 3 UI-UX + Frontend; 4 Backend/API + DevOps; 5 Database + QA/Tester. Mỗi SV có nhiệm vụ phụ và minh chứng cá nhân.</v>
      </c>
      <c r="I2998" t="s">
        <v>29</v>
      </c>
      <c r="J2998" t="s">
        <v>6675</v>
      </c>
      <c r="K2998" t="str">
        <f>IF(I2998="Trung bình",'Huong dan giao do an'!$B$8,IF(I2998="Khá",'Huong dan giao do an'!$B$9,'Huong dan giao do an'!$B$10))</f>
        <v>Tối thiểu 5 actor; 14-18 use case; 10-15 bảng; 4 quy trình; tích hợp ngoài/realtime hoặc xử lý nâng cao; 3 báo cáo; &gt;=45 test case; logging, backup và deploy.</v>
      </c>
      <c r="L2998" t="str">
        <f>'Huong dan giao do an'!$B$31</f>
        <v>Bắt buộc: Charter/PMP; SRS + scope/WBS; Gantt/baseline; effort-cost budget; RACI/timesheet; quality-test-defect; communication/minutes; risk register; procurement; change log; closure/lessons learned.</v>
      </c>
      <c r="M2998" t="str">
        <f>'Huong dan giao do an'!$B$33</f>
        <v>Tuần 1: 07.09–13.09.2026; Tuần 2: 14.09–20.09.2026; Tuần 3: 21.09–27.09.2026; Tuần 4: 28.09–04.10.2026; Tuần 5: 05.10–11.10.2026; Tuần 6: 12.10–18.10.2026; Tuần 7: 19.10–25.10.2026; Tuần 8: 26.10–01.11.2026.</v>
      </c>
      <c r="N29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8" s="17" t="str">
        <f t="shared" si="46"/>
        <v>Còn trống</v>
      </c>
    </row>
    <row r="2999" spans="1:16" x14ac:dyDescent="0.3">
      <c r="A2999">
        <v>2998</v>
      </c>
      <c r="B2999" t="s">
        <v>6665</v>
      </c>
      <c r="C2999" t="s">
        <v>6888</v>
      </c>
      <c r="D2999" t="s">
        <v>6889</v>
      </c>
      <c r="E2999" t="s">
        <v>26</v>
      </c>
      <c r="F2999" t="s">
        <v>6678</v>
      </c>
      <c r="G2999" t="s">
        <v>6727</v>
      </c>
      <c r="H2999" t="str">
        <f>'Huong dan giao do an'!$B$14</f>
        <v>5 SV (vai trò chính): 1 PM/Scrum Master kiêm Integration; 2 BA/PO; 3 UI-UX + Frontend; 4 Backend/API + DevOps; 5 Database + QA/Tester. Mỗi SV có nhiệm vụ phụ và minh chứng cá nhân.</v>
      </c>
      <c r="I2999" t="s">
        <v>36</v>
      </c>
      <c r="J2999" t="s">
        <v>6680</v>
      </c>
      <c r="K2999" t="str">
        <f>IF(I2999="Trung bình",'Huong dan giao do an'!$B$8,IF(I2999="Khá",'Huong dan giao do an'!$B$9,'Huong dan giao do an'!$B$10))</f>
        <v>Tối thiểu 3 actor; 8-10 use case; 6-8 bảng dữ liệu; 2 quy trình lõi; đăng nhập/RBAC; 1 dashboard; 1 báo cáo; &gt;=25 test case; triển khai bản demo.</v>
      </c>
      <c r="L2999" t="str">
        <f>'Huong dan giao do an'!$B$31</f>
        <v>Bắt buộc: Charter/PMP; SRS + scope/WBS; Gantt/baseline; effort-cost budget; RACI/timesheet; quality-test-defect; communication/minutes; risk register; procurement; change log; closure/lessons learned.</v>
      </c>
      <c r="M2999" t="str">
        <f>'Huong dan giao do an'!$B$33</f>
        <v>Tuần 1: 07.09–13.09.2026; Tuần 2: 14.09–20.09.2026; Tuần 3: 21.09–27.09.2026; Tuần 4: 28.09–04.10.2026; Tuần 5: 05.10–11.10.2026; Tuần 6: 12.10–18.10.2026; Tuần 7: 19.10–25.10.2026; Tuần 8: 26.10–01.11.2026.</v>
      </c>
      <c r="N29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2999" s="17" t="str">
        <f t="shared" si="46"/>
        <v>Còn trống</v>
      </c>
    </row>
    <row r="3000" spans="1:16" x14ac:dyDescent="0.3">
      <c r="A3000">
        <v>2999</v>
      </c>
      <c r="B3000" t="s">
        <v>6665</v>
      </c>
      <c r="C3000" t="s">
        <v>6890</v>
      </c>
      <c r="D3000" t="s">
        <v>6891</v>
      </c>
      <c r="E3000" t="s">
        <v>33</v>
      </c>
      <c r="F3000" t="s">
        <v>6683</v>
      </c>
      <c r="G3000" t="s">
        <v>6730</v>
      </c>
      <c r="H3000" t="str">
        <f>'Huong dan giao do an'!$B$14</f>
        <v>5 SV (vai trò chính): 1 PM/Scrum Master kiêm Integration; 2 BA/PO; 3 UI-UX + Frontend; 4 Backend/API + DevOps; 5 Database + QA/Tester. Mỗi SV có nhiệm vụ phụ và minh chứng cá nhân.</v>
      </c>
      <c r="I3000" t="s">
        <v>22</v>
      </c>
      <c r="J3000" t="s">
        <v>6670</v>
      </c>
      <c r="K3000" t="str">
        <f>IF(I3000="Trung bình",'Huong dan giao do an'!$B$8,IF(I3000="Khá",'Huong dan giao do an'!$B$9,'Huong dan giao do an'!$B$10))</f>
        <v>Tối thiểu 4 actor; 10-14 use case; 8-12 bảng; 3 quy trình lõi; phân quyền chi tiết; 2 báo cáo; tích hợp 1 dịch vụ; &gt;=35 test case; CI/CD hoặc deploy cloud.</v>
      </c>
      <c r="L3000" t="str">
        <f>'Huong dan giao do an'!$B$31</f>
        <v>Bắt buộc: Charter/PMP; SRS + scope/WBS; Gantt/baseline; effort-cost budget; RACI/timesheet; quality-test-defect; communication/minutes; risk register; procurement; change log; closure/lessons learned.</v>
      </c>
      <c r="M3000" t="str">
        <f>'Huong dan giao do an'!$B$33</f>
        <v>Tuần 1: 07.09–13.09.2026; Tuần 2: 14.09–20.09.2026; Tuần 3: 21.09–27.09.2026; Tuần 4: 28.09–04.10.2026; Tuần 5: 05.10–11.10.2026; Tuần 6: 12.10–18.10.2026; Tuần 7: 19.10–25.10.2026; Tuần 8: 26.10–01.11.2026.</v>
      </c>
      <c r="N30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0" s="17" t="str">
        <f t="shared" si="46"/>
        <v>Còn trống</v>
      </c>
    </row>
    <row r="3001" spans="1:16" x14ac:dyDescent="0.3">
      <c r="A3001">
        <v>3000</v>
      </c>
      <c r="B3001" t="s">
        <v>6665</v>
      </c>
      <c r="C3001" t="s">
        <v>6892</v>
      </c>
      <c r="D3001" t="s">
        <v>6893</v>
      </c>
      <c r="E3001" t="s">
        <v>40</v>
      </c>
      <c r="F3001" t="s">
        <v>6687</v>
      </c>
      <c r="G3001" t="s">
        <v>6733</v>
      </c>
      <c r="H3001" t="str">
        <f>'Huong dan giao do an'!$B$14</f>
        <v>5 SV (vai trò chính): 1 PM/Scrum Master kiêm Integration; 2 BA/PO; 3 UI-UX + Frontend; 4 Backend/API + DevOps; 5 Database + QA/Tester. Mỗi SV có nhiệm vụ phụ và minh chứng cá nhân.</v>
      </c>
      <c r="I3001" t="s">
        <v>29</v>
      </c>
      <c r="J3001" t="s">
        <v>6675</v>
      </c>
      <c r="K3001" t="str">
        <f>IF(I3001="Trung bình",'Huong dan giao do an'!$B$8,IF(I3001="Khá",'Huong dan giao do an'!$B$9,'Huong dan giao do an'!$B$10))</f>
        <v>Tối thiểu 5 actor; 14-18 use case; 10-15 bảng; 4 quy trình; tích hợp ngoài/realtime hoặc xử lý nâng cao; 3 báo cáo; &gt;=45 test case; logging, backup và deploy.</v>
      </c>
      <c r="L3001" t="str">
        <f>'Huong dan giao do an'!$B$31</f>
        <v>Bắt buộc: Charter/PMP; SRS + scope/WBS; Gantt/baseline; effort-cost budget; RACI/timesheet; quality-test-defect; communication/minutes; risk register; procurement; change log; closure/lessons learned.</v>
      </c>
      <c r="M3001" t="str">
        <f>'Huong dan giao do an'!$B$33</f>
        <v>Tuần 1: 07.09–13.09.2026; Tuần 2: 14.09–20.09.2026; Tuần 3: 21.09–27.09.2026; Tuần 4: 28.09–04.10.2026; Tuần 5: 05.10–11.10.2026; Tuần 6: 12.10–18.10.2026; Tuần 7: 19.10–25.10.2026; Tuần 8: 26.10–01.11.2026.</v>
      </c>
      <c r="N30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1" s="17" t="str">
        <f t="shared" si="46"/>
        <v>Còn trống</v>
      </c>
    </row>
    <row r="3002" spans="1:16" x14ac:dyDescent="0.3">
      <c r="A3002">
        <v>3001</v>
      </c>
      <c r="B3002" t="s">
        <v>6894</v>
      </c>
      <c r="C3002" t="s">
        <v>6895</v>
      </c>
      <c r="D3002" t="s">
        <v>6896</v>
      </c>
      <c r="E3002" t="s">
        <v>19</v>
      </c>
      <c r="F3002" t="s">
        <v>6897</v>
      </c>
      <c r="G3002" t="s">
        <v>6898</v>
      </c>
      <c r="H3002" t="str">
        <f>'Huong dan giao do an'!$B$14</f>
        <v>5 SV (vai trò chính): 1 PM/Scrum Master kiêm Integration; 2 BA/PO; 3 UI-UX + Frontend; 4 Backend/API + DevOps; 5 Database + QA/Tester. Mỗi SV có nhiệm vụ phụ và minh chứng cá nhân.</v>
      </c>
      <c r="I3002" t="s">
        <v>22</v>
      </c>
      <c r="J3002" t="s">
        <v>6899</v>
      </c>
      <c r="K3002" t="str">
        <f>IF(I3002="Trung bình",'Huong dan giao do an'!$B$8,IF(I3002="Khá",'Huong dan giao do an'!$B$9,'Huong dan giao do an'!$B$10))</f>
        <v>Tối thiểu 4 actor; 10-14 use case; 8-12 bảng; 3 quy trình lõi; phân quyền chi tiết; 2 báo cáo; tích hợp 1 dịch vụ; &gt;=35 test case; CI/CD hoặc deploy cloud.</v>
      </c>
      <c r="L3002" t="str">
        <f>'Huong dan giao do an'!$B$31</f>
        <v>Bắt buộc: Charter/PMP; SRS + scope/WBS; Gantt/baseline; effort-cost budget; RACI/timesheet; quality-test-defect; communication/minutes; risk register; procurement; change log; closure/lessons learned.</v>
      </c>
      <c r="M3002" t="str">
        <f>'Huong dan giao do an'!$B$33</f>
        <v>Tuần 1: 07.09–13.09.2026; Tuần 2: 14.09–20.09.2026; Tuần 3: 21.09–27.09.2026; Tuần 4: 28.09–04.10.2026; Tuần 5: 05.10–11.10.2026; Tuần 6: 12.10–18.10.2026; Tuần 7: 19.10–25.10.2026; Tuần 8: 26.10–01.11.2026.</v>
      </c>
      <c r="N30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2" s="17" t="str">
        <f t="shared" si="46"/>
        <v>Còn trống</v>
      </c>
    </row>
    <row r="3003" spans="1:16" x14ac:dyDescent="0.3">
      <c r="A3003">
        <v>3002</v>
      </c>
      <c r="B3003" t="s">
        <v>6894</v>
      </c>
      <c r="C3003" t="s">
        <v>6900</v>
      </c>
      <c r="D3003" t="s">
        <v>6901</v>
      </c>
      <c r="E3003" t="s">
        <v>26</v>
      </c>
      <c r="F3003" t="s">
        <v>6902</v>
      </c>
      <c r="G3003" t="s">
        <v>6903</v>
      </c>
      <c r="H3003" t="str">
        <f>'Huong dan giao do an'!$B$14</f>
        <v>5 SV (vai trò chính): 1 PM/Scrum Master kiêm Integration; 2 BA/PO; 3 UI-UX + Frontend; 4 Backend/API + DevOps; 5 Database + QA/Tester. Mỗi SV có nhiệm vụ phụ và minh chứng cá nhân.</v>
      </c>
      <c r="I3003" t="s">
        <v>29</v>
      </c>
      <c r="J3003" t="s">
        <v>6904</v>
      </c>
      <c r="K3003" t="str">
        <f>IF(I3003="Trung bình",'Huong dan giao do an'!$B$8,IF(I3003="Khá",'Huong dan giao do an'!$B$9,'Huong dan giao do an'!$B$10))</f>
        <v>Tối thiểu 5 actor; 14-18 use case; 10-15 bảng; 4 quy trình; tích hợp ngoài/realtime hoặc xử lý nâng cao; 3 báo cáo; &gt;=45 test case; logging, backup và deploy.</v>
      </c>
      <c r="L3003" t="str">
        <f>'Huong dan giao do an'!$B$31</f>
        <v>Bắt buộc: Charter/PMP; SRS + scope/WBS; Gantt/baseline; effort-cost budget; RACI/timesheet; quality-test-defect; communication/minutes; risk register; procurement; change log; closure/lessons learned.</v>
      </c>
      <c r="M3003" t="str">
        <f>'Huong dan giao do an'!$B$33</f>
        <v>Tuần 1: 07.09–13.09.2026; Tuần 2: 14.09–20.09.2026; Tuần 3: 21.09–27.09.2026; Tuần 4: 28.09–04.10.2026; Tuần 5: 05.10–11.10.2026; Tuần 6: 12.10–18.10.2026; Tuần 7: 19.10–25.10.2026; Tuần 8: 26.10–01.11.2026.</v>
      </c>
      <c r="N30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3" s="17" t="str">
        <f t="shared" si="46"/>
        <v>Còn trống</v>
      </c>
    </row>
    <row r="3004" spans="1:16" x14ac:dyDescent="0.3">
      <c r="A3004">
        <v>3003</v>
      </c>
      <c r="B3004" t="s">
        <v>6894</v>
      </c>
      <c r="C3004" t="s">
        <v>6905</v>
      </c>
      <c r="D3004" t="s">
        <v>6906</v>
      </c>
      <c r="E3004" t="s">
        <v>33</v>
      </c>
      <c r="F3004" t="s">
        <v>6907</v>
      </c>
      <c r="G3004" t="s">
        <v>6908</v>
      </c>
      <c r="H3004" t="str">
        <f>'Huong dan giao do an'!$B$14</f>
        <v>5 SV (vai trò chính): 1 PM/Scrum Master kiêm Integration; 2 BA/PO; 3 UI-UX + Frontend; 4 Backend/API + DevOps; 5 Database + QA/Tester. Mỗi SV có nhiệm vụ phụ và minh chứng cá nhân.</v>
      </c>
      <c r="I3004" t="s">
        <v>36</v>
      </c>
      <c r="J3004" t="s">
        <v>6909</v>
      </c>
      <c r="K3004" t="str">
        <f>IF(I3004="Trung bình",'Huong dan giao do an'!$B$8,IF(I3004="Khá",'Huong dan giao do an'!$B$9,'Huong dan giao do an'!$B$10))</f>
        <v>Tối thiểu 3 actor; 8-10 use case; 6-8 bảng dữ liệu; 2 quy trình lõi; đăng nhập/RBAC; 1 dashboard; 1 báo cáo; &gt;=25 test case; triển khai bản demo.</v>
      </c>
      <c r="L3004" t="str">
        <f>'Huong dan giao do an'!$B$31</f>
        <v>Bắt buộc: Charter/PMP; SRS + scope/WBS; Gantt/baseline; effort-cost budget; RACI/timesheet; quality-test-defect; communication/minutes; risk register; procurement; change log; closure/lessons learned.</v>
      </c>
      <c r="M3004" t="str">
        <f>'Huong dan giao do an'!$B$33</f>
        <v>Tuần 1: 07.09–13.09.2026; Tuần 2: 14.09–20.09.2026; Tuần 3: 21.09–27.09.2026; Tuần 4: 28.09–04.10.2026; Tuần 5: 05.10–11.10.2026; Tuần 6: 12.10–18.10.2026; Tuần 7: 19.10–25.10.2026; Tuần 8: 26.10–01.11.2026.</v>
      </c>
      <c r="N30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4" s="17" t="str">
        <f t="shared" si="46"/>
        <v>Còn trống</v>
      </c>
    </row>
    <row r="3005" spans="1:16" x14ac:dyDescent="0.3">
      <c r="A3005">
        <v>3004</v>
      </c>
      <c r="B3005" t="s">
        <v>6894</v>
      </c>
      <c r="C3005" t="s">
        <v>6910</v>
      </c>
      <c r="D3005" t="s">
        <v>6911</v>
      </c>
      <c r="E3005" t="s">
        <v>40</v>
      </c>
      <c r="F3005" t="s">
        <v>6912</v>
      </c>
      <c r="G3005" t="s">
        <v>6913</v>
      </c>
      <c r="H3005" t="str">
        <f>'Huong dan giao do an'!$B$14</f>
        <v>5 SV (vai trò chính): 1 PM/Scrum Master kiêm Integration; 2 BA/PO; 3 UI-UX + Frontend; 4 Backend/API + DevOps; 5 Database + QA/Tester. Mỗi SV có nhiệm vụ phụ và minh chứng cá nhân.</v>
      </c>
      <c r="I3005" t="s">
        <v>22</v>
      </c>
      <c r="J3005" t="s">
        <v>6899</v>
      </c>
      <c r="K3005" t="str">
        <f>IF(I3005="Trung bình",'Huong dan giao do an'!$B$8,IF(I3005="Khá",'Huong dan giao do an'!$B$9,'Huong dan giao do an'!$B$10))</f>
        <v>Tối thiểu 4 actor; 10-14 use case; 8-12 bảng; 3 quy trình lõi; phân quyền chi tiết; 2 báo cáo; tích hợp 1 dịch vụ; &gt;=35 test case; CI/CD hoặc deploy cloud.</v>
      </c>
      <c r="L3005" t="str">
        <f>'Huong dan giao do an'!$B$31</f>
        <v>Bắt buộc: Charter/PMP; SRS + scope/WBS; Gantt/baseline; effort-cost budget; RACI/timesheet; quality-test-defect; communication/minutes; risk register; procurement; change log; closure/lessons learned.</v>
      </c>
      <c r="M3005" t="str">
        <f>'Huong dan giao do an'!$B$33</f>
        <v>Tuần 1: 07.09–13.09.2026; Tuần 2: 14.09–20.09.2026; Tuần 3: 21.09–27.09.2026; Tuần 4: 28.09–04.10.2026; Tuần 5: 05.10–11.10.2026; Tuần 6: 12.10–18.10.2026; Tuần 7: 19.10–25.10.2026; Tuần 8: 26.10–01.11.2026.</v>
      </c>
      <c r="N30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5" s="17" t="str">
        <f t="shared" si="46"/>
        <v>Còn trống</v>
      </c>
    </row>
    <row r="3006" spans="1:16" x14ac:dyDescent="0.3">
      <c r="A3006">
        <v>3005</v>
      </c>
      <c r="B3006" t="s">
        <v>6894</v>
      </c>
      <c r="C3006" t="s">
        <v>6914</v>
      </c>
      <c r="D3006" t="s">
        <v>6915</v>
      </c>
      <c r="E3006" t="s">
        <v>45</v>
      </c>
      <c r="F3006" t="s">
        <v>6916</v>
      </c>
      <c r="G3006" t="s">
        <v>6917</v>
      </c>
      <c r="H3006" t="str">
        <f>'Huong dan giao do an'!$B$14</f>
        <v>5 SV (vai trò chính): 1 PM/Scrum Master kiêm Integration; 2 BA/PO; 3 UI-UX + Frontend; 4 Backend/API + DevOps; 5 Database + QA/Tester. Mỗi SV có nhiệm vụ phụ và minh chứng cá nhân.</v>
      </c>
      <c r="I3006" t="s">
        <v>29</v>
      </c>
      <c r="J3006" t="s">
        <v>6904</v>
      </c>
      <c r="K3006" t="str">
        <f>IF(I3006="Trung bình",'Huong dan giao do an'!$B$8,IF(I3006="Khá",'Huong dan giao do an'!$B$9,'Huong dan giao do an'!$B$10))</f>
        <v>Tối thiểu 5 actor; 14-18 use case; 10-15 bảng; 4 quy trình; tích hợp ngoài/realtime hoặc xử lý nâng cao; 3 báo cáo; &gt;=45 test case; logging, backup và deploy.</v>
      </c>
      <c r="L3006" t="str">
        <f>'Huong dan giao do an'!$B$31</f>
        <v>Bắt buộc: Charter/PMP; SRS + scope/WBS; Gantt/baseline; effort-cost budget; RACI/timesheet; quality-test-defect; communication/minutes; risk register; procurement; change log; closure/lessons learned.</v>
      </c>
      <c r="M3006" t="str">
        <f>'Huong dan giao do an'!$B$33</f>
        <v>Tuần 1: 07.09–13.09.2026; Tuần 2: 14.09–20.09.2026; Tuần 3: 21.09–27.09.2026; Tuần 4: 28.09–04.10.2026; Tuần 5: 05.10–11.10.2026; Tuần 6: 12.10–18.10.2026; Tuần 7: 19.10–25.10.2026; Tuần 8: 26.10–01.11.2026.</v>
      </c>
      <c r="N30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6" s="17" t="str">
        <f t="shared" si="46"/>
        <v>Còn trống</v>
      </c>
    </row>
    <row r="3007" spans="1:16" x14ac:dyDescent="0.3">
      <c r="A3007">
        <v>3006</v>
      </c>
      <c r="B3007" t="s">
        <v>6894</v>
      </c>
      <c r="C3007" t="s">
        <v>6918</v>
      </c>
      <c r="D3007" t="s">
        <v>6919</v>
      </c>
      <c r="E3007" t="s">
        <v>19</v>
      </c>
      <c r="F3007" t="s">
        <v>6897</v>
      </c>
      <c r="G3007" t="s">
        <v>6920</v>
      </c>
      <c r="H3007" t="str">
        <f>'Huong dan giao do an'!$B$14</f>
        <v>5 SV (vai trò chính): 1 PM/Scrum Master kiêm Integration; 2 BA/PO; 3 UI-UX + Frontend; 4 Backend/API + DevOps; 5 Database + QA/Tester. Mỗi SV có nhiệm vụ phụ và minh chứng cá nhân.</v>
      </c>
      <c r="I3007" t="s">
        <v>36</v>
      </c>
      <c r="J3007" t="s">
        <v>6909</v>
      </c>
      <c r="K3007" t="str">
        <f>IF(I3007="Trung bình",'Huong dan giao do an'!$B$8,IF(I3007="Khá",'Huong dan giao do an'!$B$9,'Huong dan giao do an'!$B$10))</f>
        <v>Tối thiểu 3 actor; 8-10 use case; 6-8 bảng dữ liệu; 2 quy trình lõi; đăng nhập/RBAC; 1 dashboard; 1 báo cáo; &gt;=25 test case; triển khai bản demo.</v>
      </c>
      <c r="L3007" t="str">
        <f>'Huong dan giao do an'!$B$31</f>
        <v>Bắt buộc: Charter/PMP; SRS + scope/WBS; Gantt/baseline; effort-cost budget; RACI/timesheet; quality-test-defect; communication/minutes; risk register; procurement; change log; closure/lessons learned.</v>
      </c>
      <c r="M3007" t="str">
        <f>'Huong dan giao do an'!$B$33</f>
        <v>Tuần 1: 07.09–13.09.2026; Tuần 2: 14.09–20.09.2026; Tuần 3: 21.09–27.09.2026; Tuần 4: 28.09–04.10.2026; Tuần 5: 05.10–11.10.2026; Tuần 6: 12.10–18.10.2026; Tuần 7: 19.10–25.10.2026; Tuần 8: 26.10–01.11.2026.</v>
      </c>
      <c r="N30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7" s="17" t="str">
        <f t="shared" si="46"/>
        <v>Còn trống</v>
      </c>
    </row>
    <row r="3008" spans="1:16" x14ac:dyDescent="0.3">
      <c r="A3008">
        <v>3007</v>
      </c>
      <c r="B3008" t="s">
        <v>6894</v>
      </c>
      <c r="C3008" t="s">
        <v>6921</v>
      </c>
      <c r="D3008" t="s">
        <v>6922</v>
      </c>
      <c r="E3008" t="s">
        <v>26</v>
      </c>
      <c r="F3008" t="s">
        <v>6902</v>
      </c>
      <c r="G3008" t="s">
        <v>6923</v>
      </c>
      <c r="H3008" t="str">
        <f>'Huong dan giao do an'!$B$14</f>
        <v>5 SV (vai trò chính): 1 PM/Scrum Master kiêm Integration; 2 BA/PO; 3 UI-UX + Frontend; 4 Backend/API + DevOps; 5 Database + QA/Tester. Mỗi SV có nhiệm vụ phụ và minh chứng cá nhân.</v>
      </c>
      <c r="I3008" t="s">
        <v>22</v>
      </c>
      <c r="J3008" t="s">
        <v>6899</v>
      </c>
      <c r="K3008" t="str">
        <f>IF(I3008="Trung bình",'Huong dan giao do an'!$B$8,IF(I3008="Khá",'Huong dan giao do an'!$B$9,'Huong dan giao do an'!$B$10))</f>
        <v>Tối thiểu 4 actor; 10-14 use case; 8-12 bảng; 3 quy trình lõi; phân quyền chi tiết; 2 báo cáo; tích hợp 1 dịch vụ; &gt;=35 test case; CI/CD hoặc deploy cloud.</v>
      </c>
      <c r="L3008" t="str">
        <f>'Huong dan giao do an'!$B$31</f>
        <v>Bắt buộc: Charter/PMP; SRS + scope/WBS; Gantt/baseline; effort-cost budget; RACI/timesheet; quality-test-defect; communication/minutes; risk register; procurement; change log; closure/lessons learned.</v>
      </c>
      <c r="M3008" t="str">
        <f>'Huong dan giao do an'!$B$33</f>
        <v>Tuần 1: 07.09–13.09.2026; Tuần 2: 14.09–20.09.2026; Tuần 3: 21.09–27.09.2026; Tuần 4: 28.09–04.10.2026; Tuần 5: 05.10–11.10.2026; Tuần 6: 12.10–18.10.2026; Tuần 7: 19.10–25.10.2026; Tuần 8: 26.10–01.11.2026.</v>
      </c>
      <c r="N30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8" s="17" t="str">
        <f t="shared" si="46"/>
        <v>Còn trống</v>
      </c>
    </row>
    <row r="3009" spans="1:16" x14ac:dyDescent="0.3">
      <c r="A3009">
        <v>3008</v>
      </c>
      <c r="B3009" t="s">
        <v>6894</v>
      </c>
      <c r="C3009" t="s">
        <v>6924</v>
      </c>
      <c r="D3009" t="s">
        <v>6925</v>
      </c>
      <c r="E3009" t="s">
        <v>33</v>
      </c>
      <c r="F3009" t="s">
        <v>6907</v>
      </c>
      <c r="G3009" t="s">
        <v>6926</v>
      </c>
      <c r="H3009" t="str">
        <f>'Huong dan giao do an'!$B$14</f>
        <v>5 SV (vai trò chính): 1 PM/Scrum Master kiêm Integration; 2 BA/PO; 3 UI-UX + Frontend; 4 Backend/API + DevOps; 5 Database + QA/Tester. Mỗi SV có nhiệm vụ phụ và minh chứng cá nhân.</v>
      </c>
      <c r="I3009" t="s">
        <v>29</v>
      </c>
      <c r="J3009" t="s">
        <v>6904</v>
      </c>
      <c r="K3009" t="str">
        <f>IF(I3009="Trung bình",'Huong dan giao do an'!$B$8,IF(I3009="Khá",'Huong dan giao do an'!$B$9,'Huong dan giao do an'!$B$10))</f>
        <v>Tối thiểu 5 actor; 14-18 use case; 10-15 bảng; 4 quy trình; tích hợp ngoài/realtime hoặc xử lý nâng cao; 3 báo cáo; &gt;=45 test case; logging, backup và deploy.</v>
      </c>
      <c r="L3009" t="str">
        <f>'Huong dan giao do an'!$B$31</f>
        <v>Bắt buộc: Charter/PMP; SRS + scope/WBS; Gantt/baseline; effort-cost budget; RACI/timesheet; quality-test-defect; communication/minutes; risk register; procurement; change log; closure/lessons learned.</v>
      </c>
      <c r="M3009" t="str">
        <f>'Huong dan giao do an'!$B$33</f>
        <v>Tuần 1: 07.09–13.09.2026; Tuần 2: 14.09–20.09.2026; Tuần 3: 21.09–27.09.2026; Tuần 4: 28.09–04.10.2026; Tuần 5: 05.10–11.10.2026; Tuần 6: 12.10–18.10.2026; Tuần 7: 19.10–25.10.2026; Tuần 8: 26.10–01.11.2026.</v>
      </c>
      <c r="N30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09" s="17" t="str">
        <f t="shared" si="46"/>
        <v>Còn trống</v>
      </c>
    </row>
    <row r="3010" spans="1:16" x14ac:dyDescent="0.3">
      <c r="A3010">
        <v>3009</v>
      </c>
      <c r="B3010" t="s">
        <v>6894</v>
      </c>
      <c r="C3010" t="s">
        <v>6927</v>
      </c>
      <c r="D3010" t="s">
        <v>6928</v>
      </c>
      <c r="E3010" t="s">
        <v>40</v>
      </c>
      <c r="F3010" t="s">
        <v>6912</v>
      </c>
      <c r="G3010" t="s">
        <v>6929</v>
      </c>
      <c r="H3010" t="str">
        <f>'Huong dan giao do an'!$B$14</f>
        <v>5 SV (vai trò chính): 1 PM/Scrum Master kiêm Integration; 2 BA/PO; 3 UI-UX + Frontend; 4 Backend/API + DevOps; 5 Database + QA/Tester. Mỗi SV có nhiệm vụ phụ và minh chứng cá nhân.</v>
      </c>
      <c r="I3010" t="s">
        <v>36</v>
      </c>
      <c r="J3010" t="s">
        <v>6909</v>
      </c>
      <c r="K3010" t="str">
        <f>IF(I3010="Trung bình",'Huong dan giao do an'!$B$8,IF(I3010="Khá",'Huong dan giao do an'!$B$9,'Huong dan giao do an'!$B$10))</f>
        <v>Tối thiểu 3 actor; 8-10 use case; 6-8 bảng dữ liệu; 2 quy trình lõi; đăng nhập/RBAC; 1 dashboard; 1 báo cáo; &gt;=25 test case; triển khai bản demo.</v>
      </c>
      <c r="L3010" t="str">
        <f>'Huong dan giao do an'!$B$31</f>
        <v>Bắt buộc: Charter/PMP; SRS + scope/WBS; Gantt/baseline; effort-cost budget; RACI/timesheet; quality-test-defect; communication/minutes; risk register; procurement; change log; closure/lessons learned.</v>
      </c>
      <c r="M3010" t="str">
        <f>'Huong dan giao do an'!$B$33</f>
        <v>Tuần 1: 07.09–13.09.2026; Tuần 2: 14.09–20.09.2026; Tuần 3: 21.09–27.09.2026; Tuần 4: 28.09–04.10.2026; Tuần 5: 05.10–11.10.2026; Tuần 6: 12.10–18.10.2026; Tuần 7: 19.10–25.10.2026; Tuần 8: 26.10–01.11.2026.</v>
      </c>
      <c r="N30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0" s="17" t="str">
        <f t="shared" si="46"/>
        <v>Còn trống</v>
      </c>
    </row>
    <row r="3011" spans="1:16" x14ac:dyDescent="0.3">
      <c r="A3011">
        <v>3010</v>
      </c>
      <c r="B3011" t="s">
        <v>6894</v>
      </c>
      <c r="C3011" t="s">
        <v>6930</v>
      </c>
      <c r="D3011" t="s">
        <v>6931</v>
      </c>
      <c r="E3011" t="s">
        <v>45</v>
      </c>
      <c r="F3011" t="s">
        <v>6916</v>
      </c>
      <c r="G3011" t="s">
        <v>6932</v>
      </c>
      <c r="H3011" t="str">
        <f>'Huong dan giao do an'!$B$14</f>
        <v>5 SV (vai trò chính): 1 PM/Scrum Master kiêm Integration; 2 BA/PO; 3 UI-UX + Frontend; 4 Backend/API + DevOps; 5 Database + QA/Tester. Mỗi SV có nhiệm vụ phụ và minh chứng cá nhân.</v>
      </c>
      <c r="I3011" t="s">
        <v>22</v>
      </c>
      <c r="J3011" t="s">
        <v>6899</v>
      </c>
      <c r="K3011" t="str">
        <f>IF(I3011="Trung bình",'Huong dan giao do an'!$B$8,IF(I3011="Khá",'Huong dan giao do an'!$B$9,'Huong dan giao do an'!$B$10))</f>
        <v>Tối thiểu 4 actor; 10-14 use case; 8-12 bảng; 3 quy trình lõi; phân quyền chi tiết; 2 báo cáo; tích hợp 1 dịch vụ; &gt;=35 test case; CI/CD hoặc deploy cloud.</v>
      </c>
      <c r="L3011" t="str">
        <f>'Huong dan giao do an'!$B$31</f>
        <v>Bắt buộc: Charter/PMP; SRS + scope/WBS; Gantt/baseline; effort-cost budget; RACI/timesheet; quality-test-defect; communication/minutes; risk register; procurement; change log; closure/lessons learned.</v>
      </c>
      <c r="M3011" t="str">
        <f>'Huong dan giao do an'!$B$33</f>
        <v>Tuần 1: 07.09–13.09.2026; Tuần 2: 14.09–20.09.2026; Tuần 3: 21.09–27.09.2026; Tuần 4: 28.09–04.10.2026; Tuần 5: 05.10–11.10.2026; Tuần 6: 12.10–18.10.2026; Tuần 7: 19.10–25.10.2026; Tuần 8: 26.10–01.11.2026.</v>
      </c>
      <c r="N30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1" s="17" t="str">
        <f t="shared" ref="P3011:P3074" si="47">IF(O3011="","Còn trống","Đã đăng ký")</f>
        <v>Còn trống</v>
      </c>
    </row>
    <row r="3012" spans="1:16" x14ac:dyDescent="0.3">
      <c r="A3012">
        <v>3011</v>
      </c>
      <c r="B3012" t="s">
        <v>6894</v>
      </c>
      <c r="C3012" t="s">
        <v>6933</v>
      </c>
      <c r="D3012" t="s">
        <v>6934</v>
      </c>
      <c r="E3012" t="s">
        <v>19</v>
      </c>
      <c r="F3012" t="s">
        <v>6897</v>
      </c>
      <c r="G3012" t="s">
        <v>6935</v>
      </c>
      <c r="H3012" t="str">
        <f>'Huong dan giao do an'!$B$14</f>
        <v>5 SV (vai trò chính): 1 PM/Scrum Master kiêm Integration; 2 BA/PO; 3 UI-UX + Frontend; 4 Backend/API + DevOps; 5 Database + QA/Tester. Mỗi SV có nhiệm vụ phụ và minh chứng cá nhân.</v>
      </c>
      <c r="I3012" t="s">
        <v>29</v>
      </c>
      <c r="J3012" t="s">
        <v>6904</v>
      </c>
      <c r="K3012" t="str">
        <f>IF(I3012="Trung bình",'Huong dan giao do an'!$B$8,IF(I3012="Khá",'Huong dan giao do an'!$B$9,'Huong dan giao do an'!$B$10))</f>
        <v>Tối thiểu 5 actor; 14-18 use case; 10-15 bảng; 4 quy trình; tích hợp ngoài/realtime hoặc xử lý nâng cao; 3 báo cáo; &gt;=45 test case; logging, backup và deploy.</v>
      </c>
      <c r="L3012" t="str">
        <f>'Huong dan giao do an'!$B$31</f>
        <v>Bắt buộc: Charter/PMP; SRS + scope/WBS; Gantt/baseline; effort-cost budget; RACI/timesheet; quality-test-defect; communication/minutes; risk register; procurement; change log; closure/lessons learned.</v>
      </c>
      <c r="M3012" t="str">
        <f>'Huong dan giao do an'!$B$33</f>
        <v>Tuần 1: 07.09–13.09.2026; Tuần 2: 14.09–20.09.2026; Tuần 3: 21.09–27.09.2026; Tuần 4: 28.09–04.10.2026; Tuần 5: 05.10–11.10.2026; Tuần 6: 12.10–18.10.2026; Tuần 7: 19.10–25.10.2026; Tuần 8: 26.10–01.11.2026.</v>
      </c>
      <c r="N30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2" s="17" t="str">
        <f t="shared" si="47"/>
        <v>Còn trống</v>
      </c>
    </row>
    <row r="3013" spans="1:16" x14ac:dyDescent="0.3">
      <c r="A3013">
        <v>3012</v>
      </c>
      <c r="B3013" t="s">
        <v>6894</v>
      </c>
      <c r="C3013" t="s">
        <v>6936</v>
      </c>
      <c r="D3013" t="s">
        <v>6937</v>
      </c>
      <c r="E3013" t="s">
        <v>26</v>
      </c>
      <c r="F3013" t="s">
        <v>6902</v>
      </c>
      <c r="G3013" t="s">
        <v>6938</v>
      </c>
      <c r="H3013" t="str">
        <f>'Huong dan giao do an'!$B$14</f>
        <v>5 SV (vai trò chính): 1 PM/Scrum Master kiêm Integration; 2 BA/PO; 3 UI-UX + Frontend; 4 Backend/API + DevOps; 5 Database + QA/Tester. Mỗi SV có nhiệm vụ phụ và minh chứng cá nhân.</v>
      </c>
      <c r="I3013" t="s">
        <v>36</v>
      </c>
      <c r="J3013" t="s">
        <v>6909</v>
      </c>
      <c r="K3013" t="str">
        <f>IF(I3013="Trung bình",'Huong dan giao do an'!$B$8,IF(I3013="Khá",'Huong dan giao do an'!$B$9,'Huong dan giao do an'!$B$10))</f>
        <v>Tối thiểu 3 actor; 8-10 use case; 6-8 bảng dữ liệu; 2 quy trình lõi; đăng nhập/RBAC; 1 dashboard; 1 báo cáo; &gt;=25 test case; triển khai bản demo.</v>
      </c>
      <c r="L3013" t="str">
        <f>'Huong dan giao do an'!$B$31</f>
        <v>Bắt buộc: Charter/PMP; SRS + scope/WBS; Gantt/baseline; effort-cost budget; RACI/timesheet; quality-test-defect; communication/minutes; risk register; procurement; change log; closure/lessons learned.</v>
      </c>
      <c r="M3013" t="str">
        <f>'Huong dan giao do an'!$B$33</f>
        <v>Tuần 1: 07.09–13.09.2026; Tuần 2: 14.09–20.09.2026; Tuần 3: 21.09–27.09.2026; Tuần 4: 28.09–04.10.2026; Tuần 5: 05.10–11.10.2026; Tuần 6: 12.10–18.10.2026; Tuần 7: 19.10–25.10.2026; Tuần 8: 26.10–01.11.2026.</v>
      </c>
      <c r="N30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3" s="17" t="str">
        <f t="shared" si="47"/>
        <v>Còn trống</v>
      </c>
    </row>
    <row r="3014" spans="1:16" x14ac:dyDescent="0.3">
      <c r="A3014">
        <v>3013</v>
      </c>
      <c r="B3014" t="s">
        <v>6894</v>
      </c>
      <c r="C3014" t="s">
        <v>6939</v>
      </c>
      <c r="D3014" t="s">
        <v>6940</v>
      </c>
      <c r="E3014" t="s">
        <v>33</v>
      </c>
      <c r="F3014" t="s">
        <v>6907</v>
      </c>
      <c r="G3014" t="s">
        <v>6941</v>
      </c>
      <c r="H3014" t="str">
        <f>'Huong dan giao do an'!$B$14</f>
        <v>5 SV (vai trò chính): 1 PM/Scrum Master kiêm Integration; 2 BA/PO; 3 UI-UX + Frontend; 4 Backend/API + DevOps; 5 Database + QA/Tester. Mỗi SV có nhiệm vụ phụ và minh chứng cá nhân.</v>
      </c>
      <c r="I3014" t="s">
        <v>22</v>
      </c>
      <c r="J3014" t="s">
        <v>6899</v>
      </c>
      <c r="K3014" t="str">
        <f>IF(I3014="Trung bình",'Huong dan giao do an'!$B$8,IF(I3014="Khá",'Huong dan giao do an'!$B$9,'Huong dan giao do an'!$B$10))</f>
        <v>Tối thiểu 4 actor; 10-14 use case; 8-12 bảng; 3 quy trình lõi; phân quyền chi tiết; 2 báo cáo; tích hợp 1 dịch vụ; &gt;=35 test case; CI/CD hoặc deploy cloud.</v>
      </c>
      <c r="L3014" t="str">
        <f>'Huong dan giao do an'!$B$31</f>
        <v>Bắt buộc: Charter/PMP; SRS + scope/WBS; Gantt/baseline; effort-cost budget; RACI/timesheet; quality-test-defect; communication/minutes; risk register; procurement; change log; closure/lessons learned.</v>
      </c>
      <c r="M3014" t="str">
        <f>'Huong dan giao do an'!$B$33</f>
        <v>Tuần 1: 07.09–13.09.2026; Tuần 2: 14.09–20.09.2026; Tuần 3: 21.09–27.09.2026; Tuần 4: 28.09–04.10.2026; Tuần 5: 05.10–11.10.2026; Tuần 6: 12.10–18.10.2026; Tuần 7: 19.10–25.10.2026; Tuần 8: 26.10–01.11.2026.</v>
      </c>
      <c r="N30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4" s="17" t="str">
        <f t="shared" si="47"/>
        <v>Còn trống</v>
      </c>
    </row>
    <row r="3015" spans="1:16" x14ac:dyDescent="0.3">
      <c r="A3015">
        <v>3014</v>
      </c>
      <c r="B3015" t="s">
        <v>6894</v>
      </c>
      <c r="C3015" t="s">
        <v>6942</v>
      </c>
      <c r="D3015" t="s">
        <v>6943</v>
      </c>
      <c r="E3015" t="s">
        <v>40</v>
      </c>
      <c r="F3015" t="s">
        <v>6912</v>
      </c>
      <c r="G3015" t="s">
        <v>6944</v>
      </c>
      <c r="H3015" t="str">
        <f>'Huong dan giao do an'!$B$14</f>
        <v>5 SV (vai trò chính): 1 PM/Scrum Master kiêm Integration; 2 BA/PO; 3 UI-UX + Frontend; 4 Backend/API + DevOps; 5 Database + QA/Tester. Mỗi SV có nhiệm vụ phụ và minh chứng cá nhân.</v>
      </c>
      <c r="I3015" t="s">
        <v>29</v>
      </c>
      <c r="J3015" t="s">
        <v>6904</v>
      </c>
      <c r="K3015" t="str">
        <f>IF(I3015="Trung bình",'Huong dan giao do an'!$B$8,IF(I3015="Khá",'Huong dan giao do an'!$B$9,'Huong dan giao do an'!$B$10))</f>
        <v>Tối thiểu 5 actor; 14-18 use case; 10-15 bảng; 4 quy trình; tích hợp ngoài/realtime hoặc xử lý nâng cao; 3 báo cáo; &gt;=45 test case; logging, backup và deploy.</v>
      </c>
      <c r="L3015" t="str">
        <f>'Huong dan giao do an'!$B$31</f>
        <v>Bắt buộc: Charter/PMP; SRS + scope/WBS; Gantt/baseline; effort-cost budget; RACI/timesheet; quality-test-defect; communication/minutes; risk register; procurement; change log; closure/lessons learned.</v>
      </c>
      <c r="M3015" t="str">
        <f>'Huong dan giao do an'!$B$33</f>
        <v>Tuần 1: 07.09–13.09.2026; Tuần 2: 14.09–20.09.2026; Tuần 3: 21.09–27.09.2026; Tuần 4: 28.09–04.10.2026; Tuần 5: 05.10–11.10.2026; Tuần 6: 12.10–18.10.2026; Tuần 7: 19.10–25.10.2026; Tuần 8: 26.10–01.11.2026.</v>
      </c>
      <c r="N30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5" s="17" t="str">
        <f t="shared" si="47"/>
        <v>Còn trống</v>
      </c>
    </row>
    <row r="3016" spans="1:16" x14ac:dyDescent="0.3">
      <c r="A3016">
        <v>3015</v>
      </c>
      <c r="B3016" t="s">
        <v>6894</v>
      </c>
      <c r="C3016" t="s">
        <v>6945</v>
      </c>
      <c r="D3016" t="s">
        <v>6946</v>
      </c>
      <c r="E3016" t="s">
        <v>45</v>
      </c>
      <c r="F3016" t="s">
        <v>6916</v>
      </c>
      <c r="G3016" t="s">
        <v>6947</v>
      </c>
      <c r="H3016" t="str">
        <f>'Huong dan giao do an'!$B$14</f>
        <v>5 SV (vai trò chính): 1 PM/Scrum Master kiêm Integration; 2 BA/PO; 3 UI-UX + Frontend; 4 Backend/API + DevOps; 5 Database + QA/Tester. Mỗi SV có nhiệm vụ phụ và minh chứng cá nhân.</v>
      </c>
      <c r="I3016" t="s">
        <v>36</v>
      </c>
      <c r="J3016" t="s">
        <v>6909</v>
      </c>
      <c r="K3016" t="str">
        <f>IF(I3016="Trung bình",'Huong dan giao do an'!$B$8,IF(I3016="Khá",'Huong dan giao do an'!$B$9,'Huong dan giao do an'!$B$10))</f>
        <v>Tối thiểu 3 actor; 8-10 use case; 6-8 bảng dữ liệu; 2 quy trình lõi; đăng nhập/RBAC; 1 dashboard; 1 báo cáo; &gt;=25 test case; triển khai bản demo.</v>
      </c>
      <c r="L3016" t="str">
        <f>'Huong dan giao do an'!$B$31</f>
        <v>Bắt buộc: Charter/PMP; SRS + scope/WBS; Gantt/baseline; effort-cost budget; RACI/timesheet; quality-test-defect; communication/minutes; risk register; procurement; change log; closure/lessons learned.</v>
      </c>
      <c r="M3016" t="str">
        <f>'Huong dan giao do an'!$B$33</f>
        <v>Tuần 1: 07.09–13.09.2026; Tuần 2: 14.09–20.09.2026; Tuần 3: 21.09–27.09.2026; Tuần 4: 28.09–04.10.2026; Tuần 5: 05.10–11.10.2026; Tuần 6: 12.10–18.10.2026; Tuần 7: 19.10–25.10.2026; Tuần 8: 26.10–01.11.2026.</v>
      </c>
      <c r="N30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6" s="17" t="str">
        <f t="shared" si="47"/>
        <v>Còn trống</v>
      </c>
    </row>
    <row r="3017" spans="1:16" x14ac:dyDescent="0.3">
      <c r="A3017">
        <v>3016</v>
      </c>
      <c r="B3017" t="s">
        <v>6894</v>
      </c>
      <c r="C3017" t="s">
        <v>6948</v>
      </c>
      <c r="D3017" t="s">
        <v>6949</v>
      </c>
      <c r="E3017" t="s">
        <v>19</v>
      </c>
      <c r="F3017" t="s">
        <v>6897</v>
      </c>
      <c r="G3017" t="s">
        <v>6950</v>
      </c>
      <c r="H3017" t="str">
        <f>'Huong dan giao do an'!$B$14</f>
        <v>5 SV (vai trò chính): 1 PM/Scrum Master kiêm Integration; 2 BA/PO; 3 UI-UX + Frontend; 4 Backend/API + DevOps; 5 Database + QA/Tester. Mỗi SV có nhiệm vụ phụ và minh chứng cá nhân.</v>
      </c>
      <c r="I3017" t="s">
        <v>22</v>
      </c>
      <c r="J3017" t="s">
        <v>6899</v>
      </c>
      <c r="K3017" t="str">
        <f>IF(I3017="Trung bình",'Huong dan giao do an'!$B$8,IF(I3017="Khá",'Huong dan giao do an'!$B$9,'Huong dan giao do an'!$B$10))</f>
        <v>Tối thiểu 4 actor; 10-14 use case; 8-12 bảng; 3 quy trình lõi; phân quyền chi tiết; 2 báo cáo; tích hợp 1 dịch vụ; &gt;=35 test case; CI/CD hoặc deploy cloud.</v>
      </c>
      <c r="L3017" t="str">
        <f>'Huong dan giao do an'!$B$31</f>
        <v>Bắt buộc: Charter/PMP; SRS + scope/WBS; Gantt/baseline; effort-cost budget; RACI/timesheet; quality-test-defect; communication/minutes; risk register; procurement; change log; closure/lessons learned.</v>
      </c>
      <c r="M3017" t="str">
        <f>'Huong dan giao do an'!$B$33</f>
        <v>Tuần 1: 07.09–13.09.2026; Tuần 2: 14.09–20.09.2026; Tuần 3: 21.09–27.09.2026; Tuần 4: 28.09–04.10.2026; Tuần 5: 05.10–11.10.2026; Tuần 6: 12.10–18.10.2026; Tuần 7: 19.10–25.10.2026; Tuần 8: 26.10–01.11.2026.</v>
      </c>
      <c r="N30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7" s="17" t="str">
        <f t="shared" si="47"/>
        <v>Còn trống</v>
      </c>
    </row>
    <row r="3018" spans="1:16" x14ac:dyDescent="0.3">
      <c r="A3018">
        <v>3017</v>
      </c>
      <c r="B3018" t="s">
        <v>6894</v>
      </c>
      <c r="C3018" t="s">
        <v>6951</v>
      </c>
      <c r="D3018" t="s">
        <v>6952</v>
      </c>
      <c r="E3018" t="s">
        <v>26</v>
      </c>
      <c r="F3018" t="s">
        <v>6902</v>
      </c>
      <c r="G3018" t="s">
        <v>6953</v>
      </c>
      <c r="H3018" t="str">
        <f>'Huong dan giao do an'!$B$14</f>
        <v>5 SV (vai trò chính): 1 PM/Scrum Master kiêm Integration; 2 BA/PO; 3 UI-UX + Frontend; 4 Backend/API + DevOps; 5 Database + QA/Tester. Mỗi SV có nhiệm vụ phụ và minh chứng cá nhân.</v>
      </c>
      <c r="I3018" t="s">
        <v>29</v>
      </c>
      <c r="J3018" t="s">
        <v>6904</v>
      </c>
      <c r="K3018" t="str">
        <f>IF(I3018="Trung bình",'Huong dan giao do an'!$B$8,IF(I3018="Khá",'Huong dan giao do an'!$B$9,'Huong dan giao do an'!$B$10))</f>
        <v>Tối thiểu 5 actor; 14-18 use case; 10-15 bảng; 4 quy trình; tích hợp ngoài/realtime hoặc xử lý nâng cao; 3 báo cáo; &gt;=45 test case; logging, backup và deploy.</v>
      </c>
      <c r="L3018" t="str">
        <f>'Huong dan giao do an'!$B$31</f>
        <v>Bắt buộc: Charter/PMP; SRS + scope/WBS; Gantt/baseline; effort-cost budget; RACI/timesheet; quality-test-defect; communication/minutes; risk register; procurement; change log; closure/lessons learned.</v>
      </c>
      <c r="M3018" t="str">
        <f>'Huong dan giao do an'!$B$33</f>
        <v>Tuần 1: 07.09–13.09.2026; Tuần 2: 14.09–20.09.2026; Tuần 3: 21.09–27.09.2026; Tuần 4: 28.09–04.10.2026; Tuần 5: 05.10–11.10.2026; Tuần 6: 12.10–18.10.2026; Tuần 7: 19.10–25.10.2026; Tuần 8: 26.10–01.11.2026.</v>
      </c>
      <c r="N30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8" s="17" t="str">
        <f t="shared" si="47"/>
        <v>Còn trống</v>
      </c>
    </row>
    <row r="3019" spans="1:16" x14ac:dyDescent="0.3">
      <c r="A3019">
        <v>3018</v>
      </c>
      <c r="B3019" t="s">
        <v>6894</v>
      </c>
      <c r="C3019" t="s">
        <v>6954</v>
      </c>
      <c r="D3019" t="s">
        <v>6955</v>
      </c>
      <c r="E3019" t="s">
        <v>33</v>
      </c>
      <c r="F3019" t="s">
        <v>6907</v>
      </c>
      <c r="G3019" t="s">
        <v>6956</v>
      </c>
      <c r="H3019" t="str">
        <f>'Huong dan giao do an'!$B$14</f>
        <v>5 SV (vai trò chính): 1 PM/Scrum Master kiêm Integration; 2 BA/PO; 3 UI-UX + Frontend; 4 Backend/API + DevOps; 5 Database + QA/Tester. Mỗi SV có nhiệm vụ phụ và minh chứng cá nhân.</v>
      </c>
      <c r="I3019" t="s">
        <v>36</v>
      </c>
      <c r="J3019" t="s">
        <v>6909</v>
      </c>
      <c r="K3019" t="str">
        <f>IF(I3019="Trung bình",'Huong dan giao do an'!$B$8,IF(I3019="Khá",'Huong dan giao do an'!$B$9,'Huong dan giao do an'!$B$10))</f>
        <v>Tối thiểu 3 actor; 8-10 use case; 6-8 bảng dữ liệu; 2 quy trình lõi; đăng nhập/RBAC; 1 dashboard; 1 báo cáo; &gt;=25 test case; triển khai bản demo.</v>
      </c>
      <c r="L3019" t="str">
        <f>'Huong dan giao do an'!$B$31</f>
        <v>Bắt buộc: Charter/PMP; SRS + scope/WBS; Gantt/baseline; effort-cost budget; RACI/timesheet; quality-test-defect; communication/minutes; risk register; procurement; change log; closure/lessons learned.</v>
      </c>
      <c r="M3019" t="str">
        <f>'Huong dan giao do an'!$B$33</f>
        <v>Tuần 1: 07.09–13.09.2026; Tuần 2: 14.09–20.09.2026; Tuần 3: 21.09–27.09.2026; Tuần 4: 28.09–04.10.2026; Tuần 5: 05.10–11.10.2026; Tuần 6: 12.10–18.10.2026; Tuần 7: 19.10–25.10.2026; Tuần 8: 26.10–01.11.2026.</v>
      </c>
      <c r="N30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19" s="17" t="str">
        <f t="shared" si="47"/>
        <v>Còn trống</v>
      </c>
    </row>
    <row r="3020" spans="1:16" x14ac:dyDescent="0.3">
      <c r="A3020">
        <v>3019</v>
      </c>
      <c r="B3020" t="s">
        <v>6894</v>
      </c>
      <c r="C3020" t="s">
        <v>6957</v>
      </c>
      <c r="D3020" t="s">
        <v>6958</v>
      </c>
      <c r="E3020" t="s">
        <v>40</v>
      </c>
      <c r="F3020" t="s">
        <v>6912</v>
      </c>
      <c r="G3020" t="s">
        <v>6959</v>
      </c>
      <c r="H3020" t="str">
        <f>'Huong dan giao do an'!$B$14</f>
        <v>5 SV (vai trò chính): 1 PM/Scrum Master kiêm Integration; 2 BA/PO; 3 UI-UX + Frontend; 4 Backend/API + DevOps; 5 Database + QA/Tester. Mỗi SV có nhiệm vụ phụ và minh chứng cá nhân.</v>
      </c>
      <c r="I3020" t="s">
        <v>22</v>
      </c>
      <c r="J3020" t="s">
        <v>6899</v>
      </c>
      <c r="K3020" t="str">
        <f>IF(I3020="Trung bình",'Huong dan giao do an'!$B$8,IF(I3020="Khá",'Huong dan giao do an'!$B$9,'Huong dan giao do an'!$B$10))</f>
        <v>Tối thiểu 4 actor; 10-14 use case; 8-12 bảng; 3 quy trình lõi; phân quyền chi tiết; 2 báo cáo; tích hợp 1 dịch vụ; &gt;=35 test case; CI/CD hoặc deploy cloud.</v>
      </c>
      <c r="L3020" t="str">
        <f>'Huong dan giao do an'!$B$31</f>
        <v>Bắt buộc: Charter/PMP; SRS + scope/WBS; Gantt/baseline; effort-cost budget; RACI/timesheet; quality-test-defect; communication/minutes; risk register; procurement; change log; closure/lessons learned.</v>
      </c>
      <c r="M3020" t="str">
        <f>'Huong dan giao do an'!$B$33</f>
        <v>Tuần 1: 07.09–13.09.2026; Tuần 2: 14.09–20.09.2026; Tuần 3: 21.09–27.09.2026; Tuần 4: 28.09–04.10.2026; Tuần 5: 05.10–11.10.2026; Tuần 6: 12.10–18.10.2026; Tuần 7: 19.10–25.10.2026; Tuần 8: 26.10–01.11.2026.</v>
      </c>
      <c r="N30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0" s="17" t="str">
        <f t="shared" si="47"/>
        <v>Còn trống</v>
      </c>
    </row>
    <row r="3021" spans="1:16" x14ac:dyDescent="0.3">
      <c r="A3021">
        <v>3020</v>
      </c>
      <c r="B3021" t="s">
        <v>6894</v>
      </c>
      <c r="C3021" t="s">
        <v>6960</v>
      </c>
      <c r="D3021" t="s">
        <v>6961</v>
      </c>
      <c r="E3021" t="s">
        <v>45</v>
      </c>
      <c r="F3021" t="s">
        <v>6916</v>
      </c>
      <c r="G3021" t="s">
        <v>6962</v>
      </c>
      <c r="H3021" t="str">
        <f>'Huong dan giao do an'!$B$14</f>
        <v>5 SV (vai trò chính): 1 PM/Scrum Master kiêm Integration; 2 BA/PO; 3 UI-UX + Frontend; 4 Backend/API + DevOps; 5 Database + QA/Tester. Mỗi SV có nhiệm vụ phụ và minh chứng cá nhân.</v>
      </c>
      <c r="I3021" t="s">
        <v>29</v>
      </c>
      <c r="J3021" t="s">
        <v>6904</v>
      </c>
      <c r="K3021" t="str">
        <f>IF(I3021="Trung bình",'Huong dan giao do an'!$B$8,IF(I3021="Khá",'Huong dan giao do an'!$B$9,'Huong dan giao do an'!$B$10))</f>
        <v>Tối thiểu 5 actor; 14-18 use case; 10-15 bảng; 4 quy trình; tích hợp ngoài/realtime hoặc xử lý nâng cao; 3 báo cáo; &gt;=45 test case; logging, backup và deploy.</v>
      </c>
      <c r="L3021" t="str">
        <f>'Huong dan giao do an'!$B$31</f>
        <v>Bắt buộc: Charter/PMP; SRS + scope/WBS; Gantt/baseline; effort-cost budget; RACI/timesheet; quality-test-defect; communication/minutes; risk register; procurement; change log; closure/lessons learned.</v>
      </c>
      <c r="M3021" t="str">
        <f>'Huong dan giao do an'!$B$33</f>
        <v>Tuần 1: 07.09–13.09.2026; Tuần 2: 14.09–20.09.2026; Tuần 3: 21.09–27.09.2026; Tuần 4: 28.09–04.10.2026; Tuần 5: 05.10–11.10.2026; Tuần 6: 12.10–18.10.2026; Tuần 7: 19.10–25.10.2026; Tuần 8: 26.10–01.11.2026.</v>
      </c>
      <c r="N30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1" s="17" t="str">
        <f t="shared" si="47"/>
        <v>Còn trống</v>
      </c>
    </row>
    <row r="3022" spans="1:16" x14ac:dyDescent="0.3">
      <c r="A3022">
        <v>3021</v>
      </c>
      <c r="B3022" t="s">
        <v>6894</v>
      </c>
      <c r="C3022" t="s">
        <v>6963</v>
      </c>
      <c r="D3022" t="s">
        <v>6964</v>
      </c>
      <c r="E3022" t="s">
        <v>19</v>
      </c>
      <c r="F3022" t="s">
        <v>6897</v>
      </c>
      <c r="G3022" t="s">
        <v>6898</v>
      </c>
      <c r="H3022" t="str">
        <f>'Huong dan giao do an'!$B$14</f>
        <v>5 SV (vai trò chính): 1 PM/Scrum Master kiêm Integration; 2 BA/PO; 3 UI-UX + Frontend; 4 Backend/API + DevOps; 5 Database + QA/Tester. Mỗi SV có nhiệm vụ phụ và minh chứng cá nhân.</v>
      </c>
      <c r="I3022" t="s">
        <v>22</v>
      </c>
      <c r="J3022" t="s">
        <v>6899</v>
      </c>
      <c r="K3022" t="str">
        <f>IF(I3022="Trung bình",'Huong dan giao do an'!$B$8,IF(I3022="Khá",'Huong dan giao do an'!$B$9,'Huong dan giao do an'!$B$10))</f>
        <v>Tối thiểu 4 actor; 10-14 use case; 8-12 bảng; 3 quy trình lõi; phân quyền chi tiết; 2 báo cáo; tích hợp 1 dịch vụ; &gt;=35 test case; CI/CD hoặc deploy cloud.</v>
      </c>
      <c r="L3022" t="str">
        <f>'Huong dan giao do an'!$B$31</f>
        <v>Bắt buộc: Charter/PMP; SRS + scope/WBS; Gantt/baseline; effort-cost budget; RACI/timesheet; quality-test-defect; communication/minutes; risk register; procurement; change log; closure/lessons learned.</v>
      </c>
      <c r="M3022" t="str">
        <f>'Huong dan giao do an'!$B$33</f>
        <v>Tuần 1: 07.09–13.09.2026; Tuần 2: 14.09–20.09.2026; Tuần 3: 21.09–27.09.2026; Tuần 4: 28.09–04.10.2026; Tuần 5: 05.10–11.10.2026; Tuần 6: 12.10–18.10.2026; Tuần 7: 19.10–25.10.2026; Tuần 8: 26.10–01.11.2026.</v>
      </c>
      <c r="N30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2" s="17" t="str">
        <f t="shared" si="47"/>
        <v>Còn trống</v>
      </c>
    </row>
    <row r="3023" spans="1:16" x14ac:dyDescent="0.3">
      <c r="A3023">
        <v>3022</v>
      </c>
      <c r="B3023" t="s">
        <v>6894</v>
      </c>
      <c r="C3023" t="s">
        <v>6965</v>
      </c>
      <c r="D3023" t="s">
        <v>6966</v>
      </c>
      <c r="E3023" t="s">
        <v>26</v>
      </c>
      <c r="F3023" t="s">
        <v>6902</v>
      </c>
      <c r="G3023" t="s">
        <v>6903</v>
      </c>
      <c r="H3023" t="str">
        <f>'Huong dan giao do an'!$B$14</f>
        <v>5 SV (vai trò chính): 1 PM/Scrum Master kiêm Integration; 2 BA/PO; 3 UI-UX + Frontend; 4 Backend/API + DevOps; 5 Database + QA/Tester. Mỗi SV có nhiệm vụ phụ và minh chứng cá nhân.</v>
      </c>
      <c r="I3023" t="s">
        <v>29</v>
      </c>
      <c r="J3023" t="s">
        <v>6904</v>
      </c>
      <c r="K3023" t="str">
        <f>IF(I3023="Trung bình",'Huong dan giao do an'!$B$8,IF(I3023="Khá",'Huong dan giao do an'!$B$9,'Huong dan giao do an'!$B$10))</f>
        <v>Tối thiểu 5 actor; 14-18 use case; 10-15 bảng; 4 quy trình; tích hợp ngoài/realtime hoặc xử lý nâng cao; 3 báo cáo; &gt;=45 test case; logging, backup và deploy.</v>
      </c>
      <c r="L3023" t="str">
        <f>'Huong dan giao do an'!$B$31</f>
        <v>Bắt buộc: Charter/PMP; SRS + scope/WBS; Gantt/baseline; effort-cost budget; RACI/timesheet; quality-test-defect; communication/minutes; risk register; procurement; change log; closure/lessons learned.</v>
      </c>
      <c r="M3023" t="str">
        <f>'Huong dan giao do an'!$B$33</f>
        <v>Tuần 1: 07.09–13.09.2026; Tuần 2: 14.09–20.09.2026; Tuần 3: 21.09–27.09.2026; Tuần 4: 28.09–04.10.2026; Tuần 5: 05.10–11.10.2026; Tuần 6: 12.10–18.10.2026; Tuần 7: 19.10–25.10.2026; Tuần 8: 26.10–01.11.2026.</v>
      </c>
      <c r="N30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3" s="17" t="str">
        <f t="shared" si="47"/>
        <v>Còn trống</v>
      </c>
    </row>
    <row r="3024" spans="1:16" x14ac:dyDescent="0.3">
      <c r="A3024">
        <v>3023</v>
      </c>
      <c r="B3024" t="s">
        <v>6894</v>
      </c>
      <c r="C3024" t="s">
        <v>6967</v>
      </c>
      <c r="D3024" t="s">
        <v>6968</v>
      </c>
      <c r="E3024" t="s">
        <v>33</v>
      </c>
      <c r="F3024" t="s">
        <v>6907</v>
      </c>
      <c r="G3024" t="s">
        <v>6908</v>
      </c>
      <c r="H3024" t="str">
        <f>'Huong dan giao do an'!$B$14</f>
        <v>5 SV (vai trò chính): 1 PM/Scrum Master kiêm Integration; 2 BA/PO; 3 UI-UX + Frontend; 4 Backend/API + DevOps; 5 Database + QA/Tester. Mỗi SV có nhiệm vụ phụ và minh chứng cá nhân.</v>
      </c>
      <c r="I3024" t="s">
        <v>36</v>
      </c>
      <c r="J3024" t="s">
        <v>6909</v>
      </c>
      <c r="K3024" t="str">
        <f>IF(I3024="Trung bình",'Huong dan giao do an'!$B$8,IF(I3024="Khá",'Huong dan giao do an'!$B$9,'Huong dan giao do an'!$B$10))</f>
        <v>Tối thiểu 3 actor; 8-10 use case; 6-8 bảng dữ liệu; 2 quy trình lõi; đăng nhập/RBAC; 1 dashboard; 1 báo cáo; &gt;=25 test case; triển khai bản demo.</v>
      </c>
      <c r="L3024" t="str">
        <f>'Huong dan giao do an'!$B$31</f>
        <v>Bắt buộc: Charter/PMP; SRS + scope/WBS; Gantt/baseline; effort-cost budget; RACI/timesheet; quality-test-defect; communication/minutes; risk register; procurement; change log; closure/lessons learned.</v>
      </c>
      <c r="M3024" t="str">
        <f>'Huong dan giao do an'!$B$33</f>
        <v>Tuần 1: 07.09–13.09.2026; Tuần 2: 14.09–20.09.2026; Tuần 3: 21.09–27.09.2026; Tuần 4: 28.09–04.10.2026; Tuần 5: 05.10–11.10.2026; Tuần 6: 12.10–18.10.2026; Tuần 7: 19.10–25.10.2026; Tuần 8: 26.10–01.11.2026.</v>
      </c>
      <c r="N30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4" s="17" t="str">
        <f t="shared" si="47"/>
        <v>Còn trống</v>
      </c>
    </row>
    <row r="3025" spans="1:16" x14ac:dyDescent="0.3">
      <c r="A3025">
        <v>3024</v>
      </c>
      <c r="B3025" t="s">
        <v>6894</v>
      </c>
      <c r="C3025" t="s">
        <v>6969</v>
      </c>
      <c r="D3025" t="s">
        <v>6970</v>
      </c>
      <c r="E3025" t="s">
        <v>40</v>
      </c>
      <c r="F3025" t="s">
        <v>6912</v>
      </c>
      <c r="G3025" t="s">
        <v>6913</v>
      </c>
      <c r="H3025" t="str">
        <f>'Huong dan giao do an'!$B$14</f>
        <v>5 SV (vai trò chính): 1 PM/Scrum Master kiêm Integration; 2 BA/PO; 3 UI-UX + Frontend; 4 Backend/API + DevOps; 5 Database + QA/Tester. Mỗi SV có nhiệm vụ phụ và minh chứng cá nhân.</v>
      </c>
      <c r="I3025" t="s">
        <v>22</v>
      </c>
      <c r="J3025" t="s">
        <v>6899</v>
      </c>
      <c r="K3025" t="str">
        <f>IF(I3025="Trung bình",'Huong dan giao do an'!$B$8,IF(I3025="Khá",'Huong dan giao do an'!$B$9,'Huong dan giao do an'!$B$10))</f>
        <v>Tối thiểu 4 actor; 10-14 use case; 8-12 bảng; 3 quy trình lõi; phân quyền chi tiết; 2 báo cáo; tích hợp 1 dịch vụ; &gt;=35 test case; CI/CD hoặc deploy cloud.</v>
      </c>
      <c r="L3025" t="str">
        <f>'Huong dan giao do an'!$B$31</f>
        <v>Bắt buộc: Charter/PMP; SRS + scope/WBS; Gantt/baseline; effort-cost budget; RACI/timesheet; quality-test-defect; communication/minutes; risk register; procurement; change log; closure/lessons learned.</v>
      </c>
      <c r="M3025" t="str">
        <f>'Huong dan giao do an'!$B$33</f>
        <v>Tuần 1: 07.09–13.09.2026; Tuần 2: 14.09–20.09.2026; Tuần 3: 21.09–27.09.2026; Tuần 4: 28.09–04.10.2026; Tuần 5: 05.10–11.10.2026; Tuần 6: 12.10–18.10.2026; Tuần 7: 19.10–25.10.2026; Tuần 8: 26.10–01.11.2026.</v>
      </c>
      <c r="N30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5" s="17" t="str">
        <f t="shared" si="47"/>
        <v>Còn trống</v>
      </c>
    </row>
    <row r="3026" spans="1:16" x14ac:dyDescent="0.3">
      <c r="A3026">
        <v>3025</v>
      </c>
      <c r="B3026" t="s">
        <v>6894</v>
      </c>
      <c r="C3026" t="s">
        <v>6971</v>
      </c>
      <c r="D3026" t="s">
        <v>6972</v>
      </c>
      <c r="E3026" t="s">
        <v>45</v>
      </c>
      <c r="F3026" t="s">
        <v>6916</v>
      </c>
      <c r="G3026" t="s">
        <v>6917</v>
      </c>
      <c r="H3026" t="str">
        <f>'Huong dan giao do an'!$B$14</f>
        <v>5 SV (vai trò chính): 1 PM/Scrum Master kiêm Integration; 2 BA/PO; 3 UI-UX + Frontend; 4 Backend/API + DevOps; 5 Database + QA/Tester. Mỗi SV có nhiệm vụ phụ và minh chứng cá nhân.</v>
      </c>
      <c r="I3026" t="s">
        <v>29</v>
      </c>
      <c r="J3026" t="s">
        <v>6904</v>
      </c>
      <c r="K3026" t="str">
        <f>IF(I3026="Trung bình",'Huong dan giao do an'!$B$8,IF(I3026="Khá",'Huong dan giao do an'!$B$9,'Huong dan giao do an'!$B$10))</f>
        <v>Tối thiểu 5 actor; 14-18 use case; 10-15 bảng; 4 quy trình; tích hợp ngoài/realtime hoặc xử lý nâng cao; 3 báo cáo; &gt;=45 test case; logging, backup và deploy.</v>
      </c>
      <c r="L3026" t="str">
        <f>'Huong dan giao do an'!$B$31</f>
        <v>Bắt buộc: Charter/PMP; SRS + scope/WBS; Gantt/baseline; effort-cost budget; RACI/timesheet; quality-test-defect; communication/minutes; risk register; procurement; change log; closure/lessons learned.</v>
      </c>
      <c r="M3026" t="str">
        <f>'Huong dan giao do an'!$B$33</f>
        <v>Tuần 1: 07.09–13.09.2026; Tuần 2: 14.09–20.09.2026; Tuần 3: 21.09–27.09.2026; Tuần 4: 28.09–04.10.2026; Tuần 5: 05.10–11.10.2026; Tuần 6: 12.10–18.10.2026; Tuần 7: 19.10–25.10.2026; Tuần 8: 26.10–01.11.2026.</v>
      </c>
      <c r="N30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6" s="17" t="str">
        <f t="shared" si="47"/>
        <v>Còn trống</v>
      </c>
    </row>
    <row r="3027" spans="1:16" x14ac:dyDescent="0.3">
      <c r="A3027">
        <v>3026</v>
      </c>
      <c r="B3027" t="s">
        <v>6894</v>
      </c>
      <c r="C3027" t="s">
        <v>6973</v>
      </c>
      <c r="D3027" t="s">
        <v>6974</v>
      </c>
      <c r="E3027" t="s">
        <v>19</v>
      </c>
      <c r="F3027" t="s">
        <v>6897</v>
      </c>
      <c r="G3027" t="s">
        <v>6920</v>
      </c>
      <c r="H3027" t="str">
        <f>'Huong dan giao do an'!$B$14</f>
        <v>5 SV (vai trò chính): 1 PM/Scrum Master kiêm Integration; 2 BA/PO; 3 UI-UX + Frontend; 4 Backend/API + DevOps; 5 Database + QA/Tester. Mỗi SV có nhiệm vụ phụ và minh chứng cá nhân.</v>
      </c>
      <c r="I3027" t="s">
        <v>36</v>
      </c>
      <c r="J3027" t="s">
        <v>6909</v>
      </c>
      <c r="K3027" t="str">
        <f>IF(I3027="Trung bình",'Huong dan giao do an'!$B$8,IF(I3027="Khá",'Huong dan giao do an'!$B$9,'Huong dan giao do an'!$B$10))</f>
        <v>Tối thiểu 3 actor; 8-10 use case; 6-8 bảng dữ liệu; 2 quy trình lõi; đăng nhập/RBAC; 1 dashboard; 1 báo cáo; &gt;=25 test case; triển khai bản demo.</v>
      </c>
      <c r="L3027" t="str">
        <f>'Huong dan giao do an'!$B$31</f>
        <v>Bắt buộc: Charter/PMP; SRS + scope/WBS; Gantt/baseline; effort-cost budget; RACI/timesheet; quality-test-defect; communication/minutes; risk register; procurement; change log; closure/lessons learned.</v>
      </c>
      <c r="M3027" t="str">
        <f>'Huong dan giao do an'!$B$33</f>
        <v>Tuần 1: 07.09–13.09.2026; Tuần 2: 14.09–20.09.2026; Tuần 3: 21.09–27.09.2026; Tuần 4: 28.09–04.10.2026; Tuần 5: 05.10–11.10.2026; Tuần 6: 12.10–18.10.2026; Tuần 7: 19.10–25.10.2026; Tuần 8: 26.10–01.11.2026.</v>
      </c>
      <c r="N30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7" s="17" t="str">
        <f t="shared" si="47"/>
        <v>Còn trống</v>
      </c>
    </row>
    <row r="3028" spans="1:16" x14ac:dyDescent="0.3">
      <c r="A3028">
        <v>3027</v>
      </c>
      <c r="B3028" t="s">
        <v>6894</v>
      </c>
      <c r="C3028" t="s">
        <v>6975</v>
      </c>
      <c r="D3028" t="s">
        <v>6976</v>
      </c>
      <c r="E3028" t="s">
        <v>26</v>
      </c>
      <c r="F3028" t="s">
        <v>6902</v>
      </c>
      <c r="G3028" t="s">
        <v>6923</v>
      </c>
      <c r="H3028" t="str">
        <f>'Huong dan giao do an'!$B$14</f>
        <v>5 SV (vai trò chính): 1 PM/Scrum Master kiêm Integration; 2 BA/PO; 3 UI-UX + Frontend; 4 Backend/API + DevOps; 5 Database + QA/Tester. Mỗi SV có nhiệm vụ phụ và minh chứng cá nhân.</v>
      </c>
      <c r="I3028" t="s">
        <v>22</v>
      </c>
      <c r="J3028" t="s">
        <v>6899</v>
      </c>
      <c r="K3028" t="str">
        <f>IF(I3028="Trung bình",'Huong dan giao do an'!$B$8,IF(I3028="Khá",'Huong dan giao do an'!$B$9,'Huong dan giao do an'!$B$10))</f>
        <v>Tối thiểu 4 actor; 10-14 use case; 8-12 bảng; 3 quy trình lõi; phân quyền chi tiết; 2 báo cáo; tích hợp 1 dịch vụ; &gt;=35 test case; CI/CD hoặc deploy cloud.</v>
      </c>
      <c r="L3028" t="str">
        <f>'Huong dan giao do an'!$B$31</f>
        <v>Bắt buộc: Charter/PMP; SRS + scope/WBS; Gantt/baseline; effort-cost budget; RACI/timesheet; quality-test-defect; communication/minutes; risk register; procurement; change log; closure/lessons learned.</v>
      </c>
      <c r="M3028" t="str">
        <f>'Huong dan giao do an'!$B$33</f>
        <v>Tuần 1: 07.09–13.09.2026; Tuần 2: 14.09–20.09.2026; Tuần 3: 21.09–27.09.2026; Tuần 4: 28.09–04.10.2026; Tuần 5: 05.10–11.10.2026; Tuần 6: 12.10–18.10.2026; Tuần 7: 19.10–25.10.2026; Tuần 8: 26.10–01.11.2026.</v>
      </c>
      <c r="N30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8" s="17" t="str">
        <f t="shared" si="47"/>
        <v>Còn trống</v>
      </c>
    </row>
    <row r="3029" spans="1:16" x14ac:dyDescent="0.3">
      <c r="A3029">
        <v>3028</v>
      </c>
      <c r="B3029" t="s">
        <v>6894</v>
      </c>
      <c r="C3029" t="s">
        <v>6977</v>
      </c>
      <c r="D3029" t="s">
        <v>6978</v>
      </c>
      <c r="E3029" t="s">
        <v>33</v>
      </c>
      <c r="F3029" t="s">
        <v>6907</v>
      </c>
      <c r="G3029" t="s">
        <v>6926</v>
      </c>
      <c r="H3029" t="str">
        <f>'Huong dan giao do an'!$B$14</f>
        <v>5 SV (vai trò chính): 1 PM/Scrum Master kiêm Integration; 2 BA/PO; 3 UI-UX + Frontend; 4 Backend/API + DevOps; 5 Database + QA/Tester. Mỗi SV có nhiệm vụ phụ và minh chứng cá nhân.</v>
      </c>
      <c r="I3029" t="s">
        <v>29</v>
      </c>
      <c r="J3029" t="s">
        <v>6904</v>
      </c>
      <c r="K3029" t="str">
        <f>IF(I3029="Trung bình",'Huong dan giao do an'!$B$8,IF(I3029="Khá",'Huong dan giao do an'!$B$9,'Huong dan giao do an'!$B$10))</f>
        <v>Tối thiểu 5 actor; 14-18 use case; 10-15 bảng; 4 quy trình; tích hợp ngoài/realtime hoặc xử lý nâng cao; 3 báo cáo; &gt;=45 test case; logging, backup và deploy.</v>
      </c>
      <c r="L3029" t="str">
        <f>'Huong dan giao do an'!$B$31</f>
        <v>Bắt buộc: Charter/PMP; SRS + scope/WBS; Gantt/baseline; effort-cost budget; RACI/timesheet; quality-test-defect; communication/minutes; risk register; procurement; change log; closure/lessons learned.</v>
      </c>
      <c r="M3029" t="str">
        <f>'Huong dan giao do an'!$B$33</f>
        <v>Tuần 1: 07.09–13.09.2026; Tuần 2: 14.09–20.09.2026; Tuần 3: 21.09–27.09.2026; Tuần 4: 28.09–04.10.2026; Tuần 5: 05.10–11.10.2026; Tuần 6: 12.10–18.10.2026; Tuần 7: 19.10–25.10.2026; Tuần 8: 26.10–01.11.2026.</v>
      </c>
      <c r="N30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29" s="17" t="str">
        <f t="shared" si="47"/>
        <v>Còn trống</v>
      </c>
    </row>
    <row r="3030" spans="1:16" x14ac:dyDescent="0.3">
      <c r="A3030">
        <v>3029</v>
      </c>
      <c r="B3030" t="s">
        <v>6894</v>
      </c>
      <c r="C3030" t="s">
        <v>6979</v>
      </c>
      <c r="D3030" t="s">
        <v>6980</v>
      </c>
      <c r="E3030" t="s">
        <v>40</v>
      </c>
      <c r="F3030" t="s">
        <v>6912</v>
      </c>
      <c r="G3030" t="s">
        <v>6929</v>
      </c>
      <c r="H3030" t="str">
        <f>'Huong dan giao do an'!$B$14</f>
        <v>5 SV (vai trò chính): 1 PM/Scrum Master kiêm Integration; 2 BA/PO; 3 UI-UX + Frontend; 4 Backend/API + DevOps; 5 Database + QA/Tester. Mỗi SV có nhiệm vụ phụ và minh chứng cá nhân.</v>
      </c>
      <c r="I3030" t="s">
        <v>36</v>
      </c>
      <c r="J3030" t="s">
        <v>6909</v>
      </c>
      <c r="K3030" t="str">
        <f>IF(I3030="Trung bình",'Huong dan giao do an'!$B$8,IF(I3030="Khá",'Huong dan giao do an'!$B$9,'Huong dan giao do an'!$B$10))</f>
        <v>Tối thiểu 3 actor; 8-10 use case; 6-8 bảng dữ liệu; 2 quy trình lõi; đăng nhập/RBAC; 1 dashboard; 1 báo cáo; &gt;=25 test case; triển khai bản demo.</v>
      </c>
      <c r="L3030" t="str">
        <f>'Huong dan giao do an'!$B$31</f>
        <v>Bắt buộc: Charter/PMP; SRS + scope/WBS; Gantt/baseline; effort-cost budget; RACI/timesheet; quality-test-defect; communication/minutes; risk register; procurement; change log; closure/lessons learned.</v>
      </c>
      <c r="M3030" t="str">
        <f>'Huong dan giao do an'!$B$33</f>
        <v>Tuần 1: 07.09–13.09.2026; Tuần 2: 14.09–20.09.2026; Tuần 3: 21.09–27.09.2026; Tuần 4: 28.09–04.10.2026; Tuần 5: 05.10–11.10.2026; Tuần 6: 12.10–18.10.2026; Tuần 7: 19.10–25.10.2026; Tuần 8: 26.10–01.11.2026.</v>
      </c>
      <c r="N30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0" s="17" t="str">
        <f t="shared" si="47"/>
        <v>Còn trống</v>
      </c>
    </row>
    <row r="3031" spans="1:16" x14ac:dyDescent="0.3">
      <c r="A3031">
        <v>3030</v>
      </c>
      <c r="B3031" t="s">
        <v>6894</v>
      </c>
      <c r="C3031" t="s">
        <v>6981</v>
      </c>
      <c r="D3031" t="s">
        <v>6982</v>
      </c>
      <c r="E3031" t="s">
        <v>45</v>
      </c>
      <c r="F3031" t="s">
        <v>6916</v>
      </c>
      <c r="G3031" t="s">
        <v>6932</v>
      </c>
      <c r="H3031" t="str">
        <f>'Huong dan giao do an'!$B$14</f>
        <v>5 SV (vai trò chính): 1 PM/Scrum Master kiêm Integration; 2 BA/PO; 3 UI-UX + Frontend; 4 Backend/API + DevOps; 5 Database + QA/Tester. Mỗi SV có nhiệm vụ phụ và minh chứng cá nhân.</v>
      </c>
      <c r="I3031" t="s">
        <v>22</v>
      </c>
      <c r="J3031" t="s">
        <v>6899</v>
      </c>
      <c r="K3031" t="str">
        <f>IF(I3031="Trung bình",'Huong dan giao do an'!$B$8,IF(I3031="Khá",'Huong dan giao do an'!$B$9,'Huong dan giao do an'!$B$10))</f>
        <v>Tối thiểu 4 actor; 10-14 use case; 8-12 bảng; 3 quy trình lõi; phân quyền chi tiết; 2 báo cáo; tích hợp 1 dịch vụ; &gt;=35 test case; CI/CD hoặc deploy cloud.</v>
      </c>
      <c r="L3031" t="str">
        <f>'Huong dan giao do an'!$B$31</f>
        <v>Bắt buộc: Charter/PMP; SRS + scope/WBS; Gantt/baseline; effort-cost budget; RACI/timesheet; quality-test-defect; communication/minutes; risk register; procurement; change log; closure/lessons learned.</v>
      </c>
      <c r="M3031" t="str">
        <f>'Huong dan giao do an'!$B$33</f>
        <v>Tuần 1: 07.09–13.09.2026; Tuần 2: 14.09–20.09.2026; Tuần 3: 21.09–27.09.2026; Tuần 4: 28.09–04.10.2026; Tuần 5: 05.10–11.10.2026; Tuần 6: 12.10–18.10.2026; Tuần 7: 19.10–25.10.2026; Tuần 8: 26.10–01.11.2026.</v>
      </c>
      <c r="N30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1" s="17" t="str">
        <f t="shared" si="47"/>
        <v>Còn trống</v>
      </c>
    </row>
    <row r="3032" spans="1:16" x14ac:dyDescent="0.3">
      <c r="A3032">
        <v>3031</v>
      </c>
      <c r="B3032" t="s">
        <v>6894</v>
      </c>
      <c r="C3032" t="s">
        <v>6983</v>
      </c>
      <c r="D3032" t="s">
        <v>6984</v>
      </c>
      <c r="E3032" t="s">
        <v>19</v>
      </c>
      <c r="F3032" t="s">
        <v>6897</v>
      </c>
      <c r="G3032" t="s">
        <v>6935</v>
      </c>
      <c r="H3032" t="str">
        <f>'Huong dan giao do an'!$B$14</f>
        <v>5 SV (vai trò chính): 1 PM/Scrum Master kiêm Integration; 2 BA/PO; 3 UI-UX + Frontend; 4 Backend/API + DevOps; 5 Database + QA/Tester. Mỗi SV có nhiệm vụ phụ và minh chứng cá nhân.</v>
      </c>
      <c r="I3032" t="s">
        <v>29</v>
      </c>
      <c r="J3032" t="s">
        <v>6904</v>
      </c>
      <c r="K3032" t="str">
        <f>IF(I3032="Trung bình",'Huong dan giao do an'!$B$8,IF(I3032="Khá",'Huong dan giao do an'!$B$9,'Huong dan giao do an'!$B$10))</f>
        <v>Tối thiểu 5 actor; 14-18 use case; 10-15 bảng; 4 quy trình; tích hợp ngoài/realtime hoặc xử lý nâng cao; 3 báo cáo; &gt;=45 test case; logging, backup và deploy.</v>
      </c>
      <c r="L3032" t="str">
        <f>'Huong dan giao do an'!$B$31</f>
        <v>Bắt buộc: Charter/PMP; SRS + scope/WBS; Gantt/baseline; effort-cost budget; RACI/timesheet; quality-test-defect; communication/minutes; risk register; procurement; change log; closure/lessons learned.</v>
      </c>
      <c r="M3032" t="str">
        <f>'Huong dan giao do an'!$B$33</f>
        <v>Tuần 1: 07.09–13.09.2026; Tuần 2: 14.09–20.09.2026; Tuần 3: 21.09–27.09.2026; Tuần 4: 28.09–04.10.2026; Tuần 5: 05.10–11.10.2026; Tuần 6: 12.10–18.10.2026; Tuần 7: 19.10–25.10.2026; Tuần 8: 26.10–01.11.2026.</v>
      </c>
      <c r="N30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2" s="17" t="str">
        <f t="shared" si="47"/>
        <v>Còn trống</v>
      </c>
    </row>
    <row r="3033" spans="1:16" x14ac:dyDescent="0.3">
      <c r="A3033">
        <v>3032</v>
      </c>
      <c r="B3033" t="s">
        <v>6894</v>
      </c>
      <c r="C3033" t="s">
        <v>6985</v>
      </c>
      <c r="D3033" t="s">
        <v>6986</v>
      </c>
      <c r="E3033" t="s">
        <v>26</v>
      </c>
      <c r="F3033" t="s">
        <v>6902</v>
      </c>
      <c r="G3033" t="s">
        <v>6938</v>
      </c>
      <c r="H3033" t="str">
        <f>'Huong dan giao do an'!$B$14</f>
        <v>5 SV (vai trò chính): 1 PM/Scrum Master kiêm Integration; 2 BA/PO; 3 UI-UX + Frontend; 4 Backend/API + DevOps; 5 Database + QA/Tester. Mỗi SV có nhiệm vụ phụ và minh chứng cá nhân.</v>
      </c>
      <c r="I3033" t="s">
        <v>36</v>
      </c>
      <c r="J3033" t="s">
        <v>6909</v>
      </c>
      <c r="K3033" t="str">
        <f>IF(I3033="Trung bình",'Huong dan giao do an'!$B$8,IF(I3033="Khá",'Huong dan giao do an'!$B$9,'Huong dan giao do an'!$B$10))</f>
        <v>Tối thiểu 3 actor; 8-10 use case; 6-8 bảng dữ liệu; 2 quy trình lõi; đăng nhập/RBAC; 1 dashboard; 1 báo cáo; &gt;=25 test case; triển khai bản demo.</v>
      </c>
      <c r="L3033" t="str">
        <f>'Huong dan giao do an'!$B$31</f>
        <v>Bắt buộc: Charter/PMP; SRS + scope/WBS; Gantt/baseline; effort-cost budget; RACI/timesheet; quality-test-defect; communication/minutes; risk register; procurement; change log; closure/lessons learned.</v>
      </c>
      <c r="M3033" t="str">
        <f>'Huong dan giao do an'!$B$33</f>
        <v>Tuần 1: 07.09–13.09.2026; Tuần 2: 14.09–20.09.2026; Tuần 3: 21.09–27.09.2026; Tuần 4: 28.09–04.10.2026; Tuần 5: 05.10–11.10.2026; Tuần 6: 12.10–18.10.2026; Tuần 7: 19.10–25.10.2026; Tuần 8: 26.10–01.11.2026.</v>
      </c>
      <c r="N30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3" s="17" t="str">
        <f t="shared" si="47"/>
        <v>Còn trống</v>
      </c>
    </row>
    <row r="3034" spans="1:16" x14ac:dyDescent="0.3">
      <c r="A3034">
        <v>3033</v>
      </c>
      <c r="B3034" t="s">
        <v>6894</v>
      </c>
      <c r="C3034" t="s">
        <v>6987</v>
      </c>
      <c r="D3034" t="s">
        <v>6988</v>
      </c>
      <c r="E3034" t="s">
        <v>33</v>
      </c>
      <c r="F3034" t="s">
        <v>6907</v>
      </c>
      <c r="G3034" t="s">
        <v>6941</v>
      </c>
      <c r="H3034" t="str">
        <f>'Huong dan giao do an'!$B$14</f>
        <v>5 SV (vai trò chính): 1 PM/Scrum Master kiêm Integration; 2 BA/PO; 3 UI-UX + Frontend; 4 Backend/API + DevOps; 5 Database + QA/Tester. Mỗi SV có nhiệm vụ phụ và minh chứng cá nhân.</v>
      </c>
      <c r="I3034" t="s">
        <v>22</v>
      </c>
      <c r="J3034" t="s">
        <v>6899</v>
      </c>
      <c r="K3034" t="str">
        <f>IF(I3034="Trung bình",'Huong dan giao do an'!$B$8,IF(I3034="Khá",'Huong dan giao do an'!$B$9,'Huong dan giao do an'!$B$10))</f>
        <v>Tối thiểu 4 actor; 10-14 use case; 8-12 bảng; 3 quy trình lõi; phân quyền chi tiết; 2 báo cáo; tích hợp 1 dịch vụ; &gt;=35 test case; CI/CD hoặc deploy cloud.</v>
      </c>
      <c r="L3034" t="str">
        <f>'Huong dan giao do an'!$B$31</f>
        <v>Bắt buộc: Charter/PMP; SRS + scope/WBS; Gantt/baseline; effort-cost budget; RACI/timesheet; quality-test-defect; communication/minutes; risk register; procurement; change log; closure/lessons learned.</v>
      </c>
      <c r="M3034" t="str">
        <f>'Huong dan giao do an'!$B$33</f>
        <v>Tuần 1: 07.09–13.09.2026; Tuần 2: 14.09–20.09.2026; Tuần 3: 21.09–27.09.2026; Tuần 4: 28.09–04.10.2026; Tuần 5: 05.10–11.10.2026; Tuần 6: 12.10–18.10.2026; Tuần 7: 19.10–25.10.2026; Tuần 8: 26.10–01.11.2026.</v>
      </c>
      <c r="N30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4" s="17" t="str">
        <f t="shared" si="47"/>
        <v>Còn trống</v>
      </c>
    </row>
    <row r="3035" spans="1:16" x14ac:dyDescent="0.3">
      <c r="A3035">
        <v>3034</v>
      </c>
      <c r="B3035" t="s">
        <v>6894</v>
      </c>
      <c r="C3035" t="s">
        <v>6989</v>
      </c>
      <c r="D3035" t="s">
        <v>6990</v>
      </c>
      <c r="E3035" t="s">
        <v>40</v>
      </c>
      <c r="F3035" t="s">
        <v>6912</v>
      </c>
      <c r="G3035" t="s">
        <v>6944</v>
      </c>
      <c r="H3035" t="str">
        <f>'Huong dan giao do an'!$B$14</f>
        <v>5 SV (vai trò chính): 1 PM/Scrum Master kiêm Integration; 2 BA/PO; 3 UI-UX + Frontend; 4 Backend/API + DevOps; 5 Database + QA/Tester. Mỗi SV có nhiệm vụ phụ và minh chứng cá nhân.</v>
      </c>
      <c r="I3035" t="s">
        <v>29</v>
      </c>
      <c r="J3035" t="s">
        <v>6904</v>
      </c>
      <c r="K3035" t="str">
        <f>IF(I3035="Trung bình",'Huong dan giao do an'!$B$8,IF(I3035="Khá",'Huong dan giao do an'!$B$9,'Huong dan giao do an'!$B$10))</f>
        <v>Tối thiểu 5 actor; 14-18 use case; 10-15 bảng; 4 quy trình; tích hợp ngoài/realtime hoặc xử lý nâng cao; 3 báo cáo; &gt;=45 test case; logging, backup và deploy.</v>
      </c>
      <c r="L3035" t="str">
        <f>'Huong dan giao do an'!$B$31</f>
        <v>Bắt buộc: Charter/PMP; SRS + scope/WBS; Gantt/baseline; effort-cost budget; RACI/timesheet; quality-test-defect; communication/minutes; risk register; procurement; change log; closure/lessons learned.</v>
      </c>
      <c r="M3035" t="str">
        <f>'Huong dan giao do an'!$B$33</f>
        <v>Tuần 1: 07.09–13.09.2026; Tuần 2: 14.09–20.09.2026; Tuần 3: 21.09–27.09.2026; Tuần 4: 28.09–04.10.2026; Tuần 5: 05.10–11.10.2026; Tuần 6: 12.10–18.10.2026; Tuần 7: 19.10–25.10.2026; Tuần 8: 26.10–01.11.2026.</v>
      </c>
      <c r="N30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5" s="17" t="str">
        <f t="shared" si="47"/>
        <v>Còn trống</v>
      </c>
    </row>
    <row r="3036" spans="1:16" x14ac:dyDescent="0.3">
      <c r="A3036">
        <v>3035</v>
      </c>
      <c r="B3036" t="s">
        <v>6894</v>
      </c>
      <c r="C3036" t="s">
        <v>6991</v>
      </c>
      <c r="D3036" t="s">
        <v>6992</v>
      </c>
      <c r="E3036" t="s">
        <v>45</v>
      </c>
      <c r="F3036" t="s">
        <v>6916</v>
      </c>
      <c r="G3036" t="s">
        <v>6947</v>
      </c>
      <c r="H3036" t="str">
        <f>'Huong dan giao do an'!$B$14</f>
        <v>5 SV (vai trò chính): 1 PM/Scrum Master kiêm Integration; 2 BA/PO; 3 UI-UX + Frontend; 4 Backend/API + DevOps; 5 Database + QA/Tester. Mỗi SV có nhiệm vụ phụ và minh chứng cá nhân.</v>
      </c>
      <c r="I3036" t="s">
        <v>36</v>
      </c>
      <c r="J3036" t="s">
        <v>6909</v>
      </c>
      <c r="K3036" t="str">
        <f>IF(I3036="Trung bình",'Huong dan giao do an'!$B$8,IF(I3036="Khá",'Huong dan giao do an'!$B$9,'Huong dan giao do an'!$B$10))</f>
        <v>Tối thiểu 3 actor; 8-10 use case; 6-8 bảng dữ liệu; 2 quy trình lõi; đăng nhập/RBAC; 1 dashboard; 1 báo cáo; &gt;=25 test case; triển khai bản demo.</v>
      </c>
      <c r="L3036" t="str">
        <f>'Huong dan giao do an'!$B$31</f>
        <v>Bắt buộc: Charter/PMP; SRS + scope/WBS; Gantt/baseline; effort-cost budget; RACI/timesheet; quality-test-defect; communication/minutes; risk register; procurement; change log; closure/lessons learned.</v>
      </c>
      <c r="M3036" t="str">
        <f>'Huong dan giao do an'!$B$33</f>
        <v>Tuần 1: 07.09–13.09.2026; Tuần 2: 14.09–20.09.2026; Tuần 3: 21.09–27.09.2026; Tuần 4: 28.09–04.10.2026; Tuần 5: 05.10–11.10.2026; Tuần 6: 12.10–18.10.2026; Tuần 7: 19.10–25.10.2026; Tuần 8: 26.10–01.11.2026.</v>
      </c>
      <c r="N30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6" s="17" t="str">
        <f t="shared" si="47"/>
        <v>Còn trống</v>
      </c>
    </row>
    <row r="3037" spans="1:16" x14ac:dyDescent="0.3">
      <c r="A3037">
        <v>3036</v>
      </c>
      <c r="B3037" t="s">
        <v>6894</v>
      </c>
      <c r="C3037" t="s">
        <v>6993</v>
      </c>
      <c r="D3037" t="s">
        <v>6994</v>
      </c>
      <c r="E3037" t="s">
        <v>19</v>
      </c>
      <c r="F3037" t="s">
        <v>6897</v>
      </c>
      <c r="G3037" t="s">
        <v>6950</v>
      </c>
      <c r="H3037" t="str">
        <f>'Huong dan giao do an'!$B$14</f>
        <v>5 SV (vai trò chính): 1 PM/Scrum Master kiêm Integration; 2 BA/PO; 3 UI-UX + Frontend; 4 Backend/API + DevOps; 5 Database + QA/Tester. Mỗi SV có nhiệm vụ phụ và minh chứng cá nhân.</v>
      </c>
      <c r="I3037" t="s">
        <v>22</v>
      </c>
      <c r="J3037" t="s">
        <v>6899</v>
      </c>
      <c r="K3037" t="str">
        <f>IF(I3037="Trung bình",'Huong dan giao do an'!$B$8,IF(I3037="Khá",'Huong dan giao do an'!$B$9,'Huong dan giao do an'!$B$10))</f>
        <v>Tối thiểu 4 actor; 10-14 use case; 8-12 bảng; 3 quy trình lõi; phân quyền chi tiết; 2 báo cáo; tích hợp 1 dịch vụ; &gt;=35 test case; CI/CD hoặc deploy cloud.</v>
      </c>
      <c r="L3037" t="str">
        <f>'Huong dan giao do an'!$B$31</f>
        <v>Bắt buộc: Charter/PMP; SRS + scope/WBS; Gantt/baseline; effort-cost budget; RACI/timesheet; quality-test-defect; communication/minutes; risk register; procurement; change log; closure/lessons learned.</v>
      </c>
      <c r="M3037" t="str">
        <f>'Huong dan giao do an'!$B$33</f>
        <v>Tuần 1: 07.09–13.09.2026; Tuần 2: 14.09–20.09.2026; Tuần 3: 21.09–27.09.2026; Tuần 4: 28.09–04.10.2026; Tuần 5: 05.10–11.10.2026; Tuần 6: 12.10–18.10.2026; Tuần 7: 19.10–25.10.2026; Tuần 8: 26.10–01.11.2026.</v>
      </c>
      <c r="N30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7" s="17" t="str">
        <f t="shared" si="47"/>
        <v>Còn trống</v>
      </c>
    </row>
    <row r="3038" spans="1:16" x14ac:dyDescent="0.3">
      <c r="A3038">
        <v>3037</v>
      </c>
      <c r="B3038" t="s">
        <v>6894</v>
      </c>
      <c r="C3038" t="s">
        <v>6995</v>
      </c>
      <c r="D3038" t="s">
        <v>6996</v>
      </c>
      <c r="E3038" t="s">
        <v>26</v>
      </c>
      <c r="F3038" t="s">
        <v>6902</v>
      </c>
      <c r="G3038" t="s">
        <v>6953</v>
      </c>
      <c r="H3038" t="str">
        <f>'Huong dan giao do an'!$B$14</f>
        <v>5 SV (vai trò chính): 1 PM/Scrum Master kiêm Integration; 2 BA/PO; 3 UI-UX + Frontend; 4 Backend/API + DevOps; 5 Database + QA/Tester. Mỗi SV có nhiệm vụ phụ và minh chứng cá nhân.</v>
      </c>
      <c r="I3038" t="s">
        <v>29</v>
      </c>
      <c r="J3038" t="s">
        <v>6904</v>
      </c>
      <c r="K3038" t="str">
        <f>IF(I3038="Trung bình",'Huong dan giao do an'!$B$8,IF(I3038="Khá",'Huong dan giao do an'!$B$9,'Huong dan giao do an'!$B$10))</f>
        <v>Tối thiểu 5 actor; 14-18 use case; 10-15 bảng; 4 quy trình; tích hợp ngoài/realtime hoặc xử lý nâng cao; 3 báo cáo; &gt;=45 test case; logging, backup và deploy.</v>
      </c>
      <c r="L3038" t="str">
        <f>'Huong dan giao do an'!$B$31</f>
        <v>Bắt buộc: Charter/PMP; SRS + scope/WBS; Gantt/baseline; effort-cost budget; RACI/timesheet; quality-test-defect; communication/minutes; risk register; procurement; change log; closure/lessons learned.</v>
      </c>
      <c r="M3038" t="str">
        <f>'Huong dan giao do an'!$B$33</f>
        <v>Tuần 1: 07.09–13.09.2026; Tuần 2: 14.09–20.09.2026; Tuần 3: 21.09–27.09.2026; Tuần 4: 28.09–04.10.2026; Tuần 5: 05.10–11.10.2026; Tuần 6: 12.10–18.10.2026; Tuần 7: 19.10–25.10.2026; Tuần 8: 26.10–01.11.2026.</v>
      </c>
      <c r="N30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8" s="17" t="str">
        <f t="shared" si="47"/>
        <v>Còn trống</v>
      </c>
    </row>
    <row r="3039" spans="1:16" x14ac:dyDescent="0.3">
      <c r="A3039">
        <v>3038</v>
      </c>
      <c r="B3039" t="s">
        <v>6894</v>
      </c>
      <c r="C3039" t="s">
        <v>6997</v>
      </c>
      <c r="D3039" t="s">
        <v>6998</v>
      </c>
      <c r="E3039" t="s">
        <v>33</v>
      </c>
      <c r="F3039" t="s">
        <v>6907</v>
      </c>
      <c r="G3039" t="s">
        <v>6956</v>
      </c>
      <c r="H3039" t="str">
        <f>'Huong dan giao do an'!$B$14</f>
        <v>5 SV (vai trò chính): 1 PM/Scrum Master kiêm Integration; 2 BA/PO; 3 UI-UX + Frontend; 4 Backend/API + DevOps; 5 Database + QA/Tester. Mỗi SV có nhiệm vụ phụ và minh chứng cá nhân.</v>
      </c>
      <c r="I3039" t="s">
        <v>36</v>
      </c>
      <c r="J3039" t="s">
        <v>6909</v>
      </c>
      <c r="K3039" t="str">
        <f>IF(I3039="Trung bình",'Huong dan giao do an'!$B$8,IF(I3039="Khá",'Huong dan giao do an'!$B$9,'Huong dan giao do an'!$B$10))</f>
        <v>Tối thiểu 3 actor; 8-10 use case; 6-8 bảng dữ liệu; 2 quy trình lõi; đăng nhập/RBAC; 1 dashboard; 1 báo cáo; &gt;=25 test case; triển khai bản demo.</v>
      </c>
      <c r="L3039" t="str">
        <f>'Huong dan giao do an'!$B$31</f>
        <v>Bắt buộc: Charter/PMP; SRS + scope/WBS; Gantt/baseline; effort-cost budget; RACI/timesheet; quality-test-defect; communication/minutes; risk register; procurement; change log; closure/lessons learned.</v>
      </c>
      <c r="M3039" t="str">
        <f>'Huong dan giao do an'!$B$33</f>
        <v>Tuần 1: 07.09–13.09.2026; Tuần 2: 14.09–20.09.2026; Tuần 3: 21.09–27.09.2026; Tuần 4: 28.09–04.10.2026; Tuần 5: 05.10–11.10.2026; Tuần 6: 12.10–18.10.2026; Tuần 7: 19.10–25.10.2026; Tuần 8: 26.10–01.11.2026.</v>
      </c>
      <c r="N30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39" s="17" t="str">
        <f t="shared" si="47"/>
        <v>Còn trống</v>
      </c>
    </row>
    <row r="3040" spans="1:16" x14ac:dyDescent="0.3">
      <c r="A3040">
        <v>3039</v>
      </c>
      <c r="B3040" t="s">
        <v>6894</v>
      </c>
      <c r="C3040" t="s">
        <v>6999</v>
      </c>
      <c r="D3040" t="s">
        <v>7000</v>
      </c>
      <c r="E3040" t="s">
        <v>40</v>
      </c>
      <c r="F3040" t="s">
        <v>6912</v>
      </c>
      <c r="G3040" t="s">
        <v>6959</v>
      </c>
      <c r="H3040" t="str">
        <f>'Huong dan giao do an'!$B$14</f>
        <v>5 SV (vai trò chính): 1 PM/Scrum Master kiêm Integration; 2 BA/PO; 3 UI-UX + Frontend; 4 Backend/API + DevOps; 5 Database + QA/Tester. Mỗi SV có nhiệm vụ phụ và minh chứng cá nhân.</v>
      </c>
      <c r="I3040" t="s">
        <v>22</v>
      </c>
      <c r="J3040" t="s">
        <v>6899</v>
      </c>
      <c r="K3040" t="str">
        <f>IF(I3040="Trung bình",'Huong dan giao do an'!$B$8,IF(I3040="Khá",'Huong dan giao do an'!$B$9,'Huong dan giao do an'!$B$10))</f>
        <v>Tối thiểu 4 actor; 10-14 use case; 8-12 bảng; 3 quy trình lõi; phân quyền chi tiết; 2 báo cáo; tích hợp 1 dịch vụ; &gt;=35 test case; CI/CD hoặc deploy cloud.</v>
      </c>
      <c r="L3040" t="str">
        <f>'Huong dan giao do an'!$B$31</f>
        <v>Bắt buộc: Charter/PMP; SRS + scope/WBS; Gantt/baseline; effort-cost budget; RACI/timesheet; quality-test-defect; communication/minutes; risk register; procurement; change log; closure/lessons learned.</v>
      </c>
      <c r="M3040" t="str">
        <f>'Huong dan giao do an'!$B$33</f>
        <v>Tuần 1: 07.09–13.09.2026; Tuần 2: 14.09–20.09.2026; Tuần 3: 21.09–27.09.2026; Tuần 4: 28.09–04.10.2026; Tuần 5: 05.10–11.10.2026; Tuần 6: 12.10–18.10.2026; Tuần 7: 19.10–25.10.2026; Tuần 8: 26.10–01.11.2026.</v>
      </c>
      <c r="N30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0" s="17" t="str">
        <f t="shared" si="47"/>
        <v>Còn trống</v>
      </c>
    </row>
    <row r="3041" spans="1:16" x14ac:dyDescent="0.3">
      <c r="A3041">
        <v>3040</v>
      </c>
      <c r="B3041" t="s">
        <v>6894</v>
      </c>
      <c r="C3041" t="s">
        <v>7001</v>
      </c>
      <c r="D3041" t="s">
        <v>7002</v>
      </c>
      <c r="E3041" t="s">
        <v>45</v>
      </c>
      <c r="F3041" t="s">
        <v>6916</v>
      </c>
      <c r="G3041" t="s">
        <v>6962</v>
      </c>
      <c r="H3041" t="str">
        <f>'Huong dan giao do an'!$B$14</f>
        <v>5 SV (vai trò chính): 1 PM/Scrum Master kiêm Integration; 2 BA/PO; 3 UI-UX + Frontend; 4 Backend/API + DevOps; 5 Database + QA/Tester. Mỗi SV có nhiệm vụ phụ và minh chứng cá nhân.</v>
      </c>
      <c r="I3041" t="s">
        <v>29</v>
      </c>
      <c r="J3041" t="s">
        <v>6904</v>
      </c>
      <c r="K3041" t="str">
        <f>IF(I3041="Trung bình",'Huong dan giao do an'!$B$8,IF(I3041="Khá",'Huong dan giao do an'!$B$9,'Huong dan giao do an'!$B$10))</f>
        <v>Tối thiểu 5 actor; 14-18 use case; 10-15 bảng; 4 quy trình; tích hợp ngoài/realtime hoặc xử lý nâng cao; 3 báo cáo; &gt;=45 test case; logging, backup và deploy.</v>
      </c>
      <c r="L3041" t="str">
        <f>'Huong dan giao do an'!$B$31</f>
        <v>Bắt buộc: Charter/PMP; SRS + scope/WBS; Gantt/baseline; effort-cost budget; RACI/timesheet; quality-test-defect; communication/minutes; risk register; procurement; change log; closure/lessons learned.</v>
      </c>
      <c r="M3041" t="str">
        <f>'Huong dan giao do an'!$B$33</f>
        <v>Tuần 1: 07.09–13.09.2026; Tuần 2: 14.09–20.09.2026; Tuần 3: 21.09–27.09.2026; Tuần 4: 28.09–04.10.2026; Tuần 5: 05.10–11.10.2026; Tuần 6: 12.10–18.10.2026; Tuần 7: 19.10–25.10.2026; Tuần 8: 26.10–01.11.2026.</v>
      </c>
      <c r="N30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1" s="17" t="str">
        <f t="shared" si="47"/>
        <v>Còn trống</v>
      </c>
    </row>
    <row r="3042" spans="1:16" x14ac:dyDescent="0.3">
      <c r="A3042">
        <v>3041</v>
      </c>
      <c r="B3042" t="s">
        <v>6894</v>
      </c>
      <c r="C3042" t="s">
        <v>7003</v>
      </c>
      <c r="D3042" t="s">
        <v>7004</v>
      </c>
      <c r="E3042" t="s">
        <v>19</v>
      </c>
      <c r="F3042" t="s">
        <v>6897</v>
      </c>
      <c r="G3042" t="s">
        <v>6898</v>
      </c>
      <c r="H3042" t="str">
        <f>'Huong dan giao do an'!$B$14</f>
        <v>5 SV (vai trò chính): 1 PM/Scrum Master kiêm Integration; 2 BA/PO; 3 UI-UX + Frontend; 4 Backend/API + DevOps; 5 Database + QA/Tester. Mỗi SV có nhiệm vụ phụ và minh chứng cá nhân.</v>
      </c>
      <c r="I3042" t="s">
        <v>22</v>
      </c>
      <c r="J3042" t="s">
        <v>6899</v>
      </c>
      <c r="K3042" t="str">
        <f>IF(I3042="Trung bình",'Huong dan giao do an'!$B$8,IF(I3042="Khá",'Huong dan giao do an'!$B$9,'Huong dan giao do an'!$B$10))</f>
        <v>Tối thiểu 4 actor; 10-14 use case; 8-12 bảng; 3 quy trình lõi; phân quyền chi tiết; 2 báo cáo; tích hợp 1 dịch vụ; &gt;=35 test case; CI/CD hoặc deploy cloud.</v>
      </c>
      <c r="L3042" t="str">
        <f>'Huong dan giao do an'!$B$31</f>
        <v>Bắt buộc: Charter/PMP; SRS + scope/WBS; Gantt/baseline; effort-cost budget; RACI/timesheet; quality-test-defect; communication/minutes; risk register; procurement; change log; closure/lessons learned.</v>
      </c>
      <c r="M3042" t="str">
        <f>'Huong dan giao do an'!$B$33</f>
        <v>Tuần 1: 07.09–13.09.2026; Tuần 2: 14.09–20.09.2026; Tuần 3: 21.09–27.09.2026; Tuần 4: 28.09–04.10.2026; Tuần 5: 05.10–11.10.2026; Tuần 6: 12.10–18.10.2026; Tuần 7: 19.10–25.10.2026; Tuần 8: 26.10–01.11.2026.</v>
      </c>
      <c r="N30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2" s="17" t="str">
        <f t="shared" si="47"/>
        <v>Còn trống</v>
      </c>
    </row>
    <row r="3043" spans="1:16" x14ac:dyDescent="0.3">
      <c r="A3043">
        <v>3042</v>
      </c>
      <c r="B3043" t="s">
        <v>6894</v>
      </c>
      <c r="C3043" t="s">
        <v>7005</v>
      </c>
      <c r="D3043" t="s">
        <v>7006</v>
      </c>
      <c r="E3043" t="s">
        <v>26</v>
      </c>
      <c r="F3043" t="s">
        <v>6902</v>
      </c>
      <c r="G3043" t="s">
        <v>6903</v>
      </c>
      <c r="H3043" t="str">
        <f>'Huong dan giao do an'!$B$14</f>
        <v>5 SV (vai trò chính): 1 PM/Scrum Master kiêm Integration; 2 BA/PO; 3 UI-UX + Frontend; 4 Backend/API + DevOps; 5 Database + QA/Tester. Mỗi SV có nhiệm vụ phụ và minh chứng cá nhân.</v>
      </c>
      <c r="I3043" t="s">
        <v>29</v>
      </c>
      <c r="J3043" t="s">
        <v>6904</v>
      </c>
      <c r="K3043" t="str">
        <f>IF(I3043="Trung bình",'Huong dan giao do an'!$B$8,IF(I3043="Khá",'Huong dan giao do an'!$B$9,'Huong dan giao do an'!$B$10))</f>
        <v>Tối thiểu 5 actor; 14-18 use case; 10-15 bảng; 4 quy trình; tích hợp ngoài/realtime hoặc xử lý nâng cao; 3 báo cáo; &gt;=45 test case; logging, backup và deploy.</v>
      </c>
      <c r="L3043" t="str">
        <f>'Huong dan giao do an'!$B$31</f>
        <v>Bắt buộc: Charter/PMP; SRS + scope/WBS; Gantt/baseline; effort-cost budget; RACI/timesheet; quality-test-defect; communication/minutes; risk register; procurement; change log; closure/lessons learned.</v>
      </c>
      <c r="M3043" t="str">
        <f>'Huong dan giao do an'!$B$33</f>
        <v>Tuần 1: 07.09–13.09.2026; Tuần 2: 14.09–20.09.2026; Tuần 3: 21.09–27.09.2026; Tuần 4: 28.09–04.10.2026; Tuần 5: 05.10–11.10.2026; Tuần 6: 12.10–18.10.2026; Tuần 7: 19.10–25.10.2026; Tuần 8: 26.10–01.11.2026.</v>
      </c>
      <c r="N30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3" s="17" t="str">
        <f t="shared" si="47"/>
        <v>Còn trống</v>
      </c>
    </row>
    <row r="3044" spans="1:16" x14ac:dyDescent="0.3">
      <c r="A3044">
        <v>3043</v>
      </c>
      <c r="B3044" t="s">
        <v>6894</v>
      </c>
      <c r="C3044" t="s">
        <v>7007</v>
      </c>
      <c r="D3044" t="s">
        <v>7008</v>
      </c>
      <c r="E3044" t="s">
        <v>33</v>
      </c>
      <c r="F3044" t="s">
        <v>6907</v>
      </c>
      <c r="G3044" t="s">
        <v>6908</v>
      </c>
      <c r="H3044" t="str">
        <f>'Huong dan giao do an'!$B$14</f>
        <v>5 SV (vai trò chính): 1 PM/Scrum Master kiêm Integration; 2 BA/PO; 3 UI-UX + Frontend; 4 Backend/API + DevOps; 5 Database + QA/Tester. Mỗi SV có nhiệm vụ phụ và minh chứng cá nhân.</v>
      </c>
      <c r="I3044" t="s">
        <v>36</v>
      </c>
      <c r="J3044" t="s">
        <v>6909</v>
      </c>
      <c r="K3044" t="str">
        <f>IF(I3044="Trung bình",'Huong dan giao do an'!$B$8,IF(I3044="Khá",'Huong dan giao do an'!$B$9,'Huong dan giao do an'!$B$10))</f>
        <v>Tối thiểu 3 actor; 8-10 use case; 6-8 bảng dữ liệu; 2 quy trình lõi; đăng nhập/RBAC; 1 dashboard; 1 báo cáo; &gt;=25 test case; triển khai bản demo.</v>
      </c>
      <c r="L3044" t="str">
        <f>'Huong dan giao do an'!$B$31</f>
        <v>Bắt buộc: Charter/PMP; SRS + scope/WBS; Gantt/baseline; effort-cost budget; RACI/timesheet; quality-test-defect; communication/minutes; risk register; procurement; change log; closure/lessons learned.</v>
      </c>
      <c r="M3044" t="str">
        <f>'Huong dan giao do an'!$B$33</f>
        <v>Tuần 1: 07.09–13.09.2026; Tuần 2: 14.09–20.09.2026; Tuần 3: 21.09–27.09.2026; Tuần 4: 28.09–04.10.2026; Tuần 5: 05.10–11.10.2026; Tuần 6: 12.10–18.10.2026; Tuần 7: 19.10–25.10.2026; Tuần 8: 26.10–01.11.2026.</v>
      </c>
      <c r="N30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4" s="17" t="str">
        <f t="shared" si="47"/>
        <v>Còn trống</v>
      </c>
    </row>
    <row r="3045" spans="1:16" x14ac:dyDescent="0.3">
      <c r="A3045">
        <v>3044</v>
      </c>
      <c r="B3045" t="s">
        <v>6894</v>
      </c>
      <c r="C3045" t="s">
        <v>7009</v>
      </c>
      <c r="D3045" t="s">
        <v>7010</v>
      </c>
      <c r="E3045" t="s">
        <v>40</v>
      </c>
      <c r="F3045" t="s">
        <v>6912</v>
      </c>
      <c r="G3045" t="s">
        <v>6913</v>
      </c>
      <c r="H3045" t="str">
        <f>'Huong dan giao do an'!$B$14</f>
        <v>5 SV (vai trò chính): 1 PM/Scrum Master kiêm Integration; 2 BA/PO; 3 UI-UX + Frontend; 4 Backend/API + DevOps; 5 Database + QA/Tester. Mỗi SV có nhiệm vụ phụ và minh chứng cá nhân.</v>
      </c>
      <c r="I3045" t="s">
        <v>22</v>
      </c>
      <c r="J3045" t="s">
        <v>6899</v>
      </c>
      <c r="K3045" t="str">
        <f>IF(I3045="Trung bình",'Huong dan giao do an'!$B$8,IF(I3045="Khá",'Huong dan giao do an'!$B$9,'Huong dan giao do an'!$B$10))</f>
        <v>Tối thiểu 4 actor; 10-14 use case; 8-12 bảng; 3 quy trình lõi; phân quyền chi tiết; 2 báo cáo; tích hợp 1 dịch vụ; &gt;=35 test case; CI/CD hoặc deploy cloud.</v>
      </c>
      <c r="L3045" t="str">
        <f>'Huong dan giao do an'!$B$31</f>
        <v>Bắt buộc: Charter/PMP; SRS + scope/WBS; Gantt/baseline; effort-cost budget; RACI/timesheet; quality-test-defect; communication/minutes; risk register; procurement; change log; closure/lessons learned.</v>
      </c>
      <c r="M3045" t="str">
        <f>'Huong dan giao do an'!$B$33</f>
        <v>Tuần 1: 07.09–13.09.2026; Tuần 2: 14.09–20.09.2026; Tuần 3: 21.09–27.09.2026; Tuần 4: 28.09–04.10.2026; Tuần 5: 05.10–11.10.2026; Tuần 6: 12.10–18.10.2026; Tuần 7: 19.10–25.10.2026; Tuần 8: 26.10–01.11.2026.</v>
      </c>
      <c r="N30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5" s="17" t="str">
        <f t="shared" si="47"/>
        <v>Còn trống</v>
      </c>
    </row>
    <row r="3046" spans="1:16" x14ac:dyDescent="0.3">
      <c r="A3046">
        <v>3045</v>
      </c>
      <c r="B3046" t="s">
        <v>6894</v>
      </c>
      <c r="C3046" t="s">
        <v>7011</v>
      </c>
      <c r="D3046" t="s">
        <v>7012</v>
      </c>
      <c r="E3046" t="s">
        <v>45</v>
      </c>
      <c r="F3046" t="s">
        <v>6916</v>
      </c>
      <c r="G3046" t="s">
        <v>6917</v>
      </c>
      <c r="H3046" t="str">
        <f>'Huong dan giao do an'!$B$14</f>
        <v>5 SV (vai trò chính): 1 PM/Scrum Master kiêm Integration; 2 BA/PO; 3 UI-UX + Frontend; 4 Backend/API + DevOps; 5 Database + QA/Tester. Mỗi SV có nhiệm vụ phụ và minh chứng cá nhân.</v>
      </c>
      <c r="I3046" t="s">
        <v>29</v>
      </c>
      <c r="J3046" t="s">
        <v>6904</v>
      </c>
      <c r="K3046" t="str">
        <f>IF(I3046="Trung bình",'Huong dan giao do an'!$B$8,IF(I3046="Khá",'Huong dan giao do an'!$B$9,'Huong dan giao do an'!$B$10))</f>
        <v>Tối thiểu 5 actor; 14-18 use case; 10-15 bảng; 4 quy trình; tích hợp ngoài/realtime hoặc xử lý nâng cao; 3 báo cáo; &gt;=45 test case; logging, backup và deploy.</v>
      </c>
      <c r="L3046" t="str">
        <f>'Huong dan giao do an'!$B$31</f>
        <v>Bắt buộc: Charter/PMP; SRS + scope/WBS; Gantt/baseline; effort-cost budget; RACI/timesheet; quality-test-defect; communication/minutes; risk register; procurement; change log; closure/lessons learned.</v>
      </c>
      <c r="M3046" t="str">
        <f>'Huong dan giao do an'!$B$33</f>
        <v>Tuần 1: 07.09–13.09.2026; Tuần 2: 14.09–20.09.2026; Tuần 3: 21.09–27.09.2026; Tuần 4: 28.09–04.10.2026; Tuần 5: 05.10–11.10.2026; Tuần 6: 12.10–18.10.2026; Tuần 7: 19.10–25.10.2026; Tuần 8: 26.10–01.11.2026.</v>
      </c>
      <c r="N30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6" s="17" t="str">
        <f t="shared" si="47"/>
        <v>Còn trống</v>
      </c>
    </row>
    <row r="3047" spans="1:16" x14ac:dyDescent="0.3">
      <c r="A3047">
        <v>3046</v>
      </c>
      <c r="B3047" t="s">
        <v>6894</v>
      </c>
      <c r="C3047" t="s">
        <v>7013</v>
      </c>
      <c r="D3047" t="s">
        <v>7014</v>
      </c>
      <c r="E3047" t="s">
        <v>19</v>
      </c>
      <c r="F3047" t="s">
        <v>6897</v>
      </c>
      <c r="G3047" t="s">
        <v>6920</v>
      </c>
      <c r="H3047" t="str">
        <f>'Huong dan giao do an'!$B$14</f>
        <v>5 SV (vai trò chính): 1 PM/Scrum Master kiêm Integration; 2 BA/PO; 3 UI-UX + Frontend; 4 Backend/API + DevOps; 5 Database + QA/Tester. Mỗi SV có nhiệm vụ phụ và minh chứng cá nhân.</v>
      </c>
      <c r="I3047" t="s">
        <v>36</v>
      </c>
      <c r="J3047" t="s">
        <v>6909</v>
      </c>
      <c r="K3047" t="str">
        <f>IF(I3047="Trung bình",'Huong dan giao do an'!$B$8,IF(I3047="Khá",'Huong dan giao do an'!$B$9,'Huong dan giao do an'!$B$10))</f>
        <v>Tối thiểu 3 actor; 8-10 use case; 6-8 bảng dữ liệu; 2 quy trình lõi; đăng nhập/RBAC; 1 dashboard; 1 báo cáo; &gt;=25 test case; triển khai bản demo.</v>
      </c>
      <c r="L3047" t="str">
        <f>'Huong dan giao do an'!$B$31</f>
        <v>Bắt buộc: Charter/PMP; SRS + scope/WBS; Gantt/baseline; effort-cost budget; RACI/timesheet; quality-test-defect; communication/minutes; risk register; procurement; change log; closure/lessons learned.</v>
      </c>
      <c r="M3047" t="str">
        <f>'Huong dan giao do an'!$B$33</f>
        <v>Tuần 1: 07.09–13.09.2026; Tuần 2: 14.09–20.09.2026; Tuần 3: 21.09–27.09.2026; Tuần 4: 28.09–04.10.2026; Tuần 5: 05.10–11.10.2026; Tuần 6: 12.10–18.10.2026; Tuần 7: 19.10–25.10.2026; Tuần 8: 26.10–01.11.2026.</v>
      </c>
      <c r="N30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7" s="17" t="str">
        <f t="shared" si="47"/>
        <v>Còn trống</v>
      </c>
    </row>
    <row r="3048" spans="1:16" x14ac:dyDescent="0.3">
      <c r="A3048">
        <v>3047</v>
      </c>
      <c r="B3048" t="s">
        <v>6894</v>
      </c>
      <c r="C3048" t="s">
        <v>7015</v>
      </c>
      <c r="D3048" t="s">
        <v>7016</v>
      </c>
      <c r="E3048" t="s">
        <v>26</v>
      </c>
      <c r="F3048" t="s">
        <v>6902</v>
      </c>
      <c r="G3048" t="s">
        <v>6923</v>
      </c>
      <c r="H3048" t="str">
        <f>'Huong dan giao do an'!$B$14</f>
        <v>5 SV (vai trò chính): 1 PM/Scrum Master kiêm Integration; 2 BA/PO; 3 UI-UX + Frontend; 4 Backend/API + DevOps; 5 Database + QA/Tester. Mỗi SV có nhiệm vụ phụ và minh chứng cá nhân.</v>
      </c>
      <c r="I3048" t="s">
        <v>22</v>
      </c>
      <c r="J3048" t="s">
        <v>6899</v>
      </c>
      <c r="K3048" t="str">
        <f>IF(I3048="Trung bình",'Huong dan giao do an'!$B$8,IF(I3048="Khá",'Huong dan giao do an'!$B$9,'Huong dan giao do an'!$B$10))</f>
        <v>Tối thiểu 4 actor; 10-14 use case; 8-12 bảng; 3 quy trình lõi; phân quyền chi tiết; 2 báo cáo; tích hợp 1 dịch vụ; &gt;=35 test case; CI/CD hoặc deploy cloud.</v>
      </c>
      <c r="L3048" t="str">
        <f>'Huong dan giao do an'!$B$31</f>
        <v>Bắt buộc: Charter/PMP; SRS + scope/WBS; Gantt/baseline; effort-cost budget; RACI/timesheet; quality-test-defect; communication/minutes; risk register; procurement; change log; closure/lessons learned.</v>
      </c>
      <c r="M3048" t="str">
        <f>'Huong dan giao do an'!$B$33</f>
        <v>Tuần 1: 07.09–13.09.2026; Tuần 2: 14.09–20.09.2026; Tuần 3: 21.09–27.09.2026; Tuần 4: 28.09–04.10.2026; Tuần 5: 05.10–11.10.2026; Tuần 6: 12.10–18.10.2026; Tuần 7: 19.10–25.10.2026; Tuần 8: 26.10–01.11.2026.</v>
      </c>
      <c r="N30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8" s="17" t="str">
        <f t="shared" si="47"/>
        <v>Còn trống</v>
      </c>
    </row>
    <row r="3049" spans="1:16" x14ac:dyDescent="0.3">
      <c r="A3049">
        <v>3048</v>
      </c>
      <c r="B3049" t="s">
        <v>6894</v>
      </c>
      <c r="C3049" t="s">
        <v>7017</v>
      </c>
      <c r="D3049" t="s">
        <v>7018</v>
      </c>
      <c r="E3049" t="s">
        <v>33</v>
      </c>
      <c r="F3049" t="s">
        <v>6907</v>
      </c>
      <c r="G3049" t="s">
        <v>6926</v>
      </c>
      <c r="H3049" t="str">
        <f>'Huong dan giao do an'!$B$14</f>
        <v>5 SV (vai trò chính): 1 PM/Scrum Master kiêm Integration; 2 BA/PO; 3 UI-UX + Frontend; 4 Backend/API + DevOps; 5 Database + QA/Tester. Mỗi SV có nhiệm vụ phụ và minh chứng cá nhân.</v>
      </c>
      <c r="I3049" t="s">
        <v>29</v>
      </c>
      <c r="J3049" t="s">
        <v>6904</v>
      </c>
      <c r="K3049" t="str">
        <f>IF(I3049="Trung bình",'Huong dan giao do an'!$B$8,IF(I3049="Khá",'Huong dan giao do an'!$B$9,'Huong dan giao do an'!$B$10))</f>
        <v>Tối thiểu 5 actor; 14-18 use case; 10-15 bảng; 4 quy trình; tích hợp ngoài/realtime hoặc xử lý nâng cao; 3 báo cáo; &gt;=45 test case; logging, backup và deploy.</v>
      </c>
      <c r="L3049" t="str">
        <f>'Huong dan giao do an'!$B$31</f>
        <v>Bắt buộc: Charter/PMP; SRS + scope/WBS; Gantt/baseline; effort-cost budget; RACI/timesheet; quality-test-defect; communication/minutes; risk register; procurement; change log; closure/lessons learned.</v>
      </c>
      <c r="M3049" t="str">
        <f>'Huong dan giao do an'!$B$33</f>
        <v>Tuần 1: 07.09–13.09.2026; Tuần 2: 14.09–20.09.2026; Tuần 3: 21.09–27.09.2026; Tuần 4: 28.09–04.10.2026; Tuần 5: 05.10–11.10.2026; Tuần 6: 12.10–18.10.2026; Tuần 7: 19.10–25.10.2026; Tuần 8: 26.10–01.11.2026.</v>
      </c>
      <c r="N30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49" s="17" t="str">
        <f t="shared" si="47"/>
        <v>Còn trống</v>
      </c>
    </row>
    <row r="3050" spans="1:16" x14ac:dyDescent="0.3">
      <c r="A3050">
        <v>3049</v>
      </c>
      <c r="B3050" t="s">
        <v>6894</v>
      </c>
      <c r="C3050" t="s">
        <v>7019</v>
      </c>
      <c r="D3050" t="s">
        <v>7020</v>
      </c>
      <c r="E3050" t="s">
        <v>40</v>
      </c>
      <c r="F3050" t="s">
        <v>6912</v>
      </c>
      <c r="G3050" t="s">
        <v>6929</v>
      </c>
      <c r="H3050" t="str">
        <f>'Huong dan giao do an'!$B$14</f>
        <v>5 SV (vai trò chính): 1 PM/Scrum Master kiêm Integration; 2 BA/PO; 3 UI-UX + Frontend; 4 Backend/API + DevOps; 5 Database + QA/Tester. Mỗi SV có nhiệm vụ phụ và minh chứng cá nhân.</v>
      </c>
      <c r="I3050" t="s">
        <v>36</v>
      </c>
      <c r="J3050" t="s">
        <v>6909</v>
      </c>
      <c r="K3050" t="str">
        <f>IF(I3050="Trung bình",'Huong dan giao do an'!$B$8,IF(I3050="Khá",'Huong dan giao do an'!$B$9,'Huong dan giao do an'!$B$10))</f>
        <v>Tối thiểu 3 actor; 8-10 use case; 6-8 bảng dữ liệu; 2 quy trình lõi; đăng nhập/RBAC; 1 dashboard; 1 báo cáo; &gt;=25 test case; triển khai bản demo.</v>
      </c>
      <c r="L3050" t="str">
        <f>'Huong dan giao do an'!$B$31</f>
        <v>Bắt buộc: Charter/PMP; SRS + scope/WBS; Gantt/baseline; effort-cost budget; RACI/timesheet; quality-test-defect; communication/minutes; risk register; procurement; change log; closure/lessons learned.</v>
      </c>
      <c r="M3050" t="str">
        <f>'Huong dan giao do an'!$B$33</f>
        <v>Tuần 1: 07.09–13.09.2026; Tuần 2: 14.09–20.09.2026; Tuần 3: 21.09–27.09.2026; Tuần 4: 28.09–04.10.2026; Tuần 5: 05.10–11.10.2026; Tuần 6: 12.10–18.10.2026; Tuần 7: 19.10–25.10.2026; Tuần 8: 26.10–01.11.2026.</v>
      </c>
      <c r="N30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0" s="17" t="str">
        <f t="shared" si="47"/>
        <v>Còn trống</v>
      </c>
    </row>
    <row r="3051" spans="1:16" x14ac:dyDescent="0.3">
      <c r="A3051">
        <v>3050</v>
      </c>
      <c r="B3051" t="s">
        <v>6894</v>
      </c>
      <c r="C3051" t="s">
        <v>7021</v>
      </c>
      <c r="D3051" t="s">
        <v>7022</v>
      </c>
      <c r="E3051" t="s">
        <v>45</v>
      </c>
      <c r="F3051" t="s">
        <v>6916</v>
      </c>
      <c r="G3051" t="s">
        <v>6932</v>
      </c>
      <c r="H3051" t="str">
        <f>'Huong dan giao do an'!$B$14</f>
        <v>5 SV (vai trò chính): 1 PM/Scrum Master kiêm Integration; 2 BA/PO; 3 UI-UX + Frontend; 4 Backend/API + DevOps; 5 Database + QA/Tester. Mỗi SV có nhiệm vụ phụ và minh chứng cá nhân.</v>
      </c>
      <c r="I3051" t="s">
        <v>22</v>
      </c>
      <c r="J3051" t="s">
        <v>6899</v>
      </c>
      <c r="K3051" t="str">
        <f>IF(I3051="Trung bình",'Huong dan giao do an'!$B$8,IF(I3051="Khá",'Huong dan giao do an'!$B$9,'Huong dan giao do an'!$B$10))</f>
        <v>Tối thiểu 4 actor; 10-14 use case; 8-12 bảng; 3 quy trình lõi; phân quyền chi tiết; 2 báo cáo; tích hợp 1 dịch vụ; &gt;=35 test case; CI/CD hoặc deploy cloud.</v>
      </c>
      <c r="L3051" t="str">
        <f>'Huong dan giao do an'!$B$31</f>
        <v>Bắt buộc: Charter/PMP; SRS + scope/WBS; Gantt/baseline; effort-cost budget; RACI/timesheet; quality-test-defect; communication/minutes; risk register; procurement; change log; closure/lessons learned.</v>
      </c>
      <c r="M3051" t="str">
        <f>'Huong dan giao do an'!$B$33</f>
        <v>Tuần 1: 07.09–13.09.2026; Tuần 2: 14.09–20.09.2026; Tuần 3: 21.09–27.09.2026; Tuần 4: 28.09–04.10.2026; Tuần 5: 05.10–11.10.2026; Tuần 6: 12.10–18.10.2026; Tuần 7: 19.10–25.10.2026; Tuần 8: 26.10–01.11.2026.</v>
      </c>
      <c r="N30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1" s="17" t="str">
        <f t="shared" si="47"/>
        <v>Còn trống</v>
      </c>
    </row>
    <row r="3052" spans="1:16" x14ac:dyDescent="0.3">
      <c r="A3052">
        <v>3051</v>
      </c>
      <c r="B3052" t="s">
        <v>6894</v>
      </c>
      <c r="C3052" t="s">
        <v>7023</v>
      </c>
      <c r="D3052" t="s">
        <v>7024</v>
      </c>
      <c r="E3052" t="s">
        <v>19</v>
      </c>
      <c r="F3052" t="s">
        <v>6897</v>
      </c>
      <c r="G3052" t="s">
        <v>6935</v>
      </c>
      <c r="H3052" t="str">
        <f>'Huong dan giao do an'!$B$14</f>
        <v>5 SV (vai trò chính): 1 PM/Scrum Master kiêm Integration; 2 BA/PO; 3 UI-UX + Frontend; 4 Backend/API + DevOps; 5 Database + QA/Tester. Mỗi SV có nhiệm vụ phụ và minh chứng cá nhân.</v>
      </c>
      <c r="I3052" t="s">
        <v>29</v>
      </c>
      <c r="J3052" t="s">
        <v>6904</v>
      </c>
      <c r="K3052" t="str">
        <f>IF(I3052="Trung bình",'Huong dan giao do an'!$B$8,IF(I3052="Khá",'Huong dan giao do an'!$B$9,'Huong dan giao do an'!$B$10))</f>
        <v>Tối thiểu 5 actor; 14-18 use case; 10-15 bảng; 4 quy trình; tích hợp ngoài/realtime hoặc xử lý nâng cao; 3 báo cáo; &gt;=45 test case; logging, backup và deploy.</v>
      </c>
      <c r="L3052" t="str">
        <f>'Huong dan giao do an'!$B$31</f>
        <v>Bắt buộc: Charter/PMP; SRS + scope/WBS; Gantt/baseline; effort-cost budget; RACI/timesheet; quality-test-defect; communication/minutes; risk register; procurement; change log; closure/lessons learned.</v>
      </c>
      <c r="M3052" t="str">
        <f>'Huong dan giao do an'!$B$33</f>
        <v>Tuần 1: 07.09–13.09.2026; Tuần 2: 14.09–20.09.2026; Tuần 3: 21.09–27.09.2026; Tuần 4: 28.09–04.10.2026; Tuần 5: 05.10–11.10.2026; Tuần 6: 12.10–18.10.2026; Tuần 7: 19.10–25.10.2026; Tuần 8: 26.10–01.11.2026.</v>
      </c>
      <c r="N30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2" s="17" t="str">
        <f t="shared" si="47"/>
        <v>Còn trống</v>
      </c>
    </row>
    <row r="3053" spans="1:16" x14ac:dyDescent="0.3">
      <c r="A3053">
        <v>3052</v>
      </c>
      <c r="B3053" t="s">
        <v>6894</v>
      </c>
      <c r="C3053" t="s">
        <v>7025</v>
      </c>
      <c r="D3053" t="s">
        <v>7026</v>
      </c>
      <c r="E3053" t="s">
        <v>26</v>
      </c>
      <c r="F3053" t="s">
        <v>6902</v>
      </c>
      <c r="G3053" t="s">
        <v>6938</v>
      </c>
      <c r="H3053" t="str">
        <f>'Huong dan giao do an'!$B$14</f>
        <v>5 SV (vai trò chính): 1 PM/Scrum Master kiêm Integration; 2 BA/PO; 3 UI-UX + Frontend; 4 Backend/API + DevOps; 5 Database + QA/Tester. Mỗi SV có nhiệm vụ phụ và minh chứng cá nhân.</v>
      </c>
      <c r="I3053" t="s">
        <v>36</v>
      </c>
      <c r="J3053" t="s">
        <v>6909</v>
      </c>
      <c r="K3053" t="str">
        <f>IF(I3053="Trung bình",'Huong dan giao do an'!$B$8,IF(I3053="Khá",'Huong dan giao do an'!$B$9,'Huong dan giao do an'!$B$10))</f>
        <v>Tối thiểu 3 actor; 8-10 use case; 6-8 bảng dữ liệu; 2 quy trình lõi; đăng nhập/RBAC; 1 dashboard; 1 báo cáo; &gt;=25 test case; triển khai bản demo.</v>
      </c>
      <c r="L3053" t="str">
        <f>'Huong dan giao do an'!$B$31</f>
        <v>Bắt buộc: Charter/PMP; SRS + scope/WBS; Gantt/baseline; effort-cost budget; RACI/timesheet; quality-test-defect; communication/minutes; risk register; procurement; change log; closure/lessons learned.</v>
      </c>
      <c r="M3053" t="str">
        <f>'Huong dan giao do an'!$B$33</f>
        <v>Tuần 1: 07.09–13.09.2026; Tuần 2: 14.09–20.09.2026; Tuần 3: 21.09–27.09.2026; Tuần 4: 28.09–04.10.2026; Tuần 5: 05.10–11.10.2026; Tuần 6: 12.10–18.10.2026; Tuần 7: 19.10–25.10.2026; Tuần 8: 26.10–01.11.2026.</v>
      </c>
      <c r="N30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3" s="17" t="str">
        <f t="shared" si="47"/>
        <v>Còn trống</v>
      </c>
    </row>
    <row r="3054" spans="1:16" x14ac:dyDescent="0.3">
      <c r="A3054">
        <v>3053</v>
      </c>
      <c r="B3054" t="s">
        <v>6894</v>
      </c>
      <c r="C3054" t="s">
        <v>7027</v>
      </c>
      <c r="D3054" t="s">
        <v>7028</v>
      </c>
      <c r="E3054" t="s">
        <v>33</v>
      </c>
      <c r="F3054" t="s">
        <v>6907</v>
      </c>
      <c r="G3054" t="s">
        <v>6941</v>
      </c>
      <c r="H3054" t="str">
        <f>'Huong dan giao do an'!$B$14</f>
        <v>5 SV (vai trò chính): 1 PM/Scrum Master kiêm Integration; 2 BA/PO; 3 UI-UX + Frontend; 4 Backend/API + DevOps; 5 Database + QA/Tester. Mỗi SV có nhiệm vụ phụ và minh chứng cá nhân.</v>
      </c>
      <c r="I3054" t="s">
        <v>22</v>
      </c>
      <c r="J3054" t="s">
        <v>6899</v>
      </c>
      <c r="K3054" t="str">
        <f>IF(I3054="Trung bình",'Huong dan giao do an'!$B$8,IF(I3054="Khá",'Huong dan giao do an'!$B$9,'Huong dan giao do an'!$B$10))</f>
        <v>Tối thiểu 4 actor; 10-14 use case; 8-12 bảng; 3 quy trình lõi; phân quyền chi tiết; 2 báo cáo; tích hợp 1 dịch vụ; &gt;=35 test case; CI/CD hoặc deploy cloud.</v>
      </c>
      <c r="L3054" t="str">
        <f>'Huong dan giao do an'!$B$31</f>
        <v>Bắt buộc: Charter/PMP; SRS + scope/WBS; Gantt/baseline; effort-cost budget; RACI/timesheet; quality-test-defect; communication/minutes; risk register; procurement; change log; closure/lessons learned.</v>
      </c>
      <c r="M3054" t="str">
        <f>'Huong dan giao do an'!$B$33</f>
        <v>Tuần 1: 07.09–13.09.2026; Tuần 2: 14.09–20.09.2026; Tuần 3: 21.09–27.09.2026; Tuần 4: 28.09–04.10.2026; Tuần 5: 05.10–11.10.2026; Tuần 6: 12.10–18.10.2026; Tuần 7: 19.10–25.10.2026; Tuần 8: 26.10–01.11.2026.</v>
      </c>
      <c r="N30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4" s="17" t="str">
        <f t="shared" si="47"/>
        <v>Còn trống</v>
      </c>
    </row>
    <row r="3055" spans="1:16" x14ac:dyDescent="0.3">
      <c r="A3055">
        <v>3054</v>
      </c>
      <c r="B3055" t="s">
        <v>6894</v>
      </c>
      <c r="C3055" t="s">
        <v>7029</v>
      </c>
      <c r="D3055" t="s">
        <v>7030</v>
      </c>
      <c r="E3055" t="s">
        <v>40</v>
      </c>
      <c r="F3055" t="s">
        <v>6912</v>
      </c>
      <c r="G3055" t="s">
        <v>6944</v>
      </c>
      <c r="H3055" t="str">
        <f>'Huong dan giao do an'!$B$14</f>
        <v>5 SV (vai trò chính): 1 PM/Scrum Master kiêm Integration; 2 BA/PO; 3 UI-UX + Frontend; 4 Backend/API + DevOps; 5 Database + QA/Tester. Mỗi SV có nhiệm vụ phụ và minh chứng cá nhân.</v>
      </c>
      <c r="I3055" t="s">
        <v>29</v>
      </c>
      <c r="J3055" t="s">
        <v>6904</v>
      </c>
      <c r="K3055" t="str">
        <f>IF(I3055="Trung bình",'Huong dan giao do an'!$B$8,IF(I3055="Khá",'Huong dan giao do an'!$B$9,'Huong dan giao do an'!$B$10))</f>
        <v>Tối thiểu 5 actor; 14-18 use case; 10-15 bảng; 4 quy trình; tích hợp ngoài/realtime hoặc xử lý nâng cao; 3 báo cáo; &gt;=45 test case; logging, backup và deploy.</v>
      </c>
      <c r="L3055" t="str">
        <f>'Huong dan giao do an'!$B$31</f>
        <v>Bắt buộc: Charter/PMP; SRS + scope/WBS; Gantt/baseline; effort-cost budget; RACI/timesheet; quality-test-defect; communication/minutes; risk register; procurement; change log; closure/lessons learned.</v>
      </c>
      <c r="M3055" t="str">
        <f>'Huong dan giao do an'!$B$33</f>
        <v>Tuần 1: 07.09–13.09.2026; Tuần 2: 14.09–20.09.2026; Tuần 3: 21.09–27.09.2026; Tuần 4: 28.09–04.10.2026; Tuần 5: 05.10–11.10.2026; Tuần 6: 12.10–18.10.2026; Tuần 7: 19.10–25.10.2026; Tuần 8: 26.10–01.11.2026.</v>
      </c>
      <c r="N30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5" s="17" t="str">
        <f t="shared" si="47"/>
        <v>Còn trống</v>
      </c>
    </row>
    <row r="3056" spans="1:16" x14ac:dyDescent="0.3">
      <c r="A3056">
        <v>3055</v>
      </c>
      <c r="B3056" t="s">
        <v>6894</v>
      </c>
      <c r="C3056" t="s">
        <v>7031</v>
      </c>
      <c r="D3056" t="s">
        <v>7032</v>
      </c>
      <c r="E3056" t="s">
        <v>45</v>
      </c>
      <c r="F3056" t="s">
        <v>6916</v>
      </c>
      <c r="G3056" t="s">
        <v>6947</v>
      </c>
      <c r="H3056" t="str">
        <f>'Huong dan giao do an'!$B$14</f>
        <v>5 SV (vai trò chính): 1 PM/Scrum Master kiêm Integration; 2 BA/PO; 3 UI-UX + Frontend; 4 Backend/API + DevOps; 5 Database + QA/Tester. Mỗi SV có nhiệm vụ phụ và minh chứng cá nhân.</v>
      </c>
      <c r="I3056" t="s">
        <v>36</v>
      </c>
      <c r="J3056" t="s">
        <v>6909</v>
      </c>
      <c r="K3056" t="str">
        <f>IF(I3056="Trung bình",'Huong dan giao do an'!$B$8,IF(I3056="Khá",'Huong dan giao do an'!$B$9,'Huong dan giao do an'!$B$10))</f>
        <v>Tối thiểu 3 actor; 8-10 use case; 6-8 bảng dữ liệu; 2 quy trình lõi; đăng nhập/RBAC; 1 dashboard; 1 báo cáo; &gt;=25 test case; triển khai bản demo.</v>
      </c>
      <c r="L3056" t="str">
        <f>'Huong dan giao do an'!$B$31</f>
        <v>Bắt buộc: Charter/PMP; SRS + scope/WBS; Gantt/baseline; effort-cost budget; RACI/timesheet; quality-test-defect; communication/minutes; risk register; procurement; change log; closure/lessons learned.</v>
      </c>
      <c r="M3056" t="str">
        <f>'Huong dan giao do an'!$B$33</f>
        <v>Tuần 1: 07.09–13.09.2026; Tuần 2: 14.09–20.09.2026; Tuần 3: 21.09–27.09.2026; Tuần 4: 28.09–04.10.2026; Tuần 5: 05.10–11.10.2026; Tuần 6: 12.10–18.10.2026; Tuần 7: 19.10–25.10.2026; Tuần 8: 26.10–01.11.2026.</v>
      </c>
      <c r="N30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6" s="17" t="str">
        <f t="shared" si="47"/>
        <v>Còn trống</v>
      </c>
    </row>
    <row r="3057" spans="1:16" x14ac:dyDescent="0.3">
      <c r="A3057">
        <v>3056</v>
      </c>
      <c r="B3057" t="s">
        <v>6894</v>
      </c>
      <c r="C3057" t="s">
        <v>7033</v>
      </c>
      <c r="D3057" t="s">
        <v>7034</v>
      </c>
      <c r="E3057" t="s">
        <v>19</v>
      </c>
      <c r="F3057" t="s">
        <v>6897</v>
      </c>
      <c r="G3057" t="s">
        <v>6950</v>
      </c>
      <c r="H3057" t="str">
        <f>'Huong dan giao do an'!$B$14</f>
        <v>5 SV (vai trò chính): 1 PM/Scrum Master kiêm Integration; 2 BA/PO; 3 UI-UX + Frontend; 4 Backend/API + DevOps; 5 Database + QA/Tester. Mỗi SV có nhiệm vụ phụ và minh chứng cá nhân.</v>
      </c>
      <c r="I3057" t="s">
        <v>22</v>
      </c>
      <c r="J3057" t="s">
        <v>6899</v>
      </c>
      <c r="K3057" t="str">
        <f>IF(I3057="Trung bình",'Huong dan giao do an'!$B$8,IF(I3057="Khá",'Huong dan giao do an'!$B$9,'Huong dan giao do an'!$B$10))</f>
        <v>Tối thiểu 4 actor; 10-14 use case; 8-12 bảng; 3 quy trình lõi; phân quyền chi tiết; 2 báo cáo; tích hợp 1 dịch vụ; &gt;=35 test case; CI/CD hoặc deploy cloud.</v>
      </c>
      <c r="L3057" t="str">
        <f>'Huong dan giao do an'!$B$31</f>
        <v>Bắt buộc: Charter/PMP; SRS + scope/WBS; Gantt/baseline; effort-cost budget; RACI/timesheet; quality-test-defect; communication/minutes; risk register; procurement; change log; closure/lessons learned.</v>
      </c>
      <c r="M3057" t="str">
        <f>'Huong dan giao do an'!$B$33</f>
        <v>Tuần 1: 07.09–13.09.2026; Tuần 2: 14.09–20.09.2026; Tuần 3: 21.09–27.09.2026; Tuần 4: 28.09–04.10.2026; Tuần 5: 05.10–11.10.2026; Tuần 6: 12.10–18.10.2026; Tuần 7: 19.10–25.10.2026; Tuần 8: 26.10–01.11.2026.</v>
      </c>
      <c r="N30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7" s="17" t="str">
        <f t="shared" si="47"/>
        <v>Còn trống</v>
      </c>
    </row>
    <row r="3058" spans="1:16" x14ac:dyDescent="0.3">
      <c r="A3058">
        <v>3057</v>
      </c>
      <c r="B3058" t="s">
        <v>6894</v>
      </c>
      <c r="C3058" t="s">
        <v>7035</v>
      </c>
      <c r="D3058" t="s">
        <v>7036</v>
      </c>
      <c r="E3058" t="s">
        <v>26</v>
      </c>
      <c r="F3058" t="s">
        <v>6902</v>
      </c>
      <c r="G3058" t="s">
        <v>6953</v>
      </c>
      <c r="H3058" t="str">
        <f>'Huong dan giao do an'!$B$14</f>
        <v>5 SV (vai trò chính): 1 PM/Scrum Master kiêm Integration; 2 BA/PO; 3 UI-UX + Frontend; 4 Backend/API + DevOps; 5 Database + QA/Tester. Mỗi SV có nhiệm vụ phụ và minh chứng cá nhân.</v>
      </c>
      <c r="I3058" t="s">
        <v>29</v>
      </c>
      <c r="J3058" t="s">
        <v>6904</v>
      </c>
      <c r="K3058" t="str">
        <f>IF(I3058="Trung bình",'Huong dan giao do an'!$B$8,IF(I3058="Khá",'Huong dan giao do an'!$B$9,'Huong dan giao do an'!$B$10))</f>
        <v>Tối thiểu 5 actor; 14-18 use case; 10-15 bảng; 4 quy trình; tích hợp ngoài/realtime hoặc xử lý nâng cao; 3 báo cáo; &gt;=45 test case; logging, backup và deploy.</v>
      </c>
      <c r="L3058" t="str">
        <f>'Huong dan giao do an'!$B$31</f>
        <v>Bắt buộc: Charter/PMP; SRS + scope/WBS; Gantt/baseline; effort-cost budget; RACI/timesheet; quality-test-defect; communication/minutes; risk register; procurement; change log; closure/lessons learned.</v>
      </c>
      <c r="M3058" t="str">
        <f>'Huong dan giao do an'!$B$33</f>
        <v>Tuần 1: 07.09–13.09.2026; Tuần 2: 14.09–20.09.2026; Tuần 3: 21.09–27.09.2026; Tuần 4: 28.09–04.10.2026; Tuần 5: 05.10–11.10.2026; Tuần 6: 12.10–18.10.2026; Tuần 7: 19.10–25.10.2026; Tuần 8: 26.10–01.11.2026.</v>
      </c>
      <c r="N30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8" s="17" t="str">
        <f t="shared" si="47"/>
        <v>Còn trống</v>
      </c>
    </row>
    <row r="3059" spans="1:16" x14ac:dyDescent="0.3">
      <c r="A3059">
        <v>3058</v>
      </c>
      <c r="B3059" t="s">
        <v>6894</v>
      </c>
      <c r="C3059" t="s">
        <v>7037</v>
      </c>
      <c r="D3059" t="s">
        <v>7038</v>
      </c>
      <c r="E3059" t="s">
        <v>33</v>
      </c>
      <c r="F3059" t="s">
        <v>6907</v>
      </c>
      <c r="G3059" t="s">
        <v>6956</v>
      </c>
      <c r="H3059" t="str">
        <f>'Huong dan giao do an'!$B$14</f>
        <v>5 SV (vai trò chính): 1 PM/Scrum Master kiêm Integration; 2 BA/PO; 3 UI-UX + Frontend; 4 Backend/API + DevOps; 5 Database + QA/Tester. Mỗi SV có nhiệm vụ phụ và minh chứng cá nhân.</v>
      </c>
      <c r="I3059" t="s">
        <v>36</v>
      </c>
      <c r="J3059" t="s">
        <v>6909</v>
      </c>
      <c r="K3059" t="str">
        <f>IF(I3059="Trung bình",'Huong dan giao do an'!$B$8,IF(I3059="Khá",'Huong dan giao do an'!$B$9,'Huong dan giao do an'!$B$10))</f>
        <v>Tối thiểu 3 actor; 8-10 use case; 6-8 bảng dữ liệu; 2 quy trình lõi; đăng nhập/RBAC; 1 dashboard; 1 báo cáo; &gt;=25 test case; triển khai bản demo.</v>
      </c>
      <c r="L3059" t="str">
        <f>'Huong dan giao do an'!$B$31</f>
        <v>Bắt buộc: Charter/PMP; SRS + scope/WBS; Gantt/baseline; effort-cost budget; RACI/timesheet; quality-test-defect; communication/minutes; risk register; procurement; change log; closure/lessons learned.</v>
      </c>
      <c r="M3059" t="str">
        <f>'Huong dan giao do an'!$B$33</f>
        <v>Tuần 1: 07.09–13.09.2026; Tuần 2: 14.09–20.09.2026; Tuần 3: 21.09–27.09.2026; Tuần 4: 28.09–04.10.2026; Tuần 5: 05.10–11.10.2026; Tuần 6: 12.10–18.10.2026; Tuần 7: 19.10–25.10.2026; Tuần 8: 26.10–01.11.2026.</v>
      </c>
      <c r="N30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59" s="17" t="str">
        <f t="shared" si="47"/>
        <v>Còn trống</v>
      </c>
    </row>
    <row r="3060" spans="1:16" x14ac:dyDescent="0.3">
      <c r="A3060">
        <v>3059</v>
      </c>
      <c r="B3060" t="s">
        <v>6894</v>
      </c>
      <c r="C3060" t="s">
        <v>7039</v>
      </c>
      <c r="D3060" t="s">
        <v>7040</v>
      </c>
      <c r="E3060" t="s">
        <v>40</v>
      </c>
      <c r="F3060" t="s">
        <v>6912</v>
      </c>
      <c r="G3060" t="s">
        <v>6959</v>
      </c>
      <c r="H3060" t="str">
        <f>'Huong dan giao do an'!$B$14</f>
        <v>5 SV (vai trò chính): 1 PM/Scrum Master kiêm Integration; 2 BA/PO; 3 UI-UX + Frontend; 4 Backend/API + DevOps; 5 Database + QA/Tester. Mỗi SV có nhiệm vụ phụ và minh chứng cá nhân.</v>
      </c>
      <c r="I3060" t="s">
        <v>22</v>
      </c>
      <c r="J3060" t="s">
        <v>6899</v>
      </c>
      <c r="K3060" t="str">
        <f>IF(I3060="Trung bình",'Huong dan giao do an'!$B$8,IF(I3060="Khá",'Huong dan giao do an'!$B$9,'Huong dan giao do an'!$B$10))</f>
        <v>Tối thiểu 4 actor; 10-14 use case; 8-12 bảng; 3 quy trình lõi; phân quyền chi tiết; 2 báo cáo; tích hợp 1 dịch vụ; &gt;=35 test case; CI/CD hoặc deploy cloud.</v>
      </c>
      <c r="L3060" t="str">
        <f>'Huong dan giao do an'!$B$31</f>
        <v>Bắt buộc: Charter/PMP; SRS + scope/WBS; Gantt/baseline; effort-cost budget; RACI/timesheet; quality-test-defect; communication/minutes; risk register; procurement; change log; closure/lessons learned.</v>
      </c>
      <c r="M3060" t="str">
        <f>'Huong dan giao do an'!$B$33</f>
        <v>Tuần 1: 07.09–13.09.2026; Tuần 2: 14.09–20.09.2026; Tuần 3: 21.09–27.09.2026; Tuần 4: 28.09–04.10.2026; Tuần 5: 05.10–11.10.2026; Tuần 6: 12.10–18.10.2026; Tuần 7: 19.10–25.10.2026; Tuần 8: 26.10–01.11.2026.</v>
      </c>
      <c r="N30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0" s="17" t="str">
        <f t="shared" si="47"/>
        <v>Còn trống</v>
      </c>
    </row>
    <row r="3061" spans="1:16" x14ac:dyDescent="0.3">
      <c r="A3061">
        <v>3060</v>
      </c>
      <c r="B3061" t="s">
        <v>6894</v>
      </c>
      <c r="C3061" t="s">
        <v>7041</v>
      </c>
      <c r="D3061" t="s">
        <v>7042</v>
      </c>
      <c r="E3061" t="s">
        <v>45</v>
      </c>
      <c r="F3061" t="s">
        <v>6916</v>
      </c>
      <c r="G3061" t="s">
        <v>6962</v>
      </c>
      <c r="H3061" t="str">
        <f>'Huong dan giao do an'!$B$14</f>
        <v>5 SV (vai trò chính): 1 PM/Scrum Master kiêm Integration; 2 BA/PO; 3 UI-UX + Frontend; 4 Backend/API + DevOps; 5 Database + QA/Tester. Mỗi SV có nhiệm vụ phụ và minh chứng cá nhân.</v>
      </c>
      <c r="I3061" t="s">
        <v>29</v>
      </c>
      <c r="J3061" t="s">
        <v>6904</v>
      </c>
      <c r="K3061" t="str">
        <f>IF(I3061="Trung bình",'Huong dan giao do an'!$B$8,IF(I3061="Khá",'Huong dan giao do an'!$B$9,'Huong dan giao do an'!$B$10))</f>
        <v>Tối thiểu 5 actor; 14-18 use case; 10-15 bảng; 4 quy trình; tích hợp ngoài/realtime hoặc xử lý nâng cao; 3 báo cáo; &gt;=45 test case; logging, backup và deploy.</v>
      </c>
      <c r="L3061" t="str">
        <f>'Huong dan giao do an'!$B$31</f>
        <v>Bắt buộc: Charter/PMP; SRS + scope/WBS; Gantt/baseline; effort-cost budget; RACI/timesheet; quality-test-defect; communication/minutes; risk register; procurement; change log; closure/lessons learned.</v>
      </c>
      <c r="M3061" t="str">
        <f>'Huong dan giao do an'!$B$33</f>
        <v>Tuần 1: 07.09–13.09.2026; Tuần 2: 14.09–20.09.2026; Tuần 3: 21.09–27.09.2026; Tuần 4: 28.09–04.10.2026; Tuần 5: 05.10–11.10.2026; Tuần 6: 12.10–18.10.2026; Tuần 7: 19.10–25.10.2026; Tuần 8: 26.10–01.11.2026.</v>
      </c>
      <c r="N30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1" s="17" t="str">
        <f t="shared" si="47"/>
        <v>Còn trống</v>
      </c>
    </row>
    <row r="3062" spans="1:16" x14ac:dyDescent="0.3">
      <c r="A3062">
        <v>3061</v>
      </c>
      <c r="B3062" t="s">
        <v>6894</v>
      </c>
      <c r="C3062" t="s">
        <v>7043</v>
      </c>
      <c r="D3062" t="s">
        <v>7044</v>
      </c>
      <c r="E3062" t="s">
        <v>19</v>
      </c>
      <c r="F3062" t="s">
        <v>6897</v>
      </c>
      <c r="G3062" t="s">
        <v>6898</v>
      </c>
      <c r="H3062" t="str">
        <f>'Huong dan giao do an'!$B$14</f>
        <v>5 SV (vai trò chính): 1 PM/Scrum Master kiêm Integration; 2 BA/PO; 3 UI-UX + Frontend; 4 Backend/API + DevOps; 5 Database + QA/Tester. Mỗi SV có nhiệm vụ phụ và minh chứng cá nhân.</v>
      </c>
      <c r="I3062" t="s">
        <v>22</v>
      </c>
      <c r="J3062" t="s">
        <v>6899</v>
      </c>
      <c r="K3062" t="str">
        <f>IF(I3062="Trung bình",'Huong dan giao do an'!$B$8,IF(I3062="Khá",'Huong dan giao do an'!$B$9,'Huong dan giao do an'!$B$10))</f>
        <v>Tối thiểu 4 actor; 10-14 use case; 8-12 bảng; 3 quy trình lõi; phân quyền chi tiết; 2 báo cáo; tích hợp 1 dịch vụ; &gt;=35 test case; CI/CD hoặc deploy cloud.</v>
      </c>
      <c r="L3062" t="str">
        <f>'Huong dan giao do an'!$B$31</f>
        <v>Bắt buộc: Charter/PMP; SRS + scope/WBS; Gantt/baseline; effort-cost budget; RACI/timesheet; quality-test-defect; communication/minutes; risk register; procurement; change log; closure/lessons learned.</v>
      </c>
      <c r="M3062" t="str">
        <f>'Huong dan giao do an'!$B$33</f>
        <v>Tuần 1: 07.09–13.09.2026; Tuần 2: 14.09–20.09.2026; Tuần 3: 21.09–27.09.2026; Tuần 4: 28.09–04.10.2026; Tuần 5: 05.10–11.10.2026; Tuần 6: 12.10–18.10.2026; Tuần 7: 19.10–25.10.2026; Tuần 8: 26.10–01.11.2026.</v>
      </c>
      <c r="N30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2" s="17" t="str">
        <f t="shared" si="47"/>
        <v>Còn trống</v>
      </c>
    </row>
    <row r="3063" spans="1:16" x14ac:dyDescent="0.3">
      <c r="A3063">
        <v>3062</v>
      </c>
      <c r="B3063" t="s">
        <v>6894</v>
      </c>
      <c r="C3063" t="s">
        <v>7045</v>
      </c>
      <c r="D3063" t="s">
        <v>7046</v>
      </c>
      <c r="E3063" t="s">
        <v>26</v>
      </c>
      <c r="F3063" t="s">
        <v>6902</v>
      </c>
      <c r="G3063" t="s">
        <v>6903</v>
      </c>
      <c r="H3063" t="str">
        <f>'Huong dan giao do an'!$B$14</f>
        <v>5 SV (vai trò chính): 1 PM/Scrum Master kiêm Integration; 2 BA/PO; 3 UI-UX + Frontend; 4 Backend/API + DevOps; 5 Database + QA/Tester. Mỗi SV có nhiệm vụ phụ và minh chứng cá nhân.</v>
      </c>
      <c r="I3063" t="s">
        <v>29</v>
      </c>
      <c r="J3063" t="s">
        <v>6904</v>
      </c>
      <c r="K3063" t="str">
        <f>IF(I3063="Trung bình",'Huong dan giao do an'!$B$8,IF(I3063="Khá",'Huong dan giao do an'!$B$9,'Huong dan giao do an'!$B$10))</f>
        <v>Tối thiểu 5 actor; 14-18 use case; 10-15 bảng; 4 quy trình; tích hợp ngoài/realtime hoặc xử lý nâng cao; 3 báo cáo; &gt;=45 test case; logging, backup và deploy.</v>
      </c>
      <c r="L3063" t="str">
        <f>'Huong dan giao do an'!$B$31</f>
        <v>Bắt buộc: Charter/PMP; SRS + scope/WBS; Gantt/baseline; effort-cost budget; RACI/timesheet; quality-test-defect; communication/minutes; risk register; procurement; change log; closure/lessons learned.</v>
      </c>
      <c r="M3063" t="str">
        <f>'Huong dan giao do an'!$B$33</f>
        <v>Tuần 1: 07.09–13.09.2026; Tuần 2: 14.09–20.09.2026; Tuần 3: 21.09–27.09.2026; Tuần 4: 28.09–04.10.2026; Tuần 5: 05.10–11.10.2026; Tuần 6: 12.10–18.10.2026; Tuần 7: 19.10–25.10.2026; Tuần 8: 26.10–01.11.2026.</v>
      </c>
      <c r="N30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3" s="17" t="str">
        <f t="shared" si="47"/>
        <v>Còn trống</v>
      </c>
    </row>
    <row r="3064" spans="1:16" x14ac:dyDescent="0.3">
      <c r="A3064">
        <v>3063</v>
      </c>
      <c r="B3064" t="s">
        <v>6894</v>
      </c>
      <c r="C3064" t="s">
        <v>7047</v>
      </c>
      <c r="D3064" t="s">
        <v>7048</v>
      </c>
      <c r="E3064" t="s">
        <v>33</v>
      </c>
      <c r="F3064" t="s">
        <v>6907</v>
      </c>
      <c r="G3064" t="s">
        <v>6908</v>
      </c>
      <c r="H3064" t="str">
        <f>'Huong dan giao do an'!$B$14</f>
        <v>5 SV (vai trò chính): 1 PM/Scrum Master kiêm Integration; 2 BA/PO; 3 UI-UX + Frontend; 4 Backend/API + DevOps; 5 Database + QA/Tester. Mỗi SV có nhiệm vụ phụ và minh chứng cá nhân.</v>
      </c>
      <c r="I3064" t="s">
        <v>36</v>
      </c>
      <c r="J3064" t="s">
        <v>6909</v>
      </c>
      <c r="K3064" t="str">
        <f>IF(I3064="Trung bình",'Huong dan giao do an'!$B$8,IF(I3064="Khá",'Huong dan giao do an'!$B$9,'Huong dan giao do an'!$B$10))</f>
        <v>Tối thiểu 3 actor; 8-10 use case; 6-8 bảng dữ liệu; 2 quy trình lõi; đăng nhập/RBAC; 1 dashboard; 1 báo cáo; &gt;=25 test case; triển khai bản demo.</v>
      </c>
      <c r="L3064" t="str">
        <f>'Huong dan giao do an'!$B$31</f>
        <v>Bắt buộc: Charter/PMP; SRS + scope/WBS; Gantt/baseline; effort-cost budget; RACI/timesheet; quality-test-defect; communication/minutes; risk register; procurement; change log; closure/lessons learned.</v>
      </c>
      <c r="M3064" t="str">
        <f>'Huong dan giao do an'!$B$33</f>
        <v>Tuần 1: 07.09–13.09.2026; Tuần 2: 14.09–20.09.2026; Tuần 3: 21.09–27.09.2026; Tuần 4: 28.09–04.10.2026; Tuần 5: 05.10–11.10.2026; Tuần 6: 12.10–18.10.2026; Tuần 7: 19.10–25.10.2026; Tuần 8: 26.10–01.11.2026.</v>
      </c>
      <c r="N30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4" s="17" t="str">
        <f t="shared" si="47"/>
        <v>Còn trống</v>
      </c>
    </row>
    <row r="3065" spans="1:16" x14ac:dyDescent="0.3">
      <c r="A3065">
        <v>3064</v>
      </c>
      <c r="B3065" t="s">
        <v>6894</v>
      </c>
      <c r="C3065" t="s">
        <v>7049</v>
      </c>
      <c r="D3065" t="s">
        <v>7050</v>
      </c>
      <c r="E3065" t="s">
        <v>40</v>
      </c>
      <c r="F3065" t="s">
        <v>6912</v>
      </c>
      <c r="G3065" t="s">
        <v>6913</v>
      </c>
      <c r="H3065" t="str">
        <f>'Huong dan giao do an'!$B$14</f>
        <v>5 SV (vai trò chính): 1 PM/Scrum Master kiêm Integration; 2 BA/PO; 3 UI-UX + Frontend; 4 Backend/API + DevOps; 5 Database + QA/Tester. Mỗi SV có nhiệm vụ phụ và minh chứng cá nhân.</v>
      </c>
      <c r="I3065" t="s">
        <v>22</v>
      </c>
      <c r="J3065" t="s">
        <v>6899</v>
      </c>
      <c r="K3065" t="str">
        <f>IF(I3065="Trung bình",'Huong dan giao do an'!$B$8,IF(I3065="Khá",'Huong dan giao do an'!$B$9,'Huong dan giao do an'!$B$10))</f>
        <v>Tối thiểu 4 actor; 10-14 use case; 8-12 bảng; 3 quy trình lõi; phân quyền chi tiết; 2 báo cáo; tích hợp 1 dịch vụ; &gt;=35 test case; CI/CD hoặc deploy cloud.</v>
      </c>
      <c r="L3065" t="str">
        <f>'Huong dan giao do an'!$B$31</f>
        <v>Bắt buộc: Charter/PMP; SRS + scope/WBS; Gantt/baseline; effort-cost budget; RACI/timesheet; quality-test-defect; communication/minutes; risk register; procurement; change log; closure/lessons learned.</v>
      </c>
      <c r="M3065" t="str">
        <f>'Huong dan giao do an'!$B$33</f>
        <v>Tuần 1: 07.09–13.09.2026; Tuần 2: 14.09–20.09.2026; Tuần 3: 21.09–27.09.2026; Tuần 4: 28.09–04.10.2026; Tuần 5: 05.10–11.10.2026; Tuần 6: 12.10–18.10.2026; Tuần 7: 19.10–25.10.2026; Tuần 8: 26.10–01.11.2026.</v>
      </c>
      <c r="N30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5" s="17" t="str">
        <f t="shared" si="47"/>
        <v>Còn trống</v>
      </c>
    </row>
    <row r="3066" spans="1:16" x14ac:dyDescent="0.3">
      <c r="A3066">
        <v>3065</v>
      </c>
      <c r="B3066" t="s">
        <v>6894</v>
      </c>
      <c r="C3066" t="s">
        <v>7051</v>
      </c>
      <c r="D3066" t="s">
        <v>7052</v>
      </c>
      <c r="E3066" t="s">
        <v>45</v>
      </c>
      <c r="F3066" t="s">
        <v>6916</v>
      </c>
      <c r="G3066" t="s">
        <v>6917</v>
      </c>
      <c r="H3066" t="str">
        <f>'Huong dan giao do an'!$B$14</f>
        <v>5 SV (vai trò chính): 1 PM/Scrum Master kiêm Integration; 2 BA/PO; 3 UI-UX + Frontend; 4 Backend/API + DevOps; 5 Database + QA/Tester. Mỗi SV có nhiệm vụ phụ và minh chứng cá nhân.</v>
      </c>
      <c r="I3066" t="s">
        <v>29</v>
      </c>
      <c r="J3066" t="s">
        <v>6904</v>
      </c>
      <c r="K3066" t="str">
        <f>IF(I3066="Trung bình",'Huong dan giao do an'!$B$8,IF(I3066="Khá",'Huong dan giao do an'!$B$9,'Huong dan giao do an'!$B$10))</f>
        <v>Tối thiểu 5 actor; 14-18 use case; 10-15 bảng; 4 quy trình; tích hợp ngoài/realtime hoặc xử lý nâng cao; 3 báo cáo; &gt;=45 test case; logging, backup và deploy.</v>
      </c>
      <c r="L3066" t="str">
        <f>'Huong dan giao do an'!$B$31</f>
        <v>Bắt buộc: Charter/PMP; SRS + scope/WBS; Gantt/baseline; effort-cost budget; RACI/timesheet; quality-test-defect; communication/minutes; risk register; procurement; change log; closure/lessons learned.</v>
      </c>
      <c r="M3066" t="str">
        <f>'Huong dan giao do an'!$B$33</f>
        <v>Tuần 1: 07.09–13.09.2026; Tuần 2: 14.09–20.09.2026; Tuần 3: 21.09–27.09.2026; Tuần 4: 28.09–04.10.2026; Tuần 5: 05.10–11.10.2026; Tuần 6: 12.10–18.10.2026; Tuần 7: 19.10–25.10.2026; Tuần 8: 26.10–01.11.2026.</v>
      </c>
      <c r="N30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6" s="17" t="str">
        <f t="shared" si="47"/>
        <v>Còn trống</v>
      </c>
    </row>
    <row r="3067" spans="1:16" x14ac:dyDescent="0.3">
      <c r="A3067">
        <v>3066</v>
      </c>
      <c r="B3067" t="s">
        <v>6894</v>
      </c>
      <c r="C3067" t="s">
        <v>7053</v>
      </c>
      <c r="D3067" t="s">
        <v>7054</v>
      </c>
      <c r="E3067" t="s">
        <v>19</v>
      </c>
      <c r="F3067" t="s">
        <v>6897</v>
      </c>
      <c r="G3067" t="s">
        <v>6920</v>
      </c>
      <c r="H3067" t="str">
        <f>'Huong dan giao do an'!$B$14</f>
        <v>5 SV (vai trò chính): 1 PM/Scrum Master kiêm Integration; 2 BA/PO; 3 UI-UX + Frontend; 4 Backend/API + DevOps; 5 Database + QA/Tester. Mỗi SV có nhiệm vụ phụ và minh chứng cá nhân.</v>
      </c>
      <c r="I3067" t="s">
        <v>36</v>
      </c>
      <c r="J3067" t="s">
        <v>6909</v>
      </c>
      <c r="K3067" t="str">
        <f>IF(I3067="Trung bình",'Huong dan giao do an'!$B$8,IF(I3067="Khá",'Huong dan giao do an'!$B$9,'Huong dan giao do an'!$B$10))</f>
        <v>Tối thiểu 3 actor; 8-10 use case; 6-8 bảng dữ liệu; 2 quy trình lõi; đăng nhập/RBAC; 1 dashboard; 1 báo cáo; &gt;=25 test case; triển khai bản demo.</v>
      </c>
      <c r="L3067" t="str">
        <f>'Huong dan giao do an'!$B$31</f>
        <v>Bắt buộc: Charter/PMP; SRS + scope/WBS; Gantt/baseline; effort-cost budget; RACI/timesheet; quality-test-defect; communication/minutes; risk register; procurement; change log; closure/lessons learned.</v>
      </c>
      <c r="M3067" t="str">
        <f>'Huong dan giao do an'!$B$33</f>
        <v>Tuần 1: 07.09–13.09.2026; Tuần 2: 14.09–20.09.2026; Tuần 3: 21.09–27.09.2026; Tuần 4: 28.09–04.10.2026; Tuần 5: 05.10–11.10.2026; Tuần 6: 12.10–18.10.2026; Tuần 7: 19.10–25.10.2026; Tuần 8: 26.10–01.11.2026.</v>
      </c>
      <c r="N30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7" s="17" t="str">
        <f t="shared" si="47"/>
        <v>Còn trống</v>
      </c>
    </row>
    <row r="3068" spans="1:16" x14ac:dyDescent="0.3">
      <c r="A3068">
        <v>3067</v>
      </c>
      <c r="B3068" t="s">
        <v>6894</v>
      </c>
      <c r="C3068" t="s">
        <v>7055</v>
      </c>
      <c r="D3068" t="s">
        <v>7056</v>
      </c>
      <c r="E3068" t="s">
        <v>26</v>
      </c>
      <c r="F3068" t="s">
        <v>6902</v>
      </c>
      <c r="G3068" t="s">
        <v>6923</v>
      </c>
      <c r="H3068" t="str">
        <f>'Huong dan giao do an'!$B$14</f>
        <v>5 SV (vai trò chính): 1 PM/Scrum Master kiêm Integration; 2 BA/PO; 3 UI-UX + Frontend; 4 Backend/API + DevOps; 5 Database + QA/Tester. Mỗi SV có nhiệm vụ phụ và minh chứng cá nhân.</v>
      </c>
      <c r="I3068" t="s">
        <v>22</v>
      </c>
      <c r="J3068" t="s">
        <v>6899</v>
      </c>
      <c r="K3068" t="str">
        <f>IF(I3068="Trung bình",'Huong dan giao do an'!$B$8,IF(I3068="Khá",'Huong dan giao do an'!$B$9,'Huong dan giao do an'!$B$10))</f>
        <v>Tối thiểu 4 actor; 10-14 use case; 8-12 bảng; 3 quy trình lõi; phân quyền chi tiết; 2 báo cáo; tích hợp 1 dịch vụ; &gt;=35 test case; CI/CD hoặc deploy cloud.</v>
      </c>
      <c r="L3068" t="str">
        <f>'Huong dan giao do an'!$B$31</f>
        <v>Bắt buộc: Charter/PMP; SRS + scope/WBS; Gantt/baseline; effort-cost budget; RACI/timesheet; quality-test-defect; communication/minutes; risk register; procurement; change log; closure/lessons learned.</v>
      </c>
      <c r="M3068" t="str">
        <f>'Huong dan giao do an'!$B$33</f>
        <v>Tuần 1: 07.09–13.09.2026; Tuần 2: 14.09–20.09.2026; Tuần 3: 21.09–27.09.2026; Tuần 4: 28.09–04.10.2026; Tuần 5: 05.10–11.10.2026; Tuần 6: 12.10–18.10.2026; Tuần 7: 19.10–25.10.2026; Tuần 8: 26.10–01.11.2026.</v>
      </c>
      <c r="N30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8" s="17" t="str">
        <f t="shared" si="47"/>
        <v>Còn trống</v>
      </c>
    </row>
    <row r="3069" spans="1:16" x14ac:dyDescent="0.3">
      <c r="A3069">
        <v>3068</v>
      </c>
      <c r="B3069" t="s">
        <v>6894</v>
      </c>
      <c r="C3069" t="s">
        <v>7057</v>
      </c>
      <c r="D3069" t="s">
        <v>7058</v>
      </c>
      <c r="E3069" t="s">
        <v>33</v>
      </c>
      <c r="F3069" t="s">
        <v>6907</v>
      </c>
      <c r="G3069" t="s">
        <v>6926</v>
      </c>
      <c r="H3069" t="str">
        <f>'Huong dan giao do an'!$B$14</f>
        <v>5 SV (vai trò chính): 1 PM/Scrum Master kiêm Integration; 2 BA/PO; 3 UI-UX + Frontend; 4 Backend/API + DevOps; 5 Database + QA/Tester. Mỗi SV có nhiệm vụ phụ và minh chứng cá nhân.</v>
      </c>
      <c r="I3069" t="s">
        <v>29</v>
      </c>
      <c r="J3069" t="s">
        <v>6904</v>
      </c>
      <c r="K3069" t="str">
        <f>IF(I3069="Trung bình",'Huong dan giao do an'!$B$8,IF(I3069="Khá",'Huong dan giao do an'!$B$9,'Huong dan giao do an'!$B$10))</f>
        <v>Tối thiểu 5 actor; 14-18 use case; 10-15 bảng; 4 quy trình; tích hợp ngoài/realtime hoặc xử lý nâng cao; 3 báo cáo; &gt;=45 test case; logging, backup và deploy.</v>
      </c>
      <c r="L3069" t="str">
        <f>'Huong dan giao do an'!$B$31</f>
        <v>Bắt buộc: Charter/PMP; SRS + scope/WBS; Gantt/baseline; effort-cost budget; RACI/timesheet; quality-test-defect; communication/minutes; risk register; procurement; change log; closure/lessons learned.</v>
      </c>
      <c r="M3069" t="str">
        <f>'Huong dan giao do an'!$B$33</f>
        <v>Tuần 1: 07.09–13.09.2026; Tuần 2: 14.09–20.09.2026; Tuần 3: 21.09–27.09.2026; Tuần 4: 28.09–04.10.2026; Tuần 5: 05.10–11.10.2026; Tuần 6: 12.10–18.10.2026; Tuần 7: 19.10–25.10.2026; Tuần 8: 26.10–01.11.2026.</v>
      </c>
      <c r="N30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69" s="17" t="str">
        <f t="shared" si="47"/>
        <v>Còn trống</v>
      </c>
    </row>
    <row r="3070" spans="1:16" x14ac:dyDescent="0.3">
      <c r="A3070">
        <v>3069</v>
      </c>
      <c r="B3070" t="s">
        <v>6894</v>
      </c>
      <c r="C3070" t="s">
        <v>7059</v>
      </c>
      <c r="D3070" t="s">
        <v>7060</v>
      </c>
      <c r="E3070" t="s">
        <v>40</v>
      </c>
      <c r="F3070" t="s">
        <v>6912</v>
      </c>
      <c r="G3070" t="s">
        <v>6929</v>
      </c>
      <c r="H3070" t="str">
        <f>'Huong dan giao do an'!$B$14</f>
        <v>5 SV (vai trò chính): 1 PM/Scrum Master kiêm Integration; 2 BA/PO; 3 UI-UX + Frontend; 4 Backend/API + DevOps; 5 Database + QA/Tester. Mỗi SV có nhiệm vụ phụ và minh chứng cá nhân.</v>
      </c>
      <c r="I3070" t="s">
        <v>36</v>
      </c>
      <c r="J3070" t="s">
        <v>6909</v>
      </c>
      <c r="K3070" t="str">
        <f>IF(I3070="Trung bình",'Huong dan giao do an'!$B$8,IF(I3070="Khá",'Huong dan giao do an'!$B$9,'Huong dan giao do an'!$B$10))</f>
        <v>Tối thiểu 3 actor; 8-10 use case; 6-8 bảng dữ liệu; 2 quy trình lõi; đăng nhập/RBAC; 1 dashboard; 1 báo cáo; &gt;=25 test case; triển khai bản demo.</v>
      </c>
      <c r="L3070" t="str">
        <f>'Huong dan giao do an'!$B$31</f>
        <v>Bắt buộc: Charter/PMP; SRS + scope/WBS; Gantt/baseline; effort-cost budget; RACI/timesheet; quality-test-defect; communication/minutes; risk register; procurement; change log; closure/lessons learned.</v>
      </c>
      <c r="M3070" t="str">
        <f>'Huong dan giao do an'!$B$33</f>
        <v>Tuần 1: 07.09–13.09.2026; Tuần 2: 14.09–20.09.2026; Tuần 3: 21.09–27.09.2026; Tuần 4: 28.09–04.10.2026; Tuần 5: 05.10–11.10.2026; Tuần 6: 12.10–18.10.2026; Tuần 7: 19.10–25.10.2026; Tuần 8: 26.10–01.11.2026.</v>
      </c>
      <c r="N30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0" s="17" t="str">
        <f t="shared" si="47"/>
        <v>Còn trống</v>
      </c>
    </row>
    <row r="3071" spans="1:16" x14ac:dyDescent="0.3">
      <c r="A3071">
        <v>3070</v>
      </c>
      <c r="B3071" t="s">
        <v>6894</v>
      </c>
      <c r="C3071" t="s">
        <v>7061</v>
      </c>
      <c r="D3071" t="s">
        <v>7062</v>
      </c>
      <c r="E3071" t="s">
        <v>45</v>
      </c>
      <c r="F3071" t="s">
        <v>6916</v>
      </c>
      <c r="G3071" t="s">
        <v>6932</v>
      </c>
      <c r="H3071" t="str">
        <f>'Huong dan giao do an'!$B$14</f>
        <v>5 SV (vai trò chính): 1 PM/Scrum Master kiêm Integration; 2 BA/PO; 3 UI-UX + Frontend; 4 Backend/API + DevOps; 5 Database + QA/Tester. Mỗi SV có nhiệm vụ phụ và minh chứng cá nhân.</v>
      </c>
      <c r="I3071" t="s">
        <v>22</v>
      </c>
      <c r="J3071" t="s">
        <v>6899</v>
      </c>
      <c r="K3071" t="str">
        <f>IF(I3071="Trung bình",'Huong dan giao do an'!$B$8,IF(I3071="Khá",'Huong dan giao do an'!$B$9,'Huong dan giao do an'!$B$10))</f>
        <v>Tối thiểu 4 actor; 10-14 use case; 8-12 bảng; 3 quy trình lõi; phân quyền chi tiết; 2 báo cáo; tích hợp 1 dịch vụ; &gt;=35 test case; CI/CD hoặc deploy cloud.</v>
      </c>
      <c r="L3071" t="str">
        <f>'Huong dan giao do an'!$B$31</f>
        <v>Bắt buộc: Charter/PMP; SRS + scope/WBS; Gantt/baseline; effort-cost budget; RACI/timesheet; quality-test-defect; communication/minutes; risk register; procurement; change log; closure/lessons learned.</v>
      </c>
      <c r="M3071" t="str">
        <f>'Huong dan giao do an'!$B$33</f>
        <v>Tuần 1: 07.09–13.09.2026; Tuần 2: 14.09–20.09.2026; Tuần 3: 21.09–27.09.2026; Tuần 4: 28.09–04.10.2026; Tuần 5: 05.10–11.10.2026; Tuần 6: 12.10–18.10.2026; Tuần 7: 19.10–25.10.2026; Tuần 8: 26.10–01.11.2026.</v>
      </c>
      <c r="N30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1" s="17" t="str">
        <f t="shared" si="47"/>
        <v>Còn trống</v>
      </c>
    </row>
    <row r="3072" spans="1:16" x14ac:dyDescent="0.3">
      <c r="A3072">
        <v>3071</v>
      </c>
      <c r="B3072" t="s">
        <v>6894</v>
      </c>
      <c r="C3072" t="s">
        <v>7063</v>
      </c>
      <c r="D3072" t="s">
        <v>7064</v>
      </c>
      <c r="E3072" t="s">
        <v>19</v>
      </c>
      <c r="F3072" t="s">
        <v>6897</v>
      </c>
      <c r="G3072" t="s">
        <v>6935</v>
      </c>
      <c r="H3072" t="str">
        <f>'Huong dan giao do an'!$B$14</f>
        <v>5 SV (vai trò chính): 1 PM/Scrum Master kiêm Integration; 2 BA/PO; 3 UI-UX + Frontend; 4 Backend/API + DevOps; 5 Database + QA/Tester. Mỗi SV có nhiệm vụ phụ và minh chứng cá nhân.</v>
      </c>
      <c r="I3072" t="s">
        <v>29</v>
      </c>
      <c r="J3072" t="s">
        <v>6904</v>
      </c>
      <c r="K3072" t="str">
        <f>IF(I3072="Trung bình",'Huong dan giao do an'!$B$8,IF(I3072="Khá",'Huong dan giao do an'!$B$9,'Huong dan giao do an'!$B$10))</f>
        <v>Tối thiểu 5 actor; 14-18 use case; 10-15 bảng; 4 quy trình; tích hợp ngoài/realtime hoặc xử lý nâng cao; 3 báo cáo; &gt;=45 test case; logging, backup và deploy.</v>
      </c>
      <c r="L3072" t="str">
        <f>'Huong dan giao do an'!$B$31</f>
        <v>Bắt buộc: Charter/PMP; SRS + scope/WBS; Gantt/baseline; effort-cost budget; RACI/timesheet; quality-test-defect; communication/minutes; risk register; procurement; change log; closure/lessons learned.</v>
      </c>
      <c r="M3072" t="str">
        <f>'Huong dan giao do an'!$B$33</f>
        <v>Tuần 1: 07.09–13.09.2026; Tuần 2: 14.09–20.09.2026; Tuần 3: 21.09–27.09.2026; Tuần 4: 28.09–04.10.2026; Tuần 5: 05.10–11.10.2026; Tuần 6: 12.10–18.10.2026; Tuần 7: 19.10–25.10.2026; Tuần 8: 26.10–01.11.2026.</v>
      </c>
      <c r="N30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2" s="17" t="str">
        <f t="shared" si="47"/>
        <v>Còn trống</v>
      </c>
    </row>
    <row r="3073" spans="1:16" x14ac:dyDescent="0.3">
      <c r="A3073">
        <v>3072</v>
      </c>
      <c r="B3073" t="s">
        <v>6894</v>
      </c>
      <c r="C3073" t="s">
        <v>7065</v>
      </c>
      <c r="D3073" t="s">
        <v>7066</v>
      </c>
      <c r="E3073" t="s">
        <v>26</v>
      </c>
      <c r="F3073" t="s">
        <v>6902</v>
      </c>
      <c r="G3073" t="s">
        <v>6938</v>
      </c>
      <c r="H3073" t="str">
        <f>'Huong dan giao do an'!$B$14</f>
        <v>5 SV (vai trò chính): 1 PM/Scrum Master kiêm Integration; 2 BA/PO; 3 UI-UX + Frontend; 4 Backend/API + DevOps; 5 Database + QA/Tester. Mỗi SV có nhiệm vụ phụ và minh chứng cá nhân.</v>
      </c>
      <c r="I3073" t="s">
        <v>36</v>
      </c>
      <c r="J3073" t="s">
        <v>6909</v>
      </c>
      <c r="K3073" t="str">
        <f>IF(I3073="Trung bình",'Huong dan giao do an'!$B$8,IF(I3073="Khá",'Huong dan giao do an'!$B$9,'Huong dan giao do an'!$B$10))</f>
        <v>Tối thiểu 3 actor; 8-10 use case; 6-8 bảng dữ liệu; 2 quy trình lõi; đăng nhập/RBAC; 1 dashboard; 1 báo cáo; &gt;=25 test case; triển khai bản demo.</v>
      </c>
      <c r="L3073" t="str">
        <f>'Huong dan giao do an'!$B$31</f>
        <v>Bắt buộc: Charter/PMP; SRS + scope/WBS; Gantt/baseline; effort-cost budget; RACI/timesheet; quality-test-defect; communication/minutes; risk register; procurement; change log; closure/lessons learned.</v>
      </c>
      <c r="M3073" t="str">
        <f>'Huong dan giao do an'!$B$33</f>
        <v>Tuần 1: 07.09–13.09.2026; Tuần 2: 14.09–20.09.2026; Tuần 3: 21.09–27.09.2026; Tuần 4: 28.09–04.10.2026; Tuần 5: 05.10–11.10.2026; Tuần 6: 12.10–18.10.2026; Tuần 7: 19.10–25.10.2026; Tuần 8: 26.10–01.11.2026.</v>
      </c>
      <c r="N30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3" s="17" t="str">
        <f t="shared" si="47"/>
        <v>Còn trống</v>
      </c>
    </row>
    <row r="3074" spans="1:16" x14ac:dyDescent="0.3">
      <c r="A3074">
        <v>3073</v>
      </c>
      <c r="B3074" t="s">
        <v>6894</v>
      </c>
      <c r="C3074" t="s">
        <v>7067</v>
      </c>
      <c r="D3074" t="s">
        <v>7068</v>
      </c>
      <c r="E3074" t="s">
        <v>33</v>
      </c>
      <c r="F3074" t="s">
        <v>6907</v>
      </c>
      <c r="G3074" t="s">
        <v>6941</v>
      </c>
      <c r="H3074" t="str">
        <f>'Huong dan giao do an'!$B$14</f>
        <v>5 SV (vai trò chính): 1 PM/Scrum Master kiêm Integration; 2 BA/PO; 3 UI-UX + Frontend; 4 Backend/API + DevOps; 5 Database + QA/Tester. Mỗi SV có nhiệm vụ phụ và minh chứng cá nhân.</v>
      </c>
      <c r="I3074" t="s">
        <v>22</v>
      </c>
      <c r="J3074" t="s">
        <v>6899</v>
      </c>
      <c r="K3074" t="str">
        <f>IF(I3074="Trung bình",'Huong dan giao do an'!$B$8,IF(I3074="Khá",'Huong dan giao do an'!$B$9,'Huong dan giao do an'!$B$10))</f>
        <v>Tối thiểu 4 actor; 10-14 use case; 8-12 bảng; 3 quy trình lõi; phân quyền chi tiết; 2 báo cáo; tích hợp 1 dịch vụ; &gt;=35 test case; CI/CD hoặc deploy cloud.</v>
      </c>
      <c r="L3074" t="str">
        <f>'Huong dan giao do an'!$B$31</f>
        <v>Bắt buộc: Charter/PMP; SRS + scope/WBS; Gantt/baseline; effort-cost budget; RACI/timesheet; quality-test-defect; communication/minutes; risk register; procurement; change log; closure/lessons learned.</v>
      </c>
      <c r="M3074" t="str">
        <f>'Huong dan giao do an'!$B$33</f>
        <v>Tuần 1: 07.09–13.09.2026; Tuần 2: 14.09–20.09.2026; Tuần 3: 21.09–27.09.2026; Tuần 4: 28.09–04.10.2026; Tuần 5: 05.10–11.10.2026; Tuần 6: 12.10–18.10.2026; Tuần 7: 19.10–25.10.2026; Tuần 8: 26.10–01.11.2026.</v>
      </c>
      <c r="N30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4" s="17" t="str">
        <f t="shared" si="47"/>
        <v>Còn trống</v>
      </c>
    </row>
    <row r="3075" spans="1:16" x14ac:dyDescent="0.3">
      <c r="A3075">
        <v>3074</v>
      </c>
      <c r="B3075" t="s">
        <v>6894</v>
      </c>
      <c r="C3075" t="s">
        <v>7069</v>
      </c>
      <c r="D3075" t="s">
        <v>7070</v>
      </c>
      <c r="E3075" t="s">
        <v>40</v>
      </c>
      <c r="F3075" t="s">
        <v>6912</v>
      </c>
      <c r="G3075" t="s">
        <v>6944</v>
      </c>
      <c r="H3075" t="str">
        <f>'Huong dan giao do an'!$B$14</f>
        <v>5 SV (vai trò chính): 1 PM/Scrum Master kiêm Integration; 2 BA/PO; 3 UI-UX + Frontend; 4 Backend/API + DevOps; 5 Database + QA/Tester. Mỗi SV có nhiệm vụ phụ và minh chứng cá nhân.</v>
      </c>
      <c r="I3075" t="s">
        <v>29</v>
      </c>
      <c r="J3075" t="s">
        <v>6904</v>
      </c>
      <c r="K3075" t="str">
        <f>IF(I3075="Trung bình",'Huong dan giao do an'!$B$8,IF(I3075="Khá",'Huong dan giao do an'!$B$9,'Huong dan giao do an'!$B$10))</f>
        <v>Tối thiểu 5 actor; 14-18 use case; 10-15 bảng; 4 quy trình; tích hợp ngoài/realtime hoặc xử lý nâng cao; 3 báo cáo; &gt;=45 test case; logging, backup và deploy.</v>
      </c>
      <c r="L3075" t="str">
        <f>'Huong dan giao do an'!$B$31</f>
        <v>Bắt buộc: Charter/PMP; SRS + scope/WBS; Gantt/baseline; effort-cost budget; RACI/timesheet; quality-test-defect; communication/minutes; risk register; procurement; change log; closure/lessons learned.</v>
      </c>
      <c r="M3075" t="str">
        <f>'Huong dan giao do an'!$B$33</f>
        <v>Tuần 1: 07.09–13.09.2026; Tuần 2: 14.09–20.09.2026; Tuần 3: 21.09–27.09.2026; Tuần 4: 28.09–04.10.2026; Tuần 5: 05.10–11.10.2026; Tuần 6: 12.10–18.10.2026; Tuần 7: 19.10–25.10.2026; Tuần 8: 26.10–01.11.2026.</v>
      </c>
      <c r="N30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5" s="17" t="str">
        <f t="shared" ref="P3075:P3138" si="48">IF(O3075="","Còn trống","Đã đăng ký")</f>
        <v>Còn trống</v>
      </c>
    </row>
    <row r="3076" spans="1:16" x14ac:dyDescent="0.3">
      <c r="A3076">
        <v>3075</v>
      </c>
      <c r="B3076" t="s">
        <v>6894</v>
      </c>
      <c r="C3076" t="s">
        <v>7071</v>
      </c>
      <c r="D3076" t="s">
        <v>7072</v>
      </c>
      <c r="E3076" t="s">
        <v>45</v>
      </c>
      <c r="F3076" t="s">
        <v>6916</v>
      </c>
      <c r="G3076" t="s">
        <v>6947</v>
      </c>
      <c r="H3076" t="str">
        <f>'Huong dan giao do an'!$B$14</f>
        <v>5 SV (vai trò chính): 1 PM/Scrum Master kiêm Integration; 2 BA/PO; 3 UI-UX + Frontend; 4 Backend/API + DevOps; 5 Database + QA/Tester. Mỗi SV có nhiệm vụ phụ và minh chứng cá nhân.</v>
      </c>
      <c r="I3076" t="s">
        <v>36</v>
      </c>
      <c r="J3076" t="s">
        <v>6909</v>
      </c>
      <c r="K3076" t="str">
        <f>IF(I3076="Trung bình",'Huong dan giao do an'!$B$8,IF(I3076="Khá",'Huong dan giao do an'!$B$9,'Huong dan giao do an'!$B$10))</f>
        <v>Tối thiểu 3 actor; 8-10 use case; 6-8 bảng dữ liệu; 2 quy trình lõi; đăng nhập/RBAC; 1 dashboard; 1 báo cáo; &gt;=25 test case; triển khai bản demo.</v>
      </c>
      <c r="L3076" t="str">
        <f>'Huong dan giao do an'!$B$31</f>
        <v>Bắt buộc: Charter/PMP; SRS + scope/WBS; Gantt/baseline; effort-cost budget; RACI/timesheet; quality-test-defect; communication/minutes; risk register; procurement; change log; closure/lessons learned.</v>
      </c>
      <c r="M3076" t="str">
        <f>'Huong dan giao do an'!$B$33</f>
        <v>Tuần 1: 07.09–13.09.2026; Tuần 2: 14.09–20.09.2026; Tuần 3: 21.09–27.09.2026; Tuần 4: 28.09–04.10.2026; Tuần 5: 05.10–11.10.2026; Tuần 6: 12.10–18.10.2026; Tuần 7: 19.10–25.10.2026; Tuần 8: 26.10–01.11.2026.</v>
      </c>
      <c r="N30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6" s="17" t="str">
        <f t="shared" si="48"/>
        <v>Còn trống</v>
      </c>
    </row>
    <row r="3077" spans="1:16" x14ac:dyDescent="0.3">
      <c r="A3077">
        <v>3076</v>
      </c>
      <c r="B3077" t="s">
        <v>6894</v>
      </c>
      <c r="C3077" t="s">
        <v>7073</v>
      </c>
      <c r="D3077" t="s">
        <v>7074</v>
      </c>
      <c r="E3077" t="s">
        <v>19</v>
      </c>
      <c r="F3077" t="s">
        <v>6897</v>
      </c>
      <c r="G3077" t="s">
        <v>6950</v>
      </c>
      <c r="H3077" t="str">
        <f>'Huong dan giao do an'!$B$14</f>
        <v>5 SV (vai trò chính): 1 PM/Scrum Master kiêm Integration; 2 BA/PO; 3 UI-UX + Frontend; 4 Backend/API + DevOps; 5 Database + QA/Tester. Mỗi SV có nhiệm vụ phụ và minh chứng cá nhân.</v>
      </c>
      <c r="I3077" t="s">
        <v>22</v>
      </c>
      <c r="J3077" t="s">
        <v>6899</v>
      </c>
      <c r="K3077" t="str">
        <f>IF(I3077="Trung bình",'Huong dan giao do an'!$B$8,IF(I3077="Khá",'Huong dan giao do an'!$B$9,'Huong dan giao do an'!$B$10))</f>
        <v>Tối thiểu 4 actor; 10-14 use case; 8-12 bảng; 3 quy trình lõi; phân quyền chi tiết; 2 báo cáo; tích hợp 1 dịch vụ; &gt;=35 test case; CI/CD hoặc deploy cloud.</v>
      </c>
      <c r="L3077" t="str">
        <f>'Huong dan giao do an'!$B$31</f>
        <v>Bắt buộc: Charter/PMP; SRS + scope/WBS; Gantt/baseline; effort-cost budget; RACI/timesheet; quality-test-defect; communication/minutes; risk register; procurement; change log; closure/lessons learned.</v>
      </c>
      <c r="M3077" t="str">
        <f>'Huong dan giao do an'!$B$33</f>
        <v>Tuần 1: 07.09–13.09.2026; Tuần 2: 14.09–20.09.2026; Tuần 3: 21.09–27.09.2026; Tuần 4: 28.09–04.10.2026; Tuần 5: 05.10–11.10.2026; Tuần 6: 12.10–18.10.2026; Tuần 7: 19.10–25.10.2026; Tuần 8: 26.10–01.11.2026.</v>
      </c>
      <c r="N30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7" s="17" t="str">
        <f t="shared" si="48"/>
        <v>Còn trống</v>
      </c>
    </row>
    <row r="3078" spans="1:16" x14ac:dyDescent="0.3">
      <c r="A3078">
        <v>3077</v>
      </c>
      <c r="B3078" t="s">
        <v>6894</v>
      </c>
      <c r="C3078" t="s">
        <v>7075</v>
      </c>
      <c r="D3078" t="s">
        <v>7076</v>
      </c>
      <c r="E3078" t="s">
        <v>26</v>
      </c>
      <c r="F3078" t="s">
        <v>6902</v>
      </c>
      <c r="G3078" t="s">
        <v>6953</v>
      </c>
      <c r="H3078" t="str">
        <f>'Huong dan giao do an'!$B$14</f>
        <v>5 SV (vai trò chính): 1 PM/Scrum Master kiêm Integration; 2 BA/PO; 3 UI-UX + Frontend; 4 Backend/API + DevOps; 5 Database + QA/Tester. Mỗi SV có nhiệm vụ phụ và minh chứng cá nhân.</v>
      </c>
      <c r="I3078" t="s">
        <v>29</v>
      </c>
      <c r="J3078" t="s">
        <v>6904</v>
      </c>
      <c r="K3078" t="str">
        <f>IF(I3078="Trung bình",'Huong dan giao do an'!$B$8,IF(I3078="Khá",'Huong dan giao do an'!$B$9,'Huong dan giao do an'!$B$10))</f>
        <v>Tối thiểu 5 actor; 14-18 use case; 10-15 bảng; 4 quy trình; tích hợp ngoài/realtime hoặc xử lý nâng cao; 3 báo cáo; &gt;=45 test case; logging, backup và deploy.</v>
      </c>
      <c r="L3078" t="str">
        <f>'Huong dan giao do an'!$B$31</f>
        <v>Bắt buộc: Charter/PMP; SRS + scope/WBS; Gantt/baseline; effort-cost budget; RACI/timesheet; quality-test-defect; communication/minutes; risk register; procurement; change log; closure/lessons learned.</v>
      </c>
      <c r="M3078" t="str">
        <f>'Huong dan giao do an'!$B$33</f>
        <v>Tuần 1: 07.09–13.09.2026; Tuần 2: 14.09–20.09.2026; Tuần 3: 21.09–27.09.2026; Tuần 4: 28.09–04.10.2026; Tuần 5: 05.10–11.10.2026; Tuần 6: 12.10–18.10.2026; Tuần 7: 19.10–25.10.2026; Tuần 8: 26.10–01.11.2026.</v>
      </c>
      <c r="N30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8" s="17" t="str">
        <f t="shared" si="48"/>
        <v>Còn trống</v>
      </c>
    </row>
    <row r="3079" spans="1:16" x14ac:dyDescent="0.3">
      <c r="A3079">
        <v>3078</v>
      </c>
      <c r="B3079" t="s">
        <v>6894</v>
      </c>
      <c r="C3079" t="s">
        <v>7077</v>
      </c>
      <c r="D3079" t="s">
        <v>7078</v>
      </c>
      <c r="E3079" t="s">
        <v>33</v>
      </c>
      <c r="F3079" t="s">
        <v>6907</v>
      </c>
      <c r="G3079" t="s">
        <v>6956</v>
      </c>
      <c r="H3079" t="str">
        <f>'Huong dan giao do an'!$B$14</f>
        <v>5 SV (vai trò chính): 1 PM/Scrum Master kiêm Integration; 2 BA/PO; 3 UI-UX + Frontend; 4 Backend/API + DevOps; 5 Database + QA/Tester. Mỗi SV có nhiệm vụ phụ và minh chứng cá nhân.</v>
      </c>
      <c r="I3079" t="s">
        <v>36</v>
      </c>
      <c r="J3079" t="s">
        <v>6909</v>
      </c>
      <c r="K3079" t="str">
        <f>IF(I3079="Trung bình",'Huong dan giao do an'!$B$8,IF(I3079="Khá",'Huong dan giao do an'!$B$9,'Huong dan giao do an'!$B$10))</f>
        <v>Tối thiểu 3 actor; 8-10 use case; 6-8 bảng dữ liệu; 2 quy trình lõi; đăng nhập/RBAC; 1 dashboard; 1 báo cáo; &gt;=25 test case; triển khai bản demo.</v>
      </c>
      <c r="L3079" t="str">
        <f>'Huong dan giao do an'!$B$31</f>
        <v>Bắt buộc: Charter/PMP; SRS + scope/WBS; Gantt/baseline; effort-cost budget; RACI/timesheet; quality-test-defect; communication/minutes; risk register; procurement; change log; closure/lessons learned.</v>
      </c>
      <c r="M3079" t="str">
        <f>'Huong dan giao do an'!$B$33</f>
        <v>Tuần 1: 07.09–13.09.2026; Tuần 2: 14.09–20.09.2026; Tuần 3: 21.09–27.09.2026; Tuần 4: 28.09–04.10.2026; Tuần 5: 05.10–11.10.2026; Tuần 6: 12.10–18.10.2026; Tuần 7: 19.10–25.10.2026; Tuần 8: 26.10–01.11.2026.</v>
      </c>
      <c r="N30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79" s="17" t="str">
        <f t="shared" si="48"/>
        <v>Còn trống</v>
      </c>
    </row>
    <row r="3080" spans="1:16" x14ac:dyDescent="0.3">
      <c r="A3080">
        <v>3079</v>
      </c>
      <c r="B3080" t="s">
        <v>6894</v>
      </c>
      <c r="C3080" t="s">
        <v>7079</v>
      </c>
      <c r="D3080" t="s">
        <v>7080</v>
      </c>
      <c r="E3080" t="s">
        <v>40</v>
      </c>
      <c r="F3080" t="s">
        <v>6912</v>
      </c>
      <c r="G3080" t="s">
        <v>6959</v>
      </c>
      <c r="H3080" t="str">
        <f>'Huong dan giao do an'!$B$14</f>
        <v>5 SV (vai trò chính): 1 PM/Scrum Master kiêm Integration; 2 BA/PO; 3 UI-UX + Frontend; 4 Backend/API + DevOps; 5 Database + QA/Tester. Mỗi SV có nhiệm vụ phụ và minh chứng cá nhân.</v>
      </c>
      <c r="I3080" t="s">
        <v>22</v>
      </c>
      <c r="J3080" t="s">
        <v>6899</v>
      </c>
      <c r="K3080" t="str">
        <f>IF(I3080="Trung bình",'Huong dan giao do an'!$B$8,IF(I3080="Khá",'Huong dan giao do an'!$B$9,'Huong dan giao do an'!$B$10))</f>
        <v>Tối thiểu 4 actor; 10-14 use case; 8-12 bảng; 3 quy trình lõi; phân quyền chi tiết; 2 báo cáo; tích hợp 1 dịch vụ; &gt;=35 test case; CI/CD hoặc deploy cloud.</v>
      </c>
      <c r="L3080" t="str">
        <f>'Huong dan giao do an'!$B$31</f>
        <v>Bắt buộc: Charter/PMP; SRS + scope/WBS; Gantt/baseline; effort-cost budget; RACI/timesheet; quality-test-defect; communication/minutes; risk register; procurement; change log; closure/lessons learned.</v>
      </c>
      <c r="M3080" t="str">
        <f>'Huong dan giao do an'!$B$33</f>
        <v>Tuần 1: 07.09–13.09.2026; Tuần 2: 14.09–20.09.2026; Tuần 3: 21.09–27.09.2026; Tuần 4: 28.09–04.10.2026; Tuần 5: 05.10–11.10.2026; Tuần 6: 12.10–18.10.2026; Tuần 7: 19.10–25.10.2026; Tuần 8: 26.10–01.11.2026.</v>
      </c>
      <c r="N30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0" s="17" t="str">
        <f t="shared" si="48"/>
        <v>Còn trống</v>
      </c>
    </row>
    <row r="3081" spans="1:16" x14ac:dyDescent="0.3">
      <c r="A3081">
        <v>3080</v>
      </c>
      <c r="B3081" t="s">
        <v>6894</v>
      </c>
      <c r="C3081" t="s">
        <v>7081</v>
      </c>
      <c r="D3081" t="s">
        <v>7082</v>
      </c>
      <c r="E3081" t="s">
        <v>45</v>
      </c>
      <c r="F3081" t="s">
        <v>6916</v>
      </c>
      <c r="G3081" t="s">
        <v>6962</v>
      </c>
      <c r="H3081" t="str">
        <f>'Huong dan giao do an'!$B$14</f>
        <v>5 SV (vai trò chính): 1 PM/Scrum Master kiêm Integration; 2 BA/PO; 3 UI-UX + Frontend; 4 Backend/API + DevOps; 5 Database + QA/Tester. Mỗi SV có nhiệm vụ phụ và minh chứng cá nhân.</v>
      </c>
      <c r="I3081" t="s">
        <v>29</v>
      </c>
      <c r="J3081" t="s">
        <v>6904</v>
      </c>
      <c r="K3081" t="str">
        <f>IF(I3081="Trung bình",'Huong dan giao do an'!$B$8,IF(I3081="Khá",'Huong dan giao do an'!$B$9,'Huong dan giao do an'!$B$10))</f>
        <v>Tối thiểu 5 actor; 14-18 use case; 10-15 bảng; 4 quy trình; tích hợp ngoài/realtime hoặc xử lý nâng cao; 3 báo cáo; &gt;=45 test case; logging, backup và deploy.</v>
      </c>
      <c r="L3081" t="str">
        <f>'Huong dan giao do an'!$B$31</f>
        <v>Bắt buộc: Charter/PMP; SRS + scope/WBS; Gantt/baseline; effort-cost budget; RACI/timesheet; quality-test-defect; communication/minutes; risk register; procurement; change log; closure/lessons learned.</v>
      </c>
      <c r="M3081" t="str">
        <f>'Huong dan giao do an'!$B$33</f>
        <v>Tuần 1: 07.09–13.09.2026; Tuần 2: 14.09–20.09.2026; Tuần 3: 21.09–27.09.2026; Tuần 4: 28.09–04.10.2026; Tuần 5: 05.10–11.10.2026; Tuần 6: 12.10–18.10.2026; Tuần 7: 19.10–25.10.2026; Tuần 8: 26.10–01.11.2026.</v>
      </c>
      <c r="N30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1" s="17" t="str">
        <f t="shared" si="48"/>
        <v>Còn trống</v>
      </c>
    </row>
    <row r="3082" spans="1:16" x14ac:dyDescent="0.3">
      <c r="A3082">
        <v>3081</v>
      </c>
      <c r="B3082" t="s">
        <v>6894</v>
      </c>
      <c r="C3082" t="s">
        <v>7083</v>
      </c>
      <c r="D3082" t="s">
        <v>7084</v>
      </c>
      <c r="E3082" t="s">
        <v>19</v>
      </c>
      <c r="F3082" t="s">
        <v>6897</v>
      </c>
      <c r="G3082" t="s">
        <v>6898</v>
      </c>
      <c r="H3082" t="str">
        <f>'Huong dan giao do an'!$B$14</f>
        <v>5 SV (vai trò chính): 1 PM/Scrum Master kiêm Integration; 2 BA/PO; 3 UI-UX + Frontend; 4 Backend/API + DevOps; 5 Database + QA/Tester. Mỗi SV có nhiệm vụ phụ và minh chứng cá nhân.</v>
      </c>
      <c r="I3082" t="s">
        <v>22</v>
      </c>
      <c r="J3082" t="s">
        <v>6899</v>
      </c>
      <c r="K3082" t="str">
        <f>IF(I3082="Trung bình",'Huong dan giao do an'!$B$8,IF(I3082="Khá",'Huong dan giao do an'!$B$9,'Huong dan giao do an'!$B$10))</f>
        <v>Tối thiểu 4 actor; 10-14 use case; 8-12 bảng; 3 quy trình lõi; phân quyền chi tiết; 2 báo cáo; tích hợp 1 dịch vụ; &gt;=35 test case; CI/CD hoặc deploy cloud.</v>
      </c>
      <c r="L3082" t="str">
        <f>'Huong dan giao do an'!$B$31</f>
        <v>Bắt buộc: Charter/PMP; SRS + scope/WBS; Gantt/baseline; effort-cost budget; RACI/timesheet; quality-test-defect; communication/minutes; risk register; procurement; change log; closure/lessons learned.</v>
      </c>
      <c r="M3082" t="str">
        <f>'Huong dan giao do an'!$B$33</f>
        <v>Tuần 1: 07.09–13.09.2026; Tuần 2: 14.09–20.09.2026; Tuần 3: 21.09–27.09.2026; Tuần 4: 28.09–04.10.2026; Tuần 5: 05.10–11.10.2026; Tuần 6: 12.10–18.10.2026; Tuần 7: 19.10–25.10.2026; Tuần 8: 26.10–01.11.2026.</v>
      </c>
      <c r="N30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2" s="17" t="str">
        <f t="shared" si="48"/>
        <v>Còn trống</v>
      </c>
    </row>
    <row r="3083" spans="1:16" x14ac:dyDescent="0.3">
      <c r="A3083">
        <v>3082</v>
      </c>
      <c r="B3083" t="s">
        <v>6894</v>
      </c>
      <c r="C3083" t="s">
        <v>7085</v>
      </c>
      <c r="D3083" t="s">
        <v>7086</v>
      </c>
      <c r="E3083" t="s">
        <v>26</v>
      </c>
      <c r="F3083" t="s">
        <v>6902</v>
      </c>
      <c r="G3083" t="s">
        <v>6903</v>
      </c>
      <c r="H3083" t="str">
        <f>'Huong dan giao do an'!$B$14</f>
        <v>5 SV (vai trò chính): 1 PM/Scrum Master kiêm Integration; 2 BA/PO; 3 UI-UX + Frontend; 4 Backend/API + DevOps; 5 Database + QA/Tester. Mỗi SV có nhiệm vụ phụ và minh chứng cá nhân.</v>
      </c>
      <c r="I3083" t="s">
        <v>29</v>
      </c>
      <c r="J3083" t="s">
        <v>6904</v>
      </c>
      <c r="K3083" t="str">
        <f>IF(I3083="Trung bình",'Huong dan giao do an'!$B$8,IF(I3083="Khá",'Huong dan giao do an'!$B$9,'Huong dan giao do an'!$B$10))</f>
        <v>Tối thiểu 5 actor; 14-18 use case; 10-15 bảng; 4 quy trình; tích hợp ngoài/realtime hoặc xử lý nâng cao; 3 báo cáo; &gt;=45 test case; logging, backup và deploy.</v>
      </c>
      <c r="L3083" t="str">
        <f>'Huong dan giao do an'!$B$31</f>
        <v>Bắt buộc: Charter/PMP; SRS + scope/WBS; Gantt/baseline; effort-cost budget; RACI/timesheet; quality-test-defect; communication/minutes; risk register; procurement; change log; closure/lessons learned.</v>
      </c>
      <c r="M3083" t="str">
        <f>'Huong dan giao do an'!$B$33</f>
        <v>Tuần 1: 07.09–13.09.2026; Tuần 2: 14.09–20.09.2026; Tuần 3: 21.09–27.09.2026; Tuần 4: 28.09–04.10.2026; Tuần 5: 05.10–11.10.2026; Tuần 6: 12.10–18.10.2026; Tuần 7: 19.10–25.10.2026; Tuần 8: 26.10–01.11.2026.</v>
      </c>
      <c r="N30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3" s="17" t="str">
        <f t="shared" si="48"/>
        <v>Còn trống</v>
      </c>
    </row>
    <row r="3084" spans="1:16" x14ac:dyDescent="0.3">
      <c r="A3084">
        <v>3083</v>
      </c>
      <c r="B3084" t="s">
        <v>6894</v>
      </c>
      <c r="C3084" t="s">
        <v>7087</v>
      </c>
      <c r="D3084" t="s">
        <v>7088</v>
      </c>
      <c r="E3084" t="s">
        <v>33</v>
      </c>
      <c r="F3084" t="s">
        <v>6907</v>
      </c>
      <c r="G3084" t="s">
        <v>6908</v>
      </c>
      <c r="H3084" t="str">
        <f>'Huong dan giao do an'!$B$14</f>
        <v>5 SV (vai trò chính): 1 PM/Scrum Master kiêm Integration; 2 BA/PO; 3 UI-UX + Frontend; 4 Backend/API + DevOps; 5 Database + QA/Tester. Mỗi SV có nhiệm vụ phụ và minh chứng cá nhân.</v>
      </c>
      <c r="I3084" t="s">
        <v>36</v>
      </c>
      <c r="J3084" t="s">
        <v>6909</v>
      </c>
      <c r="K3084" t="str">
        <f>IF(I3084="Trung bình",'Huong dan giao do an'!$B$8,IF(I3084="Khá",'Huong dan giao do an'!$B$9,'Huong dan giao do an'!$B$10))</f>
        <v>Tối thiểu 3 actor; 8-10 use case; 6-8 bảng dữ liệu; 2 quy trình lõi; đăng nhập/RBAC; 1 dashboard; 1 báo cáo; &gt;=25 test case; triển khai bản demo.</v>
      </c>
      <c r="L3084" t="str">
        <f>'Huong dan giao do an'!$B$31</f>
        <v>Bắt buộc: Charter/PMP; SRS + scope/WBS; Gantt/baseline; effort-cost budget; RACI/timesheet; quality-test-defect; communication/minutes; risk register; procurement; change log; closure/lessons learned.</v>
      </c>
      <c r="M3084" t="str">
        <f>'Huong dan giao do an'!$B$33</f>
        <v>Tuần 1: 07.09–13.09.2026; Tuần 2: 14.09–20.09.2026; Tuần 3: 21.09–27.09.2026; Tuần 4: 28.09–04.10.2026; Tuần 5: 05.10–11.10.2026; Tuần 6: 12.10–18.10.2026; Tuần 7: 19.10–25.10.2026; Tuần 8: 26.10–01.11.2026.</v>
      </c>
      <c r="N30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4" s="17" t="str">
        <f t="shared" si="48"/>
        <v>Còn trống</v>
      </c>
    </row>
    <row r="3085" spans="1:16" x14ac:dyDescent="0.3">
      <c r="A3085">
        <v>3084</v>
      </c>
      <c r="B3085" t="s">
        <v>6894</v>
      </c>
      <c r="C3085" t="s">
        <v>7089</v>
      </c>
      <c r="D3085" t="s">
        <v>7090</v>
      </c>
      <c r="E3085" t="s">
        <v>40</v>
      </c>
      <c r="F3085" t="s">
        <v>6912</v>
      </c>
      <c r="G3085" t="s">
        <v>6913</v>
      </c>
      <c r="H3085" t="str">
        <f>'Huong dan giao do an'!$B$14</f>
        <v>5 SV (vai trò chính): 1 PM/Scrum Master kiêm Integration; 2 BA/PO; 3 UI-UX + Frontend; 4 Backend/API + DevOps; 5 Database + QA/Tester. Mỗi SV có nhiệm vụ phụ và minh chứng cá nhân.</v>
      </c>
      <c r="I3085" t="s">
        <v>22</v>
      </c>
      <c r="J3085" t="s">
        <v>6899</v>
      </c>
      <c r="K3085" t="str">
        <f>IF(I3085="Trung bình",'Huong dan giao do an'!$B$8,IF(I3085="Khá",'Huong dan giao do an'!$B$9,'Huong dan giao do an'!$B$10))</f>
        <v>Tối thiểu 4 actor; 10-14 use case; 8-12 bảng; 3 quy trình lõi; phân quyền chi tiết; 2 báo cáo; tích hợp 1 dịch vụ; &gt;=35 test case; CI/CD hoặc deploy cloud.</v>
      </c>
      <c r="L3085" t="str">
        <f>'Huong dan giao do an'!$B$31</f>
        <v>Bắt buộc: Charter/PMP; SRS + scope/WBS; Gantt/baseline; effort-cost budget; RACI/timesheet; quality-test-defect; communication/minutes; risk register; procurement; change log; closure/lessons learned.</v>
      </c>
      <c r="M3085" t="str">
        <f>'Huong dan giao do an'!$B$33</f>
        <v>Tuần 1: 07.09–13.09.2026; Tuần 2: 14.09–20.09.2026; Tuần 3: 21.09–27.09.2026; Tuần 4: 28.09–04.10.2026; Tuần 5: 05.10–11.10.2026; Tuần 6: 12.10–18.10.2026; Tuần 7: 19.10–25.10.2026; Tuần 8: 26.10–01.11.2026.</v>
      </c>
      <c r="N30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5" s="17" t="str">
        <f t="shared" si="48"/>
        <v>Còn trống</v>
      </c>
    </row>
    <row r="3086" spans="1:16" x14ac:dyDescent="0.3">
      <c r="A3086">
        <v>3085</v>
      </c>
      <c r="B3086" t="s">
        <v>6894</v>
      </c>
      <c r="C3086" t="s">
        <v>7091</v>
      </c>
      <c r="D3086" t="s">
        <v>7092</v>
      </c>
      <c r="E3086" t="s">
        <v>45</v>
      </c>
      <c r="F3086" t="s">
        <v>6916</v>
      </c>
      <c r="G3086" t="s">
        <v>6917</v>
      </c>
      <c r="H3086" t="str">
        <f>'Huong dan giao do an'!$B$14</f>
        <v>5 SV (vai trò chính): 1 PM/Scrum Master kiêm Integration; 2 BA/PO; 3 UI-UX + Frontend; 4 Backend/API + DevOps; 5 Database + QA/Tester. Mỗi SV có nhiệm vụ phụ và minh chứng cá nhân.</v>
      </c>
      <c r="I3086" t="s">
        <v>29</v>
      </c>
      <c r="J3086" t="s">
        <v>6904</v>
      </c>
      <c r="K3086" t="str">
        <f>IF(I3086="Trung bình",'Huong dan giao do an'!$B$8,IF(I3086="Khá",'Huong dan giao do an'!$B$9,'Huong dan giao do an'!$B$10))</f>
        <v>Tối thiểu 5 actor; 14-18 use case; 10-15 bảng; 4 quy trình; tích hợp ngoài/realtime hoặc xử lý nâng cao; 3 báo cáo; &gt;=45 test case; logging, backup và deploy.</v>
      </c>
      <c r="L3086" t="str">
        <f>'Huong dan giao do an'!$B$31</f>
        <v>Bắt buộc: Charter/PMP; SRS + scope/WBS; Gantt/baseline; effort-cost budget; RACI/timesheet; quality-test-defect; communication/minutes; risk register; procurement; change log; closure/lessons learned.</v>
      </c>
      <c r="M3086" t="str">
        <f>'Huong dan giao do an'!$B$33</f>
        <v>Tuần 1: 07.09–13.09.2026; Tuần 2: 14.09–20.09.2026; Tuần 3: 21.09–27.09.2026; Tuần 4: 28.09–04.10.2026; Tuần 5: 05.10–11.10.2026; Tuần 6: 12.10–18.10.2026; Tuần 7: 19.10–25.10.2026; Tuần 8: 26.10–01.11.2026.</v>
      </c>
      <c r="N30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6" s="17" t="str">
        <f t="shared" si="48"/>
        <v>Còn trống</v>
      </c>
    </row>
    <row r="3087" spans="1:16" x14ac:dyDescent="0.3">
      <c r="A3087">
        <v>3086</v>
      </c>
      <c r="B3087" t="s">
        <v>6894</v>
      </c>
      <c r="C3087" t="s">
        <v>7093</v>
      </c>
      <c r="D3087" t="s">
        <v>7094</v>
      </c>
      <c r="E3087" t="s">
        <v>19</v>
      </c>
      <c r="F3087" t="s">
        <v>6897</v>
      </c>
      <c r="G3087" t="s">
        <v>6920</v>
      </c>
      <c r="H3087" t="str">
        <f>'Huong dan giao do an'!$B$14</f>
        <v>5 SV (vai trò chính): 1 PM/Scrum Master kiêm Integration; 2 BA/PO; 3 UI-UX + Frontend; 4 Backend/API + DevOps; 5 Database + QA/Tester. Mỗi SV có nhiệm vụ phụ và minh chứng cá nhân.</v>
      </c>
      <c r="I3087" t="s">
        <v>36</v>
      </c>
      <c r="J3087" t="s">
        <v>6909</v>
      </c>
      <c r="K3087" t="str">
        <f>IF(I3087="Trung bình",'Huong dan giao do an'!$B$8,IF(I3087="Khá",'Huong dan giao do an'!$B$9,'Huong dan giao do an'!$B$10))</f>
        <v>Tối thiểu 3 actor; 8-10 use case; 6-8 bảng dữ liệu; 2 quy trình lõi; đăng nhập/RBAC; 1 dashboard; 1 báo cáo; &gt;=25 test case; triển khai bản demo.</v>
      </c>
      <c r="L3087" t="str">
        <f>'Huong dan giao do an'!$B$31</f>
        <v>Bắt buộc: Charter/PMP; SRS + scope/WBS; Gantt/baseline; effort-cost budget; RACI/timesheet; quality-test-defect; communication/minutes; risk register; procurement; change log; closure/lessons learned.</v>
      </c>
      <c r="M3087" t="str">
        <f>'Huong dan giao do an'!$B$33</f>
        <v>Tuần 1: 07.09–13.09.2026; Tuần 2: 14.09–20.09.2026; Tuần 3: 21.09–27.09.2026; Tuần 4: 28.09–04.10.2026; Tuần 5: 05.10–11.10.2026; Tuần 6: 12.10–18.10.2026; Tuần 7: 19.10–25.10.2026; Tuần 8: 26.10–01.11.2026.</v>
      </c>
      <c r="N30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7" s="17" t="str">
        <f t="shared" si="48"/>
        <v>Còn trống</v>
      </c>
    </row>
    <row r="3088" spans="1:16" x14ac:dyDescent="0.3">
      <c r="A3088">
        <v>3087</v>
      </c>
      <c r="B3088" t="s">
        <v>6894</v>
      </c>
      <c r="C3088" t="s">
        <v>7095</v>
      </c>
      <c r="D3088" t="s">
        <v>7096</v>
      </c>
      <c r="E3088" t="s">
        <v>26</v>
      </c>
      <c r="F3088" t="s">
        <v>6902</v>
      </c>
      <c r="G3088" t="s">
        <v>6923</v>
      </c>
      <c r="H3088" t="str">
        <f>'Huong dan giao do an'!$B$14</f>
        <v>5 SV (vai trò chính): 1 PM/Scrum Master kiêm Integration; 2 BA/PO; 3 UI-UX + Frontend; 4 Backend/API + DevOps; 5 Database + QA/Tester. Mỗi SV có nhiệm vụ phụ và minh chứng cá nhân.</v>
      </c>
      <c r="I3088" t="s">
        <v>22</v>
      </c>
      <c r="J3088" t="s">
        <v>6899</v>
      </c>
      <c r="K3088" t="str">
        <f>IF(I3088="Trung bình",'Huong dan giao do an'!$B$8,IF(I3088="Khá",'Huong dan giao do an'!$B$9,'Huong dan giao do an'!$B$10))</f>
        <v>Tối thiểu 4 actor; 10-14 use case; 8-12 bảng; 3 quy trình lõi; phân quyền chi tiết; 2 báo cáo; tích hợp 1 dịch vụ; &gt;=35 test case; CI/CD hoặc deploy cloud.</v>
      </c>
      <c r="L3088" t="str">
        <f>'Huong dan giao do an'!$B$31</f>
        <v>Bắt buộc: Charter/PMP; SRS + scope/WBS; Gantt/baseline; effort-cost budget; RACI/timesheet; quality-test-defect; communication/minutes; risk register; procurement; change log; closure/lessons learned.</v>
      </c>
      <c r="M3088" t="str">
        <f>'Huong dan giao do an'!$B$33</f>
        <v>Tuần 1: 07.09–13.09.2026; Tuần 2: 14.09–20.09.2026; Tuần 3: 21.09–27.09.2026; Tuần 4: 28.09–04.10.2026; Tuần 5: 05.10–11.10.2026; Tuần 6: 12.10–18.10.2026; Tuần 7: 19.10–25.10.2026; Tuần 8: 26.10–01.11.2026.</v>
      </c>
      <c r="N30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8" s="17" t="str">
        <f t="shared" si="48"/>
        <v>Còn trống</v>
      </c>
    </row>
    <row r="3089" spans="1:16" x14ac:dyDescent="0.3">
      <c r="A3089">
        <v>3088</v>
      </c>
      <c r="B3089" t="s">
        <v>6894</v>
      </c>
      <c r="C3089" t="s">
        <v>7097</v>
      </c>
      <c r="D3089" t="s">
        <v>7098</v>
      </c>
      <c r="E3089" t="s">
        <v>33</v>
      </c>
      <c r="F3089" t="s">
        <v>6907</v>
      </c>
      <c r="G3089" t="s">
        <v>6926</v>
      </c>
      <c r="H3089" t="str">
        <f>'Huong dan giao do an'!$B$14</f>
        <v>5 SV (vai trò chính): 1 PM/Scrum Master kiêm Integration; 2 BA/PO; 3 UI-UX + Frontend; 4 Backend/API + DevOps; 5 Database + QA/Tester. Mỗi SV có nhiệm vụ phụ và minh chứng cá nhân.</v>
      </c>
      <c r="I3089" t="s">
        <v>29</v>
      </c>
      <c r="J3089" t="s">
        <v>6904</v>
      </c>
      <c r="K3089" t="str">
        <f>IF(I3089="Trung bình",'Huong dan giao do an'!$B$8,IF(I3089="Khá",'Huong dan giao do an'!$B$9,'Huong dan giao do an'!$B$10))</f>
        <v>Tối thiểu 5 actor; 14-18 use case; 10-15 bảng; 4 quy trình; tích hợp ngoài/realtime hoặc xử lý nâng cao; 3 báo cáo; &gt;=45 test case; logging, backup và deploy.</v>
      </c>
      <c r="L3089" t="str">
        <f>'Huong dan giao do an'!$B$31</f>
        <v>Bắt buộc: Charter/PMP; SRS + scope/WBS; Gantt/baseline; effort-cost budget; RACI/timesheet; quality-test-defect; communication/minutes; risk register; procurement; change log; closure/lessons learned.</v>
      </c>
      <c r="M3089" t="str">
        <f>'Huong dan giao do an'!$B$33</f>
        <v>Tuần 1: 07.09–13.09.2026; Tuần 2: 14.09–20.09.2026; Tuần 3: 21.09–27.09.2026; Tuần 4: 28.09–04.10.2026; Tuần 5: 05.10–11.10.2026; Tuần 6: 12.10–18.10.2026; Tuần 7: 19.10–25.10.2026; Tuần 8: 26.10–01.11.2026.</v>
      </c>
      <c r="N30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89" s="17" t="str">
        <f t="shared" si="48"/>
        <v>Còn trống</v>
      </c>
    </row>
    <row r="3090" spans="1:16" x14ac:dyDescent="0.3">
      <c r="A3090">
        <v>3089</v>
      </c>
      <c r="B3090" t="s">
        <v>6894</v>
      </c>
      <c r="C3090" t="s">
        <v>7099</v>
      </c>
      <c r="D3090" t="s">
        <v>7100</v>
      </c>
      <c r="E3090" t="s">
        <v>40</v>
      </c>
      <c r="F3090" t="s">
        <v>6912</v>
      </c>
      <c r="G3090" t="s">
        <v>6929</v>
      </c>
      <c r="H3090" t="str">
        <f>'Huong dan giao do an'!$B$14</f>
        <v>5 SV (vai trò chính): 1 PM/Scrum Master kiêm Integration; 2 BA/PO; 3 UI-UX + Frontend; 4 Backend/API + DevOps; 5 Database + QA/Tester. Mỗi SV có nhiệm vụ phụ và minh chứng cá nhân.</v>
      </c>
      <c r="I3090" t="s">
        <v>36</v>
      </c>
      <c r="J3090" t="s">
        <v>6909</v>
      </c>
      <c r="K3090" t="str">
        <f>IF(I3090="Trung bình",'Huong dan giao do an'!$B$8,IF(I3090="Khá",'Huong dan giao do an'!$B$9,'Huong dan giao do an'!$B$10))</f>
        <v>Tối thiểu 3 actor; 8-10 use case; 6-8 bảng dữ liệu; 2 quy trình lõi; đăng nhập/RBAC; 1 dashboard; 1 báo cáo; &gt;=25 test case; triển khai bản demo.</v>
      </c>
      <c r="L3090" t="str">
        <f>'Huong dan giao do an'!$B$31</f>
        <v>Bắt buộc: Charter/PMP; SRS + scope/WBS; Gantt/baseline; effort-cost budget; RACI/timesheet; quality-test-defect; communication/minutes; risk register; procurement; change log; closure/lessons learned.</v>
      </c>
      <c r="M3090" t="str">
        <f>'Huong dan giao do an'!$B$33</f>
        <v>Tuần 1: 07.09–13.09.2026; Tuần 2: 14.09–20.09.2026; Tuần 3: 21.09–27.09.2026; Tuần 4: 28.09–04.10.2026; Tuần 5: 05.10–11.10.2026; Tuần 6: 12.10–18.10.2026; Tuần 7: 19.10–25.10.2026; Tuần 8: 26.10–01.11.2026.</v>
      </c>
      <c r="N30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0" s="17" t="str">
        <f t="shared" si="48"/>
        <v>Còn trống</v>
      </c>
    </row>
    <row r="3091" spans="1:16" x14ac:dyDescent="0.3">
      <c r="A3091">
        <v>3090</v>
      </c>
      <c r="B3091" t="s">
        <v>6894</v>
      </c>
      <c r="C3091" t="s">
        <v>7101</v>
      </c>
      <c r="D3091" t="s">
        <v>7102</v>
      </c>
      <c r="E3091" t="s">
        <v>45</v>
      </c>
      <c r="F3091" t="s">
        <v>6916</v>
      </c>
      <c r="G3091" t="s">
        <v>6932</v>
      </c>
      <c r="H3091" t="str">
        <f>'Huong dan giao do an'!$B$14</f>
        <v>5 SV (vai trò chính): 1 PM/Scrum Master kiêm Integration; 2 BA/PO; 3 UI-UX + Frontend; 4 Backend/API + DevOps; 5 Database + QA/Tester. Mỗi SV có nhiệm vụ phụ và minh chứng cá nhân.</v>
      </c>
      <c r="I3091" t="s">
        <v>22</v>
      </c>
      <c r="J3091" t="s">
        <v>6899</v>
      </c>
      <c r="K3091" t="str">
        <f>IF(I3091="Trung bình",'Huong dan giao do an'!$B$8,IF(I3091="Khá",'Huong dan giao do an'!$B$9,'Huong dan giao do an'!$B$10))</f>
        <v>Tối thiểu 4 actor; 10-14 use case; 8-12 bảng; 3 quy trình lõi; phân quyền chi tiết; 2 báo cáo; tích hợp 1 dịch vụ; &gt;=35 test case; CI/CD hoặc deploy cloud.</v>
      </c>
      <c r="L3091" t="str">
        <f>'Huong dan giao do an'!$B$31</f>
        <v>Bắt buộc: Charter/PMP; SRS + scope/WBS; Gantt/baseline; effort-cost budget; RACI/timesheet; quality-test-defect; communication/minutes; risk register; procurement; change log; closure/lessons learned.</v>
      </c>
      <c r="M3091" t="str">
        <f>'Huong dan giao do an'!$B$33</f>
        <v>Tuần 1: 07.09–13.09.2026; Tuần 2: 14.09–20.09.2026; Tuần 3: 21.09–27.09.2026; Tuần 4: 28.09–04.10.2026; Tuần 5: 05.10–11.10.2026; Tuần 6: 12.10–18.10.2026; Tuần 7: 19.10–25.10.2026; Tuần 8: 26.10–01.11.2026.</v>
      </c>
      <c r="N30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1" s="17" t="str">
        <f t="shared" si="48"/>
        <v>Còn trống</v>
      </c>
    </row>
    <row r="3092" spans="1:16" x14ac:dyDescent="0.3">
      <c r="A3092">
        <v>3091</v>
      </c>
      <c r="B3092" t="s">
        <v>6894</v>
      </c>
      <c r="C3092" t="s">
        <v>7103</v>
      </c>
      <c r="D3092" t="s">
        <v>7104</v>
      </c>
      <c r="E3092" t="s">
        <v>19</v>
      </c>
      <c r="F3092" t="s">
        <v>6897</v>
      </c>
      <c r="G3092" t="s">
        <v>6935</v>
      </c>
      <c r="H3092" t="str">
        <f>'Huong dan giao do an'!$B$14</f>
        <v>5 SV (vai trò chính): 1 PM/Scrum Master kiêm Integration; 2 BA/PO; 3 UI-UX + Frontend; 4 Backend/API + DevOps; 5 Database + QA/Tester. Mỗi SV có nhiệm vụ phụ và minh chứng cá nhân.</v>
      </c>
      <c r="I3092" t="s">
        <v>29</v>
      </c>
      <c r="J3092" t="s">
        <v>6904</v>
      </c>
      <c r="K3092" t="str">
        <f>IF(I3092="Trung bình",'Huong dan giao do an'!$B$8,IF(I3092="Khá",'Huong dan giao do an'!$B$9,'Huong dan giao do an'!$B$10))</f>
        <v>Tối thiểu 5 actor; 14-18 use case; 10-15 bảng; 4 quy trình; tích hợp ngoài/realtime hoặc xử lý nâng cao; 3 báo cáo; &gt;=45 test case; logging, backup và deploy.</v>
      </c>
      <c r="L3092" t="str">
        <f>'Huong dan giao do an'!$B$31</f>
        <v>Bắt buộc: Charter/PMP; SRS + scope/WBS; Gantt/baseline; effort-cost budget; RACI/timesheet; quality-test-defect; communication/minutes; risk register; procurement; change log; closure/lessons learned.</v>
      </c>
      <c r="M3092" t="str">
        <f>'Huong dan giao do an'!$B$33</f>
        <v>Tuần 1: 07.09–13.09.2026; Tuần 2: 14.09–20.09.2026; Tuần 3: 21.09–27.09.2026; Tuần 4: 28.09–04.10.2026; Tuần 5: 05.10–11.10.2026; Tuần 6: 12.10–18.10.2026; Tuần 7: 19.10–25.10.2026; Tuần 8: 26.10–01.11.2026.</v>
      </c>
      <c r="N30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2" s="17" t="str">
        <f t="shared" si="48"/>
        <v>Còn trống</v>
      </c>
    </row>
    <row r="3093" spans="1:16" x14ac:dyDescent="0.3">
      <c r="A3093">
        <v>3092</v>
      </c>
      <c r="B3093" t="s">
        <v>6894</v>
      </c>
      <c r="C3093" t="s">
        <v>7105</v>
      </c>
      <c r="D3093" t="s">
        <v>7106</v>
      </c>
      <c r="E3093" t="s">
        <v>26</v>
      </c>
      <c r="F3093" t="s">
        <v>6902</v>
      </c>
      <c r="G3093" t="s">
        <v>6938</v>
      </c>
      <c r="H3093" t="str">
        <f>'Huong dan giao do an'!$B$14</f>
        <v>5 SV (vai trò chính): 1 PM/Scrum Master kiêm Integration; 2 BA/PO; 3 UI-UX + Frontend; 4 Backend/API + DevOps; 5 Database + QA/Tester. Mỗi SV có nhiệm vụ phụ và minh chứng cá nhân.</v>
      </c>
      <c r="I3093" t="s">
        <v>36</v>
      </c>
      <c r="J3093" t="s">
        <v>6909</v>
      </c>
      <c r="K3093" t="str">
        <f>IF(I3093="Trung bình",'Huong dan giao do an'!$B$8,IF(I3093="Khá",'Huong dan giao do an'!$B$9,'Huong dan giao do an'!$B$10))</f>
        <v>Tối thiểu 3 actor; 8-10 use case; 6-8 bảng dữ liệu; 2 quy trình lõi; đăng nhập/RBAC; 1 dashboard; 1 báo cáo; &gt;=25 test case; triển khai bản demo.</v>
      </c>
      <c r="L3093" t="str">
        <f>'Huong dan giao do an'!$B$31</f>
        <v>Bắt buộc: Charter/PMP; SRS + scope/WBS; Gantt/baseline; effort-cost budget; RACI/timesheet; quality-test-defect; communication/minutes; risk register; procurement; change log; closure/lessons learned.</v>
      </c>
      <c r="M3093" t="str">
        <f>'Huong dan giao do an'!$B$33</f>
        <v>Tuần 1: 07.09–13.09.2026; Tuần 2: 14.09–20.09.2026; Tuần 3: 21.09–27.09.2026; Tuần 4: 28.09–04.10.2026; Tuần 5: 05.10–11.10.2026; Tuần 6: 12.10–18.10.2026; Tuần 7: 19.10–25.10.2026; Tuần 8: 26.10–01.11.2026.</v>
      </c>
      <c r="N30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3" s="17" t="str">
        <f t="shared" si="48"/>
        <v>Còn trống</v>
      </c>
    </row>
    <row r="3094" spans="1:16" x14ac:dyDescent="0.3">
      <c r="A3094">
        <v>3093</v>
      </c>
      <c r="B3094" t="s">
        <v>6894</v>
      </c>
      <c r="C3094" t="s">
        <v>7107</v>
      </c>
      <c r="D3094" t="s">
        <v>7108</v>
      </c>
      <c r="E3094" t="s">
        <v>33</v>
      </c>
      <c r="F3094" t="s">
        <v>6907</v>
      </c>
      <c r="G3094" t="s">
        <v>6941</v>
      </c>
      <c r="H3094" t="str">
        <f>'Huong dan giao do an'!$B$14</f>
        <v>5 SV (vai trò chính): 1 PM/Scrum Master kiêm Integration; 2 BA/PO; 3 UI-UX + Frontend; 4 Backend/API + DevOps; 5 Database + QA/Tester. Mỗi SV có nhiệm vụ phụ và minh chứng cá nhân.</v>
      </c>
      <c r="I3094" t="s">
        <v>22</v>
      </c>
      <c r="J3094" t="s">
        <v>6899</v>
      </c>
      <c r="K3094" t="str">
        <f>IF(I3094="Trung bình",'Huong dan giao do an'!$B$8,IF(I3094="Khá",'Huong dan giao do an'!$B$9,'Huong dan giao do an'!$B$10))</f>
        <v>Tối thiểu 4 actor; 10-14 use case; 8-12 bảng; 3 quy trình lõi; phân quyền chi tiết; 2 báo cáo; tích hợp 1 dịch vụ; &gt;=35 test case; CI/CD hoặc deploy cloud.</v>
      </c>
      <c r="L3094" t="str">
        <f>'Huong dan giao do an'!$B$31</f>
        <v>Bắt buộc: Charter/PMP; SRS + scope/WBS; Gantt/baseline; effort-cost budget; RACI/timesheet; quality-test-defect; communication/minutes; risk register; procurement; change log; closure/lessons learned.</v>
      </c>
      <c r="M3094" t="str">
        <f>'Huong dan giao do an'!$B$33</f>
        <v>Tuần 1: 07.09–13.09.2026; Tuần 2: 14.09–20.09.2026; Tuần 3: 21.09–27.09.2026; Tuần 4: 28.09–04.10.2026; Tuần 5: 05.10–11.10.2026; Tuần 6: 12.10–18.10.2026; Tuần 7: 19.10–25.10.2026; Tuần 8: 26.10–01.11.2026.</v>
      </c>
      <c r="N30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4" s="17" t="str">
        <f t="shared" si="48"/>
        <v>Còn trống</v>
      </c>
    </row>
    <row r="3095" spans="1:16" x14ac:dyDescent="0.3">
      <c r="A3095">
        <v>3094</v>
      </c>
      <c r="B3095" t="s">
        <v>6894</v>
      </c>
      <c r="C3095" t="s">
        <v>7109</v>
      </c>
      <c r="D3095" t="s">
        <v>7110</v>
      </c>
      <c r="E3095" t="s">
        <v>40</v>
      </c>
      <c r="F3095" t="s">
        <v>6912</v>
      </c>
      <c r="G3095" t="s">
        <v>6944</v>
      </c>
      <c r="H3095" t="str">
        <f>'Huong dan giao do an'!$B$14</f>
        <v>5 SV (vai trò chính): 1 PM/Scrum Master kiêm Integration; 2 BA/PO; 3 UI-UX + Frontend; 4 Backend/API + DevOps; 5 Database + QA/Tester. Mỗi SV có nhiệm vụ phụ và minh chứng cá nhân.</v>
      </c>
      <c r="I3095" t="s">
        <v>29</v>
      </c>
      <c r="J3095" t="s">
        <v>6904</v>
      </c>
      <c r="K3095" t="str">
        <f>IF(I3095="Trung bình",'Huong dan giao do an'!$B$8,IF(I3095="Khá",'Huong dan giao do an'!$B$9,'Huong dan giao do an'!$B$10))</f>
        <v>Tối thiểu 5 actor; 14-18 use case; 10-15 bảng; 4 quy trình; tích hợp ngoài/realtime hoặc xử lý nâng cao; 3 báo cáo; &gt;=45 test case; logging, backup và deploy.</v>
      </c>
      <c r="L3095" t="str">
        <f>'Huong dan giao do an'!$B$31</f>
        <v>Bắt buộc: Charter/PMP; SRS + scope/WBS; Gantt/baseline; effort-cost budget; RACI/timesheet; quality-test-defect; communication/minutes; risk register; procurement; change log; closure/lessons learned.</v>
      </c>
      <c r="M3095" t="str">
        <f>'Huong dan giao do an'!$B$33</f>
        <v>Tuần 1: 07.09–13.09.2026; Tuần 2: 14.09–20.09.2026; Tuần 3: 21.09–27.09.2026; Tuần 4: 28.09–04.10.2026; Tuần 5: 05.10–11.10.2026; Tuần 6: 12.10–18.10.2026; Tuần 7: 19.10–25.10.2026; Tuần 8: 26.10–01.11.2026.</v>
      </c>
      <c r="N30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5" s="17" t="str">
        <f t="shared" si="48"/>
        <v>Còn trống</v>
      </c>
    </row>
    <row r="3096" spans="1:16" x14ac:dyDescent="0.3">
      <c r="A3096">
        <v>3095</v>
      </c>
      <c r="B3096" t="s">
        <v>6894</v>
      </c>
      <c r="C3096" t="s">
        <v>7111</v>
      </c>
      <c r="D3096" t="s">
        <v>7112</v>
      </c>
      <c r="E3096" t="s">
        <v>45</v>
      </c>
      <c r="F3096" t="s">
        <v>6916</v>
      </c>
      <c r="G3096" t="s">
        <v>6947</v>
      </c>
      <c r="H3096" t="str">
        <f>'Huong dan giao do an'!$B$14</f>
        <v>5 SV (vai trò chính): 1 PM/Scrum Master kiêm Integration; 2 BA/PO; 3 UI-UX + Frontend; 4 Backend/API + DevOps; 5 Database + QA/Tester. Mỗi SV có nhiệm vụ phụ và minh chứng cá nhân.</v>
      </c>
      <c r="I3096" t="s">
        <v>36</v>
      </c>
      <c r="J3096" t="s">
        <v>6909</v>
      </c>
      <c r="K3096" t="str">
        <f>IF(I3096="Trung bình",'Huong dan giao do an'!$B$8,IF(I3096="Khá",'Huong dan giao do an'!$B$9,'Huong dan giao do an'!$B$10))</f>
        <v>Tối thiểu 3 actor; 8-10 use case; 6-8 bảng dữ liệu; 2 quy trình lõi; đăng nhập/RBAC; 1 dashboard; 1 báo cáo; &gt;=25 test case; triển khai bản demo.</v>
      </c>
      <c r="L3096" t="str">
        <f>'Huong dan giao do an'!$B$31</f>
        <v>Bắt buộc: Charter/PMP; SRS + scope/WBS; Gantt/baseline; effort-cost budget; RACI/timesheet; quality-test-defect; communication/minutes; risk register; procurement; change log; closure/lessons learned.</v>
      </c>
      <c r="M3096" t="str">
        <f>'Huong dan giao do an'!$B$33</f>
        <v>Tuần 1: 07.09–13.09.2026; Tuần 2: 14.09–20.09.2026; Tuần 3: 21.09–27.09.2026; Tuần 4: 28.09–04.10.2026; Tuần 5: 05.10–11.10.2026; Tuần 6: 12.10–18.10.2026; Tuần 7: 19.10–25.10.2026; Tuần 8: 26.10–01.11.2026.</v>
      </c>
      <c r="N30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6" s="17" t="str">
        <f t="shared" si="48"/>
        <v>Còn trống</v>
      </c>
    </row>
    <row r="3097" spans="1:16" x14ac:dyDescent="0.3">
      <c r="A3097">
        <v>3096</v>
      </c>
      <c r="B3097" t="s">
        <v>6894</v>
      </c>
      <c r="C3097" t="s">
        <v>7113</v>
      </c>
      <c r="D3097" t="s">
        <v>7114</v>
      </c>
      <c r="E3097" t="s">
        <v>19</v>
      </c>
      <c r="F3097" t="s">
        <v>6897</v>
      </c>
      <c r="G3097" t="s">
        <v>6950</v>
      </c>
      <c r="H3097" t="str">
        <f>'Huong dan giao do an'!$B$14</f>
        <v>5 SV (vai trò chính): 1 PM/Scrum Master kiêm Integration; 2 BA/PO; 3 UI-UX + Frontend; 4 Backend/API + DevOps; 5 Database + QA/Tester. Mỗi SV có nhiệm vụ phụ và minh chứng cá nhân.</v>
      </c>
      <c r="I3097" t="s">
        <v>22</v>
      </c>
      <c r="J3097" t="s">
        <v>6899</v>
      </c>
      <c r="K3097" t="str">
        <f>IF(I3097="Trung bình",'Huong dan giao do an'!$B$8,IF(I3097="Khá",'Huong dan giao do an'!$B$9,'Huong dan giao do an'!$B$10))</f>
        <v>Tối thiểu 4 actor; 10-14 use case; 8-12 bảng; 3 quy trình lõi; phân quyền chi tiết; 2 báo cáo; tích hợp 1 dịch vụ; &gt;=35 test case; CI/CD hoặc deploy cloud.</v>
      </c>
      <c r="L3097" t="str">
        <f>'Huong dan giao do an'!$B$31</f>
        <v>Bắt buộc: Charter/PMP; SRS + scope/WBS; Gantt/baseline; effort-cost budget; RACI/timesheet; quality-test-defect; communication/minutes; risk register; procurement; change log; closure/lessons learned.</v>
      </c>
      <c r="M3097" t="str">
        <f>'Huong dan giao do an'!$B$33</f>
        <v>Tuần 1: 07.09–13.09.2026; Tuần 2: 14.09–20.09.2026; Tuần 3: 21.09–27.09.2026; Tuần 4: 28.09–04.10.2026; Tuần 5: 05.10–11.10.2026; Tuần 6: 12.10–18.10.2026; Tuần 7: 19.10–25.10.2026; Tuần 8: 26.10–01.11.2026.</v>
      </c>
      <c r="N30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7" s="17" t="str">
        <f t="shared" si="48"/>
        <v>Còn trống</v>
      </c>
    </row>
    <row r="3098" spans="1:16" x14ac:dyDescent="0.3">
      <c r="A3098">
        <v>3097</v>
      </c>
      <c r="B3098" t="s">
        <v>6894</v>
      </c>
      <c r="C3098" t="s">
        <v>7115</v>
      </c>
      <c r="D3098" t="s">
        <v>7116</v>
      </c>
      <c r="E3098" t="s">
        <v>26</v>
      </c>
      <c r="F3098" t="s">
        <v>6902</v>
      </c>
      <c r="G3098" t="s">
        <v>6953</v>
      </c>
      <c r="H3098" t="str">
        <f>'Huong dan giao do an'!$B$14</f>
        <v>5 SV (vai trò chính): 1 PM/Scrum Master kiêm Integration; 2 BA/PO; 3 UI-UX + Frontend; 4 Backend/API + DevOps; 5 Database + QA/Tester. Mỗi SV có nhiệm vụ phụ và minh chứng cá nhân.</v>
      </c>
      <c r="I3098" t="s">
        <v>29</v>
      </c>
      <c r="J3098" t="s">
        <v>6904</v>
      </c>
      <c r="K3098" t="str">
        <f>IF(I3098="Trung bình",'Huong dan giao do an'!$B$8,IF(I3098="Khá",'Huong dan giao do an'!$B$9,'Huong dan giao do an'!$B$10))</f>
        <v>Tối thiểu 5 actor; 14-18 use case; 10-15 bảng; 4 quy trình; tích hợp ngoài/realtime hoặc xử lý nâng cao; 3 báo cáo; &gt;=45 test case; logging, backup và deploy.</v>
      </c>
      <c r="L3098" t="str">
        <f>'Huong dan giao do an'!$B$31</f>
        <v>Bắt buộc: Charter/PMP; SRS + scope/WBS; Gantt/baseline; effort-cost budget; RACI/timesheet; quality-test-defect; communication/minutes; risk register; procurement; change log; closure/lessons learned.</v>
      </c>
      <c r="M3098" t="str">
        <f>'Huong dan giao do an'!$B$33</f>
        <v>Tuần 1: 07.09–13.09.2026; Tuần 2: 14.09–20.09.2026; Tuần 3: 21.09–27.09.2026; Tuần 4: 28.09–04.10.2026; Tuần 5: 05.10–11.10.2026; Tuần 6: 12.10–18.10.2026; Tuần 7: 19.10–25.10.2026; Tuần 8: 26.10–01.11.2026.</v>
      </c>
      <c r="N30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8" s="17" t="str">
        <f t="shared" si="48"/>
        <v>Còn trống</v>
      </c>
    </row>
    <row r="3099" spans="1:16" x14ac:dyDescent="0.3">
      <c r="A3099">
        <v>3098</v>
      </c>
      <c r="B3099" t="s">
        <v>6894</v>
      </c>
      <c r="C3099" t="s">
        <v>7117</v>
      </c>
      <c r="D3099" t="s">
        <v>7118</v>
      </c>
      <c r="E3099" t="s">
        <v>33</v>
      </c>
      <c r="F3099" t="s">
        <v>6907</v>
      </c>
      <c r="G3099" t="s">
        <v>6956</v>
      </c>
      <c r="H3099" t="str">
        <f>'Huong dan giao do an'!$B$14</f>
        <v>5 SV (vai trò chính): 1 PM/Scrum Master kiêm Integration; 2 BA/PO; 3 UI-UX + Frontend; 4 Backend/API + DevOps; 5 Database + QA/Tester. Mỗi SV có nhiệm vụ phụ và minh chứng cá nhân.</v>
      </c>
      <c r="I3099" t="s">
        <v>36</v>
      </c>
      <c r="J3099" t="s">
        <v>6909</v>
      </c>
      <c r="K3099" t="str">
        <f>IF(I3099="Trung bình",'Huong dan giao do an'!$B$8,IF(I3099="Khá",'Huong dan giao do an'!$B$9,'Huong dan giao do an'!$B$10))</f>
        <v>Tối thiểu 3 actor; 8-10 use case; 6-8 bảng dữ liệu; 2 quy trình lõi; đăng nhập/RBAC; 1 dashboard; 1 báo cáo; &gt;=25 test case; triển khai bản demo.</v>
      </c>
      <c r="L3099" t="str">
        <f>'Huong dan giao do an'!$B$31</f>
        <v>Bắt buộc: Charter/PMP; SRS + scope/WBS; Gantt/baseline; effort-cost budget; RACI/timesheet; quality-test-defect; communication/minutes; risk register; procurement; change log; closure/lessons learned.</v>
      </c>
      <c r="M3099" t="str">
        <f>'Huong dan giao do an'!$B$33</f>
        <v>Tuần 1: 07.09–13.09.2026; Tuần 2: 14.09–20.09.2026; Tuần 3: 21.09–27.09.2026; Tuần 4: 28.09–04.10.2026; Tuần 5: 05.10–11.10.2026; Tuần 6: 12.10–18.10.2026; Tuần 7: 19.10–25.10.2026; Tuần 8: 26.10–01.11.2026.</v>
      </c>
      <c r="N30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099" s="17" t="str">
        <f t="shared" si="48"/>
        <v>Còn trống</v>
      </c>
    </row>
    <row r="3100" spans="1:16" x14ac:dyDescent="0.3">
      <c r="A3100">
        <v>3099</v>
      </c>
      <c r="B3100" t="s">
        <v>6894</v>
      </c>
      <c r="C3100" t="s">
        <v>7119</v>
      </c>
      <c r="D3100" t="s">
        <v>7120</v>
      </c>
      <c r="E3100" t="s">
        <v>40</v>
      </c>
      <c r="F3100" t="s">
        <v>6912</v>
      </c>
      <c r="G3100" t="s">
        <v>6959</v>
      </c>
      <c r="H3100" t="str">
        <f>'Huong dan giao do an'!$B$14</f>
        <v>5 SV (vai trò chính): 1 PM/Scrum Master kiêm Integration; 2 BA/PO; 3 UI-UX + Frontend; 4 Backend/API + DevOps; 5 Database + QA/Tester. Mỗi SV có nhiệm vụ phụ và minh chứng cá nhân.</v>
      </c>
      <c r="I3100" t="s">
        <v>22</v>
      </c>
      <c r="J3100" t="s">
        <v>6899</v>
      </c>
      <c r="K3100" t="str">
        <f>IF(I3100="Trung bình",'Huong dan giao do an'!$B$8,IF(I3100="Khá",'Huong dan giao do an'!$B$9,'Huong dan giao do an'!$B$10))</f>
        <v>Tối thiểu 4 actor; 10-14 use case; 8-12 bảng; 3 quy trình lõi; phân quyền chi tiết; 2 báo cáo; tích hợp 1 dịch vụ; &gt;=35 test case; CI/CD hoặc deploy cloud.</v>
      </c>
      <c r="L3100" t="str">
        <f>'Huong dan giao do an'!$B$31</f>
        <v>Bắt buộc: Charter/PMP; SRS + scope/WBS; Gantt/baseline; effort-cost budget; RACI/timesheet; quality-test-defect; communication/minutes; risk register; procurement; change log; closure/lessons learned.</v>
      </c>
      <c r="M3100" t="str">
        <f>'Huong dan giao do an'!$B$33</f>
        <v>Tuần 1: 07.09–13.09.2026; Tuần 2: 14.09–20.09.2026; Tuần 3: 21.09–27.09.2026; Tuần 4: 28.09–04.10.2026; Tuần 5: 05.10–11.10.2026; Tuần 6: 12.10–18.10.2026; Tuần 7: 19.10–25.10.2026; Tuần 8: 26.10–01.11.2026.</v>
      </c>
      <c r="N31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0" s="17" t="str">
        <f t="shared" si="48"/>
        <v>Còn trống</v>
      </c>
    </row>
    <row r="3101" spans="1:16" x14ac:dyDescent="0.3">
      <c r="A3101">
        <v>3100</v>
      </c>
      <c r="B3101" t="s">
        <v>6894</v>
      </c>
      <c r="C3101" t="s">
        <v>7121</v>
      </c>
      <c r="D3101" t="s">
        <v>7122</v>
      </c>
      <c r="E3101" t="s">
        <v>45</v>
      </c>
      <c r="F3101" t="s">
        <v>6916</v>
      </c>
      <c r="G3101" t="s">
        <v>6962</v>
      </c>
      <c r="H3101" t="str">
        <f>'Huong dan giao do an'!$B$14</f>
        <v>5 SV (vai trò chính): 1 PM/Scrum Master kiêm Integration; 2 BA/PO; 3 UI-UX + Frontend; 4 Backend/API + DevOps; 5 Database + QA/Tester. Mỗi SV có nhiệm vụ phụ và minh chứng cá nhân.</v>
      </c>
      <c r="I3101" t="s">
        <v>29</v>
      </c>
      <c r="J3101" t="s">
        <v>6904</v>
      </c>
      <c r="K3101" t="str">
        <f>IF(I3101="Trung bình",'Huong dan giao do an'!$B$8,IF(I3101="Khá",'Huong dan giao do an'!$B$9,'Huong dan giao do an'!$B$10))</f>
        <v>Tối thiểu 5 actor; 14-18 use case; 10-15 bảng; 4 quy trình; tích hợp ngoài/realtime hoặc xử lý nâng cao; 3 báo cáo; &gt;=45 test case; logging, backup và deploy.</v>
      </c>
      <c r="L3101" t="str">
        <f>'Huong dan giao do an'!$B$31</f>
        <v>Bắt buộc: Charter/PMP; SRS + scope/WBS; Gantt/baseline; effort-cost budget; RACI/timesheet; quality-test-defect; communication/minutes; risk register; procurement; change log; closure/lessons learned.</v>
      </c>
      <c r="M3101" t="str">
        <f>'Huong dan giao do an'!$B$33</f>
        <v>Tuần 1: 07.09–13.09.2026; Tuần 2: 14.09–20.09.2026; Tuần 3: 21.09–27.09.2026; Tuần 4: 28.09–04.10.2026; Tuần 5: 05.10–11.10.2026; Tuần 6: 12.10–18.10.2026; Tuần 7: 19.10–25.10.2026; Tuần 8: 26.10–01.11.2026.</v>
      </c>
      <c r="N31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1" s="17" t="str">
        <f t="shared" si="48"/>
        <v>Còn trống</v>
      </c>
    </row>
    <row r="3102" spans="1:16" x14ac:dyDescent="0.3">
      <c r="A3102">
        <v>3101</v>
      </c>
      <c r="B3102" t="s">
        <v>7123</v>
      </c>
      <c r="C3102" t="s">
        <v>7124</v>
      </c>
      <c r="D3102" t="s">
        <v>7125</v>
      </c>
      <c r="E3102" t="s">
        <v>26</v>
      </c>
      <c r="F3102" t="s">
        <v>7126</v>
      </c>
      <c r="G3102" t="s">
        <v>7127</v>
      </c>
      <c r="H3102" t="str">
        <f>'Huong dan giao do an'!$B$14</f>
        <v>5 SV (vai trò chính): 1 PM/Scrum Master kiêm Integration; 2 BA/PO; 3 UI-UX + Frontend; 4 Backend/API + DevOps; 5 Database + QA/Tester. Mỗi SV có nhiệm vụ phụ và minh chứng cá nhân.</v>
      </c>
      <c r="I3102" t="s">
        <v>22</v>
      </c>
      <c r="J3102" t="s">
        <v>7128</v>
      </c>
      <c r="K3102" t="str">
        <f>IF(I3102="Trung bình",'Huong dan giao do an'!$B$8,IF(I3102="Khá",'Huong dan giao do an'!$B$9,'Huong dan giao do an'!$B$10))</f>
        <v>Tối thiểu 4 actor; 10-14 use case; 8-12 bảng; 3 quy trình lõi; phân quyền chi tiết; 2 báo cáo; tích hợp 1 dịch vụ; &gt;=35 test case; CI/CD hoặc deploy cloud.</v>
      </c>
      <c r="L3102" t="str">
        <f>'Huong dan giao do an'!$B$31</f>
        <v>Bắt buộc: Charter/PMP; SRS + scope/WBS; Gantt/baseline; effort-cost budget; RACI/timesheet; quality-test-defect; communication/minutes; risk register; procurement; change log; closure/lessons learned.</v>
      </c>
      <c r="M3102" t="str">
        <f>'Huong dan giao do an'!$B$33</f>
        <v>Tuần 1: 07.09–13.09.2026; Tuần 2: 14.09–20.09.2026; Tuần 3: 21.09–27.09.2026; Tuần 4: 28.09–04.10.2026; Tuần 5: 05.10–11.10.2026; Tuần 6: 12.10–18.10.2026; Tuần 7: 19.10–25.10.2026; Tuần 8: 26.10–01.11.2026.</v>
      </c>
      <c r="N31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2" s="17" t="str">
        <f t="shared" si="48"/>
        <v>Còn trống</v>
      </c>
    </row>
    <row r="3103" spans="1:16" x14ac:dyDescent="0.3">
      <c r="A3103">
        <v>3102</v>
      </c>
      <c r="B3103" t="s">
        <v>7123</v>
      </c>
      <c r="C3103" t="s">
        <v>7129</v>
      </c>
      <c r="D3103" t="s">
        <v>7130</v>
      </c>
      <c r="E3103" t="s">
        <v>33</v>
      </c>
      <c r="F3103" t="s">
        <v>7131</v>
      </c>
      <c r="G3103" t="s">
        <v>7132</v>
      </c>
      <c r="H3103" t="str">
        <f>'Huong dan giao do an'!$B$14</f>
        <v>5 SV (vai trò chính): 1 PM/Scrum Master kiêm Integration; 2 BA/PO; 3 UI-UX + Frontend; 4 Backend/API + DevOps; 5 Database + QA/Tester. Mỗi SV có nhiệm vụ phụ và minh chứng cá nhân.</v>
      </c>
      <c r="I3103" t="s">
        <v>29</v>
      </c>
      <c r="J3103" t="s">
        <v>7133</v>
      </c>
      <c r="K3103" t="str">
        <f>IF(I3103="Trung bình",'Huong dan giao do an'!$B$8,IF(I3103="Khá",'Huong dan giao do an'!$B$9,'Huong dan giao do an'!$B$10))</f>
        <v>Tối thiểu 5 actor; 14-18 use case; 10-15 bảng; 4 quy trình; tích hợp ngoài/realtime hoặc xử lý nâng cao; 3 báo cáo; &gt;=45 test case; logging, backup và deploy.</v>
      </c>
      <c r="L3103" t="str">
        <f>'Huong dan giao do an'!$B$31</f>
        <v>Bắt buộc: Charter/PMP; SRS + scope/WBS; Gantt/baseline; effort-cost budget; RACI/timesheet; quality-test-defect; communication/minutes; risk register; procurement; change log; closure/lessons learned.</v>
      </c>
      <c r="M3103" t="str">
        <f>'Huong dan giao do an'!$B$33</f>
        <v>Tuần 1: 07.09–13.09.2026; Tuần 2: 14.09–20.09.2026; Tuần 3: 21.09–27.09.2026; Tuần 4: 28.09–04.10.2026; Tuần 5: 05.10–11.10.2026; Tuần 6: 12.10–18.10.2026; Tuần 7: 19.10–25.10.2026; Tuần 8: 26.10–01.11.2026.</v>
      </c>
      <c r="N31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3" s="17" t="str">
        <f t="shared" si="48"/>
        <v>Còn trống</v>
      </c>
    </row>
    <row r="3104" spans="1:16" x14ac:dyDescent="0.3">
      <c r="A3104">
        <v>3103</v>
      </c>
      <c r="B3104" t="s">
        <v>7123</v>
      </c>
      <c r="C3104" t="s">
        <v>7134</v>
      </c>
      <c r="D3104" t="s">
        <v>7135</v>
      </c>
      <c r="E3104" t="s">
        <v>40</v>
      </c>
      <c r="F3104" t="s">
        <v>7136</v>
      </c>
      <c r="G3104" t="s">
        <v>7137</v>
      </c>
      <c r="H3104" t="str">
        <f>'Huong dan giao do an'!$B$14</f>
        <v>5 SV (vai trò chính): 1 PM/Scrum Master kiêm Integration; 2 BA/PO; 3 UI-UX + Frontend; 4 Backend/API + DevOps; 5 Database + QA/Tester. Mỗi SV có nhiệm vụ phụ và minh chứng cá nhân.</v>
      </c>
      <c r="I3104" t="s">
        <v>36</v>
      </c>
      <c r="J3104" t="s">
        <v>7138</v>
      </c>
      <c r="K3104" t="str">
        <f>IF(I3104="Trung bình",'Huong dan giao do an'!$B$8,IF(I3104="Khá",'Huong dan giao do an'!$B$9,'Huong dan giao do an'!$B$10))</f>
        <v>Tối thiểu 3 actor; 8-10 use case; 6-8 bảng dữ liệu; 2 quy trình lõi; đăng nhập/RBAC; 1 dashboard; 1 báo cáo; &gt;=25 test case; triển khai bản demo.</v>
      </c>
      <c r="L3104" t="str">
        <f>'Huong dan giao do an'!$B$31</f>
        <v>Bắt buộc: Charter/PMP; SRS + scope/WBS; Gantt/baseline; effort-cost budget; RACI/timesheet; quality-test-defect; communication/minutes; risk register; procurement; change log; closure/lessons learned.</v>
      </c>
      <c r="M3104" t="str">
        <f>'Huong dan giao do an'!$B$33</f>
        <v>Tuần 1: 07.09–13.09.2026; Tuần 2: 14.09–20.09.2026; Tuần 3: 21.09–27.09.2026; Tuần 4: 28.09–04.10.2026; Tuần 5: 05.10–11.10.2026; Tuần 6: 12.10–18.10.2026; Tuần 7: 19.10–25.10.2026; Tuần 8: 26.10–01.11.2026.</v>
      </c>
      <c r="N31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4" s="17" t="str">
        <f t="shared" si="48"/>
        <v>Còn trống</v>
      </c>
    </row>
    <row r="3105" spans="1:16" x14ac:dyDescent="0.3">
      <c r="A3105">
        <v>3104</v>
      </c>
      <c r="B3105" t="s">
        <v>7123</v>
      </c>
      <c r="C3105" t="s">
        <v>7139</v>
      </c>
      <c r="D3105" t="s">
        <v>7140</v>
      </c>
      <c r="E3105" t="s">
        <v>45</v>
      </c>
      <c r="F3105" t="s">
        <v>7141</v>
      </c>
      <c r="G3105" t="s">
        <v>7142</v>
      </c>
      <c r="H3105" t="str">
        <f>'Huong dan giao do an'!$B$14</f>
        <v>5 SV (vai trò chính): 1 PM/Scrum Master kiêm Integration; 2 BA/PO; 3 UI-UX + Frontend; 4 Backend/API + DevOps; 5 Database + QA/Tester. Mỗi SV có nhiệm vụ phụ và minh chứng cá nhân.</v>
      </c>
      <c r="I3105" t="s">
        <v>22</v>
      </c>
      <c r="J3105" t="s">
        <v>7128</v>
      </c>
      <c r="K3105" t="str">
        <f>IF(I3105="Trung bình",'Huong dan giao do an'!$B$8,IF(I3105="Khá",'Huong dan giao do an'!$B$9,'Huong dan giao do an'!$B$10))</f>
        <v>Tối thiểu 4 actor; 10-14 use case; 8-12 bảng; 3 quy trình lõi; phân quyền chi tiết; 2 báo cáo; tích hợp 1 dịch vụ; &gt;=35 test case; CI/CD hoặc deploy cloud.</v>
      </c>
      <c r="L3105" t="str">
        <f>'Huong dan giao do an'!$B$31</f>
        <v>Bắt buộc: Charter/PMP; SRS + scope/WBS; Gantt/baseline; effort-cost budget; RACI/timesheet; quality-test-defect; communication/minutes; risk register; procurement; change log; closure/lessons learned.</v>
      </c>
      <c r="M3105" t="str">
        <f>'Huong dan giao do an'!$B$33</f>
        <v>Tuần 1: 07.09–13.09.2026; Tuần 2: 14.09–20.09.2026; Tuần 3: 21.09–27.09.2026; Tuần 4: 28.09–04.10.2026; Tuần 5: 05.10–11.10.2026; Tuần 6: 12.10–18.10.2026; Tuần 7: 19.10–25.10.2026; Tuần 8: 26.10–01.11.2026.</v>
      </c>
      <c r="N31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5" s="17" t="str">
        <f t="shared" si="48"/>
        <v>Còn trống</v>
      </c>
    </row>
    <row r="3106" spans="1:16" x14ac:dyDescent="0.3">
      <c r="A3106">
        <v>3105</v>
      </c>
      <c r="B3106" t="s">
        <v>7123</v>
      </c>
      <c r="C3106" t="s">
        <v>7143</v>
      </c>
      <c r="D3106" t="s">
        <v>7144</v>
      </c>
      <c r="E3106" t="s">
        <v>19</v>
      </c>
      <c r="F3106" t="s">
        <v>7145</v>
      </c>
      <c r="G3106" t="s">
        <v>7146</v>
      </c>
      <c r="H3106" t="str">
        <f>'Huong dan giao do an'!$B$14</f>
        <v>5 SV (vai trò chính): 1 PM/Scrum Master kiêm Integration; 2 BA/PO; 3 UI-UX + Frontend; 4 Backend/API + DevOps; 5 Database + QA/Tester. Mỗi SV có nhiệm vụ phụ và minh chứng cá nhân.</v>
      </c>
      <c r="I3106" t="s">
        <v>29</v>
      </c>
      <c r="J3106" t="s">
        <v>7133</v>
      </c>
      <c r="K3106" t="str">
        <f>IF(I3106="Trung bình",'Huong dan giao do an'!$B$8,IF(I3106="Khá",'Huong dan giao do an'!$B$9,'Huong dan giao do an'!$B$10))</f>
        <v>Tối thiểu 5 actor; 14-18 use case; 10-15 bảng; 4 quy trình; tích hợp ngoài/realtime hoặc xử lý nâng cao; 3 báo cáo; &gt;=45 test case; logging, backup và deploy.</v>
      </c>
      <c r="L3106" t="str">
        <f>'Huong dan giao do an'!$B$31</f>
        <v>Bắt buộc: Charter/PMP; SRS + scope/WBS; Gantt/baseline; effort-cost budget; RACI/timesheet; quality-test-defect; communication/minutes; risk register; procurement; change log; closure/lessons learned.</v>
      </c>
      <c r="M3106" t="str">
        <f>'Huong dan giao do an'!$B$33</f>
        <v>Tuần 1: 07.09–13.09.2026; Tuần 2: 14.09–20.09.2026; Tuần 3: 21.09–27.09.2026; Tuần 4: 28.09–04.10.2026; Tuần 5: 05.10–11.10.2026; Tuần 6: 12.10–18.10.2026; Tuần 7: 19.10–25.10.2026; Tuần 8: 26.10–01.11.2026.</v>
      </c>
      <c r="N31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6" s="17" t="str">
        <f t="shared" si="48"/>
        <v>Còn trống</v>
      </c>
    </row>
    <row r="3107" spans="1:16" x14ac:dyDescent="0.3">
      <c r="A3107">
        <v>3106</v>
      </c>
      <c r="B3107" t="s">
        <v>7123</v>
      </c>
      <c r="C3107" t="s">
        <v>7147</v>
      </c>
      <c r="D3107" t="s">
        <v>7148</v>
      </c>
      <c r="E3107" t="s">
        <v>26</v>
      </c>
      <c r="F3107" t="s">
        <v>7126</v>
      </c>
      <c r="G3107" t="s">
        <v>7149</v>
      </c>
      <c r="H3107" t="str">
        <f>'Huong dan giao do an'!$B$14</f>
        <v>5 SV (vai trò chính): 1 PM/Scrum Master kiêm Integration; 2 BA/PO; 3 UI-UX + Frontend; 4 Backend/API + DevOps; 5 Database + QA/Tester. Mỗi SV có nhiệm vụ phụ và minh chứng cá nhân.</v>
      </c>
      <c r="I3107" t="s">
        <v>36</v>
      </c>
      <c r="J3107" t="s">
        <v>7138</v>
      </c>
      <c r="K3107" t="str">
        <f>IF(I3107="Trung bình",'Huong dan giao do an'!$B$8,IF(I3107="Khá",'Huong dan giao do an'!$B$9,'Huong dan giao do an'!$B$10))</f>
        <v>Tối thiểu 3 actor; 8-10 use case; 6-8 bảng dữ liệu; 2 quy trình lõi; đăng nhập/RBAC; 1 dashboard; 1 báo cáo; &gt;=25 test case; triển khai bản demo.</v>
      </c>
      <c r="L3107" t="str">
        <f>'Huong dan giao do an'!$B$31</f>
        <v>Bắt buộc: Charter/PMP; SRS + scope/WBS; Gantt/baseline; effort-cost budget; RACI/timesheet; quality-test-defect; communication/minutes; risk register; procurement; change log; closure/lessons learned.</v>
      </c>
      <c r="M3107" t="str">
        <f>'Huong dan giao do an'!$B$33</f>
        <v>Tuần 1: 07.09–13.09.2026; Tuần 2: 14.09–20.09.2026; Tuần 3: 21.09–27.09.2026; Tuần 4: 28.09–04.10.2026; Tuần 5: 05.10–11.10.2026; Tuần 6: 12.10–18.10.2026; Tuần 7: 19.10–25.10.2026; Tuần 8: 26.10–01.11.2026.</v>
      </c>
      <c r="N31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7" s="17" t="str">
        <f t="shared" si="48"/>
        <v>Còn trống</v>
      </c>
    </row>
    <row r="3108" spans="1:16" x14ac:dyDescent="0.3">
      <c r="A3108">
        <v>3107</v>
      </c>
      <c r="B3108" t="s">
        <v>7123</v>
      </c>
      <c r="C3108" t="s">
        <v>7150</v>
      </c>
      <c r="D3108" t="s">
        <v>7151</v>
      </c>
      <c r="E3108" t="s">
        <v>33</v>
      </c>
      <c r="F3108" t="s">
        <v>7131</v>
      </c>
      <c r="G3108" t="s">
        <v>7152</v>
      </c>
      <c r="H3108" t="str">
        <f>'Huong dan giao do an'!$B$14</f>
        <v>5 SV (vai trò chính): 1 PM/Scrum Master kiêm Integration; 2 BA/PO; 3 UI-UX + Frontend; 4 Backend/API + DevOps; 5 Database + QA/Tester. Mỗi SV có nhiệm vụ phụ và minh chứng cá nhân.</v>
      </c>
      <c r="I3108" t="s">
        <v>22</v>
      </c>
      <c r="J3108" t="s">
        <v>7128</v>
      </c>
      <c r="K3108" t="str">
        <f>IF(I3108="Trung bình",'Huong dan giao do an'!$B$8,IF(I3108="Khá",'Huong dan giao do an'!$B$9,'Huong dan giao do an'!$B$10))</f>
        <v>Tối thiểu 4 actor; 10-14 use case; 8-12 bảng; 3 quy trình lõi; phân quyền chi tiết; 2 báo cáo; tích hợp 1 dịch vụ; &gt;=35 test case; CI/CD hoặc deploy cloud.</v>
      </c>
      <c r="L3108" t="str">
        <f>'Huong dan giao do an'!$B$31</f>
        <v>Bắt buộc: Charter/PMP; SRS + scope/WBS; Gantt/baseline; effort-cost budget; RACI/timesheet; quality-test-defect; communication/minutes; risk register; procurement; change log; closure/lessons learned.</v>
      </c>
      <c r="M3108" t="str">
        <f>'Huong dan giao do an'!$B$33</f>
        <v>Tuần 1: 07.09–13.09.2026; Tuần 2: 14.09–20.09.2026; Tuần 3: 21.09–27.09.2026; Tuần 4: 28.09–04.10.2026; Tuần 5: 05.10–11.10.2026; Tuần 6: 12.10–18.10.2026; Tuần 7: 19.10–25.10.2026; Tuần 8: 26.10–01.11.2026.</v>
      </c>
      <c r="N31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8" s="17" t="str">
        <f t="shared" si="48"/>
        <v>Còn trống</v>
      </c>
    </row>
    <row r="3109" spans="1:16" x14ac:dyDescent="0.3">
      <c r="A3109">
        <v>3108</v>
      </c>
      <c r="B3109" t="s">
        <v>7123</v>
      </c>
      <c r="C3109" t="s">
        <v>7153</v>
      </c>
      <c r="D3109" t="s">
        <v>7154</v>
      </c>
      <c r="E3109" t="s">
        <v>40</v>
      </c>
      <c r="F3109" t="s">
        <v>7136</v>
      </c>
      <c r="G3109" t="s">
        <v>7155</v>
      </c>
      <c r="H3109" t="str">
        <f>'Huong dan giao do an'!$B$14</f>
        <v>5 SV (vai trò chính): 1 PM/Scrum Master kiêm Integration; 2 BA/PO; 3 UI-UX + Frontend; 4 Backend/API + DevOps; 5 Database + QA/Tester. Mỗi SV có nhiệm vụ phụ và minh chứng cá nhân.</v>
      </c>
      <c r="I3109" t="s">
        <v>29</v>
      </c>
      <c r="J3109" t="s">
        <v>7133</v>
      </c>
      <c r="K3109" t="str">
        <f>IF(I3109="Trung bình",'Huong dan giao do an'!$B$8,IF(I3109="Khá",'Huong dan giao do an'!$B$9,'Huong dan giao do an'!$B$10))</f>
        <v>Tối thiểu 5 actor; 14-18 use case; 10-15 bảng; 4 quy trình; tích hợp ngoài/realtime hoặc xử lý nâng cao; 3 báo cáo; &gt;=45 test case; logging, backup và deploy.</v>
      </c>
      <c r="L3109" t="str">
        <f>'Huong dan giao do an'!$B$31</f>
        <v>Bắt buộc: Charter/PMP; SRS + scope/WBS; Gantt/baseline; effort-cost budget; RACI/timesheet; quality-test-defect; communication/minutes; risk register; procurement; change log; closure/lessons learned.</v>
      </c>
      <c r="M3109" t="str">
        <f>'Huong dan giao do an'!$B$33</f>
        <v>Tuần 1: 07.09–13.09.2026; Tuần 2: 14.09–20.09.2026; Tuần 3: 21.09–27.09.2026; Tuần 4: 28.09–04.10.2026; Tuần 5: 05.10–11.10.2026; Tuần 6: 12.10–18.10.2026; Tuần 7: 19.10–25.10.2026; Tuần 8: 26.10–01.11.2026.</v>
      </c>
      <c r="N31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09" s="17" t="str">
        <f t="shared" si="48"/>
        <v>Còn trống</v>
      </c>
    </row>
    <row r="3110" spans="1:16" x14ac:dyDescent="0.3">
      <c r="A3110">
        <v>3109</v>
      </c>
      <c r="B3110" t="s">
        <v>7123</v>
      </c>
      <c r="C3110" t="s">
        <v>7156</v>
      </c>
      <c r="D3110" t="s">
        <v>7157</v>
      </c>
      <c r="E3110" t="s">
        <v>45</v>
      </c>
      <c r="F3110" t="s">
        <v>7141</v>
      </c>
      <c r="G3110" t="s">
        <v>7158</v>
      </c>
      <c r="H3110" t="str">
        <f>'Huong dan giao do an'!$B$14</f>
        <v>5 SV (vai trò chính): 1 PM/Scrum Master kiêm Integration; 2 BA/PO; 3 UI-UX + Frontend; 4 Backend/API + DevOps; 5 Database + QA/Tester. Mỗi SV có nhiệm vụ phụ và minh chứng cá nhân.</v>
      </c>
      <c r="I3110" t="s">
        <v>36</v>
      </c>
      <c r="J3110" t="s">
        <v>7138</v>
      </c>
      <c r="K3110" t="str">
        <f>IF(I3110="Trung bình",'Huong dan giao do an'!$B$8,IF(I3110="Khá",'Huong dan giao do an'!$B$9,'Huong dan giao do an'!$B$10))</f>
        <v>Tối thiểu 3 actor; 8-10 use case; 6-8 bảng dữ liệu; 2 quy trình lõi; đăng nhập/RBAC; 1 dashboard; 1 báo cáo; &gt;=25 test case; triển khai bản demo.</v>
      </c>
      <c r="L3110" t="str">
        <f>'Huong dan giao do an'!$B$31</f>
        <v>Bắt buộc: Charter/PMP; SRS + scope/WBS; Gantt/baseline; effort-cost budget; RACI/timesheet; quality-test-defect; communication/minutes; risk register; procurement; change log; closure/lessons learned.</v>
      </c>
      <c r="M3110" t="str">
        <f>'Huong dan giao do an'!$B$33</f>
        <v>Tuần 1: 07.09–13.09.2026; Tuần 2: 14.09–20.09.2026; Tuần 3: 21.09–27.09.2026; Tuần 4: 28.09–04.10.2026; Tuần 5: 05.10–11.10.2026; Tuần 6: 12.10–18.10.2026; Tuần 7: 19.10–25.10.2026; Tuần 8: 26.10–01.11.2026.</v>
      </c>
      <c r="N31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0" s="17" t="str">
        <f t="shared" si="48"/>
        <v>Còn trống</v>
      </c>
    </row>
    <row r="3111" spans="1:16" x14ac:dyDescent="0.3">
      <c r="A3111">
        <v>3110</v>
      </c>
      <c r="B3111" t="s">
        <v>7123</v>
      </c>
      <c r="C3111" t="s">
        <v>7159</v>
      </c>
      <c r="D3111" t="s">
        <v>7160</v>
      </c>
      <c r="E3111" t="s">
        <v>19</v>
      </c>
      <c r="F3111" t="s">
        <v>7145</v>
      </c>
      <c r="G3111" t="s">
        <v>7161</v>
      </c>
      <c r="H3111" t="str">
        <f>'Huong dan giao do an'!$B$14</f>
        <v>5 SV (vai trò chính): 1 PM/Scrum Master kiêm Integration; 2 BA/PO; 3 UI-UX + Frontend; 4 Backend/API + DevOps; 5 Database + QA/Tester. Mỗi SV có nhiệm vụ phụ và minh chứng cá nhân.</v>
      </c>
      <c r="I3111" t="s">
        <v>22</v>
      </c>
      <c r="J3111" t="s">
        <v>7128</v>
      </c>
      <c r="K3111" t="str">
        <f>IF(I3111="Trung bình",'Huong dan giao do an'!$B$8,IF(I3111="Khá",'Huong dan giao do an'!$B$9,'Huong dan giao do an'!$B$10))</f>
        <v>Tối thiểu 4 actor; 10-14 use case; 8-12 bảng; 3 quy trình lõi; phân quyền chi tiết; 2 báo cáo; tích hợp 1 dịch vụ; &gt;=35 test case; CI/CD hoặc deploy cloud.</v>
      </c>
      <c r="L3111" t="str">
        <f>'Huong dan giao do an'!$B$31</f>
        <v>Bắt buộc: Charter/PMP; SRS + scope/WBS; Gantt/baseline; effort-cost budget; RACI/timesheet; quality-test-defect; communication/minutes; risk register; procurement; change log; closure/lessons learned.</v>
      </c>
      <c r="M3111" t="str">
        <f>'Huong dan giao do an'!$B$33</f>
        <v>Tuần 1: 07.09–13.09.2026; Tuần 2: 14.09–20.09.2026; Tuần 3: 21.09–27.09.2026; Tuần 4: 28.09–04.10.2026; Tuần 5: 05.10–11.10.2026; Tuần 6: 12.10–18.10.2026; Tuần 7: 19.10–25.10.2026; Tuần 8: 26.10–01.11.2026.</v>
      </c>
      <c r="N31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1" s="17" t="str">
        <f t="shared" si="48"/>
        <v>Còn trống</v>
      </c>
    </row>
    <row r="3112" spans="1:16" x14ac:dyDescent="0.3">
      <c r="A3112">
        <v>3111</v>
      </c>
      <c r="B3112" t="s">
        <v>7123</v>
      </c>
      <c r="C3112" t="s">
        <v>7162</v>
      </c>
      <c r="D3112" t="s">
        <v>7163</v>
      </c>
      <c r="E3112" t="s">
        <v>26</v>
      </c>
      <c r="F3112" t="s">
        <v>7126</v>
      </c>
      <c r="G3112" t="s">
        <v>7164</v>
      </c>
      <c r="H3112" t="str">
        <f>'Huong dan giao do an'!$B$14</f>
        <v>5 SV (vai trò chính): 1 PM/Scrum Master kiêm Integration; 2 BA/PO; 3 UI-UX + Frontend; 4 Backend/API + DevOps; 5 Database + QA/Tester. Mỗi SV có nhiệm vụ phụ và minh chứng cá nhân.</v>
      </c>
      <c r="I3112" t="s">
        <v>29</v>
      </c>
      <c r="J3112" t="s">
        <v>7133</v>
      </c>
      <c r="K3112" t="str">
        <f>IF(I3112="Trung bình",'Huong dan giao do an'!$B$8,IF(I3112="Khá",'Huong dan giao do an'!$B$9,'Huong dan giao do an'!$B$10))</f>
        <v>Tối thiểu 5 actor; 14-18 use case; 10-15 bảng; 4 quy trình; tích hợp ngoài/realtime hoặc xử lý nâng cao; 3 báo cáo; &gt;=45 test case; logging, backup và deploy.</v>
      </c>
      <c r="L3112" t="str">
        <f>'Huong dan giao do an'!$B$31</f>
        <v>Bắt buộc: Charter/PMP; SRS + scope/WBS; Gantt/baseline; effort-cost budget; RACI/timesheet; quality-test-defect; communication/minutes; risk register; procurement; change log; closure/lessons learned.</v>
      </c>
      <c r="M3112" t="str">
        <f>'Huong dan giao do an'!$B$33</f>
        <v>Tuần 1: 07.09–13.09.2026; Tuần 2: 14.09–20.09.2026; Tuần 3: 21.09–27.09.2026; Tuần 4: 28.09–04.10.2026; Tuần 5: 05.10–11.10.2026; Tuần 6: 12.10–18.10.2026; Tuần 7: 19.10–25.10.2026; Tuần 8: 26.10–01.11.2026.</v>
      </c>
      <c r="N31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2" s="17" t="str">
        <f t="shared" si="48"/>
        <v>Còn trống</v>
      </c>
    </row>
    <row r="3113" spans="1:16" x14ac:dyDescent="0.3">
      <c r="A3113">
        <v>3112</v>
      </c>
      <c r="B3113" t="s">
        <v>7123</v>
      </c>
      <c r="C3113" t="s">
        <v>7165</v>
      </c>
      <c r="D3113" t="s">
        <v>7166</v>
      </c>
      <c r="E3113" t="s">
        <v>33</v>
      </c>
      <c r="F3113" t="s">
        <v>7131</v>
      </c>
      <c r="G3113" t="s">
        <v>7167</v>
      </c>
      <c r="H3113" t="str">
        <f>'Huong dan giao do an'!$B$14</f>
        <v>5 SV (vai trò chính): 1 PM/Scrum Master kiêm Integration; 2 BA/PO; 3 UI-UX + Frontend; 4 Backend/API + DevOps; 5 Database + QA/Tester. Mỗi SV có nhiệm vụ phụ và minh chứng cá nhân.</v>
      </c>
      <c r="I3113" t="s">
        <v>36</v>
      </c>
      <c r="J3113" t="s">
        <v>7138</v>
      </c>
      <c r="K3113" t="str">
        <f>IF(I3113="Trung bình",'Huong dan giao do an'!$B$8,IF(I3113="Khá",'Huong dan giao do an'!$B$9,'Huong dan giao do an'!$B$10))</f>
        <v>Tối thiểu 3 actor; 8-10 use case; 6-8 bảng dữ liệu; 2 quy trình lõi; đăng nhập/RBAC; 1 dashboard; 1 báo cáo; &gt;=25 test case; triển khai bản demo.</v>
      </c>
      <c r="L3113" t="str">
        <f>'Huong dan giao do an'!$B$31</f>
        <v>Bắt buộc: Charter/PMP; SRS + scope/WBS; Gantt/baseline; effort-cost budget; RACI/timesheet; quality-test-defect; communication/minutes; risk register; procurement; change log; closure/lessons learned.</v>
      </c>
      <c r="M3113" t="str">
        <f>'Huong dan giao do an'!$B$33</f>
        <v>Tuần 1: 07.09–13.09.2026; Tuần 2: 14.09–20.09.2026; Tuần 3: 21.09–27.09.2026; Tuần 4: 28.09–04.10.2026; Tuần 5: 05.10–11.10.2026; Tuần 6: 12.10–18.10.2026; Tuần 7: 19.10–25.10.2026; Tuần 8: 26.10–01.11.2026.</v>
      </c>
      <c r="N31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3" s="17" t="str">
        <f t="shared" si="48"/>
        <v>Còn trống</v>
      </c>
    </row>
    <row r="3114" spans="1:16" x14ac:dyDescent="0.3">
      <c r="A3114">
        <v>3113</v>
      </c>
      <c r="B3114" t="s">
        <v>7123</v>
      </c>
      <c r="C3114" t="s">
        <v>7168</v>
      </c>
      <c r="D3114" t="s">
        <v>7169</v>
      </c>
      <c r="E3114" t="s">
        <v>40</v>
      </c>
      <c r="F3114" t="s">
        <v>7136</v>
      </c>
      <c r="G3114" t="s">
        <v>7170</v>
      </c>
      <c r="H3114" t="str">
        <f>'Huong dan giao do an'!$B$14</f>
        <v>5 SV (vai trò chính): 1 PM/Scrum Master kiêm Integration; 2 BA/PO; 3 UI-UX + Frontend; 4 Backend/API + DevOps; 5 Database + QA/Tester. Mỗi SV có nhiệm vụ phụ và minh chứng cá nhân.</v>
      </c>
      <c r="I3114" t="s">
        <v>22</v>
      </c>
      <c r="J3114" t="s">
        <v>7128</v>
      </c>
      <c r="K3114" t="str">
        <f>IF(I3114="Trung bình",'Huong dan giao do an'!$B$8,IF(I3114="Khá",'Huong dan giao do an'!$B$9,'Huong dan giao do an'!$B$10))</f>
        <v>Tối thiểu 4 actor; 10-14 use case; 8-12 bảng; 3 quy trình lõi; phân quyền chi tiết; 2 báo cáo; tích hợp 1 dịch vụ; &gt;=35 test case; CI/CD hoặc deploy cloud.</v>
      </c>
      <c r="L3114" t="str">
        <f>'Huong dan giao do an'!$B$31</f>
        <v>Bắt buộc: Charter/PMP; SRS + scope/WBS; Gantt/baseline; effort-cost budget; RACI/timesheet; quality-test-defect; communication/minutes; risk register; procurement; change log; closure/lessons learned.</v>
      </c>
      <c r="M3114" t="str">
        <f>'Huong dan giao do an'!$B$33</f>
        <v>Tuần 1: 07.09–13.09.2026; Tuần 2: 14.09–20.09.2026; Tuần 3: 21.09–27.09.2026; Tuần 4: 28.09–04.10.2026; Tuần 5: 05.10–11.10.2026; Tuần 6: 12.10–18.10.2026; Tuần 7: 19.10–25.10.2026; Tuần 8: 26.10–01.11.2026.</v>
      </c>
      <c r="N31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4" s="17" t="str">
        <f t="shared" si="48"/>
        <v>Còn trống</v>
      </c>
    </row>
    <row r="3115" spans="1:16" x14ac:dyDescent="0.3">
      <c r="A3115">
        <v>3114</v>
      </c>
      <c r="B3115" t="s">
        <v>7123</v>
      </c>
      <c r="C3115" t="s">
        <v>7171</v>
      </c>
      <c r="D3115" t="s">
        <v>7172</v>
      </c>
      <c r="E3115" t="s">
        <v>45</v>
      </c>
      <c r="F3115" t="s">
        <v>7141</v>
      </c>
      <c r="G3115" t="s">
        <v>7173</v>
      </c>
      <c r="H3115" t="str">
        <f>'Huong dan giao do an'!$B$14</f>
        <v>5 SV (vai trò chính): 1 PM/Scrum Master kiêm Integration; 2 BA/PO; 3 UI-UX + Frontend; 4 Backend/API + DevOps; 5 Database + QA/Tester. Mỗi SV có nhiệm vụ phụ và minh chứng cá nhân.</v>
      </c>
      <c r="I3115" t="s">
        <v>29</v>
      </c>
      <c r="J3115" t="s">
        <v>7133</v>
      </c>
      <c r="K3115" t="str">
        <f>IF(I3115="Trung bình",'Huong dan giao do an'!$B$8,IF(I3115="Khá",'Huong dan giao do an'!$B$9,'Huong dan giao do an'!$B$10))</f>
        <v>Tối thiểu 5 actor; 14-18 use case; 10-15 bảng; 4 quy trình; tích hợp ngoài/realtime hoặc xử lý nâng cao; 3 báo cáo; &gt;=45 test case; logging, backup và deploy.</v>
      </c>
      <c r="L3115" t="str">
        <f>'Huong dan giao do an'!$B$31</f>
        <v>Bắt buộc: Charter/PMP; SRS + scope/WBS; Gantt/baseline; effort-cost budget; RACI/timesheet; quality-test-defect; communication/minutes; risk register; procurement; change log; closure/lessons learned.</v>
      </c>
      <c r="M3115" t="str">
        <f>'Huong dan giao do an'!$B$33</f>
        <v>Tuần 1: 07.09–13.09.2026; Tuần 2: 14.09–20.09.2026; Tuần 3: 21.09–27.09.2026; Tuần 4: 28.09–04.10.2026; Tuần 5: 05.10–11.10.2026; Tuần 6: 12.10–18.10.2026; Tuần 7: 19.10–25.10.2026; Tuần 8: 26.10–01.11.2026.</v>
      </c>
      <c r="N31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5" s="17" t="str">
        <f t="shared" si="48"/>
        <v>Còn trống</v>
      </c>
    </row>
    <row r="3116" spans="1:16" x14ac:dyDescent="0.3">
      <c r="A3116">
        <v>3115</v>
      </c>
      <c r="B3116" t="s">
        <v>7123</v>
      </c>
      <c r="C3116" t="s">
        <v>7174</v>
      </c>
      <c r="D3116" t="s">
        <v>7175</v>
      </c>
      <c r="E3116" t="s">
        <v>19</v>
      </c>
      <c r="F3116" t="s">
        <v>7145</v>
      </c>
      <c r="G3116" t="s">
        <v>7176</v>
      </c>
      <c r="H3116" t="str">
        <f>'Huong dan giao do an'!$B$14</f>
        <v>5 SV (vai trò chính): 1 PM/Scrum Master kiêm Integration; 2 BA/PO; 3 UI-UX + Frontend; 4 Backend/API + DevOps; 5 Database + QA/Tester. Mỗi SV có nhiệm vụ phụ và minh chứng cá nhân.</v>
      </c>
      <c r="I3116" t="s">
        <v>36</v>
      </c>
      <c r="J3116" t="s">
        <v>7138</v>
      </c>
      <c r="K3116" t="str">
        <f>IF(I3116="Trung bình",'Huong dan giao do an'!$B$8,IF(I3116="Khá",'Huong dan giao do an'!$B$9,'Huong dan giao do an'!$B$10))</f>
        <v>Tối thiểu 3 actor; 8-10 use case; 6-8 bảng dữ liệu; 2 quy trình lõi; đăng nhập/RBAC; 1 dashboard; 1 báo cáo; &gt;=25 test case; triển khai bản demo.</v>
      </c>
      <c r="L3116" t="str">
        <f>'Huong dan giao do an'!$B$31</f>
        <v>Bắt buộc: Charter/PMP; SRS + scope/WBS; Gantt/baseline; effort-cost budget; RACI/timesheet; quality-test-defect; communication/minutes; risk register; procurement; change log; closure/lessons learned.</v>
      </c>
      <c r="M3116" t="str">
        <f>'Huong dan giao do an'!$B$33</f>
        <v>Tuần 1: 07.09–13.09.2026; Tuần 2: 14.09–20.09.2026; Tuần 3: 21.09–27.09.2026; Tuần 4: 28.09–04.10.2026; Tuần 5: 05.10–11.10.2026; Tuần 6: 12.10–18.10.2026; Tuần 7: 19.10–25.10.2026; Tuần 8: 26.10–01.11.2026.</v>
      </c>
      <c r="N31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6" s="17" t="str">
        <f t="shared" si="48"/>
        <v>Còn trống</v>
      </c>
    </row>
    <row r="3117" spans="1:16" x14ac:dyDescent="0.3">
      <c r="A3117">
        <v>3116</v>
      </c>
      <c r="B3117" t="s">
        <v>7123</v>
      </c>
      <c r="C3117" t="s">
        <v>7177</v>
      </c>
      <c r="D3117" t="s">
        <v>7178</v>
      </c>
      <c r="E3117" t="s">
        <v>26</v>
      </c>
      <c r="F3117" t="s">
        <v>7126</v>
      </c>
      <c r="G3117" t="s">
        <v>7179</v>
      </c>
      <c r="H3117" t="str">
        <f>'Huong dan giao do an'!$B$14</f>
        <v>5 SV (vai trò chính): 1 PM/Scrum Master kiêm Integration; 2 BA/PO; 3 UI-UX + Frontend; 4 Backend/API + DevOps; 5 Database + QA/Tester. Mỗi SV có nhiệm vụ phụ và minh chứng cá nhân.</v>
      </c>
      <c r="I3117" t="s">
        <v>22</v>
      </c>
      <c r="J3117" t="s">
        <v>7128</v>
      </c>
      <c r="K3117" t="str">
        <f>IF(I3117="Trung bình",'Huong dan giao do an'!$B$8,IF(I3117="Khá",'Huong dan giao do an'!$B$9,'Huong dan giao do an'!$B$10))</f>
        <v>Tối thiểu 4 actor; 10-14 use case; 8-12 bảng; 3 quy trình lõi; phân quyền chi tiết; 2 báo cáo; tích hợp 1 dịch vụ; &gt;=35 test case; CI/CD hoặc deploy cloud.</v>
      </c>
      <c r="L3117" t="str">
        <f>'Huong dan giao do an'!$B$31</f>
        <v>Bắt buộc: Charter/PMP; SRS + scope/WBS; Gantt/baseline; effort-cost budget; RACI/timesheet; quality-test-defect; communication/minutes; risk register; procurement; change log; closure/lessons learned.</v>
      </c>
      <c r="M3117" t="str">
        <f>'Huong dan giao do an'!$B$33</f>
        <v>Tuần 1: 07.09–13.09.2026; Tuần 2: 14.09–20.09.2026; Tuần 3: 21.09–27.09.2026; Tuần 4: 28.09–04.10.2026; Tuần 5: 05.10–11.10.2026; Tuần 6: 12.10–18.10.2026; Tuần 7: 19.10–25.10.2026; Tuần 8: 26.10–01.11.2026.</v>
      </c>
      <c r="N31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7" s="17" t="str">
        <f t="shared" si="48"/>
        <v>Còn trống</v>
      </c>
    </row>
    <row r="3118" spans="1:16" x14ac:dyDescent="0.3">
      <c r="A3118">
        <v>3117</v>
      </c>
      <c r="B3118" t="s">
        <v>7123</v>
      </c>
      <c r="C3118" t="s">
        <v>7180</v>
      </c>
      <c r="D3118" t="s">
        <v>7181</v>
      </c>
      <c r="E3118" t="s">
        <v>33</v>
      </c>
      <c r="F3118" t="s">
        <v>7131</v>
      </c>
      <c r="G3118" t="s">
        <v>7182</v>
      </c>
      <c r="H3118" t="str">
        <f>'Huong dan giao do an'!$B$14</f>
        <v>5 SV (vai trò chính): 1 PM/Scrum Master kiêm Integration; 2 BA/PO; 3 UI-UX + Frontend; 4 Backend/API + DevOps; 5 Database + QA/Tester. Mỗi SV có nhiệm vụ phụ và minh chứng cá nhân.</v>
      </c>
      <c r="I3118" t="s">
        <v>29</v>
      </c>
      <c r="J3118" t="s">
        <v>7133</v>
      </c>
      <c r="K3118" t="str">
        <f>IF(I3118="Trung bình",'Huong dan giao do an'!$B$8,IF(I3118="Khá",'Huong dan giao do an'!$B$9,'Huong dan giao do an'!$B$10))</f>
        <v>Tối thiểu 5 actor; 14-18 use case; 10-15 bảng; 4 quy trình; tích hợp ngoài/realtime hoặc xử lý nâng cao; 3 báo cáo; &gt;=45 test case; logging, backup và deploy.</v>
      </c>
      <c r="L3118" t="str">
        <f>'Huong dan giao do an'!$B$31</f>
        <v>Bắt buộc: Charter/PMP; SRS + scope/WBS; Gantt/baseline; effort-cost budget; RACI/timesheet; quality-test-defect; communication/minutes; risk register; procurement; change log; closure/lessons learned.</v>
      </c>
      <c r="M3118" t="str">
        <f>'Huong dan giao do an'!$B$33</f>
        <v>Tuần 1: 07.09–13.09.2026; Tuần 2: 14.09–20.09.2026; Tuần 3: 21.09–27.09.2026; Tuần 4: 28.09–04.10.2026; Tuần 5: 05.10–11.10.2026; Tuần 6: 12.10–18.10.2026; Tuần 7: 19.10–25.10.2026; Tuần 8: 26.10–01.11.2026.</v>
      </c>
      <c r="N31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8" s="17" t="str">
        <f t="shared" si="48"/>
        <v>Còn trống</v>
      </c>
    </row>
    <row r="3119" spans="1:16" x14ac:dyDescent="0.3">
      <c r="A3119">
        <v>3118</v>
      </c>
      <c r="B3119" t="s">
        <v>7123</v>
      </c>
      <c r="C3119" t="s">
        <v>7183</v>
      </c>
      <c r="D3119" t="s">
        <v>7184</v>
      </c>
      <c r="E3119" t="s">
        <v>40</v>
      </c>
      <c r="F3119" t="s">
        <v>7136</v>
      </c>
      <c r="G3119" t="s">
        <v>7185</v>
      </c>
      <c r="H3119" t="str">
        <f>'Huong dan giao do an'!$B$14</f>
        <v>5 SV (vai trò chính): 1 PM/Scrum Master kiêm Integration; 2 BA/PO; 3 UI-UX + Frontend; 4 Backend/API + DevOps; 5 Database + QA/Tester. Mỗi SV có nhiệm vụ phụ và minh chứng cá nhân.</v>
      </c>
      <c r="I3119" t="s">
        <v>36</v>
      </c>
      <c r="J3119" t="s">
        <v>7138</v>
      </c>
      <c r="K3119" t="str">
        <f>IF(I3119="Trung bình",'Huong dan giao do an'!$B$8,IF(I3119="Khá",'Huong dan giao do an'!$B$9,'Huong dan giao do an'!$B$10))</f>
        <v>Tối thiểu 3 actor; 8-10 use case; 6-8 bảng dữ liệu; 2 quy trình lõi; đăng nhập/RBAC; 1 dashboard; 1 báo cáo; &gt;=25 test case; triển khai bản demo.</v>
      </c>
      <c r="L3119" t="str">
        <f>'Huong dan giao do an'!$B$31</f>
        <v>Bắt buộc: Charter/PMP; SRS + scope/WBS; Gantt/baseline; effort-cost budget; RACI/timesheet; quality-test-defect; communication/minutes; risk register; procurement; change log; closure/lessons learned.</v>
      </c>
      <c r="M3119" t="str">
        <f>'Huong dan giao do an'!$B$33</f>
        <v>Tuần 1: 07.09–13.09.2026; Tuần 2: 14.09–20.09.2026; Tuần 3: 21.09–27.09.2026; Tuần 4: 28.09–04.10.2026; Tuần 5: 05.10–11.10.2026; Tuần 6: 12.10–18.10.2026; Tuần 7: 19.10–25.10.2026; Tuần 8: 26.10–01.11.2026.</v>
      </c>
      <c r="N31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19" s="17" t="str">
        <f t="shared" si="48"/>
        <v>Còn trống</v>
      </c>
    </row>
    <row r="3120" spans="1:16" x14ac:dyDescent="0.3">
      <c r="A3120">
        <v>3119</v>
      </c>
      <c r="B3120" t="s">
        <v>7123</v>
      </c>
      <c r="C3120" t="s">
        <v>7186</v>
      </c>
      <c r="D3120" t="s">
        <v>7187</v>
      </c>
      <c r="E3120" t="s">
        <v>45</v>
      </c>
      <c r="F3120" t="s">
        <v>7141</v>
      </c>
      <c r="G3120" t="s">
        <v>7188</v>
      </c>
      <c r="H3120" t="str">
        <f>'Huong dan giao do an'!$B$14</f>
        <v>5 SV (vai trò chính): 1 PM/Scrum Master kiêm Integration; 2 BA/PO; 3 UI-UX + Frontend; 4 Backend/API + DevOps; 5 Database + QA/Tester. Mỗi SV có nhiệm vụ phụ và minh chứng cá nhân.</v>
      </c>
      <c r="I3120" t="s">
        <v>22</v>
      </c>
      <c r="J3120" t="s">
        <v>7128</v>
      </c>
      <c r="K3120" t="str">
        <f>IF(I3120="Trung bình",'Huong dan giao do an'!$B$8,IF(I3120="Khá",'Huong dan giao do an'!$B$9,'Huong dan giao do an'!$B$10))</f>
        <v>Tối thiểu 4 actor; 10-14 use case; 8-12 bảng; 3 quy trình lõi; phân quyền chi tiết; 2 báo cáo; tích hợp 1 dịch vụ; &gt;=35 test case; CI/CD hoặc deploy cloud.</v>
      </c>
      <c r="L3120" t="str">
        <f>'Huong dan giao do an'!$B$31</f>
        <v>Bắt buộc: Charter/PMP; SRS + scope/WBS; Gantt/baseline; effort-cost budget; RACI/timesheet; quality-test-defect; communication/minutes; risk register; procurement; change log; closure/lessons learned.</v>
      </c>
      <c r="M3120" t="str">
        <f>'Huong dan giao do an'!$B$33</f>
        <v>Tuần 1: 07.09–13.09.2026; Tuần 2: 14.09–20.09.2026; Tuần 3: 21.09–27.09.2026; Tuần 4: 28.09–04.10.2026; Tuần 5: 05.10–11.10.2026; Tuần 6: 12.10–18.10.2026; Tuần 7: 19.10–25.10.2026; Tuần 8: 26.10–01.11.2026.</v>
      </c>
      <c r="N31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0" s="17" t="str">
        <f t="shared" si="48"/>
        <v>Còn trống</v>
      </c>
    </row>
    <row r="3121" spans="1:16" x14ac:dyDescent="0.3">
      <c r="A3121">
        <v>3120</v>
      </c>
      <c r="B3121" t="s">
        <v>7123</v>
      </c>
      <c r="C3121" t="s">
        <v>7189</v>
      </c>
      <c r="D3121" t="s">
        <v>7190</v>
      </c>
      <c r="E3121" t="s">
        <v>19</v>
      </c>
      <c r="F3121" t="s">
        <v>7145</v>
      </c>
      <c r="G3121" t="s">
        <v>7191</v>
      </c>
      <c r="H3121" t="str">
        <f>'Huong dan giao do an'!$B$14</f>
        <v>5 SV (vai trò chính): 1 PM/Scrum Master kiêm Integration; 2 BA/PO; 3 UI-UX + Frontend; 4 Backend/API + DevOps; 5 Database + QA/Tester. Mỗi SV có nhiệm vụ phụ và minh chứng cá nhân.</v>
      </c>
      <c r="I3121" t="s">
        <v>29</v>
      </c>
      <c r="J3121" t="s">
        <v>7133</v>
      </c>
      <c r="K3121" t="str">
        <f>IF(I3121="Trung bình",'Huong dan giao do an'!$B$8,IF(I3121="Khá",'Huong dan giao do an'!$B$9,'Huong dan giao do an'!$B$10))</f>
        <v>Tối thiểu 5 actor; 14-18 use case; 10-15 bảng; 4 quy trình; tích hợp ngoài/realtime hoặc xử lý nâng cao; 3 báo cáo; &gt;=45 test case; logging, backup và deploy.</v>
      </c>
      <c r="L3121" t="str">
        <f>'Huong dan giao do an'!$B$31</f>
        <v>Bắt buộc: Charter/PMP; SRS + scope/WBS; Gantt/baseline; effort-cost budget; RACI/timesheet; quality-test-defect; communication/minutes; risk register; procurement; change log; closure/lessons learned.</v>
      </c>
      <c r="M3121" t="str">
        <f>'Huong dan giao do an'!$B$33</f>
        <v>Tuần 1: 07.09–13.09.2026; Tuần 2: 14.09–20.09.2026; Tuần 3: 21.09–27.09.2026; Tuần 4: 28.09–04.10.2026; Tuần 5: 05.10–11.10.2026; Tuần 6: 12.10–18.10.2026; Tuần 7: 19.10–25.10.2026; Tuần 8: 26.10–01.11.2026.</v>
      </c>
      <c r="N31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1" s="17" t="str">
        <f t="shared" si="48"/>
        <v>Còn trống</v>
      </c>
    </row>
    <row r="3122" spans="1:16" x14ac:dyDescent="0.3">
      <c r="A3122">
        <v>3121</v>
      </c>
      <c r="B3122" t="s">
        <v>7123</v>
      </c>
      <c r="C3122" t="s">
        <v>7192</v>
      </c>
      <c r="D3122" t="s">
        <v>7193</v>
      </c>
      <c r="E3122" t="s">
        <v>26</v>
      </c>
      <c r="F3122" t="s">
        <v>7126</v>
      </c>
      <c r="G3122" t="s">
        <v>7127</v>
      </c>
      <c r="H3122" t="str">
        <f>'Huong dan giao do an'!$B$14</f>
        <v>5 SV (vai trò chính): 1 PM/Scrum Master kiêm Integration; 2 BA/PO; 3 UI-UX + Frontend; 4 Backend/API + DevOps; 5 Database + QA/Tester. Mỗi SV có nhiệm vụ phụ và minh chứng cá nhân.</v>
      </c>
      <c r="I3122" t="s">
        <v>22</v>
      </c>
      <c r="J3122" t="s">
        <v>7128</v>
      </c>
      <c r="K3122" t="str">
        <f>IF(I3122="Trung bình",'Huong dan giao do an'!$B$8,IF(I3122="Khá",'Huong dan giao do an'!$B$9,'Huong dan giao do an'!$B$10))</f>
        <v>Tối thiểu 4 actor; 10-14 use case; 8-12 bảng; 3 quy trình lõi; phân quyền chi tiết; 2 báo cáo; tích hợp 1 dịch vụ; &gt;=35 test case; CI/CD hoặc deploy cloud.</v>
      </c>
      <c r="L3122" t="str">
        <f>'Huong dan giao do an'!$B$31</f>
        <v>Bắt buộc: Charter/PMP; SRS + scope/WBS; Gantt/baseline; effort-cost budget; RACI/timesheet; quality-test-defect; communication/minutes; risk register; procurement; change log; closure/lessons learned.</v>
      </c>
      <c r="M3122" t="str">
        <f>'Huong dan giao do an'!$B$33</f>
        <v>Tuần 1: 07.09–13.09.2026; Tuần 2: 14.09–20.09.2026; Tuần 3: 21.09–27.09.2026; Tuần 4: 28.09–04.10.2026; Tuần 5: 05.10–11.10.2026; Tuần 6: 12.10–18.10.2026; Tuần 7: 19.10–25.10.2026; Tuần 8: 26.10–01.11.2026.</v>
      </c>
      <c r="N31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2" s="17" t="str">
        <f t="shared" si="48"/>
        <v>Còn trống</v>
      </c>
    </row>
    <row r="3123" spans="1:16" x14ac:dyDescent="0.3">
      <c r="A3123">
        <v>3122</v>
      </c>
      <c r="B3123" t="s">
        <v>7123</v>
      </c>
      <c r="C3123" t="s">
        <v>7194</v>
      </c>
      <c r="D3123" t="s">
        <v>7195</v>
      </c>
      <c r="E3123" t="s">
        <v>33</v>
      </c>
      <c r="F3123" t="s">
        <v>7131</v>
      </c>
      <c r="G3123" t="s">
        <v>7132</v>
      </c>
      <c r="H3123" t="str">
        <f>'Huong dan giao do an'!$B$14</f>
        <v>5 SV (vai trò chính): 1 PM/Scrum Master kiêm Integration; 2 BA/PO; 3 UI-UX + Frontend; 4 Backend/API + DevOps; 5 Database + QA/Tester. Mỗi SV có nhiệm vụ phụ và minh chứng cá nhân.</v>
      </c>
      <c r="I3123" t="s">
        <v>29</v>
      </c>
      <c r="J3123" t="s">
        <v>7133</v>
      </c>
      <c r="K3123" t="str">
        <f>IF(I3123="Trung bình",'Huong dan giao do an'!$B$8,IF(I3123="Khá",'Huong dan giao do an'!$B$9,'Huong dan giao do an'!$B$10))</f>
        <v>Tối thiểu 5 actor; 14-18 use case; 10-15 bảng; 4 quy trình; tích hợp ngoài/realtime hoặc xử lý nâng cao; 3 báo cáo; &gt;=45 test case; logging, backup và deploy.</v>
      </c>
      <c r="L3123" t="str">
        <f>'Huong dan giao do an'!$B$31</f>
        <v>Bắt buộc: Charter/PMP; SRS + scope/WBS; Gantt/baseline; effort-cost budget; RACI/timesheet; quality-test-defect; communication/minutes; risk register; procurement; change log; closure/lessons learned.</v>
      </c>
      <c r="M3123" t="str">
        <f>'Huong dan giao do an'!$B$33</f>
        <v>Tuần 1: 07.09–13.09.2026; Tuần 2: 14.09–20.09.2026; Tuần 3: 21.09–27.09.2026; Tuần 4: 28.09–04.10.2026; Tuần 5: 05.10–11.10.2026; Tuần 6: 12.10–18.10.2026; Tuần 7: 19.10–25.10.2026; Tuần 8: 26.10–01.11.2026.</v>
      </c>
      <c r="N31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3" s="17" t="str">
        <f t="shared" si="48"/>
        <v>Còn trống</v>
      </c>
    </row>
    <row r="3124" spans="1:16" x14ac:dyDescent="0.3">
      <c r="A3124">
        <v>3123</v>
      </c>
      <c r="B3124" t="s">
        <v>7123</v>
      </c>
      <c r="C3124" t="s">
        <v>7196</v>
      </c>
      <c r="D3124" t="s">
        <v>7197</v>
      </c>
      <c r="E3124" t="s">
        <v>40</v>
      </c>
      <c r="F3124" t="s">
        <v>7136</v>
      </c>
      <c r="G3124" t="s">
        <v>7137</v>
      </c>
      <c r="H3124" t="str">
        <f>'Huong dan giao do an'!$B$14</f>
        <v>5 SV (vai trò chính): 1 PM/Scrum Master kiêm Integration; 2 BA/PO; 3 UI-UX + Frontend; 4 Backend/API + DevOps; 5 Database + QA/Tester. Mỗi SV có nhiệm vụ phụ và minh chứng cá nhân.</v>
      </c>
      <c r="I3124" t="s">
        <v>36</v>
      </c>
      <c r="J3124" t="s">
        <v>7138</v>
      </c>
      <c r="K3124" t="str">
        <f>IF(I3124="Trung bình",'Huong dan giao do an'!$B$8,IF(I3124="Khá",'Huong dan giao do an'!$B$9,'Huong dan giao do an'!$B$10))</f>
        <v>Tối thiểu 3 actor; 8-10 use case; 6-8 bảng dữ liệu; 2 quy trình lõi; đăng nhập/RBAC; 1 dashboard; 1 báo cáo; &gt;=25 test case; triển khai bản demo.</v>
      </c>
      <c r="L3124" t="str">
        <f>'Huong dan giao do an'!$B$31</f>
        <v>Bắt buộc: Charter/PMP; SRS + scope/WBS; Gantt/baseline; effort-cost budget; RACI/timesheet; quality-test-defect; communication/minutes; risk register; procurement; change log; closure/lessons learned.</v>
      </c>
      <c r="M3124" t="str">
        <f>'Huong dan giao do an'!$B$33</f>
        <v>Tuần 1: 07.09–13.09.2026; Tuần 2: 14.09–20.09.2026; Tuần 3: 21.09–27.09.2026; Tuần 4: 28.09–04.10.2026; Tuần 5: 05.10–11.10.2026; Tuần 6: 12.10–18.10.2026; Tuần 7: 19.10–25.10.2026; Tuần 8: 26.10–01.11.2026.</v>
      </c>
      <c r="N31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4" s="17" t="str">
        <f t="shared" si="48"/>
        <v>Còn trống</v>
      </c>
    </row>
    <row r="3125" spans="1:16" x14ac:dyDescent="0.3">
      <c r="A3125">
        <v>3124</v>
      </c>
      <c r="B3125" t="s">
        <v>7123</v>
      </c>
      <c r="C3125" t="s">
        <v>7198</v>
      </c>
      <c r="D3125" t="s">
        <v>7199</v>
      </c>
      <c r="E3125" t="s">
        <v>45</v>
      </c>
      <c r="F3125" t="s">
        <v>7141</v>
      </c>
      <c r="G3125" t="s">
        <v>7142</v>
      </c>
      <c r="H3125" t="str">
        <f>'Huong dan giao do an'!$B$14</f>
        <v>5 SV (vai trò chính): 1 PM/Scrum Master kiêm Integration; 2 BA/PO; 3 UI-UX + Frontend; 4 Backend/API + DevOps; 5 Database + QA/Tester. Mỗi SV có nhiệm vụ phụ và minh chứng cá nhân.</v>
      </c>
      <c r="I3125" t="s">
        <v>22</v>
      </c>
      <c r="J3125" t="s">
        <v>7128</v>
      </c>
      <c r="K3125" t="str">
        <f>IF(I3125="Trung bình",'Huong dan giao do an'!$B$8,IF(I3125="Khá",'Huong dan giao do an'!$B$9,'Huong dan giao do an'!$B$10))</f>
        <v>Tối thiểu 4 actor; 10-14 use case; 8-12 bảng; 3 quy trình lõi; phân quyền chi tiết; 2 báo cáo; tích hợp 1 dịch vụ; &gt;=35 test case; CI/CD hoặc deploy cloud.</v>
      </c>
      <c r="L3125" t="str">
        <f>'Huong dan giao do an'!$B$31</f>
        <v>Bắt buộc: Charter/PMP; SRS + scope/WBS; Gantt/baseline; effort-cost budget; RACI/timesheet; quality-test-defect; communication/minutes; risk register; procurement; change log; closure/lessons learned.</v>
      </c>
      <c r="M3125" t="str">
        <f>'Huong dan giao do an'!$B$33</f>
        <v>Tuần 1: 07.09–13.09.2026; Tuần 2: 14.09–20.09.2026; Tuần 3: 21.09–27.09.2026; Tuần 4: 28.09–04.10.2026; Tuần 5: 05.10–11.10.2026; Tuần 6: 12.10–18.10.2026; Tuần 7: 19.10–25.10.2026; Tuần 8: 26.10–01.11.2026.</v>
      </c>
      <c r="N31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5" s="17" t="str">
        <f t="shared" si="48"/>
        <v>Còn trống</v>
      </c>
    </row>
    <row r="3126" spans="1:16" x14ac:dyDescent="0.3">
      <c r="A3126">
        <v>3125</v>
      </c>
      <c r="B3126" t="s">
        <v>7123</v>
      </c>
      <c r="C3126" t="s">
        <v>7200</v>
      </c>
      <c r="D3126" t="s">
        <v>7201</v>
      </c>
      <c r="E3126" t="s">
        <v>19</v>
      </c>
      <c r="F3126" t="s">
        <v>7145</v>
      </c>
      <c r="G3126" t="s">
        <v>7146</v>
      </c>
      <c r="H3126" t="str">
        <f>'Huong dan giao do an'!$B$14</f>
        <v>5 SV (vai trò chính): 1 PM/Scrum Master kiêm Integration; 2 BA/PO; 3 UI-UX + Frontend; 4 Backend/API + DevOps; 5 Database + QA/Tester. Mỗi SV có nhiệm vụ phụ và minh chứng cá nhân.</v>
      </c>
      <c r="I3126" t="s">
        <v>29</v>
      </c>
      <c r="J3126" t="s">
        <v>7133</v>
      </c>
      <c r="K3126" t="str">
        <f>IF(I3126="Trung bình",'Huong dan giao do an'!$B$8,IF(I3126="Khá",'Huong dan giao do an'!$B$9,'Huong dan giao do an'!$B$10))</f>
        <v>Tối thiểu 5 actor; 14-18 use case; 10-15 bảng; 4 quy trình; tích hợp ngoài/realtime hoặc xử lý nâng cao; 3 báo cáo; &gt;=45 test case; logging, backup và deploy.</v>
      </c>
      <c r="L3126" t="str">
        <f>'Huong dan giao do an'!$B$31</f>
        <v>Bắt buộc: Charter/PMP; SRS + scope/WBS; Gantt/baseline; effort-cost budget; RACI/timesheet; quality-test-defect; communication/minutes; risk register; procurement; change log; closure/lessons learned.</v>
      </c>
      <c r="M3126" t="str">
        <f>'Huong dan giao do an'!$B$33</f>
        <v>Tuần 1: 07.09–13.09.2026; Tuần 2: 14.09–20.09.2026; Tuần 3: 21.09–27.09.2026; Tuần 4: 28.09–04.10.2026; Tuần 5: 05.10–11.10.2026; Tuần 6: 12.10–18.10.2026; Tuần 7: 19.10–25.10.2026; Tuần 8: 26.10–01.11.2026.</v>
      </c>
      <c r="N31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6" s="17" t="str">
        <f t="shared" si="48"/>
        <v>Còn trống</v>
      </c>
    </row>
    <row r="3127" spans="1:16" x14ac:dyDescent="0.3">
      <c r="A3127">
        <v>3126</v>
      </c>
      <c r="B3127" t="s">
        <v>7123</v>
      </c>
      <c r="C3127" t="s">
        <v>7202</v>
      </c>
      <c r="D3127" t="s">
        <v>7203</v>
      </c>
      <c r="E3127" t="s">
        <v>26</v>
      </c>
      <c r="F3127" t="s">
        <v>7126</v>
      </c>
      <c r="G3127" t="s">
        <v>7149</v>
      </c>
      <c r="H3127" t="str">
        <f>'Huong dan giao do an'!$B$14</f>
        <v>5 SV (vai trò chính): 1 PM/Scrum Master kiêm Integration; 2 BA/PO; 3 UI-UX + Frontend; 4 Backend/API + DevOps; 5 Database + QA/Tester. Mỗi SV có nhiệm vụ phụ và minh chứng cá nhân.</v>
      </c>
      <c r="I3127" t="s">
        <v>36</v>
      </c>
      <c r="J3127" t="s">
        <v>7138</v>
      </c>
      <c r="K3127" t="str">
        <f>IF(I3127="Trung bình",'Huong dan giao do an'!$B$8,IF(I3127="Khá",'Huong dan giao do an'!$B$9,'Huong dan giao do an'!$B$10))</f>
        <v>Tối thiểu 3 actor; 8-10 use case; 6-8 bảng dữ liệu; 2 quy trình lõi; đăng nhập/RBAC; 1 dashboard; 1 báo cáo; &gt;=25 test case; triển khai bản demo.</v>
      </c>
      <c r="L3127" t="str">
        <f>'Huong dan giao do an'!$B$31</f>
        <v>Bắt buộc: Charter/PMP; SRS + scope/WBS; Gantt/baseline; effort-cost budget; RACI/timesheet; quality-test-defect; communication/minutes; risk register; procurement; change log; closure/lessons learned.</v>
      </c>
      <c r="M3127" t="str">
        <f>'Huong dan giao do an'!$B$33</f>
        <v>Tuần 1: 07.09–13.09.2026; Tuần 2: 14.09–20.09.2026; Tuần 3: 21.09–27.09.2026; Tuần 4: 28.09–04.10.2026; Tuần 5: 05.10–11.10.2026; Tuần 6: 12.10–18.10.2026; Tuần 7: 19.10–25.10.2026; Tuần 8: 26.10–01.11.2026.</v>
      </c>
      <c r="N31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7" s="17" t="str">
        <f t="shared" si="48"/>
        <v>Còn trống</v>
      </c>
    </row>
    <row r="3128" spans="1:16" x14ac:dyDescent="0.3">
      <c r="A3128">
        <v>3127</v>
      </c>
      <c r="B3128" t="s">
        <v>7123</v>
      </c>
      <c r="C3128" t="s">
        <v>7204</v>
      </c>
      <c r="D3128" t="s">
        <v>7205</v>
      </c>
      <c r="E3128" t="s">
        <v>33</v>
      </c>
      <c r="F3128" t="s">
        <v>7131</v>
      </c>
      <c r="G3128" t="s">
        <v>7152</v>
      </c>
      <c r="H3128" t="str">
        <f>'Huong dan giao do an'!$B$14</f>
        <v>5 SV (vai trò chính): 1 PM/Scrum Master kiêm Integration; 2 BA/PO; 3 UI-UX + Frontend; 4 Backend/API + DevOps; 5 Database + QA/Tester. Mỗi SV có nhiệm vụ phụ và minh chứng cá nhân.</v>
      </c>
      <c r="I3128" t="s">
        <v>22</v>
      </c>
      <c r="J3128" t="s">
        <v>7128</v>
      </c>
      <c r="K3128" t="str">
        <f>IF(I3128="Trung bình",'Huong dan giao do an'!$B$8,IF(I3128="Khá",'Huong dan giao do an'!$B$9,'Huong dan giao do an'!$B$10))</f>
        <v>Tối thiểu 4 actor; 10-14 use case; 8-12 bảng; 3 quy trình lõi; phân quyền chi tiết; 2 báo cáo; tích hợp 1 dịch vụ; &gt;=35 test case; CI/CD hoặc deploy cloud.</v>
      </c>
      <c r="L3128" t="str">
        <f>'Huong dan giao do an'!$B$31</f>
        <v>Bắt buộc: Charter/PMP; SRS + scope/WBS; Gantt/baseline; effort-cost budget; RACI/timesheet; quality-test-defect; communication/minutes; risk register; procurement; change log; closure/lessons learned.</v>
      </c>
      <c r="M3128" t="str">
        <f>'Huong dan giao do an'!$B$33</f>
        <v>Tuần 1: 07.09–13.09.2026; Tuần 2: 14.09–20.09.2026; Tuần 3: 21.09–27.09.2026; Tuần 4: 28.09–04.10.2026; Tuần 5: 05.10–11.10.2026; Tuần 6: 12.10–18.10.2026; Tuần 7: 19.10–25.10.2026; Tuần 8: 26.10–01.11.2026.</v>
      </c>
      <c r="N31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8" s="17" t="str">
        <f t="shared" si="48"/>
        <v>Còn trống</v>
      </c>
    </row>
    <row r="3129" spans="1:16" x14ac:dyDescent="0.3">
      <c r="A3129">
        <v>3128</v>
      </c>
      <c r="B3129" t="s">
        <v>7123</v>
      </c>
      <c r="C3129" t="s">
        <v>7206</v>
      </c>
      <c r="D3129" t="s">
        <v>7207</v>
      </c>
      <c r="E3129" t="s">
        <v>40</v>
      </c>
      <c r="F3129" t="s">
        <v>7136</v>
      </c>
      <c r="G3129" t="s">
        <v>7155</v>
      </c>
      <c r="H3129" t="str">
        <f>'Huong dan giao do an'!$B$14</f>
        <v>5 SV (vai trò chính): 1 PM/Scrum Master kiêm Integration; 2 BA/PO; 3 UI-UX + Frontend; 4 Backend/API + DevOps; 5 Database + QA/Tester. Mỗi SV có nhiệm vụ phụ và minh chứng cá nhân.</v>
      </c>
      <c r="I3129" t="s">
        <v>29</v>
      </c>
      <c r="J3129" t="s">
        <v>7133</v>
      </c>
      <c r="K3129" t="str">
        <f>IF(I3129="Trung bình",'Huong dan giao do an'!$B$8,IF(I3129="Khá",'Huong dan giao do an'!$B$9,'Huong dan giao do an'!$B$10))</f>
        <v>Tối thiểu 5 actor; 14-18 use case; 10-15 bảng; 4 quy trình; tích hợp ngoài/realtime hoặc xử lý nâng cao; 3 báo cáo; &gt;=45 test case; logging, backup và deploy.</v>
      </c>
      <c r="L3129" t="str">
        <f>'Huong dan giao do an'!$B$31</f>
        <v>Bắt buộc: Charter/PMP; SRS + scope/WBS; Gantt/baseline; effort-cost budget; RACI/timesheet; quality-test-defect; communication/minutes; risk register; procurement; change log; closure/lessons learned.</v>
      </c>
      <c r="M3129" t="str">
        <f>'Huong dan giao do an'!$B$33</f>
        <v>Tuần 1: 07.09–13.09.2026; Tuần 2: 14.09–20.09.2026; Tuần 3: 21.09–27.09.2026; Tuần 4: 28.09–04.10.2026; Tuần 5: 05.10–11.10.2026; Tuần 6: 12.10–18.10.2026; Tuần 7: 19.10–25.10.2026; Tuần 8: 26.10–01.11.2026.</v>
      </c>
      <c r="N31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29" s="17" t="str">
        <f t="shared" si="48"/>
        <v>Còn trống</v>
      </c>
    </row>
    <row r="3130" spans="1:16" x14ac:dyDescent="0.3">
      <c r="A3130">
        <v>3129</v>
      </c>
      <c r="B3130" t="s">
        <v>7123</v>
      </c>
      <c r="C3130" t="s">
        <v>7208</v>
      </c>
      <c r="D3130" t="s">
        <v>7209</v>
      </c>
      <c r="E3130" t="s">
        <v>45</v>
      </c>
      <c r="F3130" t="s">
        <v>7141</v>
      </c>
      <c r="G3130" t="s">
        <v>7158</v>
      </c>
      <c r="H3130" t="str">
        <f>'Huong dan giao do an'!$B$14</f>
        <v>5 SV (vai trò chính): 1 PM/Scrum Master kiêm Integration; 2 BA/PO; 3 UI-UX + Frontend; 4 Backend/API + DevOps; 5 Database + QA/Tester. Mỗi SV có nhiệm vụ phụ và minh chứng cá nhân.</v>
      </c>
      <c r="I3130" t="s">
        <v>36</v>
      </c>
      <c r="J3130" t="s">
        <v>7138</v>
      </c>
      <c r="K3130" t="str">
        <f>IF(I3130="Trung bình",'Huong dan giao do an'!$B$8,IF(I3130="Khá",'Huong dan giao do an'!$B$9,'Huong dan giao do an'!$B$10))</f>
        <v>Tối thiểu 3 actor; 8-10 use case; 6-8 bảng dữ liệu; 2 quy trình lõi; đăng nhập/RBAC; 1 dashboard; 1 báo cáo; &gt;=25 test case; triển khai bản demo.</v>
      </c>
      <c r="L3130" t="str">
        <f>'Huong dan giao do an'!$B$31</f>
        <v>Bắt buộc: Charter/PMP; SRS + scope/WBS; Gantt/baseline; effort-cost budget; RACI/timesheet; quality-test-defect; communication/minutes; risk register; procurement; change log; closure/lessons learned.</v>
      </c>
      <c r="M3130" t="str">
        <f>'Huong dan giao do an'!$B$33</f>
        <v>Tuần 1: 07.09–13.09.2026; Tuần 2: 14.09–20.09.2026; Tuần 3: 21.09–27.09.2026; Tuần 4: 28.09–04.10.2026; Tuần 5: 05.10–11.10.2026; Tuần 6: 12.10–18.10.2026; Tuần 7: 19.10–25.10.2026; Tuần 8: 26.10–01.11.2026.</v>
      </c>
      <c r="N31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0" s="17" t="str">
        <f t="shared" si="48"/>
        <v>Còn trống</v>
      </c>
    </row>
    <row r="3131" spans="1:16" x14ac:dyDescent="0.3">
      <c r="A3131">
        <v>3130</v>
      </c>
      <c r="B3131" t="s">
        <v>7123</v>
      </c>
      <c r="C3131" t="s">
        <v>7210</v>
      </c>
      <c r="D3131" t="s">
        <v>7211</v>
      </c>
      <c r="E3131" t="s">
        <v>19</v>
      </c>
      <c r="F3131" t="s">
        <v>7145</v>
      </c>
      <c r="G3131" t="s">
        <v>7161</v>
      </c>
      <c r="H3131" t="str">
        <f>'Huong dan giao do an'!$B$14</f>
        <v>5 SV (vai trò chính): 1 PM/Scrum Master kiêm Integration; 2 BA/PO; 3 UI-UX + Frontend; 4 Backend/API + DevOps; 5 Database + QA/Tester. Mỗi SV có nhiệm vụ phụ và minh chứng cá nhân.</v>
      </c>
      <c r="I3131" t="s">
        <v>22</v>
      </c>
      <c r="J3131" t="s">
        <v>7128</v>
      </c>
      <c r="K3131" t="str">
        <f>IF(I3131="Trung bình",'Huong dan giao do an'!$B$8,IF(I3131="Khá",'Huong dan giao do an'!$B$9,'Huong dan giao do an'!$B$10))</f>
        <v>Tối thiểu 4 actor; 10-14 use case; 8-12 bảng; 3 quy trình lõi; phân quyền chi tiết; 2 báo cáo; tích hợp 1 dịch vụ; &gt;=35 test case; CI/CD hoặc deploy cloud.</v>
      </c>
      <c r="L3131" t="str">
        <f>'Huong dan giao do an'!$B$31</f>
        <v>Bắt buộc: Charter/PMP; SRS + scope/WBS; Gantt/baseline; effort-cost budget; RACI/timesheet; quality-test-defect; communication/minutes; risk register; procurement; change log; closure/lessons learned.</v>
      </c>
      <c r="M3131" t="str">
        <f>'Huong dan giao do an'!$B$33</f>
        <v>Tuần 1: 07.09–13.09.2026; Tuần 2: 14.09–20.09.2026; Tuần 3: 21.09–27.09.2026; Tuần 4: 28.09–04.10.2026; Tuần 5: 05.10–11.10.2026; Tuần 6: 12.10–18.10.2026; Tuần 7: 19.10–25.10.2026; Tuần 8: 26.10–01.11.2026.</v>
      </c>
      <c r="N31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1" s="17" t="str">
        <f t="shared" si="48"/>
        <v>Còn trống</v>
      </c>
    </row>
    <row r="3132" spans="1:16" x14ac:dyDescent="0.3">
      <c r="A3132">
        <v>3131</v>
      </c>
      <c r="B3132" t="s">
        <v>7123</v>
      </c>
      <c r="C3132" t="s">
        <v>7212</v>
      </c>
      <c r="D3132" t="s">
        <v>7213</v>
      </c>
      <c r="E3132" t="s">
        <v>26</v>
      </c>
      <c r="F3132" t="s">
        <v>7126</v>
      </c>
      <c r="G3132" t="s">
        <v>7164</v>
      </c>
      <c r="H3132" t="str">
        <f>'Huong dan giao do an'!$B$14</f>
        <v>5 SV (vai trò chính): 1 PM/Scrum Master kiêm Integration; 2 BA/PO; 3 UI-UX + Frontend; 4 Backend/API + DevOps; 5 Database + QA/Tester. Mỗi SV có nhiệm vụ phụ và minh chứng cá nhân.</v>
      </c>
      <c r="I3132" t="s">
        <v>29</v>
      </c>
      <c r="J3132" t="s">
        <v>7133</v>
      </c>
      <c r="K3132" t="str">
        <f>IF(I3132="Trung bình",'Huong dan giao do an'!$B$8,IF(I3132="Khá",'Huong dan giao do an'!$B$9,'Huong dan giao do an'!$B$10))</f>
        <v>Tối thiểu 5 actor; 14-18 use case; 10-15 bảng; 4 quy trình; tích hợp ngoài/realtime hoặc xử lý nâng cao; 3 báo cáo; &gt;=45 test case; logging, backup và deploy.</v>
      </c>
      <c r="L3132" t="str">
        <f>'Huong dan giao do an'!$B$31</f>
        <v>Bắt buộc: Charter/PMP; SRS + scope/WBS; Gantt/baseline; effort-cost budget; RACI/timesheet; quality-test-defect; communication/minutes; risk register; procurement; change log; closure/lessons learned.</v>
      </c>
      <c r="M3132" t="str">
        <f>'Huong dan giao do an'!$B$33</f>
        <v>Tuần 1: 07.09–13.09.2026; Tuần 2: 14.09–20.09.2026; Tuần 3: 21.09–27.09.2026; Tuần 4: 28.09–04.10.2026; Tuần 5: 05.10–11.10.2026; Tuần 6: 12.10–18.10.2026; Tuần 7: 19.10–25.10.2026; Tuần 8: 26.10–01.11.2026.</v>
      </c>
      <c r="N31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2" s="17" t="str">
        <f t="shared" si="48"/>
        <v>Còn trống</v>
      </c>
    </row>
    <row r="3133" spans="1:16" x14ac:dyDescent="0.3">
      <c r="A3133">
        <v>3132</v>
      </c>
      <c r="B3133" t="s">
        <v>7123</v>
      </c>
      <c r="C3133" t="s">
        <v>7214</v>
      </c>
      <c r="D3133" t="s">
        <v>7215</v>
      </c>
      <c r="E3133" t="s">
        <v>33</v>
      </c>
      <c r="F3133" t="s">
        <v>7131</v>
      </c>
      <c r="G3133" t="s">
        <v>7167</v>
      </c>
      <c r="H3133" t="str">
        <f>'Huong dan giao do an'!$B$14</f>
        <v>5 SV (vai trò chính): 1 PM/Scrum Master kiêm Integration; 2 BA/PO; 3 UI-UX + Frontend; 4 Backend/API + DevOps; 5 Database + QA/Tester. Mỗi SV có nhiệm vụ phụ và minh chứng cá nhân.</v>
      </c>
      <c r="I3133" t="s">
        <v>36</v>
      </c>
      <c r="J3133" t="s">
        <v>7138</v>
      </c>
      <c r="K3133" t="str">
        <f>IF(I3133="Trung bình",'Huong dan giao do an'!$B$8,IF(I3133="Khá",'Huong dan giao do an'!$B$9,'Huong dan giao do an'!$B$10))</f>
        <v>Tối thiểu 3 actor; 8-10 use case; 6-8 bảng dữ liệu; 2 quy trình lõi; đăng nhập/RBAC; 1 dashboard; 1 báo cáo; &gt;=25 test case; triển khai bản demo.</v>
      </c>
      <c r="L3133" t="str">
        <f>'Huong dan giao do an'!$B$31</f>
        <v>Bắt buộc: Charter/PMP; SRS + scope/WBS; Gantt/baseline; effort-cost budget; RACI/timesheet; quality-test-defect; communication/minutes; risk register; procurement; change log; closure/lessons learned.</v>
      </c>
      <c r="M3133" t="str">
        <f>'Huong dan giao do an'!$B$33</f>
        <v>Tuần 1: 07.09–13.09.2026; Tuần 2: 14.09–20.09.2026; Tuần 3: 21.09–27.09.2026; Tuần 4: 28.09–04.10.2026; Tuần 5: 05.10–11.10.2026; Tuần 6: 12.10–18.10.2026; Tuần 7: 19.10–25.10.2026; Tuần 8: 26.10–01.11.2026.</v>
      </c>
      <c r="N31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3" s="17" t="str">
        <f t="shared" si="48"/>
        <v>Còn trống</v>
      </c>
    </row>
    <row r="3134" spans="1:16" x14ac:dyDescent="0.3">
      <c r="A3134">
        <v>3133</v>
      </c>
      <c r="B3134" t="s">
        <v>7123</v>
      </c>
      <c r="C3134" t="s">
        <v>7216</v>
      </c>
      <c r="D3134" t="s">
        <v>7217</v>
      </c>
      <c r="E3134" t="s">
        <v>40</v>
      </c>
      <c r="F3134" t="s">
        <v>7136</v>
      </c>
      <c r="G3134" t="s">
        <v>7170</v>
      </c>
      <c r="H3134" t="str">
        <f>'Huong dan giao do an'!$B$14</f>
        <v>5 SV (vai trò chính): 1 PM/Scrum Master kiêm Integration; 2 BA/PO; 3 UI-UX + Frontend; 4 Backend/API + DevOps; 5 Database + QA/Tester. Mỗi SV có nhiệm vụ phụ và minh chứng cá nhân.</v>
      </c>
      <c r="I3134" t="s">
        <v>22</v>
      </c>
      <c r="J3134" t="s">
        <v>7128</v>
      </c>
      <c r="K3134" t="str">
        <f>IF(I3134="Trung bình",'Huong dan giao do an'!$B$8,IF(I3134="Khá",'Huong dan giao do an'!$B$9,'Huong dan giao do an'!$B$10))</f>
        <v>Tối thiểu 4 actor; 10-14 use case; 8-12 bảng; 3 quy trình lõi; phân quyền chi tiết; 2 báo cáo; tích hợp 1 dịch vụ; &gt;=35 test case; CI/CD hoặc deploy cloud.</v>
      </c>
      <c r="L3134" t="str">
        <f>'Huong dan giao do an'!$B$31</f>
        <v>Bắt buộc: Charter/PMP; SRS + scope/WBS; Gantt/baseline; effort-cost budget; RACI/timesheet; quality-test-defect; communication/minutes; risk register; procurement; change log; closure/lessons learned.</v>
      </c>
      <c r="M3134" t="str">
        <f>'Huong dan giao do an'!$B$33</f>
        <v>Tuần 1: 07.09–13.09.2026; Tuần 2: 14.09–20.09.2026; Tuần 3: 21.09–27.09.2026; Tuần 4: 28.09–04.10.2026; Tuần 5: 05.10–11.10.2026; Tuần 6: 12.10–18.10.2026; Tuần 7: 19.10–25.10.2026; Tuần 8: 26.10–01.11.2026.</v>
      </c>
      <c r="N31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4" s="17" t="str">
        <f t="shared" si="48"/>
        <v>Còn trống</v>
      </c>
    </row>
    <row r="3135" spans="1:16" x14ac:dyDescent="0.3">
      <c r="A3135">
        <v>3134</v>
      </c>
      <c r="B3135" t="s">
        <v>7123</v>
      </c>
      <c r="C3135" t="s">
        <v>7218</v>
      </c>
      <c r="D3135" t="s">
        <v>7219</v>
      </c>
      <c r="E3135" t="s">
        <v>45</v>
      </c>
      <c r="F3135" t="s">
        <v>7141</v>
      </c>
      <c r="G3135" t="s">
        <v>7173</v>
      </c>
      <c r="H3135" t="str">
        <f>'Huong dan giao do an'!$B$14</f>
        <v>5 SV (vai trò chính): 1 PM/Scrum Master kiêm Integration; 2 BA/PO; 3 UI-UX + Frontend; 4 Backend/API + DevOps; 5 Database + QA/Tester. Mỗi SV có nhiệm vụ phụ và minh chứng cá nhân.</v>
      </c>
      <c r="I3135" t="s">
        <v>29</v>
      </c>
      <c r="J3135" t="s">
        <v>7133</v>
      </c>
      <c r="K3135" t="str">
        <f>IF(I3135="Trung bình",'Huong dan giao do an'!$B$8,IF(I3135="Khá",'Huong dan giao do an'!$B$9,'Huong dan giao do an'!$B$10))</f>
        <v>Tối thiểu 5 actor; 14-18 use case; 10-15 bảng; 4 quy trình; tích hợp ngoài/realtime hoặc xử lý nâng cao; 3 báo cáo; &gt;=45 test case; logging, backup và deploy.</v>
      </c>
      <c r="L3135" t="str">
        <f>'Huong dan giao do an'!$B$31</f>
        <v>Bắt buộc: Charter/PMP; SRS + scope/WBS; Gantt/baseline; effort-cost budget; RACI/timesheet; quality-test-defect; communication/minutes; risk register; procurement; change log; closure/lessons learned.</v>
      </c>
      <c r="M3135" t="str">
        <f>'Huong dan giao do an'!$B$33</f>
        <v>Tuần 1: 07.09–13.09.2026; Tuần 2: 14.09–20.09.2026; Tuần 3: 21.09–27.09.2026; Tuần 4: 28.09–04.10.2026; Tuần 5: 05.10–11.10.2026; Tuần 6: 12.10–18.10.2026; Tuần 7: 19.10–25.10.2026; Tuần 8: 26.10–01.11.2026.</v>
      </c>
      <c r="N31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5" s="17" t="str">
        <f t="shared" si="48"/>
        <v>Còn trống</v>
      </c>
    </row>
    <row r="3136" spans="1:16" x14ac:dyDescent="0.3">
      <c r="A3136">
        <v>3135</v>
      </c>
      <c r="B3136" t="s">
        <v>7123</v>
      </c>
      <c r="C3136" t="s">
        <v>7220</v>
      </c>
      <c r="D3136" t="s">
        <v>7221</v>
      </c>
      <c r="E3136" t="s">
        <v>19</v>
      </c>
      <c r="F3136" t="s">
        <v>7145</v>
      </c>
      <c r="G3136" t="s">
        <v>7176</v>
      </c>
      <c r="H3136" t="str">
        <f>'Huong dan giao do an'!$B$14</f>
        <v>5 SV (vai trò chính): 1 PM/Scrum Master kiêm Integration; 2 BA/PO; 3 UI-UX + Frontend; 4 Backend/API + DevOps; 5 Database + QA/Tester. Mỗi SV có nhiệm vụ phụ và minh chứng cá nhân.</v>
      </c>
      <c r="I3136" t="s">
        <v>36</v>
      </c>
      <c r="J3136" t="s">
        <v>7138</v>
      </c>
      <c r="K3136" t="str">
        <f>IF(I3136="Trung bình",'Huong dan giao do an'!$B$8,IF(I3136="Khá",'Huong dan giao do an'!$B$9,'Huong dan giao do an'!$B$10))</f>
        <v>Tối thiểu 3 actor; 8-10 use case; 6-8 bảng dữ liệu; 2 quy trình lõi; đăng nhập/RBAC; 1 dashboard; 1 báo cáo; &gt;=25 test case; triển khai bản demo.</v>
      </c>
      <c r="L3136" t="str">
        <f>'Huong dan giao do an'!$B$31</f>
        <v>Bắt buộc: Charter/PMP; SRS + scope/WBS; Gantt/baseline; effort-cost budget; RACI/timesheet; quality-test-defect; communication/minutes; risk register; procurement; change log; closure/lessons learned.</v>
      </c>
      <c r="M3136" t="str">
        <f>'Huong dan giao do an'!$B$33</f>
        <v>Tuần 1: 07.09–13.09.2026; Tuần 2: 14.09–20.09.2026; Tuần 3: 21.09–27.09.2026; Tuần 4: 28.09–04.10.2026; Tuần 5: 05.10–11.10.2026; Tuần 6: 12.10–18.10.2026; Tuần 7: 19.10–25.10.2026; Tuần 8: 26.10–01.11.2026.</v>
      </c>
      <c r="N31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6" s="17" t="str">
        <f t="shared" si="48"/>
        <v>Còn trống</v>
      </c>
    </row>
    <row r="3137" spans="1:16" x14ac:dyDescent="0.3">
      <c r="A3137">
        <v>3136</v>
      </c>
      <c r="B3137" t="s">
        <v>7123</v>
      </c>
      <c r="C3137" t="s">
        <v>7222</v>
      </c>
      <c r="D3137" t="s">
        <v>7223</v>
      </c>
      <c r="E3137" t="s">
        <v>26</v>
      </c>
      <c r="F3137" t="s">
        <v>7126</v>
      </c>
      <c r="G3137" t="s">
        <v>7179</v>
      </c>
      <c r="H3137" t="str">
        <f>'Huong dan giao do an'!$B$14</f>
        <v>5 SV (vai trò chính): 1 PM/Scrum Master kiêm Integration; 2 BA/PO; 3 UI-UX + Frontend; 4 Backend/API + DevOps; 5 Database + QA/Tester. Mỗi SV có nhiệm vụ phụ và minh chứng cá nhân.</v>
      </c>
      <c r="I3137" t="s">
        <v>22</v>
      </c>
      <c r="J3137" t="s">
        <v>7128</v>
      </c>
      <c r="K3137" t="str">
        <f>IF(I3137="Trung bình",'Huong dan giao do an'!$B$8,IF(I3137="Khá",'Huong dan giao do an'!$B$9,'Huong dan giao do an'!$B$10))</f>
        <v>Tối thiểu 4 actor; 10-14 use case; 8-12 bảng; 3 quy trình lõi; phân quyền chi tiết; 2 báo cáo; tích hợp 1 dịch vụ; &gt;=35 test case; CI/CD hoặc deploy cloud.</v>
      </c>
      <c r="L3137" t="str">
        <f>'Huong dan giao do an'!$B$31</f>
        <v>Bắt buộc: Charter/PMP; SRS + scope/WBS; Gantt/baseline; effort-cost budget; RACI/timesheet; quality-test-defect; communication/minutes; risk register; procurement; change log; closure/lessons learned.</v>
      </c>
      <c r="M3137" t="str">
        <f>'Huong dan giao do an'!$B$33</f>
        <v>Tuần 1: 07.09–13.09.2026; Tuần 2: 14.09–20.09.2026; Tuần 3: 21.09–27.09.2026; Tuần 4: 28.09–04.10.2026; Tuần 5: 05.10–11.10.2026; Tuần 6: 12.10–18.10.2026; Tuần 7: 19.10–25.10.2026; Tuần 8: 26.10–01.11.2026.</v>
      </c>
      <c r="N31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7" s="17" t="str">
        <f t="shared" si="48"/>
        <v>Còn trống</v>
      </c>
    </row>
    <row r="3138" spans="1:16" x14ac:dyDescent="0.3">
      <c r="A3138">
        <v>3137</v>
      </c>
      <c r="B3138" t="s">
        <v>7123</v>
      </c>
      <c r="C3138" t="s">
        <v>7224</v>
      </c>
      <c r="D3138" t="s">
        <v>7225</v>
      </c>
      <c r="E3138" t="s">
        <v>33</v>
      </c>
      <c r="F3138" t="s">
        <v>7131</v>
      </c>
      <c r="G3138" t="s">
        <v>7182</v>
      </c>
      <c r="H3138" t="str">
        <f>'Huong dan giao do an'!$B$14</f>
        <v>5 SV (vai trò chính): 1 PM/Scrum Master kiêm Integration; 2 BA/PO; 3 UI-UX + Frontend; 4 Backend/API + DevOps; 5 Database + QA/Tester. Mỗi SV có nhiệm vụ phụ và minh chứng cá nhân.</v>
      </c>
      <c r="I3138" t="s">
        <v>29</v>
      </c>
      <c r="J3138" t="s">
        <v>7133</v>
      </c>
      <c r="K3138" t="str">
        <f>IF(I3138="Trung bình",'Huong dan giao do an'!$B$8,IF(I3138="Khá",'Huong dan giao do an'!$B$9,'Huong dan giao do an'!$B$10))</f>
        <v>Tối thiểu 5 actor; 14-18 use case; 10-15 bảng; 4 quy trình; tích hợp ngoài/realtime hoặc xử lý nâng cao; 3 báo cáo; &gt;=45 test case; logging, backup và deploy.</v>
      </c>
      <c r="L3138" t="str">
        <f>'Huong dan giao do an'!$B$31</f>
        <v>Bắt buộc: Charter/PMP; SRS + scope/WBS; Gantt/baseline; effort-cost budget; RACI/timesheet; quality-test-defect; communication/minutes; risk register; procurement; change log; closure/lessons learned.</v>
      </c>
      <c r="M3138" t="str">
        <f>'Huong dan giao do an'!$B$33</f>
        <v>Tuần 1: 07.09–13.09.2026; Tuần 2: 14.09–20.09.2026; Tuần 3: 21.09–27.09.2026; Tuần 4: 28.09–04.10.2026; Tuần 5: 05.10–11.10.2026; Tuần 6: 12.10–18.10.2026; Tuần 7: 19.10–25.10.2026; Tuần 8: 26.10–01.11.2026.</v>
      </c>
      <c r="N31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8" s="17" t="str">
        <f t="shared" si="48"/>
        <v>Còn trống</v>
      </c>
    </row>
    <row r="3139" spans="1:16" x14ac:dyDescent="0.3">
      <c r="A3139">
        <v>3138</v>
      </c>
      <c r="B3139" t="s">
        <v>7123</v>
      </c>
      <c r="C3139" t="s">
        <v>7226</v>
      </c>
      <c r="D3139" t="s">
        <v>7227</v>
      </c>
      <c r="E3139" t="s">
        <v>40</v>
      </c>
      <c r="F3139" t="s">
        <v>7136</v>
      </c>
      <c r="G3139" t="s">
        <v>7185</v>
      </c>
      <c r="H3139" t="str">
        <f>'Huong dan giao do an'!$B$14</f>
        <v>5 SV (vai trò chính): 1 PM/Scrum Master kiêm Integration; 2 BA/PO; 3 UI-UX + Frontend; 4 Backend/API + DevOps; 5 Database + QA/Tester. Mỗi SV có nhiệm vụ phụ và minh chứng cá nhân.</v>
      </c>
      <c r="I3139" t="s">
        <v>36</v>
      </c>
      <c r="J3139" t="s">
        <v>7138</v>
      </c>
      <c r="K3139" t="str">
        <f>IF(I3139="Trung bình",'Huong dan giao do an'!$B$8,IF(I3139="Khá",'Huong dan giao do an'!$B$9,'Huong dan giao do an'!$B$10))</f>
        <v>Tối thiểu 3 actor; 8-10 use case; 6-8 bảng dữ liệu; 2 quy trình lõi; đăng nhập/RBAC; 1 dashboard; 1 báo cáo; &gt;=25 test case; triển khai bản demo.</v>
      </c>
      <c r="L3139" t="str">
        <f>'Huong dan giao do an'!$B$31</f>
        <v>Bắt buộc: Charter/PMP; SRS + scope/WBS; Gantt/baseline; effort-cost budget; RACI/timesheet; quality-test-defect; communication/minutes; risk register; procurement; change log; closure/lessons learned.</v>
      </c>
      <c r="M3139" t="str">
        <f>'Huong dan giao do an'!$B$33</f>
        <v>Tuần 1: 07.09–13.09.2026; Tuần 2: 14.09–20.09.2026; Tuần 3: 21.09–27.09.2026; Tuần 4: 28.09–04.10.2026; Tuần 5: 05.10–11.10.2026; Tuần 6: 12.10–18.10.2026; Tuần 7: 19.10–25.10.2026; Tuần 8: 26.10–01.11.2026.</v>
      </c>
      <c r="N31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39" s="17" t="str">
        <f t="shared" ref="P3139:P3202" si="49">IF(O3139="","Còn trống","Đã đăng ký")</f>
        <v>Còn trống</v>
      </c>
    </row>
    <row r="3140" spans="1:16" x14ac:dyDescent="0.3">
      <c r="A3140">
        <v>3139</v>
      </c>
      <c r="B3140" t="s">
        <v>7123</v>
      </c>
      <c r="C3140" t="s">
        <v>7228</v>
      </c>
      <c r="D3140" t="s">
        <v>7229</v>
      </c>
      <c r="E3140" t="s">
        <v>45</v>
      </c>
      <c r="F3140" t="s">
        <v>7141</v>
      </c>
      <c r="G3140" t="s">
        <v>7188</v>
      </c>
      <c r="H3140" t="str">
        <f>'Huong dan giao do an'!$B$14</f>
        <v>5 SV (vai trò chính): 1 PM/Scrum Master kiêm Integration; 2 BA/PO; 3 UI-UX + Frontend; 4 Backend/API + DevOps; 5 Database + QA/Tester. Mỗi SV có nhiệm vụ phụ và minh chứng cá nhân.</v>
      </c>
      <c r="I3140" t="s">
        <v>22</v>
      </c>
      <c r="J3140" t="s">
        <v>7128</v>
      </c>
      <c r="K3140" t="str">
        <f>IF(I3140="Trung bình",'Huong dan giao do an'!$B$8,IF(I3140="Khá",'Huong dan giao do an'!$B$9,'Huong dan giao do an'!$B$10))</f>
        <v>Tối thiểu 4 actor; 10-14 use case; 8-12 bảng; 3 quy trình lõi; phân quyền chi tiết; 2 báo cáo; tích hợp 1 dịch vụ; &gt;=35 test case; CI/CD hoặc deploy cloud.</v>
      </c>
      <c r="L3140" t="str">
        <f>'Huong dan giao do an'!$B$31</f>
        <v>Bắt buộc: Charter/PMP; SRS + scope/WBS; Gantt/baseline; effort-cost budget; RACI/timesheet; quality-test-defect; communication/minutes; risk register; procurement; change log; closure/lessons learned.</v>
      </c>
      <c r="M3140" t="str">
        <f>'Huong dan giao do an'!$B$33</f>
        <v>Tuần 1: 07.09–13.09.2026; Tuần 2: 14.09–20.09.2026; Tuần 3: 21.09–27.09.2026; Tuần 4: 28.09–04.10.2026; Tuần 5: 05.10–11.10.2026; Tuần 6: 12.10–18.10.2026; Tuần 7: 19.10–25.10.2026; Tuần 8: 26.10–01.11.2026.</v>
      </c>
      <c r="N31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0" s="17" t="str">
        <f t="shared" si="49"/>
        <v>Còn trống</v>
      </c>
    </row>
    <row r="3141" spans="1:16" x14ac:dyDescent="0.3">
      <c r="A3141">
        <v>3140</v>
      </c>
      <c r="B3141" t="s">
        <v>7123</v>
      </c>
      <c r="C3141" t="s">
        <v>7230</v>
      </c>
      <c r="D3141" t="s">
        <v>7231</v>
      </c>
      <c r="E3141" t="s">
        <v>19</v>
      </c>
      <c r="F3141" t="s">
        <v>7145</v>
      </c>
      <c r="G3141" t="s">
        <v>7191</v>
      </c>
      <c r="H3141" t="str">
        <f>'Huong dan giao do an'!$B$14</f>
        <v>5 SV (vai trò chính): 1 PM/Scrum Master kiêm Integration; 2 BA/PO; 3 UI-UX + Frontend; 4 Backend/API + DevOps; 5 Database + QA/Tester. Mỗi SV có nhiệm vụ phụ và minh chứng cá nhân.</v>
      </c>
      <c r="I3141" t="s">
        <v>29</v>
      </c>
      <c r="J3141" t="s">
        <v>7133</v>
      </c>
      <c r="K3141" t="str">
        <f>IF(I3141="Trung bình",'Huong dan giao do an'!$B$8,IF(I3141="Khá",'Huong dan giao do an'!$B$9,'Huong dan giao do an'!$B$10))</f>
        <v>Tối thiểu 5 actor; 14-18 use case; 10-15 bảng; 4 quy trình; tích hợp ngoài/realtime hoặc xử lý nâng cao; 3 báo cáo; &gt;=45 test case; logging, backup và deploy.</v>
      </c>
      <c r="L3141" t="str">
        <f>'Huong dan giao do an'!$B$31</f>
        <v>Bắt buộc: Charter/PMP; SRS + scope/WBS; Gantt/baseline; effort-cost budget; RACI/timesheet; quality-test-defect; communication/minutes; risk register; procurement; change log; closure/lessons learned.</v>
      </c>
      <c r="M3141" t="str">
        <f>'Huong dan giao do an'!$B$33</f>
        <v>Tuần 1: 07.09–13.09.2026; Tuần 2: 14.09–20.09.2026; Tuần 3: 21.09–27.09.2026; Tuần 4: 28.09–04.10.2026; Tuần 5: 05.10–11.10.2026; Tuần 6: 12.10–18.10.2026; Tuần 7: 19.10–25.10.2026; Tuần 8: 26.10–01.11.2026.</v>
      </c>
      <c r="N31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1" s="17" t="str">
        <f t="shared" si="49"/>
        <v>Còn trống</v>
      </c>
    </row>
    <row r="3142" spans="1:16" x14ac:dyDescent="0.3">
      <c r="A3142">
        <v>3141</v>
      </c>
      <c r="B3142" t="s">
        <v>7123</v>
      </c>
      <c r="C3142" t="s">
        <v>7232</v>
      </c>
      <c r="D3142" t="s">
        <v>7233</v>
      </c>
      <c r="E3142" t="s">
        <v>26</v>
      </c>
      <c r="F3142" t="s">
        <v>7126</v>
      </c>
      <c r="G3142" t="s">
        <v>7127</v>
      </c>
      <c r="H3142" t="str">
        <f>'Huong dan giao do an'!$B$14</f>
        <v>5 SV (vai trò chính): 1 PM/Scrum Master kiêm Integration; 2 BA/PO; 3 UI-UX + Frontend; 4 Backend/API + DevOps; 5 Database + QA/Tester. Mỗi SV có nhiệm vụ phụ và minh chứng cá nhân.</v>
      </c>
      <c r="I3142" t="s">
        <v>22</v>
      </c>
      <c r="J3142" t="s">
        <v>7128</v>
      </c>
      <c r="K3142" t="str">
        <f>IF(I3142="Trung bình",'Huong dan giao do an'!$B$8,IF(I3142="Khá",'Huong dan giao do an'!$B$9,'Huong dan giao do an'!$B$10))</f>
        <v>Tối thiểu 4 actor; 10-14 use case; 8-12 bảng; 3 quy trình lõi; phân quyền chi tiết; 2 báo cáo; tích hợp 1 dịch vụ; &gt;=35 test case; CI/CD hoặc deploy cloud.</v>
      </c>
      <c r="L3142" t="str">
        <f>'Huong dan giao do an'!$B$31</f>
        <v>Bắt buộc: Charter/PMP; SRS + scope/WBS; Gantt/baseline; effort-cost budget; RACI/timesheet; quality-test-defect; communication/minutes; risk register; procurement; change log; closure/lessons learned.</v>
      </c>
      <c r="M3142" t="str">
        <f>'Huong dan giao do an'!$B$33</f>
        <v>Tuần 1: 07.09–13.09.2026; Tuần 2: 14.09–20.09.2026; Tuần 3: 21.09–27.09.2026; Tuần 4: 28.09–04.10.2026; Tuần 5: 05.10–11.10.2026; Tuần 6: 12.10–18.10.2026; Tuần 7: 19.10–25.10.2026; Tuần 8: 26.10–01.11.2026.</v>
      </c>
      <c r="N31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2" s="17" t="str">
        <f t="shared" si="49"/>
        <v>Còn trống</v>
      </c>
    </row>
    <row r="3143" spans="1:16" x14ac:dyDescent="0.3">
      <c r="A3143">
        <v>3142</v>
      </c>
      <c r="B3143" t="s">
        <v>7123</v>
      </c>
      <c r="C3143" t="s">
        <v>7234</v>
      </c>
      <c r="D3143" t="s">
        <v>7235</v>
      </c>
      <c r="E3143" t="s">
        <v>33</v>
      </c>
      <c r="F3143" t="s">
        <v>7131</v>
      </c>
      <c r="G3143" t="s">
        <v>7132</v>
      </c>
      <c r="H3143" t="str">
        <f>'Huong dan giao do an'!$B$14</f>
        <v>5 SV (vai trò chính): 1 PM/Scrum Master kiêm Integration; 2 BA/PO; 3 UI-UX + Frontend; 4 Backend/API + DevOps; 5 Database + QA/Tester. Mỗi SV có nhiệm vụ phụ và minh chứng cá nhân.</v>
      </c>
      <c r="I3143" t="s">
        <v>29</v>
      </c>
      <c r="J3143" t="s">
        <v>7133</v>
      </c>
      <c r="K3143" t="str">
        <f>IF(I3143="Trung bình",'Huong dan giao do an'!$B$8,IF(I3143="Khá",'Huong dan giao do an'!$B$9,'Huong dan giao do an'!$B$10))</f>
        <v>Tối thiểu 5 actor; 14-18 use case; 10-15 bảng; 4 quy trình; tích hợp ngoài/realtime hoặc xử lý nâng cao; 3 báo cáo; &gt;=45 test case; logging, backup và deploy.</v>
      </c>
      <c r="L3143" t="str">
        <f>'Huong dan giao do an'!$B$31</f>
        <v>Bắt buộc: Charter/PMP; SRS + scope/WBS; Gantt/baseline; effort-cost budget; RACI/timesheet; quality-test-defect; communication/minutes; risk register; procurement; change log; closure/lessons learned.</v>
      </c>
      <c r="M3143" t="str">
        <f>'Huong dan giao do an'!$B$33</f>
        <v>Tuần 1: 07.09–13.09.2026; Tuần 2: 14.09–20.09.2026; Tuần 3: 21.09–27.09.2026; Tuần 4: 28.09–04.10.2026; Tuần 5: 05.10–11.10.2026; Tuần 6: 12.10–18.10.2026; Tuần 7: 19.10–25.10.2026; Tuần 8: 26.10–01.11.2026.</v>
      </c>
      <c r="N31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3" s="17" t="str">
        <f t="shared" si="49"/>
        <v>Còn trống</v>
      </c>
    </row>
    <row r="3144" spans="1:16" x14ac:dyDescent="0.3">
      <c r="A3144">
        <v>3143</v>
      </c>
      <c r="B3144" t="s">
        <v>7123</v>
      </c>
      <c r="C3144" t="s">
        <v>7236</v>
      </c>
      <c r="D3144" t="s">
        <v>7237</v>
      </c>
      <c r="E3144" t="s">
        <v>40</v>
      </c>
      <c r="F3144" t="s">
        <v>7136</v>
      </c>
      <c r="G3144" t="s">
        <v>7137</v>
      </c>
      <c r="H3144" t="str">
        <f>'Huong dan giao do an'!$B$14</f>
        <v>5 SV (vai trò chính): 1 PM/Scrum Master kiêm Integration; 2 BA/PO; 3 UI-UX + Frontend; 4 Backend/API + DevOps; 5 Database + QA/Tester. Mỗi SV có nhiệm vụ phụ và minh chứng cá nhân.</v>
      </c>
      <c r="I3144" t="s">
        <v>36</v>
      </c>
      <c r="J3144" t="s">
        <v>7138</v>
      </c>
      <c r="K3144" t="str">
        <f>IF(I3144="Trung bình",'Huong dan giao do an'!$B$8,IF(I3144="Khá",'Huong dan giao do an'!$B$9,'Huong dan giao do an'!$B$10))</f>
        <v>Tối thiểu 3 actor; 8-10 use case; 6-8 bảng dữ liệu; 2 quy trình lõi; đăng nhập/RBAC; 1 dashboard; 1 báo cáo; &gt;=25 test case; triển khai bản demo.</v>
      </c>
      <c r="L3144" t="str">
        <f>'Huong dan giao do an'!$B$31</f>
        <v>Bắt buộc: Charter/PMP; SRS + scope/WBS; Gantt/baseline; effort-cost budget; RACI/timesheet; quality-test-defect; communication/minutes; risk register; procurement; change log; closure/lessons learned.</v>
      </c>
      <c r="M3144" t="str">
        <f>'Huong dan giao do an'!$B$33</f>
        <v>Tuần 1: 07.09–13.09.2026; Tuần 2: 14.09–20.09.2026; Tuần 3: 21.09–27.09.2026; Tuần 4: 28.09–04.10.2026; Tuần 5: 05.10–11.10.2026; Tuần 6: 12.10–18.10.2026; Tuần 7: 19.10–25.10.2026; Tuần 8: 26.10–01.11.2026.</v>
      </c>
      <c r="N31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4" s="17" t="str">
        <f t="shared" si="49"/>
        <v>Còn trống</v>
      </c>
    </row>
    <row r="3145" spans="1:16" x14ac:dyDescent="0.3">
      <c r="A3145">
        <v>3144</v>
      </c>
      <c r="B3145" t="s">
        <v>7123</v>
      </c>
      <c r="C3145" t="s">
        <v>7238</v>
      </c>
      <c r="D3145" t="s">
        <v>7239</v>
      </c>
      <c r="E3145" t="s">
        <v>45</v>
      </c>
      <c r="F3145" t="s">
        <v>7141</v>
      </c>
      <c r="G3145" t="s">
        <v>7142</v>
      </c>
      <c r="H3145" t="str">
        <f>'Huong dan giao do an'!$B$14</f>
        <v>5 SV (vai trò chính): 1 PM/Scrum Master kiêm Integration; 2 BA/PO; 3 UI-UX + Frontend; 4 Backend/API + DevOps; 5 Database + QA/Tester. Mỗi SV có nhiệm vụ phụ và minh chứng cá nhân.</v>
      </c>
      <c r="I3145" t="s">
        <v>22</v>
      </c>
      <c r="J3145" t="s">
        <v>7128</v>
      </c>
      <c r="K3145" t="str">
        <f>IF(I3145="Trung bình",'Huong dan giao do an'!$B$8,IF(I3145="Khá",'Huong dan giao do an'!$B$9,'Huong dan giao do an'!$B$10))</f>
        <v>Tối thiểu 4 actor; 10-14 use case; 8-12 bảng; 3 quy trình lõi; phân quyền chi tiết; 2 báo cáo; tích hợp 1 dịch vụ; &gt;=35 test case; CI/CD hoặc deploy cloud.</v>
      </c>
      <c r="L3145" t="str">
        <f>'Huong dan giao do an'!$B$31</f>
        <v>Bắt buộc: Charter/PMP; SRS + scope/WBS; Gantt/baseline; effort-cost budget; RACI/timesheet; quality-test-defect; communication/minutes; risk register; procurement; change log; closure/lessons learned.</v>
      </c>
      <c r="M3145" t="str">
        <f>'Huong dan giao do an'!$B$33</f>
        <v>Tuần 1: 07.09–13.09.2026; Tuần 2: 14.09–20.09.2026; Tuần 3: 21.09–27.09.2026; Tuần 4: 28.09–04.10.2026; Tuần 5: 05.10–11.10.2026; Tuần 6: 12.10–18.10.2026; Tuần 7: 19.10–25.10.2026; Tuần 8: 26.10–01.11.2026.</v>
      </c>
      <c r="N31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5" s="17" t="str">
        <f t="shared" si="49"/>
        <v>Còn trống</v>
      </c>
    </row>
    <row r="3146" spans="1:16" x14ac:dyDescent="0.3">
      <c r="A3146">
        <v>3145</v>
      </c>
      <c r="B3146" t="s">
        <v>7123</v>
      </c>
      <c r="C3146" t="s">
        <v>7240</v>
      </c>
      <c r="D3146" t="s">
        <v>7241</v>
      </c>
      <c r="E3146" t="s">
        <v>19</v>
      </c>
      <c r="F3146" t="s">
        <v>7145</v>
      </c>
      <c r="G3146" t="s">
        <v>7146</v>
      </c>
      <c r="H3146" t="str">
        <f>'Huong dan giao do an'!$B$14</f>
        <v>5 SV (vai trò chính): 1 PM/Scrum Master kiêm Integration; 2 BA/PO; 3 UI-UX + Frontend; 4 Backend/API + DevOps; 5 Database + QA/Tester. Mỗi SV có nhiệm vụ phụ và minh chứng cá nhân.</v>
      </c>
      <c r="I3146" t="s">
        <v>29</v>
      </c>
      <c r="J3146" t="s">
        <v>7133</v>
      </c>
      <c r="K3146" t="str">
        <f>IF(I3146="Trung bình",'Huong dan giao do an'!$B$8,IF(I3146="Khá",'Huong dan giao do an'!$B$9,'Huong dan giao do an'!$B$10))</f>
        <v>Tối thiểu 5 actor; 14-18 use case; 10-15 bảng; 4 quy trình; tích hợp ngoài/realtime hoặc xử lý nâng cao; 3 báo cáo; &gt;=45 test case; logging, backup và deploy.</v>
      </c>
      <c r="L3146" t="str">
        <f>'Huong dan giao do an'!$B$31</f>
        <v>Bắt buộc: Charter/PMP; SRS + scope/WBS; Gantt/baseline; effort-cost budget; RACI/timesheet; quality-test-defect; communication/minutes; risk register; procurement; change log; closure/lessons learned.</v>
      </c>
      <c r="M3146" t="str">
        <f>'Huong dan giao do an'!$B$33</f>
        <v>Tuần 1: 07.09–13.09.2026; Tuần 2: 14.09–20.09.2026; Tuần 3: 21.09–27.09.2026; Tuần 4: 28.09–04.10.2026; Tuần 5: 05.10–11.10.2026; Tuần 6: 12.10–18.10.2026; Tuần 7: 19.10–25.10.2026; Tuần 8: 26.10–01.11.2026.</v>
      </c>
      <c r="N31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6" s="17" t="str">
        <f t="shared" si="49"/>
        <v>Còn trống</v>
      </c>
    </row>
    <row r="3147" spans="1:16" x14ac:dyDescent="0.3">
      <c r="A3147">
        <v>3146</v>
      </c>
      <c r="B3147" t="s">
        <v>7123</v>
      </c>
      <c r="C3147" t="s">
        <v>7242</v>
      </c>
      <c r="D3147" t="s">
        <v>7243</v>
      </c>
      <c r="E3147" t="s">
        <v>26</v>
      </c>
      <c r="F3147" t="s">
        <v>7126</v>
      </c>
      <c r="G3147" t="s">
        <v>7149</v>
      </c>
      <c r="H3147" t="str">
        <f>'Huong dan giao do an'!$B$14</f>
        <v>5 SV (vai trò chính): 1 PM/Scrum Master kiêm Integration; 2 BA/PO; 3 UI-UX + Frontend; 4 Backend/API + DevOps; 5 Database + QA/Tester. Mỗi SV có nhiệm vụ phụ và minh chứng cá nhân.</v>
      </c>
      <c r="I3147" t="s">
        <v>36</v>
      </c>
      <c r="J3147" t="s">
        <v>7138</v>
      </c>
      <c r="K3147" t="str">
        <f>IF(I3147="Trung bình",'Huong dan giao do an'!$B$8,IF(I3147="Khá",'Huong dan giao do an'!$B$9,'Huong dan giao do an'!$B$10))</f>
        <v>Tối thiểu 3 actor; 8-10 use case; 6-8 bảng dữ liệu; 2 quy trình lõi; đăng nhập/RBAC; 1 dashboard; 1 báo cáo; &gt;=25 test case; triển khai bản demo.</v>
      </c>
      <c r="L3147" t="str">
        <f>'Huong dan giao do an'!$B$31</f>
        <v>Bắt buộc: Charter/PMP; SRS + scope/WBS; Gantt/baseline; effort-cost budget; RACI/timesheet; quality-test-defect; communication/minutes; risk register; procurement; change log; closure/lessons learned.</v>
      </c>
      <c r="M3147" t="str">
        <f>'Huong dan giao do an'!$B$33</f>
        <v>Tuần 1: 07.09–13.09.2026; Tuần 2: 14.09–20.09.2026; Tuần 3: 21.09–27.09.2026; Tuần 4: 28.09–04.10.2026; Tuần 5: 05.10–11.10.2026; Tuần 6: 12.10–18.10.2026; Tuần 7: 19.10–25.10.2026; Tuần 8: 26.10–01.11.2026.</v>
      </c>
      <c r="N31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7" s="17" t="str">
        <f t="shared" si="49"/>
        <v>Còn trống</v>
      </c>
    </row>
    <row r="3148" spans="1:16" x14ac:dyDescent="0.3">
      <c r="A3148">
        <v>3147</v>
      </c>
      <c r="B3148" t="s">
        <v>7123</v>
      </c>
      <c r="C3148" t="s">
        <v>7244</v>
      </c>
      <c r="D3148" t="s">
        <v>7245</v>
      </c>
      <c r="E3148" t="s">
        <v>33</v>
      </c>
      <c r="F3148" t="s">
        <v>7131</v>
      </c>
      <c r="G3148" t="s">
        <v>7152</v>
      </c>
      <c r="H3148" t="str">
        <f>'Huong dan giao do an'!$B$14</f>
        <v>5 SV (vai trò chính): 1 PM/Scrum Master kiêm Integration; 2 BA/PO; 3 UI-UX + Frontend; 4 Backend/API + DevOps; 5 Database + QA/Tester. Mỗi SV có nhiệm vụ phụ và minh chứng cá nhân.</v>
      </c>
      <c r="I3148" t="s">
        <v>22</v>
      </c>
      <c r="J3148" t="s">
        <v>7128</v>
      </c>
      <c r="K3148" t="str">
        <f>IF(I3148="Trung bình",'Huong dan giao do an'!$B$8,IF(I3148="Khá",'Huong dan giao do an'!$B$9,'Huong dan giao do an'!$B$10))</f>
        <v>Tối thiểu 4 actor; 10-14 use case; 8-12 bảng; 3 quy trình lõi; phân quyền chi tiết; 2 báo cáo; tích hợp 1 dịch vụ; &gt;=35 test case; CI/CD hoặc deploy cloud.</v>
      </c>
      <c r="L3148" t="str">
        <f>'Huong dan giao do an'!$B$31</f>
        <v>Bắt buộc: Charter/PMP; SRS + scope/WBS; Gantt/baseline; effort-cost budget; RACI/timesheet; quality-test-defect; communication/minutes; risk register; procurement; change log; closure/lessons learned.</v>
      </c>
      <c r="M3148" t="str">
        <f>'Huong dan giao do an'!$B$33</f>
        <v>Tuần 1: 07.09–13.09.2026; Tuần 2: 14.09–20.09.2026; Tuần 3: 21.09–27.09.2026; Tuần 4: 28.09–04.10.2026; Tuần 5: 05.10–11.10.2026; Tuần 6: 12.10–18.10.2026; Tuần 7: 19.10–25.10.2026; Tuần 8: 26.10–01.11.2026.</v>
      </c>
      <c r="N31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8" s="17" t="str">
        <f t="shared" si="49"/>
        <v>Còn trống</v>
      </c>
    </row>
    <row r="3149" spans="1:16" x14ac:dyDescent="0.3">
      <c r="A3149">
        <v>3148</v>
      </c>
      <c r="B3149" t="s">
        <v>7123</v>
      </c>
      <c r="C3149" t="s">
        <v>7246</v>
      </c>
      <c r="D3149" t="s">
        <v>7247</v>
      </c>
      <c r="E3149" t="s">
        <v>40</v>
      </c>
      <c r="F3149" t="s">
        <v>7136</v>
      </c>
      <c r="G3149" t="s">
        <v>7155</v>
      </c>
      <c r="H3149" t="str">
        <f>'Huong dan giao do an'!$B$14</f>
        <v>5 SV (vai trò chính): 1 PM/Scrum Master kiêm Integration; 2 BA/PO; 3 UI-UX + Frontend; 4 Backend/API + DevOps; 5 Database + QA/Tester. Mỗi SV có nhiệm vụ phụ và minh chứng cá nhân.</v>
      </c>
      <c r="I3149" t="s">
        <v>29</v>
      </c>
      <c r="J3149" t="s">
        <v>7133</v>
      </c>
      <c r="K3149" t="str">
        <f>IF(I3149="Trung bình",'Huong dan giao do an'!$B$8,IF(I3149="Khá",'Huong dan giao do an'!$B$9,'Huong dan giao do an'!$B$10))</f>
        <v>Tối thiểu 5 actor; 14-18 use case; 10-15 bảng; 4 quy trình; tích hợp ngoài/realtime hoặc xử lý nâng cao; 3 báo cáo; &gt;=45 test case; logging, backup và deploy.</v>
      </c>
      <c r="L3149" t="str">
        <f>'Huong dan giao do an'!$B$31</f>
        <v>Bắt buộc: Charter/PMP; SRS + scope/WBS; Gantt/baseline; effort-cost budget; RACI/timesheet; quality-test-defect; communication/minutes; risk register; procurement; change log; closure/lessons learned.</v>
      </c>
      <c r="M3149" t="str">
        <f>'Huong dan giao do an'!$B$33</f>
        <v>Tuần 1: 07.09–13.09.2026; Tuần 2: 14.09–20.09.2026; Tuần 3: 21.09–27.09.2026; Tuần 4: 28.09–04.10.2026; Tuần 5: 05.10–11.10.2026; Tuần 6: 12.10–18.10.2026; Tuần 7: 19.10–25.10.2026; Tuần 8: 26.10–01.11.2026.</v>
      </c>
      <c r="N31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49" s="17" t="str">
        <f t="shared" si="49"/>
        <v>Còn trống</v>
      </c>
    </row>
    <row r="3150" spans="1:16" x14ac:dyDescent="0.3">
      <c r="A3150">
        <v>3149</v>
      </c>
      <c r="B3150" t="s">
        <v>7123</v>
      </c>
      <c r="C3150" t="s">
        <v>7248</v>
      </c>
      <c r="D3150" t="s">
        <v>7249</v>
      </c>
      <c r="E3150" t="s">
        <v>45</v>
      </c>
      <c r="F3150" t="s">
        <v>7141</v>
      </c>
      <c r="G3150" t="s">
        <v>7158</v>
      </c>
      <c r="H3150" t="str">
        <f>'Huong dan giao do an'!$B$14</f>
        <v>5 SV (vai trò chính): 1 PM/Scrum Master kiêm Integration; 2 BA/PO; 3 UI-UX + Frontend; 4 Backend/API + DevOps; 5 Database + QA/Tester. Mỗi SV có nhiệm vụ phụ và minh chứng cá nhân.</v>
      </c>
      <c r="I3150" t="s">
        <v>36</v>
      </c>
      <c r="J3150" t="s">
        <v>7138</v>
      </c>
      <c r="K3150" t="str">
        <f>IF(I3150="Trung bình",'Huong dan giao do an'!$B$8,IF(I3150="Khá",'Huong dan giao do an'!$B$9,'Huong dan giao do an'!$B$10))</f>
        <v>Tối thiểu 3 actor; 8-10 use case; 6-8 bảng dữ liệu; 2 quy trình lõi; đăng nhập/RBAC; 1 dashboard; 1 báo cáo; &gt;=25 test case; triển khai bản demo.</v>
      </c>
      <c r="L3150" t="str">
        <f>'Huong dan giao do an'!$B$31</f>
        <v>Bắt buộc: Charter/PMP; SRS + scope/WBS; Gantt/baseline; effort-cost budget; RACI/timesheet; quality-test-defect; communication/minutes; risk register; procurement; change log; closure/lessons learned.</v>
      </c>
      <c r="M3150" t="str">
        <f>'Huong dan giao do an'!$B$33</f>
        <v>Tuần 1: 07.09–13.09.2026; Tuần 2: 14.09–20.09.2026; Tuần 3: 21.09–27.09.2026; Tuần 4: 28.09–04.10.2026; Tuần 5: 05.10–11.10.2026; Tuần 6: 12.10–18.10.2026; Tuần 7: 19.10–25.10.2026; Tuần 8: 26.10–01.11.2026.</v>
      </c>
      <c r="N31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0" s="17" t="str">
        <f t="shared" si="49"/>
        <v>Còn trống</v>
      </c>
    </row>
    <row r="3151" spans="1:16" x14ac:dyDescent="0.3">
      <c r="A3151">
        <v>3150</v>
      </c>
      <c r="B3151" t="s">
        <v>7123</v>
      </c>
      <c r="C3151" t="s">
        <v>7250</v>
      </c>
      <c r="D3151" t="s">
        <v>7251</v>
      </c>
      <c r="E3151" t="s">
        <v>19</v>
      </c>
      <c r="F3151" t="s">
        <v>7145</v>
      </c>
      <c r="G3151" t="s">
        <v>7161</v>
      </c>
      <c r="H3151" t="str">
        <f>'Huong dan giao do an'!$B$14</f>
        <v>5 SV (vai trò chính): 1 PM/Scrum Master kiêm Integration; 2 BA/PO; 3 UI-UX + Frontend; 4 Backend/API + DevOps; 5 Database + QA/Tester. Mỗi SV có nhiệm vụ phụ và minh chứng cá nhân.</v>
      </c>
      <c r="I3151" t="s">
        <v>22</v>
      </c>
      <c r="J3151" t="s">
        <v>7128</v>
      </c>
      <c r="K3151" t="str">
        <f>IF(I3151="Trung bình",'Huong dan giao do an'!$B$8,IF(I3151="Khá",'Huong dan giao do an'!$B$9,'Huong dan giao do an'!$B$10))</f>
        <v>Tối thiểu 4 actor; 10-14 use case; 8-12 bảng; 3 quy trình lõi; phân quyền chi tiết; 2 báo cáo; tích hợp 1 dịch vụ; &gt;=35 test case; CI/CD hoặc deploy cloud.</v>
      </c>
      <c r="L3151" t="str">
        <f>'Huong dan giao do an'!$B$31</f>
        <v>Bắt buộc: Charter/PMP; SRS + scope/WBS; Gantt/baseline; effort-cost budget; RACI/timesheet; quality-test-defect; communication/minutes; risk register; procurement; change log; closure/lessons learned.</v>
      </c>
      <c r="M3151" t="str">
        <f>'Huong dan giao do an'!$B$33</f>
        <v>Tuần 1: 07.09–13.09.2026; Tuần 2: 14.09–20.09.2026; Tuần 3: 21.09–27.09.2026; Tuần 4: 28.09–04.10.2026; Tuần 5: 05.10–11.10.2026; Tuần 6: 12.10–18.10.2026; Tuần 7: 19.10–25.10.2026; Tuần 8: 26.10–01.11.2026.</v>
      </c>
      <c r="N31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1" s="17" t="str">
        <f t="shared" si="49"/>
        <v>Còn trống</v>
      </c>
    </row>
    <row r="3152" spans="1:16" x14ac:dyDescent="0.3">
      <c r="A3152">
        <v>3151</v>
      </c>
      <c r="B3152" t="s">
        <v>7123</v>
      </c>
      <c r="C3152" t="s">
        <v>7252</v>
      </c>
      <c r="D3152" t="s">
        <v>7253</v>
      </c>
      <c r="E3152" t="s">
        <v>26</v>
      </c>
      <c r="F3152" t="s">
        <v>7126</v>
      </c>
      <c r="G3152" t="s">
        <v>7164</v>
      </c>
      <c r="H3152" t="str">
        <f>'Huong dan giao do an'!$B$14</f>
        <v>5 SV (vai trò chính): 1 PM/Scrum Master kiêm Integration; 2 BA/PO; 3 UI-UX + Frontend; 4 Backend/API + DevOps; 5 Database + QA/Tester. Mỗi SV có nhiệm vụ phụ và minh chứng cá nhân.</v>
      </c>
      <c r="I3152" t="s">
        <v>29</v>
      </c>
      <c r="J3152" t="s">
        <v>7133</v>
      </c>
      <c r="K3152" t="str">
        <f>IF(I3152="Trung bình",'Huong dan giao do an'!$B$8,IF(I3152="Khá",'Huong dan giao do an'!$B$9,'Huong dan giao do an'!$B$10))</f>
        <v>Tối thiểu 5 actor; 14-18 use case; 10-15 bảng; 4 quy trình; tích hợp ngoài/realtime hoặc xử lý nâng cao; 3 báo cáo; &gt;=45 test case; logging, backup và deploy.</v>
      </c>
      <c r="L3152" t="str">
        <f>'Huong dan giao do an'!$B$31</f>
        <v>Bắt buộc: Charter/PMP; SRS + scope/WBS; Gantt/baseline; effort-cost budget; RACI/timesheet; quality-test-defect; communication/minutes; risk register; procurement; change log; closure/lessons learned.</v>
      </c>
      <c r="M3152" t="str">
        <f>'Huong dan giao do an'!$B$33</f>
        <v>Tuần 1: 07.09–13.09.2026; Tuần 2: 14.09–20.09.2026; Tuần 3: 21.09–27.09.2026; Tuần 4: 28.09–04.10.2026; Tuần 5: 05.10–11.10.2026; Tuần 6: 12.10–18.10.2026; Tuần 7: 19.10–25.10.2026; Tuần 8: 26.10–01.11.2026.</v>
      </c>
      <c r="N31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2" s="17" t="str">
        <f t="shared" si="49"/>
        <v>Còn trống</v>
      </c>
    </row>
    <row r="3153" spans="1:16" x14ac:dyDescent="0.3">
      <c r="A3153">
        <v>3152</v>
      </c>
      <c r="B3153" t="s">
        <v>7123</v>
      </c>
      <c r="C3153" t="s">
        <v>7254</v>
      </c>
      <c r="D3153" t="s">
        <v>7255</v>
      </c>
      <c r="E3153" t="s">
        <v>33</v>
      </c>
      <c r="F3153" t="s">
        <v>7131</v>
      </c>
      <c r="G3153" t="s">
        <v>7167</v>
      </c>
      <c r="H3153" t="str">
        <f>'Huong dan giao do an'!$B$14</f>
        <v>5 SV (vai trò chính): 1 PM/Scrum Master kiêm Integration; 2 BA/PO; 3 UI-UX + Frontend; 4 Backend/API + DevOps; 5 Database + QA/Tester. Mỗi SV có nhiệm vụ phụ và minh chứng cá nhân.</v>
      </c>
      <c r="I3153" t="s">
        <v>36</v>
      </c>
      <c r="J3153" t="s">
        <v>7138</v>
      </c>
      <c r="K3153" t="str">
        <f>IF(I3153="Trung bình",'Huong dan giao do an'!$B$8,IF(I3153="Khá",'Huong dan giao do an'!$B$9,'Huong dan giao do an'!$B$10))</f>
        <v>Tối thiểu 3 actor; 8-10 use case; 6-8 bảng dữ liệu; 2 quy trình lõi; đăng nhập/RBAC; 1 dashboard; 1 báo cáo; &gt;=25 test case; triển khai bản demo.</v>
      </c>
      <c r="L3153" t="str">
        <f>'Huong dan giao do an'!$B$31</f>
        <v>Bắt buộc: Charter/PMP; SRS + scope/WBS; Gantt/baseline; effort-cost budget; RACI/timesheet; quality-test-defect; communication/minutes; risk register; procurement; change log; closure/lessons learned.</v>
      </c>
      <c r="M3153" t="str">
        <f>'Huong dan giao do an'!$B$33</f>
        <v>Tuần 1: 07.09–13.09.2026; Tuần 2: 14.09–20.09.2026; Tuần 3: 21.09–27.09.2026; Tuần 4: 28.09–04.10.2026; Tuần 5: 05.10–11.10.2026; Tuần 6: 12.10–18.10.2026; Tuần 7: 19.10–25.10.2026; Tuần 8: 26.10–01.11.2026.</v>
      </c>
      <c r="N31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3" s="17" t="str">
        <f t="shared" si="49"/>
        <v>Còn trống</v>
      </c>
    </row>
    <row r="3154" spans="1:16" x14ac:dyDescent="0.3">
      <c r="A3154">
        <v>3153</v>
      </c>
      <c r="B3154" t="s">
        <v>7123</v>
      </c>
      <c r="C3154" t="s">
        <v>7256</v>
      </c>
      <c r="D3154" t="s">
        <v>7257</v>
      </c>
      <c r="E3154" t="s">
        <v>40</v>
      </c>
      <c r="F3154" t="s">
        <v>7136</v>
      </c>
      <c r="G3154" t="s">
        <v>7170</v>
      </c>
      <c r="H3154" t="str">
        <f>'Huong dan giao do an'!$B$14</f>
        <v>5 SV (vai trò chính): 1 PM/Scrum Master kiêm Integration; 2 BA/PO; 3 UI-UX + Frontend; 4 Backend/API + DevOps; 5 Database + QA/Tester. Mỗi SV có nhiệm vụ phụ và minh chứng cá nhân.</v>
      </c>
      <c r="I3154" t="s">
        <v>22</v>
      </c>
      <c r="J3154" t="s">
        <v>7128</v>
      </c>
      <c r="K3154" t="str">
        <f>IF(I3154="Trung bình",'Huong dan giao do an'!$B$8,IF(I3154="Khá",'Huong dan giao do an'!$B$9,'Huong dan giao do an'!$B$10))</f>
        <v>Tối thiểu 4 actor; 10-14 use case; 8-12 bảng; 3 quy trình lõi; phân quyền chi tiết; 2 báo cáo; tích hợp 1 dịch vụ; &gt;=35 test case; CI/CD hoặc deploy cloud.</v>
      </c>
      <c r="L3154" t="str">
        <f>'Huong dan giao do an'!$B$31</f>
        <v>Bắt buộc: Charter/PMP; SRS + scope/WBS; Gantt/baseline; effort-cost budget; RACI/timesheet; quality-test-defect; communication/minutes; risk register; procurement; change log; closure/lessons learned.</v>
      </c>
      <c r="M3154" t="str">
        <f>'Huong dan giao do an'!$B$33</f>
        <v>Tuần 1: 07.09–13.09.2026; Tuần 2: 14.09–20.09.2026; Tuần 3: 21.09–27.09.2026; Tuần 4: 28.09–04.10.2026; Tuần 5: 05.10–11.10.2026; Tuần 6: 12.10–18.10.2026; Tuần 7: 19.10–25.10.2026; Tuần 8: 26.10–01.11.2026.</v>
      </c>
      <c r="N31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4" s="17" t="str">
        <f t="shared" si="49"/>
        <v>Còn trống</v>
      </c>
    </row>
    <row r="3155" spans="1:16" x14ac:dyDescent="0.3">
      <c r="A3155">
        <v>3154</v>
      </c>
      <c r="B3155" t="s">
        <v>7123</v>
      </c>
      <c r="C3155" t="s">
        <v>7258</v>
      </c>
      <c r="D3155" t="s">
        <v>7259</v>
      </c>
      <c r="E3155" t="s">
        <v>45</v>
      </c>
      <c r="F3155" t="s">
        <v>7141</v>
      </c>
      <c r="G3155" t="s">
        <v>7173</v>
      </c>
      <c r="H3155" t="str">
        <f>'Huong dan giao do an'!$B$14</f>
        <v>5 SV (vai trò chính): 1 PM/Scrum Master kiêm Integration; 2 BA/PO; 3 UI-UX + Frontend; 4 Backend/API + DevOps; 5 Database + QA/Tester. Mỗi SV có nhiệm vụ phụ và minh chứng cá nhân.</v>
      </c>
      <c r="I3155" t="s">
        <v>29</v>
      </c>
      <c r="J3155" t="s">
        <v>7133</v>
      </c>
      <c r="K3155" t="str">
        <f>IF(I3155="Trung bình",'Huong dan giao do an'!$B$8,IF(I3155="Khá",'Huong dan giao do an'!$B$9,'Huong dan giao do an'!$B$10))</f>
        <v>Tối thiểu 5 actor; 14-18 use case; 10-15 bảng; 4 quy trình; tích hợp ngoài/realtime hoặc xử lý nâng cao; 3 báo cáo; &gt;=45 test case; logging, backup và deploy.</v>
      </c>
      <c r="L3155" t="str">
        <f>'Huong dan giao do an'!$B$31</f>
        <v>Bắt buộc: Charter/PMP; SRS + scope/WBS; Gantt/baseline; effort-cost budget; RACI/timesheet; quality-test-defect; communication/minutes; risk register; procurement; change log; closure/lessons learned.</v>
      </c>
      <c r="M3155" t="str">
        <f>'Huong dan giao do an'!$B$33</f>
        <v>Tuần 1: 07.09–13.09.2026; Tuần 2: 14.09–20.09.2026; Tuần 3: 21.09–27.09.2026; Tuần 4: 28.09–04.10.2026; Tuần 5: 05.10–11.10.2026; Tuần 6: 12.10–18.10.2026; Tuần 7: 19.10–25.10.2026; Tuần 8: 26.10–01.11.2026.</v>
      </c>
      <c r="N31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5" s="17" t="str">
        <f t="shared" si="49"/>
        <v>Còn trống</v>
      </c>
    </row>
    <row r="3156" spans="1:16" x14ac:dyDescent="0.3">
      <c r="A3156">
        <v>3155</v>
      </c>
      <c r="B3156" t="s">
        <v>7123</v>
      </c>
      <c r="C3156" t="s">
        <v>7260</v>
      </c>
      <c r="D3156" t="s">
        <v>7261</v>
      </c>
      <c r="E3156" t="s">
        <v>19</v>
      </c>
      <c r="F3156" t="s">
        <v>7145</v>
      </c>
      <c r="G3156" t="s">
        <v>7176</v>
      </c>
      <c r="H3156" t="str">
        <f>'Huong dan giao do an'!$B$14</f>
        <v>5 SV (vai trò chính): 1 PM/Scrum Master kiêm Integration; 2 BA/PO; 3 UI-UX + Frontend; 4 Backend/API + DevOps; 5 Database + QA/Tester. Mỗi SV có nhiệm vụ phụ và minh chứng cá nhân.</v>
      </c>
      <c r="I3156" t="s">
        <v>36</v>
      </c>
      <c r="J3156" t="s">
        <v>7138</v>
      </c>
      <c r="K3156" t="str">
        <f>IF(I3156="Trung bình",'Huong dan giao do an'!$B$8,IF(I3156="Khá",'Huong dan giao do an'!$B$9,'Huong dan giao do an'!$B$10))</f>
        <v>Tối thiểu 3 actor; 8-10 use case; 6-8 bảng dữ liệu; 2 quy trình lõi; đăng nhập/RBAC; 1 dashboard; 1 báo cáo; &gt;=25 test case; triển khai bản demo.</v>
      </c>
      <c r="L3156" t="str">
        <f>'Huong dan giao do an'!$B$31</f>
        <v>Bắt buộc: Charter/PMP; SRS + scope/WBS; Gantt/baseline; effort-cost budget; RACI/timesheet; quality-test-defect; communication/minutes; risk register; procurement; change log; closure/lessons learned.</v>
      </c>
      <c r="M3156" t="str">
        <f>'Huong dan giao do an'!$B$33</f>
        <v>Tuần 1: 07.09–13.09.2026; Tuần 2: 14.09–20.09.2026; Tuần 3: 21.09–27.09.2026; Tuần 4: 28.09–04.10.2026; Tuần 5: 05.10–11.10.2026; Tuần 6: 12.10–18.10.2026; Tuần 7: 19.10–25.10.2026; Tuần 8: 26.10–01.11.2026.</v>
      </c>
      <c r="N31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6" s="17" t="str">
        <f t="shared" si="49"/>
        <v>Còn trống</v>
      </c>
    </row>
    <row r="3157" spans="1:16" x14ac:dyDescent="0.3">
      <c r="A3157">
        <v>3156</v>
      </c>
      <c r="B3157" t="s">
        <v>7123</v>
      </c>
      <c r="C3157" t="s">
        <v>7262</v>
      </c>
      <c r="D3157" t="s">
        <v>7263</v>
      </c>
      <c r="E3157" t="s">
        <v>26</v>
      </c>
      <c r="F3157" t="s">
        <v>7126</v>
      </c>
      <c r="G3157" t="s">
        <v>7179</v>
      </c>
      <c r="H3157" t="str">
        <f>'Huong dan giao do an'!$B$14</f>
        <v>5 SV (vai trò chính): 1 PM/Scrum Master kiêm Integration; 2 BA/PO; 3 UI-UX + Frontend; 4 Backend/API + DevOps; 5 Database + QA/Tester. Mỗi SV có nhiệm vụ phụ và minh chứng cá nhân.</v>
      </c>
      <c r="I3157" t="s">
        <v>22</v>
      </c>
      <c r="J3157" t="s">
        <v>7128</v>
      </c>
      <c r="K3157" t="str">
        <f>IF(I3157="Trung bình",'Huong dan giao do an'!$B$8,IF(I3157="Khá",'Huong dan giao do an'!$B$9,'Huong dan giao do an'!$B$10))</f>
        <v>Tối thiểu 4 actor; 10-14 use case; 8-12 bảng; 3 quy trình lõi; phân quyền chi tiết; 2 báo cáo; tích hợp 1 dịch vụ; &gt;=35 test case; CI/CD hoặc deploy cloud.</v>
      </c>
      <c r="L3157" t="str">
        <f>'Huong dan giao do an'!$B$31</f>
        <v>Bắt buộc: Charter/PMP; SRS + scope/WBS; Gantt/baseline; effort-cost budget; RACI/timesheet; quality-test-defect; communication/minutes; risk register; procurement; change log; closure/lessons learned.</v>
      </c>
      <c r="M3157" t="str">
        <f>'Huong dan giao do an'!$B$33</f>
        <v>Tuần 1: 07.09–13.09.2026; Tuần 2: 14.09–20.09.2026; Tuần 3: 21.09–27.09.2026; Tuần 4: 28.09–04.10.2026; Tuần 5: 05.10–11.10.2026; Tuần 6: 12.10–18.10.2026; Tuần 7: 19.10–25.10.2026; Tuần 8: 26.10–01.11.2026.</v>
      </c>
      <c r="N31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7" s="17" t="str">
        <f t="shared" si="49"/>
        <v>Còn trống</v>
      </c>
    </row>
    <row r="3158" spans="1:16" x14ac:dyDescent="0.3">
      <c r="A3158">
        <v>3157</v>
      </c>
      <c r="B3158" t="s">
        <v>7123</v>
      </c>
      <c r="C3158" t="s">
        <v>7264</v>
      </c>
      <c r="D3158" t="s">
        <v>7265</v>
      </c>
      <c r="E3158" t="s">
        <v>33</v>
      </c>
      <c r="F3158" t="s">
        <v>7131</v>
      </c>
      <c r="G3158" t="s">
        <v>7182</v>
      </c>
      <c r="H3158" t="str">
        <f>'Huong dan giao do an'!$B$14</f>
        <v>5 SV (vai trò chính): 1 PM/Scrum Master kiêm Integration; 2 BA/PO; 3 UI-UX + Frontend; 4 Backend/API + DevOps; 5 Database + QA/Tester. Mỗi SV có nhiệm vụ phụ và minh chứng cá nhân.</v>
      </c>
      <c r="I3158" t="s">
        <v>29</v>
      </c>
      <c r="J3158" t="s">
        <v>7133</v>
      </c>
      <c r="K3158" t="str">
        <f>IF(I3158="Trung bình",'Huong dan giao do an'!$B$8,IF(I3158="Khá",'Huong dan giao do an'!$B$9,'Huong dan giao do an'!$B$10))</f>
        <v>Tối thiểu 5 actor; 14-18 use case; 10-15 bảng; 4 quy trình; tích hợp ngoài/realtime hoặc xử lý nâng cao; 3 báo cáo; &gt;=45 test case; logging, backup và deploy.</v>
      </c>
      <c r="L3158" t="str">
        <f>'Huong dan giao do an'!$B$31</f>
        <v>Bắt buộc: Charter/PMP; SRS + scope/WBS; Gantt/baseline; effort-cost budget; RACI/timesheet; quality-test-defect; communication/minutes; risk register; procurement; change log; closure/lessons learned.</v>
      </c>
      <c r="M3158" t="str">
        <f>'Huong dan giao do an'!$B$33</f>
        <v>Tuần 1: 07.09–13.09.2026; Tuần 2: 14.09–20.09.2026; Tuần 3: 21.09–27.09.2026; Tuần 4: 28.09–04.10.2026; Tuần 5: 05.10–11.10.2026; Tuần 6: 12.10–18.10.2026; Tuần 7: 19.10–25.10.2026; Tuần 8: 26.10–01.11.2026.</v>
      </c>
      <c r="N31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8" s="17" t="str">
        <f t="shared" si="49"/>
        <v>Còn trống</v>
      </c>
    </row>
    <row r="3159" spans="1:16" x14ac:dyDescent="0.3">
      <c r="A3159">
        <v>3158</v>
      </c>
      <c r="B3159" t="s">
        <v>7123</v>
      </c>
      <c r="C3159" t="s">
        <v>7266</v>
      </c>
      <c r="D3159" t="s">
        <v>7267</v>
      </c>
      <c r="E3159" t="s">
        <v>40</v>
      </c>
      <c r="F3159" t="s">
        <v>7136</v>
      </c>
      <c r="G3159" t="s">
        <v>7185</v>
      </c>
      <c r="H3159" t="str">
        <f>'Huong dan giao do an'!$B$14</f>
        <v>5 SV (vai trò chính): 1 PM/Scrum Master kiêm Integration; 2 BA/PO; 3 UI-UX + Frontend; 4 Backend/API + DevOps; 5 Database + QA/Tester. Mỗi SV có nhiệm vụ phụ và minh chứng cá nhân.</v>
      </c>
      <c r="I3159" t="s">
        <v>36</v>
      </c>
      <c r="J3159" t="s">
        <v>7138</v>
      </c>
      <c r="K3159" t="str">
        <f>IF(I3159="Trung bình",'Huong dan giao do an'!$B$8,IF(I3159="Khá",'Huong dan giao do an'!$B$9,'Huong dan giao do an'!$B$10))</f>
        <v>Tối thiểu 3 actor; 8-10 use case; 6-8 bảng dữ liệu; 2 quy trình lõi; đăng nhập/RBAC; 1 dashboard; 1 báo cáo; &gt;=25 test case; triển khai bản demo.</v>
      </c>
      <c r="L3159" t="str">
        <f>'Huong dan giao do an'!$B$31</f>
        <v>Bắt buộc: Charter/PMP; SRS + scope/WBS; Gantt/baseline; effort-cost budget; RACI/timesheet; quality-test-defect; communication/minutes; risk register; procurement; change log; closure/lessons learned.</v>
      </c>
      <c r="M3159" t="str">
        <f>'Huong dan giao do an'!$B$33</f>
        <v>Tuần 1: 07.09–13.09.2026; Tuần 2: 14.09–20.09.2026; Tuần 3: 21.09–27.09.2026; Tuần 4: 28.09–04.10.2026; Tuần 5: 05.10–11.10.2026; Tuần 6: 12.10–18.10.2026; Tuần 7: 19.10–25.10.2026; Tuần 8: 26.10–01.11.2026.</v>
      </c>
      <c r="N31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59" s="17" t="str">
        <f t="shared" si="49"/>
        <v>Còn trống</v>
      </c>
    </row>
    <row r="3160" spans="1:16" x14ac:dyDescent="0.3">
      <c r="A3160">
        <v>3159</v>
      </c>
      <c r="B3160" t="s">
        <v>7123</v>
      </c>
      <c r="C3160" t="s">
        <v>7268</v>
      </c>
      <c r="D3160" t="s">
        <v>7269</v>
      </c>
      <c r="E3160" t="s">
        <v>45</v>
      </c>
      <c r="F3160" t="s">
        <v>7141</v>
      </c>
      <c r="G3160" t="s">
        <v>7188</v>
      </c>
      <c r="H3160" t="str">
        <f>'Huong dan giao do an'!$B$14</f>
        <v>5 SV (vai trò chính): 1 PM/Scrum Master kiêm Integration; 2 BA/PO; 3 UI-UX + Frontend; 4 Backend/API + DevOps; 5 Database + QA/Tester. Mỗi SV có nhiệm vụ phụ và minh chứng cá nhân.</v>
      </c>
      <c r="I3160" t="s">
        <v>22</v>
      </c>
      <c r="J3160" t="s">
        <v>7128</v>
      </c>
      <c r="K3160" t="str">
        <f>IF(I3160="Trung bình",'Huong dan giao do an'!$B$8,IF(I3160="Khá",'Huong dan giao do an'!$B$9,'Huong dan giao do an'!$B$10))</f>
        <v>Tối thiểu 4 actor; 10-14 use case; 8-12 bảng; 3 quy trình lõi; phân quyền chi tiết; 2 báo cáo; tích hợp 1 dịch vụ; &gt;=35 test case; CI/CD hoặc deploy cloud.</v>
      </c>
      <c r="L3160" t="str">
        <f>'Huong dan giao do an'!$B$31</f>
        <v>Bắt buộc: Charter/PMP; SRS + scope/WBS; Gantt/baseline; effort-cost budget; RACI/timesheet; quality-test-defect; communication/minutes; risk register; procurement; change log; closure/lessons learned.</v>
      </c>
      <c r="M3160" t="str">
        <f>'Huong dan giao do an'!$B$33</f>
        <v>Tuần 1: 07.09–13.09.2026; Tuần 2: 14.09–20.09.2026; Tuần 3: 21.09–27.09.2026; Tuần 4: 28.09–04.10.2026; Tuần 5: 05.10–11.10.2026; Tuần 6: 12.10–18.10.2026; Tuần 7: 19.10–25.10.2026; Tuần 8: 26.10–01.11.2026.</v>
      </c>
      <c r="N31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0" s="17" t="str">
        <f t="shared" si="49"/>
        <v>Còn trống</v>
      </c>
    </row>
    <row r="3161" spans="1:16" x14ac:dyDescent="0.3">
      <c r="A3161">
        <v>3160</v>
      </c>
      <c r="B3161" t="s">
        <v>7123</v>
      </c>
      <c r="C3161" t="s">
        <v>7270</v>
      </c>
      <c r="D3161" t="s">
        <v>7271</v>
      </c>
      <c r="E3161" t="s">
        <v>19</v>
      </c>
      <c r="F3161" t="s">
        <v>7145</v>
      </c>
      <c r="G3161" t="s">
        <v>7191</v>
      </c>
      <c r="H3161" t="str">
        <f>'Huong dan giao do an'!$B$14</f>
        <v>5 SV (vai trò chính): 1 PM/Scrum Master kiêm Integration; 2 BA/PO; 3 UI-UX + Frontend; 4 Backend/API + DevOps; 5 Database + QA/Tester. Mỗi SV có nhiệm vụ phụ và minh chứng cá nhân.</v>
      </c>
      <c r="I3161" t="s">
        <v>29</v>
      </c>
      <c r="J3161" t="s">
        <v>7133</v>
      </c>
      <c r="K3161" t="str">
        <f>IF(I3161="Trung bình",'Huong dan giao do an'!$B$8,IF(I3161="Khá",'Huong dan giao do an'!$B$9,'Huong dan giao do an'!$B$10))</f>
        <v>Tối thiểu 5 actor; 14-18 use case; 10-15 bảng; 4 quy trình; tích hợp ngoài/realtime hoặc xử lý nâng cao; 3 báo cáo; &gt;=45 test case; logging, backup và deploy.</v>
      </c>
      <c r="L3161" t="str">
        <f>'Huong dan giao do an'!$B$31</f>
        <v>Bắt buộc: Charter/PMP; SRS + scope/WBS; Gantt/baseline; effort-cost budget; RACI/timesheet; quality-test-defect; communication/minutes; risk register; procurement; change log; closure/lessons learned.</v>
      </c>
      <c r="M3161" t="str">
        <f>'Huong dan giao do an'!$B$33</f>
        <v>Tuần 1: 07.09–13.09.2026; Tuần 2: 14.09–20.09.2026; Tuần 3: 21.09–27.09.2026; Tuần 4: 28.09–04.10.2026; Tuần 5: 05.10–11.10.2026; Tuần 6: 12.10–18.10.2026; Tuần 7: 19.10–25.10.2026; Tuần 8: 26.10–01.11.2026.</v>
      </c>
      <c r="N31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1" s="17" t="str">
        <f t="shared" si="49"/>
        <v>Còn trống</v>
      </c>
    </row>
    <row r="3162" spans="1:16" x14ac:dyDescent="0.3">
      <c r="A3162">
        <v>3161</v>
      </c>
      <c r="B3162" t="s">
        <v>7123</v>
      </c>
      <c r="C3162" t="s">
        <v>7272</v>
      </c>
      <c r="D3162" t="s">
        <v>7273</v>
      </c>
      <c r="E3162" t="s">
        <v>26</v>
      </c>
      <c r="F3162" t="s">
        <v>7126</v>
      </c>
      <c r="G3162" t="s">
        <v>7127</v>
      </c>
      <c r="H3162" t="str">
        <f>'Huong dan giao do an'!$B$14</f>
        <v>5 SV (vai trò chính): 1 PM/Scrum Master kiêm Integration; 2 BA/PO; 3 UI-UX + Frontend; 4 Backend/API + DevOps; 5 Database + QA/Tester. Mỗi SV có nhiệm vụ phụ và minh chứng cá nhân.</v>
      </c>
      <c r="I3162" t="s">
        <v>22</v>
      </c>
      <c r="J3162" t="s">
        <v>7128</v>
      </c>
      <c r="K3162" t="str">
        <f>IF(I3162="Trung bình",'Huong dan giao do an'!$B$8,IF(I3162="Khá",'Huong dan giao do an'!$B$9,'Huong dan giao do an'!$B$10))</f>
        <v>Tối thiểu 4 actor; 10-14 use case; 8-12 bảng; 3 quy trình lõi; phân quyền chi tiết; 2 báo cáo; tích hợp 1 dịch vụ; &gt;=35 test case; CI/CD hoặc deploy cloud.</v>
      </c>
      <c r="L3162" t="str">
        <f>'Huong dan giao do an'!$B$31</f>
        <v>Bắt buộc: Charter/PMP; SRS + scope/WBS; Gantt/baseline; effort-cost budget; RACI/timesheet; quality-test-defect; communication/minutes; risk register; procurement; change log; closure/lessons learned.</v>
      </c>
      <c r="M3162" t="str">
        <f>'Huong dan giao do an'!$B$33</f>
        <v>Tuần 1: 07.09–13.09.2026; Tuần 2: 14.09–20.09.2026; Tuần 3: 21.09–27.09.2026; Tuần 4: 28.09–04.10.2026; Tuần 5: 05.10–11.10.2026; Tuần 6: 12.10–18.10.2026; Tuần 7: 19.10–25.10.2026; Tuần 8: 26.10–01.11.2026.</v>
      </c>
      <c r="N31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2" s="17" t="str">
        <f t="shared" si="49"/>
        <v>Còn trống</v>
      </c>
    </row>
    <row r="3163" spans="1:16" x14ac:dyDescent="0.3">
      <c r="A3163">
        <v>3162</v>
      </c>
      <c r="B3163" t="s">
        <v>7123</v>
      </c>
      <c r="C3163" t="s">
        <v>7274</v>
      </c>
      <c r="D3163" t="s">
        <v>7275</v>
      </c>
      <c r="E3163" t="s">
        <v>33</v>
      </c>
      <c r="F3163" t="s">
        <v>7131</v>
      </c>
      <c r="G3163" t="s">
        <v>7132</v>
      </c>
      <c r="H3163" t="str">
        <f>'Huong dan giao do an'!$B$14</f>
        <v>5 SV (vai trò chính): 1 PM/Scrum Master kiêm Integration; 2 BA/PO; 3 UI-UX + Frontend; 4 Backend/API + DevOps; 5 Database + QA/Tester. Mỗi SV có nhiệm vụ phụ và minh chứng cá nhân.</v>
      </c>
      <c r="I3163" t="s">
        <v>29</v>
      </c>
      <c r="J3163" t="s">
        <v>7133</v>
      </c>
      <c r="K3163" t="str">
        <f>IF(I3163="Trung bình",'Huong dan giao do an'!$B$8,IF(I3163="Khá",'Huong dan giao do an'!$B$9,'Huong dan giao do an'!$B$10))</f>
        <v>Tối thiểu 5 actor; 14-18 use case; 10-15 bảng; 4 quy trình; tích hợp ngoài/realtime hoặc xử lý nâng cao; 3 báo cáo; &gt;=45 test case; logging, backup và deploy.</v>
      </c>
      <c r="L3163" t="str">
        <f>'Huong dan giao do an'!$B$31</f>
        <v>Bắt buộc: Charter/PMP; SRS + scope/WBS; Gantt/baseline; effort-cost budget; RACI/timesheet; quality-test-defect; communication/minutes; risk register; procurement; change log; closure/lessons learned.</v>
      </c>
      <c r="M3163" t="str">
        <f>'Huong dan giao do an'!$B$33</f>
        <v>Tuần 1: 07.09–13.09.2026; Tuần 2: 14.09–20.09.2026; Tuần 3: 21.09–27.09.2026; Tuần 4: 28.09–04.10.2026; Tuần 5: 05.10–11.10.2026; Tuần 6: 12.10–18.10.2026; Tuần 7: 19.10–25.10.2026; Tuần 8: 26.10–01.11.2026.</v>
      </c>
      <c r="N31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3" s="17" t="str">
        <f t="shared" si="49"/>
        <v>Còn trống</v>
      </c>
    </row>
    <row r="3164" spans="1:16" x14ac:dyDescent="0.3">
      <c r="A3164">
        <v>3163</v>
      </c>
      <c r="B3164" t="s">
        <v>7123</v>
      </c>
      <c r="C3164" t="s">
        <v>7276</v>
      </c>
      <c r="D3164" t="s">
        <v>7277</v>
      </c>
      <c r="E3164" t="s">
        <v>40</v>
      </c>
      <c r="F3164" t="s">
        <v>7136</v>
      </c>
      <c r="G3164" t="s">
        <v>7137</v>
      </c>
      <c r="H3164" t="str">
        <f>'Huong dan giao do an'!$B$14</f>
        <v>5 SV (vai trò chính): 1 PM/Scrum Master kiêm Integration; 2 BA/PO; 3 UI-UX + Frontend; 4 Backend/API + DevOps; 5 Database + QA/Tester. Mỗi SV có nhiệm vụ phụ và minh chứng cá nhân.</v>
      </c>
      <c r="I3164" t="s">
        <v>36</v>
      </c>
      <c r="J3164" t="s">
        <v>7138</v>
      </c>
      <c r="K3164" t="str">
        <f>IF(I3164="Trung bình",'Huong dan giao do an'!$B$8,IF(I3164="Khá",'Huong dan giao do an'!$B$9,'Huong dan giao do an'!$B$10))</f>
        <v>Tối thiểu 3 actor; 8-10 use case; 6-8 bảng dữ liệu; 2 quy trình lõi; đăng nhập/RBAC; 1 dashboard; 1 báo cáo; &gt;=25 test case; triển khai bản demo.</v>
      </c>
      <c r="L3164" t="str">
        <f>'Huong dan giao do an'!$B$31</f>
        <v>Bắt buộc: Charter/PMP; SRS + scope/WBS; Gantt/baseline; effort-cost budget; RACI/timesheet; quality-test-defect; communication/minutes; risk register; procurement; change log; closure/lessons learned.</v>
      </c>
      <c r="M3164" t="str">
        <f>'Huong dan giao do an'!$B$33</f>
        <v>Tuần 1: 07.09–13.09.2026; Tuần 2: 14.09–20.09.2026; Tuần 3: 21.09–27.09.2026; Tuần 4: 28.09–04.10.2026; Tuần 5: 05.10–11.10.2026; Tuần 6: 12.10–18.10.2026; Tuần 7: 19.10–25.10.2026; Tuần 8: 26.10–01.11.2026.</v>
      </c>
      <c r="N31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4" s="17" t="str">
        <f t="shared" si="49"/>
        <v>Còn trống</v>
      </c>
    </row>
    <row r="3165" spans="1:16" x14ac:dyDescent="0.3">
      <c r="A3165">
        <v>3164</v>
      </c>
      <c r="B3165" t="s">
        <v>7123</v>
      </c>
      <c r="C3165" t="s">
        <v>7278</v>
      </c>
      <c r="D3165" t="s">
        <v>7279</v>
      </c>
      <c r="E3165" t="s">
        <v>45</v>
      </c>
      <c r="F3165" t="s">
        <v>7141</v>
      </c>
      <c r="G3165" t="s">
        <v>7142</v>
      </c>
      <c r="H3165" t="str">
        <f>'Huong dan giao do an'!$B$14</f>
        <v>5 SV (vai trò chính): 1 PM/Scrum Master kiêm Integration; 2 BA/PO; 3 UI-UX + Frontend; 4 Backend/API + DevOps; 5 Database + QA/Tester. Mỗi SV có nhiệm vụ phụ và minh chứng cá nhân.</v>
      </c>
      <c r="I3165" t="s">
        <v>22</v>
      </c>
      <c r="J3165" t="s">
        <v>7128</v>
      </c>
      <c r="K3165" t="str">
        <f>IF(I3165="Trung bình",'Huong dan giao do an'!$B$8,IF(I3165="Khá",'Huong dan giao do an'!$B$9,'Huong dan giao do an'!$B$10))</f>
        <v>Tối thiểu 4 actor; 10-14 use case; 8-12 bảng; 3 quy trình lõi; phân quyền chi tiết; 2 báo cáo; tích hợp 1 dịch vụ; &gt;=35 test case; CI/CD hoặc deploy cloud.</v>
      </c>
      <c r="L3165" t="str">
        <f>'Huong dan giao do an'!$B$31</f>
        <v>Bắt buộc: Charter/PMP; SRS + scope/WBS; Gantt/baseline; effort-cost budget; RACI/timesheet; quality-test-defect; communication/minutes; risk register; procurement; change log; closure/lessons learned.</v>
      </c>
      <c r="M3165" t="str">
        <f>'Huong dan giao do an'!$B$33</f>
        <v>Tuần 1: 07.09–13.09.2026; Tuần 2: 14.09–20.09.2026; Tuần 3: 21.09–27.09.2026; Tuần 4: 28.09–04.10.2026; Tuần 5: 05.10–11.10.2026; Tuần 6: 12.10–18.10.2026; Tuần 7: 19.10–25.10.2026; Tuần 8: 26.10–01.11.2026.</v>
      </c>
      <c r="N31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5" s="17" t="str">
        <f t="shared" si="49"/>
        <v>Còn trống</v>
      </c>
    </row>
    <row r="3166" spans="1:16" x14ac:dyDescent="0.3">
      <c r="A3166">
        <v>3165</v>
      </c>
      <c r="B3166" t="s">
        <v>7123</v>
      </c>
      <c r="C3166" t="s">
        <v>7280</v>
      </c>
      <c r="D3166" t="s">
        <v>7281</v>
      </c>
      <c r="E3166" t="s">
        <v>19</v>
      </c>
      <c r="F3166" t="s">
        <v>7145</v>
      </c>
      <c r="G3166" t="s">
        <v>7146</v>
      </c>
      <c r="H3166" t="str">
        <f>'Huong dan giao do an'!$B$14</f>
        <v>5 SV (vai trò chính): 1 PM/Scrum Master kiêm Integration; 2 BA/PO; 3 UI-UX + Frontend; 4 Backend/API + DevOps; 5 Database + QA/Tester. Mỗi SV có nhiệm vụ phụ và minh chứng cá nhân.</v>
      </c>
      <c r="I3166" t="s">
        <v>29</v>
      </c>
      <c r="J3166" t="s">
        <v>7133</v>
      </c>
      <c r="K3166" t="str">
        <f>IF(I3166="Trung bình",'Huong dan giao do an'!$B$8,IF(I3166="Khá",'Huong dan giao do an'!$B$9,'Huong dan giao do an'!$B$10))</f>
        <v>Tối thiểu 5 actor; 14-18 use case; 10-15 bảng; 4 quy trình; tích hợp ngoài/realtime hoặc xử lý nâng cao; 3 báo cáo; &gt;=45 test case; logging, backup và deploy.</v>
      </c>
      <c r="L3166" t="str">
        <f>'Huong dan giao do an'!$B$31</f>
        <v>Bắt buộc: Charter/PMP; SRS + scope/WBS; Gantt/baseline; effort-cost budget; RACI/timesheet; quality-test-defect; communication/minutes; risk register; procurement; change log; closure/lessons learned.</v>
      </c>
      <c r="M3166" t="str">
        <f>'Huong dan giao do an'!$B$33</f>
        <v>Tuần 1: 07.09–13.09.2026; Tuần 2: 14.09–20.09.2026; Tuần 3: 21.09–27.09.2026; Tuần 4: 28.09–04.10.2026; Tuần 5: 05.10–11.10.2026; Tuần 6: 12.10–18.10.2026; Tuần 7: 19.10–25.10.2026; Tuần 8: 26.10–01.11.2026.</v>
      </c>
      <c r="N31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6" s="17" t="str">
        <f t="shared" si="49"/>
        <v>Còn trống</v>
      </c>
    </row>
    <row r="3167" spans="1:16" x14ac:dyDescent="0.3">
      <c r="A3167">
        <v>3166</v>
      </c>
      <c r="B3167" t="s">
        <v>7123</v>
      </c>
      <c r="C3167" t="s">
        <v>7282</v>
      </c>
      <c r="D3167" t="s">
        <v>7283</v>
      </c>
      <c r="E3167" t="s">
        <v>26</v>
      </c>
      <c r="F3167" t="s">
        <v>7126</v>
      </c>
      <c r="G3167" t="s">
        <v>7149</v>
      </c>
      <c r="H3167" t="str">
        <f>'Huong dan giao do an'!$B$14</f>
        <v>5 SV (vai trò chính): 1 PM/Scrum Master kiêm Integration; 2 BA/PO; 3 UI-UX + Frontend; 4 Backend/API + DevOps; 5 Database + QA/Tester. Mỗi SV có nhiệm vụ phụ và minh chứng cá nhân.</v>
      </c>
      <c r="I3167" t="s">
        <v>36</v>
      </c>
      <c r="J3167" t="s">
        <v>7138</v>
      </c>
      <c r="K3167" t="str">
        <f>IF(I3167="Trung bình",'Huong dan giao do an'!$B$8,IF(I3167="Khá",'Huong dan giao do an'!$B$9,'Huong dan giao do an'!$B$10))</f>
        <v>Tối thiểu 3 actor; 8-10 use case; 6-8 bảng dữ liệu; 2 quy trình lõi; đăng nhập/RBAC; 1 dashboard; 1 báo cáo; &gt;=25 test case; triển khai bản demo.</v>
      </c>
      <c r="L3167" t="str">
        <f>'Huong dan giao do an'!$B$31</f>
        <v>Bắt buộc: Charter/PMP; SRS + scope/WBS; Gantt/baseline; effort-cost budget; RACI/timesheet; quality-test-defect; communication/minutes; risk register; procurement; change log; closure/lessons learned.</v>
      </c>
      <c r="M3167" t="str">
        <f>'Huong dan giao do an'!$B$33</f>
        <v>Tuần 1: 07.09–13.09.2026; Tuần 2: 14.09–20.09.2026; Tuần 3: 21.09–27.09.2026; Tuần 4: 28.09–04.10.2026; Tuần 5: 05.10–11.10.2026; Tuần 6: 12.10–18.10.2026; Tuần 7: 19.10–25.10.2026; Tuần 8: 26.10–01.11.2026.</v>
      </c>
      <c r="N31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7" s="17" t="str">
        <f t="shared" si="49"/>
        <v>Còn trống</v>
      </c>
    </row>
    <row r="3168" spans="1:16" x14ac:dyDescent="0.3">
      <c r="A3168">
        <v>3167</v>
      </c>
      <c r="B3168" t="s">
        <v>7123</v>
      </c>
      <c r="C3168" t="s">
        <v>7284</v>
      </c>
      <c r="D3168" t="s">
        <v>7285</v>
      </c>
      <c r="E3168" t="s">
        <v>33</v>
      </c>
      <c r="F3168" t="s">
        <v>7131</v>
      </c>
      <c r="G3168" t="s">
        <v>7152</v>
      </c>
      <c r="H3168" t="str">
        <f>'Huong dan giao do an'!$B$14</f>
        <v>5 SV (vai trò chính): 1 PM/Scrum Master kiêm Integration; 2 BA/PO; 3 UI-UX + Frontend; 4 Backend/API + DevOps; 5 Database + QA/Tester. Mỗi SV có nhiệm vụ phụ và minh chứng cá nhân.</v>
      </c>
      <c r="I3168" t="s">
        <v>22</v>
      </c>
      <c r="J3168" t="s">
        <v>7128</v>
      </c>
      <c r="K3168" t="str">
        <f>IF(I3168="Trung bình",'Huong dan giao do an'!$B$8,IF(I3168="Khá",'Huong dan giao do an'!$B$9,'Huong dan giao do an'!$B$10))</f>
        <v>Tối thiểu 4 actor; 10-14 use case; 8-12 bảng; 3 quy trình lõi; phân quyền chi tiết; 2 báo cáo; tích hợp 1 dịch vụ; &gt;=35 test case; CI/CD hoặc deploy cloud.</v>
      </c>
      <c r="L3168" t="str">
        <f>'Huong dan giao do an'!$B$31</f>
        <v>Bắt buộc: Charter/PMP; SRS + scope/WBS; Gantt/baseline; effort-cost budget; RACI/timesheet; quality-test-defect; communication/minutes; risk register; procurement; change log; closure/lessons learned.</v>
      </c>
      <c r="M3168" t="str">
        <f>'Huong dan giao do an'!$B$33</f>
        <v>Tuần 1: 07.09–13.09.2026; Tuần 2: 14.09–20.09.2026; Tuần 3: 21.09–27.09.2026; Tuần 4: 28.09–04.10.2026; Tuần 5: 05.10–11.10.2026; Tuần 6: 12.10–18.10.2026; Tuần 7: 19.10–25.10.2026; Tuần 8: 26.10–01.11.2026.</v>
      </c>
      <c r="N31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8" s="17" t="str">
        <f t="shared" si="49"/>
        <v>Còn trống</v>
      </c>
    </row>
    <row r="3169" spans="1:16" x14ac:dyDescent="0.3">
      <c r="A3169">
        <v>3168</v>
      </c>
      <c r="B3169" t="s">
        <v>7123</v>
      </c>
      <c r="C3169" t="s">
        <v>7286</v>
      </c>
      <c r="D3169" t="s">
        <v>7287</v>
      </c>
      <c r="E3169" t="s">
        <v>40</v>
      </c>
      <c r="F3169" t="s">
        <v>7136</v>
      </c>
      <c r="G3169" t="s">
        <v>7155</v>
      </c>
      <c r="H3169" t="str">
        <f>'Huong dan giao do an'!$B$14</f>
        <v>5 SV (vai trò chính): 1 PM/Scrum Master kiêm Integration; 2 BA/PO; 3 UI-UX + Frontend; 4 Backend/API + DevOps; 5 Database + QA/Tester. Mỗi SV có nhiệm vụ phụ và minh chứng cá nhân.</v>
      </c>
      <c r="I3169" t="s">
        <v>29</v>
      </c>
      <c r="J3169" t="s">
        <v>7133</v>
      </c>
      <c r="K3169" t="str">
        <f>IF(I3169="Trung bình",'Huong dan giao do an'!$B$8,IF(I3169="Khá",'Huong dan giao do an'!$B$9,'Huong dan giao do an'!$B$10))</f>
        <v>Tối thiểu 5 actor; 14-18 use case; 10-15 bảng; 4 quy trình; tích hợp ngoài/realtime hoặc xử lý nâng cao; 3 báo cáo; &gt;=45 test case; logging, backup và deploy.</v>
      </c>
      <c r="L3169" t="str">
        <f>'Huong dan giao do an'!$B$31</f>
        <v>Bắt buộc: Charter/PMP; SRS + scope/WBS; Gantt/baseline; effort-cost budget; RACI/timesheet; quality-test-defect; communication/minutes; risk register; procurement; change log; closure/lessons learned.</v>
      </c>
      <c r="M3169" t="str">
        <f>'Huong dan giao do an'!$B$33</f>
        <v>Tuần 1: 07.09–13.09.2026; Tuần 2: 14.09–20.09.2026; Tuần 3: 21.09–27.09.2026; Tuần 4: 28.09–04.10.2026; Tuần 5: 05.10–11.10.2026; Tuần 6: 12.10–18.10.2026; Tuần 7: 19.10–25.10.2026; Tuần 8: 26.10–01.11.2026.</v>
      </c>
      <c r="N31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69" s="17" t="str">
        <f t="shared" si="49"/>
        <v>Còn trống</v>
      </c>
    </row>
    <row r="3170" spans="1:16" x14ac:dyDescent="0.3">
      <c r="A3170">
        <v>3169</v>
      </c>
      <c r="B3170" t="s">
        <v>7123</v>
      </c>
      <c r="C3170" t="s">
        <v>7288</v>
      </c>
      <c r="D3170" t="s">
        <v>7289</v>
      </c>
      <c r="E3170" t="s">
        <v>45</v>
      </c>
      <c r="F3170" t="s">
        <v>7141</v>
      </c>
      <c r="G3170" t="s">
        <v>7158</v>
      </c>
      <c r="H3170" t="str">
        <f>'Huong dan giao do an'!$B$14</f>
        <v>5 SV (vai trò chính): 1 PM/Scrum Master kiêm Integration; 2 BA/PO; 3 UI-UX + Frontend; 4 Backend/API + DevOps; 5 Database + QA/Tester. Mỗi SV có nhiệm vụ phụ và minh chứng cá nhân.</v>
      </c>
      <c r="I3170" t="s">
        <v>36</v>
      </c>
      <c r="J3170" t="s">
        <v>7138</v>
      </c>
      <c r="K3170" t="str">
        <f>IF(I3170="Trung bình",'Huong dan giao do an'!$B$8,IF(I3170="Khá",'Huong dan giao do an'!$B$9,'Huong dan giao do an'!$B$10))</f>
        <v>Tối thiểu 3 actor; 8-10 use case; 6-8 bảng dữ liệu; 2 quy trình lõi; đăng nhập/RBAC; 1 dashboard; 1 báo cáo; &gt;=25 test case; triển khai bản demo.</v>
      </c>
      <c r="L3170" t="str">
        <f>'Huong dan giao do an'!$B$31</f>
        <v>Bắt buộc: Charter/PMP; SRS + scope/WBS; Gantt/baseline; effort-cost budget; RACI/timesheet; quality-test-defect; communication/minutes; risk register; procurement; change log; closure/lessons learned.</v>
      </c>
      <c r="M3170" t="str">
        <f>'Huong dan giao do an'!$B$33</f>
        <v>Tuần 1: 07.09–13.09.2026; Tuần 2: 14.09–20.09.2026; Tuần 3: 21.09–27.09.2026; Tuần 4: 28.09–04.10.2026; Tuần 5: 05.10–11.10.2026; Tuần 6: 12.10–18.10.2026; Tuần 7: 19.10–25.10.2026; Tuần 8: 26.10–01.11.2026.</v>
      </c>
      <c r="N31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0" s="17" t="str">
        <f t="shared" si="49"/>
        <v>Còn trống</v>
      </c>
    </row>
    <row r="3171" spans="1:16" x14ac:dyDescent="0.3">
      <c r="A3171">
        <v>3170</v>
      </c>
      <c r="B3171" t="s">
        <v>7123</v>
      </c>
      <c r="C3171" t="s">
        <v>7290</v>
      </c>
      <c r="D3171" t="s">
        <v>7291</v>
      </c>
      <c r="E3171" t="s">
        <v>19</v>
      </c>
      <c r="F3171" t="s">
        <v>7145</v>
      </c>
      <c r="G3171" t="s">
        <v>7161</v>
      </c>
      <c r="H3171" t="str">
        <f>'Huong dan giao do an'!$B$14</f>
        <v>5 SV (vai trò chính): 1 PM/Scrum Master kiêm Integration; 2 BA/PO; 3 UI-UX + Frontend; 4 Backend/API + DevOps; 5 Database + QA/Tester. Mỗi SV có nhiệm vụ phụ và minh chứng cá nhân.</v>
      </c>
      <c r="I3171" t="s">
        <v>22</v>
      </c>
      <c r="J3171" t="s">
        <v>7128</v>
      </c>
      <c r="K3171" t="str">
        <f>IF(I3171="Trung bình",'Huong dan giao do an'!$B$8,IF(I3171="Khá",'Huong dan giao do an'!$B$9,'Huong dan giao do an'!$B$10))</f>
        <v>Tối thiểu 4 actor; 10-14 use case; 8-12 bảng; 3 quy trình lõi; phân quyền chi tiết; 2 báo cáo; tích hợp 1 dịch vụ; &gt;=35 test case; CI/CD hoặc deploy cloud.</v>
      </c>
      <c r="L3171" t="str">
        <f>'Huong dan giao do an'!$B$31</f>
        <v>Bắt buộc: Charter/PMP; SRS + scope/WBS; Gantt/baseline; effort-cost budget; RACI/timesheet; quality-test-defect; communication/minutes; risk register; procurement; change log; closure/lessons learned.</v>
      </c>
      <c r="M3171" t="str">
        <f>'Huong dan giao do an'!$B$33</f>
        <v>Tuần 1: 07.09–13.09.2026; Tuần 2: 14.09–20.09.2026; Tuần 3: 21.09–27.09.2026; Tuần 4: 28.09–04.10.2026; Tuần 5: 05.10–11.10.2026; Tuần 6: 12.10–18.10.2026; Tuần 7: 19.10–25.10.2026; Tuần 8: 26.10–01.11.2026.</v>
      </c>
      <c r="N31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1" s="17" t="str">
        <f t="shared" si="49"/>
        <v>Còn trống</v>
      </c>
    </row>
    <row r="3172" spans="1:16" x14ac:dyDescent="0.3">
      <c r="A3172">
        <v>3171</v>
      </c>
      <c r="B3172" t="s">
        <v>7123</v>
      </c>
      <c r="C3172" t="s">
        <v>7292</v>
      </c>
      <c r="D3172" t="s">
        <v>7293</v>
      </c>
      <c r="E3172" t="s">
        <v>26</v>
      </c>
      <c r="F3172" t="s">
        <v>7126</v>
      </c>
      <c r="G3172" t="s">
        <v>7164</v>
      </c>
      <c r="H3172" t="str">
        <f>'Huong dan giao do an'!$B$14</f>
        <v>5 SV (vai trò chính): 1 PM/Scrum Master kiêm Integration; 2 BA/PO; 3 UI-UX + Frontend; 4 Backend/API + DevOps; 5 Database + QA/Tester. Mỗi SV có nhiệm vụ phụ và minh chứng cá nhân.</v>
      </c>
      <c r="I3172" t="s">
        <v>29</v>
      </c>
      <c r="J3172" t="s">
        <v>7133</v>
      </c>
      <c r="K3172" t="str">
        <f>IF(I3172="Trung bình",'Huong dan giao do an'!$B$8,IF(I3172="Khá",'Huong dan giao do an'!$B$9,'Huong dan giao do an'!$B$10))</f>
        <v>Tối thiểu 5 actor; 14-18 use case; 10-15 bảng; 4 quy trình; tích hợp ngoài/realtime hoặc xử lý nâng cao; 3 báo cáo; &gt;=45 test case; logging, backup và deploy.</v>
      </c>
      <c r="L3172" t="str">
        <f>'Huong dan giao do an'!$B$31</f>
        <v>Bắt buộc: Charter/PMP; SRS + scope/WBS; Gantt/baseline; effort-cost budget; RACI/timesheet; quality-test-defect; communication/minutes; risk register; procurement; change log; closure/lessons learned.</v>
      </c>
      <c r="M3172" t="str">
        <f>'Huong dan giao do an'!$B$33</f>
        <v>Tuần 1: 07.09–13.09.2026; Tuần 2: 14.09–20.09.2026; Tuần 3: 21.09–27.09.2026; Tuần 4: 28.09–04.10.2026; Tuần 5: 05.10–11.10.2026; Tuần 6: 12.10–18.10.2026; Tuần 7: 19.10–25.10.2026; Tuần 8: 26.10–01.11.2026.</v>
      </c>
      <c r="N31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2" s="17" t="str">
        <f t="shared" si="49"/>
        <v>Còn trống</v>
      </c>
    </row>
    <row r="3173" spans="1:16" x14ac:dyDescent="0.3">
      <c r="A3173">
        <v>3172</v>
      </c>
      <c r="B3173" t="s">
        <v>7123</v>
      </c>
      <c r="C3173" t="s">
        <v>7294</v>
      </c>
      <c r="D3173" t="s">
        <v>7295</v>
      </c>
      <c r="E3173" t="s">
        <v>33</v>
      </c>
      <c r="F3173" t="s">
        <v>7131</v>
      </c>
      <c r="G3173" t="s">
        <v>7167</v>
      </c>
      <c r="H3173" t="str">
        <f>'Huong dan giao do an'!$B$14</f>
        <v>5 SV (vai trò chính): 1 PM/Scrum Master kiêm Integration; 2 BA/PO; 3 UI-UX + Frontend; 4 Backend/API + DevOps; 5 Database + QA/Tester. Mỗi SV có nhiệm vụ phụ và minh chứng cá nhân.</v>
      </c>
      <c r="I3173" t="s">
        <v>36</v>
      </c>
      <c r="J3173" t="s">
        <v>7138</v>
      </c>
      <c r="K3173" t="str">
        <f>IF(I3173="Trung bình",'Huong dan giao do an'!$B$8,IF(I3173="Khá",'Huong dan giao do an'!$B$9,'Huong dan giao do an'!$B$10))</f>
        <v>Tối thiểu 3 actor; 8-10 use case; 6-8 bảng dữ liệu; 2 quy trình lõi; đăng nhập/RBAC; 1 dashboard; 1 báo cáo; &gt;=25 test case; triển khai bản demo.</v>
      </c>
      <c r="L3173" t="str">
        <f>'Huong dan giao do an'!$B$31</f>
        <v>Bắt buộc: Charter/PMP; SRS + scope/WBS; Gantt/baseline; effort-cost budget; RACI/timesheet; quality-test-defect; communication/minutes; risk register; procurement; change log; closure/lessons learned.</v>
      </c>
      <c r="M3173" t="str">
        <f>'Huong dan giao do an'!$B$33</f>
        <v>Tuần 1: 07.09–13.09.2026; Tuần 2: 14.09–20.09.2026; Tuần 3: 21.09–27.09.2026; Tuần 4: 28.09–04.10.2026; Tuần 5: 05.10–11.10.2026; Tuần 6: 12.10–18.10.2026; Tuần 7: 19.10–25.10.2026; Tuần 8: 26.10–01.11.2026.</v>
      </c>
      <c r="N31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3" s="17" t="str">
        <f t="shared" si="49"/>
        <v>Còn trống</v>
      </c>
    </row>
    <row r="3174" spans="1:16" x14ac:dyDescent="0.3">
      <c r="A3174">
        <v>3173</v>
      </c>
      <c r="B3174" t="s">
        <v>7123</v>
      </c>
      <c r="C3174" t="s">
        <v>7296</v>
      </c>
      <c r="D3174" t="s">
        <v>7297</v>
      </c>
      <c r="E3174" t="s">
        <v>40</v>
      </c>
      <c r="F3174" t="s">
        <v>7136</v>
      </c>
      <c r="G3174" t="s">
        <v>7170</v>
      </c>
      <c r="H3174" t="str">
        <f>'Huong dan giao do an'!$B$14</f>
        <v>5 SV (vai trò chính): 1 PM/Scrum Master kiêm Integration; 2 BA/PO; 3 UI-UX + Frontend; 4 Backend/API + DevOps; 5 Database + QA/Tester. Mỗi SV có nhiệm vụ phụ và minh chứng cá nhân.</v>
      </c>
      <c r="I3174" t="s">
        <v>22</v>
      </c>
      <c r="J3174" t="s">
        <v>7128</v>
      </c>
      <c r="K3174" t="str">
        <f>IF(I3174="Trung bình",'Huong dan giao do an'!$B$8,IF(I3174="Khá",'Huong dan giao do an'!$B$9,'Huong dan giao do an'!$B$10))</f>
        <v>Tối thiểu 4 actor; 10-14 use case; 8-12 bảng; 3 quy trình lõi; phân quyền chi tiết; 2 báo cáo; tích hợp 1 dịch vụ; &gt;=35 test case; CI/CD hoặc deploy cloud.</v>
      </c>
      <c r="L3174" t="str">
        <f>'Huong dan giao do an'!$B$31</f>
        <v>Bắt buộc: Charter/PMP; SRS + scope/WBS; Gantt/baseline; effort-cost budget; RACI/timesheet; quality-test-defect; communication/minutes; risk register; procurement; change log; closure/lessons learned.</v>
      </c>
      <c r="M3174" t="str">
        <f>'Huong dan giao do an'!$B$33</f>
        <v>Tuần 1: 07.09–13.09.2026; Tuần 2: 14.09–20.09.2026; Tuần 3: 21.09–27.09.2026; Tuần 4: 28.09–04.10.2026; Tuần 5: 05.10–11.10.2026; Tuần 6: 12.10–18.10.2026; Tuần 7: 19.10–25.10.2026; Tuần 8: 26.10–01.11.2026.</v>
      </c>
      <c r="N31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4" s="17" t="str">
        <f t="shared" si="49"/>
        <v>Còn trống</v>
      </c>
    </row>
    <row r="3175" spans="1:16" x14ac:dyDescent="0.3">
      <c r="A3175">
        <v>3174</v>
      </c>
      <c r="B3175" t="s">
        <v>7123</v>
      </c>
      <c r="C3175" t="s">
        <v>7298</v>
      </c>
      <c r="D3175" t="s">
        <v>7299</v>
      </c>
      <c r="E3175" t="s">
        <v>45</v>
      </c>
      <c r="F3175" t="s">
        <v>7141</v>
      </c>
      <c r="G3175" t="s">
        <v>7173</v>
      </c>
      <c r="H3175" t="str">
        <f>'Huong dan giao do an'!$B$14</f>
        <v>5 SV (vai trò chính): 1 PM/Scrum Master kiêm Integration; 2 BA/PO; 3 UI-UX + Frontend; 4 Backend/API + DevOps; 5 Database + QA/Tester. Mỗi SV có nhiệm vụ phụ và minh chứng cá nhân.</v>
      </c>
      <c r="I3175" t="s">
        <v>29</v>
      </c>
      <c r="J3175" t="s">
        <v>7133</v>
      </c>
      <c r="K3175" t="str">
        <f>IF(I3175="Trung bình",'Huong dan giao do an'!$B$8,IF(I3175="Khá",'Huong dan giao do an'!$B$9,'Huong dan giao do an'!$B$10))</f>
        <v>Tối thiểu 5 actor; 14-18 use case; 10-15 bảng; 4 quy trình; tích hợp ngoài/realtime hoặc xử lý nâng cao; 3 báo cáo; &gt;=45 test case; logging, backup và deploy.</v>
      </c>
      <c r="L3175" t="str">
        <f>'Huong dan giao do an'!$B$31</f>
        <v>Bắt buộc: Charter/PMP; SRS + scope/WBS; Gantt/baseline; effort-cost budget; RACI/timesheet; quality-test-defect; communication/minutes; risk register; procurement; change log; closure/lessons learned.</v>
      </c>
      <c r="M3175" t="str">
        <f>'Huong dan giao do an'!$B$33</f>
        <v>Tuần 1: 07.09–13.09.2026; Tuần 2: 14.09–20.09.2026; Tuần 3: 21.09–27.09.2026; Tuần 4: 28.09–04.10.2026; Tuần 5: 05.10–11.10.2026; Tuần 6: 12.10–18.10.2026; Tuần 7: 19.10–25.10.2026; Tuần 8: 26.10–01.11.2026.</v>
      </c>
      <c r="N31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5" s="17" t="str">
        <f t="shared" si="49"/>
        <v>Còn trống</v>
      </c>
    </row>
    <row r="3176" spans="1:16" x14ac:dyDescent="0.3">
      <c r="A3176">
        <v>3175</v>
      </c>
      <c r="B3176" t="s">
        <v>7123</v>
      </c>
      <c r="C3176" t="s">
        <v>7300</v>
      </c>
      <c r="D3176" t="s">
        <v>7301</v>
      </c>
      <c r="E3176" t="s">
        <v>19</v>
      </c>
      <c r="F3176" t="s">
        <v>7145</v>
      </c>
      <c r="G3176" t="s">
        <v>7176</v>
      </c>
      <c r="H3176" t="str">
        <f>'Huong dan giao do an'!$B$14</f>
        <v>5 SV (vai trò chính): 1 PM/Scrum Master kiêm Integration; 2 BA/PO; 3 UI-UX + Frontend; 4 Backend/API + DevOps; 5 Database + QA/Tester. Mỗi SV có nhiệm vụ phụ và minh chứng cá nhân.</v>
      </c>
      <c r="I3176" t="s">
        <v>36</v>
      </c>
      <c r="J3176" t="s">
        <v>7138</v>
      </c>
      <c r="K3176" t="str">
        <f>IF(I3176="Trung bình",'Huong dan giao do an'!$B$8,IF(I3176="Khá",'Huong dan giao do an'!$B$9,'Huong dan giao do an'!$B$10))</f>
        <v>Tối thiểu 3 actor; 8-10 use case; 6-8 bảng dữ liệu; 2 quy trình lõi; đăng nhập/RBAC; 1 dashboard; 1 báo cáo; &gt;=25 test case; triển khai bản demo.</v>
      </c>
      <c r="L3176" t="str">
        <f>'Huong dan giao do an'!$B$31</f>
        <v>Bắt buộc: Charter/PMP; SRS + scope/WBS; Gantt/baseline; effort-cost budget; RACI/timesheet; quality-test-defect; communication/minutes; risk register; procurement; change log; closure/lessons learned.</v>
      </c>
      <c r="M3176" t="str">
        <f>'Huong dan giao do an'!$B$33</f>
        <v>Tuần 1: 07.09–13.09.2026; Tuần 2: 14.09–20.09.2026; Tuần 3: 21.09–27.09.2026; Tuần 4: 28.09–04.10.2026; Tuần 5: 05.10–11.10.2026; Tuần 6: 12.10–18.10.2026; Tuần 7: 19.10–25.10.2026; Tuần 8: 26.10–01.11.2026.</v>
      </c>
      <c r="N31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6" s="17" t="str">
        <f t="shared" si="49"/>
        <v>Còn trống</v>
      </c>
    </row>
    <row r="3177" spans="1:16" x14ac:dyDescent="0.3">
      <c r="A3177">
        <v>3176</v>
      </c>
      <c r="B3177" t="s">
        <v>7123</v>
      </c>
      <c r="C3177" t="s">
        <v>7302</v>
      </c>
      <c r="D3177" t="s">
        <v>7303</v>
      </c>
      <c r="E3177" t="s">
        <v>26</v>
      </c>
      <c r="F3177" t="s">
        <v>7126</v>
      </c>
      <c r="G3177" t="s">
        <v>7179</v>
      </c>
      <c r="H3177" t="str">
        <f>'Huong dan giao do an'!$B$14</f>
        <v>5 SV (vai trò chính): 1 PM/Scrum Master kiêm Integration; 2 BA/PO; 3 UI-UX + Frontend; 4 Backend/API + DevOps; 5 Database + QA/Tester. Mỗi SV có nhiệm vụ phụ và minh chứng cá nhân.</v>
      </c>
      <c r="I3177" t="s">
        <v>22</v>
      </c>
      <c r="J3177" t="s">
        <v>7128</v>
      </c>
      <c r="K3177" t="str">
        <f>IF(I3177="Trung bình",'Huong dan giao do an'!$B$8,IF(I3177="Khá",'Huong dan giao do an'!$B$9,'Huong dan giao do an'!$B$10))</f>
        <v>Tối thiểu 4 actor; 10-14 use case; 8-12 bảng; 3 quy trình lõi; phân quyền chi tiết; 2 báo cáo; tích hợp 1 dịch vụ; &gt;=35 test case; CI/CD hoặc deploy cloud.</v>
      </c>
      <c r="L3177" t="str">
        <f>'Huong dan giao do an'!$B$31</f>
        <v>Bắt buộc: Charter/PMP; SRS + scope/WBS; Gantt/baseline; effort-cost budget; RACI/timesheet; quality-test-defect; communication/minutes; risk register; procurement; change log; closure/lessons learned.</v>
      </c>
      <c r="M3177" t="str">
        <f>'Huong dan giao do an'!$B$33</f>
        <v>Tuần 1: 07.09–13.09.2026; Tuần 2: 14.09–20.09.2026; Tuần 3: 21.09–27.09.2026; Tuần 4: 28.09–04.10.2026; Tuần 5: 05.10–11.10.2026; Tuần 6: 12.10–18.10.2026; Tuần 7: 19.10–25.10.2026; Tuần 8: 26.10–01.11.2026.</v>
      </c>
      <c r="N31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7" s="17" t="str">
        <f t="shared" si="49"/>
        <v>Còn trống</v>
      </c>
    </row>
    <row r="3178" spans="1:16" x14ac:dyDescent="0.3">
      <c r="A3178">
        <v>3177</v>
      </c>
      <c r="B3178" t="s">
        <v>7123</v>
      </c>
      <c r="C3178" t="s">
        <v>7304</v>
      </c>
      <c r="D3178" t="s">
        <v>7305</v>
      </c>
      <c r="E3178" t="s">
        <v>33</v>
      </c>
      <c r="F3178" t="s">
        <v>7131</v>
      </c>
      <c r="G3178" t="s">
        <v>7182</v>
      </c>
      <c r="H3178" t="str">
        <f>'Huong dan giao do an'!$B$14</f>
        <v>5 SV (vai trò chính): 1 PM/Scrum Master kiêm Integration; 2 BA/PO; 3 UI-UX + Frontend; 4 Backend/API + DevOps; 5 Database + QA/Tester. Mỗi SV có nhiệm vụ phụ và minh chứng cá nhân.</v>
      </c>
      <c r="I3178" t="s">
        <v>29</v>
      </c>
      <c r="J3178" t="s">
        <v>7133</v>
      </c>
      <c r="K3178" t="str">
        <f>IF(I3178="Trung bình",'Huong dan giao do an'!$B$8,IF(I3178="Khá",'Huong dan giao do an'!$B$9,'Huong dan giao do an'!$B$10))</f>
        <v>Tối thiểu 5 actor; 14-18 use case; 10-15 bảng; 4 quy trình; tích hợp ngoài/realtime hoặc xử lý nâng cao; 3 báo cáo; &gt;=45 test case; logging, backup và deploy.</v>
      </c>
      <c r="L3178" t="str">
        <f>'Huong dan giao do an'!$B$31</f>
        <v>Bắt buộc: Charter/PMP; SRS + scope/WBS; Gantt/baseline; effort-cost budget; RACI/timesheet; quality-test-defect; communication/minutes; risk register; procurement; change log; closure/lessons learned.</v>
      </c>
      <c r="M3178" t="str">
        <f>'Huong dan giao do an'!$B$33</f>
        <v>Tuần 1: 07.09–13.09.2026; Tuần 2: 14.09–20.09.2026; Tuần 3: 21.09–27.09.2026; Tuần 4: 28.09–04.10.2026; Tuần 5: 05.10–11.10.2026; Tuần 6: 12.10–18.10.2026; Tuần 7: 19.10–25.10.2026; Tuần 8: 26.10–01.11.2026.</v>
      </c>
      <c r="N31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8" s="17" t="str">
        <f t="shared" si="49"/>
        <v>Còn trống</v>
      </c>
    </row>
    <row r="3179" spans="1:16" x14ac:dyDescent="0.3">
      <c r="A3179">
        <v>3178</v>
      </c>
      <c r="B3179" t="s">
        <v>7123</v>
      </c>
      <c r="C3179" t="s">
        <v>7306</v>
      </c>
      <c r="D3179" t="s">
        <v>7307</v>
      </c>
      <c r="E3179" t="s">
        <v>40</v>
      </c>
      <c r="F3179" t="s">
        <v>7136</v>
      </c>
      <c r="G3179" t="s">
        <v>7185</v>
      </c>
      <c r="H3179" t="str">
        <f>'Huong dan giao do an'!$B$14</f>
        <v>5 SV (vai trò chính): 1 PM/Scrum Master kiêm Integration; 2 BA/PO; 3 UI-UX + Frontend; 4 Backend/API + DevOps; 5 Database + QA/Tester. Mỗi SV có nhiệm vụ phụ và minh chứng cá nhân.</v>
      </c>
      <c r="I3179" t="s">
        <v>36</v>
      </c>
      <c r="J3179" t="s">
        <v>7138</v>
      </c>
      <c r="K3179" t="str">
        <f>IF(I3179="Trung bình",'Huong dan giao do an'!$B$8,IF(I3179="Khá",'Huong dan giao do an'!$B$9,'Huong dan giao do an'!$B$10))</f>
        <v>Tối thiểu 3 actor; 8-10 use case; 6-8 bảng dữ liệu; 2 quy trình lõi; đăng nhập/RBAC; 1 dashboard; 1 báo cáo; &gt;=25 test case; triển khai bản demo.</v>
      </c>
      <c r="L3179" t="str">
        <f>'Huong dan giao do an'!$B$31</f>
        <v>Bắt buộc: Charter/PMP; SRS + scope/WBS; Gantt/baseline; effort-cost budget; RACI/timesheet; quality-test-defect; communication/minutes; risk register; procurement; change log; closure/lessons learned.</v>
      </c>
      <c r="M3179" t="str">
        <f>'Huong dan giao do an'!$B$33</f>
        <v>Tuần 1: 07.09–13.09.2026; Tuần 2: 14.09–20.09.2026; Tuần 3: 21.09–27.09.2026; Tuần 4: 28.09–04.10.2026; Tuần 5: 05.10–11.10.2026; Tuần 6: 12.10–18.10.2026; Tuần 7: 19.10–25.10.2026; Tuần 8: 26.10–01.11.2026.</v>
      </c>
      <c r="N31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79" s="17" t="str">
        <f t="shared" si="49"/>
        <v>Còn trống</v>
      </c>
    </row>
    <row r="3180" spans="1:16" x14ac:dyDescent="0.3">
      <c r="A3180">
        <v>3179</v>
      </c>
      <c r="B3180" t="s">
        <v>7123</v>
      </c>
      <c r="C3180" t="s">
        <v>7308</v>
      </c>
      <c r="D3180" t="s">
        <v>7309</v>
      </c>
      <c r="E3180" t="s">
        <v>45</v>
      </c>
      <c r="F3180" t="s">
        <v>7141</v>
      </c>
      <c r="G3180" t="s">
        <v>7188</v>
      </c>
      <c r="H3180" t="str">
        <f>'Huong dan giao do an'!$B$14</f>
        <v>5 SV (vai trò chính): 1 PM/Scrum Master kiêm Integration; 2 BA/PO; 3 UI-UX + Frontend; 4 Backend/API + DevOps; 5 Database + QA/Tester. Mỗi SV có nhiệm vụ phụ và minh chứng cá nhân.</v>
      </c>
      <c r="I3180" t="s">
        <v>22</v>
      </c>
      <c r="J3180" t="s">
        <v>7128</v>
      </c>
      <c r="K3180" t="str">
        <f>IF(I3180="Trung bình",'Huong dan giao do an'!$B$8,IF(I3180="Khá",'Huong dan giao do an'!$B$9,'Huong dan giao do an'!$B$10))</f>
        <v>Tối thiểu 4 actor; 10-14 use case; 8-12 bảng; 3 quy trình lõi; phân quyền chi tiết; 2 báo cáo; tích hợp 1 dịch vụ; &gt;=35 test case; CI/CD hoặc deploy cloud.</v>
      </c>
      <c r="L3180" t="str">
        <f>'Huong dan giao do an'!$B$31</f>
        <v>Bắt buộc: Charter/PMP; SRS + scope/WBS; Gantt/baseline; effort-cost budget; RACI/timesheet; quality-test-defect; communication/minutes; risk register; procurement; change log; closure/lessons learned.</v>
      </c>
      <c r="M3180" t="str">
        <f>'Huong dan giao do an'!$B$33</f>
        <v>Tuần 1: 07.09–13.09.2026; Tuần 2: 14.09–20.09.2026; Tuần 3: 21.09–27.09.2026; Tuần 4: 28.09–04.10.2026; Tuần 5: 05.10–11.10.2026; Tuần 6: 12.10–18.10.2026; Tuần 7: 19.10–25.10.2026; Tuần 8: 26.10–01.11.2026.</v>
      </c>
      <c r="N31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0" s="17" t="str">
        <f t="shared" si="49"/>
        <v>Còn trống</v>
      </c>
    </row>
    <row r="3181" spans="1:16" x14ac:dyDescent="0.3">
      <c r="A3181">
        <v>3180</v>
      </c>
      <c r="B3181" t="s">
        <v>7123</v>
      </c>
      <c r="C3181" t="s">
        <v>7310</v>
      </c>
      <c r="D3181" t="s">
        <v>7311</v>
      </c>
      <c r="E3181" t="s">
        <v>19</v>
      </c>
      <c r="F3181" t="s">
        <v>7145</v>
      </c>
      <c r="G3181" t="s">
        <v>7191</v>
      </c>
      <c r="H3181" t="str">
        <f>'Huong dan giao do an'!$B$14</f>
        <v>5 SV (vai trò chính): 1 PM/Scrum Master kiêm Integration; 2 BA/PO; 3 UI-UX + Frontend; 4 Backend/API + DevOps; 5 Database + QA/Tester. Mỗi SV có nhiệm vụ phụ và minh chứng cá nhân.</v>
      </c>
      <c r="I3181" t="s">
        <v>29</v>
      </c>
      <c r="J3181" t="s">
        <v>7133</v>
      </c>
      <c r="K3181" t="str">
        <f>IF(I3181="Trung bình",'Huong dan giao do an'!$B$8,IF(I3181="Khá",'Huong dan giao do an'!$B$9,'Huong dan giao do an'!$B$10))</f>
        <v>Tối thiểu 5 actor; 14-18 use case; 10-15 bảng; 4 quy trình; tích hợp ngoài/realtime hoặc xử lý nâng cao; 3 báo cáo; &gt;=45 test case; logging, backup và deploy.</v>
      </c>
      <c r="L3181" t="str">
        <f>'Huong dan giao do an'!$B$31</f>
        <v>Bắt buộc: Charter/PMP; SRS + scope/WBS; Gantt/baseline; effort-cost budget; RACI/timesheet; quality-test-defect; communication/minutes; risk register; procurement; change log; closure/lessons learned.</v>
      </c>
      <c r="M3181" t="str">
        <f>'Huong dan giao do an'!$B$33</f>
        <v>Tuần 1: 07.09–13.09.2026; Tuần 2: 14.09–20.09.2026; Tuần 3: 21.09–27.09.2026; Tuần 4: 28.09–04.10.2026; Tuần 5: 05.10–11.10.2026; Tuần 6: 12.10–18.10.2026; Tuần 7: 19.10–25.10.2026; Tuần 8: 26.10–01.11.2026.</v>
      </c>
      <c r="N31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1" s="17" t="str">
        <f t="shared" si="49"/>
        <v>Còn trống</v>
      </c>
    </row>
    <row r="3182" spans="1:16" x14ac:dyDescent="0.3">
      <c r="A3182">
        <v>3181</v>
      </c>
      <c r="B3182" t="s">
        <v>7123</v>
      </c>
      <c r="C3182" t="s">
        <v>7312</v>
      </c>
      <c r="D3182" t="s">
        <v>7313</v>
      </c>
      <c r="E3182" t="s">
        <v>26</v>
      </c>
      <c r="F3182" t="s">
        <v>7126</v>
      </c>
      <c r="G3182" t="s">
        <v>7127</v>
      </c>
      <c r="H3182" t="str">
        <f>'Huong dan giao do an'!$B$14</f>
        <v>5 SV (vai trò chính): 1 PM/Scrum Master kiêm Integration; 2 BA/PO; 3 UI-UX + Frontend; 4 Backend/API + DevOps; 5 Database + QA/Tester. Mỗi SV có nhiệm vụ phụ và minh chứng cá nhân.</v>
      </c>
      <c r="I3182" t="s">
        <v>22</v>
      </c>
      <c r="J3182" t="s">
        <v>7128</v>
      </c>
      <c r="K3182" t="str">
        <f>IF(I3182="Trung bình",'Huong dan giao do an'!$B$8,IF(I3182="Khá",'Huong dan giao do an'!$B$9,'Huong dan giao do an'!$B$10))</f>
        <v>Tối thiểu 4 actor; 10-14 use case; 8-12 bảng; 3 quy trình lõi; phân quyền chi tiết; 2 báo cáo; tích hợp 1 dịch vụ; &gt;=35 test case; CI/CD hoặc deploy cloud.</v>
      </c>
      <c r="L3182" t="str">
        <f>'Huong dan giao do an'!$B$31</f>
        <v>Bắt buộc: Charter/PMP; SRS + scope/WBS; Gantt/baseline; effort-cost budget; RACI/timesheet; quality-test-defect; communication/minutes; risk register; procurement; change log; closure/lessons learned.</v>
      </c>
      <c r="M3182" t="str">
        <f>'Huong dan giao do an'!$B$33</f>
        <v>Tuần 1: 07.09–13.09.2026; Tuần 2: 14.09–20.09.2026; Tuần 3: 21.09–27.09.2026; Tuần 4: 28.09–04.10.2026; Tuần 5: 05.10–11.10.2026; Tuần 6: 12.10–18.10.2026; Tuần 7: 19.10–25.10.2026; Tuần 8: 26.10–01.11.2026.</v>
      </c>
      <c r="N31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2" s="17" t="str">
        <f t="shared" si="49"/>
        <v>Còn trống</v>
      </c>
    </row>
    <row r="3183" spans="1:16" x14ac:dyDescent="0.3">
      <c r="A3183">
        <v>3182</v>
      </c>
      <c r="B3183" t="s">
        <v>7123</v>
      </c>
      <c r="C3183" t="s">
        <v>7314</v>
      </c>
      <c r="D3183" t="s">
        <v>7315</v>
      </c>
      <c r="E3183" t="s">
        <v>33</v>
      </c>
      <c r="F3183" t="s">
        <v>7131</v>
      </c>
      <c r="G3183" t="s">
        <v>7132</v>
      </c>
      <c r="H3183" t="str">
        <f>'Huong dan giao do an'!$B$14</f>
        <v>5 SV (vai trò chính): 1 PM/Scrum Master kiêm Integration; 2 BA/PO; 3 UI-UX + Frontend; 4 Backend/API + DevOps; 5 Database + QA/Tester. Mỗi SV có nhiệm vụ phụ và minh chứng cá nhân.</v>
      </c>
      <c r="I3183" t="s">
        <v>29</v>
      </c>
      <c r="J3183" t="s">
        <v>7133</v>
      </c>
      <c r="K3183" t="str">
        <f>IF(I3183="Trung bình",'Huong dan giao do an'!$B$8,IF(I3183="Khá",'Huong dan giao do an'!$B$9,'Huong dan giao do an'!$B$10))</f>
        <v>Tối thiểu 5 actor; 14-18 use case; 10-15 bảng; 4 quy trình; tích hợp ngoài/realtime hoặc xử lý nâng cao; 3 báo cáo; &gt;=45 test case; logging, backup và deploy.</v>
      </c>
      <c r="L3183" t="str">
        <f>'Huong dan giao do an'!$B$31</f>
        <v>Bắt buộc: Charter/PMP; SRS + scope/WBS; Gantt/baseline; effort-cost budget; RACI/timesheet; quality-test-defect; communication/minutes; risk register; procurement; change log; closure/lessons learned.</v>
      </c>
      <c r="M3183" t="str">
        <f>'Huong dan giao do an'!$B$33</f>
        <v>Tuần 1: 07.09–13.09.2026; Tuần 2: 14.09–20.09.2026; Tuần 3: 21.09–27.09.2026; Tuần 4: 28.09–04.10.2026; Tuần 5: 05.10–11.10.2026; Tuần 6: 12.10–18.10.2026; Tuần 7: 19.10–25.10.2026; Tuần 8: 26.10–01.11.2026.</v>
      </c>
      <c r="N31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3" s="17" t="str">
        <f t="shared" si="49"/>
        <v>Còn trống</v>
      </c>
    </row>
    <row r="3184" spans="1:16" x14ac:dyDescent="0.3">
      <c r="A3184">
        <v>3183</v>
      </c>
      <c r="B3184" t="s">
        <v>7123</v>
      </c>
      <c r="C3184" t="s">
        <v>7316</v>
      </c>
      <c r="D3184" t="s">
        <v>7317</v>
      </c>
      <c r="E3184" t="s">
        <v>40</v>
      </c>
      <c r="F3184" t="s">
        <v>7136</v>
      </c>
      <c r="G3184" t="s">
        <v>7137</v>
      </c>
      <c r="H3184" t="str">
        <f>'Huong dan giao do an'!$B$14</f>
        <v>5 SV (vai trò chính): 1 PM/Scrum Master kiêm Integration; 2 BA/PO; 3 UI-UX + Frontend; 4 Backend/API + DevOps; 5 Database + QA/Tester. Mỗi SV có nhiệm vụ phụ và minh chứng cá nhân.</v>
      </c>
      <c r="I3184" t="s">
        <v>36</v>
      </c>
      <c r="J3184" t="s">
        <v>7138</v>
      </c>
      <c r="K3184" t="str">
        <f>IF(I3184="Trung bình",'Huong dan giao do an'!$B$8,IF(I3184="Khá",'Huong dan giao do an'!$B$9,'Huong dan giao do an'!$B$10))</f>
        <v>Tối thiểu 3 actor; 8-10 use case; 6-8 bảng dữ liệu; 2 quy trình lõi; đăng nhập/RBAC; 1 dashboard; 1 báo cáo; &gt;=25 test case; triển khai bản demo.</v>
      </c>
      <c r="L3184" t="str">
        <f>'Huong dan giao do an'!$B$31</f>
        <v>Bắt buộc: Charter/PMP; SRS + scope/WBS; Gantt/baseline; effort-cost budget; RACI/timesheet; quality-test-defect; communication/minutes; risk register; procurement; change log; closure/lessons learned.</v>
      </c>
      <c r="M3184" t="str">
        <f>'Huong dan giao do an'!$B$33</f>
        <v>Tuần 1: 07.09–13.09.2026; Tuần 2: 14.09–20.09.2026; Tuần 3: 21.09–27.09.2026; Tuần 4: 28.09–04.10.2026; Tuần 5: 05.10–11.10.2026; Tuần 6: 12.10–18.10.2026; Tuần 7: 19.10–25.10.2026; Tuần 8: 26.10–01.11.2026.</v>
      </c>
      <c r="N31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4" s="17" t="str">
        <f t="shared" si="49"/>
        <v>Còn trống</v>
      </c>
    </row>
    <row r="3185" spans="1:16" x14ac:dyDescent="0.3">
      <c r="A3185">
        <v>3184</v>
      </c>
      <c r="B3185" t="s">
        <v>7123</v>
      </c>
      <c r="C3185" t="s">
        <v>7318</v>
      </c>
      <c r="D3185" t="s">
        <v>7319</v>
      </c>
      <c r="E3185" t="s">
        <v>45</v>
      </c>
      <c r="F3185" t="s">
        <v>7141</v>
      </c>
      <c r="G3185" t="s">
        <v>7142</v>
      </c>
      <c r="H3185" t="str">
        <f>'Huong dan giao do an'!$B$14</f>
        <v>5 SV (vai trò chính): 1 PM/Scrum Master kiêm Integration; 2 BA/PO; 3 UI-UX + Frontend; 4 Backend/API + DevOps; 5 Database + QA/Tester. Mỗi SV có nhiệm vụ phụ và minh chứng cá nhân.</v>
      </c>
      <c r="I3185" t="s">
        <v>22</v>
      </c>
      <c r="J3185" t="s">
        <v>7128</v>
      </c>
      <c r="K3185" t="str">
        <f>IF(I3185="Trung bình",'Huong dan giao do an'!$B$8,IF(I3185="Khá",'Huong dan giao do an'!$B$9,'Huong dan giao do an'!$B$10))</f>
        <v>Tối thiểu 4 actor; 10-14 use case; 8-12 bảng; 3 quy trình lõi; phân quyền chi tiết; 2 báo cáo; tích hợp 1 dịch vụ; &gt;=35 test case; CI/CD hoặc deploy cloud.</v>
      </c>
      <c r="L3185" t="str">
        <f>'Huong dan giao do an'!$B$31</f>
        <v>Bắt buộc: Charter/PMP; SRS + scope/WBS; Gantt/baseline; effort-cost budget; RACI/timesheet; quality-test-defect; communication/minutes; risk register; procurement; change log; closure/lessons learned.</v>
      </c>
      <c r="M3185" t="str">
        <f>'Huong dan giao do an'!$B$33</f>
        <v>Tuần 1: 07.09–13.09.2026; Tuần 2: 14.09–20.09.2026; Tuần 3: 21.09–27.09.2026; Tuần 4: 28.09–04.10.2026; Tuần 5: 05.10–11.10.2026; Tuần 6: 12.10–18.10.2026; Tuần 7: 19.10–25.10.2026; Tuần 8: 26.10–01.11.2026.</v>
      </c>
      <c r="N31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5" s="17" t="str">
        <f t="shared" si="49"/>
        <v>Còn trống</v>
      </c>
    </row>
    <row r="3186" spans="1:16" x14ac:dyDescent="0.3">
      <c r="A3186">
        <v>3185</v>
      </c>
      <c r="B3186" t="s">
        <v>7123</v>
      </c>
      <c r="C3186" t="s">
        <v>7320</v>
      </c>
      <c r="D3186" t="s">
        <v>7321</v>
      </c>
      <c r="E3186" t="s">
        <v>19</v>
      </c>
      <c r="F3186" t="s">
        <v>7145</v>
      </c>
      <c r="G3186" t="s">
        <v>7146</v>
      </c>
      <c r="H3186" t="str">
        <f>'Huong dan giao do an'!$B$14</f>
        <v>5 SV (vai trò chính): 1 PM/Scrum Master kiêm Integration; 2 BA/PO; 3 UI-UX + Frontend; 4 Backend/API + DevOps; 5 Database + QA/Tester. Mỗi SV có nhiệm vụ phụ và minh chứng cá nhân.</v>
      </c>
      <c r="I3186" t="s">
        <v>29</v>
      </c>
      <c r="J3186" t="s">
        <v>7133</v>
      </c>
      <c r="K3186" t="str">
        <f>IF(I3186="Trung bình",'Huong dan giao do an'!$B$8,IF(I3186="Khá",'Huong dan giao do an'!$B$9,'Huong dan giao do an'!$B$10))</f>
        <v>Tối thiểu 5 actor; 14-18 use case; 10-15 bảng; 4 quy trình; tích hợp ngoài/realtime hoặc xử lý nâng cao; 3 báo cáo; &gt;=45 test case; logging, backup và deploy.</v>
      </c>
      <c r="L3186" t="str">
        <f>'Huong dan giao do an'!$B$31</f>
        <v>Bắt buộc: Charter/PMP; SRS + scope/WBS; Gantt/baseline; effort-cost budget; RACI/timesheet; quality-test-defect; communication/minutes; risk register; procurement; change log; closure/lessons learned.</v>
      </c>
      <c r="M3186" t="str">
        <f>'Huong dan giao do an'!$B$33</f>
        <v>Tuần 1: 07.09–13.09.2026; Tuần 2: 14.09–20.09.2026; Tuần 3: 21.09–27.09.2026; Tuần 4: 28.09–04.10.2026; Tuần 5: 05.10–11.10.2026; Tuần 6: 12.10–18.10.2026; Tuần 7: 19.10–25.10.2026; Tuần 8: 26.10–01.11.2026.</v>
      </c>
      <c r="N31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6" s="17" t="str">
        <f t="shared" si="49"/>
        <v>Còn trống</v>
      </c>
    </row>
    <row r="3187" spans="1:16" x14ac:dyDescent="0.3">
      <c r="A3187">
        <v>3186</v>
      </c>
      <c r="B3187" t="s">
        <v>7123</v>
      </c>
      <c r="C3187" t="s">
        <v>7322</v>
      </c>
      <c r="D3187" t="s">
        <v>7323</v>
      </c>
      <c r="E3187" t="s">
        <v>26</v>
      </c>
      <c r="F3187" t="s">
        <v>7126</v>
      </c>
      <c r="G3187" t="s">
        <v>7149</v>
      </c>
      <c r="H3187" t="str">
        <f>'Huong dan giao do an'!$B$14</f>
        <v>5 SV (vai trò chính): 1 PM/Scrum Master kiêm Integration; 2 BA/PO; 3 UI-UX + Frontend; 4 Backend/API + DevOps; 5 Database + QA/Tester. Mỗi SV có nhiệm vụ phụ và minh chứng cá nhân.</v>
      </c>
      <c r="I3187" t="s">
        <v>36</v>
      </c>
      <c r="J3187" t="s">
        <v>7138</v>
      </c>
      <c r="K3187" t="str">
        <f>IF(I3187="Trung bình",'Huong dan giao do an'!$B$8,IF(I3187="Khá",'Huong dan giao do an'!$B$9,'Huong dan giao do an'!$B$10))</f>
        <v>Tối thiểu 3 actor; 8-10 use case; 6-8 bảng dữ liệu; 2 quy trình lõi; đăng nhập/RBAC; 1 dashboard; 1 báo cáo; &gt;=25 test case; triển khai bản demo.</v>
      </c>
      <c r="L3187" t="str">
        <f>'Huong dan giao do an'!$B$31</f>
        <v>Bắt buộc: Charter/PMP; SRS + scope/WBS; Gantt/baseline; effort-cost budget; RACI/timesheet; quality-test-defect; communication/minutes; risk register; procurement; change log; closure/lessons learned.</v>
      </c>
      <c r="M3187" t="str">
        <f>'Huong dan giao do an'!$B$33</f>
        <v>Tuần 1: 07.09–13.09.2026; Tuần 2: 14.09–20.09.2026; Tuần 3: 21.09–27.09.2026; Tuần 4: 28.09–04.10.2026; Tuần 5: 05.10–11.10.2026; Tuần 6: 12.10–18.10.2026; Tuần 7: 19.10–25.10.2026; Tuần 8: 26.10–01.11.2026.</v>
      </c>
      <c r="N31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7" s="17" t="str">
        <f t="shared" si="49"/>
        <v>Còn trống</v>
      </c>
    </row>
    <row r="3188" spans="1:16" x14ac:dyDescent="0.3">
      <c r="A3188">
        <v>3187</v>
      </c>
      <c r="B3188" t="s">
        <v>7123</v>
      </c>
      <c r="C3188" t="s">
        <v>7324</v>
      </c>
      <c r="D3188" t="s">
        <v>7325</v>
      </c>
      <c r="E3188" t="s">
        <v>33</v>
      </c>
      <c r="F3188" t="s">
        <v>7131</v>
      </c>
      <c r="G3188" t="s">
        <v>7152</v>
      </c>
      <c r="H3188" t="str">
        <f>'Huong dan giao do an'!$B$14</f>
        <v>5 SV (vai trò chính): 1 PM/Scrum Master kiêm Integration; 2 BA/PO; 3 UI-UX + Frontend; 4 Backend/API + DevOps; 5 Database + QA/Tester. Mỗi SV có nhiệm vụ phụ và minh chứng cá nhân.</v>
      </c>
      <c r="I3188" t="s">
        <v>22</v>
      </c>
      <c r="J3188" t="s">
        <v>7128</v>
      </c>
      <c r="K3188" t="str">
        <f>IF(I3188="Trung bình",'Huong dan giao do an'!$B$8,IF(I3188="Khá",'Huong dan giao do an'!$B$9,'Huong dan giao do an'!$B$10))</f>
        <v>Tối thiểu 4 actor; 10-14 use case; 8-12 bảng; 3 quy trình lõi; phân quyền chi tiết; 2 báo cáo; tích hợp 1 dịch vụ; &gt;=35 test case; CI/CD hoặc deploy cloud.</v>
      </c>
      <c r="L3188" t="str">
        <f>'Huong dan giao do an'!$B$31</f>
        <v>Bắt buộc: Charter/PMP; SRS + scope/WBS; Gantt/baseline; effort-cost budget; RACI/timesheet; quality-test-defect; communication/minutes; risk register; procurement; change log; closure/lessons learned.</v>
      </c>
      <c r="M3188" t="str">
        <f>'Huong dan giao do an'!$B$33</f>
        <v>Tuần 1: 07.09–13.09.2026; Tuần 2: 14.09–20.09.2026; Tuần 3: 21.09–27.09.2026; Tuần 4: 28.09–04.10.2026; Tuần 5: 05.10–11.10.2026; Tuần 6: 12.10–18.10.2026; Tuần 7: 19.10–25.10.2026; Tuần 8: 26.10–01.11.2026.</v>
      </c>
      <c r="N31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8" s="17" t="str">
        <f t="shared" si="49"/>
        <v>Còn trống</v>
      </c>
    </row>
    <row r="3189" spans="1:16" x14ac:dyDescent="0.3">
      <c r="A3189">
        <v>3188</v>
      </c>
      <c r="B3189" t="s">
        <v>7123</v>
      </c>
      <c r="C3189" t="s">
        <v>7326</v>
      </c>
      <c r="D3189" t="s">
        <v>7327</v>
      </c>
      <c r="E3189" t="s">
        <v>40</v>
      </c>
      <c r="F3189" t="s">
        <v>7136</v>
      </c>
      <c r="G3189" t="s">
        <v>7155</v>
      </c>
      <c r="H3189" t="str">
        <f>'Huong dan giao do an'!$B$14</f>
        <v>5 SV (vai trò chính): 1 PM/Scrum Master kiêm Integration; 2 BA/PO; 3 UI-UX + Frontend; 4 Backend/API + DevOps; 5 Database + QA/Tester. Mỗi SV có nhiệm vụ phụ và minh chứng cá nhân.</v>
      </c>
      <c r="I3189" t="s">
        <v>29</v>
      </c>
      <c r="J3189" t="s">
        <v>7133</v>
      </c>
      <c r="K3189" t="str">
        <f>IF(I3189="Trung bình",'Huong dan giao do an'!$B$8,IF(I3189="Khá",'Huong dan giao do an'!$B$9,'Huong dan giao do an'!$B$10))</f>
        <v>Tối thiểu 5 actor; 14-18 use case; 10-15 bảng; 4 quy trình; tích hợp ngoài/realtime hoặc xử lý nâng cao; 3 báo cáo; &gt;=45 test case; logging, backup và deploy.</v>
      </c>
      <c r="L3189" t="str">
        <f>'Huong dan giao do an'!$B$31</f>
        <v>Bắt buộc: Charter/PMP; SRS + scope/WBS; Gantt/baseline; effort-cost budget; RACI/timesheet; quality-test-defect; communication/minutes; risk register; procurement; change log; closure/lessons learned.</v>
      </c>
      <c r="M3189" t="str">
        <f>'Huong dan giao do an'!$B$33</f>
        <v>Tuần 1: 07.09–13.09.2026; Tuần 2: 14.09–20.09.2026; Tuần 3: 21.09–27.09.2026; Tuần 4: 28.09–04.10.2026; Tuần 5: 05.10–11.10.2026; Tuần 6: 12.10–18.10.2026; Tuần 7: 19.10–25.10.2026; Tuần 8: 26.10–01.11.2026.</v>
      </c>
      <c r="N31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89" s="17" t="str">
        <f t="shared" si="49"/>
        <v>Còn trống</v>
      </c>
    </row>
    <row r="3190" spans="1:16" x14ac:dyDescent="0.3">
      <c r="A3190">
        <v>3189</v>
      </c>
      <c r="B3190" t="s">
        <v>7123</v>
      </c>
      <c r="C3190" t="s">
        <v>7328</v>
      </c>
      <c r="D3190" t="s">
        <v>7329</v>
      </c>
      <c r="E3190" t="s">
        <v>45</v>
      </c>
      <c r="F3190" t="s">
        <v>7141</v>
      </c>
      <c r="G3190" t="s">
        <v>7158</v>
      </c>
      <c r="H3190" t="str">
        <f>'Huong dan giao do an'!$B$14</f>
        <v>5 SV (vai trò chính): 1 PM/Scrum Master kiêm Integration; 2 BA/PO; 3 UI-UX + Frontend; 4 Backend/API + DevOps; 5 Database + QA/Tester. Mỗi SV có nhiệm vụ phụ và minh chứng cá nhân.</v>
      </c>
      <c r="I3190" t="s">
        <v>36</v>
      </c>
      <c r="J3190" t="s">
        <v>7138</v>
      </c>
      <c r="K3190" t="str">
        <f>IF(I3190="Trung bình",'Huong dan giao do an'!$B$8,IF(I3190="Khá",'Huong dan giao do an'!$B$9,'Huong dan giao do an'!$B$10))</f>
        <v>Tối thiểu 3 actor; 8-10 use case; 6-8 bảng dữ liệu; 2 quy trình lõi; đăng nhập/RBAC; 1 dashboard; 1 báo cáo; &gt;=25 test case; triển khai bản demo.</v>
      </c>
      <c r="L3190" t="str">
        <f>'Huong dan giao do an'!$B$31</f>
        <v>Bắt buộc: Charter/PMP; SRS + scope/WBS; Gantt/baseline; effort-cost budget; RACI/timesheet; quality-test-defect; communication/minutes; risk register; procurement; change log; closure/lessons learned.</v>
      </c>
      <c r="M3190" t="str">
        <f>'Huong dan giao do an'!$B$33</f>
        <v>Tuần 1: 07.09–13.09.2026; Tuần 2: 14.09–20.09.2026; Tuần 3: 21.09–27.09.2026; Tuần 4: 28.09–04.10.2026; Tuần 5: 05.10–11.10.2026; Tuần 6: 12.10–18.10.2026; Tuần 7: 19.10–25.10.2026; Tuần 8: 26.10–01.11.2026.</v>
      </c>
      <c r="N31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0" s="17" t="str">
        <f t="shared" si="49"/>
        <v>Còn trống</v>
      </c>
    </row>
    <row r="3191" spans="1:16" x14ac:dyDescent="0.3">
      <c r="A3191">
        <v>3190</v>
      </c>
      <c r="B3191" t="s">
        <v>7123</v>
      </c>
      <c r="C3191" t="s">
        <v>7330</v>
      </c>
      <c r="D3191" t="s">
        <v>7331</v>
      </c>
      <c r="E3191" t="s">
        <v>19</v>
      </c>
      <c r="F3191" t="s">
        <v>7145</v>
      </c>
      <c r="G3191" t="s">
        <v>7161</v>
      </c>
      <c r="H3191" t="str">
        <f>'Huong dan giao do an'!$B$14</f>
        <v>5 SV (vai trò chính): 1 PM/Scrum Master kiêm Integration; 2 BA/PO; 3 UI-UX + Frontend; 4 Backend/API + DevOps; 5 Database + QA/Tester. Mỗi SV có nhiệm vụ phụ và minh chứng cá nhân.</v>
      </c>
      <c r="I3191" t="s">
        <v>22</v>
      </c>
      <c r="J3191" t="s">
        <v>7128</v>
      </c>
      <c r="K3191" t="str">
        <f>IF(I3191="Trung bình",'Huong dan giao do an'!$B$8,IF(I3191="Khá",'Huong dan giao do an'!$B$9,'Huong dan giao do an'!$B$10))</f>
        <v>Tối thiểu 4 actor; 10-14 use case; 8-12 bảng; 3 quy trình lõi; phân quyền chi tiết; 2 báo cáo; tích hợp 1 dịch vụ; &gt;=35 test case; CI/CD hoặc deploy cloud.</v>
      </c>
      <c r="L3191" t="str">
        <f>'Huong dan giao do an'!$B$31</f>
        <v>Bắt buộc: Charter/PMP; SRS + scope/WBS; Gantt/baseline; effort-cost budget; RACI/timesheet; quality-test-defect; communication/minutes; risk register; procurement; change log; closure/lessons learned.</v>
      </c>
      <c r="M3191" t="str">
        <f>'Huong dan giao do an'!$B$33</f>
        <v>Tuần 1: 07.09–13.09.2026; Tuần 2: 14.09–20.09.2026; Tuần 3: 21.09–27.09.2026; Tuần 4: 28.09–04.10.2026; Tuần 5: 05.10–11.10.2026; Tuần 6: 12.10–18.10.2026; Tuần 7: 19.10–25.10.2026; Tuần 8: 26.10–01.11.2026.</v>
      </c>
      <c r="N31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1" s="17" t="str">
        <f t="shared" si="49"/>
        <v>Còn trống</v>
      </c>
    </row>
    <row r="3192" spans="1:16" x14ac:dyDescent="0.3">
      <c r="A3192">
        <v>3191</v>
      </c>
      <c r="B3192" t="s">
        <v>7123</v>
      </c>
      <c r="C3192" t="s">
        <v>7332</v>
      </c>
      <c r="D3192" t="s">
        <v>7333</v>
      </c>
      <c r="E3192" t="s">
        <v>26</v>
      </c>
      <c r="F3192" t="s">
        <v>7126</v>
      </c>
      <c r="G3192" t="s">
        <v>7164</v>
      </c>
      <c r="H3192" t="str">
        <f>'Huong dan giao do an'!$B$14</f>
        <v>5 SV (vai trò chính): 1 PM/Scrum Master kiêm Integration; 2 BA/PO; 3 UI-UX + Frontend; 4 Backend/API + DevOps; 5 Database + QA/Tester. Mỗi SV có nhiệm vụ phụ và minh chứng cá nhân.</v>
      </c>
      <c r="I3192" t="s">
        <v>29</v>
      </c>
      <c r="J3192" t="s">
        <v>7133</v>
      </c>
      <c r="K3192" t="str">
        <f>IF(I3192="Trung bình",'Huong dan giao do an'!$B$8,IF(I3192="Khá",'Huong dan giao do an'!$B$9,'Huong dan giao do an'!$B$10))</f>
        <v>Tối thiểu 5 actor; 14-18 use case; 10-15 bảng; 4 quy trình; tích hợp ngoài/realtime hoặc xử lý nâng cao; 3 báo cáo; &gt;=45 test case; logging, backup và deploy.</v>
      </c>
      <c r="L3192" t="str">
        <f>'Huong dan giao do an'!$B$31</f>
        <v>Bắt buộc: Charter/PMP; SRS + scope/WBS; Gantt/baseline; effort-cost budget; RACI/timesheet; quality-test-defect; communication/minutes; risk register; procurement; change log; closure/lessons learned.</v>
      </c>
      <c r="M3192" t="str">
        <f>'Huong dan giao do an'!$B$33</f>
        <v>Tuần 1: 07.09–13.09.2026; Tuần 2: 14.09–20.09.2026; Tuần 3: 21.09–27.09.2026; Tuần 4: 28.09–04.10.2026; Tuần 5: 05.10–11.10.2026; Tuần 6: 12.10–18.10.2026; Tuần 7: 19.10–25.10.2026; Tuần 8: 26.10–01.11.2026.</v>
      </c>
      <c r="N31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2" s="17" t="str">
        <f t="shared" si="49"/>
        <v>Còn trống</v>
      </c>
    </row>
    <row r="3193" spans="1:16" x14ac:dyDescent="0.3">
      <c r="A3193">
        <v>3192</v>
      </c>
      <c r="B3193" t="s">
        <v>7123</v>
      </c>
      <c r="C3193" t="s">
        <v>7334</v>
      </c>
      <c r="D3193" t="s">
        <v>7335</v>
      </c>
      <c r="E3193" t="s">
        <v>33</v>
      </c>
      <c r="F3193" t="s">
        <v>7131</v>
      </c>
      <c r="G3193" t="s">
        <v>7167</v>
      </c>
      <c r="H3193" t="str">
        <f>'Huong dan giao do an'!$B$14</f>
        <v>5 SV (vai trò chính): 1 PM/Scrum Master kiêm Integration; 2 BA/PO; 3 UI-UX + Frontend; 4 Backend/API + DevOps; 5 Database + QA/Tester. Mỗi SV có nhiệm vụ phụ và minh chứng cá nhân.</v>
      </c>
      <c r="I3193" t="s">
        <v>36</v>
      </c>
      <c r="J3193" t="s">
        <v>7138</v>
      </c>
      <c r="K3193" t="str">
        <f>IF(I3193="Trung bình",'Huong dan giao do an'!$B$8,IF(I3193="Khá",'Huong dan giao do an'!$B$9,'Huong dan giao do an'!$B$10))</f>
        <v>Tối thiểu 3 actor; 8-10 use case; 6-8 bảng dữ liệu; 2 quy trình lõi; đăng nhập/RBAC; 1 dashboard; 1 báo cáo; &gt;=25 test case; triển khai bản demo.</v>
      </c>
      <c r="L3193" t="str">
        <f>'Huong dan giao do an'!$B$31</f>
        <v>Bắt buộc: Charter/PMP; SRS + scope/WBS; Gantt/baseline; effort-cost budget; RACI/timesheet; quality-test-defect; communication/minutes; risk register; procurement; change log; closure/lessons learned.</v>
      </c>
      <c r="M3193" t="str">
        <f>'Huong dan giao do an'!$B$33</f>
        <v>Tuần 1: 07.09–13.09.2026; Tuần 2: 14.09–20.09.2026; Tuần 3: 21.09–27.09.2026; Tuần 4: 28.09–04.10.2026; Tuần 5: 05.10–11.10.2026; Tuần 6: 12.10–18.10.2026; Tuần 7: 19.10–25.10.2026; Tuần 8: 26.10–01.11.2026.</v>
      </c>
      <c r="N31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3" s="17" t="str">
        <f t="shared" si="49"/>
        <v>Còn trống</v>
      </c>
    </row>
    <row r="3194" spans="1:16" x14ac:dyDescent="0.3">
      <c r="A3194">
        <v>3193</v>
      </c>
      <c r="B3194" t="s">
        <v>7123</v>
      </c>
      <c r="C3194" t="s">
        <v>7336</v>
      </c>
      <c r="D3194" t="s">
        <v>7337</v>
      </c>
      <c r="E3194" t="s">
        <v>40</v>
      </c>
      <c r="F3194" t="s">
        <v>7136</v>
      </c>
      <c r="G3194" t="s">
        <v>7170</v>
      </c>
      <c r="H3194" t="str">
        <f>'Huong dan giao do an'!$B$14</f>
        <v>5 SV (vai trò chính): 1 PM/Scrum Master kiêm Integration; 2 BA/PO; 3 UI-UX + Frontend; 4 Backend/API + DevOps; 5 Database + QA/Tester. Mỗi SV có nhiệm vụ phụ và minh chứng cá nhân.</v>
      </c>
      <c r="I3194" t="s">
        <v>22</v>
      </c>
      <c r="J3194" t="s">
        <v>7128</v>
      </c>
      <c r="K3194" t="str">
        <f>IF(I3194="Trung bình",'Huong dan giao do an'!$B$8,IF(I3194="Khá",'Huong dan giao do an'!$B$9,'Huong dan giao do an'!$B$10))</f>
        <v>Tối thiểu 4 actor; 10-14 use case; 8-12 bảng; 3 quy trình lõi; phân quyền chi tiết; 2 báo cáo; tích hợp 1 dịch vụ; &gt;=35 test case; CI/CD hoặc deploy cloud.</v>
      </c>
      <c r="L3194" t="str">
        <f>'Huong dan giao do an'!$B$31</f>
        <v>Bắt buộc: Charter/PMP; SRS + scope/WBS; Gantt/baseline; effort-cost budget; RACI/timesheet; quality-test-defect; communication/minutes; risk register; procurement; change log; closure/lessons learned.</v>
      </c>
      <c r="M3194" t="str">
        <f>'Huong dan giao do an'!$B$33</f>
        <v>Tuần 1: 07.09–13.09.2026; Tuần 2: 14.09–20.09.2026; Tuần 3: 21.09–27.09.2026; Tuần 4: 28.09–04.10.2026; Tuần 5: 05.10–11.10.2026; Tuần 6: 12.10–18.10.2026; Tuần 7: 19.10–25.10.2026; Tuần 8: 26.10–01.11.2026.</v>
      </c>
      <c r="N31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4" s="17" t="str">
        <f t="shared" si="49"/>
        <v>Còn trống</v>
      </c>
    </row>
    <row r="3195" spans="1:16" x14ac:dyDescent="0.3">
      <c r="A3195">
        <v>3194</v>
      </c>
      <c r="B3195" t="s">
        <v>7123</v>
      </c>
      <c r="C3195" t="s">
        <v>7338</v>
      </c>
      <c r="D3195" t="s">
        <v>7339</v>
      </c>
      <c r="E3195" t="s">
        <v>45</v>
      </c>
      <c r="F3195" t="s">
        <v>7141</v>
      </c>
      <c r="G3195" t="s">
        <v>7173</v>
      </c>
      <c r="H3195" t="str">
        <f>'Huong dan giao do an'!$B$14</f>
        <v>5 SV (vai trò chính): 1 PM/Scrum Master kiêm Integration; 2 BA/PO; 3 UI-UX + Frontend; 4 Backend/API + DevOps; 5 Database + QA/Tester. Mỗi SV có nhiệm vụ phụ và minh chứng cá nhân.</v>
      </c>
      <c r="I3195" t="s">
        <v>29</v>
      </c>
      <c r="J3195" t="s">
        <v>7133</v>
      </c>
      <c r="K3195" t="str">
        <f>IF(I3195="Trung bình",'Huong dan giao do an'!$B$8,IF(I3195="Khá",'Huong dan giao do an'!$B$9,'Huong dan giao do an'!$B$10))</f>
        <v>Tối thiểu 5 actor; 14-18 use case; 10-15 bảng; 4 quy trình; tích hợp ngoài/realtime hoặc xử lý nâng cao; 3 báo cáo; &gt;=45 test case; logging, backup và deploy.</v>
      </c>
      <c r="L3195" t="str">
        <f>'Huong dan giao do an'!$B$31</f>
        <v>Bắt buộc: Charter/PMP; SRS + scope/WBS; Gantt/baseline; effort-cost budget; RACI/timesheet; quality-test-defect; communication/minutes; risk register; procurement; change log; closure/lessons learned.</v>
      </c>
      <c r="M3195" t="str">
        <f>'Huong dan giao do an'!$B$33</f>
        <v>Tuần 1: 07.09–13.09.2026; Tuần 2: 14.09–20.09.2026; Tuần 3: 21.09–27.09.2026; Tuần 4: 28.09–04.10.2026; Tuần 5: 05.10–11.10.2026; Tuần 6: 12.10–18.10.2026; Tuần 7: 19.10–25.10.2026; Tuần 8: 26.10–01.11.2026.</v>
      </c>
      <c r="N31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5" s="17" t="str">
        <f t="shared" si="49"/>
        <v>Còn trống</v>
      </c>
    </row>
    <row r="3196" spans="1:16" x14ac:dyDescent="0.3">
      <c r="A3196">
        <v>3195</v>
      </c>
      <c r="B3196" t="s">
        <v>7123</v>
      </c>
      <c r="C3196" t="s">
        <v>7340</v>
      </c>
      <c r="D3196" t="s">
        <v>7341</v>
      </c>
      <c r="E3196" t="s">
        <v>19</v>
      </c>
      <c r="F3196" t="s">
        <v>7145</v>
      </c>
      <c r="G3196" t="s">
        <v>7176</v>
      </c>
      <c r="H3196" t="str">
        <f>'Huong dan giao do an'!$B$14</f>
        <v>5 SV (vai trò chính): 1 PM/Scrum Master kiêm Integration; 2 BA/PO; 3 UI-UX + Frontend; 4 Backend/API + DevOps; 5 Database + QA/Tester. Mỗi SV có nhiệm vụ phụ và minh chứng cá nhân.</v>
      </c>
      <c r="I3196" t="s">
        <v>36</v>
      </c>
      <c r="J3196" t="s">
        <v>7138</v>
      </c>
      <c r="K3196" t="str">
        <f>IF(I3196="Trung bình",'Huong dan giao do an'!$B$8,IF(I3196="Khá",'Huong dan giao do an'!$B$9,'Huong dan giao do an'!$B$10))</f>
        <v>Tối thiểu 3 actor; 8-10 use case; 6-8 bảng dữ liệu; 2 quy trình lõi; đăng nhập/RBAC; 1 dashboard; 1 báo cáo; &gt;=25 test case; triển khai bản demo.</v>
      </c>
      <c r="L3196" t="str">
        <f>'Huong dan giao do an'!$B$31</f>
        <v>Bắt buộc: Charter/PMP; SRS + scope/WBS; Gantt/baseline; effort-cost budget; RACI/timesheet; quality-test-defect; communication/minutes; risk register; procurement; change log; closure/lessons learned.</v>
      </c>
      <c r="M3196" t="str">
        <f>'Huong dan giao do an'!$B$33</f>
        <v>Tuần 1: 07.09–13.09.2026; Tuần 2: 14.09–20.09.2026; Tuần 3: 21.09–27.09.2026; Tuần 4: 28.09–04.10.2026; Tuần 5: 05.10–11.10.2026; Tuần 6: 12.10–18.10.2026; Tuần 7: 19.10–25.10.2026; Tuần 8: 26.10–01.11.2026.</v>
      </c>
      <c r="N31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6" s="17" t="str">
        <f t="shared" si="49"/>
        <v>Còn trống</v>
      </c>
    </row>
    <row r="3197" spans="1:16" x14ac:dyDescent="0.3">
      <c r="A3197">
        <v>3196</v>
      </c>
      <c r="B3197" t="s">
        <v>7123</v>
      </c>
      <c r="C3197" t="s">
        <v>7342</v>
      </c>
      <c r="D3197" t="s">
        <v>7343</v>
      </c>
      <c r="E3197" t="s">
        <v>26</v>
      </c>
      <c r="F3197" t="s">
        <v>7126</v>
      </c>
      <c r="G3197" t="s">
        <v>7179</v>
      </c>
      <c r="H3197" t="str">
        <f>'Huong dan giao do an'!$B$14</f>
        <v>5 SV (vai trò chính): 1 PM/Scrum Master kiêm Integration; 2 BA/PO; 3 UI-UX + Frontend; 4 Backend/API + DevOps; 5 Database + QA/Tester. Mỗi SV có nhiệm vụ phụ và minh chứng cá nhân.</v>
      </c>
      <c r="I3197" t="s">
        <v>22</v>
      </c>
      <c r="J3197" t="s">
        <v>7128</v>
      </c>
      <c r="K3197" t="str">
        <f>IF(I3197="Trung bình",'Huong dan giao do an'!$B$8,IF(I3197="Khá",'Huong dan giao do an'!$B$9,'Huong dan giao do an'!$B$10))</f>
        <v>Tối thiểu 4 actor; 10-14 use case; 8-12 bảng; 3 quy trình lõi; phân quyền chi tiết; 2 báo cáo; tích hợp 1 dịch vụ; &gt;=35 test case; CI/CD hoặc deploy cloud.</v>
      </c>
      <c r="L3197" t="str">
        <f>'Huong dan giao do an'!$B$31</f>
        <v>Bắt buộc: Charter/PMP; SRS + scope/WBS; Gantt/baseline; effort-cost budget; RACI/timesheet; quality-test-defect; communication/minutes; risk register; procurement; change log; closure/lessons learned.</v>
      </c>
      <c r="M3197" t="str">
        <f>'Huong dan giao do an'!$B$33</f>
        <v>Tuần 1: 07.09–13.09.2026; Tuần 2: 14.09–20.09.2026; Tuần 3: 21.09–27.09.2026; Tuần 4: 28.09–04.10.2026; Tuần 5: 05.10–11.10.2026; Tuần 6: 12.10–18.10.2026; Tuần 7: 19.10–25.10.2026; Tuần 8: 26.10–01.11.2026.</v>
      </c>
      <c r="N31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7" s="17" t="str">
        <f t="shared" si="49"/>
        <v>Còn trống</v>
      </c>
    </row>
    <row r="3198" spans="1:16" x14ac:dyDescent="0.3">
      <c r="A3198">
        <v>3197</v>
      </c>
      <c r="B3198" t="s">
        <v>7123</v>
      </c>
      <c r="C3198" t="s">
        <v>7344</v>
      </c>
      <c r="D3198" t="s">
        <v>7345</v>
      </c>
      <c r="E3198" t="s">
        <v>33</v>
      </c>
      <c r="F3198" t="s">
        <v>7131</v>
      </c>
      <c r="G3198" t="s">
        <v>7182</v>
      </c>
      <c r="H3198" t="str">
        <f>'Huong dan giao do an'!$B$14</f>
        <v>5 SV (vai trò chính): 1 PM/Scrum Master kiêm Integration; 2 BA/PO; 3 UI-UX + Frontend; 4 Backend/API + DevOps; 5 Database + QA/Tester. Mỗi SV có nhiệm vụ phụ và minh chứng cá nhân.</v>
      </c>
      <c r="I3198" t="s">
        <v>29</v>
      </c>
      <c r="J3198" t="s">
        <v>7133</v>
      </c>
      <c r="K3198" t="str">
        <f>IF(I3198="Trung bình",'Huong dan giao do an'!$B$8,IF(I3198="Khá",'Huong dan giao do an'!$B$9,'Huong dan giao do an'!$B$10))</f>
        <v>Tối thiểu 5 actor; 14-18 use case; 10-15 bảng; 4 quy trình; tích hợp ngoài/realtime hoặc xử lý nâng cao; 3 báo cáo; &gt;=45 test case; logging, backup và deploy.</v>
      </c>
      <c r="L3198" t="str">
        <f>'Huong dan giao do an'!$B$31</f>
        <v>Bắt buộc: Charter/PMP; SRS + scope/WBS; Gantt/baseline; effort-cost budget; RACI/timesheet; quality-test-defect; communication/minutes; risk register; procurement; change log; closure/lessons learned.</v>
      </c>
      <c r="M3198" t="str">
        <f>'Huong dan giao do an'!$B$33</f>
        <v>Tuần 1: 07.09–13.09.2026; Tuần 2: 14.09–20.09.2026; Tuần 3: 21.09–27.09.2026; Tuần 4: 28.09–04.10.2026; Tuần 5: 05.10–11.10.2026; Tuần 6: 12.10–18.10.2026; Tuần 7: 19.10–25.10.2026; Tuần 8: 26.10–01.11.2026.</v>
      </c>
      <c r="N31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8" s="17" t="str">
        <f t="shared" si="49"/>
        <v>Còn trống</v>
      </c>
    </row>
    <row r="3199" spans="1:16" x14ac:dyDescent="0.3">
      <c r="A3199">
        <v>3198</v>
      </c>
      <c r="B3199" t="s">
        <v>7123</v>
      </c>
      <c r="C3199" t="s">
        <v>7346</v>
      </c>
      <c r="D3199" t="s">
        <v>7347</v>
      </c>
      <c r="E3199" t="s">
        <v>40</v>
      </c>
      <c r="F3199" t="s">
        <v>7136</v>
      </c>
      <c r="G3199" t="s">
        <v>7185</v>
      </c>
      <c r="H3199" t="str">
        <f>'Huong dan giao do an'!$B$14</f>
        <v>5 SV (vai trò chính): 1 PM/Scrum Master kiêm Integration; 2 BA/PO; 3 UI-UX + Frontend; 4 Backend/API + DevOps; 5 Database + QA/Tester. Mỗi SV có nhiệm vụ phụ và minh chứng cá nhân.</v>
      </c>
      <c r="I3199" t="s">
        <v>36</v>
      </c>
      <c r="J3199" t="s">
        <v>7138</v>
      </c>
      <c r="K3199" t="str">
        <f>IF(I3199="Trung bình",'Huong dan giao do an'!$B$8,IF(I3199="Khá",'Huong dan giao do an'!$B$9,'Huong dan giao do an'!$B$10))</f>
        <v>Tối thiểu 3 actor; 8-10 use case; 6-8 bảng dữ liệu; 2 quy trình lõi; đăng nhập/RBAC; 1 dashboard; 1 báo cáo; &gt;=25 test case; triển khai bản demo.</v>
      </c>
      <c r="L3199" t="str">
        <f>'Huong dan giao do an'!$B$31</f>
        <v>Bắt buộc: Charter/PMP; SRS + scope/WBS; Gantt/baseline; effort-cost budget; RACI/timesheet; quality-test-defect; communication/minutes; risk register; procurement; change log; closure/lessons learned.</v>
      </c>
      <c r="M3199" t="str">
        <f>'Huong dan giao do an'!$B$33</f>
        <v>Tuần 1: 07.09–13.09.2026; Tuần 2: 14.09–20.09.2026; Tuần 3: 21.09–27.09.2026; Tuần 4: 28.09–04.10.2026; Tuần 5: 05.10–11.10.2026; Tuần 6: 12.10–18.10.2026; Tuần 7: 19.10–25.10.2026; Tuần 8: 26.10–01.11.2026.</v>
      </c>
      <c r="N31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199" s="17" t="str">
        <f t="shared" si="49"/>
        <v>Còn trống</v>
      </c>
    </row>
    <row r="3200" spans="1:16" x14ac:dyDescent="0.3">
      <c r="A3200">
        <v>3199</v>
      </c>
      <c r="B3200" t="s">
        <v>7123</v>
      </c>
      <c r="C3200" t="s">
        <v>7348</v>
      </c>
      <c r="D3200" t="s">
        <v>7349</v>
      </c>
      <c r="E3200" t="s">
        <v>45</v>
      </c>
      <c r="F3200" t="s">
        <v>7141</v>
      </c>
      <c r="G3200" t="s">
        <v>7188</v>
      </c>
      <c r="H3200" t="str">
        <f>'Huong dan giao do an'!$B$14</f>
        <v>5 SV (vai trò chính): 1 PM/Scrum Master kiêm Integration; 2 BA/PO; 3 UI-UX + Frontend; 4 Backend/API + DevOps; 5 Database + QA/Tester. Mỗi SV có nhiệm vụ phụ và minh chứng cá nhân.</v>
      </c>
      <c r="I3200" t="s">
        <v>22</v>
      </c>
      <c r="J3200" t="s">
        <v>7128</v>
      </c>
      <c r="K3200" t="str">
        <f>IF(I3200="Trung bình",'Huong dan giao do an'!$B$8,IF(I3200="Khá",'Huong dan giao do an'!$B$9,'Huong dan giao do an'!$B$10))</f>
        <v>Tối thiểu 4 actor; 10-14 use case; 8-12 bảng; 3 quy trình lõi; phân quyền chi tiết; 2 báo cáo; tích hợp 1 dịch vụ; &gt;=35 test case; CI/CD hoặc deploy cloud.</v>
      </c>
      <c r="L3200" t="str">
        <f>'Huong dan giao do an'!$B$31</f>
        <v>Bắt buộc: Charter/PMP; SRS + scope/WBS; Gantt/baseline; effort-cost budget; RACI/timesheet; quality-test-defect; communication/minutes; risk register; procurement; change log; closure/lessons learned.</v>
      </c>
      <c r="M3200" t="str">
        <f>'Huong dan giao do an'!$B$33</f>
        <v>Tuần 1: 07.09–13.09.2026; Tuần 2: 14.09–20.09.2026; Tuần 3: 21.09–27.09.2026; Tuần 4: 28.09–04.10.2026; Tuần 5: 05.10–11.10.2026; Tuần 6: 12.10–18.10.2026; Tuần 7: 19.10–25.10.2026; Tuần 8: 26.10–01.11.2026.</v>
      </c>
      <c r="N32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0" s="17" t="str">
        <f t="shared" si="49"/>
        <v>Còn trống</v>
      </c>
    </row>
    <row r="3201" spans="1:16" x14ac:dyDescent="0.3">
      <c r="A3201">
        <v>3200</v>
      </c>
      <c r="B3201" t="s">
        <v>7123</v>
      </c>
      <c r="C3201" t="s">
        <v>7350</v>
      </c>
      <c r="D3201" t="s">
        <v>7351</v>
      </c>
      <c r="E3201" t="s">
        <v>19</v>
      </c>
      <c r="F3201" t="s">
        <v>7145</v>
      </c>
      <c r="G3201" t="s">
        <v>7191</v>
      </c>
      <c r="H3201" t="str">
        <f>'Huong dan giao do an'!$B$14</f>
        <v>5 SV (vai trò chính): 1 PM/Scrum Master kiêm Integration; 2 BA/PO; 3 UI-UX + Frontend; 4 Backend/API + DevOps; 5 Database + QA/Tester. Mỗi SV có nhiệm vụ phụ và minh chứng cá nhân.</v>
      </c>
      <c r="I3201" t="s">
        <v>29</v>
      </c>
      <c r="J3201" t="s">
        <v>7133</v>
      </c>
      <c r="K3201" t="str">
        <f>IF(I3201="Trung bình",'Huong dan giao do an'!$B$8,IF(I3201="Khá",'Huong dan giao do an'!$B$9,'Huong dan giao do an'!$B$10))</f>
        <v>Tối thiểu 5 actor; 14-18 use case; 10-15 bảng; 4 quy trình; tích hợp ngoài/realtime hoặc xử lý nâng cao; 3 báo cáo; &gt;=45 test case; logging, backup và deploy.</v>
      </c>
      <c r="L3201" t="str">
        <f>'Huong dan giao do an'!$B$31</f>
        <v>Bắt buộc: Charter/PMP; SRS + scope/WBS; Gantt/baseline; effort-cost budget; RACI/timesheet; quality-test-defect; communication/minutes; risk register; procurement; change log; closure/lessons learned.</v>
      </c>
      <c r="M3201" t="str">
        <f>'Huong dan giao do an'!$B$33</f>
        <v>Tuần 1: 07.09–13.09.2026; Tuần 2: 14.09–20.09.2026; Tuần 3: 21.09–27.09.2026; Tuần 4: 28.09–04.10.2026; Tuần 5: 05.10–11.10.2026; Tuần 6: 12.10–18.10.2026; Tuần 7: 19.10–25.10.2026; Tuần 8: 26.10–01.11.2026.</v>
      </c>
      <c r="N32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1" s="17" t="str">
        <f t="shared" si="49"/>
        <v>Còn trống</v>
      </c>
    </row>
    <row r="3202" spans="1:16" x14ac:dyDescent="0.3">
      <c r="A3202">
        <v>3201</v>
      </c>
      <c r="B3202" t="s">
        <v>7352</v>
      </c>
      <c r="C3202" t="s">
        <v>7353</v>
      </c>
      <c r="D3202" t="s">
        <v>7354</v>
      </c>
      <c r="E3202" t="s">
        <v>33</v>
      </c>
      <c r="F3202" t="s">
        <v>7355</v>
      </c>
      <c r="G3202" t="s">
        <v>7356</v>
      </c>
      <c r="H3202" t="str">
        <f>'Huong dan giao do an'!$B$14</f>
        <v>5 SV (vai trò chính): 1 PM/Scrum Master kiêm Integration; 2 BA/PO; 3 UI-UX + Frontend; 4 Backend/API + DevOps; 5 Database + QA/Tester. Mỗi SV có nhiệm vụ phụ và minh chứng cá nhân.</v>
      </c>
      <c r="I3202" t="s">
        <v>22</v>
      </c>
      <c r="J3202" t="s">
        <v>7357</v>
      </c>
      <c r="K3202" t="str">
        <f>IF(I3202="Trung bình",'Huong dan giao do an'!$B$8,IF(I3202="Khá",'Huong dan giao do an'!$B$9,'Huong dan giao do an'!$B$10))</f>
        <v>Tối thiểu 4 actor; 10-14 use case; 8-12 bảng; 3 quy trình lõi; phân quyền chi tiết; 2 báo cáo; tích hợp 1 dịch vụ; &gt;=35 test case; CI/CD hoặc deploy cloud.</v>
      </c>
      <c r="L3202" t="str">
        <f>'Huong dan giao do an'!$B$31</f>
        <v>Bắt buộc: Charter/PMP; SRS + scope/WBS; Gantt/baseline; effort-cost budget; RACI/timesheet; quality-test-defect; communication/minutes; risk register; procurement; change log; closure/lessons learned.</v>
      </c>
      <c r="M3202" t="str">
        <f>'Huong dan giao do an'!$B$33</f>
        <v>Tuần 1: 07.09–13.09.2026; Tuần 2: 14.09–20.09.2026; Tuần 3: 21.09–27.09.2026; Tuần 4: 28.09–04.10.2026; Tuần 5: 05.10–11.10.2026; Tuần 6: 12.10–18.10.2026; Tuần 7: 19.10–25.10.2026; Tuần 8: 26.10–01.11.2026.</v>
      </c>
      <c r="N32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2" s="17" t="str">
        <f t="shared" si="49"/>
        <v>Còn trống</v>
      </c>
    </row>
    <row r="3203" spans="1:16" x14ac:dyDescent="0.3">
      <c r="A3203">
        <v>3202</v>
      </c>
      <c r="B3203" t="s">
        <v>7352</v>
      </c>
      <c r="C3203" t="s">
        <v>7358</v>
      </c>
      <c r="D3203" t="s">
        <v>7359</v>
      </c>
      <c r="E3203" t="s">
        <v>40</v>
      </c>
      <c r="F3203" t="s">
        <v>7360</v>
      </c>
      <c r="G3203" t="s">
        <v>7361</v>
      </c>
      <c r="H3203" t="str">
        <f>'Huong dan giao do an'!$B$14</f>
        <v>5 SV (vai trò chính): 1 PM/Scrum Master kiêm Integration; 2 BA/PO; 3 UI-UX + Frontend; 4 Backend/API + DevOps; 5 Database + QA/Tester. Mỗi SV có nhiệm vụ phụ và minh chứng cá nhân.</v>
      </c>
      <c r="I3203" t="s">
        <v>29</v>
      </c>
      <c r="J3203" t="s">
        <v>7362</v>
      </c>
      <c r="K3203" t="str">
        <f>IF(I3203="Trung bình",'Huong dan giao do an'!$B$8,IF(I3203="Khá",'Huong dan giao do an'!$B$9,'Huong dan giao do an'!$B$10))</f>
        <v>Tối thiểu 5 actor; 14-18 use case; 10-15 bảng; 4 quy trình; tích hợp ngoài/realtime hoặc xử lý nâng cao; 3 báo cáo; &gt;=45 test case; logging, backup và deploy.</v>
      </c>
      <c r="L3203" t="str">
        <f>'Huong dan giao do an'!$B$31</f>
        <v>Bắt buộc: Charter/PMP; SRS + scope/WBS; Gantt/baseline; effort-cost budget; RACI/timesheet; quality-test-defect; communication/minutes; risk register; procurement; change log; closure/lessons learned.</v>
      </c>
      <c r="M3203" t="str">
        <f>'Huong dan giao do an'!$B$33</f>
        <v>Tuần 1: 07.09–13.09.2026; Tuần 2: 14.09–20.09.2026; Tuần 3: 21.09–27.09.2026; Tuần 4: 28.09–04.10.2026; Tuần 5: 05.10–11.10.2026; Tuần 6: 12.10–18.10.2026; Tuần 7: 19.10–25.10.2026; Tuần 8: 26.10–01.11.2026.</v>
      </c>
      <c r="N32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3" s="17" t="str">
        <f t="shared" ref="P3203:P3266" si="50">IF(O3203="","Còn trống","Đã đăng ký")</f>
        <v>Còn trống</v>
      </c>
    </row>
    <row r="3204" spans="1:16" x14ac:dyDescent="0.3">
      <c r="A3204">
        <v>3203</v>
      </c>
      <c r="B3204" t="s">
        <v>7352</v>
      </c>
      <c r="C3204" t="s">
        <v>7363</v>
      </c>
      <c r="D3204" t="s">
        <v>7364</v>
      </c>
      <c r="E3204" t="s">
        <v>45</v>
      </c>
      <c r="F3204" t="s">
        <v>7365</v>
      </c>
      <c r="G3204" t="s">
        <v>7366</v>
      </c>
      <c r="H3204" t="str">
        <f>'Huong dan giao do an'!$B$14</f>
        <v>5 SV (vai trò chính): 1 PM/Scrum Master kiêm Integration; 2 BA/PO; 3 UI-UX + Frontend; 4 Backend/API + DevOps; 5 Database + QA/Tester. Mỗi SV có nhiệm vụ phụ và minh chứng cá nhân.</v>
      </c>
      <c r="I3204" t="s">
        <v>36</v>
      </c>
      <c r="J3204" t="s">
        <v>7367</v>
      </c>
      <c r="K3204" t="str">
        <f>IF(I3204="Trung bình",'Huong dan giao do an'!$B$8,IF(I3204="Khá",'Huong dan giao do an'!$B$9,'Huong dan giao do an'!$B$10))</f>
        <v>Tối thiểu 3 actor; 8-10 use case; 6-8 bảng dữ liệu; 2 quy trình lõi; đăng nhập/RBAC; 1 dashboard; 1 báo cáo; &gt;=25 test case; triển khai bản demo.</v>
      </c>
      <c r="L3204" t="str">
        <f>'Huong dan giao do an'!$B$31</f>
        <v>Bắt buộc: Charter/PMP; SRS + scope/WBS; Gantt/baseline; effort-cost budget; RACI/timesheet; quality-test-defect; communication/minutes; risk register; procurement; change log; closure/lessons learned.</v>
      </c>
      <c r="M3204" t="str">
        <f>'Huong dan giao do an'!$B$33</f>
        <v>Tuần 1: 07.09–13.09.2026; Tuần 2: 14.09–20.09.2026; Tuần 3: 21.09–27.09.2026; Tuần 4: 28.09–04.10.2026; Tuần 5: 05.10–11.10.2026; Tuần 6: 12.10–18.10.2026; Tuần 7: 19.10–25.10.2026; Tuần 8: 26.10–01.11.2026.</v>
      </c>
      <c r="N32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4" s="17" t="str">
        <f t="shared" si="50"/>
        <v>Còn trống</v>
      </c>
    </row>
    <row r="3205" spans="1:16" x14ac:dyDescent="0.3">
      <c r="A3205">
        <v>3204</v>
      </c>
      <c r="B3205" t="s">
        <v>7352</v>
      </c>
      <c r="C3205" t="s">
        <v>7368</v>
      </c>
      <c r="D3205" t="s">
        <v>7369</v>
      </c>
      <c r="E3205" t="s">
        <v>19</v>
      </c>
      <c r="F3205" t="s">
        <v>7370</v>
      </c>
      <c r="G3205" t="s">
        <v>7371</v>
      </c>
      <c r="H3205" t="str">
        <f>'Huong dan giao do an'!$B$14</f>
        <v>5 SV (vai trò chính): 1 PM/Scrum Master kiêm Integration; 2 BA/PO; 3 UI-UX + Frontend; 4 Backend/API + DevOps; 5 Database + QA/Tester. Mỗi SV có nhiệm vụ phụ và minh chứng cá nhân.</v>
      </c>
      <c r="I3205" t="s">
        <v>22</v>
      </c>
      <c r="J3205" t="s">
        <v>7357</v>
      </c>
      <c r="K3205" t="str">
        <f>IF(I3205="Trung bình",'Huong dan giao do an'!$B$8,IF(I3205="Khá",'Huong dan giao do an'!$B$9,'Huong dan giao do an'!$B$10))</f>
        <v>Tối thiểu 4 actor; 10-14 use case; 8-12 bảng; 3 quy trình lõi; phân quyền chi tiết; 2 báo cáo; tích hợp 1 dịch vụ; &gt;=35 test case; CI/CD hoặc deploy cloud.</v>
      </c>
      <c r="L3205" t="str">
        <f>'Huong dan giao do an'!$B$31</f>
        <v>Bắt buộc: Charter/PMP; SRS + scope/WBS; Gantt/baseline; effort-cost budget; RACI/timesheet; quality-test-defect; communication/minutes; risk register; procurement; change log; closure/lessons learned.</v>
      </c>
      <c r="M3205" t="str">
        <f>'Huong dan giao do an'!$B$33</f>
        <v>Tuần 1: 07.09–13.09.2026; Tuần 2: 14.09–20.09.2026; Tuần 3: 21.09–27.09.2026; Tuần 4: 28.09–04.10.2026; Tuần 5: 05.10–11.10.2026; Tuần 6: 12.10–18.10.2026; Tuần 7: 19.10–25.10.2026; Tuần 8: 26.10–01.11.2026.</v>
      </c>
      <c r="N32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5" s="17" t="str">
        <f t="shared" si="50"/>
        <v>Còn trống</v>
      </c>
    </row>
    <row r="3206" spans="1:16" x14ac:dyDescent="0.3">
      <c r="A3206">
        <v>3205</v>
      </c>
      <c r="B3206" t="s">
        <v>7352</v>
      </c>
      <c r="C3206" t="s">
        <v>7372</v>
      </c>
      <c r="D3206" t="s">
        <v>7373</v>
      </c>
      <c r="E3206" t="s">
        <v>26</v>
      </c>
      <c r="F3206" t="s">
        <v>7374</v>
      </c>
      <c r="G3206" t="s">
        <v>7375</v>
      </c>
      <c r="H3206" t="str">
        <f>'Huong dan giao do an'!$B$14</f>
        <v>5 SV (vai trò chính): 1 PM/Scrum Master kiêm Integration; 2 BA/PO; 3 UI-UX + Frontend; 4 Backend/API + DevOps; 5 Database + QA/Tester. Mỗi SV có nhiệm vụ phụ và minh chứng cá nhân.</v>
      </c>
      <c r="I3206" t="s">
        <v>29</v>
      </c>
      <c r="J3206" t="s">
        <v>7362</v>
      </c>
      <c r="K3206" t="str">
        <f>IF(I3206="Trung bình",'Huong dan giao do an'!$B$8,IF(I3206="Khá",'Huong dan giao do an'!$B$9,'Huong dan giao do an'!$B$10))</f>
        <v>Tối thiểu 5 actor; 14-18 use case; 10-15 bảng; 4 quy trình; tích hợp ngoài/realtime hoặc xử lý nâng cao; 3 báo cáo; &gt;=45 test case; logging, backup và deploy.</v>
      </c>
      <c r="L3206" t="str">
        <f>'Huong dan giao do an'!$B$31</f>
        <v>Bắt buộc: Charter/PMP; SRS + scope/WBS; Gantt/baseline; effort-cost budget; RACI/timesheet; quality-test-defect; communication/minutes; risk register; procurement; change log; closure/lessons learned.</v>
      </c>
      <c r="M3206" t="str">
        <f>'Huong dan giao do an'!$B$33</f>
        <v>Tuần 1: 07.09–13.09.2026; Tuần 2: 14.09–20.09.2026; Tuần 3: 21.09–27.09.2026; Tuần 4: 28.09–04.10.2026; Tuần 5: 05.10–11.10.2026; Tuần 6: 12.10–18.10.2026; Tuần 7: 19.10–25.10.2026; Tuần 8: 26.10–01.11.2026.</v>
      </c>
      <c r="N32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6" s="17" t="str">
        <f t="shared" si="50"/>
        <v>Còn trống</v>
      </c>
    </row>
    <row r="3207" spans="1:16" x14ac:dyDescent="0.3">
      <c r="A3207">
        <v>3206</v>
      </c>
      <c r="B3207" t="s">
        <v>7352</v>
      </c>
      <c r="C3207" t="s">
        <v>7376</v>
      </c>
      <c r="D3207" t="s">
        <v>7377</v>
      </c>
      <c r="E3207" t="s">
        <v>33</v>
      </c>
      <c r="F3207" t="s">
        <v>7355</v>
      </c>
      <c r="G3207" t="s">
        <v>7378</v>
      </c>
      <c r="H3207" t="str">
        <f>'Huong dan giao do an'!$B$14</f>
        <v>5 SV (vai trò chính): 1 PM/Scrum Master kiêm Integration; 2 BA/PO; 3 UI-UX + Frontend; 4 Backend/API + DevOps; 5 Database + QA/Tester. Mỗi SV có nhiệm vụ phụ và minh chứng cá nhân.</v>
      </c>
      <c r="I3207" t="s">
        <v>36</v>
      </c>
      <c r="J3207" t="s">
        <v>7367</v>
      </c>
      <c r="K3207" t="str">
        <f>IF(I3207="Trung bình",'Huong dan giao do an'!$B$8,IF(I3207="Khá",'Huong dan giao do an'!$B$9,'Huong dan giao do an'!$B$10))</f>
        <v>Tối thiểu 3 actor; 8-10 use case; 6-8 bảng dữ liệu; 2 quy trình lõi; đăng nhập/RBAC; 1 dashboard; 1 báo cáo; &gt;=25 test case; triển khai bản demo.</v>
      </c>
      <c r="L3207" t="str">
        <f>'Huong dan giao do an'!$B$31</f>
        <v>Bắt buộc: Charter/PMP; SRS + scope/WBS; Gantt/baseline; effort-cost budget; RACI/timesheet; quality-test-defect; communication/minutes; risk register; procurement; change log; closure/lessons learned.</v>
      </c>
      <c r="M3207" t="str">
        <f>'Huong dan giao do an'!$B$33</f>
        <v>Tuần 1: 07.09–13.09.2026; Tuần 2: 14.09–20.09.2026; Tuần 3: 21.09–27.09.2026; Tuần 4: 28.09–04.10.2026; Tuần 5: 05.10–11.10.2026; Tuần 6: 12.10–18.10.2026; Tuần 7: 19.10–25.10.2026; Tuần 8: 26.10–01.11.2026.</v>
      </c>
      <c r="N32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7" s="17" t="str">
        <f t="shared" si="50"/>
        <v>Còn trống</v>
      </c>
    </row>
    <row r="3208" spans="1:16" x14ac:dyDescent="0.3">
      <c r="A3208">
        <v>3207</v>
      </c>
      <c r="B3208" t="s">
        <v>7352</v>
      </c>
      <c r="C3208" t="s">
        <v>7379</v>
      </c>
      <c r="D3208" t="s">
        <v>7380</v>
      </c>
      <c r="E3208" t="s">
        <v>40</v>
      </c>
      <c r="F3208" t="s">
        <v>7360</v>
      </c>
      <c r="G3208" t="s">
        <v>7381</v>
      </c>
      <c r="H3208" t="str">
        <f>'Huong dan giao do an'!$B$14</f>
        <v>5 SV (vai trò chính): 1 PM/Scrum Master kiêm Integration; 2 BA/PO; 3 UI-UX + Frontend; 4 Backend/API + DevOps; 5 Database + QA/Tester. Mỗi SV có nhiệm vụ phụ và minh chứng cá nhân.</v>
      </c>
      <c r="I3208" t="s">
        <v>22</v>
      </c>
      <c r="J3208" t="s">
        <v>7357</v>
      </c>
      <c r="K3208" t="str">
        <f>IF(I3208="Trung bình",'Huong dan giao do an'!$B$8,IF(I3208="Khá",'Huong dan giao do an'!$B$9,'Huong dan giao do an'!$B$10))</f>
        <v>Tối thiểu 4 actor; 10-14 use case; 8-12 bảng; 3 quy trình lõi; phân quyền chi tiết; 2 báo cáo; tích hợp 1 dịch vụ; &gt;=35 test case; CI/CD hoặc deploy cloud.</v>
      </c>
      <c r="L3208" t="str">
        <f>'Huong dan giao do an'!$B$31</f>
        <v>Bắt buộc: Charter/PMP; SRS + scope/WBS; Gantt/baseline; effort-cost budget; RACI/timesheet; quality-test-defect; communication/minutes; risk register; procurement; change log; closure/lessons learned.</v>
      </c>
      <c r="M3208" t="str">
        <f>'Huong dan giao do an'!$B$33</f>
        <v>Tuần 1: 07.09–13.09.2026; Tuần 2: 14.09–20.09.2026; Tuần 3: 21.09–27.09.2026; Tuần 4: 28.09–04.10.2026; Tuần 5: 05.10–11.10.2026; Tuần 6: 12.10–18.10.2026; Tuần 7: 19.10–25.10.2026; Tuần 8: 26.10–01.11.2026.</v>
      </c>
      <c r="N32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8" s="17" t="str">
        <f t="shared" si="50"/>
        <v>Còn trống</v>
      </c>
    </row>
    <row r="3209" spans="1:16" x14ac:dyDescent="0.3">
      <c r="A3209">
        <v>3208</v>
      </c>
      <c r="B3209" t="s">
        <v>7352</v>
      </c>
      <c r="C3209" t="s">
        <v>7382</v>
      </c>
      <c r="D3209" t="s">
        <v>7383</v>
      </c>
      <c r="E3209" t="s">
        <v>45</v>
      </c>
      <c r="F3209" t="s">
        <v>7365</v>
      </c>
      <c r="G3209" t="s">
        <v>7384</v>
      </c>
      <c r="H3209" t="str">
        <f>'Huong dan giao do an'!$B$14</f>
        <v>5 SV (vai trò chính): 1 PM/Scrum Master kiêm Integration; 2 BA/PO; 3 UI-UX + Frontend; 4 Backend/API + DevOps; 5 Database + QA/Tester. Mỗi SV có nhiệm vụ phụ và minh chứng cá nhân.</v>
      </c>
      <c r="I3209" t="s">
        <v>29</v>
      </c>
      <c r="J3209" t="s">
        <v>7362</v>
      </c>
      <c r="K3209" t="str">
        <f>IF(I3209="Trung bình",'Huong dan giao do an'!$B$8,IF(I3209="Khá",'Huong dan giao do an'!$B$9,'Huong dan giao do an'!$B$10))</f>
        <v>Tối thiểu 5 actor; 14-18 use case; 10-15 bảng; 4 quy trình; tích hợp ngoài/realtime hoặc xử lý nâng cao; 3 báo cáo; &gt;=45 test case; logging, backup và deploy.</v>
      </c>
      <c r="L3209" t="str">
        <f>'Huong dan giao do an'!$B$31</f>
        <v>Bắt buộc: Charter/PMP; SRS + scope/WBS; Gantt/baseline; effort-cost budget; RACI/timesheet; quality-test-defect; communication/minutes; risk register; procurement; change log; closure/lessons learned.</v>
      </c>
      <c r="M3209" t="str">
        <f>'Huong dan giao do an'!$B$33</f>
        <v>Tuần 1: 07.09–13.09.2026; Tuần 2: 14.09–20.09.2026; Tuần 3: 21.09–27.09.2026; Tuần 4: 28.09–04.10.2026; Tuần 5: 05.10–11.10.2026; Tuần 6: 12.10–18.10.2026; Tuần 7: 19.10–25.10.2026; Tuần 8: 26.10–01.11.2026.</v>
      </c>
      <c r="N32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09" s="17" t="str">
        <f t="shared" si="50"/>
        <v>Còn trống</v>
      </c>
    </row>
    <row r="3210" spans="1:16" x14ac:dyDescent="0.3">
      <c r="A3210">
        <v>3209</v>
      </c>
      <c r="B3210" t="s">
        <v>7352</v>
      </c>
      <c r="C3210" t="s">
        <v>7385</v>
      </c>
      <c r="D3210" t="s">
        <v>7386</v>
      </c>
      <c r="E3210" t="s">
        <v>19</v>
      </c>
      <c r="F3210" t="s">
        <v>7370</v>
      </c>
      <c r="G3210" t="s">
        <v>7387</v>
      </c>
      <c r="H3210" t="str">
        <f>'Huong dan giao do an'!$B$14</f>
        <v>5 SV (vai trò chính): 1 PM/Scrum Master kiêm Integration; 2 BA/PO; 3 UI-UX + Frontend; 4 Backend/API + DevOps; 5 Database + QA/Tester. Mỗi SV có nhiệm vụ phụ và minh chứng cá nhân.</v>
      </c>
      <c r="I3210" t="s">
        <v>36</v>
      </c>
      <c r="J3210" t="s">
        <v>7367</v>
      </c>
      <c r="K3210" t="str">
        <f>IF(I3210="Trung bình",'Huong dan giao do an'!$B$8,IF(I3210="Khá",'Huong dan giao do an'!$B$9,'Huong dan giao do an'!$B$10))</f>
        <v>Tối thiểu 3 actor; 8-10 use case; 6-8 bảng dữ liệu; 2 quy trình lõi; đăng nhập/RBAC; 1 dashboard; 1 báo cáo; &gt;=25 test case; triển khai bản demo.</v>
      </c>
      <c r="L3210" t="str">
        <f>'Huong dan giao do an'!$B$31</f>
        <v>Bắt buộc: Charter/PMP; SRS + scope/WBS; Gantt/baseline; effort-cost budget; RACI/timesheet; quality-test-defect; communication/minutes; risk register; procurement; change log; closure/lessons learned.</v>
      </c>
      <c r="M3210" t="str">
        <f>'Huong dan giao do an'!$B$33</f>
        <v>Tuần 1: 07.09–13.09.2026; Tuần 2: 14.09–20.09.2026; Tuần 3: 21.09–27.09.2026; Tuần 4: 28.09–04.10.2026; Tuần 5: 05.10–11.10.2026; Tuần 6: 12.10–18.10.2026; Tuần 7: 19.10–25.10.2026; Tuần 8: 26.10–01.11.2026.</v>
      </c>
      <c r="N32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0" s="17" t="str">
        <f t="shared" si="50"/>
        <v>Còn trống</v>
      </c>
    </row>
    <row r="3211" spans="1:16" x14ac:dyDescent="0.3">
      <c r="A3211">
        <v>3210</v>
      </c>
      <c r="B3211" t="s">
        <v>7352</v>
      </c>
      <c r="C3211" t="s">
        <v>7388</v>
      </c>
      <c r="D3211" t="s">
        <v>7389</v>
      </c>
      <c r="E3211" t="s">
        <v>26</v>
      </c>
      <c r="F3211" t="s">
        <v>7374</v>
      </c>
      <c r="G3211" t="s">
        <v>7390</v>
      </c>
      <c r="H3211" t="str">
        <f>'Huong dan giao do an'!$B$14</f>
        <v>5 SV (vai trò chính): 1 PM/Scrum Master kiêm Integration; 2 BA/PO; 3 UI-UX + Frontend; 4 Backend/API + DevOps; 5 Database + QA/Tester. Mỗi SV có nhiệm vụ phụ và minh chứng cá nhân.</v>
      </c>
      <c r="I3211" t="s">
        <v>22</v>
      </c>
      <c r="J3211" t="s">
        <v>7357</v>
      </c>
      <c r="K3211" t="str">
        <f>IF(I3211="Trung bình",'Huong dan giao do an'!$B$8,IF(I3211="Khá",'Huong dan giao do an'!$B$9,'Huong dan giao do an'!$B$10))</f>
        <v>Tối thiểu 4 actor; 10-14 use case; 8-12 bảng; 3 quy trình lõi; phân quyền chi tiết; 2 báo cáo; tích hợp 1 dịch vụ; &gt;=35 test case; CI/CD hoặc deploy cloud.</v>
      </c>
      <c r="L3211" t="str">
        <f>'Huong dan giao do an'!$B$31</f>
        <v>Bắt buộc: Charter/PMP; SRS + scope/WBS; Gantt/baseline; effort-cost budget; RACI/timesheet; quality-test-defect; communication/minutes; risk register; procurement; change log; closure/lessons learned.</v>
      </c>
      <c r="M3211" t="str">
        <f>'Huong dan giao do an'!$B$33</f>
        <v>Tuần 1: 07.09–13.09.2026; Tuần 2: 14.09–20.09.2026; Tuần 3: 21.09–27.09.2026; Tuần 4: 28.09–04.10.2026; Tuần 5: 05.10–11.10.2026; Tuần 6: 12.10–18.10.2026; Tuần 7: 19.10–25.10.2026; Tuần 8: 26.10–01.11.2026.</v>
      </c>
      <c r="N32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1" s="17" t="str">
        <f t="shared" si="50"/>
        <v>Còn trống</v>
      </c>
    </row>
    <row r="3212" spans="1:16" x14ac:dyDescent="0.3">
      <c r="A3212">
        <v>3211</v>
      </c>
      <c r="B3212" t="s">
        <v>7352</v>
      </c>
      <c r="C3212" t="s">
        <v>7391</v>
      </c>
      <c r="D3212" t="s">
        <v>7392</v>
      </c>
      <c r="E3212" t="s">
        <v>33</v>
      </c>
      <c r="F3212" t="s">
        <v>7355</v>
      </c>
      <c r="G3212" t="s">
        <v>7393</v>
      </c>
      <c r="H3212" t="str">
        <f>'Huong dan giao do an'!$B$14</f>
        <v>5 SV (vai trò chính): 1 PM/Scrum Master kiêm Integration; 2 BA/PO; 3 UI-UX + Frontend; 4 Backend/API + DevOps; 5 Database + QA/Tester. Mỗi SV có nhiệm vụ phụ và minh chứng cá nhân.</v>
      </c>
      <c r="I3212" t="s">
        <v>29</v>
      </c>
      <c r="J3212" t="s">
        <v>7362</v>
      </c>
      <c r="K3212" t="str">
        <f>IF(I3212="Trung bình",'Huong dan giao do an'!$B$8,IF(I3212="Khá",'Huong dan giao do an'!$B$9,'Huong dan giao do an'!$B$10))</f>
        <v>Tối thiểu 5 actor; 14-18 use case; 10-15 bảng; 4 quy trình; tích hợp ngoài/realtime hoặc xử lý nâng cao; 3 báo cáo; &gt;=45 test case; logging, backup và deploy.</v>
      </c>
      <c r="L3212" t="str">
        <f>'Huong dan giao do an'!$B$31</f>
        <v>Bắt buộc: Charter/PMP; SRS + scope/WBS; Gantt/baseline; effort-cost budget; RACI/timesheet; quality-test-defect; communication/minutes; risk register; procurement; change log; closure/lessons learned.</v>
      </c>
      <c r="M3212" t="str">
        <f>'Huong dan giao do an'!$B$33</f>
        <v>Tuần 1: 07.09–13.09.2026; Tuần 2: 14.09–20.09.2026; Tuần 3: 21.09–27.09.2026; Tuần 4: 28.09–04.10.2026; Tuần 5: 05.10–11.10.2026; Tuần 6: 12.10–18.10.2026; Tuần 7: 19.10–25.10.2026; Tuần 8: 26.10–01.11.2026.</v>
      </c>
      <c r="N32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2" s="17" t="str">
        <f t="shared" si="50"/>
        <v>Còn trống</v>
      </c>
    </row>
    <row r="3213" spans="1:16" x14ac:dyDescent="0.3">
      <c r="A3213">
        <v>3212</v>
      </c>
      <c r="B3213" t="s">
        <v>7352</v>
      </c>
      <c r="C3213" t="s">
        <v>7394</v>
      </c>
      <c r="D3213" t="s">
        <v>7395</v>
      </c>
      <c r="E3213" t="s">
        <v>40</v>
      </c>
      <c r="F3213" t="s">
        <v>7360</v>
      </c>
      <c r="G3213" t="s">
        <v>7396</v>
      </c>
      <c r="H3213" t="str">
        <f>'Huong dan giao do an'!$B$14</f>
        <v>5 SV (vai trò chính): 1 PM/Scrum Master kiêm Integration; 2 BA/PO; 3 UI-UX + Frontend; 4 Backend/API + DevOps; 5 Database + QA/Tester. Mỗi SV có nhiệm vụ phụ và minh chứng cá nhân.</v>
      </c>
      <c r="I3213" t="s">
        <v>36</v>
      </c>
      <c r="J3213" t="s">
        <v>7367</v>
      </c>
      <c r="K3213" t="str">
        <f>IF(I3213="Trung bình",'Huong dan giao do an'!$B$8,IF(I3213="Khá",'Huong dan giao do an'!$B$9,'Huong dan giao do an'!$B$10))</f>
        <v>Tối thiểu 3 actor; 8-10 use case; 6-8 bảng dữ liệu; 2 quy trình lõi; đăng nhập/RBAC; 1 dashboard; 1 báo cáo; &gt;=25 test case; triển khai bản demo.</v>
      </c>
      <c r="L3213" t="str">
        <f>'Huong dan giao do an'!$B$31</f>
        <v>Bắt buộc: Charter/PMP; SRS + scope/WBS; Gantt/baseline; effort-cost budget; RACI/timesheet; quality-test-defect; communication/minutes; risk register; procurement; change log; closure/lessons learned.</v>
      </c>
      <c r="M3213" t="str">
        <f>'Huong dan giao do an'!$B$33</f>
        <v>Tuần 1: 07.09–13.09.2026; Tuần 2: 14.09–20.09.2026; Tuần 3: 21.09–27.09.2026; Tuần 4: 28.09–04.10.2026; Tuần 5: 05.10–11.10.2026; Tuần 6: 12.10–18.10.2026; Tuần 7: 19.10–25.10.2026; Tuần 8: 26.10–01.11.2026.</v>
      </c>
      <c r="N32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3" s="17" t="str">
        <f t="shared" si="50"/>
        <v>Còn trống</v>
      </c>
    </row>
    <row r="3214" spans="1:16" x14ac:dyDescent="0.3">
      <c r="A3214">
        <v>3213</v>
      </c>
      <c r="B3214" t="s">
        <v>7352</v>
      </c>
      <c r="C3214" t="s">
        <v>7397</v>
      </c>
      <c r="D3214" t="s">
        <v>7398</v>
      </c>
      <c r="E3214" t="s">
        <v>45</v>
      </c>
      <c r="F3214" t="s">
        <v>7365</v>
      </c>
      <c r="G3214" t="s">
        <v>7399</v>
      </c>
      <c r="H3214" t="str">
        <f>'Huong dan giao do an'!$B$14</f>
        <v>5 SV (vai trò chính): 1 PM/Scrum Master kiêm Integration; 2 BA/PO; 3 UI-UX + Frontend; 4 Backend/API + DevOps; 5 Database + QA/Tester. Mỗi SV có nhiệm vụ phụ và minh chứng cá nhân.</v>
      </c>
      <c r="I3214" t="s">
        <v>22</v>
      </c>
      <c r="J3214" t="s">
        <v>7357</v>
      </c>
      <c r="K3214" t="str">
        <f>IF(I3214="Trung bình",'Huong dan giao do an'!$B$8,IF(I3214="Khá",'Huong dan giao do an'!$B$9,'Huong dan giao do an'!$B$10))</f>
        <v>Tối thiểu 4 actor; 10-14 use case; 8-12 bảng; 3 quy trình lõi; phân quyền chi tiết; 2 báo cáo; tích hợp 1 dịch vụ; &gt;=35 test case; CI/CD hoặc deploy cloud.</v>
      </c>
      <c r="L3214" t="str">
        <f>'Huong dan giao do an'!$B$31</f>
        <v>Bắt buộc: Charter/PMP; SRS + scope/WBS; Gantt/baseline; effort-cost budget; RACI/timesheet; quality-test-defect; communication/minutes; risk register; procurement; change log; closure/lessons learned.</v>
      </c>
      <c r="M3214" t="str">
        <f>'Huong dan giao do an'!$B$33</f>
        <v>Tuần 1: 07.09–13.09.2026; Tuần 2: 14.09–20.09.2026; Tuần 3: 21.09–27.09.2026; Tuần 4: 28.09–04.10.2026; Tuần 5: 05.10–11.10.2026; Tuần 6: 12.10–18.10.2026; Tuần 7: 19.10–25.10.2026; Tuần 8: 26.10–01.11.2026.</v>
      </c>
      <c r="N32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4" s="17" t="str">
        <f t="shared" si="50"/>
        <v>Còn trống</v>
      </c>
    </row>
    <row r="3215" spans="1:16" x14ac:dyDescent="0.3">
      <c r="A3215">
        <v>3214</v>
      </c>
      <c r="B3215" t="s">
        <v>7352</v>
      </c>
      <c r="C3215" t="s">
        <v>7400</v>
      </c>
      <c r="D3215" t="s">
        <v>7401</v>
      </c>
      <c r="E3215" t="s">
        <v>19</v>
      </c>
      <c r="F3215" t="s">
        <v>7370</v>
      </c>
      <c r="G3215" t="s">
        <v>7402</v>
      </c>
      <c r="H3215" t="str">
        <f>'Huong dan giao do an'!$B$14</f>
        <v>5 SV (vai trò chính): 1 PM/Scrum Master kiêm Integration; 2 BA/PO; 3 UI-UX + Frontend; 4 Backend/API + DevOps; 5 Database + QA/Tester. Mỗi SV có nhiệm vụ phụ và minh chứng cá nhân.</v>
      </c>
      <c r="I3215" t="s">
        <v>29</v>
      </c>
      <c r="J3215" t="s">
        <v>7362</v>
      </c>
      <c r="K3215" t="str">
        <f>IF(I3215="Trung bình",'Huong dan giao do an'!$B$8,IF(I3215="Khá",'Huong dan giao do an'!$B$9,'Huong dan giao do an'!$B$10))</f>
        <v>Tối thiểu 5 actor; 14-18 use case; 10-15 bảng; 4 quy trình; tích hợp ngoài/realtime hoặc xử lý nâng cao; 3 báo cáo; &gt;=45 test case; logging, backup và deploy.</v>
      </c>
      <c r="L3215" t="str">
        <f>'Huong dan giao do an'!$B$31</f>
        <v>Bắt buộc: Charter/PMP; SRS + scope/WBS; Gantt/baseline; effort-cost budget; RACI/timesheet; quality-test-defect; communication/minutes; risk register; procurement; change log; closure/lessons learned.</v>
      </c>
      <c r="M3215" t="str">
        <f>'Huong dan giao do an'!$B$33</f>
        <v>Tuần 1: 07.09–13.09.2026; Tuần 2: 14.09–20.09.2026; Tuần 3: 21.09–27.09.2026; Tuần 4: 28.09–04.10.2026; Tuần 5: 05.10–11.10.2026; Tuần 6: 12.10–18.10.2026; Tuần 7: 19.10–25.10.2026; Tuần 8: 26.10–01.11.2026.</v>
      </c>
      <c r="N32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5" s="17" t="str">
        <f t="shared" si="50"/>
        <v>Còn trống</v>
      </c>
    </row>
    <row r="3216" spans="1:16" x14ac:dyDescent="0.3">
      <c r="A3216">
        <v>3215</v>
      </c>
      <c r="B3216" t="s">
        <v>7352</v>
      </c>
      <c r="C3216" t="s">
        <v>7403</v>
      </c>
      <c r="D3216" t="s">
        <v>7404</v>
      </c>
      <c r="E3216" t="s">
        <v>26</v>
      </c>
      <c r="F3216" t="s">
        <v>7374</v>
      </c>
      <c r="G3216" t="s">
        <v>7405</v>
      </c>
      <c r="H3216" t="str">
        <f>'Huong dan giao do an'!$B$14</f>
        <v>5 SV (vai trò chính): 1 PM/Scrum Master kiêm Integration; 2 BA/PO; 3 UI-UX + Frontend; 4 Backend/API + DevOps; 5 Database + QA/Tester. Mỗi SV có nhiệm vụ phụ và minh chứng cá nhân.</v>
      </c>
      <c r="I3216" t="s">
        <v>36</v>
      </c>
      <c r="J3216" t="s">
        <v>7367</v>
      </c>
      <c r="K3216" t="str">
        <f>IF(I3216="Trung bình",'Huong dan giao do an'!$B$8,IF(I3216="Khá",'Huong dan giao do an'!$B$9,'Huong dan giao do an'!$B$10))</f>
        <v>Tối thiểu 3 actor; 8-10 use case; 6-8 bảng dữ liệu; 2 quy trình lõi; đăng nhập/RBAC; 1 dashboard; 1 báo cáo; &gt;=25 test case; triển khai bản demo.</v>
      </c>
      <c r="L3216" t="str">
        <f>'Huong dan giao do an'!$B$31</f>
        <v>Bắt buộc: Charter/PMP; SRS + scope/WBS; Gantt/baseline; effort-cost budget; RACI/timesheet; quality-test-defect; communication/minutes; risk register; procurement; change log; closure/lessons learned.</v>
      </c>
      <c r="M3216" t="str">
        <f>'Huong dan giao do an'!$B$33</f>
        <v>Tuần 1: 07.09–13.09.2026; Tuần 2: 14.09–20.09.2026; Tuần 3: 21.09–27.09.2026; Tuần 4: 28.09–04.10.2026; Tuần 5: 05.10–11.10.2026; Tuần 6: 12.10–18.10.2026; Tuần 7: 19.10–25.10.2026; Tuần 8: 26.10–01.11.2026.</v>
      </c>
      <c r="N32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6" s="17" t="str">
        <f t="shared" si="50"/>
        <v>Còn trống</v>
      </c>
    </row>
    <row r="3217" spans="1:16" x14ac:dyDescent="0.3">
      <c r="A3217">
        <v>3216</v>
      </c>
      <c r="B3217" t="s">
        <v>7352</v>
      </c>
      <c r="C3217" t="s">
        <v>7406</v>
      </c>
      <c r="D3217" t="s">
        <v>7407</v>
      </c>
      <c r="E3217" t="s">
        <v>33</v>
      </c>
      <c r="F3217" t="s">
        <v>7355</v>
      </c>
      <c r="G3217" t="s">
        <v>7408</v>
      </c>
      <c r="H3217" t="str">
        <f>'Huong dan giao do an'!$B$14</f>
        <v>5 SV (vai trò chính): 1 PM/Scrum Master kiêm Integration; 2 BA/PO; 3 UI-UX + Frontend; 4 Backend/API + DevOps; 5 Database + QA/Tester. Mỗi SV có nhiệm vụ phụ và minh chứng cá nhân.</v>
      </c>
      <c r="I3217" t="s">
        <v>22</v>
      </c>
      <c r="J3217" t="s">
        <v>7357</v>
      </c>
      <c r="K3217" t="str">
        <f>IF(I3217="Trung bình",'Huong dan giao do an'!$B$8,IF(I3217="Khá",'Huong dan giao do an'!$B$9,'Huong dan giao do an'!$B$10))</f>
        <v>Tối thiểu 4 actor; 10-14 use case; 8-12 bảng; 3 quy trình lõi; phân quyền chi tiết; 2 báo cáo; tích hợp 1 dịch vụ; &gt;=35 test case; CI/CD hoặc deploy cloud.</v>
      </c>
      <c r="L3217" t="str">
        <f>'Huong dan giao do an'!$B$31</f>
        <v>Bắt buộc: Charter/PMP; SRS + scope/WBS; Gantt/baseline; effort-cost budget; RACI/timesheet; quality-test-defect; communication/minutes; risk register; procurement; change log; closure/lessons learned.</v>
      </c>
      <c r="M3217" t="str">
        <f>'Huong dan giao do an'!$B$33</f>
        <v>Tuần 1: 07.09–13.09.2026; Tuần 2: 14.09–20.09.2026; Tuần 3: 21.09–27.09.2026; Tuần 4: 28.09–04.10.2026; Tuần 5: 05.10–11.10.2026; Tuần 6: 12.10–18.10.2026; Tuần 7: 19.10–25.10.2026; Tuần 8: 26.10–01.11.2026.</v>
      </c>
      <c r="N32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7" s="17" t="str">
        <f t="shared" si="50"/>
        <v>Còn trống</v>
      </c>
    </row>
    <row r="3218" spans="1:16" x14ac:dyDescent="0.3">
      <c r="A3218">
        <v>3217</v>
      </c>
      <c r="B3218" t="s">
        <v>7352</v>
      </c>
      <c r="C3218" t="s">
        <v>7409</v>
      </c>
      <c r="D3218" t="s">
        <v>7410</v>
      </c>
      <c r="E3218" t="s">
        <v>40</v>
      </c>
      <c r="F3218" t="s">
        <v>7360</v>
      </c>
      <c r="G3218" t="s">
        <v>7411</v>
      </c>
      <c r="H3218" t="str">
        <f>'Huong dan giao do an'!$B$14</f>
        <v>5 SV (vai trò chính): 1 PM/Scrum Master kiêm Integration; 2 BA/PO; 3 UI-UX + Frontend; 4 Backend/API + DevOps; 5 Database + QA/Tester. Mỗi SV có nhiệm vụ phụ và minh chứng cá nhân.</v>
      </c>
      <c r="I3218" t="s">
        <v>29</v>
      </c>
      <c r="J3218" t="s">
        <v>7362</v>
      </c>
      <c r="K3218" t="str">
        <f>IF(I3218="Trung bình",'Huong dan giao do an'!$B$8,IF(I3218="Khá",'Huong dan giao do an'!$B$9,'Huong dan giao do an'!$B$10))</f>
        <v>Tối thiểu 5 actor; 14-18 use case; 10-15 bảng; 4 quy trình; tích hợp ngoài/realtime hoặc xử lý nâng cao; 3 báo cáo; &gt;=45 test case; logging, backup và deploy.</v>
      </c>
      <c r="L3218" t="str">
        <f>'Huong dan giao do an'!$B$31</f>
        <v>Bắt buộc: Charter/PMP; SRS + scope/WBS; Gantt/baseline; effort-cost budget; RACI/timesheet; quality-test-defect; communication/minutes; risk register; procurement; change log; closure/lessons learned.</v>
      </c>
      <c r="M3218" t="str">
        <f>'Huong dan giao do an'!$B$33</f>
        <v>Tuần 1: 07.09–13.09.2026; Tuần 2: 14.09–20.09.2026; Tuần 3: 21.09–27.09.2026; Tuần 4: 28.09–04.10.2026; Tuần 5: 05.10–11.10.2026; Tuần 6: 12.10–18.10.2026; Tuần 7: 19.10–25.10.2026; Tuần 8: 26.10–01.11.2026.</v>
      </c>
      <c r="N32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8" s="17" t="str">
        <f t="shared" si="50"/>
        <v>Còn trống</v>
      </c>
    </row>
    <row r="3219" spans="1:16" x14ac:dyDescent="0.3">
      <c r="A3219">
        <v>3218</v>
      </c>
      <c r="B3219" t="s">
        <v>7352</v>
      </c>
      <c r="C3219" t="s">
        <v>7412</v>
      </c>
      <c r="D3219" t="s">
        <v>7413</v>
      </c>
      <c r="E3219" t="s">
        <v>45</v>
      </c>
      <c r="F3219" t="s">
        <v>7365</v>
      </c>
      <c r="G3219" t="s">
        <v>7414</v>
      </c>
      <c r="H3219" t="str">
        <f>'Huong dan giao do an'!$B$14</f>
        <v>5 SV (vai trò chính): 1 PM/Scrum Master kiêm Integration; 2 BA/PO; 3 UI-UX + Frontend; 4 Backend/API + DevOps; 5 Database + QA/Tester. Mỗi SV có nhiệm vụ phụ và minh chứng cá nhân.</v>
      </c>
      <c r="I3219" t="s">
        <v>36</v>
      </c>
      <c r="J3219" t="s">
        <v>7367</v>
      </c>
      <c r="K3219" t="str">
        <f>IF(I3219="Trung bình",'Huong dan giao do an'!$B$8,IF(I3219="Khá",'Huong dan giao do an'!$B$9,'Huong dan giao do an'!$B$10))</f>
        <v>Tối thiểu 3 actor; 8-10 use case; 6-8 bảng dữ liệu; 2 quy trình lõi; đăng nhập/RBAC; 1 dashboard; 1 báo cáo; &gt;=25 test case; triển khai bản demo.</v>
      </c>
      <c r="L3219" t="str">
        <f>'Huong dan giao do an'!$B$31</f>
        <v>Bắt buộc: Charter/PMP; SRS + scope/WBS; Gantt/baseline; effort-cost budget; RACI/timesheet; quality-test-defect; communication/minutes; risk register; procurement; change log; closure/lessons learned.</v>
      </c>
      <c r="M3219" t="str">
        <f>'Huong dan giao do an'!$B$33</f>
        <v>Tuần 1: 07.09–13.09.2026; Tuần 2: 14.09–20.09.2026; Tuần 3: 21.09–27.09.2026; Tuần 4: 28.09–04.10.2026; Tuần 5: 05.10–11.10.2026; Tuần 6: 12.10–18.10.2026; Tuần 7: 19.10–25.10.2026; Tuần 8: 26.10–01.11.2026.</v>
      </c>
      <c r="N32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19" s="17" t="str">
        <f t="shared" si="50"/>
        <v>Còn trống</v>
      </c>
    </row>
    <row r="3220" spans="1:16" x14ac:dyDescent="0.3">
      <c r="A3220">
        <v>3219</v>
      </c>
      <c r="B3220" t="s">
        <v>7352</v>
      </c>
      <c r="C3220" t="s">
        <v>7415</v>
      </c>
      <c r="D3220" t="s">
        <v>7416</v>
      </c>
      <c r="E3220" t="s">
        <v>19</v>
      </c>
      <c r="F3220" t="s">
        <v>7370</v>
      </c>
      <c r="G3220" t="s">
        <v>7417</v>
      </c>
      <c r="H3220" t="str">
        <f>'Huong dan giao do an'!$B$14</f>
        <v>5 SV (vai trò chính): 1 PM/Scrum Master kiêm Integration; 2 BA/PO; 3 UI-UX + Frontend; 4 Backend/API + DevOps; 5 Database + QA/Tester. Mỗi SV có nhiệm vụ phụ và minh chứng cá nhân.</v>
      </c>
      <c r="I3220" t="s">
        <v>22</v>
      </c>
      <c r="J3220" t="s">
        <v>7357</v>
      </c>
      <c r="K3220" t="str">
        <f>IF(I3220="Trung bình",'Huong dan giao do an'!$B$8,IF(I3220="Khá",'Huong dan giao do an'!$B$9,'Huong dan giao do an'!$B$10))</f>
        <v>Tối thiểu 4 actor; 10-14 use case; 8-12 bảng; 3 quy trình lõi; phân quyền chi tiết; 2 báo cáo; tích hợp 1 dịch vụ; &gt;=35 test case; CI/CD hoặc deploy cloud.</v>
      </c>
      <c r="L3220" t="str">
        <f>'Huong dan giao do an'!$B$31</f>
        <v>Bắt buộc: Charter/PMP; SRS + scope/WBS; Gantt/baseline; effort-cost budget; RACI/timesheet; quality-test-defect; communication/minutes; risk register; procurement; change log; closure/lessons learned.</v>
      </c>
      <c r="M3220" t="str">
        <f>'Huong dan giao do an'!$B$33</f>
        <v>Tuần 1: 07.09–13.09.2026; Tuần 2: 14.09–20.09.2026; Tuần 3: 21.09–27.09.2026; Tuần 4: 28.09–04.10.2026; Tuần 5: 05.10–11.10.2026; Tuần 6: 12.10–18.10.2026; Tuần 7: 19.10–25.10.2026; Tuần 8: 26.10–01.11.2026.</v>
      </c>
      <c r="N32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0" s="17" t="str">
        <f t="shared" si="50"/>
        <v>Còn trống</v>
      </c>
    </row>
    <row r="3221" spans="1:16" x14ac:dyDescent="0.3">
      <c r="A3221">
        <v>3220</v>
      </c>
      <c r="B3221" t="s">
        <v>7352</v>
      </c>
      <c r="C3221" t="s">
        <v>7418</v>
      </c>
      <c r="D3221" t="s">
        <v>7419</v>
      </c>
      <c r="E3221" t="s">
        <v>26</v>
      </c>
      <c r="F3221" t="s">
        <v>7374</v>
      </c>
      <c r="G3221" t="s">
        <v>7420</v>
      </c>
      <c r="H3221" t="str">
        <f>'Huong dan giao do an'!$B$14</f>
        <v>5 SV (vai trò chính): 1 PM/Scrum Master kiêm Integration; 2 BA/PO; 3 UI-UX + Frontend; 4 Backend/API + DevOps; 5 Database + QA/Tester. Mỗi SV có nhiệm vụ phụ và minh chứng cá nhân.</v>
      </c>
      <c r="I3221" t="s">
        <v>29</v>
      </c>
      <c r="J3221" t="s">
        <v>7362</v>
      </c>
      <c r="K3221" t="str">
        <f>IF(I3221="Trung bình",'Huong dan giao do an'!$B$8,IF(I3221="Khá",'Huong dan giao do an'!$B$9,'Huong dan giao do an'!$B$10))</f>
        <v>Tối thiểu 5 actor; 14-18 use case; 10-15 bảng; 4 quy trình; tích hợp ngoài/realtime hoặc xử lý nâng cao; 3 báo cáo; &gt;=45 test case; logging, backup và deploy.</v>
      </c>
      <c r="L3221" t="str">
        <f>'Huong dan giao do an'!$B$31</f>
        <v>Bắt buộc: Charter/PMP; SRS + scope/WBS; Gantt/baseline; effort-cost budget; RACI/timesheet; quality-test-defect; communication/minutes; risk register; procurement; change log; closure/lessons learned.</v>
      </c>
      <c r="M3221" t="str">
        <f>'Huong dan giao do an'!$B$33</f>
        <v>Tuần 1: 07.09–13.09.2026; Tuần 2: 14.09–20.09.2026; Tuần 3: 21.09–27.09.2026; Tuần 4: 28.09–04.10.2026; Tuần 5: 05.10–11.10.2026; Tuần 6: 12.10–18.10.2026; Tuần 7: 19.10–25.10.2026; Tuần 8: 26.10–01.11.2026.</v>
      </c>
      <c r="N32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1" s="17" t="str">
        <f t="shared" si="50"/>
        <v>Còn trống</v>
      </c>
    </row>
    <row r="3222" spans="1:16" x14ac:dyDescent="0.3">
      <c r="A3222">
        <v>3221</v>
      </c>
      <c r="B3222" t="s">
        <v>7352</v>
      </c>
      <c r="C3222" t="s">
        <v>7421</v>
      </c>
      <c r="D3222" t="s">
        <v>7422</v>
      </c>
      <c r="E3222" t="s">
        <v>33</v>
      </c>
      <c r="F3222" t="s">
        <v>7355</v>
      </c>
      <c r="G3222" t="s">
        <v>7356</v>
      </c>
      <c r="H3222" t="str">
        <f>'Huong dan giao do an'!$B$14</f>
        <v>5 SV (vai trò chính): 1 PM/Scrum Master kiêm Integration; 2 BA/PO; 3 UI-UX + Frontend; 4 Backend/API + DevOps; 5 Database + QA/Tester. Mỗi SV có nhiệm vụ phụ và minh chứng cá nhân.</v>
      </c>
      <c r="I3222" t="s">
        <v>22</v>
      </c>
      <c r="J3222" t="s">
        <v>7357</v>
      </c>
      <c r="K3222" t="str">
        <f>IF(I3222="Trung bình",'Huong dan giao do an'!$B$8,IF(I3222="Khá",'Huong dan giao do an'!$B$9,'Huong dan giao do an'!$B$10))</f>
        <v>Tối thiểu 4 actor; 10-14 use case; 8-12 bảng; 3 quy trình lõi; phân quyền chi tiết; 2 báo cáo; tích hợp 1 dịch vụ; &gt;=35 test case; CI/CD hoặc deploy cloud.</v>
      </c>
      <c r="L3222" t="str">
        <f>'Huong dan giao do an'!$B$31</f>
        <v>Bắt buộc: Charter/PMP; SRS + scope/WBS; Gantt/baseline; effort-cost budget; RACI/timesheet; quality-test-defect; communication/minutes; risk register; procurement; change log; closure/lessons learned.</v>
      </c>
      <c r="M3222" t="str">
        <f>'Huong dan giao do an'!$B$33</f>
        <v>Tuần 1: 07.09–13.09.2026; Tuần 2: 14.09–20.09.2026; Tuần 3: 21.09–27.09.2026; Tuần 4: 28.09–04.10.2026; Tuần 5: 05.10–11.10.2026; Tuần 6: 12.10–18.10.2026; Tuần 7: 19.10–25.10.2026; Tuần 8: 26.10–01.11.2026.</v>
      </c>
      <c r="N32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2" s="17" t="str">
        <f t="shared" si="50"/>
        <v>Còn trống</v>
      </c>
    </row>
    <row r="3223" spans="1:16" x14ac:dyDescent="0.3">
      <c r="A3223">
        <v>3222</v>
      </c>
      <c r="B3223" t="s">
        <v>7352</v>
      </c>
      <c r="C3223" t="s">
        <v>7423</v>
      </c>
      <c r="D3223" t="s">
        <v>7424</v>
      </c>
      <c r="E3223" t="s">
        <v>40</v>
      </c>
      <c r="F3223" t="s">
        <v>7360</v>
      </c>
      <c r="G3223" t="s">
        <v>7361</v>
      </c>
      <c r="H3223" t="str">
        <f>'Huong dan giao do an'!$B$14</f>
        <v>5 SV (vai trò chính): 1 PM/Scrum Master kiêm Integration; 2 BA/PO; 3 UI-UX + Frontend; 4 Backend/API + DevOps; 5 Database + QA/Tester. Mỗi SV có nhiệm vụ phụ và minh chứng cá nhân.</v>
      </c>
      <c r="I3223" t="s">
        <v>29</v>
      </c>
      <c r="J3223" t="s">
        <v>7362</v>
      </c>
      <c r="K3223" t="str">
        <f>IF(I3223="Trung bình",'Huong dan giao do an'!$B$8,IF(I3223="Khá",'Huong dan giao do an'!$B$9,'Huong dan giao do an'!$B$10))</f>
        <v>Tối thiểu 5 actor; 14-18 use case; 10-15 bảng; 4 quy trình; tích hợp ngoài/realtime hoặc xử lý nâng cao; 3 báo cáo; &gt;=45 test case; logging, backup và deploy.</v>
      </c>
      <c r="L3223" t="str">
        <f>'Huong dan giao do an'!$B$31</f>
        <v>Bắt buộc: Charter/PMP; SRS + scope/WBS; Gantt/baseline; effort-cost budget; RACI/timesheet; quality-test-defect; communication/minutes; risk register; procurement; change log; closure/lessons learned.</v>
      </c>
      <c r="M3223" t="str">
        <f>'Huong dan giao do an'!$B$33</f>
        <v>Tuần 1: 07.09–13.09.2026; Tuần 2: 14.09–20.09.2026; Tuần 3: 21.09–27.09.2026; Tuần 4: 28.09–04.10.2026; Tuần 5: 05.10–11.10.2026; Tuần 6: 12.10–18.10.2026; Tuần 7: 19.10–25.10.2026; Tuần 8: 26.10–01.11.2026.</v>
      </c>
      <c r="N32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3" s="17" t="str">
        <f t="shared" si="50"/>
        <v>Còn trống</v>
      </c>
    </row>
    <row r="3224" spans="1:16" x14ac:dyDescent="0.3">
      <c r="A3224">
        <v>3223</v>
      </c>
      <c r="B3224" t="s">
        <v>7352</v>
      </c>
      <c r="C3224" t="s">
        <v>7425</v>
      </c>
      <c r="D3224" t="s">
        <v>7426</v>
      </c>
      <c r="E3224" t="s">
        <v>45</v>
      </c>
      <c r="F3224" t="s">
        <v>7365</v>
      </c>
      <c r="G3224" t="s">
        <v>7366</v>
      </c>
      <c r="H3224" t="str">
        <f>'Huong dan giao do an'!$B$14</f>
        <v>5 SV (vai trò chính): 1 PM/Scrum Master kiêm Integration; 2 BA/PO; 3 UI-UX + Frontend; 4 Backend/API + DevOps; 5 Database + QA/Tester. Mỗi SV có nhiệm vụ phụ và minh chứng cá nhân.</v>
      </c>
      <c r="I3224" t="s">
        <v>36</v>
      </c>
      <c r="J3224" t="s">
        <v>7367</v>
      </c>
      <c r="K3224" t="str">
        <f>IF(I3224="Trung bình",'Huong dan giao do an'!$B$8,IF(I3224="Khá",'Huong dan giao do an'!$B$9,'Huong dan giao do an'!$B$10))</f>
        <v>Tối thiểu 3 actor; 8-10 use case; 6-8 bảng dữ liệu; 2 quy trình lõi; đăng nhập/RBAC; 1 dashboard; 1 báo cáo; &gt;=25 test case; triển khai bản demo.</v>
      </c>
      <c r="L3224" t="str">
        <f>'Huong dan giao do an'!$B$31</f>
        <v>Bắt buộc: Charter/PMP; SRS + scope/WBS; Gantt/baseline; effort-cost budget; RACI/timesheet; quality-test-defect; communication/minutes; risk register; procurement; change log; closure/lessons learned.</v>
      </c>
      <c r="M3224" t="str">
        <f>'Huong dan giao do an'!$B$33</f>
        <v>Tuần 1: 07.09–13.09.2026; Tuần 2: 14.09–20.09.2026; Tuần 3: 21.09–27.09.2026; Tuần 4: 28.09–04.10.2026; Tuần 5: 05.10–11.10.2026; Tuần 6: 12.10–18.10.2026; Tuần 7: 19.10–25.10.2026; Tuần 8: 26.10–01.11.2026.</v>
      </c>
      <c r="N32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4" s="17" t="str">
        <f t="shared" si="50"/>
        <v>Còn trống</v>
      </c>
    </row>
    <row r="3225" spans="1:16" x14ac:dyDescent="0.3">
      <c r="A3225">
        <v>3224</v>
      </c>
      <c r="B3225" t="s">
        <v>7352</v>
      </c>
      <c r="C3225" t="s">
        <v>7427</v>
      </c>
      <c r="D3225" t="s">
        <v>7428</v>
      </c>
      <c r="E3225" t="s">
        <v>19</v>
      </c>
      <c r="F3225" t="s">
        <v>7370</v>
      </c>
      <c r="G3225" t="s">
        <v>7371</v>
      </c>
      <c r="H3225" t="str">
        <f>'Huong dan giao do an'!$B$14</f>
        <v>5 SV (vai trò chính): 1 PM/Scrum Master kiêm Integration; 2 BA/PO; 3 UI-UX + Frontend; 4 Backend/API + DevOps; 5 Database + QA/Tester. Mỗi SV có nhiệm vụ phụ và minh chứng cá nhân.</v>
      </c>
      <c r="I3225" t="s">
        <v>22</v>
      </c>
      <c r="J3225" t="s">
        <v>7357</v>
      </c>
      <c r="K3225" t="str">
        <f>IF(I3225="Trung bình",'Huong dan giao do an'!$B$8,IF(I3225="Khá",'Huong dan giao do an'!$B$9,'Huong dan giao do an'!$B$10))</f>
        <v>Tối thiểu 4 actor; 10-14 use case; 8-12 bảng; 3 quy trình lõi; phân quyền chi tiết; 2 báo cáo; tích hợp 1 dịch vụ; &gt;=35 test case; CI/CD hoặc deploy cloud.</v>
      </c>
      <c r="L3225" t="str">
        <f>'Huong dan giao do an'!$B$31</f>
        <v>Bắt buộc: Charter/PMP; SRS + scope/WBS; Gantt/baseline; effort-cost budget; RACI/timesheet; quality-test-defect; communication/minutes; risk register; procurement; change log; closure/lessons learned.</v>
      </c>
      <c r="M3225" t="str">
        <f>'Huong dan giao do an'!$B$33</f>
        <v>Tuần 1: 07.09–13.09.2026; Tuần 2: 14.09–20.09.2026; Tuần 3: 21.09–27.09.2026; Tuần 4: 28.09–04.10.2026; Tuần 5: 05.10–11.10.2026; Tuần 6: 12.10–18.10.2026; Tuần 7: 19.10–25.10.2026; Tuần 8: 26.10–01.11.2026.</v>
      </c>
      <c r="N32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5" s="17" t="str">
        <f t="shared" si="50"/>
        <v>Còn trống</v>
      </c>
    </row>
    <row r="3226" spans="1:16" x14ac:dyDescent="0.3">
      <c r="A3226">
        <v>3225</v>
      </c>
      <c r="B3226" t="s">
        <v>7352</v>
      </c>
      <c r="C3226" t="s">
        <v>7429</v>
      </c>
      <c r="D3226" t="s">
        <v>7430</v>
      </c>
      <c r="E3226" t="s">
        <v>26</v>
      </c>
      <c r="F3226" t="s">
        <v>7374</v>
      </c>
      <c r="G3226" t="s">
        <v>7375</v>
      </c>
      <c r="H3226" t="str">
        <f>'Huong dan giao do an'!$B$14</f>
        <v>5 SV (vai trò chính): 1 PM/Scrum Master kiêm Integration; 2 BA/PO; 3 UI-UX + Frontend; 4 Backend/API + DevOps; 5 Database + QA/Tester. Mỗi SV có nhiệm vụ phụ và minh chứng cá nhân.</v>
      </c>
      <c r="I3226" t="s">
        <v>29</v>
      </c>
      <c r="J3226" t="s">
        <v>7362</v>
      </c>
      <c r="K3226" t="str">
        <f>IF(I3226="Trung bình",'Huong dan giao do an'!$B$8,IF(I3226="Khá",'Huong dan giao do an'!$B$9,'Huong dan giao do an'!$B$10))</f>
        <v>Tối thiểu 5 actor; 14-18 use case; 10-15 bảng; 4 quy trình; tích hợp ngoài/realtime hoặc xử lý nâng cao; 3 báo cáo; &gt;=45 test case; logging, backup và deploy.</v>
      </c>
      <c r="L3226" t="str">
        <f>'Huong dan giao do an'!$B$31</f>
        <v>Bắt buộc: Charter/PMP; SRS + scope/WBS; Gantt/baseline; effort-cost budget; RACI/timesheet; quality-test-defect; communication/minutes; risk register; procurement; change log; closure/lessons learned.</v>
      </c>
      <c r="M3226" t="str">
        <f>'Huong dan giao do an'!$B$33</f>
        <v>Tuần 1: 07.09–13.09.2026; Tuần 2: 14.09–20.09.2026; Tuần 3: 21.09–27.09.2026; Tuần 4: 28.09–04.10.2026; Tuần 5: 05.10–11.10.2026; Tuần 6: 12.10–18.10.2026; Tuần 7: 19.10–25.10.2026; Tuần 8: 26.10–01.11.2026.</v>
      </c>
      <c r="N32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6" s="17" t="str">
        <f t="shared" si="50"/>
        <v>Còn trống</v>
      </c>
    </row>
    <row r="3227" spans="1:16" x14ac:dyDescent="0.3">
      <c r="A3227">
        <v>3226</v>
      </c>
      <c r="B3227" t="s">
        <v>7352</v>
      </c>
      <c r="C3227" t="s">
        <v>7431</v>
      </c>
      <c r="D3227" t="s">
        <v>7432</v>
      </c>
      <c r="E3227" t="s">
        <v>33</v>
      </c>
      <c r="F3227" t="s">
        <v>7355</v>
      </c>
      <c r="G3227" t="s">
        <v>7378</v>
      </c>
      <c r="H3227" t="str">
        <f>'Huong dan giao do an'!$B$14</f>
        <v>5 SV (vai trò chính): 1 PM/Scrum Master kiêm Integration; 2 BA/PO; 3 UI-UX + Frontend; 4 Backend/API + DevOps; 5 Database + QA/Tester. Mỗi SV có nhiệm vụ phụ và minh chứng cá nhân.</v>
      </c>
      <c r="I3227" t="s">
        <v>36</v>
      </c>
      <c r="J3227" t="s">
        <v>7367</v>
      </c>
      <c r="K3227" t="str">
        <f>IF(I3227="Trung bình",'Huong dan giao do an'!$B$8,IF(I3227="Khá",'Huong dan giao do an'!$B$9,'Huong dan giao do an'!$B$10))</f>
        <v>Tối thiểu 3 actor; 8-10 use case; 6-8 bảng dữ liệu; 2 quy trình lõi; đăng nhập/RBAC; 1 dashboard; 1 báo cáo; &gt;=25 test case; triển khai bản demo.</v>
      </c>
      <c r="L3227" t="str">
        <f>'Huong dan giao do an'!$B$31</f>
        <v>Bắt buộc: Charter/PMP; SRS + scope/WBS; Gantt/baseline; effort-cost budget; RACI/timesheet; quality-test-defect; communication/minutes; risk register; procurement; change log; closure/lessons learned.</v>
      </c>
      <c r="M3227" t="str">
        <f>'Huong dan giao do an'!$B$33</f>
        <v>Tuần 1: 07.09–13.09.2026; Tuần 2: 14.09–20.09.2026; Tuần 3: 21.09–27.09.2026; Tuần 4: 28.09–04.10.2026; Tuần 5: 05.10–11.10.2026; Tuần 6: 12.10–18.10.2026; Tuần 7: 19.10–25.10.2026; Tuần 8: 26.10–01.11.2026.</v>
      </c>
      <c r="N32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7" s="17" t="str">
        <f t="shared" si="50"/>
        <v>Còn trống</v>
      </c>
    </row>
    <row r="3228" spans="1:16" x14ac:dyDescent="0.3">
      <c r="A3228">
        <v>3227</v>
      </c>
      <c r="B3228" t="s">
        <v>7352</v>
      </c>
      <c r="C3228" t="s">
        <v>7433</v>
      </c>
      <c r="D3228" t="s">
        <v>7434</v>
      </c>
      <c r="E3228" t="s">
        <v>40</v>
      </c>
      <c r="F3228" t="s">
        <v>7360</v>
      </c>
      <c r="G3228" t="s">
        <v>7381</v>
      </c>
      <c r="H3228" t="str">
        <f>'Huong dan giao do an'!$B$14</f>
        <v>5 SV (vai trò chính): 1 PM/Scrum Master kiêm Integration; 2 BA/PO; 3 UI-UX + Frontend; 4 Backend/API + DevOps; 5 Database + QA/Tester. Mỗi SV có nhiệm vụ phụ và minh chứng cá nhân.</v>
      </c>
      <c r="I3228" t="s">
        <v>22</v>
      </c>
      <c r="J3228" t="s">
        <v>7357</v>
      </c>
      <c r="K3228" t="str">
        <f>IF(I3228="Trung bình",'Huong dan giao do an'!$B$8,IF(I3228="Khá",'Huong dan giao do an'!$B$9,'Huong dan giao do an'!$B$10))</f>
        <v>Tối thiểu 4 actor; 10-14 use case; 8-12 bảng; 3 quy trình lõi; phân quyền chi tiết; 2 báo cáo; tích hợp 1 dịch vụ; &gt;=35 test case; CI/CD hoặc deploy cloud.</v>
      </c>
      <c r="L3228" t="str">
        <f>'Huong dan giao do an'!$B$31</f>
        <v>Bắt buộc: Charter/PMP; SRS + scope/WBS; Gantt/baseline; effort-cost budget; RACI/timesheet; quality-test-defect; communication/minutes; risk register; procurement; change log; closure/lessons learned.</v>
      </c>
      <c r="M3228" t="str">
        <f>'Huong dan giao do an'!$B$33</f>
        <v>Tuần 1: 07.09–13.09.2026; Tuần 2: 14.09–20.09.2026; Tuần 3: 21.09–27.09.2026; Tuần 4: 28.09–04.10.2026; Tuần 5: 05.10–11.10.2026; Tuần 6: 12.10–18.10.2026; Tuần 7: 19.10–25.10.2026; Tuần 8: 26.10–01.11.2026.</v>
      </c>
      <c r="N32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8" s="17" t="str">
        <f t="shared" si="50"/>
        <v>Còn trống</v>
      </c>
    </row>
    <row r="3229" spans="1:16" x14ac:dyDescent="0.3">
      <c r="A3229">
        <v>3228</v>
      </c>
      <c r="B3229" t="s">
        <v>7352</v>
      </c>
      <c r="C3229" t="s">
        <v>7435</v>
      </c>
      <c r="D3229" t="s">
        <v>7436</v>
      </c>
      <c r="E3229" t="s">
        <v>45</v>
      </c>
      <c r="F3229" t="s">
        <v>7365</v>
      </c>
      <c r="G3229" t="s">
        <v>7384</v>
      </c>
      <c r="H3229" t="str">
        <f>'Huong dan giao do an'!$B$14</f>
        <v>5 SV (vai trò chính): 1 PM/Scrum Master kiêm Integration; 2 BA/PO; 3 UI-UX + Frontend; 4 Backend/API + DevOps; 5 Database + QA/Tester. Mỗi SV có nhiệm vụ phụ và minh chứng cá nhân.</v>
      </c>
      <c r="I3229" t="s">
        <v>29</v>
      </c>
      <c r="J3229" t="s">
        <v>7362</v>
      </c>
      <c r="K3229" t="str">
        <f>IF(I3229="Trung bình",'Huong dan giao do an'!$B$8,IF(I3229="Khá",'Huong dan giao do an'!$B$9,'Huong dan giao do an'!$B$10))</f>
        <v>Tối thiểu 5 actor; 14-18 use case; 10-15 bảng; 4 quy trình; tích hợp ngoài/realtime hoặc xử lý nâng cao; 3 báo cáo; &gt;=45 test case; logging, backup và deploy.</v>
      </c>
      <c r="L3229" t="str">
        <f>'Huong dan giao do an'!$B$31</f>
        <v>Bắt buộc: Charter/PMP; SRS + scope/WBS; Gantt/baseline; effort-cost budget; RACI/timesheet; quality-test-defect; communication/minutes; risk register; procurement; change log; closure/lessons learned.</v>
      </c>
      <c r="M3229" t="str">
        <f>'Huong dan giao do an'!$B$33</f>
        <v>Tuần 1: 07.09–13.09.2026; Tuần 2: 14.09–20.09.2026; Tuần 3: 21.09–27.09.2026; Tuần 4: 28.09–04.10.2026; Tuần 5: 05.10–11.10.2026; Tuần 6: 12.10–18.10.2026; Tuần 7: 19.10–25.10.2026; Tuần 8: 26.10–01.11.2026.</v>
      </c>
      <c r="N32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29" s="17" t="str">
        <f t="shared" si="50"/>
        <v>Còn trống</v>
      </c>
    </row>
    <row r="3230" spans="1:16" x14ac:dyDescent="0.3">
      <c r="A3230">
        <v>3229</v>
      </c>
      <c r="B3230" t="s">
        <v>7352</v>
      </c>
      <c r="C3230" t="s">
        <v>7437</v>
      </c>
      <c r="D3230" t="s">
        <v>7438</v>
      </c>
      <c r="E3230" t="s">
        <v>19</v>
      </c>
      <c r="F3230" t="s">
        <v>7370</v>
      </c>
      <c r="G3230" t="s">
        <v>7387</v>
      </c>
      <c r="H3230" t="str">
        <f>'Huong dan giao do an'!$B$14</f>
        <v>5 SV (vai trò chính): 1 PM/Scrum Master kiêm Integration; 2 BA/PO; 3 UI-UX + Frontend; 4 Backend/API + DevOps; 5 Database + QA/Tester. Mỗi SV có nhiệm vụ phụ và minh chứng cá nhân.</v>
      </c>
      <c r="I3230" t="s">
        <v>36</v>
      </c>
      <c r="J3230" t="s">
        <v>7367</v>
      </c>
      <c r="K3230" t="str">
        <f>IF(I3230="Trung bình",'Huong dan giao do an'!$B$8,IF(I3230="Khá",'Huong dan giao do an'!$B$9,'Huong dan giao do an'!$B$10))</f>
        <v>Tối thiểu 3 actor; 8-10 use case; 6-8 bảng dữ liệu; 2 quy trình lõi; đăng nhập/RBAC; 1 dashboard; 1 báo cáo; &gt;=25 test case; triển khai bản demo.</v>
      </c>
      <c r="L3230" t="str">
        <f>'Huong dan giao do an'!$B$31</f>
        <v>Bắt buộc: Charter/PMP; SRS + scope/WBS; Gantt/baseline; effort-cost budget; RACI/timesheet; quality-test-defect; communication/minutes; risk register; procurement; change log; closure/lessons learned.</v>
      </c>
      <c r="M3230" t="str">
        <f>'Huong dan giao do an'!$B$33</f>
        <v>Tuần 1: 07.09–13.09.2026; Tuần 2: 14.09–20.09.2026; Tuần 3: 21.09–27.09.2026; Tuần 4: 28.09–04.10.2026; Tuần 5: 05.10–11.10.2026; Tuần 6: 12.10–18.10.2026; Tuần 7: 19.10–25.10.2026; Tuần 8: 26.10–01.11.2026.</v>
      </c>
      <c r="N32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0" s="17" t="str">
        <f t="shared" si="50"/>
        <v>Còn trống</v>
      </c>
    </row>
    <row r="3231" spans="1:16" x14ac:dyDescent="0.3">
      <c r="A3231">
        <v>3230</v>
      </c>
      <c r="B3231" t="s">
        <v>7352</v>
      </c>
      <c r="C3231" t="s">
        <v>7439</v>
      </c>
      <c r="D3231" t="s">
        <v>7440</v>
      </c>
      <c r="E3231" t="s">
        <v>26</v>
      </c>
      <c r="F3231" t="s">
        <v>7374</v>
      </c>
      <c r="G3231" t="s">
        <v>7390</v>
      </c>
      <c r="H3231" t="str">
        <f>'Huong dan giao do an'!$B$14</f>
        <v>5 SV (vai trò chính): 1 PM/Scrum Master kiêm Integration; 2 BA/PO; 3 UI-UX + Frontend; 4 Backend/API + DevOps; 5 Database + QA/Tester. Mỗi SV có nhiệm vụ phụ và minh chứng cá nhân.</v>
      </c>
      <c r="I3231" t="s">
        <v>22</v>
      </c>
      <c r="J3231" t="s">
        <v>7357</v>
      </c>
      <c r="K3231" t="str">
        <f>IF(I3231="Trung bình",'Huong dan giao do an'!$B$8,IF(I3231="Khá",'Huong dan giao do an'!$B$9,'Huong dan giao do an'!$B$10))</f>
        <v>Tối thiểu 4 actor; 10-14 use case; 8-12 bảng; 3 quy trình lõi; phân quyền chi tiết; 2 báo cáo; tích hợp 1 dịch vụ; &gt;=35 test case; CI/CD hoặc deploy cloud.</v>
      </c>
      <c r="L3231" t="str">
        <f>'Huong dan giao do an'!$B$31</f>
        <v>Bắt buộc: Charter/PMP; SRS + scope/WBS; Gantt/baseline; effort-cost budget; RACI/timesheet; quality-test-defect; communication/minutes; risk register; procurement; change log; closure/lessons learned.</v>
      </c>
      <c r="M3231" t="str">
        <f>'Huong dan giao do an'!$B$33</f>
        <v>Tuần 1: 07.09–13.09.2026; Tuần 2: 14.09–20.09.2026; Tuần 3: 21.09–27.09.2026; Tuần 4: 28.09–04.10.2026; Tuần 5: 05.10–11.10.2026; Tuần 6: 12.10–18.10.2026; Tuần 7: 19.10–25.10.2026; Tuần 8: 26.10–01.11.2026.</v>
      </c>
      <c r="N32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1" s="17" t="str">
        <f t="shared" si="50"/>
        <v>Còn trống</v>
      </c>
    </row>
    <row r="3232" spans="1:16" x14ac:dyDescent="0.3">
      <c r="A3232">
        <v>3231</v>
      </c>
      <c r="B3232" t="s">
        <v>7352</v>
      </c>
      <c r="C3232" t="s">
        <v>7441</v>
      </c>
      <c r="D3232" t="s">
        <v>7442</v>
      </c>
      <c r="E3232" t="s">
        <v>33</v>
      </c>
      <c r="F3232" t="s">
        <v>7355</v>
      </c>
      <c r="G3232" t="s">
        <v>7393</v>
      </c>
      <c r="H3232" t="str">
        <f>'Huong dan giao do an'!$B$14</f>
        <v>5 SV (vai trò chính): 1 PM/Scrum Master kiêm Integration; 2 BA/PO; 3 UI-UX + Frontend; 4 Backend/API + DevOps; 5 Database + QA/Tester. Mỗi SV có nhiệm vụ phụ và minh chứng cá nhân.</v>
      </c>
      <c r="I3232" t="s">
        <v>29</v>
      </c>
      <c r="J3232" t="s">
        <v>7362</v>
      </c>
      <c r="K3232" t="str">
        <f>IF(I3232="Trung bình",'Huong dan giao do an'!$B$8,IF(I3232="Khá",'Huong dan giao do an'!$B$9,'Huong dan giao do an'!$B$10))</f>
        <v>Tối thiểu 5 actor; 14-18 use case; 10-15 bảng; 4 quy trình; tích hợp ngoài/realtime hoặc xử lý nâng cao; 3 báo cáo; &gt;=45 test case; logging, backup và deploy.</v>
      </c>
      <c r="L3232" t="str">
        <f>'Huong dan giao do an'!$B$31</f>
        <v>Bắt buộc: Charter/PMP; SRS + scope/WBS; Gantt/baseline; effort-cost budget; RACI/timesheet; quality-test-defect; communication/minutes; risk register; procurement; change log; closure/lessons learned.</v>
      </c>
      <c r="M3232" t="str">
        <f>'Huong dan giao do an'!$B$33</f>
        <v>Tuần 1: 07.09–13.09.2026; Tuần 2: 14.09–20.09.2026; Tuần 3: 21.09–27.09.2026; Tuần 4: 28.09–04.10.2026; Tuần 5: 05.10–11.10.2026; Tuần 6: 12.10–18.10.2026; Tuần 7: 19.10–25.10.2026; Tuần 8: 26.10–01.11.2026.</v>
      </c>
      <c r="N32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2" s="17" t="str">
        <f t="shared" si="50"/>
        <v>Còn trống</v>
      </c>
    </row>
    <row r="3233" spans="1:16" x14ac:dyDescent="0.3">
      <c r="A3233">
        <v>3232</v>
      </c>
      <c r="B3233" t="s">
        <v>7352</v>
      </c>
      <c r="C3233" t="s">
        <v>7443</v>
      </c>
      <c r="D3233" t="s">
        <v>7444</v>
      </c>
      <c r="E3233" t="s">
        <v>40</v>
      </c>
      <c r="F3233" t="s">
        <v>7360</v>
      </c>
      <c r="G3233" t="s">
        <v>7396</v>
      </c>
      <c r="H3233" t="str">
        <f>'Huong dan giao do an'!$B$14</f>
        <v>5 SV (vai trò chính): 1 PM/Scrum Master kiêm Integration; 2 BA/PO; 3 UI-UX + Frontend; 4 Backend/API + DevOps; 5 Database + QA/Tester. Mỗi SV có nhiệm vụ phụ và minh chứng cá nhân.</v>
      </c>
      <c r="I3233" t="s">
        <v>36</v>
      </c>
      <c r="J3233" t="s">
        <v>7367</v>
      </c>
      <c r="K3233" t="str">
        <f>IF(I3233="Trung bình",'Huong dan giao do an'!$B$8,IF(I3233="Khá",'Huong dan giao do an'!$B$9,'Huong dan giao do an'!$B$10))</f>
        <v>Tối thiểu 3 actor; 8-10 use case; 6-8 bảng dữ liệu; 2 quy trình lõi; đăng nhập/RBAC; 1 dashboard; 1 báo cáo; &gt;=25 test case; triển khai bản demo.</v>
      </c>
      <c r="L3233" t="str">
        <f>'Huong dan giao do an'!$B$31</f>
        <v>Bắt buộc: Charter/PMP; SRS + scope/WBS; Gantt/baseline; effort-cost budget; RACI/timesheet; quality-test-defect; communication/minutes; risk register; procurement; change log; closure/lessons learned.</v>
      </c>
      <c r="M3233" t="str">
        <f>'Huong dan giao do an'!$B$33</f>
        <v>Tuần 1: 07.09–13.09.2026; Tuần 2: 14.09–20.09.2026; Tuần 3: 21.09–27.09.2026; Tuần 4: 28.09–04.10.2026; Tuần 5: 05.10–11.10.2026; Tuần 6: 12.10–18.10.2026; Tuần 7: 19.10–25.10.2026; Tuần 8: 26.10–01.11.2026.</v>
      </c>
      <c r="N32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3" s="17" t="str">
        <f t="shared" si="50"/>
        <v>Còn trống</v>
      </c>
    </row>
    <row r="3234" spans="1:16" x14ac:dyDescent="0.3">
      <c r="A3234">
        <v>3233</v>
      </c>
      <c r="B3234" t="s">
        <v>7352</v>
      </c>
      <c r="C3234" t="s">
        <v>7445</v>
      </c>
      <c r="D3234" t="s">
        <v>7446</v>
      </c>
      <c r="E3234" t="s">
        <v>45</v>
      </c>
      <c r="F3234" t="s">
        <v>7365</v>
      </c>
      <c r="G3234" t="s">
        <v>7399</v>
      </c>
      <c r="H3234" t="str">
        <f>'Huong dan giao do an'!$B$14</f>
        <v>5 SV (vai trò chính): 1 PM/Scrum Master kiêm Integration; 2 BA/PO; 3 UI-UX + Frontend; 4 Backend/API + DevOps; 5 Database + QA/Tester. Mỗi SV có nhiệm vụ phụ và minh chứng cá nhân.</v>
      </c>
      <c r="I3234" t="s">
        <v>22</v>
      </c>
      <c r="J3234" t="s">
        <v>7357</v>
      </c>
      <c r="K3234" t="str">
        <f>IF(I3234="Trung bình",'Huong dan giao do an'!$B$8,IF(I3234="Khá",'Huong dan giao do an'!$B$9,'Huong dan giao do an'!$B$10))</f>
        <v>Tối thiểu 4 actor; 10-14 use case; 8-12 bảng; 3 quy trình lõi; phân quyền chi tiết; 2 báo cáo; tích hợp 1 dịch vụ; &gt;=35 test case; CI/CD hoặc deploy cloud.</v>
      </c>
      <c r="L3234" t="str">
        <f>'Huong dan giao do an'!$B$31</f>
        <v>Bắt buộc: Charter/PMP; SRS + scope/WBS; Gantt/baseline; effort-cost budget; RACI/timesheet; quality-test-defect; communication/minutes; risk register; procurement; change log; closure/lessons learned.</v>
      </c>
      <c r="M3234" t="str">
        <f>'Huong dan giao do an'!$B$33</f>
        <v>Tuần 1: 07.09–13.09.2026; Tuần 2: 14.09–20.09.2026; Tuần 3: 21.09–27.09.2026; Tuần 4: 28.09–04.10.2026; Tuần 5: 05.10–11.10.2026; Tuần 6: 12.10–18.10.2026; Tuần 7: 19.10–25.10.2026; Tuần 8: 26.10–01.11.2026.</v>
      </c>
      <c r="N32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4" s="17" t="str">
        <f t="shared" si="50"/>
        <v>Còn trống</v>
      </c>
    </row>
    <row r="3235" spans="1:16" x14ac:dyDescent="0.3">
      <c r="A3235">
        <v>3234</v>
      </c>
      <c r="B3235" t="s">
        <v>7352</v>
      </c>
      <c r="C3235" t="s">
        <v>7447</v>
      </c>
      <c r="D3235" t="s">
        <v>7448</v>
      </c>
      <c r="E3235" t="s">
        <v>19</v>
      </c>
      <c r="F3235" t="s">
        <v>7370</v>
      </c>
      <c r="G3235" t="s">
        <v>7402</v>
      </c>
      <c r="H3235" t="str">
        <f>'Huong dan giao do an'!$B$14</f>
        <v>5 SV (vai trò chính): 1 PM/Scrum Master kiêm Integration; 2 BA/PO; 3 UI-UX + Frontend; 4 Backend/API + DevOps; 5 Database + QA/Tester. Mỗi SV có nhiệm vụ phụ và minh chứng cá nhân.</v>
      </c>
      <c r="I3235" t="s">
        <v>29</v>
      </c>
      <c r="J3235" t="s">
        <v>7362</v>
      </c>
      <c r="K3235" t="str">
        <f>IF(I3235="Trung bình",'Huong dan giao do an'!$B$8,IF(I3235="Khá",'Huong dan giao do an'!$B$9,'Huong dan giao do an'!$B$10))</f>
        <v>Tối thiểu 5 actor; 14-18 use case; 10-15 bảng; 4 quy trình; tích hợp ngoài/realtime hoặc xử lý nâng cao; 3 báo cáo; &gt;=45 test case; logging, backup và deploy.</v>
      </c>
      <c r="L3235" t="str">
        <f>'Huong dan giao do an'!$B$31</f>
        <v>Bắt buộc: Charter/PMP; SRS + scope/WBS; Gantt/baseline; effort-cost budget; RACI/timesheet; quality-test-defect; communication/minutes; risk register; procurement; change log; closure/lessons learned.</v>
      </c>
      <c r="M3235" t="str">
        <f>'Huong dan giao do an'!$B$33</f>
        <v>Tuần 1: 07.09–13.09.2026; Tuần 2: 14.09–20.09.2026; Tuần 3: 21.09–27.09.2026; Tuần 4: 28.09–04.10.2026; Tuần 5: 05.10–11.10.2026; Tuần 6: 12.10–18.10.2026; Tuần 7: 19.10–25.10.2026; Tuần 8: 26.10–01.11.2026.</v>
      </c>
      <c r="N32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5" s="17" t="str">
        <f t="shared" si="50"/>
        <v>Còn trống</v>
      </c>
    </row>
    <row r="3236" spans="1:16" x14ac:dyDescent="0.3">
      <c r="A3236">
        <v>3235</v>
      </c>
      <c r="B3236" t="s">
        <v>7352</v>
      </c>
      <c r="C3236" t="s">
        <v>7449</v>
      </c>
      <c r="D3236" t="s">
        <v>7450</v>
      </c>
      <c r="E3236" t="s">
        <v>26</v>
      </c>
      <c r="F3236" t="s">
        <v>7374</v>
      </c>
      <c r="G3236" t="s">
        <v>7405</v>
      </c>
      <c r="H3236" t="str">
        <f>'Huong dan giao do an'!$B$14</f>
        <v>5 SV (vai trò chính): 1 PM/Scrum Master kiêm Integration; 2 BA/PO; 3 UI-UX + Frontend; 4 Backend/API + DevOps; 5 Database + QA/Tester. Mỗi SV có nhiệm vụ phụ và minh chứng cá nhân.</v>
      </c>
      <c r="I3236" t="s">
        <v>36</v>
      </c>
      <c r="J3236" t="s">
        <v>7367</v>
      </c>
      <c r="K3236" t="str">
        <f>IF(I3236="Trung bình",'Huong dan giao do an'!$B$8,IF(I3236="Khá",'Huong dan giao do an'!$B$9,'Huong dan giao do an'!$B$10))</f>
        <v>Tối thiểu 3 actor; 8-10 use case; 6-8 bảng dữ liệu; 2 quy trình lõi; đăng nhập/RBAC; 1 dashboard; 1 báo cáo; &gt;=25 test case; triển khai bản demo.</v>
      </c>
      <c r="L3236" t="str">
        <f>'Huong dan giao do an'!$B$31</f>
        <v>Bắt buộc: Charter/PMP; SRS + scope/WBS; Gantt/baseline; effort-cost budget; RACI/timesheet; quality-test-defect; communication/minutes; risk register; procurement; change log; closure/lessons learned.</v>
      </c>
      <c r="M3236" t="str">
        <f>'Huong dan giao do an'!$B$33</f>
        <v>Tuần 1: 07.09–13.09.2026; Tuần 2: 14.09–20.09.2026; Tuần 3: 21.09–27.09.2026; Tuần 4: 28.09–04.10.2026; Tuần 5: 05.10–11.10.2026; Tuần 6: 12.10–18.10.2026; Tuần 7: 19.10–25.10.2026; Tuần 8: 26.10–01.11.2026.</v>
      </c>
      <c r="N32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6" s="17" t="str">
        <f t="shared" si="50"/>
        <v>Còn trống</v>
      </c>
    </row>
    <row r="3237" spans="1:16" x14ac:dyDescent="0.3">
      <c r="A3237">
        <v>3236</v>
      </c>
      <c r="B3237" t="s">
        <v>7352</v>
      </c>
      <c r="C3237" t="s">
        <v>7451</v>
      </c>
      <c r="D3237" t="s">
        <v>7452</v>
      </c>
      <c r="E3237" t="s">
        <v>33</v>
      </c>
      <c r="F3237" t="s">
        <v>7355</v>
      </c>
      <c r="G3237" t="s">
        <v>7408</v>
      </c>
      <c r="H3237" t="str">
        <f>'Huong dan giao do an'!$B$14</f>
        <v>5 SV (vai trò chính): 1 PM/Scrum Master kiêm Integration; 2 BA/PO; 3 UI-UX + Frontend; 4 Backend/API + DevOps; 5 Database + QA/Tester. Mỗi SV có nhiệm vụ phụ và minh chứng cá nhân.</v>
      </c>
      <c r="I3237" t="s">
        <v>22</v>
      </c>
      <c r="J3237" t="s">
        <v>7357</v>
      </c>
      <c r="K3237" t="str">
        <f>IF(I3237="Trung bình",'Huong dan giao do an'!$B$8,IF(I3237="Khá",'Huong dan giao do an'!$B$9,'Huong dan giao do an'!$B$10))</f>
        <v>Tối thiểu 4 actor; 10-14 use case; 8-12 bảng; 3 quy trình lõi; phân quyền chi tiết; 2 báo cáo; tích hợp 1 dịch vụ; &gt;=35 test case; CI/CD hoặc deploy cloud.</v>
      </c>
      <c r="L3237" t="str">
        <f>'Huong dan giao do an'!$B$31</f>
        <v>Bắt buộc: Charter/PMP; SRS + scope/WBS; Gantt/baseline; effort-cost budget; RACI/timesheet; quality-test-defect; communication/minutes; risk register; procurement; change log; closure/lessons learned.</v>
      </c>
      <c r="M3237" t="str">
        <f>'Huong dan giao do an'!$B$33</f>
        <v>Tuần 1: 07.09–13.09.2026; Tuần 2: 14.09–20.09.2026; Tuần 3: 21.09–27.09.2026; Tuần 4: 28.09–04.10.2026; Tuần 5: 05.10–11.10.2026; Tuần 6: 12.10–18.10.2026; Tuần 7: 19.10–25.10.2026; Tuần 8: 26.10–01.11.2026.</v>
      </c>
      <c r="N32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7" s="17" t="str">
        <f t="shared" si="50"/>
        <v>Còn trống</v>
      </c>
    </row>
    <row r="3238" spans="1:16" x14ac:dyDescent="0.3">
      <c r="A3238">
        <v>3237</v>
      </c>
      <c r="B3238" t="s">
        <v>7352</v>
      </c>
      <c r="C3238" t="s">
        <v>7453</v>
      </c>
      <c r="D3238" t="s">
        <v>7454</v>
      </c>
      <c r="E3238" t="s">
        <v>40</v>
      </c>
      <c r="F3238" t="s">
        <v>7360</v>
      </c>
      <c r="G3238" t="s">
        <v>7411</v>
      </c>
      <c r="H3238" t="str">
        <f>'Huong dan giao do an'!$B$14</f>
        <v>5 SV (vai trò chính): 1 PM/Scrum Master kiêm Integration; 2 BA/PO; 3 UI-UX + Frontend; 4 Backend/API + DevOps; 5 Database + QA/Tester. Mỗi SV có nhiệm vụ phụ và minh chứng cá nhân.</v>
      </c>
      <c r="I3238" t="s">
        <v>29</v>
      </c>
      <c r="J3238" t="s">
        <v>7362</v>
      </c>
      <c r="K3238" t="str">
        <f>IF(I3238="Trung bình",'Huong dan giao do an'!$B$8,IF(I3238="Khá",'Huong dan giao do an'!$B$9,'Huong dan giao do an'!$B$10))</f>
        <v>Tối thiểu 5 actor; 14-18 use case; 10-15 bảng; 4 quy trình; tích hợp ngoài/realtime hoặc xử lý nâng cao; 3 báo cáo; &gt;=45 test case; logging, backup và deploy.</v>
      </c>
      <c r="L3238" t="str">
        <f>'Huong dan giao do an'!$B$31</f>
        <v>Bắt buộc: Charter/PMP; SRS + scope/WBS; Gantt/baseline; effort-cost budget; RACI/timesheet; quality-test-defect; communication/minutes; risk register; procurement; change log; closure/lessons learned.</v>
      </c>
      <c r="M3238" t="str">
        <f>'Huong dan giao do an'!$B$33</f>
        <v>Tuần 1: 07.09–13.09.2026; Tuần 2: 14.09–20.09.2026; Tuần 3: 21.09–27.09.2026; Tuần 4: 28.09–04.10.2026; Tuần 5: 05.10–11.10.2026; Tuần 6: 12.10–18.10.2026; Tuần 7: 19.10–25.10.2026; Tuần 8: 26.10–01.11.2026.</v>
      </c>
      <c r="N32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8" s="17" t="str">
        <f t="shared" si="50"/>
        <v>Còn trống</v>
      </c>
    </row>
    <row r="3239" spans="1:16" x14ac:dyDescent="0.3">
      <c r="A3239">
        <v>3238</v>
      </c>
      <c r="B3239" t="s">
        <v>7352</v>
      </c>
      <c r="C3239" t="s">
        <v>7455</v>
      </c>
      <c r="D3239" t="s">
        <v>7456</v>
      </c>
      <c r="E3239" t="s">
        <v>45</v>
      </c>
      <c r="F3239" t="s">
        <v>7365</v>
      </c>
      <c r="G3239" t="s">
        <v>7414</v>
      </c>
      <c r="H3239" t="str">
        <f>'Huong dan giao do an'!$B$14</f>
        <v>5 SV (vai trò chính): 1 PM/Scrum Master kiêm Integration; 2 BA/PO; 3 UI-UX + Frontend; 4 Backend/API + DevOps; 5 Database + QA/Tester. Mỗi SV có nhiệm vụ phụ và minh chứng cá nhân.</v>
      </c>
      <c r="I3239" t="s">
        <v>36</v>
      </c>
      <c r="J3239" t="s">
        <v>7367</v>
      </c>
      <c r="K3239" t="str">
        <f>IF(I3239="Trung bình",'Huong dan giao do an'!$B$8,IF(I3239="Khá",'Huong dan giao do an'!$B$9,'Huong dan giao do an'!$B$10))</f>
        <v>Tối thiểu 3 actor; 8-10 use case; 6-8 bảng dữ liệu; 2 quy trình lõi; đăng nhập/RBAC; 1 dashboard; 1 báo cáo; &gt;=25 test case; triển khai bản demo.</v>
      </c>
      <c r="L3239" t="str">
        <f>'Huong dan giao do an'!$B$31</f>
        <v>Bắt buộc: Charter/PMP; SRS + scope/WBS; Gantt/baseline; effort-cost budget; RACI/timesheet; quality-test-defect; communication/minutes; risk register; procurement; change log; closure/lessons learned.</v>
      </c>
      <c r="M3239" t="str">
        <f>'Huong dan giao do an'!$B$33</f>
        <v>Tuần 1: 07.09–13.09.2026; Tuần 2: 14.09–20.09.2026; Tuần 3: 21.09–27.09.2026; Tuần 4: 28.09–04.10.2026; Tuần 5: 05.10–11.10.2026; Tuần 6: 12.10–18.10.2026; Tuần 7: 19.10–25.10.2026; Tuần 8: 26.10–01.11.2026.</v>
      </c>
      <c r="N32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39" s="17" t="str">
        <f t="shared" si="50"/>
        <v>Còn trống</v>
      </c>
    </row>
    <row r="3240" spans="1:16" x14ac:dyDescent="0.3">
      <c r="A3240">
        <v>3239</v>
      </c>
      <c r="B3240" t="s">
        <v>7352</v>
      </c>
      <c r="C3240" t="s">
        <v>7457</v>
      </c>
      <c r="D3240" t="s">
        <v>7458</v>
      </c>
      <c r="E3240" t="s">
        <v>19</v>
      </c>
      <c r="F3240" t="s">
        <v>7370</v>
      </c>
      <c r="G3240" t="s">
        <v>7417</v>
      </c>
      <c r="H3240" t="str">
        <f>'Huong dan giao do an'!$B$14</f>
        <v>5 SV (vai trò chính): 1 PM/Scrum Master kiêm Integration; 2 BA/PO; 3 UI-UX + Frontend; 4 Backend/API + DevOps; 5 Database + QA/Tester. Mỗi SV có nhiệm vụ phụ và minh chứng cá nhân.</v>
      </c>
      <c r="I3240" t="s">
        <v>22</v>
      </c>
      <c r="J3240" t="s">
        <v>7357</v>
      </c>
      <c r="K3240" t="str">
        <f>IF(I3240="Trung bình",'Huong dan giao do an'!$B$8,IF(I3240="Khá",'Huong dan giao do an'!$B$9,'Huong dan giao do an'!$B$10))</f>
        <v>Tối thiểu 4 actor; 10-14 use case; 8-12 bảng; 3 quy trình lõi; phân quyền chi tiết; 2 báo cáo; tích hợp 1 dịch vụ; &gt;=35 test case; CI/CD hoặc deploy cloud.</v>
      </c>
      <c r="L3240" t="str">
        <f>'Huong dan giao do an'!$B$31</f>
        <v>Bắt buộc: Charter/PMP; SRS + scope/WBS; Gantt/baseline; effort-cost budget; RACI/timesheet; quality-test-defect; communication/minutes; risk register; procurement; change log; closure/lessons learned.</v>
      </c>
      <c r="M3240" t="str">
        <f>'Huong dan giao do an'!$B$33</f>
        <v>Tuần 1: 07.09–13.09.2026; Tuần 2: 14.09–20.09.2026; Tuần 3: 21.09–27.09.2026; Tuần 4: 28.09–04.10.2026; Tuần 5: 05.10–11.10.2026; Tuần 6: 12.10–18.10.2026; Tuần 7: 19.10–25.10.2026; Tuần 8: 26.10–01.11.2026.</v>
      </c>
      <c r="N32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0" s="17" t="str">
        <f t="shared" si="50"/>
        <v>Còn trống</v>
      </c>
    </row>
    <row r="3241" spans="1:16" x14ac:dyDescent="0.3">
      <c r="A3241">
        <v>3240</v>
      </c>
      <c r="B3241" t="s">
        <v>7352</v>
      </c>
      <c r="C3241" t="s">
        <v>7459</v>
      </c>
      <c r="D3241" t="s">
        <v>7460</v>
      </c>
      <c r="E3241" t="s">
        <v>26</v>
      </c>
      <c r="F3241" t="s">
        <v>7374</v>
      </c>
      <c r="G3241" t="s">
        <v>7420</v>
      </c>
      <c r="H3241" t="str">
        <f>'Huong dan giao do an'!$B$14</f>
        <v>5 SV (vai trò chính): 1 PM/Scrum Master kiêm Integration; 2 BA/PO; 3 UI-UX + Frontend; 4 Backend/API + DevOps; 5 Database + QA/Tester. Mỗi SV có nhiệm vụ phụ và minh chứng cá nhân.</v>
      </c>
      <c r="I3241" t="s">
        <v>29</v>
      </c>
      <c r="J3241" t="s">
        <v>7362</v>
      </c>
      <c r="K3241" t="str">
        <f>IF(I3241="Trung bình",'Huong dan giao do an'!$B$8,IF(I3241="Khá",'Huong dan giao do an'!$B$9,'Huong dan giao do an'!$B$10))</f>
        <v>Tối thiểu 5 actor; 14-18 use case; 10-15 bảng; 4 quy trình; tích hợp ngoài/realtime hoặc xử lý nâng cao; 3 báo cáo; &gt;=45 test case; logging, backup và deploy.</v>
      </c>
      <c r="L3241" t="str">
        <f>'Huong dan giao do an'!$B$31</f>
        <v>Bắt buộc: Charter/PMP; SRS + scope/WBS; Gantt/baseline; effort-cost budget; RACI/timesheet; quality-test-defect; communication/minutes; risk register; procurement; change log; closure/lessons learned.</v>
      </c>
      <c r="M3241" t="str">
        <f>'Huong dan giao do an'!$B$33</f>
        <v>Tuần 1: 07.09–13.09.2026; Tuần 2: 14.09–20.09.2026; Tuần 3: 21.09–27.09.2026; Tuần 4: 28.09–04.10.2026; Tuần 5: 05.10–11.10.2026; Tuần 6: 12.10–18.10.2026; Tuần 7: 19.10–25.10.2026; Tuần 8: 26.10–01.11.2026.</v>
      </c>
      <c r="N32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1" s="17" t="str">
        <f t="shared" si="50"/>
        <v>Còn trống</v>
      </c>
    </row>
    <row r="3242" spans="1:16" x14ac:dyDescent="0.3">
      <c r="A3242">
        <v>3241</v>
      </c>
      <c r="B3242" t="s">
        <v>7352</v>
      </c>
      <c r="C3242" t="s">
        <v>7461</v>
      </c>
      <c r="D3242" t="s">
        <v>7462</v>
      </c>
      <c r="E3242" t="s">
        <v>33</v>
      </c>
      <c r="F3242" t="s">
        <v>7355</v>
      </c>
      <c r="G3242" t="s">
        <v>7356</v>
      </c>
      <c r="H3242" t="str">
        <f>'Huong dan giao do an'!$B$14</f>
        <v>5 SV (vai trò chính): 1 PM/Scrum Master kiêm Integration; 2 BA/PO; 3 UI-UX + Frontend; 4 Backend/API + DevOps; 5 Database + QA/Tester. Mỗi SV có nhiệm vụ phụ và minh chứng cá nhân.</v>
      </c>
      <c r="I3242" t="s">
        <v>22</v>
      </c>
      <c r="J3242" t="s">
        <v>7357</v>
      </c>
      <c r="K3242" t="str">
        <f>IF(I3242="Trung bình",'Huong dan giao do an'!$B$8,IF(I3242="Khá",'Huong dan giao do an'!$B$9,'Huong dan giao do an'!$B$10))</f>
        <v>Tối thiểu 4 actor; 10-14 use case; 8-12 bảng; 3 quy trình lõi; phân quyền chi tiết; 2 báo cáo; tích hợp 1 dịch vụ; &gt;=35 test case; CI/CD hoặc deploy cloud.</v>
      </c>
      <c r="L3242" t="str">
        <f>'Huong dan giao do an'!$B$31</f>
        <v>Bắt buộc: Charter/PMP; SRS + scope/WBS; Gantt/baseline; effort-cost budget; RACI/timesheet; quality-test-defect; communication/minutes; risk register; procurement; change log; closure/lessons learned.</v>
      </c>
      <c r="M3242" t="str">
        <f>'Huong dan giao do an'!$B$33</f>
        <v>Tuần 1: 07.09–13.09.2026; Tuần 2: 14.09–20.09.2026; Tuần 3: 21.09–27.09.2026; Tuần 4: 28.09–04.10.2026; Tuần 5: 05.10–11.10.2026; Tuần 6: 12.10–18.10.2026; Tuần 7: 19.10–25.10.2026; Tuần 8: 26.10–01.11.2026.</v>
      </c>
      <c r="N32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2" s="17" t="str">
        <f t="shared" si="50"/>
        <v>Còn trống</v>
      </c>
    </row>
    <row r="3243" spans="1:16" x14ac:dyDescent="0.3">
      <c r="A3243">
        <v>3242</v>
      </c>
      <c r="B3243" t="s">
        <v>7352</v>
      </c>
      <c r="C3243" t="s">
        <v>7463</v>
      </c>
      <c r="D3243" t="s">
        <v>7464</v>
      </c>
      <c r="E3243" t="s">
        <v>40</v>
      </c>
      <c r="F3243" t="s">
        <v>7360</v>
      </c>
      <c r="G3243" t="s">
        <v>7361</v>
      </c>
      <c r="H3243" t="str">
        <f>'Huong dan giao do an'!$B$14</f>
        <v>5 SV (vai trò chính): 1 PM/Scrum Master kiêm Integration; 2 BA/PO; 3 UI-UX + Frontend; 4 Backend/API + DevOps; 5 Database + QA/Tester. Mỗi SV có nhiệm vụ phụ và minh chứng cá nhân.</v>
      </c>
      <c r="I3243" t="s">
        <v>29</v>
      </c>
      <c r="J3243" t="s">
        <v>7362</v>
      </c>
      <c r="K3243" t="str">
        <f>IF(I3243="Trung bình",'Huong dan giao do an'!$B$8,IF(I3243="Khá",'Huong dan giao do an'!$B$9,'Huong dan giao do an'!$B$10))</f>
        <v>Tối thiểu 5 actor; 14-18 use case; 10-15 bảng; 4 quy trình; tích hợp ngoài/realtime hoặc xử lý nâng cao; 3 báo cáo; &gt;=45 test case; logging, backup và deploy.</v>
      </c>
      <c r="L3243" t="str">
        <f>'Huong dan giao do an'!$B$31</f>
        <v>Bắt buộc: Charter/PMP; SRS + scope/WBS; Gantt/baseline; effort-cost budget; RACI/timesheet; quality-test-defect; communication/minutes; risk register; procurement; change log; closure/lessons learned.</v>
      </c>
      <c r="M3243" t="str">
        <f>'Huong dan giao do an'!$B$33</f>
        <v>Tuần 1: 07.09–13.09.2026; Tuần 2: 14.09–20.09.2026; Tuần 3: 21.09–27.09.2026; Tuần 4: 28.09–04.10.2026; Tuần 5: 05.10–11.10.2026; Tuần 6: 12.10–18.10.2026; Tuần 7: 19.10–25.10.2026; Tuần 8: 26.10–01.11.2026.</v>
      </c>
      <c r="N32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3" s="17" t="str">
        <f t="shared" si="50"/>
        <v>Còn trống</v>
      </c>
    </row>
    <row r="3244" spans="1:16" x14ac:dyDescent="0.3">
      <c r="A3244">
        <v>3243</v>
      </c>
      <c r="B3244" t="s">
        <v>7352</v>
      </c>
      <c r="C3244" t="s">
        <v>7465</v>
      </c>
      <c r="D3244" t="s">
        <v>7466</v>
      </c>
      <c r="E3244" t="s">
        <v>45</v>
      </c>
      <c r="F3244" t="s">
        <v>7365</v>
      </c>
      <c r="G3244" t="s">
        <v>7366</v>
      </c>
      <c r="H3244" t="str">
        <f>'Huong dan giao do an'!$B$14</f>
        <v>5 SV (vai trò chính): 1 PM/Scrum Master kiêm Integration; 2 BA/PO; 3 UI-UX + Frontend; 4 Backend/API + DevOps; 5 Database + QA/Tester. Mỗi SV có nhiệm vụ phụ và minh chứng cá nhân.</v>
      </c>
      <c r="I3244" t="s">
        <v>36</v>
      </c>
      <c r="J3244" t="s">
        <v>7367</v>
      </c>
      <c r="K3244" t="str">
        <f>IF(I3244="Trung bình",'Huong dan giao do an'!$B$8,IF(I3244="Khá",'Huong dan giao do an'!$B$9,'Huong dan giao do an'!$B$10))</f>
        <v>Tối thiểu 3 actor; 8-10 use case; 6-8 bảng dữ liệu; 2 quy trình lõi; đăng nhập/RBAC; 1 dashboard; 1 báo cáo; &gt;=25 test case; triển khai bản demo.</v>
      </c>
      <c r="L3244" t="str">
        <f>'Huong dan giao do an'!$B$31</f>
        <v>Bắt buộc: Charter/PMP; SRS + scope/WBS; Gantt/baseline; effort-cost budget; RACI/timesheet; quality-test-defect; communication/minutes; risk register; procurement; change log; closure/lessons learned.</v>
      </c>
      <c r="M3244" t="str">
        <f>'Huong dan giao do an'!$B$33</f>
        <v>Tuần 1: 07.09–13.09.2026; Tuần 2: 14.09–20.09.2026; Tuần 3: 21.09–27.09.2026; Tuần 4: 28.09–04.10.2026; Tuần 5: 05.10–11.10.2026; Tuần 6: 12.10–18.10.2026; Tuần 7: 19.10–25.10.2026; Tuần 8: 26.10–01.11.2026.</v>
      </c>
      <c r="N32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4" s="17" t="str">
        <f t="shared" si="50"/>
        <v>Còn trống</v>
      </c>
    </row>
    <row r="3245" spans="1:16" x14ac:dyDescent="0.3">
      <c r="A3245">
        <v>3244</v>
      </c>
      <c r="B3245" t="s">
        <v>7352</v>
      </c>
      <c r="C3245" t="s">
        <v>7467</v>
      </c>
      <c r="D3245" t="s">
        <v>7468</v>
      </c>
      <c r="E3245" t="s">
        <v>19</v>
      </c>
      <c r="F3245" t="s">
        <v>7370</v>
      </c>
      <c r="G3245" t="s">
        <v>7371</v>
      </c>
      <c r="H3245" t="str">
        <f>'Huong dan giao do an'!$B$14</f>
        <v>5 SV (vai trò chính): 1 PM/Scrum Master kiêm Integration; 2 BA/PO; 3 UI-UX + Frontend; 4 Backend/API + DevOps; 5 Database + QA/Tester. Mỗi SV có nhiệm vụ phụ và minh chứng cá nhân.</v>
      </c>
      <c r="I3245" t="s">
        <v>22</v>
      </c>
      <c r="J3245" t="s">
        <v>7357</v>
      </c>
      <c r="K3245" t="str">
        <f>IF(I3245="Trung bình",'Huong dan giao do an'!$B$8,IF(I3245="Khá",'Huong dan giao do an'!$B$9,'Huong dan giao do an'!$B$10))</f>
        <v>Tối thiểu 4 actor; 10-14 use case; 8-12 bảng; 3 quy trình lõi; phân quyền chi tiết; 2 báo cáo; tích hợp 1 dịch vụ; &gt;=35 test case; CI/CD hoặc deploy cloud.</v>
      </c>
      <c r="L3245" t="str">
        <f>'Huong dan giao do an'!$B$31</f>
        <v>Bắt buộc: Charter/PMP; SRS + scope/WBS; Gantt/baseline; effort-cost budget; RACI/timesheet; quality-test-defect; communication/minutes; risk register; procurement; change log; closure/lessons learned.</v>
      </c>
      <c r="M3245" t="str">
        <f>'Huong dan giao do an'!$B$33</f>
        <v>Tuần 1: 07.09–13.09.2026; Tuần 2: 14.09–20.09.2026; Tuần 3: 21.09–27.09.2026; Tuần 4: 28.09–04.10.2026; Tuần 5: 05.10–11.10.2026; Tuần 6: 12.10–18.10.2026; Tuần 7: 19.10–25.10.2026; Tuần 8: 26.10–01.11.2026.</v>
      </c>
      <c r="N32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5" s="17" t="str">
        <f t="shared" si="50"/>
        <v>Còn trống</v>
      </c>
    </row>
    <row r="3246" spans="1:16" x14ac:dyDescent="0.3">
      <c r="A3246">
        <v>3245</v>
      </c>
      <c r="B3246" t="s">
        <v>7352</v>
      </c>
      <c r="C3246" t="s">
        <v>7469</v>
      </c>
      <c r="D3246" t="s">
        <v>7470</v>
      </c>
      <c r="E3246" t="s">
        <v>26</v>
      </c>
      <c r="F3246" t="s">
        <v>7374</v>
      </c>
      <c r="G3246" t="s">
        <v>7375</v>
      </c>
      <c r="H3246" t="str">
        <f>'Huong dan giao do an'!$B$14</f>
        <v>5 SV (vai trò chính): 1 PM/Scrum Master kiêm Integration; 2 BA/PO; 3 UI-UX + Frontend; 4 Backend/API + DevOps; 5 Database + QA/Tester. Mỗi SV có nhiệm vụ phụ và minh chứng cá nhân.</v>
      </c>
      <c r="I3246" t="s">
        <v>29</v>
      </c>
      <c r="J3246" t="s">
        <v>7362</v>
      </c>
      <c r="K3246" t="str">
        <f>IF(I3246="Trung bình",'Huong dan giao do an'!$B$8,IF(I3246="Khá",'Huong dan giao do an'!$B$9,'Huong dan giao do an'!$B$10))</f>
        <v>Tối thiểu 5 actor; 14-18 use case; 10-15 bảng; 4 quy trình; tích hợp ngoài/realtime hoặc xử lý nâng cao; 3 báo cáo; &gt;=45 test case; logging, backup và deploy.</v>
      </c>
      <c r="L3246" t="str">
        <f>'Huong dan giao do an'!$B$31</f>
        <v>Bắt buộc: Charter/PMP; SRS + scope/WBS; Gantt/baseline; effort-cost budget; RACI/timesheet; quality-test-defect; communication/minutes; risk register; procurement; change log; closure/lessons learned.</v>
      </c>
      <c r="M3246" t="str">
        <f>'Huong dan giao do an'!$B$33</f>
        <v>Tuần 1: 07.09–13.09.2026; Tuần 2: 14.09–20.09.2026; Tuần 3: 21.09–27.09.2026; Tuần 4: 28.09–04.10.2026; Tuần 5: 05.10–11.10.2026; Tuần 6: 12.10–18.10.2026; Tuần 7: 19.10–25.10.2026; Tuần 8: 26.10–01.11.2026.</v>
      </c>
      <c r="N32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6" s="17" t="str">
        <f t="shared" si="50"/>
        <v>Còn trống</v>
      </c>
    </row>
    <row r="3247" spans="1:16" x14ac:dyDescent="0.3">
      <c r="A3247">
        <v>3246</v>
      </c>
      <c r="B3247" t="s">
        <v>7352</v>
      </c>
      <c r="C3247" t="s">
        <v>7471</v>
      </c>
      <c r="D3247" t="s">
        <v>7472</v>
      </c>
      <c r="E3247" t="s">
        <v>33</v>
      </c>
      <c r="F3247" t="s">
        <v>7355</v>
      </c>
      <c r="G3247" t="s">
        <v>7378</v>
      </c>
      <c r="H3247" t="str">
        <f>'Huong dan giao do an'!$B$14</f>
        <v>5 SV (vai trò chính): 1 PM/Scrum Master kiêm Integration; 2 BA/PO; 3 UI-UX + Frontend; 4 Backend/API + DevOps; 5 Database + QA/Tester. Mỗi SV có nhiệm vụ phụ và minh chứng cá nhân.</v>
      </c>
      <c r="I3247" t="s">
        <v>36</v>
      </c>
      <c r="J3247" t="s">
        <v>7367</v>
      </c>
      <c r="K3247" t="str">
        <f>IF(I3247="Trung bình",'Huong dan giao do an'!$B$8,IF(I3247="Khá",'Huong dan giao do an'!$B$9,'Huong dan giao do an'!$B$10))</f>
        <v>Tối thiểu 3 actor; 8-10 use case; 6-8 bảng dữ liệu; 2 quy trình lõi; đăng nhập/RBAC; 1 dashboard; 1 báo cáo; &gt;=25 test case; triển khai bản demo.</v>
      </c>
      <c r="L3247" t="str">
        <f>'Huong dan giao do an'!$B$31</f>
        <v>Bắt buộc: Charter/PMP; SRS + scope/WBS; Gantt/baseline; effort-cost budget; RACI/timesheet; quality-test-defect; communication/minutes; risk register; procurement; change log; closure/lessons learned.</v>
      </c>
      <c r="M3247" t="str">
        <f>'Huong dan giao do an'!$B$33</f>
        <v>Tuần 1: 07.09–13.09.2026; Tuần 2: 14.09–20.09.2026; Tuần 3: 21.09–27.09.2026; Tuần 4: 28.09–04.10.2026; Tuần 5: 05.10–11.10.2026; Tuần 6: 12.10–18.10.2026; Tuần 7: 19.10–25.10.2026; Tuần 8: 26.10–01.11.2026.</v>
      </c>
      <c r="N32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7" s="17" t="str">
        <f t="shared" si="50"/>
        <v>Còn trống</v>
      </c>
    </row>
    <row r="3248" spans="1:16" x14ac:dyDescent="0.3">
      <c r="A3248">
        <v>3247</v>
      </c>
      <c r="B3248" t="s">
        <v>7352</v>
      </c>
      <c r="C3248" t="s">
        <v>7473</v>
      </c>
      <c r="D3248" t="s">
        <v>7474</v>
      </c>
      <c r="E3248" t="s">
        <v>40</v>
      </c>
      <c r="F3248" t="s">
        <v>7360</v>
      </c>
      <c r="G3248" t="s">
        <v>7381</v>
      </c>
      <c r="H3248" t="str">
        <f>'Huong dan giao do an'!$B$14</f>
        <v>5 SV (vai trò chính): 1 PM/Scrum Master kiêm Integration; 2 BA/PO; 3 UI-UX + Frontend; 4 Backend/API + DevOps; 5 Database + QA/Tester. Mỗi SV có nhiệm vụ phụ và minh chứng cá nhân.</v>
      </c>
      <c r="I3248" t="s">
        <v>22</v>
      </c>
      <c r="J3248" t="s">
        <v>7357</v>
      </c>
      <c r="K3248" t="str">
        <f>IF(I3248="Trung bình",'Huong dan giao do an'!$B$8,IF(I3248="Khá",'Huong dan giao do an'!$B$9,'Huong dan giao do an'!$B$10))</f>
        <v>Tối thiểu 4 actor; 10-14 use case; 8-12 bảng; 3 quy trình lõi; phân quyền chi tiết; 2 báo cáo; tích hợp 1 dịch vụ; &gt;=35 test case; CI/CD hoặc deploy cloud.</v>
      </c>
      <c r="L3248" t="str">
        <f>'Huong dan giao do an'!$B$31</f>
        <v>Bắt buộc: Charter/PMP; SRS + scope/WBS; Gantt/baseline; effort-cost budget; RACI/timesheet; quality-test-defect; communication/minutes; risk register; procurement; change log; closure/lessons learned.</v>
      </c>
      <c r="M3248" t="str">
        <f>'Huong dan giao do an'!$B$33</f>
        <v>Tuần 1: 07.09–13.09.2026; Tuần 2: 14.09–20.09.2026; Tuần 3: 21.09–27.09.2026; Tuần 4: 28.09–04.10.2026; Tuần 5: 05.10–11.10.2026; Tuần 6: 12.10–18.10.2026; Tuần 7: 19.10–25.10.2026; Tuần 8: 26.10–01.11.2026.</v>
      </c>
      <c r="N32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8" s="17" t="str">
        <f t="shared" si="50"/>
        <v>Còn trống</v>
      </c>
    </row>
    <row r="3249" spans="1:16" x14ac:dyDescent="0.3">
      <c r="A3249">
        <v>3248</v>
      </c>
      <c r="B3249" t="s">
        <v>7352</v>
      </c>
      <c r="C3249" t="s">
        <v>7475</v>
      </c>
      <c r="D3249" t="s">
        <v>7476</v>
      </c>
      <c r="E3249" t="s">
        <v>45</v>
      </c>
      <c r="F3249" t="s">
        <v>7365</v>
      </c>
      <c r="G3249" t="s">
        <v>7384</v>
      </c>
      <c r="H3249" t="str">
        <f>'Huong dan giao do an'!$B$14</f>
        <v>5 SV (vai trò chính): 1 PM/Scrum Master kiêm Integration; 2 BA/PO; 3 UI-UX + Frontend; 4 Backend/API + DevOps; 5 Database + QA/Tester. Mỗi SV có nhiệm vụ phụ và minh chứng cá nhân.</v>
      </c>
      <c r="I3249" t="s">
        <v>29</v>
      </c>
      <c r="J3249" t="s">
        <v>7362</v>
      </c>
      <c r="K3249" t="str">
        <f>IF(I3249="Trung bình",'Huong dan giao do an'!$B$8,IF(I3249="Khá",'Huong dan giao do an'!$B$9,'Huong dan giao do an'!$B$10))</f>
        <v>Tối thiểu 5 actor; 14-18 use case; 10-15 bảng; 4 quy trình; tích hợp ngoài/realtime hoặc xử lý nâng cao; 3 báo cáo; &gt;=45 test case; logging, backup và deploy.</v>
      </c>
      <c r="L3249" t="str">
        <f>'Huong dan giao do an'!$B$31</f>
        <v>Bắt buộc: Charter/PMP; SRS + scope/WBS; Gantt/baseline; effort-cost budget; RACI/timesheet; quality-test-defect; communication/minutes; risk register; procurement; change log; closure/lessons learned.</v>
      </c>
      <c r="M3249" t="str">
        <f>'Huong dan giao do an'!$B$33</f>
        <v>Tuần 1: 07.09–13.09.2026; Tuần 2: 14.09–20.09.2026; Tuần 3: 21.09–27.09.2026; Tuần 4: 28.09–04.10.2026; Tuần 5: 05.10–11.10.2026; Tuần 6: 12.10–18.10.2026; Tuần 7: 19.10–25.10.2026; Tuần 8: 26.10–01.11.2026.</v>
      </c>
      <c r="N32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49" s="17" t="str">
        <f t="shared" si="50"/>
        <v>Còn trống</v>
      </c>
    </row>
    <row r="3250" spans="1:16" x14ac:dyDescent="0.3">
      <c r="A3250">
        <v>3249</v>
      </c>
      <c r="B3250" t="s">
        <v>7352</v>
      </c>
      <c r="C3250" t="s">
        <v>7477</v>
      </c>
      <c r="D3250" t="s">
        <v>7478</v>
      </c>
      <c r="E3250" t="s">
        <v>19</v>
      </c>
      <c r="F3250" t="s">
        <v>7370</v>
      </c>
      <c r="G3250" t="s">
        <v>7387</v>
      </c>
      <c r="H3250" t="str">
        <f>'Huong dan giao do an'!$B$14</f>
        <v>5 SV (vai trò chính): 1 PM/Scrum Master kiêm Integration; 2 BA/PO; 3 UI-UX + Frontend; 4 Backend/API + DevOps; 5 Database + QA/Tester. Mỗi SV có nhiệm vụ phụ và minh chứng cá nhân.</v>
      </c>
      <c r="I3250" t="s">
        <v>36</v>
      </c>
      <c r="J3250" t="s">
        <v>7367</v>
      </c>
      <c r="K3250" t="str">
        <f>IF(I3250="Trung bình",'Huong dan giao do an'!$B$8,IF(I3250="Khá",'Huong dan giao do an'!$B$9,'Huong dan giao do an'!$B$10))</f>
        <v>Tối thiểu 3 actor; 8-10 use case; 6-8 bảng dữ liệu; 2 quy trình lõi; đăng nhập/RBAC; 1 dashboard; 1 báo cáo; &gt;=25 test case; triển khai bản demo.</v>
      </c>
      <c r="L3250" t="str">
        <f>'Huong dan giao do an'!$B$31</f>
        <v>Bắt buộc: Charter/PMP; SRS + scope/WBS; Gantt/baseline; effort-cost budget; RACI/timesheet; quality-test-defect; communication/minutes; risk register; procurement; change log; closure/lessons learned.</v>
      </c>
      <c r="M3250" t="str">
        <f>'Huong dan giao do an'!$B$33</f>
        <v>Tuần 1: 07.09–13.09.2026; Tuần 2: 14.09–20.09.2026; Tuần 3: 21.09–27.09.2026; Tuần 4: 28.09–04.10.2026; Tuần 5: 05.10–11.10.2026; Tuần 6: 12.10–18.10.2026; Tuần 7: 19.10–25.10.2026; Tuần 8: 26.10–01.11.2026.</v>
      </c>
      <c r="N32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0" s="17" t="str">
        <f t="shared" si="50"/>
        <v>Còn trống</v>
      </c>
    </row>
    <row r="3251" spans="1:16" x14ac:dyDescent="0.3">
      <c r="A3251">
        <v>3250</v>
      </c>
      <c r="B3251" t="s">
        <v>7352</v>
      </c>
      <c r="C3251" t="s">
        <v>7479</v>
      </c>
      <c r="D3251" t="s">
        <v>7480</v>
      </c>
      <c r="E3251" t="s">
        <v>26</v>
      </c>
      <c r="F3251" t="s">
        <v>7374</v>
      </c>
      <c r="G3251" t="s">
        <v>7390</v>
      </c>
      <c r="H3251" t="str">
        <f>'Huong dan giao do an'!$B$14</f>
        <v>5 SV (vai trò chính): 1 PM/Scrum Master kiêm Integration; 2 BA/PO; 3 UI-UX + Frontend; 4 Backend/API + DevOps; 5 Database + QA/Tester. Mỗi SV có nhiệm vụ phụ và minh chứng cá nhân.</v>
      </c>
      <c r="I3251" t="s">
        <v>22</v>
      </c>
      <c r="J3251" t="s">
        <v>7357</v>
      </c>
      <c r="K3251" t="str">
        <f>IF(I3251="Trung bình",'Huong dan giao do an'!$B$8,IF(I3251="Khá",'Huong dan giao do an'!$B$9,'Huong dan giao do an'!$B$10))</f>
        <v>Tối thiểu 4 actor; 10-14 use case; 8-12 bảng; 3 quy trình lõi; phân quyền chi tiết; 2 báo cáo; tích hợp 1 dịch vụ; &gt;=35 test case; CI/CD hoặc deploy cloud.</v>
      </c>
      <c r="L3251" t="str">
        <f>'Huong dan giao do an'!$B$31</f>
        <v>Bắt buộc: Charter/PMP; SRS + scope/WBS; Gantt/baseline; effort-cost budget; RACI/timesheet; quality-test-defect; communication/minutes; risk register; procurement; change log; closure/lessons learned.</v>
      </c>
      <c r="M3251" t="str">
        <f>'Huong dan giao do an'!$B$33</f>
        <v>Tuần 1: 07.09–13.09.2026; Tuần 2: 14.09–20.09.2026; Tuần 3: 21.09–27.09.2026; Tuần 4: 28.09–04.10.2026; Tuần 5: 05.10–11.10.2026; Tuần 6: 12.10–18.10.2026; Tuần 7: 19.10–25.10.2026; Tuần 8: 26.10–01.11.2026.</v>
      </c>
      <c r="N32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1" s="17" t="str">
        <f t="shared" si="50"/>
        <v>Còn trống</v>
      </c>
    </row>
    <row r="3252" spans="1:16" x14ac:dyDescent="0.3">
      <c r="A3252">
        <v>3251</v>
      </c>
      <c r="B3252" t="s">
        <v>7352</v>
      </c>
      <c r="C3252" t="s">
        <v>7481</v>
      </c>
      <c r="D3252" t="s">
        <v>7482</v>
      </c>
      <c r="E3252" t="s">
        <v>33</v>
      </c>
      <c r="F3252" t="s">
        <v>7355</v>
      </c>
      <c r="G3252" t="s">
        <v>7393</v>
      </c>
      <c r="H3252" t="str">
        <f>'Huong dan giao do an'!$B$14</f>
        <v>5 SV (vai trò chính): 1 PM/Scrum Master kiêm Integration; 2 BA/PO; 3 UI-UX + Frontend; 4 Backend/API + DevOps; 5 Database + QA/Tester. Mỗi SV có nhiệm vụ phụ và minh chứng cá nhân.</v>
      </c>
      <c r="I3252" t="s">
        <v>29</v>
      </c>
      <c r="J3252" t="s">
        <v>7362</v>
      </c>
      <c r="K3252" t="str">
        <f>IF(I3252="Trung bình",'Huong dan giao do an'!$B$8,IF(I3252="Khá",'Huong dan giao do an'!$B$9,'Huong dan giao do an'!$B$10))</f>
        <v>Tối thiểu 5 actor; 14-18 use case; 10-15 bảng; 4 quy trình; tích hợp ngoài/realtime hoặc xử lý nâng cao; 3 báo cáo; &gt;=45 test case; logging, backup và deploy.</v>
      </c>
      <c r="L3252" t="str">
        <f>'Huong dan giao do an'!$B$31</f>
        <v>Bắt buộc: Charter/PMP; SRS + scope/WBS; Gantt/baseline; effort-cost budget; RACI/timesheet; quality-test-defect; communication/minutes; risk register; procurement; change log; closure/lessons learned.</v>
      </c>
      <c r="M3252" t="str">
        <f>'Huong dan giao do an'!$B$33</f>
        <v>Tuần 1: 07.09–13.09.2026; Tuần 2: 14.09–20.09.2026; Tuần 3: 21.09–27.09.2026; Tuần 4: 28.09–04.10.2026; Tuần 5: 05.10–11.10.2026; Tuần 6: 12.10–18.10.2026; Tuần 7: 19.10–25.10.2026; Tuần 8: 26.10–01.11.2026.</v>
      </c>
      <c r="N32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2" s="17" t="str">
        <f t="shared" si="50"/>
        <v>Còn trống</v>
      </c>
    </row>
    <row r="3253" spans="1:16" x14ac:dyDescent="0.3">
      <c r="A3253">
        <v>3252</v>
      </c>
      <c r="B3253" t="s">
        <v>7352</v>
      </c>
      <c r="C3253" t="s">
        <v>7483</v>
      </c>
      <c r="D3253" t="s">
        <v>7484</v>
      </c>
      <c r="E3253" t="s">
        <v>40</v>
      </c>
      <c r="F3253" t="s">
        <v>7360</v>
      </c>
      <c r="G3253" t="s">
        <v>7396</v>
      </c>
      <c r="H3253" t="str">
        <f>'Huong dan giao do an'!$B$14</f>
        <v>5 SV (vai trò chính): 1 PM/Scrum Master kiêm Integration; 2 BA/PO; 3 UI-UX + Frontend; 4 Backend/API + DevOps; 5 Database + QA/Tester. Mỗi SV có nhiệm vụ phụ và minh chứng cá nhân.</v>
      </c>
      <c r="I3253" t="s">
        <v>36</v>
      </c>
      <c r="J3253" t="s">
        <v>7367</v>
      </c>
      <c r="K3253" t="str">
        <f>IF(I3253="Trung bình",'Huong dan giao do an'!$B$8,IF(I3253="Khá",'Huong dan giao do an'!$B$9,'Huong dan giao do an'!$B$10))</f>
        <v>Tối thiểu 3 actor; 8-10 use case; 6-8 bảng dữ liệu; 2 quy trình lõi; đăng nhập/RBAC; 1 dashboard; 1 báo cáo; &gt;=25 test case; triển khai bản demo.</v>
      </c>
      <c r="L3253" t="str">
        <f>'Huong dan giao do an'!$B$31</f>
        <v>Bắt buộc: Charter/PMP; SRS + scope/WBS; Gantt/baseline; effort-cost budget; RACI/timesheet; quality-test-defect; communication/minutes; risk register; procurement; change log; closure/lessons learned.</v>
      </c>
      <c r="M3253" t="str">
        <f>'Huong dan giao do an'!$B$33</f>
        <v>Tuần 1: 07.09–13.09.2026; Tuần 2: 14.09–20.09.2026; Tuần 3: 21.09–27.09.2026; Tuần 4: 28.09–04.10.2026; Tuần 5: 05.10–11.10.2026; Tuần 6: 12.10–18.10.2026; Tuần 7: 19.10–25.10.2026; Tuần 8: 26.10–01.11.2026.</v>
      </c>
      <c r="N32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3" s="17" t="str">
        <f t="shared" si="50"/>
        <v>Còn trống</v>
      </c>
    </row>
    <row r="3254" spans="1:16" x14ac:dyDescent="0.3">
      <c r="A3254">
        <v>3253</v>
      </c>
      <c r="B3254" t="s">
        <v>7352</v>
      </c>
      <c r="C3254" t="s">
        <v>7485</v>
      </c>
      <c r="D3254" t="s">
        <v>7486</v>
      </c>
      <c r="E3254" t="s">
        <v>45</v>
      </c>
      <c r="F3254" t="s">
        <v>7365</v>
      </c>
      <c r="G3254" t="s">
        <v>7399</v>
      </c>
      <c r="H3254" t="str">
        <f>'Huong dan giao do an'!$B$14</f>
        <v>5 SV (vai trò chính): 1 PM/Scrum Master kiêm Integration; 2 BA/PO; 3 UI-UX + Frontend; 4 Backend/API + DevOps; 5 Database + QA/Tester. Mỗi SV có nhiệm vụ phụ và minh chứng cá nhân.</v>
      </c>
      <c r="I3254" t="s">
        <v>22</v>
      </c>
      <c r="J3254" t="s">
        <v>7357</v>
      </c>
      <c r="K3254" t="str">
        <f>IF(I3254="Trung bình",'Huong dan giao do an'!$B$8,IF(I3254="Khá",'Huong dan giao do an'!$B$9,'Huong dan giao do an'!$B$10))</f>
        <v>Tối thiểu 4 actor; 10-14 use case; 8-12 bảng; 3 quy trình lõi; phân quyền chi tiết; 2 báo cáo; tích hợp 1 dịch vụ; &gt;=35 test case; CI/CD hoặc deploy cloud.</v>
      </c>
      <c r="L3254" t="str">
        <f>'Huong dan giao do an'!$B$31</f>
        <v>Bắt buộc: Charter/PMP; SRS + scope/WBS; Gantt/baseline; effort-cost budget; RACI/timesheet; quality-test-defect; communication/minutes; risk register; procurement; change log; closure/lessons learned.</v>
      </c>
      <c r="M3254" t="str">
        <f>'Huong dan giao do an'!$B$33</f>
        <v>Tuần 1: 07.09–13.09.2026; Tuần 2: 14.09–20.09.2026; Tuần 3: 21.09–27.09.2026; Tuần 4: 28.09–04.10.2026; Tuần 5: 05.10–11.10.2026; Tuần 6: 12.10–18.10.2026; Tuần 7: 19.10–25.10.2026; Tuần 8: 26.10–01.11.2026.</v>
      </c>
      <c r="N32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4" s="17" t="str">
        <f t="shared" si="50"/>
        <v>Còn trống</v>
      </c>
    </row>
    <row r="3255" spans="1:16" x14ac:dyDescent="0.3">
      <c r="A3255">
        <v>3254</v>
      </c>
      <c r="B3255" t="s">
        <v>7352</v>
      </c>
      <c r="C3255" t="s">
        <v>7487</v>
      </c>
      <c r="D3255" t="s">
        <v>7488</v>
      </c>
      <c r="E3255" t="s">
        <v>19</v>
      </c>
      <c r="F3255" t="s">
        <v>7370</v>
      </c>
      <c r="G3255" t="s">
        <v>7402</v>
      </c>
      <c r="H3255" t="str">
        <f>'Huong dan giao do an'!$B$14</f>
        <v>5 SV (vai trò chính): 1 PM/Scrum Master kiêm Integration; 2 BA/PO; 3 UI-UX + Frontend; 4 Backend/API + DevOps; 5 Database + QA/Tester. Mỗi SV có nhiệm vụ phụ và minh chứng cá nhân.</v>
      </c>
      <c r="I3255" t="s">
        <v>29</v>
      </c>
      <c r="J3255" t="s">
        <v>7362</v>
      </c>
      <c r="K3255" t="str">
        <f>IF(I3255="Trung bình",'Huong dan giao do an'!$B$8,IF(I3255="Khá",'Huong dan giao do an'!$B$9,'Huong dan giao do an'!$B$10))</f>
        <v>Tối thiểu 5 actor; 14-18 use case; 10-15 bảng; 4 quy trình; tích hợp ngoài/realtime hoặc xử lý nâng cao; 3 báo cáo; &gt;=45 test case; logging, backup và deploy.</v>
      </c>
      <c r="L3255" t="str">
        <f>'Huong dan giao do an'!$B$31</f>
        <v>Bắt buộc: Charter/PMP; SRS + scope/WBS; Gantt/baseline; effort-cost budget; RACI/timesheet; quality-test-defect; communication/minutes; risk register; procurement; change log; closure/lessons learned.</v>
      </c>
      <c r="M3255" t="str">
        <f>'Huong dan giao do an'!$B$33</f>
        <v>Tuần 1: 07.09–13.09.2026; Tuần 2: 14.09–20.09.2026; Tuần 3: 21.09–27.09.2026; Tuần 4: 28.09–04.10.2026; Tuần 5: 05.10–11.10.2026; Tuần 6: 12.10–18.10.2026; Tuần 7: 19.10–25.10.2026; Tuần 8: 26.10–01.11.2026.</v>
      </c>
      <c r="N32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5" s="17" t="str">
        <f t="shared" si="50"/>
        <v>Còn trống</v>
      </c>
    </row>
    <row r="3256" spans="1:16" x14ac:dyDescent="0.3">
      <c r="A3256">
        <v>3255</v>
      </c>
      <c r="B3256" t="s">
        <v>7352</v>
      </c>
      <c r="C3256" t="s">
        <v>7489</v>
      </c>
      <c r="D3256" t="s">
        <v>7490</v>
      </c>
      <c r="E3256" t="s">
        <v>26</v>
      </c>
      <c r="F3256" t="s">
        <v>7374</v>
      </c>
      <c r="G3256" t="s">
        <v>7405</v>
      </c>
      <c r="H3256" t="str">
        <f>'Huong dan giao do an'!$B$14</f>
        <v>5 SV (vai trò chính): 1 PM/Scrum Master kiêm Integration; 2 BA/PO; 3 UI-UX + Frontend; 4 Backend/API + DevOps; 5 Database + QA/Tester. Mỗi SV có nhiệm vụ phụ và minh chứng cá nhân.</v>
      </c>
      <c r="I3256" t="s">
        <v>36</v>
      </c>
      <c r="J3256" t="s">
        <v>7367</v>
      </c>
      <c r="K3256" t="str">
        <f>IF(I3256="Trung bình",'Huong dan giao do an'!$B$8,IF(I3256="Khá",'Huong dan giao do an'!$B$9,'Huong dan giao do an'!$B$10))</f>
        <v>Tối thiểu 3 actor; 8-10 use case; 6-8 bảng dữ liệu; 2 quy trình lõi; đăng nhập/RBAC; 1 dashboard; 1 báo cáo; &gt;=25 test case; triển khai bản demo.</v>
      </c>
      <c r="L3256" t="str">
        <f>'Huong dan giao do an'!$B$31</f>
        <v>Bắt buộc: Charter/PMP; SRS + scope/WBS; Gantt/baseline; effort-cost budget; RACI/timesheet; quality-test-defect; communication/minutes; risk register; procurement; change log; closure/lessons learned.</v>
      </c>
      <c r="M3256" t="str">
        <f>'Huong dan giao do an'!$B$33</f>
        <v>Tuần 1: 07.09–13.09.2026; Tuần 2: 14.09–20.09.2026; Tuần 3: 21.09–27.09.2026; Tuần 4: 28.09–04.10.2026; Tuần 5: 05.10–11.10.2026; Tuần 6: 12.10–18.10.2026; Tuần 7: 19.10–25.10.2026; Tuần 8: 26.10–01.11.2026.</v>
      </c>
      <c r="N32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6" s="17" t="str">
        <f t="shared" si="50"/>
        <v>Còn trống</v>
      </c>
    </row>
    <row r="3257" spans="1:16" x14ac:dyDescent="0.3">
      <c r="A3257">
        <v>3256</v>
      </c>
      <c r="B3257" t="s">
        <v>7352</v>
      </c>
      <c r="C3257" t="s">
        <v>7491</v>
      </c>
      <c r="D3257" t="s">
        <v>7492</v>
      </c>
      <c r="E3257" t="s">
        <v>33</v>
      </c>
      <c r="F3257" t="s">
        <v>7355</v>
      </c>
      <c r="G3257" t="s">
        <v>7408</v>
      </c>
      <c r="H3257" t="str">
        <f>'Huong dan giao do an'!$B$14</f>
        <v>5 SV (vai trò chính): 1 PM/Scrum Master kiêm Integration; 2 BA/PO; 3 UI-UX + Frontend; 4 Backend/API + DevOps; 5 Database + QA/Tester. Mỗi SV có nhiệm vụ phụ và minh chứng cá nhân.</v>
      </c>
      <c r="I3257" t="s">
        <v>22</v>
      </c>
      <c r="J3257" t="s">
        <v>7357</v>
      </c>
      <c r="K3257" t="str">
        <f>IF(I3257="Trung bình",'Huong dan giao do an'!$B$8,IF(I3257="Khá",'Huong dan giao do an'!$B$9,'Huong dan giao do an'!$B$10))</f>
        <v>Tối thiểu 4 actor; 10-14 use case; 8-12 bảng; 3 quy trình lõi; phân quyền chi tiết; 2 báo cáo; tích hợp 1 dịch vụ; &gt;=35 test case; CI/CD hoặc deploy cloud.</v>
      </c>
      <c r="L3257" t="str">
        <f>'Huong dan giao do an'!$B$31</f>
        <v>Bắt buộc: Charter/PMP; SRS + scope/WBS; Gantt/baseline; effort-cost budget; RACI/timesheet; quality-test-defect; communication/minutes; risk register; procurement; change log; closure/lessons learned.</v>
      </c>
      <c r="M3257" t="str">
        <f>'Huong dan giao do an'!$B$33</f>
        <v>Tuần 1: 07.09–13.09.2026; Tuần 2: 14.09–20.09.2026; Tuần 3: 21.09–27.09.2026; Tuần 4: 28.09–04.10.2026; Tuần 5: 05.10–11.10.2026; Tuần 6: 12.10–18.10.2026; Tuần 7: 19.10–25.10.2026; Tuần 8: 26.10–01.11.2026.</v>
      </c>
      <c r="N32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7" s="17" t="str">
        <f t="shared" si="50"/>
        <v>Còn trống</v>
      </c>
    </row>
    <row r="3258" spans="1:16" x14ac:dyDescent="0.3">
      <c r="A3258">
        <v>3257</v>
      </c>
      <c r="B3258" t="s">
        <v>7352</v>
      </c>
      <c r="C3258" t="s">
        <v>7493</v>
      </c>
      <c r="D3258" t="s">
        <v>7494</v>
      </c>
      <c r="E3258" t="s">
        <v>40</v>
      </c>
      <c r="F3258" t="s">
        <v>7360</v>
      </c>
      <c r="G3258" t="s">
        <v>7411</v>
      </c>
      <c r="H3258" t="str">
        <f>'Huong dan giao do an'!$B$14</f>
        <v>5 SV (vai trò chính): 1 PM/Scrum Master kiêm Integration; 2 BA/PO; 3 UI-UX + Frontend; 4 Backend/API + DevOps; 5 Database + QA/Tester. Mỗi SV có nhiệm vụ phụ và minh chứng cá nhân.</v>
      </c>
      <c r="I3258" t="s">
        <v>29</v>
      </c>
      <c r="J3258" t="s">
        <v>7362</v>
      </c>
      <c r="K3258" t="str">
        <f>IF(I3258="Trung bình",'Huong dan giao do an'!$B$8,IF(I3258="Khá",'Huong dan giao do an'!$B$9,'Huong dan giao do an'!$B$10))</f>
        <v>Tối thiểu 5 actor; 14-18 use case; 10-15 bảng; 4 quy trình; tích hợp ngoài/realtime hoặc xử lý nâng cao; 3 báo cáo; &gt;=45 test case; logging, backup và deploy.</v>
      </c>
      <c r="L3258" t="str">
        <f>'Huong dan giao do an'!$B$31</f>
        <v>Bắt buộc: Charter/PMP; SRS + scope/WBS; Gantt/baseline; effort-cost budget; RACI/timesheet; quality-test-defect; communication/minutes; risk register; procurement; change log; closure/lessons learned.</v>
      </c>
      <c r="M3258" t="str">
        <f>'Huong dan giao do an'!$B$33</f>
        <v>Tuần 1: 07.09–13.09.2026; Tuần 2: 14.09–20.09.2026; Tuần 3: 21.09–27.09.2026; Tuần 4: 28.09–04.10.2026; Tuần 5: 05.10–11.10.2026; Tuần 6: 12.10–18.10.2026; Tuần 7: 19.10–25.10.2026; Tuần 8: 26.10–01.11.2026.</v>
      </c>
      <c r="N32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8" s="17" t="str">
        <f t="shared" si="50"/>
        <v>Còn trống</v>
      </c>
    </row>
    <row r="3259" spans="1:16" x14ac:dyDescent="0.3">
      <c r="A3259">
        <v>3258</v>
      </c>
      <c r="B3259" t="s">
        <v>7352</v>
      </c>
      <c r="C3259" t="s">
        <v>7495</v>
      </c>
      <c r="D3259" t="s">
        <v>7496</v>
      </c>
      <c r="E3259" t="s">
        <v>45</v>
      </c>
      <c r="F3259" t="s">
        <v>7365</v>
      </c>
      <c r="G3259" t="s">
        <v>7414</v>
      </c>
      <c r="H3259" t="str">
        <f>'Huong dan giao do an'!$B$14</f>
        <v>5 SV (vai trò chính): 1 PM/Scrum Master kiêm Integration; 2 BA/PO; 3 UI-UX + Frontend; 4 Backend/API + DevOps; 5 Database + QA/Tester. Mỗi SV có nhiệm vụ phụ và minh chứng cá nhân.</v>
      </c>
      <c r="I3259" t="s">
        <v>36</v>
      </c>
      <c r="J3259" t="s">
        <v>7367</v>
      </c>
      <c r="K3259" t="str">
        <f>IF(I3259="Trung bình",'Huong dan giao do an'!$B$8,IF(I3259="Khá",'Huong dan giao do an'!$B$9,'Huong dan giao do an'!$B$10))</f>
        <v>Tối thiểu 3 actor; 8-10 use case; 6-8 bảng dữ liệu; 2 quy trình lõi; đăng nhập/RBAC; 1 dashboard; 1 báo cáo; &gt;=25 test case; triển khai bản demo.</v>
      </c>
      <c r="L3259" t="str">
        <f>'Huong dan giao do an'!$B$31</f>
        <v>Bắt buộc: Charter/PMP; SRS + scope/WBS; Gantt/baseline; effort-cost budget; RACI/timesheet; quality-test-defect; communication/minutes; risk register; procurement; change log; closure/lessons learned.</v>
      </c>
      <c r="M3259" t="str">
        <f>'Huong dan giao do an'!$B$33</f>
        <v>Tuần 1: 07.09–13.09.2026; Tuần 2: 14.09–20.09.2026; Tuần 3: 21.09–27.09.2026; Tuần 4: 28.09–04.10.2026; Tuần 5: 05.10–11.10.2026; Tuần 6: 12.10–18.10.2026; Tuần 7: 19.10–25.10.2026; Tuần 8: 26.10–01.11.2026.</v>
      </c>
      <c r="N32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59" s="17" t="str">
        <f t="shared" si="50"/>
        <v>Còn trống</v>
      </c>
    </row>
    <row r="3260" spans="1:16" x14ac:dyDescent="0.3">
      <c r="A3260">
        <v>3259</v>
      </c>
      <c r="B3260" t="s">
        <v>7352</v>
      </c>
      <c r="C3260" t="s">
        <v>7497</v>
      </c>
      <c r="D3260" t="s">
        <v>7498</v>
      </c>
      <c r="E3260" t="s">
        <v>19</v>
      </c>
      <c r="F3260" t="s">
        <v>7370</v>
      </c>
      <c r="G3260" t="s">
        <v>7417</v>
      </c>
      <c r="H3260" t="str">
        <f>'Huong dan giao do an'!$B$14</f>
        <v>5 SV (vai trò chính): 1 PM/Scrum Master kiêm Integration; 2 BA/PO; 3 UI-UX + Frontend; 4 Backend/API + DevOps; 5 Database + QA/Tester. Mỗi SV có nhiệm vụ phụ và minh chứng cá nhân.</v>
      </c>
      <c r="I3260" t="s">
        <v>22</v>
      </c>
      <c r="J3260" t="s">
        <v>7357</v>
      </c>
      <c r="K3260" t="str">
        <f>IF(I3260="Trung bình",'Huong dan giao do an'!$B$8,IF(I3260="Khá",'Huong dan giao do an'!$B$9,'Huong dan giao do an'!$B$10))</f>
        <v>Tối thiểu 4 actor; 10-14 use case; 8-12 bảng; 3 quy trình lõi; phân quyền chi tiết; 2 báo cáo; tích hợp 1 dịch vụ; &gt;=35 test case; CI/CD hoặc deploy cloud.</v>
      </c>
      <c r="L3260" t="str">
        <f>'Huong dan giao do an'!$B$31</f>
        <v>Bắt buộc: Charter/PMP; SRS + scope/WBS; Gantt/baseline; effort-cost budget; RACI/timesheet; quality-test-defect; communication/minutes; risk register; procurement; change log; closure/lessons learned.</v>
      </c>
      <c r="M3260" t="str">
        <f>'Huong dan giao do an'!$B$33</f>
        <v>Tuần 1: 07.09–13.09.2026; Tuần 2: 14.09–20.09.2026; Tuần 3: 21.09–27.09.2026; Tuần 4: 28.09–04.10.2026; Tuần 5: 05.10–11.10.2026; Tuần 6: 12.10–18.10.2026; Tuần 7: 19.10–25.10.2026; Tuần 8: 26.10–01.11.2026.</v>
      </c>
      <c r="N32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0" s="17" t="str">
        <f t="shared" si="50"/>
        <v>Còn trống</v>
      </c>
    </row>
    <row r="3261" spans="1:16" x14ac:dyDescent="0.3">
      <c r="A3261">
        <v>3260</v>
      </c>
      <c r="B3261" t="s">
        <v>7352</v>
      </c>
      <c r="C3261" t="s">
        <v>7499</v>
      </c>
      <c r="D3261" t="s">
        <v>7500</v>
      </c>
      <c r="E3261" t="s">
        <v>26</v>
      </c>
      <c r="F3261" t="s">
        <v>7374</v>
      </c>
      <c r="G3261" t="s">
        <v>7420</v>
      </c>
      <c r="H3261" t="str">
        <f>'Huong dan giao do an'!$B$14</f>
        <v>5 SV (vai trò chính): 1 PM/Scrum Master kiêm Integration; 2 BA/PO; 3 UI-UX + Frontend; 4 Backend/API + DevOps; 5 Database + QA/Tester. Mỗi SV có nhiệm vụ phụ và minh chứng cá nhân.</v>
      </c>
      <c r="I3261" t="s">
        <v>29</v>
      </c>
      <c r="J3261" t="s">
        <v>7362</v>
      </c>
      <c r="K3261" t="str">
        <f>IF(I3261="Trung bình",'Huong dan giao do an'!$B$8,IF(I3261="Khá",'Huong dan giao do an'!$B$9,'Huong dan giao do an'!$B$10))</f>
        <v>Tối thiểu 5 actor; 14-18 use case; 10-15 bảng; 4 quy trình; tích hợp ngoài/realtime hoặc xử lý nâng cao; 3 báo cáo; &gt;=45 test case; logging, backup và deploy.</v>
      </c>
      <c r="L3261" t="str">
        <f>'Huong dan giao do an'!$B$31</f>
        <v>Bắt buộc: Charter/PMP; SRS + scope/WBS; Gantt/baseline; effort-cost budget; RACI/timesheet; quality-test-defect; communication/minutes; risk register; procurement; change log; closure/lessons learned.</v>
      </c>
      <c r="M3261" t="str">
        <f>'Huong dan giao do an'!$B$33</f>
        <v>Tuần 1: 07.09–13.09.2026; Tuần 2: 14.09–20.09.2026; Tuần 3: 21.09–27.09.2026; Tuần 4: 28.09–04.10.2026; Tuần 5: 05.10–11.10.2026; Tuần 6: 12.10–18.10.2026; Tuần 7: 19.10–25.10.2026; Tuần 8: 26.10–01.11.2026.</v>
      </c>
      <c r="N32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1" s="17" t="str">
        <f t="shared" si="50"/>
        <v>Còn trống</v>
      </c>
    </row>
    <row r="3262" spans="1:16" x14ac:dyDescent="0.3">
      <c r="A3262">
        <v>3261</v>
      </c>
      <c r="B3262" t="s">
        <v>7352</v>
      </c>
      <c r="C3262" t="s">
        <v>7501</v>
      </c>
      <c r="D3262" t="s">
        <v>7502</v>
      </c>
      <c r="E3262" t="s">
        <v>33</v>
      </c>
      <c r="F3262" t="s">
        <v>7355</v>
      </c>
      <c r="G3262" t="s">
        <v>7356</v>
      </c>
      <c r="H3262" t="str">
        <f>'Huong dan giao do an'!$B$14</f>
        <v>5 SV (vai trò chính): 1 PM/Scrum Master kiêm Integration; 2 BA/PO; 3 UI-UX + Frontend; 4 Backend/API + DevOps; 5 Database + QA/Tester. Mỗi SV có nhiệm vụ phụ và minh chứng cá nhân.</v>
      </c>
      <c r="I3262" t="s">
        <v>22</v>
      </c>
      <c r="J3262" t="s">
        <v>7357</v>
      </c>
      <c r="K3262" t="str">
        <f>IF(I3262="Trung bình",'Huong dan giao do an'!$B$8,IF(I3262="Khá",'Huong dan giao do an'!$B$9,'Huong dan giao do an'!$B$10))</f>
        <v>Tối thiểu 4 actor; 10-14 use case; 8-12 bảng; 3 quy trình lõi; phân quyền chi tiết; 2 báo cáo; tích hợp 1 dịch vụ; &gt;=35 test case; CI/CD hoặc deploy cloud.</v>
      </c>
      <c r="L3262" t="str">
        <f>'Huong dan giao do an'!$B$31</f>
        <v>Bắt buộc: Charter/PMP; SRS + scope/WBS; Gantt/baseline; effort-cost budget; RACI/timesheet; quality-test-defect; communication/minutes; risk register; procurement; change log; closure/lessons learned.</v>
      </c>
      <c r="M3262" t="str">
        <f>'Huong dan giao do an'!$B$33</f>
        <v>Tuần 1: 07.09–13.09.2026; Tuần 2: 14.09–20.09.2026; Tuần 3: 21.09–27.09.2026; Tuần 4: 28.09–04.10.2026; Tuần 5: 05.10–11.10.2026; Tuần 6: 12.10–18.10.2026; Tuần 7: 19.10–25.10.2026; Tuần 8: 26.10–01.11.2026.</v>
      </c>
      <c r="N32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2" s="17" t="str">
        <f t="shared" si="50"/>
        <v>Còn trống</v>
      </c>
    </row>
    <row r="3263" spans="1:16" x14ac:dyDescent="0.3">
      <c r="A3263">
        <v>3262</v>
      </c>
      <c r="B3263" t="s">
        <v>7352</v>
      </c>
      <c r="C3263" t="s">
        <v>7503</v>
      </c>
      <c r="D3263" t="s">
        <v>7504</v>
      </c>
      <c r="E3263" t="s">
        <v>40</v>
      </c>
      <c r="F3263" t="s">
        <v>7360</v>
      </c>
      <c r="G3263" t="s">
        <v>7361</v>
      </c>
      <c r="H3263" t="str">
        <f>'Huong dan giao do an'!$B$14</f>
        <v>5 SV (vai trò chính): 1 PM/Scrum Master kiêm Integration; 2 BA/PO; 3 UI-UX + Frontend; 4 Backend/API + DevOps; 5 Database + QA/Tester. Mỗi SV có nhiệm vụ phụ và minh chứng cá nhân.</v>
      </c>
      <c r="I3263" t="s">
        <v>29</v>
      </c>
      <c r="J3263" t="s">
        <v>7362</v>
      </c>
      <c r="K3263" t="str">
        <f>IF(I3263="Trung bình",'Huong dan giao do an'!$B$8,IF(I3263="Khá",'Huong dan giao do an'!$B$9,'Huong dan giao do an'!$B$10))</f>
        <v>Tối thiểu 5 actor; 14-18 use case; 10-15 bảng; 4 quy trình; tích hợp ngoài/realtime hoặc xử lý nâng cao; 3 báo cáo; &gt;=45 test case; logging, backup và deploy.</v>
      </c>
      <c r="L3263" t="str">
        <f>'Huong dan giao do an'!$B$31</f>
        <v>Bắt buộc: Charter/PMP; SRS + scope/WBS; Gantt/baseline; effort-cost budget; RACI/timesheet; quality-test-defect; communication/minutes; risk register; procurement; change log; closure/lessons learned.</v>
      </c>
      <c r="M3263" t="str">
        <f>'Huong dan giao do an'!$B$33</f>
        <v>Tuần 1: 07.09–13.09.2026; Tuần 2: 14.09–20.09.2026; Tuần 3: 21.09–27.09.2026; Tuần 4: 28.09–04.10.2026; Tuần 5: 05.10–11.10.2026; Tuần 6: 12.10–18.10.2026; Tuần 7: 19.10–25.10.2026; Tuần 8: 26.10–01.11.2026.</v>
      </c>
      <c r="N32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3" s="17" t="str">
        <f t="shared" si="50"/>
        <v>Còn trống</v>
      </c>
    </row>
    <row r="3264" spans="1:16" x14ac:dyDescent="0.3">
      <c r="A3264">
        <v>3263</v>
      </c>
      <c r="B3264" t="s">
        <v>7352</v>
      </c>
      <c r="C3264" t="s">
        <v>7505</v>
      </c>
      <c r="D3264" t="s">
        <v>7506</v>
      </c>
      <c r="E3264" t="s">
        <v>45</v>
      </c>
      <c r="F3264" t="s">
        <v>7365</v>
      </c>
      <c r="G3264" t="s">
        <v>7366</v>
      </c>
      <c r="H3264" t="str">
        <f>'Huong dan giao do an'!$B$14</f>
        <v>5 SV (vai trò chính): 1 PM/Scrum Master kiêm Integration; 2 BA/PO; 3 UI-UX + Frontend; 4 Backend/API + DevOps; 5 Database + QA/Tester. Mỗi SV có nhiệm vụ phụ và minh chứng cá nhân.</v>
      </c>
      <c r="I3264" t="s">
        <v>36</v>
      </c>
      <c r="J3264" t="s">
        <v>7367</v>
      </c>
      <c r="K3264" t="str">
        <f>IF(I3264="Trung bình",'Huong dan giao do an'!$B$8,IF(I3264="Khá",'Huong dan giao do an'!$B$9,'Huong dan giao do an'!$B$10))</f>
        <v>Tối thiểu 3 actor; 8-10 use case; 6-8 bảng dữ liệu; 2 quy trình lõi; đăng nhập/RBAC; 1 dashboard; 1 báo cáo; &gt;=25 test case; triển khai bản demo.</v>
      </c>
      <c r="L3264" t="str">
        <f>'Huong dan giao do an'!$B$31</f>
        <v>Bắt buộc: Charter/PMP; SRS + scope/WBS; Gantt/baseline; effort-cost budget; RACI/timesheet; quality-test-defect; communication/minutes; risk register; procurement; change log; closure/lessons learned.</v>
      </c>
      <c r="M3264" t="str">
        <f>'Huong dan giao do an'!$B$33</f>
        <v>Tuần 1: 07.09–13.09.2026; Tuần 2: 14.09–20.09.2026; Tuần 3: 21.09–27.09.2026; Tuần 4: 28.09–04.10.2026; Tuần 5: 05.10–11.10.2026; Tuần 6: 12.10–18.10.2026; Tuần 7: 19.10–25.10.2026; Tuần 8: 26.10–01.11.2026.</v>
      </c>
      <c r="N32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4" s="17" t="str">
        <f t="shared" si="50"/>
        <v>Còn trống</v>
      </c>
    </row>
    <row r="3265" spans="1:16" x14ac:dyDescent="0.3">
      <c r="A3265">
        <v>3264</v>
      </c>
      <c r="B3265" t="s">
        <v>7352</v>
      </c>
      <c r="C3265" t="s">
        <v>7507</v>
      </c>
      <c r="D3265" t="s">
        <v>7508</v>
      </c>
      <c r="E3265" t="s">
        <v>19</v>
      </c>
      <c r="F3265" t="s">
        <v>7370</v>
      </c>
      <c r="G3265" t="s">
        <v>7371</v>
      </c>
      <c r="H3265" t="str">
        <f>'Huong dan giao do an'!$B$14</f>
        <v>5 SV (vai trò chính): 1 PM/Scrum Master kiêm Integration; 2 BA/PO; 3 UI-UX + Frontend; 4 Backend/API + DevOps; 5 Database + QA/Tester. Mỗi SV có nhiệm vụ phụ và minh chứng cá nhân.</v>
      </c>
      <c r="I3265" t="s">
        <v>22</v>
      </c>
      <c r="J3265" t="s">
        <v>7357</v>
      </c>
      <c r="K3265" t="str">
        <f>IF(I3265="Trung bình",'Huong dan giao do an'!$B$8,IF(I3265="Khá",'Huong dan giao do an'!$B$9,'Huong dan giao do an'!$B$10))</f>
        <v>Tối thiểu 4 actor; 10-14 use case; 8-12 bảng; 3 quy trình lõi; phân quyền chi tiết; 2 báo cáo; tích hợp 1 dịch vụ; &gt;=35 test case; CI/CD hoặc deploy cloud.</v>
      </c>
      <c r="L3265" t="str">
        <f>'Huong dan giao do an'!$B$31</f>
        <v>Bắt buộc: Charter/PMP; SRS + scope/WBS; Gantt/baseline; effort-cost budget; RACI/timesheet; quality-test-defect; communication/minutes; risk register; procurement; change log; closure/lessons learned.</v>
      </c>
      <c r="M3265" t="str">
        <f>'Huong dan giao do an'!$B$33</f>
        <v>Tuần 1: 07.09–13.09.2026; Tuần 2: 14.09–20.09.2026; Tuần 3: 21.09–27.09.2026; Tuần 4: 28.09–04.10.2026; Tuần 5: 05.10–11.10.2026; Tuần 6: 12.10–18.10.2026; Tuần 7: 19.10–25.10.2026; Tuần 8: 26.10–01.11.2026.</v>
      </c>
      <c r="N32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5" s="17" t="str">
        <f t="shared" si="50"/>
        <v>Còn trống</v>
      </c>
    </row>
    <row r="3266" spans="1:16" x14ac:dyDescent="0.3">
      <c r="A3266">
        <v>3265</v>
      </c>
      <c r="B3266" t="s">
        <v>7352</v>
      </c>
      <c r="C3266" t="s">
        <v>7509</v>
      </c>
      <c r="D3266" t="s">
        <v>7510</v>
      </c>
      <c r="E3266" t="s">
        <v>26</v>
      </c>
      <c r="F3266" t="s">
        <v>7374</v>
      </c>
      <c r="G3266" t="s">
        <v>7375</v>
      </c>
      <c r="H3266" t="str">
        <f>'Huong dan giao do an'!$B$14</f>
        <v>5 SV (vai trò chính): 1 PM/Scrum Master kiêm Integration; 2 BA/PO; 3 UI-UX + Frontend; 4 Backend/API + DevOps; 5 Database + QA/Tester. Mỗi SV có nhiệm vụ phụ và minh chứng cá nhân.</v>
      </c>
      <c r="I3266" t="s">
        <v>29</v>
      </c>
      <c r="J3266" t="s">
        <v>7362</v>
      </c>
      <c r="K3266" t="str">
        <f>IF(I3266="Trung bình",'Huong dan giao do an'!$B$8,IF(I3266="Khá",'Huong dan giao do an'!$B$9,'Huong dan giao do an'!$B$10))</f>
        <v>Tối thiểu 5 actor; 14-18 use case; 10-15 bảng; 4 quy trình; tích hợp ngoài/realtime hoặc xử lý nâng cao; 3 báo cáo; &gt;=45 test case; logging, backup và deploy.</v>
      </c>
      <c r="L3266" t="str">
        <f>'Huong dan giao do an'!$B$31</f>
        <v>Bắt buộc: Charter/PMP; SRS + scope/WBS; Gantt/baseline; effort-cost budget; RACI/timesheet; quality-test-defect; communication/minutes; risk register; procurement; change log; closure/lessons learned.</v>
      </c>
      <c r="M3266" t="str">
        <f>'Huong dan giao do an'!$B$33</f>
        <v>Tuần 1: 07.09–13.09.2026; Tuần 2: 14.09–20.09.2026; Tuần 3: 21.09–27.09.2026; Tuần 4: 28.09–04.10.2026; Tuần 5: 05.10–11.10.2026; Tuần 6: 12.10–18.10.2026; Tuần 7: 19.10–25.10.2026; Tuần 8: 26.10–01.11.2026.</v>
      </c>
      <c r="N32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6" s="17" t="str">
        <f t="shared" si="50"/>
        <v>Còn trống</v>
      </c>
    </row>
    <row r="3267" spans="1:16" x14ac:dyDescent="0.3">
      <c r="A3267">
        <v>3266</v>
      </c>
      <c r="B3267" t="s">
        <v>7352</v>
      </c>
      <c r="C3267" t="s">
        <v>7511</v>
      </c>
      <c r="D3267" t="s">
        <v>7512</v>
      </c>
      <c r="E3267" t="s">
        <v>33</v>
      </c>
      <c r="F3267" t="s">
        <v>7355</v>
      </c>
      <c r="G3267" t="s">
        <v>7378</v>
      </c>
      <c r="H3267" t="str">
        <f>'Huong dan giao do an'!$B$14</f>
        <v>5 SV (vai trò chính): 1 PM/Scrum Master kiêm Integration; 2 BA/PO; 3 UI-UX + Frontend; 4 Backend/API + DevOps; 5 Database + QA/Tester. Mỗi SV có nhiệm vụ phụ và minh chứng cá nhân.</v>
      </c>
      <c r="I3267" t="s">
        <v>36</v>
      </c>
      <c r="J3267" t="s">
        <v>7367</v>
      </c>
      <c r="K3267" t="str">
        <f>IF(I3267="Trung bình",'Huong dan giao do an'!$B$8,IF(I3267="Khá",'Huong dan giao do an'!$B$9,'Huong dan giao do an'!$B$10))</f>
        <v>Tối thiểu 3 actor; 8-10 use case; 6-8 bảng dữ liệu; 2 quy trình lõi; đăng nhập/RBAC; 1 dashboard; 1 báo cáo; &gt;=25 test case; triển khai bản demo.</v>
      </c>
      <c r="L3267" t="str">
        <f>'Huong dan giao do an'!$B$31</f>
        <v>Bắt buộc: Charter/PMP; SRS + scope/WBS; Gantt/baseline; effort-cost budget; RACI/timesheet; quality-test-defect; communication/minutes; risk register; procurement; change log; closure/lessons learned.</v>
      </c>
      <c r="M3267" t="str">
        <f>'Huong dan giao do an'!$B$33</f>
        <v>Tuần 1: 07.09–13.09.2026; Tuần 2: 14.09–20.09.2026; Tuần 3: 21.09–27.09.2026; Tuần 4: 28.09–04.10.2026; Tuần 5: 05.10–11.10.2026; Tuần 6: 12.10–18.10.2026; Tuần 7: 19.10–25.10.2026; Tuần 8: 26.10–01.11.2026.</v>
      </c>
      <c r="N32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7" s="17" t="str">
        <f t="shared" ref="P3267:P3330" si="51">IF(O3267="","Còn trống","Đã đăng ký")</f>
        <v>Còn trống</v>
      </c>
    </row>
    <row r="3268" spans="1:16" x14ac:dyDescent="0.3">
      <c r="A3268">
        <v>3267</v>
      </c>
      <c r="B3268" t="s">
        <v>7352</v>
      </c>
      <c r="C3268" t="s">
        <v>7513</v>
      </c>
      <c r="D3268" t="s">
        <v>7514</v>
      </c>
      <c r="E3268" t="s">
        <v>40</v>
      </c>
      <c r="F3268" t="s">
        <v>7360</v>
      </c>
      <c r="G3268" t="s">
        <v>7381</v>
      </c>
      <c r="H3268" t="str">
        <f>'Huong dan giao do an'!$B$14</f>
        <v>5 SV (vai trò chính): 1 PM/Scrum Master kiêm Integration; 2 BA/PO; 3 UI-UX + Frontend; 4 Backend/API + DevOps; 5 Database + QA/Tester. Mỗi SV có nhiệm vụ phụ và minh chứng cá nhân.</v>
      </c>
      <c r="I3268" t="s">
        <v>22</v>
      </c>
      <c r="J3268" t="s">
        <v>7357</v>
      </c>
      <c r="K3268" t="str">
        <f>IF(I3268="Trung bình",'Huong dan giao do an'!$B$8,IF(I3268="Khá",'Huong dan giao do an'!$B$9,'Huong dan giao do an'!$B$10))</f>
        <v>Tối thiểu 4 actor; 10-14 use case; 8-12 bảng; 3 quy trình lõi; phân quyền chi tiết; 2 báo cáo; tích hợp 1 dịch vụ; &gt;=35 test case; CI/CD hoặc deploy cloud.</v>
      </c>
      <c r="L3268" t="str">
        <f>'Huong dan giao do an'!$B$31</f>
        <v>Bắt buộc: Charter/PMP; SRS + scope/WBS; Gantt/baseline; effort-cost budget; RACI/timesheet; quality-test-defect; communication/minutes; risk register; procurement; change log; closure/lessons learned.</v>
      </c>
      <c r="M3268" t="str">
        <f>'Huong dan giao do an'!$B$33</f>
        <v>Tuần 1: 07.09–13.09.2026; Tuần 2: 14.09–20.09.2026; Tuần 3: 21.09–27.09.2026; Tuần 4: 28.09–04.10.2026; Tuần 5: 05.10–11.10.2026; Tuần 6: 12.10–18.10.2026; Tuần 7: 19.10–25.10.2026; Tuần 8: 26.10–01.11.2026.</v>
      </c>
      <c r="N32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8" s="17" t="str">
        <f t="shared" si="51"/>
        <v>Còn trống</v>
      </c>
    </row>
    <row r="3269" spans="1:16" x14ac:dyDescent="0.3">
      <c r="A3269">
        <v>3268</v>
      </c>
      <c r="B3269" t="s">
        <v>7352</v>
      </c>
      <c r="C3269" t="s">
        <v>7515</v>
      </c>
      <c r="D3269" t="s">
        <v>7516</v>
      </c>
      <c r="E3269" t="s">
        <v>45</v>
      </c>
      <c r="F3269" t="s">
        <v>7365</v>
      </c>
      <c r="G3269" t="s">
        <v>7384</v>
      </c>
      <c r="H3269" t="str">
        <f>'Huong dan giao do an'!$B$14</f>
        <v>5 SV (vai trò chính): 1 PM/Scrum Master kiêm Integration; 2 BA/PO; 3 UI-UX + Frontend; 4 Backend/API + DevOps; 5 Database + QA/Tester. Mỗi SV có nhiệm vụ phụ và minh chứng cá nhân.</v>
      </c>
      <c r="I3269" t="s">
        <v>29</v>
      </c>
      <c r="J3269" t="s">
        <v>7362</v>
      </c>
      <c r="K3269" t="str">
        <f>IF(I3269="Trung bình",'Huong dan giao do an'!$B$8,IF(I3269="Khá",'Huong dan giao do an'!$B$9,'Huong dan giao do an'!$B$10))</f>
        <v>Tối thiểu 5 actor; 14-18 use case; 10-15 bảng; 4 quy trình; tích hợp ngoài/realtime hoặc xử lý nâng cao; 3 báo cáo; &gt;=45 test case; logging, backup và deploy.</v>
      </c>
      <c r="L3269" t="str">
        <f>'Huong dan giao do an'!$B$31</f>
        <v>Bắt buộc: Charter/PMP; SRS + scope/WBS; Gantt/baseline; effort-cost budget; RACI/timesheet; quality-test-defect; communication/minutes; risk register; procurement; change log; closure/lessons learned.</v>
      </c>
      <c r="M3269" t="str">
        <f>'Huong dan giao do an'!$B$33</f>
        <v>Tuần 1: 07.09–13.09.2026; Tuần 2: 14.09–20.09.2026; Tuần 3: 21.09–27.09.2026; Tuần 4: 28.09–04.10.2026; Tuần 5: 05.10–11.10.2026; Tuần 6: 12.10–18.10.2026; Tuần 7: 19.10–25.10.2026; Tuần 8: 26.10–01.11.2026.</v>
      </c>
      <c r="N32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69" s="17" t="str">
        <f t="shared" si="51"/>
        <v>Còn trống</v>
      </c>
    </row>
    <row r="3270" spans="1:16" x14ac:dyDescent="0.3">
      <c r="A3270">
        <v>3269</v>
      </c>
      <c r="B3270" t="s">
        <v>7352</v>
      </c>
      <c r="C3270" t="s">
        <v>7517</v>
      </c>
      <c r="D3270" t="s">
        <v>7518</v>
      </c>
      <c r="E3270" t="s">
        <v>19</v>
      </c>
      <c r="F3270" t="s">
        <v>7370</v>
      </c>
      <c r="G3270" t="s">
        <v>7387</v>
      </c>
      <c r="H3270" t="str">
        <f>'Huong dan giao do an'!$B$14</f>
        <v>5 SV (vai trò chính): 1 PM/Scrum Master kiêm Integration; 2 BA/PO; 3 UI-UX + Frontend; 4 Backend/API + DevOps; 5 Database + QA/Tester. Mỗi SV có nhiệm vụ phụ và minh chứng cá nhân.</v>
      </c>
      <c r="I3270" t="s">
        <v>36</v>
      </c>
      <c r="J3270" t="s">
        <v>7367</v>
      </c>
      <c r="K3270" t="str">
        <f>IF(I3270="Trung bình",'Huong dan giao do an'!$B$8,IF(I3270="Khá",'Huong dan giao do an'!$B$9,'Huong dan giao do an'!$B$10))</f>
        <v>Tối thiểu 3 actor; 8-10 use case; 6-8 bảng dữ liệu; 2 quy trình lõi; đăng nhập/RBAC; 1 dashboard; 1 báo cáo; &gt;=25 test case; triển khai bản demo.</v>
      </c>
      <c r="L3270" t="str">
        <f>'Huong dan giao do an'!$B$31</f>
        <v>Bắt buộc: Charter/PMP; SRS + scope/WBS; Gantt/baseline; effort-cost budget; RACI/timesheet; quality-test-defect; communication/minutes; risk register; procurement; change log; closure/lessons learned.</v>
      </c>
      <c r="M3270" t="str">
        <f>'Huong dan giao do an'!$B$33</f>
        <v>Tuần 1: 07.09–13.09.2026; Tuần 2: 14.09–20.09.2026; Tuần 3: 21.09–27.09.2026; Tuần 4: 28.09–04.10.2026; Tuần 5: 05.10–11.10.2026; Tuần 6: 12.10–18.10.2026; Tuần 7: 19.10–25.10.2026; Tuần 8: 26.10–01.11.2026.</v>
      </c>
      <c r="N32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0" s="17" t="str">
        <f t="shared" si="51"/>
        <v>Còn trống</v>
      </c>
    </row>
    <row r="3271" spans="1:16" x14ac:dyDescent="0.3">
      <c r="A3271">
        <v>3270</v>
      </c>
      <c r="B3271" t="s">
        <v>7352</v>
      </c>
      <c r="C3271" t="s">
        <v>7519</v>
      </c>
      <c r="D3271" t="s">
        <v>7520</v>
      </c>
      <c r="E3271" t="s">
        <v>26</v>
      </c>
      <c r="F3271" t="s">
        <v>7374</v>
      </c>
      <c r="G3271" t="s">
        <v>7390</v>
      </c>
      <c r="H3271" t="str">
        <f>'Huong dan giao do an'!$B$14</f>
        <v>5 SV (vai trò chính): 1 PM/Scrum Master kiêm Integration; 2 BA/PO; 3 UI-UX + Frontend; 4 Backend/API + DevOps; 5 Database + QA/Tester. Mỗi SV có nhiệm vụ phụ và minh chứng cá nhân.</v>
      </c>
      <c r="I3271" t="s">
        <v>22</v>
      </c>
      <c r="J3271" t="s">
        <v>7357</v>
      </c>
      <c r="K3271" t="str">
        <f>IF(I3271="Trung bình",'Huong dan giao do an'!$B$8,IF(I3271="Khá",'Huong dan giao do an'!$B$9,'Huong dan giao do an'!$B$10))</f>
        <v>Tối thiểu 4 actor; 10-14 use case; 8-12 bảng; 3 quy trình lõi; phân quyền chi tiết; 2 báo cáo; tích hợp 1 dịch vụ; &gt;=35 test case; CI/CD hoặc deploy cloud.</v>
      </c>
      <c r="L3271" t="str">
        <f>'Huong dan giao do an'!$B$31</f>
        <v>Bắt buộc: Charter/PMP; SRS + scope/WBS; Gantt/baseline; effort-cost budget; RACI/timesheet; quality-test-defect; communication/minutes; risk register; procurement; change log; closure/lessons learned.</v>
      </c>
      <c r="M3271" t="str">
        <f>'Huong dan giao do an'!$B$33</f>
        <v>Tuần 1: 07.09–13.09.2026; Tuần 2: 14.09–20.09.2026; Tuần 3: 21.09–27.09.2026; Tuần 4: 28.09–04.10.2026; Tuần 5: 05.10–11.10.2026; Tuần 6: 12.10–18.10.2026; Tuần 7: 19.10–25.10.2026; Tuần 8: 26.10–01.11.2026.</v>
      </c>
      <c r="N32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1" s="17" t="str">
        <f t="shared" si="51"/>
        <v>Còn trống</v>
      </c>
    </row>
    <row r="3272" spans="1:16" x14ac:dyDescent="0.3">
      <c r="A3272">
        <v>3271</v>
      </c>
      <c r="B3272" t="s">
        <v>7352</v>
      </c>
      <c r="C3272" t="s">
        <v>7521</v>
      </c>
      <c r="D3272" t="s">
        <v>7522</v>
      </c>
      <c r="E3272" t="s">
        <v>33</v>
      </c>
      <c r="F3272" t="s">
        <v>7355</v>
      </c>
      <c r="G3272" t="s">
        <v>7393</v>
      </c>
      <c r="H3272" t="str">
        <f>'Huong dan giao do an'!$B$14</f>
        <v>5 SV (vai trò chính): 1 PM/Scrum Master kiêm Integration; 2 BA/PO; 3 UI-UX + Frontend; 4 Backend/API + DevOps; 5 Database + QA/Tester. Mỗi SV có nhiệm vụ phụ và minh chứng cá nhân.</v>
      </c>
      <c r="I3272" t="s">
        <v>29</v>
      </c>
      <c r="J3272" t="s">
        <v>7362</v>
      </c>
      <c r="K3272" t="str">
        <f>IF(I3272="Trung bình",'Huong dan giao do an'!$B$8,IF(I3272="Khá",'Huong dan giao do an'!$B$9,'Huong dan giao do an'!$B$10))</f>
        <v>Tối thiểu 5 actor; 14-18 use case; 10-15 bảng; 4 quy trình; tích hợp ngoài/realtime hoặc xử lý nâng cao; 3 báo cáo; &gt;=45 test case; logging, backup và deploy.</v>
      </c>
      <c r="L3272" t="str">
        <f>'Huong dan giao do an'!$B$31</f>
        <v>Bắt buộc: Charter/PMP; SRS + scope/WBS; Gantt/baseline; effort-cost budget; RACI/timesheet; quality-test-defect; communication/minutes; risk register; procurement; change log; closure/lessons learned.</v>
      </c>
      <c r="M3272" t="str">
        <f>'Huong dan giao do an'!$B$33</f>
        <v>Tuần 1: 07.09–13.09.2026; Tuần 2: 14.09–20.09.2026; Tuần 3: 21.09–27.09.2026; Tuần 4: 28.09–04.10.2026; Tuần 5: 05.10–11.10.2026; Tuần 6: 12.10–18.10.2026; Tuần 7: 19.10–25.10.2026; Tuần 8: 26.10–01.11.2026.</v>
      </c>
      <c r="N32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2" s="17" t="str">
        <f t="shared" si="51"/>
        <v>Còn trống</v>
      </c>
    </row>
    <row r="3273" spans="1:16" x14ac:dyDescent="0.3">
      <c r="A3273">
        <v>3272</v>
      </c>
      <c r="B3273" t="s">
        <v>7352</v>
      </c>
      <c r="C3273" t="s">
        <v>7523</v>
      </c>
      <c r="D3273" t="s">
        <v>7524</v>
      </c>
      <c r="E3273" t="s">
        <v>40</v>
      </c>
      <c r="F3273" t="s">
        <v>7360</v>
      </c>
      <c r="G3273" t="s">
        <v>7396</v>
      </c>
      <c r="H3273" t="str">
        <f>'Huong dan giao do an'!$B$14</f>
        <v>5 SV (vai trò chính): 1 PM/Scrum Master kiêm Integration; 2 BA/PO; 3 UI-UX + Frontend; 4 Backend/API + DevOps; 5 Database + QA/Tester. Mỗi SV có nhiệm vụ phụ và minh chứng cá nhân.</v>
      </c>
      <c r="I3273" t="s">
        <v>36</v>
      </c>
      <c r="J3273" t="s">
        <v>7367</v>
      </c>
      <c r="K3273" t="str">
        <f>IF(I3273="Trung bình",'Huong dan giao do an'!$B$8,IF(I3273="Khá",'Huong dan giao do an'!$B$9,'Huong dan giao do an'!$B$10))</f>
        <v>Tối thiểu 3 actor; 8-10 use case; 6-8 bảng dữ liệu; 2 quy trình lõi; đăng nhập/RBAC; 1 dashboard; 1 báo cáo; &gt;=25 test case; triển khai bản demo.</v>
      </c>
      <c r="L3273" t="str">
        <f>'Huong dan giao do an'!$B$31</f>
        <v>Bắt buộc: Charter/PMP; SRS + scope/WBS; Gantt/baseline; effort-cost budget; RACI/timesheet; quality-test-defect; communication/minutes; risk register; procurement; change log; closure/lessons learned.</v>
      </c>
      <c r="M3273" t="str">
        <f>'Huong dan giao do an'!$B$33</f>
        <v>Tuần 1: 07.09–13.09.2026; Tuần 2: 14.09–20.09.2026; Tuần 3: 21.09–27.09.2026; Tuần 4: 28.09–04.10.2026; Tuần 5: 05.10–11.10.2026; Tuần 6: 12.10–18.10.2026; Tuần 7: 19.10–25.10.2026; Tuần 8: 26.10–01.11.2026.</v>
      </c>
      <c r="N32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3" s="17" t="str">
        <f t="shared" si="51"/>
        <v>Còn trống</v>
      </c>
    </row>
    <row r="3274" spans="1:16" x14ac:dyDescent="0.3">
      <c r="A3274">
        <v>3273</v>
      </c>
      <c r="B3274" t="s">
        <v>7352</v>
      </c>
      <c r="C3274" t="s">
        <v>7525</v>
      </c>
      <c r="D3274" t="s">
        <v>7526</v>
      </c>
      <c r="E3274" t="s">
        <v>45</v>
      </c>
      <c r="F3274" t="s">
        <v>7365</v>
      </c>
      <c r="G3274" t="s">
        <v>7399</v>
      </c>
      <c r="H3274" t="str">
        <f>'Huong dan giao do an'!$B$14</f>
        <v>5 SV (vai trò chính): 1 PM/Scrum Master kiêm Integration; 2 BA/PO; 3 UI-UX + Frontend; 4 Backend/API + DevOps; 5 Database + QA/Tester. Mỗi SV có nhiệm vụ phụ và minh chứng cá nhân.</v>
      </c>
      <c r="I3274" t="s">
        <v>22</v>
      </c>
      <c r="J3274" t="s">
        <v>7357</v>
      </c>
      <c r="K3274" t="str">
        <f>IF(I3274="Trung bình",'Huong dan giao do an'!$B$8,IF(I3274="Khá",'Huong dan giao do an'!$B$9,'Huong dan giao do an'!$B$10))</f>
        <v>Tối thiểu 4 actor; 10-14 use case; 8-12 bảng; 3 quy trình lõi; phân quyền chi tiết; 2 báo cáo; tích hợp 1 dịch vụ; &gt;=35 test case; CI/CD hoặc deploy cloud.</v>
      </c>
      <c r="L3274" t="str">
        <f>'Huong dan giao do an'!$B$31</f>
        <v>Bắt buộc: Charter/PMP; SRS + scope/WBS; Gantt/baseline; effort-cost budget; RACI/timesheet; quality-test-defect; communication/minutes; risk register; procurement; change log; closure/lessons learned.</v>
      </c>
      <c r="M3274" t="str">
        <f>'Huong dan giao do an'!$B$33</f>
        <v>Tuần 1: 07.09–13.09.2026; Tuần 2: 14.09–20.09.2026; Tuần 3: 21.09–27.09.2026; Tuần 4: 28.09–04.10.2026; Tuần 5: 05.10–11.10.2026; Tuần 6: 12.10–18.10.2026; Tuần 7: 19.10–25.10.2026; Tuần 8: 26.10–01.11.2026.</v>
      </c>
      <c r="N32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4" s="17" t="str">
        <f t="shared" si="51"/>
        <v>Còn trống</v>
      </c>
    </row>
    <row r="3275" spans="1:16" x14ac:dyDescent="0.3">
      <c r="A3275">
        <v>3274</v>
      </c>
      <c r="B3275" t="s">
        <v>7352</v>
      </c>
      <c r="C3275" t="s">
        <v>7527</v>
      </c>
      <c r="D3275" t="s">
        <v>7528</v>
      </c>
      <c r="E3275" t="s">
        <v>19</v>
      </c>
      <c r="F3275" t="s">
        <v>7370</v>
      </c>
      <c r="G3275" t="s">
        <v>7402</v>
      </c>
      <c r="H3275" t="str">
        <f>'Huong dan giao do an'!$B$14</f>
        <v>5 SV (vai trò chính): 1 PM/Scrum Master kiêm Integration; 2 BA/PO; 3 UI-UX + Frontend; 4 Backend/API + DevOps; 5 Database + QA/Tester. Mỗi SV có nhiệm vụ phụ và minh chứng cá nhân.</v>
      </c>
      <c r="I3275" t="s">
        <v>29</v>
      </c>
      <c r="J3275" t="s">
        <v>7362</v>
      </c>
      <c r="K3275" t="str">
        <f>IF(I3275="Trung bình",'Huong dan giao do an'!$B$8,IF(I3275="Khá",'Huong dan giao do an'!$B$9,'Huong dan giao do an'!$B$10))</f>
        <v>Tối thiểu 5 actor; 14-18 use case; 10-15 bảng; 4 quy trình; tích hợp ngoài/realtime hoặc xử lý nâng cao; 3 báo cáo; &gt;=45 test case; logging, backup và deploy.</v>
      </c>
      <c r="L3275" t="str">
        <f>'Huong dan giao do an'!$B$31</f>
        <v>Bắt buộc: Charter/PMP; SRS + scope/WBS; Gantt/baseline; effort-cost budget; RACI/timesheet; quality-test-defect; communication/minutes; risk register; procurement; change log; closure/lessons learned.</v>
      </c>
      <c r="M3275" t="str">
        <f>'Huong dan giao do an'!$B$33</f>
        <v>Tuần 1: 07.09–13.09.2026; Tuần 2: 14.09–20.09.2026; Tuần 3: 21.09–27.09.2026; Tuần 4: 28.09–04.10.2026; Tuần 5: 05.10–11.10.2026; Tuần 6: 12.10–18.10.2026; Tuần 7: 19.10–25.10.2026; Tuần 8: 26.10–01.11.2026.</v>
      </c>
      <c r="N32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5" s="17" t="str">
        <f t="shared" si="51"/>
        <v>Còn trống</v>
      </c>
    </row>
    <row r="3276" spans="1:16" x14ac:dyDescent="0.3">
      <c r="A3276">
        <v>3275</v>
      </c>
      <c r="B3276" t="s">
        <v>7352</v>
      </c>
      <c r="C3276" t="s">
        <v>7529</v>
      </c>
      <c r="D3276" t="s">
        <v>7530</v>
      </c>
      <c r="E3276" t="s">
        <v>26</v>
      </c>
      <c r="F3276" t="s">
        <v>7374</v>
      </c>
      <c r="G3276" t="s">
        <v>7405</v>
      </c>
      <c r="H3276" t="str">
        <f>'Huong dan giao do an'!$B$14</f>
        <v>5 SV (vai trò chính): 1 PM/Scrum Master kiêm Integration; 2 BA/PO; 3 UI-UX + Frontend; 4 Backend/API + DevOps; 5 Database + QA/Tester. Mỗi SV có nhiệm vụ phụ và minh chứng cá nhân.</v>
      </c>
      <c r="I3276" t="s">
        <v>36</v>
      </c>
      <c r="J3276" t="s">
        <v>7367</v>
      </c>
      <c r="K3276" t="str">
        <f>IF(I3276="Trung bình",'Huong dan giao do an'!$B$8,IF(I3276="Khá",'Huong dan giao do an'!$B$9,'Huong dan giao do an'!$B$10))</f>
        <v>Tối thiểu 3 actor; 8-10 use case; 6-8 bảng dữ liệu; 2 quy trình lõi; đăng nhập/RBAC; 1 dashboard; 1 báo cáo; &gt;=25 test case; triển khai bản demo.</v>
      </c>
      <c r="L3276" t="str">
        <f>'Huong dan giao do an'!$B$31</f>
        <v>Bắt buộc: Charter/PMP; SRS + scope/WBS; Gantt/baseline; effort-cost budget; RACI/timesheet; quality-test-defect; communication/minutes; risk register; procurement; change log; closure/lessons learned.</v>
      </c>
      <c r="M3276" t="str">
        <f>'Huong dan giao do an'!$B$33</f>
        <v>Tuần 1: 07.09–13.09.2026; Tuần 2: 14.09–20.09.2026; Tuần 3: 21.09–27.09.2026; Tuần 4: 28.09–04.10.2026; Tuần 5: 05.10–11.10.2026; Tuần 6: 12.10–18.10.2026; Tuần 7: 19.10–25.10.2026; Tuần 8: 26.10–01.11.2026.</v>
      </c>
      <c r="N32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6" s="17" t="str">
        <f t="shared" si="51"/>
        <v>Còn trống</v>
      </c>
    </row>
    <row r="3277" spans="1:16" x14ac:dyDescent="0.3">
      <c r="A3277">
        <v>3276</v>
      </c>
      <c r="B3277" t="s">
        <v>7352</v>
      </c>
      <c r="C3277" t="s">
        <v>7531</v>
      </c>
      <c r="D3277" t="s">
        <v>7532</v>
      </c>
      <c r="E3277" t="s">
        <v>33</v>
      </c>
      <c r="F3277" t="s">
        <v>7355</v>
      </c>
      <c r="G3277" t="s">
        <v>7408</v>
      </c>
      <c r="H3277" t="str">
        <f>'Huong dan giao do an'!$B$14</f>
        <v>5 SV (vai trò chính): 1 PM/Scrum Master kiêm Integration; 2 BA/PO; 3 UI-UX + Frontend; 4 Backend/API + DevOps; 5 Database + QA/Tester. Mỗi SV có nhiệm vụ phụ và minh chứng cá nhân.</v>
      </c>
      <c r="I3277" t="s">
        <v>22</v>
      </c>
      <c r="J3277" t="s">
        <v>7357</v>
      </c>
      <c r="K3277" t="str">
        <f>IF(I3277="Trung bình",'Huong dan giao do an'!$B$8,IF(I3277="Khá",'Huong dan giao do an'!$B$9,'Huong dan giao do an'!$B$10))</f>
        <v>Tối thiểu 4 actor; 10-14 use case; 8-12 bảng; 3 quy trình lõi; phân quyền chi tiết; 2 báo cáo; tích hợp 1 dịch vụ; &gt;=35 test case; CI/CD hoặc deploy cloud.</v>
      </c>
      <c r="L3277" t="str">
        <f>'Huong dan giao do an'!$B$31</f>
        <v>Bắt buộc: Charter/PMP; SRS + scope/WBS; Gantt/baseline; effort-cost budget; RACI/timesheet; quality-test-defect; communication/minutes; risk register; procurement; change log; closure/lessons learned.</v>
      </c>
      <c r="M3277" t="str">
        <f>'Huong dan giao do an'!$B$33</f>
        <v>Tuần 1: 07.09–13.09.2026; Tuần 2: 14.09–20.09.2026; Tuần 3: 21.09–27.09.2026; Tuần 4: 28.09–04.10.2026; Tuần 5: 05.10–11.10.2026; Tuần 6: 12.10–18.10.2026; Tuần 7: 19.10–25.10.2026; Tuần 8: 26.10–01.11.2026.</v>
      </c>
      <c r="N32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7" s="17" t="str">
        <f t="shared" si="51"/>
        <v>Còn trống</v>
      </c>
    </row>
    <row r="3278" spans="1:16" x14ac:dyDescent="0.3">
      <c r="A3278">
        <v>3277</v>
      </c>
      <c r="B3278" t="s">
        <v>7352</v>
      </c>
      <c r="C3278" t="s">
        <v>7533</v>
      </c>
      <c r="D3278" t="s">
        <v>7534</v>
      </c>
      <c r="E3278" t="s">
        <v>40</v>
      </c>
      <c r="F3278" t="s">
        <v>7360</v>
      </c>
      <c r="G3278" t="s">
        <v>7411</v>
      </c>
      <c r="H3278" t="str">
        <f>'Huong dan giao do an'!$B$14</f>
        <v>5 SV (vai trò chính): 1 PM/Scrum Master kiêm Integration; 2 BA/PO; 3 UI-UX + Frontend; 4 Backend/API + DevOps; 5 Database + QA/Tester. Mỗi SV có nhiệm vụ phụ và minh chứng cá nhân.</v>
      </c>
      <c r="I3278" t="s">
        <v>29</v>
      </c>
      <c r="J3278" t="s">
        <v>7362</v>
      </c>
      <c r="K3278" t="str">
        <f>IF(I3278="Trung bình",'Huong dan giao do an'!$B$8,IF(I3278="Khá",'Huong dan giao do an'!$B$9,'Huong dan giao do an'!$B$10))</f>
        <v>Tối thiểu 5 actor; 14-18 use case; 10-15 bảng; 4 quy trình; tích hợp ngoài/realtime hoặc xử lý nâng cao; 3 báo cáo; &gt;=45 test case; logging, backup và deploy.</v>
      </c>
      <c r="L3278" t="str">
        <f>'Huong dan giao do an'!$B$31</f>
        <v>Bắt buộc: Charter/PMP; SRS + scope/WBS; Gantt/baseline; effort-cost budget; RACI/timesheet; quality-test-defect; communication/minutes; risk register; procurement; change log; closure/lessons learned.</v>
      </c>
      <c r="M3278" t="str">
        <f>'Huong dan giao do an'!$B$33</f>
        <v>Tuần 1: 07.09–13.09.2026; Tuần 2: 14.09–20.09.2026; Tuần 3: 21.09–27.09.2026; Tuần 4: 28.09–04.10.2026; Tuần 5: 05.10–11.10.2026; Tuần 6: 12.10–18.10.2026; Tuần 7: 19.10–25.10.2026; Tuần 8: 26.10–01.11.2026.</v>
      </c>
      <c r="N32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8" s="17" t="str">
        <f t="shared" si="51"/>
        <v>Còn trống</v>
      </c>
    </row>
    <row r="3279" spans="1:16" x14ac:dyDescent="0.3">
      <c r="A3279">
        <v>3278</v>
      </c>
      <c r="B3279" t="s">
        <v>7352</v>
      </c>
      <c r="C3279" t="s">
        <v>7535</v>
      </c>
      <c r="D3279" t="s">
        <v>7536</v>
      </c>
      <c r="E3279" t="s">
        <v>45</v>
      </c>
      <c r="F3279" t="s">
        <v>7365</v>
      </c>
      <c r="G3279" t="s">
        <v>7414</v>
      </c>
      <c r="H3279" t="str">
        <f>'Huong dan giao do an'!$B$14</f>
        <v>5 SV (vai trò chính): 1 PM/Scrum Master kiêm Integration; 2 BA/PO; 3 UI-UX + Frontend; 4 Backend/API + DevOps; 5 Database + QA/Tester. Mỗi SV có nhiệm vụ phụ và minh chứng cá nhân.</v>
      </c>
      <c r="I3279" t="s">
        <v>36</v>
      </c>
      <c r="J3279" t="s">
        <v>7367</v>
      </c>
      <c r="K3279" t="str">
        <f>IF(I3279="Trung bình",'Huong dan giao do an'!$B$8,IF(I3279="Khá",'Huong dan giao do an'!$B$9,'Huong dan giao do an'!$B$10))</f>
        <v>Tối thiểu 3 actor; 8-10 use case; 6-8 bảng dữ liệu; 2 quy trình lõi; đăng nhập/RBAC; 1 dashboard; 1 báo cáo; &gt;=25 test case; triển khai bản demo.</v>
      </c>
      <c r="L3279" t="str">
        <f>'Huong dan giao do an'!$B$31</f>
        <v>Bắt buộc: Charter/PMP; SRS + scope/WBS; Gantt/baseline; effort-cost budget; RACI/timesheet; quality-test-defect; communication/minutes; risk register; procurement; change log; closure/lessons learned.</v>
      </c>
      <c r="M3279" t="str">
        <f>'Huong dan giao do an'!$B$33</f>
        <v>Tuần 1: 07.09–13.09.2026; Tuần 2: 14.09–20.09.2026; Tuần 3: 21.09–27.09.2026; Tuần 4: 28.09–04.10.2026; Tuần 5: 05.10–11.10.2026; Tuần 6: 12.10–18.10.2026; Tuần 7: 19.10–25.10.2026; Tuần 8: 26.10–01.11.2026.</v>
      </c>
      <c r="N32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79" s="17" t="str">
        <f t="shared" si="51"/>
        <v>Còn trống</v>
      </c>
    </row>
    <row r="3280" spans="1:16" x14ac:dyDescent="0.3">
      <c r="A3280">
        <v>3279</v>
      </c>
      <c r="B3280" t="s">
        <v>7352</v>
      </c>
      <c r="C3280" t="s">
        <v>7537</v>
      </c>
      <c r="D3280" t="s">
        <v>7538</v>
      </c>
      <c r="E3280" t="s">
        <v>19</v>
      </c>
      <c r="F3280" t="s">
        <v>7370</v>
      </c>
      <c r="G3280" t="s">
        <v>7417</v>
      </c>
      <c r="H3280" t="str">
        <f>'Huong dan giao do an'!$B$14</f>
        <v>5 SV (vai trò chính): 1 PM/Scrum Master kiêm Integration; 2 BA/PO; 3 UI-UX + Frontend; 4 Backend/API + DevOps; 5 Database + QA/Tester. Mỗi SV có nhiệm vụ phụ và minh chứng cá nhân.</v>
      </c>
      <c r="I3280" t="s">
        <v>22</v>
      </c>
      <c r="J3280" t="s">
        <v>7357</v>
      </c>
      <c r="K3280" t="str">
        <f>IF(I3280="Trung bình",'Huong dan giao do an'!$B$8,IF(I3280="Khá",'Huong dan giao do an'!$B$9,'Huong dan giao do an'!$B$10))</f>
        <v>Tối thiểu 4 actor; 10-14 use case; 8-12 bảng; 3 quy trình lõi; phân quyền chi tiết; 2 báo cáo; tích hợp 1 dịch vụ; &gt;=35 test case; CI/CD hoặc deploy cloud.</v>
      </c>
      <c r="L3280" t="str">
        <f>'Huong dan giao do an'!$B$31</f>
        <v>Bắt buộc: Charter/PMP; SRS + scope/WBS; Gantt/baseline; effort-cost budget; RACI/timesheet; quality-test-defect; communication/minutes; risk register; procurement; change log; closure/lessons learned.</v>
      </c>
      <c r="M3280" t="str">
        <f>'Huong dan giao do an'!$B$33</f>
        <v>Tuần 1: 07.09–13.09.2026; Tuần 2: 14.09–20.09.2026; Tuần 3: 21.09–27.09.2026; Tuần 4: 28.09–04.10.2026; Tuần 5: 05.10–11.10.2026; Tuần 6: 12.10–18.10.2026; Tuần 7: 19.10–25.10.2026; Tuần 8: 26.10–01.11.2026.</v>
      </c>
      <c r="N32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0" s="17" t="str">
        <f t="shared" si="51"/>
        <v>Còn trống</v>
      </c>
    </row>
    <row r="3281" spans="1:16" x14ac:dyDescent="0.3">
      <c r="A3281">
        <v>3280</v>
      </c>
      <c r="B3281" t="s">
        <v>7352</v>
      </c>
      <c r="C3281" t="s">
        <v>7539</v>
      </c>
      <c r="D3281" t="s">
        <v>7540</v>
      </c>
      <c r="E3281" t="s">
        <v>26</v>
      </c>
      <c r="F3281" t="s">
        <v>7374</v>
      </c>
      <c r="G3281" t="s">
        <v>7420</v>
      </c>
      <c r="H3281" t="str">
        <f>'Huong dan giao do an'!$B$14</f>
        <v>5 SV (vai trò chính): 1 PM/Scrum Master kiêm Integration; 2 BA/PO; 3 UI-UX + Frontend; 4 Backend/API + DevOps; 5 Database + QA/Tester. Mỗi SV có nhiệm vụ phụ và minh chứng cá nhân.</v>
      </c>
      <c r="I3281" t="s">
        <v>29</v>
      </c>
      <c r="J3281" t="s">
        <v>7362</v>
      </c>
      <c r="K3281" t="str">
        <f>IF(I3281="Trung bình",'Huong dan giao do an'!$B$8,IF(I3281="Khá",'Huong dan giao do an'!$B$9,'Huong dan giao do an'!$B$10))</f>
        <v>Tối thiểu 5 actor; 14-18 use case; 10-15 bảng; 4 quy trình; tích hợp ngoài/realtime hoặc xử lý nâng cao; 3 báo cáo; &gt;=45 test case; logging, backup và deploy.</v>
      </c>
      <c r="L3281" t="str">
        <f>'Huong dan giao do an'!$B$31</f>
        <v>Bắt buộc: Charter/PMP; SRS + scope/WBS; Gantt/baseline; effort-cost budget; RACI/timesheet; quality-test-defect; communication/minutes; risk register; procurement; change log; closure/lessons learned.</v>
      </c>
      <c r="M3281" t="str">
        <f>'Huong dan giao do an'!$B$33</f>
        <v>Tuần 1: 07.09–13.09.2026; Tuần 2: 14.09–20.09.2026; Tuần 3: 21.09–27.09.2026; Tuần 4: 28.09–04.10.2026; Tuần 5: 05.10–11.10.2026; Tuần 6: 12.10–18.10.2026; Tuần 7: 19.10–25.10.2026; Tuần 8: 26.10–01.11.2026.</v>
      </c>
      <c r="N32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1" s="17" t="str">
        <f t="shared" si="51"/>
        <v>Còn trống</v>
      </c>
    </row>
    <row r="3282" spans="1:16" x14ac:dyDescent="0.3">
      <c r="A3282">
        <v>3281</v>
      </c>
      <c r="B3282" t="s">
        <v>7352</v>
      </c>
      <c r="C3282" t="s">
        <v>7541</v>
      </c>
      <c r="D3282" t="s">
        <v>7542</v>
      </c>
      <c r="E3282" t="s">
        <v>33</v>
      </c>
      <c r="F3282" t="s">
        <v>7355</v>
      </c>
      <c r="G3282" t="s">
        <v>7356</v>
      </c>
      <c r="H3282" t="str">
        <f>'Huong dan giao do an'!$B$14</f>
        <v>5 SV (vai trò chính): 1 PM/Scrum Master kiêm Integration; 2 BA/PO; 3 UI-UX + Frontend; 4 Backend/API + DevOps; 5 Database + QA/Tester. Mỗi SV có nhiệm vụ phụ và minh chứng cá nhân.</v>
      </c>
      <c r="I3282" t="s">
        <v>22</v>
      </c>
      <c r="J3282" t="s">
        <v>7357</v>
      </c>
      <c r="K3282" t="str">
        <f>IF(I3282="Trung bình",'Huong dan giao do an'!$B$8,IF(I3282="Khá",'Huong dan giao do an'!$B$9,'Huong dan giao do an'!$B$10))</f>
        <v>Tối thiểu 4 actor; 10-14 use case; 8-12 bảng; 3 quy trình lõi; phân quyền chi tiết; 2 báo cáo; tích hợp 1 dịch vụ; &gt;=35 test case; CI/CD hoặc deploy cloud.</v>
      </c>
      <c r="L3282" t="str">
        <f>'Huong dan giao do an'!$B$31</f>
        <v>Bắt buộc: Charter/PMP; SRS + scope/WBS; Gantt/baseline; effort-cost budget; RACI/timesheet; quality-test-defect; communication/minutes; risk register; procurement; change log; closure/lessons learned.</v>
      </c>
      <c r="M3282" t="str">
        <f>'Huong dan giao do an'!$B$33</f>
        <v>Tuần 1: 07.09–13.09.2026; Tuần 2: 14.09–20.09.2026; Tuần 3: 21.09–27.09.2026; Tuần 4: 28.09–04.10.2026; Tuần 5: 05.10–11.10.2026; Tuần 6: 12.10–18.10.2026; Tuần 7: 19.10–25.10.2026; Tuần 8: 26.10–01.11.2026.</v>
      </c>
      <c r="N32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2" s="17" t="str">
        <f t="shared" si="51"/>
        <v>Còn trống</v>
      </c>
    </row>
    <row r="3283" spans="1:16" x14ac:dyDescent="0.3">
      <c r="A3283">
        <v>3282</v>
      </c>
      <c r="B3283" t="s">
        <v>7352</v>
      </c>
      <c r="C3283" t="s">
        <v>7543</v>
      </c>
      <c r="D3283" t="s">
        <v>7544</v>
      </c>
      <c r="E3283" t="s">
        <v>40</v>
      </c>
      <c r="F3283" t="s">
        <v>7360</v>
      </c>
      <c r="G3283" t="s">
        <v>7361</v>
      </c>
      <c r="H3283" t="str">
        <f>'Huong dan giao do an'!$B$14</f>
        <v>5 SV (vai trò chính): 1 PM/Scrum Master kiêm Integration; 2 BA/PO; 3 UI-UX + Frontend; 4 Backend/API + DevOps; 5 Database + QA/Tester. Mỗi SV có nhiệm vụ phụ và minh chứng cá nhân.</v>
      </c>
      <c r="I3283" t="s">
        <v>29</v>
      </c>
      <c r="J3283" t="s">
        <v>7362</v>
      </c>
      <c r="K3283" t="str">
        <f>IF(I3283="Trung bình",'Huong dan giao do an'!$B$8,IF(I3283="Khá",'Huong dan giao do an'!$B$9,'Huong dan giao do an'!$B$10))</f>
        <v>Tối thiểu 5 actor; 14-18 use case; 10-15 bảng; 4 quy trình; tích hợp ngoài/realtime hoặc xử lý nâng cao; 3 báo cáo; &gt;=45 test case; logging, backup và deploy.</v>
      </c>
      <c r="L3283" t="str">
        <f>'Huong dan giao do an'!$B$31</f>
        <v>Bắt buộc: Charter/PMP; SRS + scope/WBS; Gantt/baseline; effort-cost budget; RACI/timesheet; quality-test-defect; communication/minutes; risk register; procurement; change log; closure/lessons learned.</v>
      </c>
      <c r="M3283" t="str">
        <f>'Huong dan giao do an'!$B$33</f>
        <v>Tuần 1: 07.09–13.09.2026; Tuần 2: 14.09–20.09.2026; Tuần 3: 21.09–27.09.2026; Tuần 4: 28.09–04.10.2026; Tuần 5: 05.10–11.10.2026; Tuần 6: 12.10–18.10.2026; Tuần 7: 19.10–25.10.2026; Tuần 8: 26.10–01.11.2026.</v>
      </c>
      <c r="N32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3" s="17" t="str">
        <f t="shared" si="51"/>
        <v>Còn trống</v>
      </c>
    </row>
    <row r="3284" spans="1:16" x14ac:dyDescent="0.3">
      <c r="A3284">
        <v>3283</v>
      </c>
      <c r="B3284" t="s">
        <v>7352</v>
      </c>
      <c r="C3284" t="s">
        <v>7545</v>
      </c>
      <c r="D3284" t="s">
        <v>7546</v>
      </c>
      <c r="E3284" t="s">
        <v>45</v>
      </c>
      <c r="F3284" t="s">
        <v>7365</v>
      </c>
      <c r="G3284" t="s">
        <v>7366</v>
      </c>
      <c r="H3284" t="str">
        <f>'Huong dan giao do an'!$B$14</f>
        <v>5 SV (vai trò chính): 1 PM/Scrum Master kiêm Integration; 2 BA/PO; 3 UI-UX + Frontend; 4 Backend/API + DevOps; 5 Database + QA/Tester. Mỗi SV có nhiệm vụ phụ và minh chứng cá nhân.</v>
      </c>
      <c r="I3284" t="s">
        <v>36</v>
      </c>
      <c r="J3284" t="s">
        <v>7367</v>
      </c>
      <c r="K3284" t="str">
        <f>IF(I3284="Trung bình",'Huong dan giao do an'!$B$8,IF(I3284="Khá",'Huong dan giao do an'!$B$9,'Huong dan giao do an'!$B$10))</f>
        <v>Tối thiểu 3 actor; 8-10 use case; 6-8 bảng dữ liệu; 2 quy trình lõi; đăng nhập/RBAC; 1 dashboard; 1 báo cáo; &gt;=25 test case; triển khai bản demo.</v>
      </c>
      <c r="L3284" t="str">
        <f>'Huong dan giao do an'!$B$31</f>
        <v>Bắt buộc: Charter/PMP; SRS + scope/WBS; Gantt/baseline; effort-cost budget; RACI/timesheet; quality-test-defect; communication/minutes; risk register; procurement; change log; closure/lessons learned.</v>
      </c>
      <c r="M3284" t="str">
        <f>'Huong dan giao do an'!$B$33</f>
        <v>Tuần 1: 07.09–13.09.2026; Tuần 2: 14.09–20.09.2026; Tuần 3: 21.09–27.09.2026; Tuần 4: 28.09–04.10.2026; Tuần 5: 05.10–11.10.2026; Tuần 6: 12.10–18.10.2026; Tuần 7: 19.10–25.10.2026; Tuần 8: 26.10–01.11.2026.</v>
      </c>
      <c r="N32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4" s="17" t="str">
        <f t="shared" si="51"/>
        <v>Còn trống</v>
      </c>
    </row>
    <row r="3285" spans="1:16" x14ac:dyDescent="0.3">
      <c r="A3285">
        <v>3284</v>
      </c>
      <c r="B3285" t="s">
        <v>7352</v>
      </c>
      <c r="C3285" t="s">
        <v>7547</v>
      </c>
      <c r="D3285" t="s">
        <v>7548</v>
      </c>
      <c r="E3285" t="s">
        <v>19</v>
      </c>
      <c r="F3285" t="s">
        <v>7370</v>
      </c>
      <c r="G3285" t="s">
        <v>7371</v>
      </c>
      <c r="H3285" t="str">
        <f>'Huong dan giao do an'!$B$14</f>
        <v>5 SV (vai trò chính): 1 PM/Scrum Master kiêm Integration; 2 BA/PO; 3 UI-UX + Frontend; 4 Backend/API + DevOps; 5 Database + QA/Tester. Mỗi SV có nhiệm vụ phụ và minh chứng cá nhân.</v>
      </c>
      <c r="I3285" t="s">
        <v>22</v>
      </c>
      <c r="J3285" t="s">
        <v>7357</v>
      </c>
      <c r="K3285" t="str">
        <f>IF(I3285="Trung bình",'Huong dan giao do an'!$B$8,IF(I3285="Khá",'Huong dan giao do an'!$B$9,'Huong dan giao do an'!$B$10))</f>
        <v>Tối thiểu 4 actor; 10-14 use case; 8-12 bảng; 3 quy trình lõi; phân quyền chi tiết; 2 báo cáo; tích hợp 1 dịch vụ; &gt;=35 test case; CI/CD hoặc deploy cloud.</v>
      </c>
      <c r="L3285" t="str">
        <f>'Huong dan giao do an'!$B$31</f>
        <v>Bắt buộc: Charter/PMP; SRS + scope/WBS; Gantt/baseline; effort-cost budget; RACI/timesheet; quality-test-defect; communication/minutes; risk register; procurement; change log; closure/lessons learned.</v>
      </c>
      <c r="M3285" t="str">
        <f>'Huong dan giao do an'!$B$33</f>
        <v>Tuần 1: 07.09–13.09.2026; Tuần 2: 14.09–20.09.2026; Tuần 3: 21.09–27.09.2026; Tuần 4: 28.09–04.10.2026; Tuần 5: 05.10–11.10.2026; Tuần 6: 12.10–18.10.2026; Tuần 7: 19.10–25.10.2026; Tuần 8: 26.10–01.11.2026.</v>
      </c>
      <c r="N32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5" s="17" t="str">
        <f t="shared" si="51"/>
        <v>Còn trống</v>
      </c>
    </row>
    <row r="3286" spans="1:16" x14ac:dyDescent="0.3">
      <c r="A3286">
        <v>3285</v>
      </c>
      <c r="B3286" t="s">
        <v>7352</v>
      </c>
      <c r="C3286" t="s">
        <v>7549</v>
      </c>
      <c r="D3286" t="s">
        <v>7550</v>
      </c>
      <c r="E3286" t="s">
        <v>26</v>
      </c>
      <c r="F3286" t="s">
        <v>7374</v>
      </c>
      <c r="G3286" t="s">
        <v>7375</v>
      </c>
      <c r="H3286" t="str">
        <f>'Huong dan giao do an'!$B$14</f>
        <v>5 SV (vai trò chính): 1 PM/Scrum Master kiêm Integration; 2 BA/PO; 3 UI-UX + Frontend; 4 Backend/API + DevOps; 5 Database + QA/Tester. Mỗi SV có nhiệm vụ phụ và minh chứng cá nhân.</v>
      </c>
      <c r="I3286" t="s">
        <v>29</v>
      </c>
      <c r="J3286" t="s">
        <v>7362</v>
      </c>
      <c r="K3286" t="str">
        <f>IF(I3286="Trung bình",'Huong dan giao do an'!$B$8,IF(I3286="Khá",'Huong dan giao do an'!$B$9,'Huong dan giao do an'!$B$10))</f>
        <v>Tối thiểu 5 actor; 14-18 use case; 10-15 bảng; 4 quy trình; tích hợp ngoài/realtime hoặc xử lý nâng cao; 3 báo cáo; &gt;=45 test case; logging, backup và deploy.</v>
      </c>
      <c r="L3286" t="str">
        <f>'Huong dan giao do an'!$B$31</f>
        <v>Bắt buộc: Charter/PMP; SRS + scope/WBS; Gantt/baseline; effort-cost budget; RACI/timesheet; quality-test-defect; communication/minutes; risk register; procurement; change log; closure/lessons learned.</v>
      </c>
      <c r="M3286" t="str">
        <f>'Huong dan giao do an'!$B$33</f>
        <v>Tuần 1: 07.09–13.09.2026; Tuần 2: 14.09–20.09.2026; Tuần 3: 21.09–27.09.2026; Tuần 4: 28.09–04.10.2026; Tuần 5: 05.10–11.10.2026; Tuần 6: 12.10–18.10.2026; Tuần 7: 19.10–25.10.2026; Tuần 8: 26.10–01.11.2026.</v>
      </c>
      <c r="N32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6" s="17" t="str">
        <f t="shared" si="51"/>
        <v>Còn trống</v>
      </c>
    </row>
    <row r="3287" spans="1:16" x14ac:dyDescent="0.3">
      <c r="A3287">
        <v>3286</v>
      </c>
      <c r="B3287" t="s">
        <v>7352</v>
      </c>
      <c r="C3287" t="s">
        <v>7551</v>
      </c>
      <c r="D3287" t="s">
        <v>7552</v>
      </c>
      <c r="E3287" t="s">
        <v>33</v>
      </c>
      <c r="F3287" t="s">
        <v>7355</v>
      </c>
      <c r="G3287" t="s">
        <v>7378</v>
      </c>
      <c r="H3287" t="str">
        <f>'Huong dan giao do an'!$B$14</f>
        <v>5 SV (vai trò chính): 1 PM/Scrum Master kiêm Integration; 2 BA/PO; 3 UI-UX + Frontend; 4 Backend/API + DevOps; 5 Database + QA/Tester. Mỗi SV có nhiệm vụ phụ và minh chứng cá nhân.</v>
      </c>
      <c r="I3287" t="s">
        <v>36</v>
      </c>
      <c r="J3287" t="s">
        <v>7367</v>
      </c>
      <c r="K3287" t="str">
        <f>IF(I3287="Trung bình",'Huong dan giao do an'!$B$8,IF(I3287="Khá",'Huong dan giao do an'!$B$9,'Huong dan giao do an'!$B$10))</f>
        <v>Tối thiểu 3 actor; 8-10 use case; 6-8 bảng dữ liệu; 2 quy trình lõi; đăng nhập/RBAC; 1 dashboard; 1 báo cáo; &gt;=25 test case; triển khai bản demo.</v>
      </c>
      <c r="L3287" t="str">
        <f>'Huong dan giao do an'!$B$31</f>
        <v>Bắt buộc: Charter/PMP; SRS + scope/WBS; Gantt/baseline; effort-cost budget; RACI/timesheet; quality-test-defect; communication/minutes; risk register; procurement; change log; closure/lessons learned.</v>
      </c>
      <c r="M3287" t="str">
        <f>'Huong dan giao do an'!$B$33</f>
        <v>Tuần 1: 07.09–13.09.2026; Tuần 2: 14.09–20.09.2026; Tuần 3: 21.09–27.09.2026; Tuần 4: 28.09–04.10.2026; Tuần 5: 05.10–11.10.2026; Tuần 6: 12.10–18.10.2026; Tuần 7: 19.10–25.10.2026; Tuần 8: 26.10–01.11.2026.</v>
      </c>
      <c r="N32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7" s="17" t="str">
        <f t="shared" si="51"/>
        <v>Còn trống</v>
      </c>
    </row>
    <row r="3288" spans="1:16" x14ac:dyDescent="0.3">
      <c r="A3288">
        <v>3287</v>
      </c>
      <c r="B3288" t="s">
        <v>7352</v>
      </c>
      <c r="C3288" t="s">
        <v>7553</v>
      </c>
      <c r="D3288" t="s">
        <v>7554</v>
      </c>
      <c r="E3288" t="s">
        <v>40</v>
      </c>
      <c r="F3288" t="s">
        <v>7360</v>
      </c>
      <c r="G3288" t="s">
        <v>7381</v>
      </c>
      <c r="H3288" t="str">
        <f>'Huong dan giao do an'!$B$14</f>
        <v>5 SV (vai trò chính): 1 PM/Scrum Master kiêm Integration; 2 BA/PO; 3 UI-UX + Frontend; 4 Backend/API + DevOps; 5 Database + QA/Tester. Mỗi SV có nhiệm vụ phụ và minh chứng cá nhân.</v>
      </c>
      <c r="I3288" t="s">
        <v>22</v>
      </c>
      <c r="J3288" t="s">
        <v>7357</v>
      </c>
      <c r="K3288" t="str">
        <f>IF(I3288="Trung bình",'Huong dan giao do an'!$B$8,IF(I3288="Khá",'Huong dan giao do an'!$B$9,'Huong dan giao do an'!$B$10))</f>
        <v>Tối thiểu 4 actor; 10-14 use case; 8-12 bảng; 3 quy trình lõi; phân quyền chi tiết; 2 báo cáo; tích hợp 1 dịch vụ; &gt;=35 test case; CI/CD hoặc deploy cloud.</v>
      </c>
      <c r="L3288" t="str">
        <f>'Huong dan giao do an'!$B$31</f>
        <v>Bắt buộc: Charter/PMP; SRS + scope/WBS; Gantt/baseline; effort-cost budget; RACI/timesheet; quality-test-defect; communication/minutes; risk register; procurement; change log; closure/lessons learned.</v>
      </c>
      <c r="M3288" t="str">
        <f>'Huong dan giao do an'!$B$33</f>
        <v>Tuần 1: 07.09–13.09.2026; Tuần 2: 14.09–20.09.2026; Tuần 3: 21.09–27.09.2026; Tuần 4: 28.09–04.10.2026; Tuần 5: 05.10–11.10.2026; Tuần 6: 12.10–18.10.2026; Tuần 7: 19.10–25.10.2026; Tuần 8: 26.10–01.11.2026.</v>
      </c>
      <c r="N32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8" s="17" t="str">
        <f t="shared" si="51"/>
        <v>Còn trống</v>
      </c>
    </row>
    <row r="3289" spans="1:16" x14ac:dyDescent="0.3">
      <c r="A3289">
        <v>3288</v>
      </c>
      <c r="B3289" t="s">
        <v>7352</v>
      </c>
      <c r="C3289" t="s">
        <v>7555</v>
      </c>
      <c r="D3289" t="s">
        <v>7556</v>
      </c>
      <c r="E3289" t="s">
        <v>45</v>
      </c>
      <c r="F3289" t="s">
        <v>7365</v>
      </c>
      <c r="G3289" t="s">
        <v>7384</v>
      </c>
      <c r="H3289" t="str">
        <f>'Huong dan giao do an'!$B$14</f>
        <v>5 SV (vai trò chính): 1 PM/Scrum Master kiêm Integration; 2 BA/PO; 3 UI-UX + Frontend; 4 Backend/API + DevOps; 5 Database + QA/Tester. Mỗi SV có nhiệm vụ phụ và minh chứng cá nhân.</v>
      </c>
      <c r="I3289" t="s">
        <v>29</v>
      </c>
      <c r="J3289" t="s">
        <v>7362</v>
      </c>
      <c r="K3289" t="str">
        <f>IF(I3289="Trung bình",'Huong dan giao do an'!$B$8,IF(I3289="Khá",'Huong dan giao do an'!$B$9,'Huong dan giao do an'!$B$10))</f>
        <v>Tối thiểu 5 actor; 14-18 use case; 10-15 bảng; 4 quy trình; tích hợp ngoài/realtime hoặc xử lý nâng cao; 3 báo cáo; &gt;=45 test case; logging, backup và deploy.</v>
      </c>
      <c r="L3289" t="str">
        <f>'Huong dan giao do an'!$B$31</f>
        <v>Bắt buộc: Charter/PMP; SRS + scope/WBS; Gantt/baseline; effort-cost budget; RACI/timesheet; quality-test-defect; communication/minutes; risk register; procurement; change log; closure/lessons learned.</v>
      </c>
      <c r="M3289" t="str">
        <f>'Huong dan giao do an'!$B$33</f>
        <v>Tuần 1: 07.09–13.09.2026; Tuần 2: 14.09–20.09.2026; Tuần 3: 21.09–27.09.2026; Tuần 4: 28.09–04.10.2026; Tuần 5: 05.10–11.10.2026; Tuần 6: 12.10–18.10.2026; Tuần 7: 19.10–25.10.2026; Tuần 8: 26.10–01.11.2026.</v>
      </c>
      <c r="N32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89" s="17" t="str">
        <f t="shared" si="51"/>
        <v>Còn trống</v>
      </c>
    </row>
    <row r="3290" spans="1:16" x14ac:dyDescent="0.3">
      <c r="A3290">
        <v>3289</v>
      </c>
      <c r="B3290" t="s">
        <v>7352</v>
      </c>
      <c r="C3290" t="s">
        <v>7557</v>
      </c>
      <c r="D3290" t="s">
        <v>7558</v>
      </c>
      <c r="E3290" t="s">
        <v>19</v>
      </c>
      <c r="F3290" t="s">
        <v>7370</v>
      </c>
      <c r="G3290" t="s">
        <v>7387</v>
      </c>
      <c r="H3290" t="str">
        <f>'Huong dan giao do an'!$B$14</f>
        <v>5 SV (vai trò chính): 1 PM/Scrum Master kiêm Integration; 2 BA/PO; 3 UI-UX + Frontend; 4 Backend/API + DevOps; 5 Database + QA/Tester. Mỗi SV có nhiệm vụ phụ và minh chứng cá nhân.</v>
      </c>
      <c r="I3290" t="s">
        <v>36</v>
      </c>
      <c r="J3290" t="s">
        <v>7367</v>
      </c>
      <c r="K3290" t="str">
        <f>IF(I3290="Trung bình",'Huong dan giao do an'!$B$8,IF(I3290="Khá",'Huong dan giao do an'!$B$9,'Huong dan giao do an'!$B$10))</f>
        <v>Tối thiểu 3 actor; 8-10 use case; 6-8 bảng dữ liệu; 2 quy trình lõi; đăng nhập/RBAC; 1 dashboard; 1 báo cáo; &gt;=25 test case; triển khai bản demo.</v>
      </c>
      <c r="L3290" t="str">
        <f>'Huong dan giao do an'!$B$31</f>
        <v>Bắt buộc: Charter/PMP; SRS + scope/WBS; Gantt/baseline; effort-cost budget; RACI/timesheet; quality-test-defect; communication/minutes; risk register; procurement; change log; closure/lessons learned.</v>
      </c>
      <c r="M3290" t="str">
        <f>'Huong dan giao do an'!$B$33</f>
        <v>Tuần 1: 07.09–13.09.2026; Tuần 2: 14.09–20.09.2026; Tuần 3: 21.09–27.09.2026; Tuần 4: 28.09–04.10.2026; Tuần 5: 05.10–11.10.2026; Tuần 6: 12.10–18.10.2026; Tuần 7: 19.10–25.10.2026; Tuần 8: 26.10–01.11.2026.</v>
      </c>
      <c r="N32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0" s="17" t="str">
        <f t="shared" si="51"/>
        <v>Còn trống</v>
      </c>
    </row>
    <row r="3291" spans="1:16" x14ac:dyDescent="0.3">
      <c r="A3291">
        <v>3290</v>
      </c>
      <c r="B3291" t="s">
        <v>7352</v>
      </c>
      <c r="C3291" t="s">
        <v>7559</v>
      </c>
      <c r="D3291" t="s">
        <v>7560</v>
      </c>
      <c r="E3291" t="s">
        <v>26</v>
      </c>
      <c r="F3291" t="s">
        <v>7374</v>
      </c>
      <c r="G3291" t="s">
        <v>7390</v>
      </c>
      <c r="H3291" t="str">
        <f>'Huong dan giao do an'!$B$14</f>
        <v>5 SV (vai trò chính): 1 PM/Scrum Master kiêm Integration; 2 BA/PO; 3 UI-UX + Frontend; 4 Backend/API + DevOps; 5 Database + QA/Tester. Mỗi SV có nhiệm vụ phụ và minh chứng cá nhân.</v>
      </c>
      <c r="I3291" t="s">
        <v>22</v>
      </c>
      <c r="J3291" t="s">
        <v>7357</v>
      </c>
      <c r="K3291" t="str">
        <f>IF(I3291="Trung bình",'Huong dan giao do an'!$B$8,IF(I3291="Khá",'Huong dan giao do an'!$B$9,'Huong dan giao do an'!$B$10))</f>
        <v>Tối thiểu 4 actor; 10-14 use case; 8-12 bảng; 3 quy trình lõi; phân quyền chi tiết; 2 báo cáo; tích hợp 1 dịch vụ; &gt;=35 test case; CI/CD hoặc deploy cloud.</v>
      </c>
      <c r="L3291" t="str">
        <f>'Huong dan giao do an'!$B$31</f>
        <v>Bắt buộc: Charter/PMP; SRS + scope/WBS; Gantt/baseline; effort-cost budget; RACI/timesheet; quality-test-defect; communication/minutes; risk register; procurement; change log; closure/lessons learned.</v>
      </c>
      <c r="M3291" t="str">
        <f>'Huong dan giao do an'!$B$33</f>
        <v>Tuần 1: 07.09–13.09.2026; Tuần 2: 14.09–20.09.2026; Tuần 3: 21.09–27.09.2026; Tuần 4: 28.09–04.10.2026; Tuần 5: 05.10–11.10.2026; Tuần 6: 12.10–18.10.2026; Tuần 7: 19.10–25.10.2026; Tuần 8: 26.10–01.11.2026.</v>
      </c>
      <c r="N32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1" s="17" t="str">
        <f t="shared" si="51"/>
        <v>Còn trống</v>
      </c>
    </row>
    <row r="3292" spans="1:16" x14ac:dyDescent="0.3">
      <c r="A3292">
        <v>3291</v>
      </c>
      <c r="B3292" t="s">
        <v>7352</v>
      </c>
      <c r="C3292" t="s">
        <v>7561</v>
      </c>
      <c r="D3292" t="s">
        <v>7562</v>
      </c>
      <c r="E3292" t="s">
        <v>33</v>
      </c>
      <c r="F3292" t="s">
        <v>7355</v>
      </c>
      <c r="G3292" t="s">
        <v>7393</v>
      </c>
      <c r="H3292" t="str">
        <f>'Huong dan giao do an'!$B$14</f>
        <v>5 SV (vai trò chính): 1 PM/Scrum Master kiêm Integration; 2 BA/PO; 3 UI-UX + Frontend; 4 Backend/API + DevOps; 5 Database + QA/Tester. Mỗi SV có nhiệm vụ phụ và minh chứng cá nhân.</v>
      </c>
      <c r="I3292" t="s">
        <v>29</v>
      </c>
      <c r="J3292" t="s">
        <v>7362</v>
      </c>
      <c r="K3292" t="str">
        <f>IF(I3292="Trung bình",'Huong dan giao do an'!$B$8,IF(I3292="Khá",'Huong dan giao do an'!$B$9,'Huong dan giao do an'!$B$10))</f>
        <v>Tối thiểu 5 actor; 14-18 use case; 10-15 bảng; 4 quy trình; tích hợp ngoài/realtime hoặc xử lý nâng cao; 3 báo cáo; &gt;=45 test case; logging, backup và deploy.</v>
      </c>
      <c r="L3292" t="str">
        <f>'Huong dan giao do an'!$B$31</f>
        <v>Bắt buộc: Charter/PMP; SRS + scope/WBS; Gantt/baseline; effort-cost budget; RACI/timesheet; quality-test-defect; communication/minutes; risk register; procurement; change log; closure/lessons learned.</v>
      </c>
      <c r="M3292" t="str">
        <f>'Huong dan giao do an'!$B$33</f>
        <v>Tuần 1: 07.09–13.09.2026; Tuần 2: 14.09–20.09.2026; Tuần 3: 21.09–27.09.2026; Tuần 4: 28.09–04.10.2026; Tuần 5: 05.10–11.10.2026; Tuần 6: 12.10–18.10.2026; Tuần 7: 19.10–25.10.2026; Tuần 8: 26.10–01.11.2026.</v>
      </c>
      <c r="N32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2" s="17" t="str">
        <f t="shared" si="51"/>
        <v>Còn trống</v>
      </c>
    </row>
    <row r="3293" spans="1:16" x14ac:dyDescent="0.3">
      <c r="A3293">
        <v>3292</v>
      </c>
      <c r="B3293" t="s">
        <v>7352</v>
      </c>
      <c r="C3293" t="s">
        <v>7563</v>
      </c>
      <c r="D3293" t="s">
        <v>7564</v>
      </c>
      <c r="E3293" t="s">
        <v>40</v>
      </c>
      <c r="F3293" t="s">
        <v>7360</v>
      </c>
      <c r="G3293" t="s">
        <v>7396</v>
      </c>
      <c r="H3293" t="str">
        <f>'Huong dan giao do an'!$B$14</f>
        <v>5 SV (vai trò chính): 1 PM/Scrum Master kiêm Integration; 2 BA/PO; 3 UI-UX + Frontend; 4 Backend/API + DevOps; 5 Database + QA/Tester. Mỗi SV có nhiệm vụ phụ và minh chứng cá nhân.</v>
      </c>
      <c r="I3293" t="s">
        <v>36</v>
      </c>
      <c r="J3293" t="s">
        <v>7367</v>
      </c>
      <c r="K3293" t="str">
        <f>IF(I3293="Trung bình",'Huong dan giao do an'!$B$8,IF(I3293="Khá",'Huong dan giao do an'!$B$9,'Huong dan giao do an'!$B$10))</f>
        <v>Tối thiểu 3 actor; 8-10 use case; 6-8 bảng dữ liệu; 2 quy trình lõi; đăng nhập/RBAC; 1 dashboard; 1 báo cáo; &gt;=25 test case; triển khai bản demo.</v>
      </c>
      <c r="L3293" t="str">
        <f>'Huong dan giao do an'!$B$31</f>
        <v>Bắt buộc: Charter/PMP; SRS + scope/WBS; Gantt/baseline; effort-cost budget; RACI/timesheet; quality-test-defect; communication/minutes; risk register; procurement; change log; closure/lessons learned.</v>
      </c>
      <c r="M3293" t="str">
        <f>'Huong dan giao do an'!$B$33</f>
        <v>Tuần 1: 07.09–13.09.2026; Tuần 2: 14.09–20.09.2026; Tuần 3: 21.09–27.09.2026; Tuần 4: 28.09–04.10.2026; Tuần 5: 05.10–11.10.2026; Tuần 6: 12.10–18.10.2026; Tuần 7: 19.10–25.10.2026; Tuần 8: 26.10–01.11.2026.</v>
      </c>
      <c r="N32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3" s="17" t="str">
        <f t="shared" si="51"/>
        <v>Còn trống</v>
      </c>
    </row>
    <row r="3294" spans="1:16" x14ac:dyDescent="0.3">
      <c r="A3294">
        <v>3293</v>
      </c>
      <c r="B3294" t="s">
        <v>7352</v>
      </c>
      <c r="C3294" t="s">
        <v>7565</v>
      </c>
      <c r="D3294" t="s">
        <v>7566</v>
      </c>
      <c r="E3294" t="s">
        <v>45</v>
      </c>
      <c r="F3294" t="s">
        <v>7365</v>
      </c>
      <c r="G3294" t="s">
        <v>7399</v>
      </c>
      <c r="H3294" t="str">
        <f>'Huong dan giao do an'!$B$14</f>
        <v>5 SV (vai trò chính): 1 PM/Scrum Master kiêm Integration; 2 BA/PO; 3 UI-UX + Frontend; 4 Backend/API + DevOps; 5 Database + QA/Tester. Mỗi SV có nhiệm vụ phụ và minh chứng cá nhân.</v>
      </c>
      <c r="I3294" t="s">
        <v>22</v>
      </c>
      <c r="J3294" t="s">
        <v>7357</v>
      </c>
      <c r="K3294" t="str">
        <f>IF(I3294="Trung bình",'Huong dan giao do an'!$B$8,IF(I3294="Khá",'Huong dan giao do an'!$B$9,'Huong dan giao do an'!$B$10))</f>
        <v>Tối thiểu 4 actor; 10-14 use case; 8-12 bảng; 3 quy trình lõi; phân quyền chi tiết; 2 báo cáo; tích hợp 1 dịch vụ; &gt;=35 test case; CI/CD hoặc deploy cloud.</v>
      </c>
      <c r="L3294" t="str">
        <f>'Huong dan giao do an'!$B$31</f>
        <v>Bắt buộc: Charter/PMP; SRS + scope/WBS; Gantt/baseline; effort-cost budget; RACI/timesheet; quality-test-defect; communication/minutes; risk register; procurement; change log; closure/lessons learned.</v>
      </c>
      <c r="M3294" t="str">
        <f>'Huong dan giao do an'!$B$33</f>
        <v>Tuần 1: 07.09–13.09.2026; Tuần 2: 14.09–20.09.2026; Tuần 3: 21.09–27.09.2026; Tuần 4: 28.09–04.10.2026; Tuần 5: 05.10–11.10.2026; Tuần 6: 12.10–18.10.2026; Tuần 7: 19.10–25.10.2026; Tuần 8: 26.10–01.11.2026.</v>
      </c>
      <c r="N32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4" s="17" t="str">
        <f t="shared" si="51"/>
        <v>Còn trống</v>
      </c>
    </row>
    <row r="3295" spans="1:16" x14ac:dyDescent="0.3">
      <c r="A3295">
        <v>3294</v>
      </c>
      <c r="B3295" t="s">
        <v>7352</v>
      </c>
      <c r="C3295" t="s">
        <v>7567</v>
      </c>
      <c r="D3295" t="s">
        <v>7568</v>
      </c>
      <c r="E3295" t="s">
        <v>19</v>
      </c>
      <c r="F3295" t="s">
        <v>7370</v>
      </c>
      <c r="G3295" t="s">
        <v>7402</v>
      </c>
      <c r="H3295" t="str">
        <f>'Huong dan giao do an'!$B$14</f>
        <v>5 SV (vai trò chính): 1 PM/Scrum Master kiêm Integration; 2 BA/PO; 3 UI-UX + Frontend; 4 Backend/API + DevOps; 5 Database + QA/Tester. Mỗi SV có nhiệm vụ phụ và minh chứng cá nhân.</v>
      </c>
      <c r="I3295" t="s">
        <v>29</v>
      </c>
      <c r="J3295" t="s">
        <v>7362</v>
      </c>
      <c r="K3295" t="str">
        <f>IF(I3295="Trung bình",'Huong dan giao do an'!$B$8,IF(I3295="Khá",'Huong dan giao do an'!$B$9,'Huong dan giao do an'!$B$10))</f>
        <v>Tối thiểu 5 actor; 14-18 use case; 10-15 bảng; 4 quy trình; tích hợp ngoài/realtime hoặc xử lý nâng cao; 3 báo cáo; &gt;=45 test case; logging, backup và deploy.</v>
      </c>
      <c r="L3295" t="str">
        <f>'Huong dan giao do an'!$B$31</f>
        <v>Bắt buộc: Charter/PMP; SRS + scope/WBS; Gantt/baseline; effort-cost budget; RACI/timesheet; quality-test-defect; communication/minutes; risk register; procurement; change log; closure/lessons learned.</v>
      </c>
      <c r="M3295" t="str">
        <f>'Huong dan giao do an'!$B$33</f>
        <v>Tuần 1: 07.09–13.09.2026; Tuần 2: 14.09–20.09.2026; Tuần 3: 21.09–27.09.2026; Tuần 4: 28.09–04.10.2026; Tuần 5: 05.10–11.10.2026; Tuần 6: 12.10–18.10.2026; Tuần 7: 19.10–25.10.2026; Tuần 8: 26.10–01.11.2026.</v>
      </c>
      <c r="N32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5" s="17" t="str">
        <f t="shared" si="51"/>
        <v>Còn trống</v>
      </c>
    </row>
    <row r="3296" spans="1:16" x14ac:dyDescent="0.3">
      <c r="A3296">
        <v>3295</v>
      </c>
      <c r="B3296" t="s">
        <v>7352</v>
      </c>
      <c r="C3296" t="s">
        <v>7569</v>
      </c>
      <c r="D3296" t="s">
        <v>7570</v>
      </c>
      <c r="E3296" t="s">
        <v>26</v>
      </c>
      <c r="F3296" t="s">
        <v>7374</v>
      </c>
      <c r="G3296" t="s">
        <v>7405</v>
      </c>
      <c r="H3296" t="str">
        <f>'Huong dan giao do an'!$B$14</f>
        <v>5 SV (vai trò chính): 1 PM/Scrum Master kiêm Integration; 2 BA/PO; 3 UI-UX + Frontend; 4 Backend/API + DevOps; 5 Database + QA/Tester. Mỗi SV có nhiệm vụ phụ và minh chứng cá nhân.</v>
      </c>
      <c r="I3296" t="s">
        <v>36</v>
      </c>
      <c r="J3296" t="s">
        <v>7367</v>
      </c>
      <c r="K3296" t="str">
        <f>IF(I3296="Trung bình",'Huong dan giao do an'!$B$8,IF(I3296="Khá",'Huong dan giao do an'!$B$9,'Huong dan giao do an'!$B$10))</f>
        <v>Tối thiểu 3 actor; 8-10 use case; 6-8 bảng dữ liệu; 2 quy trình lõi; đăng nhập/RBAC; 1 dashboard; 1 báo cáo; &gt;=25 test case; triển khai bản demo.</v>
      </c>
      <c r="L3296" t="str">
        <f>'Huong dan giao do an'!$B$31</f>
        <v>Bắt buộc: Charter/PMP; SRS + scope/WBS; Gantt/baseline; effort-cost budget; RACI/timesheet; quality-test-defect; communication/minutes; risk register; procurement; change log; closure/lessons learned.</v>
      </c>
      <c r="M3296" t="str">
        <f>'Huong dan giao do an'!$B$33</f>
        <v>Tuần 1: 07.09–13.09.2026; Tuần 2: 14.09–20.09.2026; Tuần 3: 21.09–27.09.2026; Tuần 4: 28.09–04.10.2026; Tuần 5: 05.10–11.10.2026; Tuần 6: 12.10–18.10.2026; Tuần 7: 19.10–25.10.2026; Tuần 8: 26.10–01.11.2026.</v>
      </c>
      <c r="N32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6" s="17" t="str">
        <f t="shared" si="51"/>
        <v>Còn trống</v>
      </c>
    </row>
    <row r="3297" spans="1:16" x14ac:dyDescent="0.3">
      <c r="A3297">
        <v>3296</v>
      </c>
      <c r="B3297" t="s">
        <v>7352</v>
      </c>
      <c r="C3297" t="s">
        <v>7571</v>
      </c>
      <c r="D3297" t="s">
        <v>7572</v>
      </c>
      <c r="E3297" t="s">
        <v>33</v>
      </c>
      <c r="F3297" t="s">
        <v>7355</v>
      </c>
      <c r="G3297" t="s">
        <v>7408</v>
      </c>
      <c r="H3297" t="str">
        <f>'Huong dan giao do an'!$B$14</f>
        <v>5 SV (vai trò chính): 1 PM/Scrum Master kiêm Integration; 2 BA/PO; 3 UI-UX + Frontend; 4 Backend/API + DevOps; 5 Database + QA/Tester. Mỗi SV có nhiệm vụ phụ và minh chứng cá nhân.</v>
      </c>
      <c r="I3297" t="s">
        <v>22</v>
      </c>
      <c r="J3297" t="s">
        <v>7357</v>
      </c>
      <c r="K3297" t="str">
        <f>IF(I3297="Trung bình",'Huong dan giao do an'!$B$8,IF(I3297="Khá",'Huong dan giao do an'!$B$9,'Huong dan giao do an'!$B$10))</f>
        <v>Tối thiểu 4 actor; 10-14 use case; 8-12 bảng; 3 quy trình lõi; phân quyền chi tiết; 2 báo cáo; tích hợp 1 dịch vụ; &gt;=35 test case; CI/CD hoặc deploy cloud.</v>
      </c>
      <c r="L3297" t="str">
        <f>'Huong dan giao do an'!$B$31</f>
        <v>Bắt buộc: Charter/PMP; SRS + scope/WBS; Gantt/baseline; effort-cost budget; RACI/timesheet; quality-test-defect; communication/minutes; risk register; procurement; change log; closure/lessons learned.</v>
      </c>
      <c r="M3297" t="str">
        <f>'Huong dan giao do an'!$B$33</f>
        <v>Tuần 1: 07.09–13.09.2026; Tuần 2: 14.09–20.09.2026; Tuần 3: 21.09–27.09.2026; Tuần 4: 28.09–04.10.2026; Tuần 5: 05.10–11.10.2026; Tuần 6: 12.10–18.10.2026; Tuần 7: 19.10–25.10.2026; Tuần 8: 26.10–01.11.2026.</v>
      </c>
      <c r="N32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7" s="17" t="str">
        <f t="shared" si="51"/>
        <v>Còn trống</v>
      </c>
    </row>
    <row r="3298" spans="1:16" x14ac:dyDescent="0.3">
      <c r="A3298">
        <v>3297</v>
      </c>
      <c r="B3298" t="s">
        <v>7352</v>
      </c>
      <c r="C3298" t="s">
        <v>7573</v>
      </c>
      <c r="D3298" t="s">
        <v>7574</v>
      </c>
      <c r="E3298" t="s">
        <v>40</v>
      </c>
      <c r="F3298" t="s">
        <v>7360</v>
      </c>
      <c r="G3298" t="s">
        <v>7411</v>
      </c>
      <c r="H3298" t="str">
        <f>'Huong dan giao do an'!$B$14</f>
        <v>5 SV (vai trò chính): 1 PM/Scrum Master kiêm Integration; 2 BA/PO; 3 UI-UX + Frontend; 4 Backend/API + DevOps; 5 Database + QA/Tester. Mỗi SV có nhiệm vụ phụ và minh chứng cá nhân.</v>
      </c>
      <c r="I3298" t="s">
        <v>29</v>
      </c>
      <c r="J3298" t="s">
        <v>7362</v>
      </c>
      <c r="K3298" t="str">
        <f>IF(I3298="Trung bình",'Huong dan giao do an'!$B$8,IF(I3298="Khá",'Huong dan giao do an'!$B$9,'Huong dan giao do an'!$B$10))</f>
        <v>Tối thiểu 5 actor; 14-18 use case; 10-15 bảng; 4 quy trình; tích hợp ngoài/realtime hoặc xử lý nâng cao; 3 báo cáo; &gt;=45 test case; logging, backup và deploy.</v>
      </c>
      <c r="L3298" t="str">
        <f>'Huong dan giao do an'!$B$31</f>
        <v>Bắt buộc: Charter/PMP; SRS + scope/WBS; Gantt/baseline; effort-cost budget; RACI/timesheet; quality-test-defect; communication/minutes; risk register; procurement; change log; closure/lessons learned.</v>
      </c>
      <c r="M3298" t="str">
        <f>'Huong dan giao do an'!$B$33</f>
        <v>Tuần 1: 07.09–13.09.2026; Tuần 2: 14.09–20.09.2026; Tuần 3: 21.09–27.09.2026; Tuần 4: 28.09–04.10.2026; Tuần 5: 05.10–11.10.2026; Tuần 6: 12.10–18.10.2026; Tuần 7: 19.10–25.10.2026; Tuần 8: 26.10–01.11.2026.</v>
      </c>
      <c r="N32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8" s="17" t="str">
        <f t="shared" si="51"/>
        <v>Còn trống</v>
      </c>
    </row>
    <row r="3299" spans="1:16" x14ac:dyDescent="0.3">
      <c r="A3299">
        <v>3298</v>
      </c>
      <c r="B3299" t="s">
        <v>7352</v>
      </c>
      <c r="C3299" t="s">
        <v>7575</v>
      </c>
      <c r="D3299" t="s">
        <v>7576</v>
      </c>
      <c r="E3299" t="s">
        <v>45</v>
      </c>
      <c r="F3299" t="s">
        <v>7365</v>
      </c>
      <c r="G3299" t="s">
        <v>7414</v>
      </c>
      <c r="H3299" t="str">
        <f>'Huong dan giao do an'!$B$14</f>
        <v>5 SV (vai trò chính): 1 PM/Scrum Master kiêm Integration; 2 BA/PO; 3 UI-UX + Frontend; 4 Backend/API + DevOps; 5 Database + QA/Tester. Mỗi SV có nhiệm vụ phụ và minh chứng cá nhân.</v>
      </c>
      <c r="I3299" t="s">
        <v>36</v>
      </c>
      <c r="J3299" t="s">
        <v>7367</v>
      </c>
      <c r="K3299" t="str">
        <f>IF(I3299="Trung bình",'Huong dan giao do an'!$B$8,IF(I3299="Khá",'Huong dan giao do an'!$B$9,'Huong dan giao do an'!$B$10))</f>
        <v>Tối thiểu 3 actor; 8-10 use case; 6-8 bảng dữ liệu; 2 quy trình lõi; đăng nhập/RBAC; 1 dashboard; 1 báo cáo; &gt;=25 test case; triển khai bản demo.</v>
      </c>
      <c r="L3299" t="str">
        <f>'Huong dan giao do an'!$B$31</f>
        <v>Bắt buộc: Charter/PMP; SRS + scope/WBS; Gantt/baseline; effort-cost budget; RACI/timesheet; quality-test-defect; communication/minutes; risk register; procurement; change log; closure/lessons learned.</v>
      </c>
      <c r="M3299" t="str">
        <f>'Huong dan giao do an'!$B$33</f>
        <v>Tuần 1: 07.09–13.09.2026; Tuần 2: 14.09–20.09.2026; Tuần 3: 21.09–27.09.2026; Tuần 4: 28.09–04.10.2026; Tuần 5: 05.10–11.10.2026; Tuần 6: 12.10–18.10.2026; Tuần 7: 19.10–25.10.2026; Tuần 8: 26.10–01.11.2026.</v>
      </c>
      <c r="N32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299" s="17" t="str">
        <f t="shared" si="51"/>
        <v>Còn trống</v>
      </c>
    </row>
    <row r="3300" spans="1:16" x14ac:dyDescent="0.3">
      <c r="A3300">
        <v>3299</v>
      </c>
      <c r="B3300" t="s">
        <v>7352</v>
      </c>
      <c r="C3300" t="s">
        <v>7577</v>
      </c>
      <c r="D3300" t="s">
        <v>7578</v>
      </c>
      <c r="E3300" t="s">
        <v>19</v>
      </c>
      <c r="F3300" t="s">
        <v>7370</v>
      </c>
      <c r="G3300" t="s">
        <v>7417</v>
      </c>
      <c r="H3300" t="str">
        <f>'Huong dan giao do an'!$B$14</f>
        <v>5 SV (vai trò chính): 1 PM/Scrum Master kiêm Integration; 2 BA/PO; 3 UI-UX + Frontend; 4 Backend/API + DevOps; 5 Database + QA/Tester. Mỗi SV có nhiệm vụ phụ và minh chứng cá nhân.</v>
      </c>
      <c r="I3300" t="s">
        <v>22</v>
      </c>
      <c r="J3300" t="s">
        <v>7357</v>
      </c>
      <c r="K3300" t="str">
        <f>IF(I3300="Trung bình",'Huong dan giao do an'!$B$8,IF(I3300="Khá",'Huong dan giao do an'!$B$9,'Huong dan giao do an'!$B$10))</f>
        <v>Tối thiểu 4 actor; 10-14 use case; 8-12 bảng; 3 quy trình lõi; phân quyền chi tiết; 2 báo cáo; tích hợp 1 dịch vụ; &gt;=35 test case; CI/CD hoặc deploy cloud.</v>
      </c>
      <c r="L3300" t="str">
        <f>'Huong dan giao do an'!$B$31</f>
        <v>Bắt buộc: Charter/PMP; SRS + scope/WBS; Gantt/baseline; effort-cost budget; RACI/timesheet; quality-test-defect; communication/minutes; risk register; procurement; change log; closure/lessons learned.</v>
      </c>
      <c r="M3300" t="str">
        <f>'Huong dan giao do an'!$B$33</f>
        <v>Tuần 1: 07.09–13.09.2026; Tuần 2: 14.09–20.09.2026; Tuần 3: 21.09–27.09.2026; Tuần 4: 28.09–04.10.2026; Tuần 5: 05.10–11.10.2026; Tuần 6: 12.10–18.10.2026; Tuần 7: 19.10–25.10.2026; Tuần 8: 26.10–01.11.2026.</v>
      </c>
      <c r="N33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0" s="17" t="str">
        <f t="shared" si="51"/>
        <v>Còn trống</v>
      </c>
    </row>
    <row r="3301" spans="1:16" x14ac:dyDescent="0.3">
      <c r="A3301">
        <v>3300</v>
      </c>
      <c r="B3301" t="s">
        <v>7352</v>
      </c>
      <c r="C3301" t="s">
        <v>7579</v>
      </c>
      <c r="D3301" t="s">
        <v>7580</v>
      </c>
      <c r="E3301" t="s">
        <v>26</v>
      </c>
      <c r="F3301" t="s">
        <v>7374</v>
      </c>
      <c r="G3301" t="s">
        <v>7420</v>
      </c>
      <c r="H3301" t="str">
        <f>'Huong dan giao do an'!$B$14</f>
        <v>5 SV (vai trò chính): 1 PM/Scrum Master kiêm Integration; 2 BA/PO; 3 UI-UX + Frontend; 4 Backend/API + DevOps; 5 Database + QA/Tester. Mỗi SV có nhiệm vụ phụ và minh chứng cá nhân.</v>
      </c>
      <c r="I3301" t="s">
        <v>29</v>
      </c>
      <c r="J3301" t="s">
        <v>7362</v>
      </c>
      <c r="K3301" t="str">
        <f>IF(I3301="Trung bình",'Huong dan giao do an'!$B$8,IF(I3301="Khá",'Huong dan giao do an'!$B$9,'Huong dan giao do an'!$B$10))</f>
        <v>Tối thiểu 5 actor; 14-18 use case; 10-15 bảng; 4 quy trình; tích hợp ngoài/realtime hoặc xử lý nâng cao; 3 báo cáo; &gt;=45 test case; logging, backup và deploy.</v>
      </c>
      <c r="L3301" t="str">
        <f>'Huong dan giao do an'!$B$31</f>
        <v>Bắt buộc: Charter/PMP; SRS + scope/WBS; Gantt/baseline; effort-cost budget; RACI/timesheet; quality-test-defect; communication/minutes; risk register; procurement; change log; closure/lessons learned.</v>
      </c>
      <c r="M3301" t="str">
        <f>'Huong dan giao do an'!$B$33</f>
        <v>Tuần 1: 07.09–13.09.2026; Tuần 2: 14.09–20.09.2026; Tuần 3: 21.09–27.09.2026; Tuần 4: 28.09–04.10.2026; Tuần 5: 05.10–11.10.2026; Tuần 6: 12.10–18.10.2026; Tuần 7: 19.10–25.10.2026; Tuần 8: 26.10–01.11.2026.</v>
      </c>
      <c r="N33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1" s="17" t="str">
        <f t="shared" si="51"/>
        <v>Còn trống</v>
      </c>
    </row>
    <row r="3302" spans="1:16" x14ac:dyDescent="0.3">
      <c r="A3302">
        <v>3301</v>
      </c>
      <c r="B3302" t="s">
        <v>7581</v>
      </c>
      <c r="C3302" t="s">
        <v>7582</v>
      </c>
      <c r="D3302" t="s">
        <v>7583</v>
      </c>
      <c r="E3302" t="s">
        <v>40</v>
      </c>
      <c r="F3302" t="s">
        <v>7584</v>
      </c>
      <c r="G3302" t="s">
        <v>7585</v>
      </c>
      <c r="H3302" t="str">
        <f>'Huong dan giao do an'!$B$14</f>
        <v>5 SV (vai trò chính): 1 PM/Scrum Master kiêm Integration; 2 BA/PO; 3 UI-UX + Frontend; 4 Backend/API + DevOps; 5 Database + QA/Tester. Mỗi SV có nhiệm vụ phụ và minh chứng cá nhân.</v>
      </c>
      <c r="I3302" t="s">
        <v>22</v>
      </c>
      <c r="J3302" t="s">
        <v>7586</v>
      </c>
      <c r="K3302" t="str">
        <f>IF(I3302="Trung bình",'Huong dan giao do an'!$B$8,IF(I3302="Khá",'Huong dan giao do an'!$B$9,'Huong dan giao do an'!$B$10))</f>
        <v>Tối thiểu 4 actor; 10-14 use case; 8-12 bảng; 3 quy trình lõi; phân quyền chi tiết; 2 báo cáo; tích hợp 1 dịch vụ; &gt;=35 test case; CI/CD hoặc deploy cloud.</v>
      </c>
      <c r="L3302" t="str">
        <f>'Huong dan giao do an'!$B$31</f>
        <v>Bắt buộc: Charter/PMP; SRS + scope/WBS; Gantt/baseline; effort-cost budget; RACI/timesheet; quality-test-defect; communication/minutes; risk register; procurement; change log; closure/lessons learned.</v>
      </c>
      <c r="M3302" t="str">
        <f>'Huong dan giao do an'!$B$33</f>
        <v>Tuần 1: 07.09–13.09.2026; Tuần 2: 14.09–20.09.2026; Tuần 3: 21.09–27.09.2026; Tuần 4: 28.09–04.10.2026; Tuần 5: 05.10–11.10.2026; Tuần 6: 12.10–18.10.2026; Tuần 7: 19.10–25.10.2026; Tuần 8: 26.10–01.11.2026.</v>
      </c>
      <c r="N33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2" s="17" t="str">
        <f t="shared" si="51"/>
        <v>Còn trống</v>
      </c>
    </row>
    <row r="3303" spans="1:16" x14ac:dyDescent="0.3">
      <c r="A3303">
        <v>3302</v>
      </c>
      <c r="B3303" t="s">
        <v>7581</v>
      </c>
      <c r="C3303" t="s">
        <v>7587</v>
      </c>
      <c r="D3303" t="s">
        <v>7588</v>
      </c>
      <c r="E3303" t="s">
        <v>45</v>
      </c>
      <c r="F3303" t="s">
        <v>7589</v>
      </c>
      <c r="G3303" t="s">
        <v>7590</v>
      </c>
      <c r="H3303" t="str">
        <f>'Huong dan giao do an'!$B$14</f>
        <v>5 SV (vai trò chính): 1 PM/Scrum Master kiêm Integration; 2 BA/PO; 3 UI-UX + Frontend; 4 Backend/API + DevOps; 5 Database + QA/Tester. Mỗi SV có nhiệm vụ phụ và minh chứng cá nhân.</v>
      </c>
      <c r="I3303" t="s">
        <v>29</v>
      </c>
      <c r="J3303" t="s">
        <v>7591</v>
      </c>
      <c r="K3303" t="str">
        <f>IF(I3303="Trung bình",'Huong dan giao do an'!$B$8,IF(I3303="Khá",'Huong dan giao do an'!$B$9,'Huong dan giao do an'!$B$10))</f>
        <v>Tối thiểu 5 actor; 14-18 use case; 10-15 bảng; 4 quy trình; tích hợp ngoài/realtime hoặc xử lý nâng cao; 3 báo cáo; &gt;=45 test case; logging, backup và deploy.</v>
      </c>
      <c r="L3303" t="str">
        <f>'Huong dan giao do an'!$B$31</f>
        <v>Bắt buộc: Charter/PMP; SRS + scope/WBS; Gantt/baseline; effort-cost budget; RACI/timesheet; quality-test-defect; communication/minutes; risk register; procurement; change log; closure/lessons learned.</v>
      </c>
      <c r="M3303" t="str">
        <f>'Huong dan giao do an'!$B$33</f>
        <v>Tuần 1: 07.09–13.09.2026; Tuần 2: 14.09–20.09.2026; Tuần 3: 21.09–27.09.2026; Tuần 4: 28.09–04.10.2026; Tuần 5: 05.10–11.10.2026; Tuần 6: 12.10–18.10.2026; Tuần 7: 19.10–25.10.2026; Tuần 8: 26.10–01.11.2026.</v>
      </c>
      <c r="N33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3" s="17" t="str">
        <f t="shared" si="51"/>
        <v>Còn trống</v>
      </c>
    </row>
    <row r="3304" spans="1:16" x14ac:dyDescent="0.3">
      <c r="A3304">
        <v>3303</v>
      </c>
      <c r="B3304" t="s">
        <v>7581</v>
      </c>
      <c r="C3304" t="s">
        <v>7592</v>
      </c>
      <c r="D3304" t="s">
        <v>7593</v>
      </c>
      <c r="E3304" t="s">
        <v>19</v>
      </c>
      <c r="F3304" t="s">
        <v>7594</v>
      </c>
      <c r="G3304" t="s">
        <v>7595</v>
      </c>
      <c r="H3304" t="str">
        <f>'Huong dan giao do an'!$B$14</f>
        <v>5 SV (vai trò chính): 1 PM/Scrum Master kiêm Integration; 2 BA/PO; 3 UI-UX + Frontend; 4 Backend/API + DevOps; 5 Database + QA/Tester. Mỗi SV có nhiệm vụ phụ và minh chứng cá nhân.</v>
      </c>
      <c r="I3304" t="s">
        <v>36</v>
      </c>
      <c r="J3304" t="s">
        <v>7596</v>
      </c>
      <c r="K3304" t="str">
        <f>IF(I3304="Trung bình",'Huong dan giao do an'!$B$8,IF(I3304="Khá",'Huong dan giao do an'!$B$9,'Huong dan giao do an'!$B$10))</f>
        <v>Tối thiểu 3 actor; 8-10 use case; 6-8 bảng dữ liệu; 2 quy trình lõi; đăng nhập/RBAC; 1 dashboard; 1 báo cáo; &gt;=25 test case; triển khai bản demo.</v>
      </c>
      <c r="L3304" t="str">
        <f>'Huong dan giao do an'!$B$31</f>
        <v>Bắt buộc: Charter/PMP; SRS + scope/WBS; Gantt/baseline; effort-cost budget; RACI/timesheet; quality-test-defect; communication/minutes; risk register; procurement; change log; closure/lessons learned.</v>
      </c>
      <c r="M3304" t="str">
        <f>'Huong dan giao do an'!$B$33</f>
        <v>Tuần 1: 07.09–13.09.2026; Tuần 2: 14.09–20.09.2026; Tuần 3: 21.09–27.09.2026; Tuần 4: 28.09–04.10.2026; Tuần 5: 05.10–11.10.2026; Tuần 6: 12.10–18.10.2026; Tuần 7: 19.10–25.10.2026; Tuần 8: 26.10–01.11.2026.</v>
      </c>
      <c r="N33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4" s="17" t="str">
        <f t="shared" si="51"/>
        <v>Còn trống</v>
      </c>
    </row>
    <row r="3305" spans="1:16" x14ac:dyDescent="0.3">
      <c r="A3305">
        <v>3304</v>
      </c>
      <c r="B3305" t="s">
        <v>7581</v>
      </c>
      <c r="C3305" t="s">
        <v>7597</v>
      </c>
      <c r="D3305" t="s">
        <v>7598</v>
      </c>
      <c r="E3305" t="s">
        <v>26</v>
      </c>
      <c r="F3305" t="s">
        <v>7599</v>
      </c>
      <c r="G3305" t="s">
        <v>7600</v>
      </c>
      <c r="H3305" t="str">
        <f>'Huong dan giao do an'!$B$14</f>
        <v>5 SV (vai trò chính): 1 PM/Scrum Master kiêm Integration; 2 BA/PO; 3 UI-UX + Frontend; 4 Backend/API + DevOps; 5 Database + QA/Tester. Mỗi SV có nhiệm vụ phụ và minh chứng cá nhân.</v>
      </c>
      <c r="I3305" t="s">
        <v>22</v>
      </c>
      <c r="J3305" t="s">
        <v>7586</v>
      </c>
      <c r="K3305" t="str">
        <f>IF(I3305="Trung bình",'Huong dan giao do an'!$B$8,IF(I3305="Khá",'Huong dan giao do an'!$B$9,'Huong dan giao do an'!$B$10))</f>
        <v>Tối thiểu 4 actor; 10-14 use case; 8-12 bảng; 3 quy trình lõi; phân quyền chi tiết; 2 báo cáo; tích hợp 1 dịch vụ; &gt;=35 test case; CI/CD hoặc deploy cloud.</v>
      </c>
      <c r="L3305" t="str">
        <f>'Huong dan giao do an'!$B$31</f>
        <v>Bắt buộc: Charter/PMP; SRS + scope/WBS; Gantt/baseline; effort-cost budget; RACI/timesheet; quality-test-defect; communication/minutes; risk register; procurement; change log; closure/lessons learned.</v>
      </c>
      <c r="M3305" t="str">
        <f>'Huong dan giao do an'!$B$33</f>
        <v>Tuần 1: 07.09–13.09.2026; Tuần 2: 14.09–20.09.2026; Tuần 3: 21.09–27.09.2026; Tuần 4: 28.09–04.10.2026; Tuần 5: 05.10–11.10.2026; Tuần 6: 12.10–18.10.2026; Tuần 7: 19.10–25.10.2026; Tuần 8: 26.10–01.11.2026.</v>
      </c>
      <c r="N33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5" s="17" t="str">
        <f t="shared" si="51"/>
        <v>Còn trống</v>
      </c>
    </row>
    <row r="3306" spans="1:16" x14ac:dyDescent="0.3">
      <c r="A3306">
        <v>3305</v>
      </c>
      <c r="B3306" t="s">
        <v>7581</v>
      </c>
      <c r="C3306" t="s">
        <v>7601</v>
      </c>
      <c r="D3306" t="s">
        <v>7602</v>
      </c>
      <c r="E3306" t="s">
        <v>33</v>
      </c>
      <c r="F3306" t="s">
        <v>7603</v>
      </c>
      <c r="G3306" t="s">
        <v>7604</v>
      </c>
      <c r="H3306" t="str">
        <f>'Huong dan giao do an'!$B$14</f>
        <v>5 SV (vai trò chính): 1 PM/Scrum Master kiêm Integration; 2 BA/PO; 3 UI-UX + Frontend; 4 Backend/API + DevOps; 5 Database + QA/Tester. Mỗi SV có nhiệm vụ phụ và minh chứng cá nhân.</v>
      </c>
      <c r="I3306" t="s">
        <v>29</v>
      </c>
      <c r="J3306" t="s">
        <v>7591</v>
      </c>
      <c r="K3306" t="str">
        <f>IF(I3306="Trung bình",'Huong dan giao do an'!$B$8,IF(I3306="Khá",'Huong dan giao do an'!$B$9,'Huong dan giao do an'!$B$10))</f>
        <v>Tối thiểu 5 actor; 14-18 use case; 10-15 bảng; 4 quy trình; tích hợp ngoài/realtime hoặc xử lý nâng cao; 3 báo cáo; &gt;=45 test case; logging, backup và deploy.</v>
      </c>
      <c r="L3306" t="str">
        <f>'Huong dan giao do an'!$B$31</f>
        <v>Bắt buộc: Charter/PMP; SRS + scope/WBS; Gantt/baseline; effort-cost budget; RACI/timesheet; quality-test-defect; communication/minutes; risk register; procurement; change log; closure/lessons learned.</v>
      </c>
      <c r="M3306" t="str">
        <f>'Huong dan giao do an'!$B$33</f>
        <v>Tuần 1: 07.09–13.09.2026; Tuần 2: 14.09–20.09.2026; Tuần 3: 21.09–27.09.2026; Tuần 4: 28.09–04.10.2026; Tuần 5: 05.10–11.10.2026; Tuần 6: 12.10–18.10.2026; Tuần 7: 19.10–25.10.2026; Tuần 8: 26.10–01.11.2026.</v>
      </c>
      <c r="N33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6" s="17" t="str">
        <f t="shared" si="51"/>
        <v>Còn trống</v>
      </c>
    </row>
    <row r="3307" spans="1:16" x14ac:dyDescent="0.3">
      <c r="A3307">
        <v>3306</v>
      </c>
      <c r="B3307" t="s">
        <v>7581</v>
      </c>
      <c r="C3307" t="s">
        <v>7605</v>
      </c>
      <c r="D3307" t="s">
        <v>7606</v>
      </c>
      <c r="E3307" t="s">
        <v>40</v>
      </c>
      <c r="F3307" t="s">
        <v>7584</v>
      </c>
      <c r="G3307" t="s">
        <v>7607</v>
      </c>
      <c r="H3307" t="str">
        <f>'Huong dan giao do an'!$B$14</f>
        <v>5 SV (vai trò chính): 1 PM/Scrum Master kiêm Integration; 2 BA/PO; 3 UI-UX + Frontend; 4 Backend/API + DevOps; 5 Database + QA/Tester. Mỗi SV có nhiệm vụ phụ và minh chứng cá nhân.</v>
      </c>
      <c r="I3307" t="s">
        <v>36</v>
      </c>
      <c r="J3307" t="s">
        <v>7596</v>
      </c>
      <c r="K3307" t="str">
        <f>IF(I3307="Trung bình",'Huong dan giao do an'!$B$8,IF(I3307="Khá",'Huong dan giao do an'!$B$9,'Huong dan giao do an'!$B$10))</f>
        <v>Tối thiểu 3 actor; 8-10 use case; 6-8 bảng dữ liệu; 2 quy trình lõi; đăng nhập/RBAC; 1 dashboard; 1 báo cáo; &gt;=25 test case; triển khai bản demo.</v>
      </c>
      <c r="L3307" t="str">
        <f>'Huong dan giao do an'!$B$31</f>
        <v>Bắt buộc: Charter/PMP; SRS + scope/WBS; Gantt/baseline; effort-cost budget; RACI/timesheet; quality-test-defect; communication/minutes; risk register; procurement; change log; closure/lessons learned.</v>
      </c>
      <c r="M3307" t="str">
        <f>'Huong dan giao do an'!$B$33</f>
        <v>Tuần 1: 07.09–13.09.2026; Tuần 2: 14.09–20.09.2026; Tuần 3: 21.09–27.09.2026; Tuần 4: 28.09–04.10.2026; Tuần 5: 05.10–11.10.2026; Tuần 6: 12.10–18.10.2026; Tuần 7: 19.10–25.10.2026; Tuần 8: 26.10–01.11.2026.</v>
      </c>
      <c r="N33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7" s="17" t="str">
        <f t="shared" si="51"/>
        <v>Còn trống</v>
      </c>
    </row>
    <row r="3308" spans="1:16" x14ac:dyDescent="0.3">
      <c r="A3308">
        <v>3307</v>
      </c>
      <c r="B3308" t="s">
        <v>7581</v>
      </c>
      <c r="C3308" t="s">
        <v>7608</v>
      </c>
      <c r="D3308" t="s">
        <v>7609</v>
      </c>
      <c r="E3308" t="s">
        <v>45</v>
      </c>
      <c r="F3308" t="s">
        <v>7589</v>
      </c>
      <c r="G3308" t="s">
        <v>7610</v>
      </c>
      <c r="H3308" t="str">
        <f>'Huong dan giao do an'!$B$14</f>
        <v>5 SV (vai trò chính): 1 PM/Scrum Master kiêm Integration; 2 BA/PO; 3 UI-UX + Frontend; 4 Backend/API + DevOps; 5 Database + QA/Tester. Mỗi SV có nhiệm vụ phụ và minh chứng cá nhân.</v>
      </c>
      <c r="I3308" t="s">
        <v>22</v>
      </c>
      <c r="J3308" t="s">
        <v>7586</v>
      </c>
      <c r="K3308" t="str">
        <f>IF(I3308="Trung bình",'Huong dan giao do an'!$B$8,IF(I3308="Khá",'Huong dan giao do an'!$B$9,'Huong dan giao do an'!$B$10))</f>
        <v>Tối thiểu 4 actor; 10-14 use case; 8-12 bảng; 3 quy trình lõi; phân quyền chi tiết; 2 báo cáo; tích hợp 1 dịch vụ; &gt;=35 test case; CI/CD hoặc deploy cloud.</v>
      </c>
      <c r="L3308" t="str">
        <f>'Huong dan giao do an'!$B$31</f>
        <v>Bắt buộc: Charter/PMP; SRS + scope/WBS; Gantt/baseline; effort-cost budget; RACI/timesheet; quality-test-defect; communication/minutes; risk register; procurement; change log; closure/lessons learned.</v>
      </c>
      <c r="M3308" t="str">
        <f>'Huong dan giao do an'!$B$33</f>
        <v>Tuần 1: 07.09–13.09.2026; Tuần 2: 14.09–20.09.2026; Tuần 3: 21.09–27.09.2026; Tuần 4: 28.09–04.10.2026; Tuần 5: 05.10–11.10.2026; Tuần 6: 12.10–18.10.2026; Tuần 7: 19.10–25.10.2026; Tuần 8: 26.10–01.11.2026.</v>
      </c>
      <c r="N33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8" s="17" t="str">
        <f t="shared" si="51"/>
        <v>Còn trống</v>
      </c>
    </row>
    <row r="3309" spans="1:16" x14ac:dyDescent="0.3">
      <c r="A3309">
        <v>3308</v>
      </c>
      <c r="B3309" t="s">
        <v>7581</v>
      </c>
      <c r="C3309" t="s">
        <v>7611</v>
      </c>
      <c r="D3309" t="s">
        <v>7612</v>
      </c>
      <c r="E3309" t="s">
        <v>19</v>
      </c>
      <c r="F3309" t="s">
        <v>7594</v>
      </c>
      <c r="G3309" t="s">
        <v>7613</v>
      </c>
      <c r="H3309" t="str">
        <f>'Huong dan giao do an'!$B$14</f>
        <v>5 SV (vai trò chính): 1 PM/Scrum Master kiêm Integration; 2 BA/PO; 3 UI-UX + Frontend; 4 Backend/API + DevOps; 5 Database + QA/Tester. Mỗi SV có nhiệm vụ phụ và minh chứng cá nhân.</v>
      </c>
      <c r="I3309" t="s">
        <v>29</v>
      </c>
      <c r="J3309" t="s">
        <v>7591</v>
      </c>
      <c r="K3309" t="str">
        <f>IF(I3309="Trung bình",'Huong dan giao do an'!$B$8,IF(I3309="Khá",'Huong dan giao do an'!$B$9,'Huong dan giao do an'!$B$10))</f>
        <v>Tối thiểu 5 actor; 14-18 use case; 10-15 bảng; 4 quy trình; tích hợp ngoài/realtime hoặc xử lý nâng cao; 3 báo cáo; &gt;=45 test case; logging, backup và deploy.</v>
      </c>
      <c r="L3309" t="str">
        <f>'Huong dan giao do an'!$B$31</f>
        <v>Bắt buộc: Charter/PMP; SRS + scope/WBS; Gantt/baseline; effort-cost budget; RACI/timesheet; quality-test-defect; communication/minutes; risk register; procurement; change log; closure/lessons learned.</v>
      </c>
      <c r="M3309" t="str">
        <f>'Huong dan giao do an'!$B$33</f>
        <v>Tuần 1: 07.09–13.09.2026; Tuần 2: 14.09–20.09.2026; Tuần 3: 21.09–27.09.2026; Tuần 4: 28.09–04.10.2026; Tuần 5: 05.10–11.10.2026; Tuần 6: 12.10–18.10.2026; Tuần 7: 19.10–25.10.2026; Tuần 8: 26.10–01.11.2026.</v>
      </c>
      <c r="N33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09" s="17" t="str">
        <f t="shared" si="51"/>
        <v>Còn trống</v>
      </c>
    </row>
    <row r="3310" spans="1:16" x14ac:dyDescent="0.3">
      <c r="A3310">
        <v>3309</v>
      </c>
      <c r="B3310" t="s">
        <v>7581</v>
      </c>
      <c r="C3310" t="s">
        <v>7614</v>
      </c>
      <c r="D3310" t="s">
        <v>7615</v>
      </c>
      <c r="E3310" t="s">
        <v>26</v>
      </c>
      <c r="F3310" t="s">
        <v>7599</v>
      </c>
      <c r="G3310" t="s">
        <v>7616</v>
      </c>
      <c r="H3310" t="str">
        <f>'Huong dan giao do an'!$B$14</f>
        <v>5 SV (vai trò chính): 1 PM/Scrum Master kiêm Integration; 2 BA/PO; 3 UI-UX + Frontend; 4 Backend/API + DevOps; 5 Database + QA/Tester. Mỗi SV có nhiệm vụ phụ và minh chứng cá nhân.</v>
      </c>
      <c r="I3310" t="s">
        <v>36</v>
      </c>
      <c r="J3310" t="s">
        <v>7596</v>
      </c>
      <c r="K3310" t="str">
        <f>IF(I3310="Trung bình",'Huong dan giao do an'!$B$8,IF(I3310="Khá",'Huong dan giao do an'!$B$9,'Huong dan giao do an'!$B$10))</f>
        <v>Tối thiểu 3 actor; 8-10 use case; 6-8 bảng dữ liệu; 2 quy trình lõi; đăng nhập/RBAC; 1 dashboard; 1 báo cáo; &gt;=25 test case; triển khai bản demo.</v>
      </c>
      <c r="L3310" t="str">
        <f>'Huong dan giao do an'!$B$31</f>
        <v>Bắt buộc: Charter/PMP; SRS + scope/WBS; Gantt/baseline; effort-cost budget; RACI/timesheet; quality-test-defect; communication/minutes; risk register; procurement; change log; closure/lessons learned.</v>
      </c>
      <c r="M3310" t="str">
        <f>'Huong dan giao do an'!$B$33</f>
        <v>Tuần 1: 07.09–13.09.2026; Tuần 2: 14.09–20.09.2026; Tuần 3: 21.09–27.09.2026; Tuần 4: 28.09–04.10.2026; Tuần 5: 05.10–11.10.2026; Tuần 6: 12.10–18.10.2026; Tuần 7: 19.10–25.10.2026; Tuần 8: 26.10–01.11.2026.</v>
      </c>
      <c r="N33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0" s="17" t="str">
        <f t="shared" si="51"/>
        <v>Còn trống</v>
      </c>
    </row>
    <row r="3311" spans="1:16" x14ac:dyDescent="0.3">
      <c r="A3311">
        <v>3310</v>
      </c>
      <c r="B3311" t="s">
        <v>7581</v>
      </c>
      <c r="C3311" t="s">
        <v>7617</v>
      </c>
      <c r="D3311" t="s">
        <v>7618</v>
      </c>
      <c r="E3311" t="s">
        <v>33</v>
      </c>
      <c r="F3311" t="s">
        <v>7603</v>
      </c>
      <c r="G3311" t="s">
        <v>7619</v>
      </c>
      <c r="H3311" t="str">
        <f>'Huong dan giao do an'!$B$14</f>
        <v>5 SV (vai trò chính): 1 PM/Scrum Master kiêm Integration; 2 BA/PO; 3 UI-UX + Frontend; 4 Backend/API + DevOps; 5 Database + QA/Tester. Mỗi SV có nhiệm vụ phụ và minh chứng cá nhân.</v>
      </c>
      <c r="I3311" t="s">
        <v>22</v>
      </c>
      <c r="J3311" t="s">
        <v>7586</v>
      </c>
      <c r="K3311" t="str">
        <f>IF(I3311="Trung bình",'Huong dan giao do an'!$B$8,IF(I3311="Khá",'Huong dan giao do an'!$B$9,'Huong dan giao do an'!$B$10))</f>
        <v>Tối thiểu 4 actor; 10-14 use case; 8-12 bảng; 3 quy trình lõi; phân quyền chi tiết; 2 báo cáo; tích hợp 1 dịch vụ; &gt;=35 test case; CI/CD hoặc deploy cloud.</v>
      </c>
      <c r="L3311" t="str">
        <f>'Huong dan giao do an'!$B$31</f>
        <v>Bắt buộc: Charter/PMP; SRS + scope/WBS; Gantt/baseline; effort-cost budget; RACI/timesheet; quality-test-defect; communication/minutes; risk register; procurement; change log; closure/lessons learned.</v>
      </c>
      <c r="M3311" t="str">
        <f>'Huong dan giao do an'!$B$33</f>
        <v>Tuần 1: 07.09–13.09.2026; Tuần 2: 14.09–20.09.2026; Tuần 3: 21.09–27.09.2026; Tuần 4: 28.09–04.10.2026; Tuần 5: 05.10–11.10.2026; Tuần 6: 12.10–18.10.2026; Tuần 7: 19.10–25.10.2026; Tuần 8: 26.10–01.11.2026.</v>
      </c>
      <c r="N33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1" s="17" t="str">
        <f t="shared" si="51"/>
        <v>Còn trống</v>
      </c>
    </row>
    <row r="3312" spans="1:16" x14ac:dyDescent="0.3">
      <c r="A3312">
        <v>3311</v>
      </c>
      <c r="B3312" t="s">
        <v>7581</v>
      </c>
      <c r="C3312" t="s">
        <v>7620</v>
      </c>
      <c r="D3312" t="s">
        <v>7621</v>
      </c>
      <c r="E3312" t="s">
        <v>40</v>
      </c>
      <c r="F3312" t="s">
        <v>7584</v>
      </c>
      <c r="G3312" t="s">
        <v>7622</v>
      </c>
      <c r="H3312" t="str">
        <f>'Huong dan giao do an'!$B$14</f>
        <v>5 SV (vai trò chính): 1 PM/Scrum Master kiêm Integration; 2 BA/PO; 3 UI-UX + Frontend; 4 Backend/API + DevOps; 5 Database + QA/Tester. Mỗi SV có nhiệm vụ phụ và minh chứng cá nhân.</v>
      </c>
      <c r="I3312" t="s">
        <v>29</v>
      </c>
      <c r="J3312" t="s">
        <v>7591</v>
      </c>
      <c r="K3312" t="str">
        <f>IF(I3312="Trung bình",'Huong dan giao do an'!$B$8,IF(I3312="Khá",'Huong dan giao do an'!$B$9,'Huong dan giao do an'!$B$10))</f>
        <v>Tối thiểu 5 actor; 14-18 use case; 10-15 bảng; 4 quy trình; tích hợp ngoài/realtime hoặc xử lý nâng cao; 3 báo cáo; &gt;=45 test case; logging, backup và deploy.</v>
      </c>
      <c r="L3312" t="str">
        <f>'Huong dan giao do an'!$B$31</f>
        <v>Bắt buộc: Charter/PMP; SRS + scope/WBS; Gantt/baseline; effort-cost budget; RACI/timesheet; quality-test-defect; communication/minutes; risk register; procurement; change log; closure/lessons learned.</v>
      </c>
      <c r="M3312" t="str">
        <f>'Huong dan giao do an'!$B$33</f>
        <v>Tuần 1: 07.09–13.09.2026; Tuần 2: 14.09–20.09.2026; Tuần 3: 21.09–27.09.2026; Tuần 4: 28.09–04.10.2026; Tuần 5: 05.10–11.10.2026; Tuần 6: 12.10–18.10.2026; Tuần 7: 19.10–25.10.2026; Tuần 8: 26.10–01.11.2026.</v>
      </c>
      <c r="N33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2" s="17" t="str">
        <f t="shared" si="51"/>
        <v>Còn trống</v>
      </c>
    </row>
    <row r="3313" spans="1:16" x14ac:dyDescent="0.3">
      <c r="A3313">
        <v>3312</v>
      </c>
      <c r="B3313" t="s">
        <v>7581</v>
      </c>
      <c r="C3313" t="s">
        <v>7623</v>
      </c>
      <c r="D3313" t="s">
        <v>7624</v>
      </c>
      <c r="E3313" t="s">
        <v>45</v>
      </c>
      <c r="F3313" t="s">
        <v>7589</v>
      </c>
      <c r="G3313" t="s">
        <v>7625</v>
      </c>
      <c r="H3313" t="str">
        <f>'Huong dan giao do an'!$B$14</f>
        <v>5 SV (vai trò chính): 1 PM/Scrum Master kiêm Integration; 2 BA/PO; 3 UI-UX + Frontend; 4 Backend/API + DevOps; 5 Database + QA/Tester. Mỗi SV có nhiệm vụ phụ và minh chứng cá nhân.</v>
      </c>
      <c r="I3313" t="s">
        <v>36</v>
      </c>
      <c r="J3313" t="s">
        <v>7596</v>
      </c>
      <c r="K3313" t="str">
        <f>IF(I3313="Trung bình",'Huong dan giao do an'!$B$8,IF(I3313="Khá",'Huong dan giao do an'!$B$9,'Huong dan giao do an'!$B$10))</f>
        <v>Tối thiểu 3 actor; 8-10 use case; 6-8 bảng dữ liệu; 2 quy trình lõi; đăng nhập/RBAC; 1 dashboard; 1 báo cáo; &gt;=25 test case; triển khai bản demo.</v>
      </c>
      <c r="L3313" t="str">
        <f>'Huong dan giao do an'!$B$31</f>
        <v>Bắt buộc: Charter/PMP; SRS + scope/WBS; Gantt/baseline; effort-cost budget; RACI/timesheet; quality-test-defect; communication/minutes; risk register; procurement; change log; closure/lessons learned.</v>
      </c>
      <c r="M3313" t="str">
        <f>'Huong dan giao do an'!$B$33</f>
        <v>Tuần 1: 07.09–13.09.2026; Tuần 2: 14.09–20.09.2026; Tuần 3: 21.09–27.09.2026; Tuần 4: 28.09–04.10.2026; Tuần 5: 05.10–11.10.2026; Tuần 6: 12.10–18.10.2026; Tuần 7: 19.10–25.10.2026; Tuần 8: 26.10–01.11.2026.</v>
      </c>
      <c r="N33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3" s="17" t="str">
        <f t="shared" si="51"/>
        <v>Còn trống</v>
      </c>
    </row>
    <row r="3314" spans="1:16" x14ac:dyDescent="0.3">
      <c r="A3314">
        <v>3313</v>
      </c>
      <c r="B3314" t="s">
        <v>7581</v>
      </c>
      <c r="C3314" t="s">
        <v>7626</v>
      </c>
      <c r="D3314" t="s">
        <v>7627</v>
      </c>
      <c r="E3314" t="s">
        <v>19</v>
      </c>
      <c r="F3314" t="s">
        <v>7594</v>
      </c>
      <c r="G3314" t="s">
        <v>7628</v>
      </c>
      <c r="H3314" t="str">
        <f>'Huong dan giao do an'!$B$14</f>
        <v>5 SV (vai trò chính): 1 PM/Scrum Master kiêm Integration; 2 BA/PO; 3 UI-UX + Frontend; 4 Backend/API + DevOps; 5 Database + QA/Tester. Mỗi SV có nhiệm vụ phụ và minh chứng cá nhân.</v>
      </c>
      <c r="I3314" t="s">
        <v>22</v>
      </c>
      <c r="J3314" t="s">
        <v>7586</v>
      </c>
      <c r="K3314" t="str">
        <f>IF(I3314="Trung bình",'Huong dan giao do an'!$B$8,IF(I3314="Khá",'Huong dan giao do an'!$B$9,'Huong dan giao do an'!$B$10))</f>
        <v>Tối thiểu 4 actor; 10-14 use case; 8-12 bảng; 3 quy trình lõi; phân quyền chi tiết; 2 báo cáo; tích hợp 1 dịch vụ; &gt;=35 test case; CI/CD hoặc deploy cloud.</v>
      </c>
      <c r="L3314" t="str">
        <f>'Huong dan giao do an'!$B$31</f>
        <v>Bắt buộc: Charter/PMP; SRS + scope/WBS; Gantt/baseline; effort-cost budget; RACI/timesheet; quality-test-defect; communication/minutes; risk register; procurement; change log; closure/lessons learned.</v>
      </c>
      <c r="M3314" t="str">
        <f>'Huong dan giao do an'!$B$33</f>
        <v>Tuần 1: 07.09–13.09.2026; Tuần 2: 14.09–20.09.2026; Tuần 3: 21.09–27.09.2026; Tuần 4: 28.09–04.10.2026; Tuần 5: 05.10–11.10.2026; Tuần 6: 12.10–18.10.2026; Tuần 7: 19.10–25.10.2026; Tuần 8: 26.10–01.11.2026.</v>
      </c>
      <c r="N33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4" s="17" t="str">
        <f t="shared" si="51"/>
        <v>Còn trống</v>
      </c>
    </row>
    <row r="3315" spans="1:16" x14ac:dyDescent="0.3">
      <c r="A3315">
        <v>3314</v>
      </c>
      <c r="B3315" t="s">
        <v>7581</v>
      </c>
      <c r="C3315" t="s">
        <v>7629</v>
      </c>
      <c r="D3315" t="s">
        <v>7630</v>
      </c>
      <c r="E3315" t="s">
        <v>26</v>
      </c>
      <c r="F3315" t="s">
        <v>7599</v>
      </c>
      <c r="G3315" t="s">
        <v>7631</v>
      </c>
      <c r="H3315" t="str">
        <f>'Huong dan giao do an'!$B$14</f>
        <v>5 SV (vai trò chính): 1 PM/Scrum Master kiêm Integration; 2 BA/PO; 3 UI-UX + Frontend; 4 Backend/API + DevOps; 5 Database + QA/Tester. Mỗi SV có nhiệm vụ phụ và minh chứng cá nhân.</v>
      </c>
      <c r="I3315" t="s">
        <v>29</v>
      </c>
      <c r="J3315" t="s">
        <v>7591</v>
      </c>
      <c r="K3315" t="str">
        <f>IF(I3315="Trung bình",'Huong dan giao do an'!$B$8,IF(I3315="Khá",'Huong dan giao do an'!$B$9,'Huong dan giao do an'!$B$10))</f>
        <v>Tối thiểu 5 actor; 14-18 use case; 10-15 bảng; 4 quy trình; tích hợp ngoài/realtime hoặc xử lý nâng cao; 3 báo cáo; &gt;=45 test case; logging, backup và deploy.</v>
      </c>
      <c r="L3315" t="str">
        <f>'Huong dan giao do an'!$B$31</f>
        <v>Bắt buộc: Charter/PMP; SRS + scope/WBS; Gantt/baseline; effort-cost budget; RACI/timesheet; quality-test-defect; communication/minutes; risk register; procurement; change log; closure/lessons learned.</v>
      </c>
      <c r="M3315" t="str">
        <f>'Huong dan giao do an'!$B$33</f>
        <v>Tuần 1: 07.09–13.09.2026; Tuần 2: 14.09–20.09.2026; Tuần 3: 21.09–27.09.2026; Tuần 4: 28.09–04.10.2026; Tuần 5: 05.10–11.10.2026; Tuần 6: 12.10–18.10.2026; Tuần 7: 19.10–25.10.2026; Tuần 8: 26.10–01.11.2026.</v>
      </c>
      <c r="N33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5" s="17" t="str">
        <f t="shared" si="51"/>
        <v>Còn trống</v>
      </c>
    </row>
    <row r="3316" spans="1:16" x14ac:dyDescent="0.3">
      <c r="A3316">
        <v>3315</v>
      </c>
      <c r="B3316" t="s">
        <v>7581</v>
      </c>
      <c r="C3316" t="s">
        <v>7632</v>
      </c>
      <c r="D3316" t="s">
        <v>7633</v>
      </c>
      <c r="E3316" t="s">
        <v>33</v>
      </c>
      <c r="F3316" t="s">
        <v>7603</v>
      </c>
      <c r="G3316" t="s">
        <v>7634</v>
      </c>
      <c r="H3316" t="str">
        <f>'Huong dan giao do an'!$B$14</f>
        <v>5 SV (vai trò chính): 1 PM/Scrum Master kiêm Integration; 2 BA/PO; 3 UI-UX + Frontend; 4 Backend/API + DevOps; 5 Database + QA/Tester. Mỗi SV có nhiệm vụ phụ và minh chứng cá nhân.</v>
      </c>
      <c r="I3316" t="s">
        <v>36</v>
      </c>
      <c r="J3316" t="s">
        <v>7596</v>
      </c>
      <c r="K3316" t="str">
        <f>IF(I3316="Trung bình",'Huong dan giao do an'!$B$8,IF(I3316="Khá",'Huong dan giao do an'!$B$9,'Huong dan giao do an'!$B$10))</f>
        <v>Tối thiểu 3 actor; 8-10 use case; 6-8 bảng dữ liệu; 2 quy trình lõi; đăng nhập/RBAC; 1 dashboard; 1 báo cáo; &gt;=25 test case; triển khai bản demo.</v>
      </c>
      <c r="L3316" t="str">
        <f>'Huong dan giao do an'!$B$31</f>
        <v>Bắt buộc: Charter/PMP; SRS + scope/WBS; Gantt/baseline; effort-cost budget; RACI/timesheet; quality-test-defect; communication/minutes; risk register; procurement; change log; closure/lessons learned.</v>
      </c>
      <c r="M3316" t="str">
        <f>'Huong dan giao do an'!$B$33</f>
        <v>Tuần 1: 07.09–13.09.2026; Tuần 2: 14.09–20.09.2026; Tuần 3: 21.09–27.09.2026; Tuần 4: 28.09–04.10.2026; Tuần 5: 05.10–11.10.2026; Tuần 6: 12.10–18.10.2026; Tuần 7: 19.10–25.10.2026; Tuần 8: 26.10–01.11.2026.</v>
      </c>
      <c r="N33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6" s="17" t="str">
        <f t="shared" si="51"/>
        <v>Còn trống</v>
      </c>
    </row>
    <row r="3317" spans="1:16" x14ac:dyDescent="0.3">
      <c r="A3317">
        <v>3316</v>
      </c>
      <c r="B3317" t="s">
        <v>7581</v>
      </c>
      <c r="C3317" t="s">
        <v>7635</v>
      </c>
      <c r="D3317" t="s">
        <v>7636</v>
      </c>
      <c r="E3317" t="s">
        <v>40</v>
      </c>
      <c r="F3317" t="s">
        <v>7584</v>
      </c>
      <c r="G3317" t="s">
        <v>7637</v>
      </c>
      <c r="H3317" t="str">
        <f>'Huong dan giao do an'!$B$14</f>
        <v>5 SV (vai trò chính): 1 PM/Scrum Master kiêm Integration; 2 BA/PO; 3 UI-UX + Frontend; 4 Backend/API + DevOps; 5 Database + QA/Tester. Mỗi SV có nhiệm vụ phụ và minh chứng cá nhân.</v>
      </c>
      <c r="I3317" t="s">
        <v>22</v>
      </c>
      <c r="J3317" t="s">
        <v>7586</v>
      </c>
      <c r="K3317" t="str">
        <f>IF(I3317="Trung bình",'Huong dan giao do an'!$B$8,IF(I3317="Khá",'Huong dan giao do an'!$B$9,'Huong dan giao do an'!$B$10))</f>
        <v>Tối thiểu 4 actor; 10-14 use case; 8-12 bảng; 3 quy trình lõi; phân quyền chi tiết; 2 báo cáo; tích hợp 1 dịch vụ; &gt;=35 test case; CI/CD hoặc deploy cloud.</v>
      </c>
      <c r="L3317" t="str">
        <f>'Huong dan giao do an'!$B$31</f>
        <v>Bắt buộc: Charter/PMP; SRS + scope/WBS; Gantt/baseline; effort-cost budget; RACI/timesheet; quality-test-defect; communication/minutes; risk register; procurement; change log; closure/lessons learned.</v>
      </c>
      <c r="M3317" t="str">
        <f>'Huong dan giao do an'!$B$33</f>
        <v>Tuần 1: 07.09–13.09.2026; Tuần 2: 14.09–20.09.2026; Tuần 3: 21.09–27.09.2026; Tuần 4: 28.09–04.10.2026; Tuần 5: 05.10–11.10.2026; Tuần 6: 12.10–18.10.2026; Tuần 7: 19.10–25.10.2026; Tuần 8: 26.10–01.11.2026.</v>
      </c>
      <c r="N33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7" s="17" t="str">
        <f t="shared" si="51"/>
        <v>Còn trống</v>
      </c>
    </row>
    <row r="3318" spans="1:16" x14ac:dyDescent="0.3">
      <c r="A3318">
        <v>3317</v>
      </c>
      <c r="B3318" t="s">
        <v>7581</v>
      </c>
      <c r="C3318" t="s">
        <v>7638</v>
      </c>
      <c r="D3318" t="s">
        <v>7639</v>
      </c>
      <c r="E3318" t="s">
        <v>45</v>
      </c>
      <c r="F3318" t="s">
        <v>7589</v>
      </c>
      <c r="G3318" t="s">
        <v>7640</v>
      </c>
      <c r="H3318" t="str">
        <f>'Huong dan giao do an'!$B$14</f>
        <v>5 SV (vai trò chính): 1 PM/Scrum Master kiêm Integration; 2 BA/PO; 3 UI-UX + Frontend; 4 Backend/API + DevOps; 5 Database + QA/Tester. Mỗi SV có nhiệm vụ phụ và minh chứng cá nhân.</v>
      </c>
      <c r="I3318" t="s">
        <v>29</v>
      </c>
      <c r="J3318" t="s">
        <v>7591</v>
      </c>
      <c r="K3318" t="str">
        <f>IF(I3318="Trung bình",'Huong dan giao do an'!$B$8,IF(I3318="Khá",'Huong dan giao do an'!$B$9,'Huong dan giao do an'!$B$10))</f>
        <v>Tối thiểu 5 actor; 14-18 use case; 10-15 bảng; 4 quy trình; tích hợp ngoài/realtime hoặc xử lý nâng cao; 3 báo cáo; &gt;=45 test case; logging, backup và deploy.</v>
      </c>
      <c r="L3318" t="str">
        <f>'Huong dan giao do an'!$B$31</f>
        <v>Bắt buộc: Charter/PMP; SRS + scope/WBS; Gantt/baseline; effort-cost budget; RACI/timesheet; quality-test-defect; communication/minutes; risk register; procurement; change log; closure/lessons learned.</v>
      </c>
      <c r="M3318" t="str">
        <f>'Huong dan giao do an'!$B$33</f>
        <v>Tuần 1: 07.09–13.09.2026; Tuần 2: 14.09–20.09.2026; Tuần 3: 21.09–27.09.2026; Tuần 4: 28.09–04.10.2026; Tuần 5: 05.10–11.10.2026; Tuần 6: 12.10–18.10.2026; Tuần 7: 19.10–25.10.2026; Tuần 8: 26.10–01.11.2026.</v>
      </c>
      <c r="N33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8" s="17" t="str">
        <f t="shared" si="51"/>
        <v>Còn trống</v>
      </c>
    </row>
    <row r="3319" spans="1:16" x14ac:dyDescent="0.3">
      <c r="A3319">
        <v>3318</v>
      </c>
      <c r="B3319" t="s">
        <v>7581</v>
      </c>
      <c r="C3319" t="s">
        <v>7641</v>
      </c>
      <c r="D3319" t="s">
        <v>7642</v>
      </c>
      <c r="E3319" t="s">
        <v>19</v>
      </c>
      <c r="F3319" t="s">
        <v>7594</v>
      </c>
      <c r="G3319" t="s">
        <v>7643</v>
      </c>
      <c r="H3319" t="str">
        <f>'Huong dan giao do an'!$B$14</f>
        <v>5 SV (vai trò chính): 1 PM/Scrum Master kiêm Integration; 2 BA/PO; 3 UI-UX + Frontend; 4 Backend/API + DevOps; 5 Database + QA/Tester. Mỗi SV có nhiệm vụ phụ và minh chứng cá nhân.</v>
      </c>
      <c r="I3319" t="s">
        <v>36</v>
      </c>
      <c r="J3319" t="s">
        <v>7596</v>
      </c>
      <c r="K3319" t="str">
        <f>IF(I3319="Trung bình",'Huong dan giao do an'!$B$8,IF(I3319="Khá",'Huong dan giao do an'!$B$9,'Huong dan giao do an'!$B$10))</f>
        <v>Tối thiểu 3 actor; 8-10 use case; 6-8 bảng dữ liệu; 2 quy trình lõi; đăng nhập/RBAC; 1 dashboard; 1 báo cáo; &gt;=25 test case; triển khai bản demo.</v>
      </c>
      <c r="L3319" t="str">
        <f>'Huong dan giao do an'!$B$31</f>
        <v>Bắt buộc: Charter/PMP; SRS + scope/WBS; Gantt/baseline; effort-cost budget; RACI/timesheet; quality-test-defect; communication/minutes; risk register; procurement; change log; closure/lessons learned.</v>
      </c>
      <c r="M3319" t="str">
        <f>'Huong dan giao do an'!$B$33</f>
        <v>Tuần 1: 07.09–13.09.2026; Tuần 2: 14.09–20.09.2026; Tuần 3: 21.09–27.09.2026; Tuần 4: 28.09–04.10.2026; Tuần 5: 05.10–11.10.2026; Tuần 6: 12.10–18.10.2026; Tuần 7: 19.10–25.10.2026; Tuần 8: 26.10–01.11.2026.</v>
      </c>
      <c r="N33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19" s="17" t="str">
        <f t="shared" si="51"/>
        <v>Còn trống</v>
      </c>
    </row>
    <row r="3320" spans="1:16" x14ac:dyDescent="0.3">
      <c r="A3320">
        <v>3319</v>
      </c>
      <c r="B3320" t="s">
        <v>7581</v>
      </c>
      <c r="C3320" t="s">
        <v>7644</v>
      </c>
      <c r="D3320" t="s">
        <v>7645</v>
      </c>
      <c r="E3320" t="s">
        <v>26</v>
      </c>
      <c r="F3320" t="s">
        <v>7599</v>
      </c>
      <c r="G3320" t="s">
        <v>7646</v>
      </c>
      <c r="H3320" t="str">
        <f>'Huong dan giao do an'!$B$14</f>
        <v>5 SV (vai trò chính): 1 PM/Scrum Master kiêm Integration; 2 BA/PO; 3 UI-UX + Frontend; 4 Backend/API + DevOps; 5 Database + QA/Tester. Mỗi SV có nhiệm vụ phụ và minh chứng cá nhân.</v>
      </c>
      <c r="I3320" t="s">
        <v>22</v>
      </c>
      <c r="J3320" t="s">
        <v>7586</v>
      </c>
      <c r="K3320" t="str">
        <f>IF(I3320="Trung bình",'Huong dan giao do an'!$B$8,IF(I3320="Khá",'Huong dan giao do an'!$B$9,'Huong dan giao do an'!$B$10))</f>
        <v>Tối thiểu 4 actor; 10-14 use case; 8-12 bảng; 3 quy trình lõi; phân quyền chi tiết; 2 báo cáo; tích hợp 1 dịch vụ; &gt;=35 test case; CI/CD hoặc deploy cloud.</v>
      </c>
      <c r="L3320" t="str">
        <f>'Huong dan giao do an'!$B$31</f>
        <v>Bắt buộc: Charter/PMP; SRS + scope/WBS; Gantt/baseline; effort-cost budget; RACI/timesheet; quality-test-defect; communication/minutes; risk register; procurement; change log; closure/lessons learned.</v>
      </c>
      <c r="M3320" t="str">
        <f>'Huong dan giao do an'!$B$33</f>
        <v>Tuần 1: 07.09–13.09.2026; Tuần 2: 14.09–20.09.2026; Tuần 3: 21.09–27.09.2026; Tuần 4: 28.09–04.10.2026; Tuần 5: 05.10–11.10.2026; Tuần 6: 12.10–18.10.2026; Tuần 7: 19.10–25.10.2026; Tuần 8: 26.10–01.11.2026.</v>
      </c>
      <c r="N33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0" s="17" t="str">
        <f t="shared" si="51"/>
        <v>Còn trống</v>
      </c>
    </row>
    <row r="3321" spans="1:16" x14ac:dyDescent="0.3">
      <c r="A3321">
        <v>3320</v>
      </c>
      <c r="B3321" t="s">
        <v>7581</v>
      </c>
      <c r="C3321" t="s">
        <v>7647</v>
      </c>
      <c r="D3321" t="s">
        <v>7648</v>
      </c>
      <c r="E3321" t="s">
        <v>33</v>
      </c>
      <c r="F3321" t="s">
        <v>7603</v>
      </c>
      <c r="G3321" t="s">
        <v>7649</v>
      </c>
      <c r="H3321" t="str">
        <f>'Huong dan giao do an'!$B$14</f>
        <v>5 SV (vai trò chính): 1 PM/Scrum Master kiêm Integration; 2 BA/PO; 3 UI-UX + Frontend; 4 Backend/API + DevOps; 5 Database + QA/Tester. Mỗi SV có nhiệm vụ phụ và minh chứng cá nhân.</v>
      </c>
      <c r="I3321" t="s">
        <v>29</v>
      </c>
      <c r="J3321" t="s">
        <v>7591</v>
      </c>
      <c r="K3321" t="str">
        <f>IF(I3321="Trung bình",'Huong dan giao do an'!$B$8,IF(I3321="Khá",'Huong dan giao do an'!$B$9,'Huong dan giao do an'!$B$10))</f>
        <v>Tối thiểu 5 actor; 14-18 use case; 10-15 bảng; 4 quy trình; tích hợp ngoài/realtime hoặc xử lý nâng cao; 3 báo cáo; &gt;=45 test case; logging, backup và deploy.</v>
      </c>
      <c r="L3321" t="str">
        <f>'Huong dan giao do an'!$B$31</f>
        <v>Bắt buộc: Charter/PMP; SRS + scope/WBS; Gantt/baseline; effort-cost budget; RACI/timesheet; quality-test-defect; communication/minutes; risk register; procurement; change log; closure/lessons learned.</v>
      </c>
      <c r="M3321" t="str">
        <f>'Huong dan giao do an'!$B$33</f>
        <v>Tuần 1: 07.09–13.09.2026; Tuần 2: 14.09–20.09.2026; Tuần 3: 21.09–27.09.2026; Tuần 4: 28.09–04.10.2026; Tuần 5: 05.10–11.10.2026; Tuần 6: 12.10–18.10.2026; Tuần 7: 19.10–25.10.2026; Tuần 8: 26.10–01.11.2026.</v>
      </c>
      <c r="N33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1" s="17" t="str">
        <f t="shared" si="51"/>
        <v>Còn trống</v>
      </c>
    </row>
    <row r="3322" spans="1:16" x14ac:dyDescent="0.3">
      <c r="A3322">
        <v>3321</v>
      </c>
      <c r="B3322" t="s">
        <v>7581</v>
      </c>
      <c r="C3322" t="s">
        <v>7650</v>
      </c>
      <c r="D3322" t="s">
        <v>7651</v>
      </c>
      <c r="E3322" t="s">
        <v>40</v>
      </c>
      <c r="F3322" t="s">
        <v>7584</v>
      </c>
      <c r="G3322" t="s">
        <v>7585</v>
      </c>
      <c r="H3322" t="str">
        <f>'Huong dan giao do an'!$B$14</f>
        <v>5 SV (vai trò chính): 1 PM/Scrum Master kiêm Integration; 2 BA/PO; 3 UI-UX + Frontend; 4 Backend/API + DevOps; 5 Database + QA/Tester. Mỗi SV có nhiệm vụ phụ và minh chứng cá nhân.</v>
      </c>
      <c r="I3322" t="s">
        <v>22</v>
      </c>
      <c r="J3322" t="s">
        <v>7586</v>
      </c>
      <c r="K3322" t="str">
        <f>IF(I3322="Trung bình",'Huong dan giao do an'!$B$8,IF(I3322="Khá",'Huong dan giao do an'!$B$9,'Huong dan giao do an'!$B$10))</f>
        <v>Tối thiểu 4 actor; 10-14 use case; 8-12 bảng; 3 quy trình lõi; phân quyền chi tiết; 2 báo cáo; tích hợp 1 dịch vụ; &gt;=35 test case; CI/CD hoặc deploy cloud.</v>
      </c>
      <c r="L3322" t="str">
        <f>'Huong dan giao do an'!$B$31</f>
        <v>Bắt buộc: Charter/PMP; SRS + scope/WBS; Gantt/baseline; effort-cost budget; RACI/timesheet; quality-test-defect; communication/minutes; risk register; procurement; change log; closure/lessons learned.</v>
      </c>
      <c r="M3322" t="str">
        <f>'Huong dan giao do an'!$B$33</f>
        <v>Tuần 1: 07.09–13.09.2026; Tuần 2: 14.09–20.09.2026; Tuần 3: 21.09–27.09.2026; Tuần 4: 28.09–04.10.2026; Tuần 5: 05.10–11.10.2026; Tuần 6: 12.10–18.10.2026; Tuần 7: 19.10–25.10.2026; Tuần 8: 26.10–01.11.2026.</v>
      </c>
      <c r="N33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2" s="17" t="str">
        <f t="shared" si="51"/>
        <v>Còn trống</v>
      </c>
    </row>
    <row r="3323" spans="1:16" x14ac:dyDescent="0.3">
      <c r="A3323">
        <v>3322</v>
      </c>
      <c r="B3323" t="s">
        <v>7581</v>
      </c>
      <c r="C3323" t="s">
        <v>7652</v>
      </c>
      <c r="D3323" t="s">
        <v>7653</v>
      </c>
      <c r="E3323" t="s">
        <v>45</v>
      </c>
      <c r="F3323" t="s">
        <v>7589</v>
      </c>
      <c r="G3323" t="s">
        <v>7590</v>
      </c>
      <c r="H3323" t="str">
        <f>'Huong dan giao do an'!$B$14</f>
        <v>5 SV (vai trò chính): 1 PM/Scrum Master kiêm Integration; 2 BA/PO; 3 UI-UX + Frontend; 4 Backend/API + DevOps; 5 Database + QA/Tester. Mỗi SV có nhiệm vụ phụ và minh chứng cá nhân.</v>
      </c>
      <c r="I3323" t="s">
        <v>29</v>
      </c>
      <c r="J3323" t="s">
        <v>7591</v>
      </c>
      <c r="K3323" t="str">
        <f>IF(I3323="Trung bình",'Huong dan giao do an'!$B$8,IF(I3323="Khá",'Huong dan giao do an'!$B$9,'Huong dan giao do an'!$B$10))</f>
        <v>Tối thiểu 5 actor; 14-18 use case; 10-15 bảng; 4 quy trình; tích hợp ngoài/realtime hoặc xử lý nâng cao; 3 báo cáo; &gt;=45 test case; logging, backup và deploy.</v>
      </c>
      <c r="L3323" t="str">
        <f>'Huong dan giao do an'!$B$31</f>
        <v>Bắt buộc: Charter/PMP; SRS + scope/WBS; Gantt/baseline; effort-cost budget; RACI/timesheet; quality-test-defect; communication/minutes; risk register; procurement; change log; closure/lessons learned.</v>
      </c>
      <c r="M3323" t="str">
        <f>'Huong dan giao do an'!$B$33</f>
        <v>Tuần 1: 07.09–13.09.2026; Tuần 2: 14.09–20.09.2026; Tuần 3: 21.09–27.09.2026; Tuần 4: 28.09–04.10.2026; Tuần 5: 05.10–11.10.2026; Tuần 6: 12.10–18.10.2026; Tuần 7: 19.10–25.10.2026; Tuần 8: 26.10–01.11.2026.</v>
      </c>
      <c r="N33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3" s="17" t="str">
        <f t="shared" si="51"/>
        <v>Còn trống</v>
      </c>
    </row>
    <row r="3324" spans="1:16" x14ac:dyDescent="0.3">
      <c r="A3324">
        <v>3323</v>
      </c>
      <c r="B3324" t="s">
        <v>7581</v>
      </c>
      <c r="C3324" t="s">
        <v>7654</v>
      </c>
      <c r="D3324" t="s">
        <v>7655</v>
      </c>
      <c r="E3324" t="s">
        <v>19</v>
      </c>
      <c r="F3324" t="s">
        <v>7594</v>
      </c>
      <c r="G3324" t="s">
        <v>7595</v>
      </c>
      <c r="H3324" t="str">
        <f>'Huong dan giao do an'!$B$14</f>
        <v>5 SV (vai trò chính): 1 PM/Scrum Master kiêm Integration; 2 BA/PO; 3 UI-UX + Frontend; 4 Backend/API + DevOps; 5 Database + QA/Tester. Mỗi SV có nhiệm vụ phụ và minh chứng cá nhân.</v>
      </c>
      <c r="I3324" t="s">
        <v>36</v>
      </c>
      <c r="J3324" t="s">
        <v>7596</v>
      </c>
      <c r="K3324" t="str">
        <f>IF(I3324="Trung bình",'Huong dan giao do an'!$B$8,IF(I3324="Khá",'Huong dan giao do an'!$B$9,'Huong dan giao do an'!$B$10))</f>
        <v>Tối thiểu 3 actor; 8-10 use case; 6-8 bảng dữ liệu; 2 quy trình lõi; đăng nhập/RBAC; 1 dashboard; 1 báo cáo; &gt;=25 test case; triển khai bản demo.</v>
      </c>
      <c r="L3324" t="str">
        <f>'Huong dan giao do an'!$B$31</f>
        <v>Bắt buộc: Charter/PMP; SRS + scope/WBS; Gantt/baseline; effort-cost budget; RACI/timesheet; quality-test-defect; communication/minutes; risk register; procurement; change log; closure/lessons learned.</v>
      </c>
      <c r="M3324" t="str">
        <f>'Huong dan giao do an'!$B$33</f>
        <v>Tuần 1: 07.09–13.09.2026; Tuần 2: 14.09–20.09.2026; Tuần 3: 21.09–27.09.2026; Tuần 4: 28.09–04.10.2026; Tuần 5: 05.10–11.10.2026; Tuần 6: 12.10–18.10.2026; Tuần 7: 19.10–25.10.2026; Tuần 8: 26.10–01.11.2026.</v>
      </c>
      <c r="N33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4" s="17" t="str">
        <f t="shared" si="51"/>
        <v>Còn trống</v>
      </c>
    </row>
    <row r="3325" spans="1:16" x14ac:dyDescent="0.3">
      <c r="A3325">
        <v>3324</v>
      </c>
      <c r="B3325" t="s">
        <v>7581</v>
      </c>
      <c r="C3325" t="s">
        <v>7656</v>
      </c>
      <c r="D3325" t="s">
        <v>7657</v>
      </c>
      <c r="E3325" t="s">
        <v>26</v>
      </c>
      <c r="F3325" t="s">
        <v>7599</v>
      </c>
      <c r="G3325" t="s">
        <v>7600</v>
      </c>
      <c r="H3325" t="str">
        <f>'Huong dan giao do an'!$B$14</f>
        <v>5 SV (vai trò chính): 1 PM/Scrum Master kiêm Integration; 2 BA/PO; 3 UI-UX + Frontend; 4 Backend/API + DevOps; 5 Database + QA/Tester. Mỗi SV có nhiệm vụ phụ và minh chứng cá nhân.</v>
      </c>
      <c r="I3325" t="s">
        <v>22</v>
      </c>
      <c r="J3325" t="s">
        <v>7586</v>
      </c>
      <c r="K3325" t="str">
        <f>IF(I3325="Trung bình",'Huong dan giao do an'!$B$8,IF(I3325="Khá",'Huong dan giao do an'!$B$9,'Huong dan giao do an'!$B$10))</f>
        <v>Tối thiểu 4 actor; 10-14 use case; 8-12 bảng; 3 quy trình lõi; phân quyền chi tiết; 2 báo cáo; tích hợp 1 dịch vụ; &gt;=35 test case; CI/CD hoặc deploy cloud.</v>
      </c>
      <c r="L3325" t="str">
        <f>'Huong dan giao do an'!$B$31</f>
        <v>Bắt buộc: Charter/PMP; SRS + scope/WBS; Gantt/baseline; effort-cost budget; RACI/timesheet; quality-test-defect; communication/minutes; risk register; procurement; change log; closure/lessons learned.</v>
      </c>
      <c r="M3325" t="str">
        <f>'Huong dan giao do an'!$B$33</f>
        <v>Tuần 1: 07.09–13.09.2026; Tuần 2: 14.09–20.09.2026; Tuần 3: 21.09–27.09.2026; Tuần 4: 28.09–04.10.2026; Tuần 5: 05.10–11.10.2026; Tuần 6: 12.10–18.10.2026; Tuần 7: 19.10–25.10.2026; Tuần 8: 26.10–01.11.2026.</v>
      </c>
      <c r="N33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5" s="17" t="str">
        <f t="shared" si="51"/>
        <v>Còn trống</v>
      </c>
    </row>
    <row r="3326" spans="1:16" x14ac:dyDescent="0.3">
      <c r="A3326">
        <v>3325</v>
      </c>
      <c r="B3326" t="s">
        <v>7581</v>
      </c>
      <c r="C3326" t="s">
        <v>7658</v>
      </c>
      <c r="D3326" t="s">
        <v>7659</v>
      </c>
      <c r="E3326" t="s">
        <v>33</v>
      </c>
      <c r="F3326" t="s">
        <v>7603</v>
      </c>
      <c r="G3326" t="s">
        <v>7604</v>
      </c>
      <c r="H3326" t="str">
        <f>'Huong dan giao do an'!$B$14</f>
        <v>5 SV (vai trò chính): 1 PM/Scrum Master kiêm Integration; 2 BA/PO; 3 UI-UX + Frontend; 4 Backend/API + DevOps; 5 Database + QA/Tester. Mỗi SV có nhiệm vụ phụ và minh chứng cá nhân.</v>
      </c>
      <c r="I3326" t="s">
        <v>29</v>
      </c>
      <c r="J3326" t="s">
        <v>7591</v>
      </c>
      <c r="K3326" t="str">
        <f>IF(I3326="Trung bình",'Huong dan giao do an'!$B$8,IF(I3326="Khá",'Huong dan giao do an'!$B$9,'Huong dan giao do an'!$B$10))</f>
        <v>Tối thiểu 5 actor; 14-18 use case; 10-15 bảng; 4 quy trình; tích hợp ngoài/realtime hoặc xử lý nâng cao; 3 báo cáo; &gt;=45 test case; logging, backup và deploy.</v>
      </c>
      <c r="L3326" t="str">
        <f>'Huong dan giao do an'!$B$31</f>
        <v>Bắt buộc: Charter/PMP; SRS + scope/WBS; Gantt/baseline; effort-cost budget; RACI/timesheet; quality-test-defect; communication/minutes; risk register; procurement; change log; closure/lessons learned.</v>
      </c>
      <c r="M3326" t="str">
        <f>'Huong dan giao do an'!$B$33</f>
        <v>Tuần 1: 07.09–13.09.2026; Tuần 2: 14.09–20.09.2026; Tuần 3: 21.09–27.09.2026; Tuần 4: 28.09–04.10.2026; Tuần 5: 05.10–11.10.2026; Tuần 6: 12.10–18.10.2026; Tuần 7: 19.10–25.10.2026; Tuần 8: 26.10–01.11.2026.</v>
      </c>
      <c r="N33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6" s="17" t="str">
        <f t="shared" si="51"/>
        <v>Còn trống</v>
      </c>
    </row>
    <row r="3327" spans="1:16" x14ac:dyDescent="0.3">
      <c r="A3327">
        <v>3326</v>
      </c>
      <c r="B3327" t="s">
        <v>7581</v>
      </c>
      <c r="C3327" t="s">
        <v>7660</v>
      </c>
      <c r="D3327" t="s">
        <v>7661</v>
      </c>
      <c r="E3327" t="s">
        <v>40</v>
      </c>
      <c r="F3327" t="s">
        <v>7584</v>
      </c>
      <c r="G3327" t="s">
        <v>7607</v>
      </c>
      <c r="H3327" t="str">
        <f>'Huong dan giao do an'!$B$14</f>
        <v>5 SV (vai trò chính): 1 PM/Scrum Master kiêm Integration; 2 BA/PO; 3 UI-UX + Frontend; 4 Backend/API + DevOps; 5 Database + QA/Tester. Mỗi SV có nhiệm vụ phụ và minh chứng cá nhân.</v>
      </c>
      <c r="I3327" t="s">
        <v>36</v>
      </c>
      <c r="J3327" t="s">
        <v>7596</v>
      </c>
      <c r="K3327" t="str">
        <f>IF(I3327="Trung bình",'Huong dan giao do an'!$B$8,IF(I3327="Khá",'Huong dan giao do an'!$B$9,'Huong dan giao do an'!$B$10))</f>
        <v>Tối thiểu 3 actor; 8-10 use case; 6-8 bảng dữ liệu; 2 quy trình lõi; đăng nhập/RBAC; 1 dashboard; 1 báo cáo; &gt;=25 test case; triển khai bản demo.</v>
      </c>
      <c r="L3327" t="str">
        <f>'Huong dan giao do an'!$B$31</f>
        <v>Bắt buộc: Charter/PMP; SRS + scope/WBS; Gantt/baseline; effort-cost budget; RACI/timesheet; quality-test-defect; communication/minutes; risk register; procurement; change log; closure/lessons learned.</v>
      </c>
      <c r="M3327" t="str">
        <f>'Huong dan giao do an'!$B$33</f>
        <v>Tuần 1: 07.09–13.09.2026; Tuần 2: 14.09–20.09.2026; Tuần 3: 21.09–27.09.2026; Tuần 4: 28.09–04.10.2026; Tuần 5: 05.10–11.10.2026; Tuần 6: 12.10–18.10.2026; Tuần 7: 19.10–25.10.2026; Tuần 8: 26.10–01.11.2026.</v>
      </c>
      <c r="N33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7" s="17" t="str">
        <f t="shared" si="51"/>
        <v>Còn trống</v>
      </c>
    </row>
    <row r="3328" spans="1:16" x14ac:dyDescent="0.3">
      <c r="A3328">
        <v>3327</v>
      </c>
      <c r="B3328" t="s">
        <v>7581</v>
      </c>
      <c r="C3328" t="s">
        <v>7662</v>
      </c>
      <c r="D3328" t="s">
        <v>7663</v>
      </c>
      <c r="E3328" t="s">
        <v>45</v>
      </c>
      <c r="F3328" t="s">
        <v>7589</v>
      </c>
      <c r="G3328" t="s">
        <v>7610</v>
      </c>
      <c r="H3328" t="str">
        <f>'Huong dan giao do an'!$B$14</f>
        <v>5 SV (vai trò chính): 1 PM/Scrum Master kiêm Integration; 2 BA/PO; 3 UI-UX + Frontend; 4 Backend/API + DevOps; 5 Database + QA/Tester. Mỗi SV có nhiệm vụ phụ và minh chứng cá nhân.</v>
      </c>
      <c r="I3328" t="s">
        <v>22</v>
      </c>
      <c r="J3328" t="s">
        <v>7586</v>
      </c>
      <c r="K3328" t="str">
        <f>IF(I3328="Trung bình",'Huong dan giao do an'!$B$8,IF(I3328="Khá",'Huong dan giao do an'!$B$9,'Huong dan giao do an'!$B$10))</f>
        <v>Tối thiểu 4 actor; 10-14 use case; 8-12 bảng; 3 quy trình lõi; phân quyền chi tiết; 2 báo cáo; tích hợp 1 dịch vụ; &gt;=35 test case; CI/CD hoặc deploy cloud.</v>
      </c>
      <c r="L3328" t="str">
        <f>'Huong dan giao do an'!$B$31</f>
        <v>Bắt buộc: Charter/PMP; SRS + scope/WBS; Gantt/baseline; effort-cost budget; RACI/timesheet; quality-test-defect; communication/minutes; risk register; procurement; change log; closure/lessons learned.</v>
      </c>
      <c r="M3328" t="str">
        <f>'Huong dan giao do an'!$B$33</f>
        <v>Tuần 1: 07.09–13.09.2026; Tuần 2: 14.09–20.09.2026; Tuần 3: 21.09–27.09.2026; Tuần 4: 28.09–04.10.2026; Tuần 5: 05.10–11.10.2026; Tuần 6: 12.10–18.10.2026; Tuần 7: 19.10–25.10.2026; Tuần 8: 26.10–01.11.2026.</v>
      </c>
      <c r="N33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8" s="17" t="str">
        <f t="shared" si="51"/>
        <v>Còn trống</v>
      </c>
    </row>
    <row r="3329" spans="1:16" x14ac:dyDescent="0.3">
      <c r="A3329">
        <v>3328</v>
      </c>
      <c r="B3329" t="s">
        <v>7581</v>
      </c>
      <c r="C3329" t="s">
        <v>7664</v>
      </c>
      <c r="D3329" t="s">
        <v>7665</v>
      </c>
      <c r="E3329" t="s">
        <v>19</v>
      </c>
      <c r="F3329" t="s">
        <v>7594</v>
      </c>
      <c r="G3329" t="s">
        <v>7613</v>
      </c>
      <c r="H3329" t="str">
        <f>'Huong dan giao do an'!$B$14</f>
        <v>5 SV (vai trò chính): 1 PM/Scrum Master kiêm Integration; 2 BA/PO; 3 UI-UX + Frontend; 4 Backend/API + DevOps; 5 Database + QA/Tester. Mỗi SV có nhiệm vụ phụ và minh chứng cá nhân.</v>
      </c>
      <c r="I3329" t="s">
        <v>29</v>
      </c>
      <c r="J3329" t="s">
        <v>7591</v>
      </c>
      <c r="K3329" t="str">
        <f>IF(I3329="Trung bình",'Huong dan giao do an'!$B$8,IF(I3329="Khá",'Huong dan giao do an'!$B$9,'Huong dan giao do an'!$B$10))</f>
        <v>Tối thiểu 5 actor; 14-18 use case; 10-15 bảng; 4 quy trình; tích hợp ngoài/realtime hoặc xử lý nâng cao; 3 báo cáo; &gt;=45 test case; logging, backup và deploy.</v>
      </c>
      <c r="L3329" t="str">
        <f>'Huong dan giao do an'!$B$31</f>
        <v>Bắt buộc: Charter/PMP; SRS + scope/WBS; Gantt/baseline; effort-cost budget; RACI/timesheet; quality-test-defect; communication/minutes; risk register; procurement; change log; closure/lessons learned.</v>
      </c>
      <c r="M3329" t="str">
        <f>'Huong dan giao do an'!$B$33</f>
        <v>Tuần 1: 07.09–13.09.2026; Tuần 2: 14.09–20.09.2026; Tuần 3: 21.09–27.09.2026; Tuần 4: 28.09–04.10.2026; Tuần 5: 05.10–11.10.2026; Tuần 6: 12.10–18.10.2026; Tuần 7: 19.10–25.10.2026; Tuần 8: 26.10–01.11.2026.</v>
      </c>
      <c r="N33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29" s="17" t="str">
        <f t="shared" si="51"/>
        <v>Còn trống</v>
      </c>
    </row>
    <row r="3330" spans="1:16" x14ac:dyDescent="0.3">
      <c r="A3330">
        <v>3329</v>
      </c>
      <c r="B3330" t="s">
        <v>7581</v>
      </c>
      <c r="C3330" t="s">
        <v>7666</v>
      </c>
      <c r="D3330" t="s">
        <v>7667</v>
      </c>
      <c r="E3330" t="s">
        <v>26</v>
      </c>
      <c r="F3330" t="s">
        <v>7599</v>
      </c>
      <c r="G3330" t="s">
        <v>7616</v>
      </c>
      <c r="H3330" t="str">
        <f>'Huong dan giao do an'!$B$14</f>
        <v>5 SV (vai trò chính): 1 PM/Scrum Master kiêm Integration; 2 BA/PO; 3 UI-UX + Frontend; 4 Backend/API + DevOps; 5 Database + QA/Tester. Mỗi SV có nhiệm vụ phụ và minh chứng cá nhân.</v>
      </c>
      <c r="I3330" t="s">
        <v>36</v>
      </c>
      <c r="J3330" t="s">
        <v>7596</v>
      </c>
      <c r="K3330" t="str">
        <f>IF(I3330="Trung bình",'Huong dan giao do an'!$B$8,IF(I3330="Khá",'Huong dan giao do an'!$B$9,'Huong dan giao do an'!$B$10))</f>
        <v>Tối thiểu 3 actor; 8-10 use case; 6-8 bảng dữ liệu; 2 quy trình lõi; đăng nhập/RBAC; 1 dashboard; 1 báo cáo; &gt;=25 test case; triển khai bản demo.</v>
      </c>
      <c r="L3330" t="str">
        <f>'Huong dan giao do an'!$B$31</f>
        <v>Bắt buộc: Charter/PMP; SRS + scope/WBS; Gantt/baseline; effort-cost budget; RACI/timesheet; quality-test-defect; communication/minutes; risk register; procurement; change log; closure/lessons learned.</v>
      </c>
      <c r="M3330" t="str">
        <f>'Huong dan giao do an'!$B$33</f>
        <v>Tuần 1: 07.09–13.09.2026; Tuần 2: 14.09–20.09.2026; Tuần 3: 21.09–27.09.2026; Tuần 4: 28.09–04.10.2026; Tuần 5: 05.10–11.10.2026; Tuần 6: 12.10–18.10.2026; Tuần 7: 19.10–25.10.2026; Tuần 8: 26.10–01.11.2026.</v>
      </c>
      <c r="N33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0" s="17" t="str">
        <f t="shared" si="51"/>
        <v>Còn trống</v>
      </c>
    </row>
    <row r="3331" spans="1:16" x14ac:dyDescent="0.3">
      <c r="A3331">
        <v>3330</v>
      </c>
      <c r="B3331" t="s">
        <v>7581</v>
      </c>
      <c r="C3331" t="s">
        <v>7668</v>
      </c>
      <c r="D3331" t="s">
        <v>7669</v>
      </c>
      <c r="E3331" t="s">
        <v>33</v>
      </c>
      <c r="F3331" t="s">
        <v>7603</v>
      </c>
      <c r="G3331" t="s">
        <v>7619</v>
      </c>
      <c r="H3331" t="str">
        <f>'Huong dan giao do an'!$B$14</f>
        <v>5 SV (vai trò chính): 1 PM/Scrum Master kiêm Integration; 2 BA/PO; 3 UI-UX + Frontend; 4 Backend/API + DevOps; 5 Database + QA/Tester. Mỗi SV có nhiệm vụ phụ và minh chứng cá nhân.</v>
      </c>
      <c r="I3331" t="s">
        <v>22</v>
      </c>
      <c r="J3331" t="s">
        <v>7586</v>
      </c>
      <c r="K3331" t="str">
        <f>IF(I3331="Trung bình",'Huong dan giao do an'!$B$8,IF(I3331="Khá",'Huong dan giao do an'!$B$9,'Huong dan giao do an'!$B$10))</f>
        <v>Tối thiểu 4 actor; 10-14 use case; 8-12 bảng; 3 quy trình lõi; phân quyền chi tiết; 2 báo cáo; tích hợp 1 dịch vụ; &gt;=35 test case; CI/CD hoặc deploy cloud.</v>
      </c>
      <c r="L3331" t="str">
        <f>'Huong dan giao do an'!$B$31</f>
        <v>Bắt buộc: Charter/PMP; SRS + scope/WBS; Gantt/baseline; effort-cost budget; RACI/timesheet; quality-test-defect; communication/minutes; risk register; procurement; change log; closure/lessons learned.</v>
      </c>
      <c r="M3331" t="str">
        <f>'Huong dan giao do an'!$B$33</f>
        <v>Tuần 1: 07.09–13.09.2026; Tuần 2: 14.09–20.09.2026; Tuần 3: 21.09–27.09.2026; Tuần 4: 28.09–04.10.2026; Tuần 5: 05.10–11.10.2026; Tuần 6: 12.10–18.10.2026; Tuần 7: 19.10–25.10.2026; Tuần 8: 26.10–01.11.2026.</v>
      </c>
      <c r="N33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1" s="17" t="str">
        <f t="shared" ref="P3331:P3394" si="52">IF(O3331="","Còn trống","Đã đăng ký")</f>
        <v>Còn trống</v>
      </c>
    </row>
    <row r="3332" spans="1:16" x14ac:dyDescent="0.3">
      <c r="A3332">
        <v>3331</v>
      </c>
      <c r="B3332" t="s">
        <v>7581</v>
      </c>
      <c r="C3332" t="s">
        <v>7670</v>
      </c>
      <c r="D3332" t="s">
        <v>7671</v>
      </c>
      <c r="E3332" t="s">
        <v>40</v>
      </c>
      <c r="F3332" t="s">
        <v>7584</v>
      </c>
      <c r="G3332" t="s">
        <v>7622</v>
      </c>
      <c r="H3332" t="str">
        <f>'Huong dan giao do an'!$B$14</f>
        <v>5 SV (vai trò chính): 1 PM/Scrum Master kiêm Integration; 2 BA/PO; 3 UI-UX + Frontend; 4 Backend/API + DevOps; 5 Database + QA/Tester. Mỗi SV có nhiệm vụ phụ và minh chứng cá nhân.</v>
      </c>
      <c r="I3332" t="s">
        <v>29</v>
      </c>
      <c r="J3332" t="s">
        <v>7591</v>
      </c>
      <c r="K3332" t="str">
        <f>IF(I3332="Trung bình",'Huong dan giao do an'!$B$8,IF(I3332="Khá",'Huong dan giao do an'!$B$9,'Huong dan giao do an'!$B$10))</f>
        <v>Tối thiểu 5 actor; 14-18 use case; 10-15 bảng; 4 quy trình; tích hợp ngoài/realtime hoặc xử lý nâng cao; 3 báo cáo; &gt;=45 test case; logging, backup và deploy.</v>
      </c>
      <c r="L3332" t="str">
        <f>'Huong dan giao do an'!$B$31</f>
        <v>Bắt buộc: Charter/PMP; SRS + scope/WBS; Gantt/baseline; effort-cost budget; RACI/timesheet; quality-test-defect; communication/minutes; risk register; procurement; change log; closure/lessons learned.</v>
      </c>
      <c r="M3332" t="str">
        <f>'Huong dan giao do an'!$B$33</f>
        <v>Tuần 1: 07.09–13.09.2026; Tuần 2: 14.09–20.09.2026; Tuần 3: 21.09–27.09.2026; Tuần 4: 28.09–04.10.2026; Tuần 5: 05.10–11.10.2026; Tuần 6: 12.10–18.10.2026; Tuần 7: 19.10–25.10.2026; Tuần 8: 26.10–01.11.2026.</v>
      </c>
      <c r="N33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2" s="17" t="str">
        <f t="shared" si="52"/>
        <v>Còn trống</v>
      </c>
    </row>
    <row r="3333" spans="1:16" x14ac:dyDescent="0.3">
      <c r="A3333">
        <v>3332</v>
      </c>
      <c r="B3333" t="s">
        <v>7581</v>
      </c>
      <c r="C3333" t="s">
        <v>7672</v>
      </c>
      <c r="D3333" t="s">
        <v>7673</v>
      </c>
      <c r="E3333" t="s">
        <v>45</v>
      </c>
      <c r="F3333" t="s">
        <v>7589</v>
      </c>
      <c r="G3333" t="s">
        <v>7625</v>
      </c>
      <c r="H3333" t="str">
        <f>'Huong dan giao do an'!$B$14</f>
        <v>5 SV (vai trò chính): 1 PM/Scrum Master kiêm Integration; 2 BA/PO; 3 UI-UX + Frontend; 4 Backend/API + DevOps; 5 Database + QA/Tester. Mỗi SV có nhiệm vụ phụ và minh chứng cá nhân.</v>
      </c>
      <c r="I3333" t="s">
        <v>36</v>
      </c>
      <c r="J3333" t="s">
        <v>7596</v>
      </c>
      <c r="K3333" t="str">
        <f>IF(I3333="Trung bình",'Huong dan giao do an'!$B$8,IF(I3333="Khá",'Huong dan giao do an'!$B$9,'Huong dan giao do an'!$B$10))</f>
        <v>Tối thiểu 3 actor; 8-10 use case; 6-8 bảng dữ liệu; 2 quy trình lõi; đăng nhập/RBAC; 1 dashboard; 1 báo cáo; &gt;=25 test case; triển khai bản demo.</v>
      </c>
      <c r="L3333" t="str">
        <f>'Huong dan giao do an'!$B$31</f>
        <v>Bắt buộc: Charter/PMP; SRS + scope/WBS; Gantt/baseline; effort-cost budget; RACI/timesheet; quality-test-defect; communication/minutes; risk register; procurement; change log; closure/lessons learned.</v>
      </c>
      <c r="M3333" t="str">
        <f>'Huong dan giao do an'!$B$33</f>
        <v>Tuần 1: 07.09–13.09.2026; Tuần 2: 14.09–20.09.2026; Tuần 3: 21.09–27.09.2026; Tuần 4: 28.09–04.10.2026; Tuần 5: 05.10–11.10.2026; Tuần 6: 12.10–18.10.2026; Tuần 7: 19.10–25.10.2026; Tuần 8: 26.10–01.11.2026.</v>
      </c>
      <c r="N33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3" s="17" t="str">
        <f t="shared" si="52"/>
        <v>Còn trống</v>
      </c>
    </row>
    <row r="3334" spans="1:16" x14ac:dyDescent="0.3">
      <c r="A3334">
        <v>3333</v>
      </c>
      <c r="B3334" t="s">
        <v>7581</v>
      </c>
      <c r="C3334" t="s">
        <v>7674</v>
      </c>
      <c r="D3334" t="s">
        <v>7675</v>
      </c>
      <c r="E3334" t="s">
        <v>19</v>
      </c>
      <c r="F3334" t="s">
        <v>7594</v>
      </c>
      <c r="G3334" t="s">
        <v>7628</v>
      </c>
      <c r="H3334" t="str">
        <f>'Huong dan giao do an'!$B$14</f>
        <v>5 SV (vai trò chính): 1 PM/Scrum Master kiêm Integration; 2 BA/PO; 3 UI-UX + Frontend; 4 Backend/API + DevOps; 5 Database + QA/Tester. Mỗi SV có nhiệm vụ phụ và minh chứng cá nhân.</v>
      </c>
      <c r="I3334" t="s">
        <v>22</v>
      </c>
      <c r="J3334" t="s">
        <v>7586</v>
      </c>
      <c r="K3334" t="str">
        <f>IF(I3334="Trung bình",'Huong dan giao do an'!$B$8,IF(I3334="Khá",'Huong dan giao do an'!$B$9,'Huong dan giao do an'!$B$10))</f>
        <v>Tối thiểu 4 actor; 10-14 use case; 8-12 bảng; 3 quy trình lõi; phân quyền chi tiết; 2 báo cáo; tích hợp 1 dịch vụ; &gt;=35 test case; CI/CD hoặc deploy cloud.</v>
      </c>
      <c r="L3334" t="str">
        <f>'Huong dan giao do an'!$B$31</f>
        <v>Bắt buộc: Charter/PMP; SRS + scope/WBS; Gantt/baseline; effort-cost budget; RACI/timesheet; quality-test-defect; communication/minutes; risk register; procurement; change log; closure/lessons learned.</v>
      </c>
      <c r="M3334" t="str">
        <f>'Huong dan giao do an'!$B$33</f>
        <v>Tuần 1: 07.09–13.09.2026; Tuần 2: 14.09–20.09.2026; Tuần 3: 21.09–27.09.2026; Tuần 4: 28.09–04.10.2026; Tuần 5: 05.10–11.10.2026; Tuần 6: 12.10–18.10.2026; Tuần 7: 19.10–25.10.2026; Tuần 8: 26.10–01.11.2026.</v>
      </c>
      <c r="N33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4" s="17" t="str">
        <f t="shared" si="52"/>
        <v>Còn trống</v>
      </c>
    </row>
    <row r="3335" spans="1:16" x14ac:dyDescent="0.3">
      <c r="A3335">
        <v>3334</v>
      </c>
      <c r="B3335" t="s">
        <v>7581</v>
      </c>
      <c r="C3335" t="s">
        <v>7676</v>
      </c>
      <c r="D3335" t="s">
        <v>7677</v>
      </c>
      <c r="E3335" t="s">
        <v>26</v>
      </c>
      <c r="F3335" t="s">
        <v>7599</v>
      </c>
      <c r="G3335" t="s">
        <v>7631</v>
      </c>
      <c r="H3335" t="str">
        <f>'Huong dan giao do an'!$B$14</f>
        <v>5 SV (vai trò chính): 1 PM/Scrum Master kiêm Integration; 2 BA/PO; 3 UI-UX + Frontend; 4 Backend/API + DevOps; 5 Database + QA/Tester. Mỗi SV có nhiệm vụ phụ và minh chứng cá nhân.</v>
      </c>
      <c r="I3335" t="s">
        <v>29</v>
      </c>
      <c r="J3335" t="s">
        <v>7591</v>
      </c>
      <c r="K3335" t="str">
        <f>IF(I3335="Trung bình",'Huong dan giao do an'!$B$8,IF(I3335="Khá",'Huong dan giao do an'!$B$9,'Huong dan giao do an'!$B$10))</f>
        <v>Tối thiểu 5 actor; 14-18 use case; 10-15 bảng; 4 quy trình; tích hợp ngoài/realtime hoặc xử lý nâng cao; 3 báo cáo; &gt;=45 test case; logging, backup và deploy.</v>
      </c>
      <c r="L3335" t="str">
        <f>'Huong dan giao do an'!$B$31</f>
        <v>Bắt buộc: Charter/PMP; SRS + scope/WBS; Gantt/baseline; effort-cost budget; RACI/timesheet; quality-test-defect; communication/minutes; risk register; procurement; change log; closure/lessons learned.</v>
      </c>
      <c r="M3335" t="str">
        <f>'Huong dan giao do an'!$B$33</f>
        <v>Tuần 1: 07.09–13.09.2026; Tuần 2: 14.09–20.09.2026; Tuần 3: 21.09–27.09.2026; Tuần 4: 28.09–04.10.2026; Tuần 5: 05.10–11.10.2026; Tuần 6: 12.10–18.10.2026; Tuần 7: 19.10–25.10.2026; Tuần 8: 26.10–01.11.2026.</v>
      </c>
      <c r="N33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5" s="17" t="str">
        <f t="shared" si="52"/>
        <v>Còn trống</v>
      </c>
    </row>
    <row r="3336" spans="1:16" x14ac:dyDescent="0.3">
      <c r="A3336">
        <v>3335</v>
      </c>
      <c r="B3336" t="s">
        <v>7581</v>
      </c>
      <c r="C3336" t="s">
        <v>7678</v>
      </c>
      <c r="D3336" t="s">
        <v>7679</v>
      </c>
      <c r="E3336" t="s">
        <v>33</v>
      </c>
      <c r="F3336" t="s">
        <v>7603</v>
      </c>
      <c r="G3336" t="s">
        <v>7634</v>
      </c>
      <c r="H3336" t="str">
        <f>'Huong dan giao do an'!$B$14</f>
        <v>5 SV (vai trò chính): 1 PM/Scrum Master kiêm Integration; 2 BA/PO; 3 UI-UX + Frontend; 4 Backend/API + DevOps; 5 Database + QA/Tester. Mỗi SV có nhiệm vụ phụ và minh chứng cá nhân.</v>
      </c>
      <c r="I3336" t="s">
        <v>36</v>
      </c>
      <c r="J3336" t="s">
        <v>7596</v>
      </c>
      <c r="K3336" t="str">
        <f>IF(I3336="Trung bình",'Huong dan giao do an'!$B$8,IF(I3336="Khá",'Huong dan giao do an'!$B$9,'Huong dan giao do an'!$B$10))</f>
        <v>Tối thiểu 3 actor; 8-10 use case; 6-8 bảng dữ liệu; 2 quy trình lõi; đăng nhập/RBAC; 1 dashboard; 1 báo cáo; &gt;=25 test case; triển khai bản demo.</v>
      </c>
      <c r="L3336" t="str">
        <f>'Huong dan giao do an'!$B$31</f>
        <v>Bắt buộc: Charter/PMP; SRS + scope/WBS; Gantt/baseline; effort-cost budget; RACI/timesheet; quality-test-defect; communication/minutes; risk register; procurement; change log; closure/lessons learned.</v>
      </c>
      <c r="M3336" t="str">
        <f>'Huong dan giao do an'!$B$33</f>
        <v>Tuần 1: 07.09–13.09.2026; Tuần 2: 14.09–20.09.2026; Tuần 3: 21.09–27.09.2026; Tuần 4: 28.09–04.10.2026; Tuần 5: 05.10–11.10.2026; Tuần 6: 12.10–18.10.2026; Tuần 7: 19.10–25.10.2026; Tuần 8: 26.10–01.11.2026.</v>
      </c>
      <c r="N33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6" s="17" t="str">
        <f t="shared" si="52"/>
        <v>Còn trống</v>
      </c>
    </row>
    <row r="3337" spans="1:16" x14ac:dyDescent="0.3">
      <c r="A3337">
        <v>3336</v>
      </c>
      <c r="B3337" t="s">
        <v>7581</v>
      </c>
      <c r="C3337" t="s">
        <v>7680</v>
      </c>
      <c r="D3337" t="s">
        <v>7681</v>
      </c>
      <c r="E3337" t="s">
        <v>40</v>
      </c>
      <c r="F3337" t="s">
        <v>7584</v>
      </c>
      <c r="G3337" t="s">
        <v>7637</v>
      </c>
      <c r="H3337" t="str">
        <f>'Huong dan giao do an'!$B$14</f>
        <v>5 SV (vai trò chính): 1 PM/Scrum Master kiêm Integration; 2 BA/PO; 3 UI-UX + Frontend; 4 Backend/API + DevOps; 5 Database + QA/Tester. Mỗi SV có nhiệm vụ phụ và minh chứng cá nhân.</v>
      </c>
      <c r="I3337" t="s">
        <v>22</v>
      </c>
      <c r="J3337" t="s">
        <v>7586</v>
      </c>
      <c r="K3337" t="str">
        <f>IF(I3337="Trung bình",'Huong dan giao do an'!$B$8,IF(I3337="Khá",'Huong dan giao do an'!$B$9,'Huong dan giao do an'!$B$10))</f>
        <v>Tối thiểu 4 actor; 10-14 use case; 8-12 bảng; 3 quy trình lõi; phân quyền chi tiết; 2 báo cáo; tích hợp 1 dịch vụ; &gt;=35 test case; CI/CD hoặc deploy cloud.</v>
      </c>
      <c r="L3337" t="str">
        <f>'Huong dan giao do an'!$B$31</f>
        <v>Bắt buộc: Charter/PMP; SRS + scope/WBS; Gantt/baseline; effort-cost budget; RACI/timesheet; quality-test-defect; communication/minutes; risk register; procurement; change log; closure/lessons learned.</v>
      </c>
      <c r="M3337" t="str">
        <f>'Huong dan giao do an'!$B$33</f>
        <v>Tuần 1: 07.09–13.09.2026; Tuần 2: 14.09–20.09.2026; Tuần 3: 21.09–27.09.2026; Tuần 4: 28.09–04.10.2026; Tuần 5: 05.10–11.10.2026; Tuần 6: 12.10–18.10.2026; Tuần 7: 19.10–25.10.2026; Tuần 8: 26.10–01.11.2026.</v>
      </c>
      <c r="N33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7" s="17" t="str">
        <f t="shared" si="52"/>
        <v>Còn trống</v>
      </c>
    </row>
    <row r="3338" spans="1:16" x14ac:dyDescent="0.3">
      <c r="A3338">
        <v>3337</v>
      </c>
      <c r="B3338" t="s">
        <v>7581</v>
      </c>
      <c r="C3338" t="s">
        <v>7682</v>
      </c>
      <c r="D3338" t="s">
        <v>7683</v>
      </c>
      <c r="E3338" t="s">
        <v>45</v>
      </c>
      <c r="F3338" t="s">
        <v>7589</v>
      </c>
      <c r="G3338" t="s">
        <v>7640</v>
      </c>
      <c r="H3338" t="str">
        <f>'Huong dan giao do an'!$B$14</f>
        <v>5 SV (vai trò chính): 1 PM/Scrum Master kiêm Integration; 2 BA/PO; 3 UI-UX + Frontend; 4 Backend/API + DevOps; 5 Database + QA/Tester. Mỗi SV có nhiệm vụ phụ và minh chứng cá nhân.</v>
      </c>
      <c r="I3338" t="s">
        <v>29</v>
      </c>
      <c r="J3338" t="s">
        <v>7591</v>
      </c>
      <c r="K3338" t="str">
        <f>IF(I3338="Trung bình",'Huong dan giao do an'!$B$8,IF(I3338="Khá",'Huong dan giao do an'!$B$9,'Huong dan giao do an'!$B$10))</f>
        <v>Tối thiểu 5 actor; 14-18 use case; 10-15 bảng; 4 quy trình; tích hợp ngoài/realtime hoặc xử lý nâng cao; 3 báo cáo; &gt;=45 test case; logging, backup và deploy.</v>
      </c>
      <c r="L3338" t="str">
        <f>'Huong dan giao do an'!$B$31</f>
        <v>Bắt buộc: Charter/PMP; SRS + scope/WBS; Gantt/baseline; effort-cost budget; RACI/timesheet; quality-test-defect; communication/minutes; risk register; procurement; change log; closure/lessons learned.</v>
      </c>
      <c r="M3338" t="str">
        <f>'Huong dan giao do an'!$B$33</f>
        <v>Tuần 1: 07.09–13.09.2026; Tuần 2: 14.09–20.09.2026; Tuần 3: 21.09–27.09.2026; Tuần 4: 28.09–04.10.2026; Tuần 5: 05.10–11.10.2026; Tuần 6: 12.10–18.10.2026; Tuần 7: 19.10–25.10.2026; Tuần 8: 26.10–01.11.2026.</v>
      </c>
      <c r="N33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8" s="17" t="str">
        <f t="shared" si="52"/>
        <v>Còn trống</v>
      </c>
    </row>
    <row r="3339" spans="1:16" x14ac:dyDescent="0.3">
      <c r="A3339">
        <v>3338</v>
      </c>
      <c r="B3339" t="s">
        <v>7581</v>
      </c>
      <c r="C3339" t="s">
        <v>7684</v>
      </c>
      <c r="D3339" t="s">
        <v>7685</v>
      </c>
      <c r="E3339" t="s">
        <v>19</v>
      </c>
      <c r="F3339" t="s">
        <v>7594</v>
      </c>
      <c r="G3339" t="s">
        <v>7643</v>
      </c>
      <c r="H3339" t="str">
        <f>'Huong dan giao do an'!$B$14</f>
        <v>5 SV (vai trò chính): 1 PM/Scrum Master kiêm Integration; 2 BA/PO; 3 UI-UX + Frontend; 4 Backend/API + DevOps; 5 Database + QA/Tester. Mỗi SV có nhiệm vụ phụ và minh chứng cá nhân.</v>
      </c>
      <c r="I3339" t="s">
        <v>36</v>
      </c>
      <c r="J3339" t="s">
        <v>7596</v>
      </c>
      <c r="K3339" t="str">
        <f>IF(I3339="Trung bình",'Huong dan giao do an'!$B$8,IF(I3339="Khá",'Huong dan giao do an'!$B$9,'Huong dan giao do an'!$B$10))</f>
        <v>Tối thiểu 3 actor; 8-10 use case; 6-8 bảng dữ liệu; 2 quy trình lõi; đăng nhập/RBAC; 1 dashboard; 1 báo cáo; &gt;=25 test case; triển khai bản demo.</v>
      </c>
      <c r="L3339" t="str">
        <f>'Huong dan giao do an'!$B$31</f>
        <v>Bắt buộc: Charter/PMP; SRS + scope/WBS; Gantt/baseline; effort-cost budget; RACI/timesheet; quality-test-defect; communication/minutes; risk register; procurement; change log; closure/lessons learned.</v>
      </c>
      <c r="M3339" t="str">
        <f>'Huong dan giao do an'!$B$33</f>
        <v>Tuần 1: 07.09–13.09.2026; Tuần 2: 14.09–20.09.2026; Tuần 3: 21.09–27.09.2026; Tuần 4: 28.09–04.10.2026; Tuần 5: 05.10–11.10.2026; Tuần 6: 12.10–18.10.2026; Tuần 7: 19.10–25.10.2026; Tuần 8: 26.10–01.11.2026.</v>
      </c>
      <c r="N33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39" s="17" t="str">
        <f t="shared" si="52"/>
        <v>Còn trống</v>
      </c>
    </row>
    <row r="3340" spans="1:16" x14ac:dyDescent="0.3">
      <c r="A3340">
        <v>3339</v>
      </c>
      <c r="B3340" t="s">
        <v>7581</v>
      </c>
      <c r="C3340" t="s">
        <v>7686</v>
      </c>
      <c r="D3340" t="s">
        <v>7687</v>
      </c>
      <c r="E3340" t="s">
        <v>26</v>
      </c>
      <c r="F3340" t="s">
        <v>7599</v>
      </c>
      <c r="G3340" t="s">
        <v>7646</v>
      </c>
      <c r="H3340" t="str">
        <f>'Huong dan giao do an'!$B$14</f>
        <v>5 SV (vai trò chính): 1 PM/Scrum Master kiêm Integration; 2 BA/PO; 3 UI-UX + Frontend; 4 Backend/API + DevOps; 5 Database + QA/Tester. Mỗi SV có nhiệm vụ phụ và minh chứng cá nhân.</v>
      </c>
      <c r="I3340" t="s">
        <v>22</v>
      </c>
      <c r="J3340" t="s">
        <v>7586</v>
      </c>
      <c r="K3340" t="str">
        <f>IF(I3340="Trung bình",'Huong dan giao do an'!$B$8,IF(I3340="Khá",'Huong dan giao do an'!$B$9,'Huong dan giao do an'!$B$10))</f>
        <v>Tối thiểu 4 actor; 10-14 use case; 8-12 bảng; 3 quy trình lõi; phân quyền chi tiết; 2 báo cáo; tích hợp 1 dịch vụ; &gt;=35 test case; CI/CD hoặc deploy cloud.</v>
      </c>
      <c r="L3340" t="str">
        <f>'Huong dan giao do an'!$B$31</f>
        <v>Bắt buộc: Charter/PMP; SRS + scope/WBS; Gantt/baseline; effort-cost budget; RACI/timesheet; quality-test-defect; communication/minutes; risk register; procurement; change log; closure/lessons learned.</v>
      </c>
      <c r="M3340" t="str">
        <f>'Huong dan giao do an'!$B$33</f>
        <v>Tuần 1: 07.09–13.09.2026; Tuần 2: 14.09–20.09.2026; Tuần 3: 21.09–27.09.2026; Tuần 4: 28.09–04.10.2026; Tuần 5: 05.10–11.10.2026; Tuần 6: 12.10–18.10.2026; Tuần 7: 19.10–25.10.2026; Tuần 8: 26.10–01.11.2026.</v>
      </c>
      <c r="N33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0" s="17" t="str">
        <f t="shared" si="52"/>
        <v>Còn trống</v>
      </c>
    </row>
    <row r="3341" spans="1:16" x14ac:dyDescent="0.3">
      <c r="A3341">
        <v>3340</v>
      </c>
      <c r="B3341" t="s">
        <v>7581</v>
      </c>
      <c r="C3341" t="s">
        <v>7688</v>
      </c>
      <c r="D3341" t="s">
        <v>7689</v>
      </c>
      <c r="E3341" t="s">
        <v>33</v>
      </c>
      <c r="F3341" t="s">
        <v>7603</v>
      </c>
      <c r="G3341" t="s">
        <v>7649</v>
      </c>
      <c r="H3341" t="str">
        <f>'Huong dan giao do an'!$B$14</f>
        <v>5 SV (vai trò chính): 1 PM/Scrum Master kiêm Integration; 2 BA/PO; 3 UI-UX + Frontend; 4 Backend/API + DevOps; 5 Database + QA/Tester. Mỗi SV có nhiệm vụ phụ và minh chứng cá nhân.</v>
      </c>
      <c r="I3341" t="s">
        <v>29</v>
      </c>
      <c r="J3341" t="s">
        <v>7591</v>
      </c>
      <c r="K3341" t="str">
        <f>IF(I3341="Trung bình",'Huong dan giao do an'!$B$8,IF(I3341="Khá",'Huong dan giao do an'!$B$9,'Huong dan giao do an'!$B$10))</f>
        <v>Tối thiểu 5 actor; 14-18 use case; 10-15 bảng; 4 quy trình; tích hợp ngoài/realtime hoặc xử lý nâng cao; 3 báo cáo; &gt;=45 test case; logging, backup và deploy.</v>
      </c>
      <c r="L3341" t="str">
        <f>'Huong dan giao do an'!$B$31</f>
        <v>Bắt buộc: Charter/PMP; SRS + scope/WBS; Gantt/baseline; effort-cost budget; RACI/timesheet; quality-test-defect; communication/minutes; risk register; procurement; change log; closure/lessons learned.</v>
      </c>
      <c r="M3341" t="str">
        <f>'Huong dan giao do an'!$B$33</f>
        <v>Tuần 1: 07.09–13.09.2026; Tuần 2: 14.09–20.09.2026; Tuần 3: 21.09–27.09.2026; Tuần 4: 28.09–04.10.2026; Tuần 5: 05.10–11.10.2026; Tuần 6: 12.10–18.10.2026; Tuần 7: 19.10–25.10.2026; Tuần 8: 26.10–01.11.2026.</v>
      </c>
      <c r="N33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1" s="17" t="str">
        <f t="shared" si="52"/>
        <v>Còn trống</v>
      </c>
    </row>
    <row r="3342" spans="1:16" x14ac:dyDescent="0.3">
      <c r="A3342">
        <v>3341</v>
      </c>
      <c r="B3342" t="s">
        <v>7581</v>
      </c>
      <c r="C3342" t="s">
        <v>7690</v>
      </c>
      <c r="D3342" t="s">
        <v>7691</v>
      </c>
      <c r="E3342" t="s">
        <v>40</v>
      </c>
      <c r="F3342" t="s">
        <v>7584</v>
      </c>
      <c r="G3342" t="s">
        <v>7585</v>
      </c>
      <c r="H3342" t="str">
        <f>'Huong dan giao do an'!$B$14</f>
        <v>5 SV (vai trò chính): 1 PM/Scrum Master kiêm Integration; 2 BA/PO; 3 UI-UX + Frontend; 4 Backend/API + DevOps; 5 Database + QA/Tester. Mỗi SV có nhiệm vụ phụ và minh chứng cá nhân.</v>
      </c>
      <c r="I3342" t="s">
        <v>22</v>
      </c>
      <c r="J3342" t="s">
        <v>7586</v>
      </c>
      <c r="K3342" t="str">
        <f>IF(I3342="Trung bình",'Huong dan giao do an'!$B$8,IF(I3342="Khá",'Huong dan giao do an'!$B$9,'Huong dan giao do an'!$B$10))</f>
        <v>Tối thiểu 4 actor; 10-14 use case; 8-12 bảng; 3 quy trình lõi; phân quyền chi tiết; 2 báo cáo; tích hợp 1 dịch vụ; &gt;=35 test case; CI/CD hoặc deploy cloud.</v>
      </c>
      <c r="L3342" t="str">
        <f>'Huong dan giao do an'!$B$31</f>
        <v>Bắt buộc: Charter/PMP; SRS + scope/WBS; Gantt/baseline; effort-cost budget; RACI/timesheet; quality-test-defect; communication/minutes; risk register; procurement; change log; closure/lessons learned.</v>
      </c>
      <c r="M3342" t="str">
        <f>'Huong dan giao do an'!$B$33</f>
        <v>Tuần 1: 07.09–13.09.2026; Tuần 2: 14.09–20.09.2026; Tuần 3: 21.09–27.09.2026; Tuần 4: 28.09–04.10.2026; Tuần 5: 05.10–11.10.2026; Tuần 6: 12.10–18.10.2026; Tuần 7: 19.10–25.10.2026; Tuần 8: 26.10–01.11.2026.</v>
      </c>
      <c r="N33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2" s="17" t="str">
        <f t="shared" si="52"/>
        <v>Còn trống</v>
      </c>
    </row>
    <row r="3343" spans="1:16" x14ac:dyDescent="0.3">
      <c r="A3343">
        <v>3342</v>
      </c>
      <c r="B3343" t="s">
        <v>7581</v>
      </c>
      <c r="C3343" t="s">
        <v>7692</v>
      </c>
      <c r="D3343" t="s">
        <v>7693</v>
      </c>
      <c r="E3343" t="s">
        <v>45</v>
      </c>
      <c r="F3343" t="s">
        <v>7589</v>
      </c>
      <c r="G3343" t="s">
        <v>7590</v>
      </c>
      <c r="H3343" t="str">
        <f>'Huong dan giao do an'!$B$14</f>
        <v>5 SV (vai trò chính): 1 PM/Scrum Master kiêm Integration; 2 BA/PO; 3 UI-UX + Frontend; 4 Backend/API + DevOps; 5 Database + QA/Tester. Mỗi SV có nhiệm vụ phụ và minh chứng cá nhân.</v>
      </c>
      <c r="I3343" t="s">
        <v>29</v>
      </c>
      <c r="J3343" t="s">
        <v>7591</v>
      </c>
      <c r="K3343" t="str">
        <f>IF(I3343="Trung bình",'Huong dan giao do an'!$B$8,IF(I3343="Khá",'Huong dan giao do an'!$B$9,'Huong dan giao do an'!$B$10))</f>
        <v>Tối thiểu 5 actor; 14-18 use case; 10-15 bảng; 4 quy trình; tích hợp ngoài/realtime hoặc xử lý nâng cao; 3 báo cáo; &gt;=45 test case; logging, backup và deploy.</v>
      </c>
      <c r="L3343" t="str">
        <f>'Huong dan giao do an'!$B$31</f>
        <v>Bắt buộc: Charter/PMP; SRS + scope/WBS; Gantt/baseline; effort-cost budget; RACI/timesheet; quality-test-defect; communication/minutes; risk register; procurement; change log; closure/lessons learned.</v>
      </c>
      <c r="M3343" t="str">
        <f>'Huong dan giao do an'!$B$33</f>
        <v>Tuần 1: 07.09–13.09.2026; Tuần 2: 14.09–20.09.2026; Tuần 3: 21.09–27.09.2026; Tuần 4: 28.09–04.10.2026; Tuần 5: 05.10–11.10.2026; Tuần 6: 12.10–18.10.2026; Tuần 7: 19.10–25.10.2026; Tuần 8: 26.10–01.11.2026.</v>
      </c>
      <c r="N33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3" s="17" t="str">
        <f t="shared" si="52"/>
        <v>Còn trống</v>
      </c>
    </row>
    <row r="3344" spans="1:16" x14ac:dyDescent="0.3">
      <c r="A3344">
        <v>3343</v>
      </c>
      <c r="B3344" t="s">
        <v>7581</v>
      </c>
      <c r="C3344" t="s">
        <v>7694</v>
      </c>
      <c r="D3344" t="s">
        <v>7695</v>
      </c>
      <c r="E3344" t="s">
        <v>19</v>
      </c>
      <c r="F3344" t="s">
        <v>7594</v>
      </c>
      <c r="G3344" t="s">
        <v>7595</v>
      </c>
      <c r="H3344" t="str">
        <f>'Huong dan giao do an'!$B$14</f>
        <v>5 SV (vai trò chính): 1 PM/Scrum Master kiêm Integration; 2 BA/PO; 3 UI-UX + Frontend; 4 Backend/API + DevOps; 5 Database + QA/Tester. Mỗi SV có nhiệm vụ phụ và minh chứng cá nhân.</v>
      </c>
      <c r="I3344" t="s">
        <v>36</v>
      </c>
      <c r="J3344" t="s">
        <v>7596</v>
      </c>
      <c r="K3344" t="str">
        <f>IF(I3344="Trung bình",'Huong dan giao do an'!$B$8,IF(I3344="Khá",'Huong dan giao do an'!$B$9,'Huong dan giao do an'!$B$10))</f>
        <v>Tối thiểu 3 actor; 8-10 use case; 6-8 bảng dữ liệu; 2 quy trình lõi; đăng nhập/RBAC; 1 dashboard; 1 báo cáo; &gt;=25 test case; triển khai bản demo.</v>
      </c>
      <c r="L3344" t="str">
        <f>'Huong dan giao do an'!$B$31</f>
        <v>Bắt buộc: Charter/PMP; SRS + scope/WBS; Gantt/baseline; effort-cost budget; RACI/timesheet; quality-test-defect; communication/minutes; risk register; procurement; change log; closure/lessons learned.</v>
      </c>
      <c r="M3344" t="str">
        <f>'Huong dan giao do an'!$B$33</f>
        <v>Tuần 1: 07.09–13.09.2026; Tuần 2: 14.09–20.09.2026; Tuần 3: 21.09–27.09.2026; Tuần 4: 28.09–04.10.2026; Tuần 5: 05.10–11.10.2026; Tuần 6: 12.10–18.10.2026; Tuần 7: 19.10–25.10.2026; Tuần 8: 26.10–01.11.2026.</v>
      </c>
      <c r="N33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4" s="17" t="str">
        <f t="shared" si="52"/>
        <v>Còn trống</v>
      </c>
    </row>
    <row r="3345" spans="1:16" x14ac:dyDescent="0.3">
      <c r="A3345">
        <v>3344</v>
      </c>
      <c r="B3345" t="s">
        <v>7581</v>
      </c>
      <c r="C3345" t="s">
        <v>7696</v>
      </c>
      <c r="D3345" t="s">
        <v>7697</v>
      </c>
      <c r="E3345" t="s">
        <v>26</v>
      </c>
      <c r="F3345" t="s">
        <v>7599</v>
      </c>
      <c r="G3345" t="s">
        <v>7600</v>
      </c>
      <c r="H3345" t="str">
        <f>'Huong dan giao do an'!$B$14</f>
        <v>5 SV (vai trò chính): 1 PM/Scrum Master kiêm Integration; 2 BA/PO; 3 UI-UX + Frontend; 4 Backend/API + DevOps; 5 Database + QA/Tester. Mỗi SV có nhiệm vụ phụ và minh chứng cá nhân.</v>
      </c>
      <c r="I3345" t="s">
        <v>22</v>
      </c>
      <c r="J3345" t="s">
        <v>7586</v>
      </c>
      <c r="K3345" t="str">
        <f>IF(I3345="Trung bình",'Huong dan giao do an'!$B$8,IF(I3345="Khá",'Huong dan giao do an'!$B$9,'Huong dan giao do an'!$B$10))</f>
        <v>Tối thiểu 4 actor; 10-14 use case; 8-12 bảng; 3 quy trình lõi; phân quyền chi tiết; 2 báo cáo; tích hợp 1 dịch vụ; &gt;=35 test case; CI/CD hoặc deploy cloud.</v>
      </c>
      <c r="L3345" t="str">
        <f>'Huong dan giao do an'!$B$31</f>
        <v>Bắt buộc: Charter/PMP; SRS + scope/WBS; Gantt/baseline; effort-cost budget; RACI/timesheet; quality-test-defect; communication/minutes; risk register; procurement; change log; closure/lessons learned.</v>
      </c>
      <c r="M3345" t="str">
        <f>'Huong dan giao do an'!$B$33</f>
        <v>Tuần 1: 07.09–13.09.2026; Tuần 2: 14.09–20.09.2026; Tuần 3: 21.09–27.09.2026; Tuần 4: 28.09–04.10.2026; Tuần 5: 05.10–11.10.2026; Tuần 6: 12.10–18.10.2026; Tuần 7: 19.10–25.10.2026; Tuần 8: 26.10–01.11.2026.</v>
      </c>
      <c r="N33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5" s="17" t="str">
        <f t="shared" si="52"/>
        <v>Còn trống</v>
      </c>
    </row>
    <row r="3346" spans="1:16" x14ac:dyDescent="0.3">
      <c r="A3346">
        <v>3345</v>
      </c>
      <c r="B3346" t="s">
        <v>7581</v>
      </c>
      <c r="C3346" t="s">
        <v>7698</v>
      </c>
      <c r="D3346" t="s">
        <v>7699</v>
      </c>
      <c r="E3346" t="s">
        <v>33</v>
      </c>
      <c r="F3346" t="s">
        <v>7603</v>
      </c>
      <c r="G3346" t="s">
        <v>7604</v>
      </c>
      <c r="H3346" t="str">
        <f>'Huong dan giao do an'!$B$14</f>
        <v>5 SV (vai trò chính): 1 PM/Scrum Master kiêm Integration; 2 BA/PO; 3 UI-UX + Frontend; 4 Backend/API + DevOps; 5 Database + QA/Tester. Mỗi SV có nhiệm vụ phụ và minh chứng cá nhân.</v>
      </c>
      <c r="I3346" t="s">
        <v>29</v>
      </c>
      <c r="J3346" t="s">
        <v>7591</v>
      </c>
      <c r="K3346" t="str">
        <f>IF(I3346="Trung bình",'Huong dan giao do an'!$B$8,IF(I3346="Khá",'Huong dan giao do an'!$B$9,'Huong dan giao do an'!$B$10))</f>
        <v>Tối thiểu 5 actor; 14-18 use case; 10-15 bảng; 4 quy trình; tích hợp ngoài/realtime hoặc xử lý nâng cao; 3 báo cáo; &gt;=45 test case; logging, backup và deploy.</v>
      </c>
      <c r="L3346" t="str">
        <f>'Huong dan giao do an'!$B$31</f>
        <v>Bắt buộc: Charter/PMP; SRS + scope/WBS; Gantt/baseline; effort-cost budget; RACI/timesheet; quality-test-defect; communication/minutes; risk register; procurement; change log; closure/lessons learned.</v>
      </c>
      <c r="M3346" t="str">
        <f>'Huong dan giao do an'!$B$33</f>
        <v>Tuần 1: 07.09–13.09.2026; Tuần 2: 14.09–20.09.2026; Tuần 3: 21.09–27.09.2026; Tuần 4: 28.09–04.10.2026; Tuần 5: 05.10–11.10.2026; Tuần 6: 12.10–18.10.2026; Tuần 7: 19.10–25.10.2026; Tuần 8: 26.10–01.11.2026.</v>
      </c>
      <c r="N33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6" s="17" t="str">
        <f t="shared" si="52"/>
        <v>Còn trống</v>
      </c>
    </row>
    <row r="3347" spans="1:16" x14ac:dyDescent="0.3">
      <c r="A3347">
        <v>3346</v>
      </c>
      <c r="B3347" t="s">
        <v>7581</v>
      </c>
      <c r="C3347" t="s">
        <v>7700</v>
      </c>
      <c r="D3347" t="s">
        <v>7701</v>
      </c>
      <c r="E3347" t="s">
        <v>40</v>
      </c>
      <c r="F3347" t="s">
        <v>7584</v>
      </c>
      <c r="G3347" t="s">
        <v>7607</v>
      </c>
      <c r="H3347" t="str">
        <f>'Huong dan giao do an'!$B$14</f>
        <v>5 SV (vai trò chính): 1 PM/Scrum Master kiêm Integration; 2 BA/PO; 3 UI-UX + Frontend; 4 Backend/API + DevOps; 5 Database + QA/Tester. Mỗi SV có nhiệm vụ phụ và minh chứng cá nhân.</v>
      </c>
      <c r="I3347" t="s">
        <v>36</v>
      </c>
      <c r="J3347" t="s">
        <v>7596</v>
      </c>
      <c r="K3347" t="str">
        <f>IF(I3347="Trung bình",'Huong dan giao do an'!$B$8,IF(I3347="Khá",'Huong dan giao do an'!$B$9,'Huong dan giao do an'!$B$10))</f>
        <v>Tối thiểu 3 actor; 8-10 use case; 6-8 bảng dữ liệu; 2 quy trình lõi; đăng nhập/RBAC; 1 dashboard; 1 báo cáo; &gt;=25 test case; triển khai bản demo.</v>
      </c>
      <c r="L3347" t="str">
        <f>'Huong dan giao do an'!$B$31</f>
        <v>Bắt buộc: Charter/PMP; SRS + scope/WBS; Gantt/baseline; effort-cost budget; RACI/timesheet; quality-test-defect; communication/minutes; risk register; procurement; change log; closure/lessons learned.</v>
      </c>
      <c r="M3347" t="str">
        <f>'Huong dan giao do an'!$B$33</f>
        <v>Tuần 1: 07.09–13.09.2026; Tuần 2: 14.09–20.09.2026; Tuần 3: 21.09–27.09.2026; Tuần 4: 28.09–04.10.2026; Tuần 5: 05.10–11.10.2026; Tuần 6: 12.10–18.10.2026; Tuần 7: 19.10–25.10.2026; Tuần 8: 26.10–01.11.2026.</v>
      </c>
      <c r="N33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7" s="17" t="str">
        <f t="shared" si="52"/>
        <v>Còn trống</v>
      </c>
    </row>
    <row r="3348" spans="1:16" x14ac:dyDescent="0.3">
      <c r="A3348">
        <v>3347</v>
      </c>
      <c r="B3348" t="s">
        <v>7581</v>
      </c>
      <c r="C3348" t="s">
        <v>7702</v>
      </c>
      <c r="D3348" t="s">
        <v>7703</v>
      </c>
      <c r="E3348" t="s">
        <v>45</v>
      </c>
      <c r="F3348" t="s">
        <v>7589</v>
      </c>
      <c r="G3348" t="s">
        <v>7610</v>
      </c>
      <c r="H3348" t="str">
        <f>'Huong dan giao do an'!$B$14</f>
        <v>5 SV (vai trò chính): 1 PM/Scrum Master kiêm Integration; 2 BA/PO; 3 UI-UX + Frontend; 4 Backend/API + DevOps; 5 Database + QA/Tester. Mỗi SV có nhiệm vụ phụ và minh chứng cá nhân.</v>
      </c>
      <c r="I3348" t="s">
        <v>22</v>
      </c>
      <c r="J3348" t="s">
        <v>7586</v>
      </c>
      <c r="K3348" t="str">
        <f>IF(I3348="Trung bình",'Huong dan giao do an'!$B$8,IF(I3348="Khá",'Huong dan giao do an'!$B$9,'Huong dan giao do an'!$B$10))</f>
        <v>Tối thiểu 4 actor; 10-14 use case; 8-12 bảng; 3 quy trình lõi; phân quyền chi tiết; 2 báo cáo; tích hợp 1 dịch vụ; &gt;=35 test case; CI/CD hoặc deploy cloud.</v>
      </c>
      <c r="L3348" t="str">
        <f>'Huong dan giao do an'!$B$31</f>
        <v>Bắt buộc: Charter/PMP; SRS + scope/WBS; Gantt/baseline; effort-cost budget; RACI/timesheet; quality-test-defect; communication/minutes; risk register; procurement; change log; closure/lessons learned.</v>
      </c>
      <c r="M3348" t="str">
        <f>'Huong dan giao do an'!$B$33</f>
        <v>Tuần 1: 07.09–13.09.2026; Tuần 2: 14.09–20.09.2026; Tuần 3: 21.09–27.09.2026; Tuần 4: 28.09–04.10.2026; Tuần 5: 05.10–11.10.2026; Tuần 6: 12.10–18.10.2026; Tuần 7: 19.10–25.10.2026; Tuần 8: 26.10–01.11.2026.</v>
      </c>
      <c r="N33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8" s="17" t="str">
        <f t="shared" si="52"/>
        <v>Còn trống</v>
      </c>
    </row>
    <row r="3349" spans="1:16" x14ac:dyDescent="0.3">
      <c r="A3349">
        <v>3348</v>
      </c>
      <c r="B3349" t="s">
        <v>7581</v>
      </c>
      <c r="C3349" t="s">
        <v>7704</v>
      </c>
      <c r="D3349" t="s">
        <v>7705</v>
      </c>
      <c r="E3349" t="s">
        <v>19</v>
      </c>
      <c r="F3349" t="s">
        <v>7594</v>
      </c>
      <c r="G3349" t="s">
        <v>7613</v>
      </c>
      <c r="H3349" t="str">
        <f>'Huong dan giao do an'!$B$14</f>
        <v>5 SV (vai trò chính): 1 PM/Scrum Master kiêm Integration; 2 BA/PO; 3 UI-UX + Frontend; 4 Backend/API + DevOps; 5 Database + QA/Tester. Mỗi SV có nhiệm vụ phụ và minh chứng cá nhân.</v>
      </c>
      <c r="I3349" t="s">
        <v>29</v>
      </c>
      <c r="J3349" t="s">
        <v>7591</v>
      </c>
      <c r="K3349" t="str">
        <f>IF(I3349="Trung bình",'Huong dan giao do an'!$B$8,IF(I3349="Khá",'Huong dan giao do an'!$B$9,'Huong dan giao do an'!$B$10))</f>
        <v>Tối thiểu 5 actor; 14-18 use case; 10-15 bảng; 4 quy trình; tích hợp ngoài/realtime hoặc xử lý nâng cao; 3 báo cáo; &gt;=45 test case; logging, backup và deploy.</v>
      </c>
      <c r="L3349" t="str">
        <f>'Huong dan giao do an'!$B$31</f>
        <v>Bắt buộc: Charter/PMP; SRS + scope/WBS; Gantt/baseline; effort-cost budget; RACI/timesheet; quality-test-defect; communication/minutes; risk register; procurement; change log; closure/lessons learned.</v>
      </c>
      <c r="M3349" t="str">
        <f>'Huong dan giao do an'!$B$33</f>
        <v>Tuần 1: 07.09–13.09.2026; Tuần 2: 14.09–20.09.2026; Tuần 3: 21.09–27.09.2026; Tuần 4: 28.09–04.10.2026; Tuần 5: 05.10–11.10.2026; Tuần 6: 12.10–18.10.2026; Tuần 7: 19.10–25.10.2026; Tuần 8: 26.10–01.11.2026.</v>
      </c>
      <c r="N33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49" s="17" t="str">
        <f t="shared" si="52"/>
        <v>Còn trống</v>
      </c>
    </row>
    <row r="3350" spans="1:16" x14ac:dyDescent="0.3">
      <c r="A3350">
        <v>3349</v>
      </c>
      <c r="B3350" t="s">
        <v>7581</v>
      </c>
      <c r="C3350" t="s">
        <v>7706</v>
      </c>
      <c r="D3350" t="s">
        <v>7707</v>
      </c>
      <c r="E3350" t="s">
        <v>26</v>
      </c>
      <c r="F3350" t="s">
        <v>7599</v>
      </c>
      <c r="G3350" t="s">
        <v>7616</v>
      </c>
      <c r="H3350" t="str">
        <f>'Huong dan giao do an'!$B$14</f>
        <v>5 SV (vai trò chính): 1 PM/Scrum Master kiêm Integration; 2 BA/PO; 3 UI-UX + Frontend; 4 Backend/API + DevOps; 5 Database + QA/Tester. Mỗi SV có nhiệm vụ phụ và minh chứng cá nhân.</v>
      </c>
      <c r="I3350" t="s">
        <v>36</v>
      </c>
      <c r="J3350" t="s">
        <v>7596</v>
      </c>
      <c r="K3350" t="str">
        <f>IF(I3350="Trung bình",'Huong dan giao do an'!$B$8,IF(I3350="Khá",'Huong dan giao do an'!$B$9,'Huong dan giao do an'!$B$10))</f>
        <v>Tối thiểu 3 actor; 8-10 use case; 6-8 bảng dữ liệu; 2 quy trình lõi; đăng nhập/RBAC; 1 dashboard; 1 báo cáo; &gt;=25 test case; triển khai bản demo.</v>
      </c>
      <c r="L3350" t="str">
        <f>'Huong dan giao do an'!$B$31</f>
        <v>Bắt buộc: Charter/PMP; SRS + scope/WBS; Gantt/baseline; effort-cost budget; RACI/timesheet; quality-test-defect; communication/minutes; risk register; procurement; change log; closure/lessons learned.</v>
      </c>
      <c r="M3350" t="str">
        <f>'Huong dan giao do an'!$B$33</f>
        <v>Tuần 1: 07.09–13.09.2026; Tuần 2: 14.09–20.09.2026; Tuần 3: 21.09–27.09.2026; Tuần 4: 28.09–04.10.2026; Tuần 5: 05.10–11.10.2026; Tuần 6: 12.10–18.10.2026; Tuần 7: 19.10–25.10.2026; Tuần 8: 26.10–01.11.2026.</v>
      </c>
      <c r="N33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0" s="17" t="str">
        <f t="shared" si="52"/>
        <v>Còn trống</v>
      </c>
    </row>
    <row r="3351" spans="1:16" x14ac:dyDescent="0.3">
      <c r="A3351">
        <v>3350</v>
      </c>
      <c r="B3351" t="s">
        <v>7581</v>
      </c>
      <c r="C3351" t="s">
        <v>7708</v>
      </c>
      <c r="D3351" t="s">
        <v>7709</v>
      </c>
      <c r="E3351" t="s">
        <v>33</v>
      </c>
      <c r="F3351" t="s">
        <v>7603</v>
      </c>
      <c r="G3351" t="s">
        <v>7619</v>
      </c>
      <c r="H3351" t="str">
        <f>'Huong dan giao do an'!$B$14</f>
        <v>5 SV (vai trò chính): 1 PM/Scrum Master kiêm Integration; 2 BA/PO; 3 UI-UX + Frontend; 4 Backend/API + DevOps; 5 Database + QA/Tester. Mỗi SV có nhiệm vụ phụ và minh chứng cá nhân.</v>
      </c>
      <c r="I3351" t="s">
        <v>22</v>
      </c>
      <c r="J3351" t="s">
        <v>7586</v>
      </c>
      <c r="K3351" t="str">
        <f>IF(I3351="Trung bình",'Huong dan giao do an'!$B$8,IF(I3351="Khá",'Huong dan giao do an'!$B$9,'Huong dan giao do an'!$B$10))</f>
        <v>Tối thiểu 4 actor; 10-14 use case; 8-12 bảng; 3 quy trình lõi; phân quyền chi tiết; 2 báo cáo; tích hợp 1 dịch vụ; &gt;=35 test case; CI/CD hoặc deploy cloud.</v>
      </c>
      <c r="L3351" t="str">
        <f>'Huong dan giao do an'!$B$31</f>
        <v>Bắt buộc: Charter/PMP; SRS + scope/WBS; Gantt/baseline; effort-cost budget; RACI/timesheet; quality-test-defect; communication/minutes; risk register; procurement; change log; closure/lessons learned.</v>
      </c>
      <c r="M3351" t="str">
        <f>'Huong dan giao do an'!$B$33</f>
        <v>Tuần 1: 07.09–13.09.2026; Tuần 2: 14.09–20.09.2026; Tuần 3: 21.09–27.09.2026; Tuần 4: 28.09–04.10.2026; Tuần 5: 05.10–11.10.2026; Tuần 6: 12.10–18.10.2026; Tuần 7: 19.10–25.10.2026; Tuần 8: 26.10–01.11.2026.</v>
      </c>
      <c r="N33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1" s="17" t="str">
        <f t="shared" si="52"/>
        <v>Còn trống</v>
      </c>
    </row>
    <row r="3352" spans="1:16" x14ac:dyDescent="0.3">
      <c r="A3352">
        <v>3351</v>
      </c>
      <c r="B3352" t="s">
        <v>7581</v>
      </c>
      <c r="C3352" t="s">
        <v>7710</v>
      </c>
      <c r="D3352" t="s">
        <v>7711</v>
      </c>
      <c r="E3352" t="s">
        <v>40</v>
      </c>
      <c r="F3352" t="s">
        <v>7584</v>
      </c>
      <c r="G3352" t="s">
        <v>7622</v>
      </c>
      <c r="H3352" t="str">
        <f>'Huong dan giao do an'!$B$14</f>
        <v>5 SV (vai trò chính): 1 PM/Scrum Master kiêm Integration; 2 BA/PO; 3 UI-UX + Frontend; 4 Backend/API + DevOps; 5 Database + QA/Tester. Mỗi SV có nhiệm vụ phụ và minh chứng cá nhân.</v>
      </c>
      <c r="I3352" t="s">
        <v>29</v>
      </c>
      <c r="J3352" t="s">
        <v>7591</v>
      </c>
      <c r="K3352" t="str">
        <f>IF(I3352="Trung bình",'Huong dan giao do an'!$B$8,IF(I3352="Khá",'Huong dan giao do an'!$B$9,'Huong dan giao do an'!$B$10))</f>
        <v>Tối thiểu 5 actor; 14-18 use case; 10-15 bảng; 4 quy trình; tích hợp ngoài/realtime hoặc xử lý nâng cao; 3 báo cáo; &gt;=45 test case; logging, backup và deploy.</v>
      </c>
      <c r="L3352" t="str">
        <f>'Huong dan giao do an'!$B$31</f>
        <v>Bắt buộc: Charter/PMP; SRS + scope/WBS; Gantt/baseline; effort-cost budget; RACI/timesheet; quality-test-defect; communication/minutes; risk register; procurement; change log; closure/lessons learned.</v>
      </c>
      <c r="M3352" t="str">
        <f>'Huong dan giao do an'!$B$33</f>
        <v>Tuần 1: 07.09–13.09.2026; Tuần 2: 14.09–20.09.2026; Tuần 3: 21.09–27.09.2026; Tuần 4: 28.09–04.10.2026; Tuần 5: 05.10–11.10.2026; Tuần 6: 12.10–18.10.2026; Tuần 7: 19.10–25.10.2026; Tuần 8: 26.10–01.11.2026.</v>
      </c>
      <c r="N33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2" s="17" t="str">
        <f t="shared" si="52"/>
        <v>Còn trống</v>
      </c>
    </row>
    <row r="3353" spans="1:16" x14ac:dyDescent="0.3">
      <c r="A3353">
        <v>3352</v>
      </c>
      <c r="B3353" t="s">
        <v>7581</v>
      </c>
      <c r="C3353" t="s">
        <v>7712</v>
      </c>
      <c r="D3353" t="s">
        <v>7713</v>
      </c>
      <c r="E3353" t="s">
        <v>45</v>
      </c>
      <c r="F3353" t="s">
        <v>7589</v>
      </c>
      <c r="G3353" t="s">
        <v>7625</v>
      </c>
      <c r="H3353" t="str">
        <f>'Huong dan giao do an'!$B$14</f>
        <v>5 SV (vai trò chính): 1 PM/Scrum Master kiêm Integration; 2 BA/PO; 3 UI-UX + Frontend; 4 Backend/API + DevOps; 5 Database + QA/Tester. Mỗi SV có nhiệm vụ phụ và minh chứng cá nhân.</v>
      </c>
      <c r="I3353" t="s">
        <v>36</v>
      </c>
      <c r="J3353" t="s">
        <v>7596</v>
      </c>
      <c r="K3353" t="str">
        <f>IF(I3353="Trung bình",'Huong dan giao do an'!$B$8,IF(I3353="Khá",'Huong dan giao do an'!$B$9,'Huong dan giao do an'!$B$10))</f>
        <v>Tối thiểu 3 actor; 8-10 use case; 6-8 bảng dữ liệu; 2 quy trình lõi; đăng nhập/RBAC; 1 dashboard; 1 báo cáo; &gt;=25 test case; triển khai bản demo.</v>
      </c>
      <c r="L3353" t="str">
        <f>'Huong dan giao do an'!$B$31</f>
        <v>Bắt buộc: Charter/PMP; SRS + scope/WBS; Gantt/baseline; effort-cost budget; RACI/timesheet; quality-test-defect; communication/minutes; risk register; procurement; change log; closure/lessons learned.</v>
      </c>
      <c r="M3353" t="str">
        <f>'Huong dan giao do an'!$B$33</f>
        <v>Tuần 1: 07.09–13.09.2026; Tuần 2: 14.09–20.09.2026; Tuần 3: 21.09–27.09.2026; Tuần 4: 28.09–04.10.2026; Tuần 5: 05.10–11.10.2026; Tuần 6: 12.10–18.10.2026; Tuần 7: 19.10–25.10.2026; Tuần 8: 26.10–01.11.2026.</v>
      </c>
      <c r="N33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3" s="17" t="str">
        <f t="shared" si="52"/>
        <v>Còn trống</v>
      </c>
    </row>
    <row r="3354" spans="1:16" x14ac:dyDescent="0.3">
      <c r="A3354">
        <v>3353</v>
      </c>
      <c r="B3354" t="s">
        <v>7581</v>
      </c>
      <c r="C3354" t="s">
        <v>7714</v>
      </c>
      <c r="D3354" t="s">
        <v>7715</v>
      </c>
      <c r="E3354" t="s">
        <v>19</v>
      </c>
      <c r="F3354" t="s">
        <v>7594</v>
      </c>
      <c r="G3354" t="s">
        <v>7628</v>
      </c>
      <c r="H3354" t="str">
        <f>'Huong dan giao do an'!$B$14</f>
        <v>5 SV (vai trò chính): 1 PM/Scrum Master kiêm Integration; 2 BA/PO; 3 UI-UX + Frontend; 4 Backend/API + DevOps; 5 Database + QA/Tester. Mỗi SV có nhiệm vụ phụ và minh chứng cá nhân.</v>
      </c>
      <c r="I3354" t="s">
        <v>22</v>
      </c>
      <c r="J3354" t="s">
        <v>7586</v>
      </c>
      <c r="K3354" t="str">
        <f>IF(I3354="Trung bình",'Huong dan giao do an'!$B$8,IF(I3354="Khá",'Huong dan giao do an'!$B$9,'Huong dan giao do an'!$B$10))</f>
        <v>Tối thiểu 4 actor; 10-14 use case; 8-12 bảng; 3 quy trình lõi; phân quyền chi tiết; 2 báo cáo; tích hợp 1 dịch vụ; &gt;=35 test case; CI/CD hoặc deploy cloud.</v>
      </c>
      <c r="L3354" t="str">
        <f>'Huong dan giao do an'!$B$31</f>
        <v>Bắt buộc: Charter/PMP; SRS + scope/WBS; Gantt/baseline; effort-cost budget; RACI/timesheet; quality-test-defect; communication/minutes; risk register; procurement; change log; closure/lessons learned.</v>
      </c>
      <c r="M3354" t="str">
        <f>'Huong dan giao do an'!$B$33</f>
        <v>Tuần 1: 07.09–13.09.2026; Tuần 2: 14.09–20.09.2026; Tuần 3: 21.09–27.09.2026; Tuần 4: 28.09–04.10.2026; Tuần 5: 05.10–11.10.2026; Tuần 6: 12.10–18.10.2026; Tuần 7: 19.10–25.10.2026; Tuần 8: 26.10–01.11.2026.</v>
      </c>
      <c r="N33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4" s="17" t="str">
        <f t="shared" si="52"/>
        <v>Còn trống</v>
      </c>
    </row>
    <row r="3355" spans="1:16" x14ac:dyDescent="0.3">
      <c r="A3355">
        <v>3354</v>
      </c>
      <c r="B3355" t="s">
        <v>7581</v>
      </c>
      <c r="C3355" t="s">
        <v>7716</v>
      </c>
      <c r="D3355" t="s">
        <v>7717</v>
      </c>
      <c r="E3355" t="s">
        <v>26</v>
      </c>
      <c r="F3355" t="s">
        <v>7599</v>
      </c>
      <c r="G3355" t="s">
        <v>7631</v>
      </c>
      <c r="H3355" t="str">
        <f>'Huong dan giao do an'!$B$14</f>
        <v>5 SV (vai trò chính): 1 PM/Scrum Master kiêm Integration; 2 BA/PO; 3 UI-UX + Frontend; 4 Backend/API + DevOps; 5 Database + QA/Tester. Mỗi SV có nhiệm vụ phụ và minh chứng cá nhân.</v>
      </c>
      <c r="I3355" t="s">
        <v>29</v>
      </c>
      <c r="J3355" t="s">
        <v>7591</v>
      </c>
      <c r="K3355" t="str">
        <f>IF(I3355="Trung bình",'Huong dan giao do an'!$B$8,IF(I3355="Khá",'Huong dan giao do an'!$B$9,'Huong dan giao do an'!$B$10))</f>
        <v>Tối thiểu 5 actor; 14-18 use case; 10-15 bảng; 4 quy trình; tích hợp ngoài/realtime hoặc xử lý nâng cao; 3 báo cáo; &gt;=45 test case; logging, backup và deploy.</v>
      </c>
      <c r="L3355" t="str">
        <f>'Huong dan giao do an'!$B$31</f>
        <v>Bắt buộc: Charter/PMP; SRS + scope/WBS; Gantt/baseline; effort-cost budget; RACI/timesheet; quality-test-defect; communication/minutes; risk register; procurement; change log; closure/lessons learned.</v>
      </c>
      <c r="M3355" t="str">
        <f>'Huong dan giao do an'!$B$33</f>
        <v>Tuần 1: 07.09–13.09.2026; Tuần 2: 14.09–20.09.2026; Tuần 3: 21.09–27.09.2026; Tuần 4: 28.09–04.10.2026; Tuần 5: 05.10–11.10.2026; Tuần 6: 12.10–18.10.2026; Tuần 7: 19.10–25.10.2026; Tuần 8: 26.10–01.11.2026.</v>
      </c>
      <c r="N33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5" s="17" t="str">
        <f t="shared" si="52"/>
        <v>Còn trống</v>
      </c>
    </row>
    <row r="3356" spans="1:16" x14ac:dyDescent="0.3">
      <c r="A3356">
        <v>3355</v>
      </c>
      <c r="B3356" t="s">
        <v>7581</v>
      </c>
      <c r="C3356" t="s">
        <v>7718</v>
      </c>
      <c r="D3356" t="s">
        <v>7719</v>
      </c>
      <c r="E3356" t="s">
        <v>33</v>
      </c>
      <c r="F3356" t="s">
        <v>7603</v>
      </c>
      <c r="G3356" t="s">
        <v>7634</v>
      </c>
      <c r="H3356" t="str">
        <f>'Huong dan giao do an'!$B$14</f>
        <v>5 SV (vai trò chính): 1 PM/Scrum Master kiêm Integration; 2 BA/PO; 3 UI-UX + Frontend; 4 Backend/API + DevOps; 5 Database + QA/Tester. Mỗi SV có nhiệm vụ phụ và minh chứng cá nhân.</v>
      </c>
      <c r="I3356" t="s">
        <v>36</v>
      </c>
      <c r="J3356" t="s">
        <v>7596</v>
      </c>
      <c r="K3356" t="str">
        <f>IF(I3356="Trung bình",'Huong dan giao do an'!$B$8,IF(I3356="Khá",'Huong dan giao do an'!$B$9,'Huong dan giao do an'!$B$10))</f>
        <v>Tối thiểu 3 actor; 8-10 use case; 6-8 bảng dữ liệu; 2 quy trình lõi; đăng nhập/RBAC; 1 dashboard; 1 báo cáo; &gt;=25 test case; triển khai bản demo.</v>
      </c>
      <c r="L3356" t="str">
        <f>'Huong dan giao do an'!$B$31</f>
        <v>Bắt buộc: Charter/PMP; SRS + scope/WBS; Gantt/baseline; effort-cost budget; RACI/timesheet; quality-test-defect; communication/minutes; risk register; procurement; change log; closure/lessons learned.</v>
      </c>
      <c r="M3356" t="str">
        <f>'Huong dan giao do an'!$B$33</f>
        <v>Tuần 1: 07.09–13.09.2026; Tuần 2: 14.09–20.09.2026; Tuần 3: 21.09–27.09.2026; Tuần 4: 28.09–04.10.2026; Tuần 5: 05.10–11.10.2026; Tuần 6: 12.10–18.10.2026; Tuần 7: 19.10–25.10.2026; Tuần 8: 26.10–01.11.2026.</v>
      </c>
      <c r="N33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6" s="17" t="str">
        <f t="shared" si="52"/>
        <v>Còn trống</v>
      </c>
    </row>
    <row r="3357" spans="1:16" x14ac:dyDescent="0.3">
      <c r="A3357">
        <v>3356</v>
      </c>
      <c r="B3357" t="s">
        <v>7581</v>
      </c>
      <c r="C3357" t="s">
        <v>7720</v>
      </c>
      <c r="D3357" t="s">
        <v>7721</v>
      </c>
      <c r="E3357" t="s">
        <v>40</v>
      </c>
      <c r="F3357" t="s">
        <v>7584</v>
      </c>
      <c r="G3357" t="s">
        <v>7637</v>
      </c>
      <c r="H3357" t="str">
        <f>'Huong dan giao do an'!$B$14</f>
        <v>5 SV (vai trò chính): 1 PM/Scrum Master kiêm Integration; 2 BA/PO; 3 UI-UX + Frontend; 4 Backend/API + DevOps; 5 Database + QA/Tester. Mỗi SV có nhiệm vụ phụ và minh chứng cá nhân.</v>
      </c>
      <c r="I3357" t="s">
        <v>22</v>
      </c>
      <c r="J3357" t="s">
        <v>7586</v>
      </c>
      <c r="K3357" t="str">
        <f>IF(I3357="Trung bình",'Huong dan giao do an'!$B$8,IF(I3357="Khá",'Huong dan giao do an'!$B$9,'Huong dan giao do an'!$B$10))</f>
        <v>Tối thiểu 4 actor; 10-14 use case; 8-12 bảng; 3 quy trình lõi; phân quyền chi tiết; 2 báo cáo; tích hợp 1 dịch vụ; &gt;=35 test case; CI/CD hoặc deploy cloud.</v>
      </c>
      <c r="L3357" t="str">
        <f>'Huong dan giao do an'!$B$31</f>
        <v>Bắt buộc: Charter/PMP; SRS + scope/WBS; Gantt/baseline; effort-cost budget; RACI/timesheet; quality-test-defect; communication/minutes; risk register; procurement; change log; closure/lessons learned.</v>
      </c>
      <c r="M3357" t="str">
        <f>'Huong dan giao do an'!$B$33</f>
        <v>Tuần 1: 07.09–13.09.2026; Tuần 2: 14.09–20.09.2026; Tuần 3: 21.09–27.09.2026; Tuần 4: 28.09–04.10.2026; Tuần 5: 05.10–11.10.2026; Tuần 6: 12.10–18.10.2026; Tuần 7: 19.10–25.10.2026; Tuần 8: 26.10–01.11.2026.</v>
      </c>
      <c r="N33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7" s="17" t="str">
        <f t="shared" si="52"/>
        <v>Còn trống</v>
      </c>
    </row>
    <row r="3358" spans="1:16" x14ac:dyDescent="0.3">
      <c r="A3358">
        <v>3357</v>
      </c>
      <c r="B3358" t="s">
        <v>7581</v>
      </c>
      <c r="C3358" t="s">
        <v>7722</v>
      </c>
      <c r="D3358" t="s">
        <v>7723</v>
      </c>
      <c r="E3358" t="s">
        <v>45</v>
      </c>
      <c r="F3358" t="s">
        <v>7589</v>
      </c>
      <c r="G3358" t="s">
        <v>7640</v>
      </c>
      <c r="H3358" t="str">
        <f>'Huong dan giao do an'!$B$14</f>
        <v>5 SV (vai trò chính): 1 PM/Scrum Master kiêm Integration; 2 BA/PO; 3 UI-UX + Frontend; 4 Backend/API + DevOps; 5 Database + QA/Tester. Mỗi SV có nhiệm vụ phụ và minh chứng cá nhân.</v>
      </c>
      <c r="I3358" t="s">
        <v>29</v>
      </c>
      <c r="J3358" t="s">
        <v>7591</v>
      </c>
      <c r="K3358" t="str">
        <f>IF(I3358="Trung bình",'Huong dan giao do an'!$B$8,IF(I3358="Khá",'Huong dan giao do an'!$B$9,'Huong dan giao do an'!$B$10))</f>
        <v>Tối thiểu 5 actor; 14-18 use case; 10-15 bảng; 4 quy trình; tích hợp ngoài/realtime hoặc xử lý nâng cao; 3 báo cáo; &gt;=45 test case; logging, backup và deploy.</v>
      </c>
      <c r="L3358" t="str">
        <f>'Huong dan giao do an'!$B$31</f>
        <v>Bắt buộc: Charter/PMP; SRS + scope/WBS; Gantt/baseline; effort-cost budget; RACI/timesheet; quality-test-defect; communication/minutes; risk register; procurement; change log; closure/lessons learned.</v>
      </c>
      <c r="M3358" t="str">
        <f>'Huong dan giao do an'!$B$33</f>
        <v>Tuần 1: 07.09–13.09.2026; Tuần 2: 14.09–20.09.2026; Tuần 3: 21.09–27.09.2026; Tuần 4: 28.09–04.10.2026; Tuần 5: 05.10–11.10.2026; Tuần 6: 12.10–18.10.2026; Tuần 7: 19.10–25.10.2026; Tuần 8: 26.10–01.11.2026.</v>
      </c>
      <c r="N33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8" s="17" t="str">
        <f t="shared" si="52"/>
        <v>Còn trống</v>
      </c>
    </row>
    <row r="3359" spans="1:16" x14ac:dyDescent="0.3">
      <c r="A3359">
        <v>3358</v>
      </c>
      <c r="B3359" t="s">
        <v>7581</v>
      </c>
      <c r="C3359" t="s">
        <v>7724</v>
      </c>
      <c r="D3359" t="s">
        <v>7725</v>
      </c>
      <c r="E3359" t="s">
        <v>19</v>
      </c>
      <c r="F3359" t="s">
        <v>7594</v>
      </c>
      <c r="G3359" t="s">
        <v>7643</v>
      </c>
      <c r="H3359" t="str">
        <f>'Huong dan giao do an'!$B$14</f>
        <v>5 SV (vai trò chính): 1 PM/Scrum Master kiêm Integration; 2 BA/PO; 3 UI-UX + Frontend; 4 Backend/API + DevOps; 5 Database + QA/Tester. Mỗi SV có nhiệm vụ phụ và minh chứng cá nhân.</v>
      </c>
      <c r="I3359" t="s">
        <v>36</v>
      </c>
      <c r="J3359" t="s">
        <v>7596</v>
      </c>
      <c r="K3359" t="str">
        <f>IF(I3359="Trung bình",'Huong dan giao do an'!$B$8,IF(I3359="Khá",'Huong dan giao do an'!$B$9,'Huong dan giao do an'!$B$10))</f>
        <v>Tối thiểu 3 actor; 8-10 use case; 6-8 bảng dữ liệu; 2 quy trình lõi; đăng nhập/RBAC; 1 dashboard; 1 báo cáo; &gt;=25 test case; triển khai bản demo.</v>
      </c>
      <c r="L3359" t="str">
        <f>'Huong dan giao do an'!$B$31</f>
        <v>Bắt buộc: Charter/PMP; SRS + scope/WBS; Gantt/baseline; effort-cost budget; RACI/timesheet; quality-test-defect; communication/minutes; risk register; procurement; change log; closure/lessons learned.</v>
      </c>
      <c r="M3359" t="str">
        <f>'Huong dan giao do an'!$B$33</f>
        <v>Tuần 1: 07.09–13.09.2026; Tuần 2: 14.09–20.09.2026; Tuần 3: 21.09–27.09.2026; Tuần 4: 28.09–04.10.2026; Tuần 5: 05.10–11.10.2026; Tuần 6: 12.10–18.10.2026; Tuần 7: 19.10–25.10.2026; Tuần 8: 26.10–01.11.2026.</v>
      </c>
      <c r="N33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59" s="17" t="str">
        <f t="shared" si="52"/>
        <v>Còn trống</v>
      </c>
    </row>
    <row r="3360" spans="1:16" x14ac:dyDescent="0.3">
      <c r="A3360">
        <v>3359</v>
      </c>
      <c r="B3360" t="s">
        <v>7581</v>
      </c>
      <c r="C3360" t="s">
        <v>7726</v>
      </c>
      <c r="D3360" t="s">
        <v>7727</v>
      </c>
      <c r="E3360" t="s">
        <v>26</v>
      </c>
      <c r="F3360" t="s">
        <v>7599</v>
      </c>
      <c r="G3360" t="s">
        <v>7646</v>
      </c>
      <c r="H3360" t="str">
        <f>'Huong dan giao do an'!$B$14</f>
        <v>5 SV (vai trò chính): 1 PM/Scrum Master kiêm Integration; 2 BA/PO; 3 UI-UX + Frontend; 4 Backend/API + DevOps; 5 Database + QA/Tester. Mỗi SV có nhiệm vụ phụ và minh chứng cá nhân.</v>
      </c>
      <c r="I3360" t="s">
        <v>22</v>
      </c>
      <c r="J3360" t="s">
        <v>7586</v>
      </c>
      <c r="K3360" t="str">
        <f>IF(I3360="Trung bình",'Huong dan giao do an'!$B$8,IF(I3360="Khá",'Huong dan giao do an'!$B$9,'Huong dan giao do an'!$B$10))</f>
        <v>Tối thiểu 4 actor; 10-14 use case; 8-12 bảng; 3 quy trình lõi; phân quyền chi tiết; 2 báo cáo; tích hợp 1 dịch vụ; &gt;=35 test case; CI/CD hoặc deploy cloud.</v>
      </c>
      <c r="L3360" t="str">
        <f>'Huong dan giao do an'!$B$31</f>
        <v>Bắt buộc: Charter/PMP; SRS + scope/WBS; Gantt/baseline; effort-cost budget; RACI/timesheet; quality-test-defect; communication/minutes; risk register; procurement; change log; closure/lessons learned.</v>
      </c>
      <c r="M3360" t="str">
        <f>'Huong dan giao do an'!$B$33</f>
        <v>Tuần 1: 07.09–13.09.2026; Tuần 2: 14.09–20.09.2026; Tuần 3: 21.09–27.09.2026; Tuần 4: 28.09–04.10.2026; Tuần 5: 05.10–11.10.2026; Tuần 6: 12.10–18.10.2026; Tuần 7: 19.10–25.10.2026; Tuần 8: 26.10–01.11.2026.</v>
      </c>
      <c r="N33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0" s="17" t="str">
        <f t="shared" si="52"/>
        <v>Còn trống</v>
      </c>
    </row>
    <row r="3361" spans="1:16" x14ac:dyDescent="0.3">
      <c r="A3361">
        <v>3360</v>
      </c>
      <c r="B3361" t="s">
        <v>7581</v>
      </c>
      <c r="C3361" t="s">
        <v>7728</v>
      </c>
      <c r="D3361" t="s">
        <v>7729</v>
      </c>
      <c r="E3361" t="s">
        <v>33</v>
      </c>
      <c r="F3361" t="s">
        <v>7603</v>
      </c>
      <c r="G3361" t="s">
        <v>7649</v>
      </c>
      <c r="H3361" t="str">
        <f>'Huong dan giao do an'!$B$14</f>
        <v>5 SV (vai trò chính): 1 PM/Scrum Master kiêm Integration; 2 BA/PO; 3 UI-UX + Frontend; 4 Backend/API + DevOps; 5 Database + QA/Tester. Mỗi SV có nhiệm vụ phụ và minh chứng cá nhân.</v>
      </c>
      <c r="I3361" t="s">
        <v>29</v>
      </c>
      <c r="J3361" t="s">
        <v>7591</v>
      </c>
      <c r="K3361" t="str">
        <f>IF(I3361="Trung bình",'Huong dan giao do an'!$B$8,IF(I3361="Khá",'Huong dan giao do an'!$B$9,'Huong dan giao do an'!$B$10))</f>
        <v>Tối thiểu 5 actor; 14-18 use case; 10-15 bảng; 4 quy trình; tích hợp ngoài/realtime hoặc xử lý nâng cao; 3 báo cáo; &gt;=45 test case; logging, backup và deploy.</v>
      </c>
      <c r="L3361" t="str">
        <f>'Huong dan giao do an'!$B$31</f>
        <v>Bắt buộc: Charter/PMP; SRS + scope/WBS; Gantt/baseline; effort-cost budget; RACI/timesheet; quality-test-defect; communication/minutes; risk register; procurement; change log; closure/lessons learned.</v>
      </c>
      <c r="M3361" t="str">
        <f>'Huong dan giao do an'!$B$33</f>
        <v>Tuần 1: 07.09–13.09.2026; Tuần 2: 14.09–20.09.2026; Tuần 3: 21.09–27.09.2026; Tuần 4: 28.09–04.10.2026; Tuần 5: 05.10–11.10.2026; Tuần 6: 12.10–18.10.2026; Tuần 7: 19.10–25.10.2026; Tuần 8: 26.10–01.11.2026.</v>
      </c>
      <c r="N33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1" s="17" t="str">
        <f t="shared" si="52"/>
        <v>Còn trống</v>
      </c>
    </row>
    <row r="3362" spans="1:16" x14ac:dyDescent="0.3">
      <c r="A3362">
        <v>3361</v>
      </c>
      <c r="B3362" t="s">
        <v>7581</v>
      </c>
      <c r="C3362" t="s">
        <v>7730</v>
      </c>
      <c r="D3362" t="s">
        <v>7731</v>
      </c>
      <c r="E3362" t="s">
        <v>40</v>
      </c>
      <c r="F3362" t="s">
        <v>7584</v>
      </c>
      <c r="G3362" t="s">
        <v>7585</v>
      </c>
      <c r="H3362" t="str">
        <f>'Huong dan giao do an'!$B$14</f>
        <v>5 SV (vai trò chính): 1 PM/Scrum Master kiêm Integration; 2 BA/PO; 3 UI-UX + Frontend; 4 Backend/API + DevOps; 5 Database + QA/Tester. Mỗi SV có nhiệm vụ phụ và minh chứng cá nhân.</v>
      </c>
      <c r="I3362" t="s">
        <v>22</v>
      </c>
      <c r="J3362" t="s">
        <v>7586</v>
      </c>
      <c r="K3362" t="str">
        <f>IF(I3362="Trung bình",'Huong dan giao do an'!$B$8,IF(I3362="Khá",'Huong dan giao do an'!$B$9,'Huong dan giao do an'!$B$10))</f>
        <v>Tối thiểu 4 actor; 10-14 use case; 8-12 bảng; 3 quy trình lõi; phân quyền chi tiết; 2 báo cáo; tích hợp 1 dịch vụ; &gt;=35 test case; CI/CD hoặc deploy cloud.</v>
      </c>
      <c r="L3362" t="str">
        <f>'Huong dan giao do an'!$B$31</f>
        <v>Bắt buộc: Charter/PMP; SRS + scope/WBS; Gantt/baseline; effort-cost budget; RACI/timesheet; quality-test-defect; communication/minutes; risk register; procurement; change log; closure/lessons learned.</v>
      </c>
      <c r="M3362" t="str">
        <f>'Huong dan giao do an'!$B$33</f>
        <v>Tuần 1: 07.09–13.09.2026; Tuần 2: 14.09–20.09.2026; Tuần 3: 21.09–27.09.2026; Tuần 4: 28.09–04.10.2026; Tuần 5: 05.10–11.10.2026; Tuần 6: 12.10–18.10.2026; Tuần 7: 19.10–25.10.2026; Tuần 8: 26.10–01.11.2026.</v>
      </c>
      <c r="N33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2" s="17" t="str">
        <f t="shared" si="52"/>
        <v>Còn trống</v>
      </c>
    </row>
    <row r="3363" spans="1:16" x14ac:dyDescent="0.3">
      <c r="A3363">
        <v>3362</v>
      </c>
      <c r="B3363" t="s">
        <v>7581</v>
      </c>
      <c r="C3363" t="s">
        <v>7732</v>
      </c>
      <c r="D3363" t="s">
        <v>7733</v>
      </c>
      <c r="E3363" t="s">
        <v>45</v>
      </c>
      <c r="F3363" t="s">
        <v>7589</v>
      </c>
      <c r="G3363" t="s">
        <v>7590</v>
      </c>
      <c r="H3363" t="str">
        <f>'Huong dan giao do an'!$B$14</f>
        <v>5 SV (vai trò chính): 1 PM/Scrum Master kiêm Integration; 2 BA/PO; 3 UI-UX + Frontend; 4 Backend/API + DevOps; 5 Database + QA/Tester. Mỗi SV có nhiệm vụ phụ và minh chứng cá nhân.</v>
      </c>
      <c r="I3363" t="s">
        <v>29</v>
      </c>
      <c r="J3363" t="s">
        <v>7591</v>
      </c>
      <c r="K3363" t="str">
        <f>IF(I3363="Trung bình",'Huong dan giao do an'!$B$8,IF(I3363="Khá",'Huong dan giao do an'!$B$9,'Huong dan giao do an'!$B$10))</f>
        <v>Tối thiểu 5 actor; 14-18 use case; 10-15 bảng; 4 quy trình; tích hợp ngoài/realtime hoặc xử lý nâng cao; 3 báo cáo; &gt;=45 test case; logging, backup và deploy.</v>
      </c>
      <c r="L3363" t="str">
        <f>'Huong dan giao do an'!$B$31</f>
        <v>Bắt buộc: Charter/PMP; SRS + scope/WBS; Gantt/baseline; effort-cost budget; RACI/timesheet; quality-test-defect; communication/minutes; risk register; procurement; change log; closure/lessons learned.</v>
      </c>
      <c r="M3363" t="str">
        <f>'Huong dan giao do an'!$B$33</f>
        <v>Tuần 1: 07.09–13.09.2026; Tuần 2: 14.09–20.09.2026; Tuần 3: 21.09–27.09.2026; Tuần 4: 28.09–04.10.2026; Tuần 5: 05.10–11.10.2026; Tuần 6: 12.10–18.10.2026; Tuần 7: 19.10–25.10.2026; Tuần 8: 26.10–01.11.2026.</v>
      </c>
      <c r="N33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3" s="17" t="str">
        <f t="shared" si="52"/>
        <v>Còn trống</v>
      </c>
    </row>
    <row r="3364" spans="1:16" x14ac:dyDescent="0.3">
      <c r="A3364">
        <v>3363</v>
      </c>
      <c r="B3364" t="s">
        <v>7581</v>
      </c>
      <c r="C3364" t="s">
        <v>7734</v>
      </c>
      <c r="D3364" t="s">
        <v>7735</v>
      </c>
      <c r="E3364" t="s">
        <v>19</v>
      </c>
      <c r="F3364" t="s">
        <v>7594</v>
      </c>
      <c r="G3364" t="s">
        <v>7595</v>
      </c>
      <c r="H3364" t="str">
        <f>'Huong dan giao do an'!$B$14</f>
        <v>5 SV (vai trò chính): 1 PM/Scrum Master kiêm Integration; 2 BA/PO; 3 UI-UX + Frontend; 4 Backend/API + DevOps; 5 Database + QA/Tester. Mỗi SV có nhiệm vụ phụ và minh chứng cá nhân.</v>
      </c>
      <c r="I3364" t="s">
        <v>36</v>
      </c>
      <c r="J3364" t="s">
        <v>7596</v>
      </c>
      <c r="K3364" t="str">
        <f>IF(I3364="Trung bình",'Huong dan giao do an'!$B$8,IF(I3364="Khá",'Huong dan giao do an'!$B$9,'Huong dan giao do an'!$B$10))</f>
        <v>Tối thiểu 3 actor; 8-10 use case; 6-8 bảng dữ liệu; 2 quy trình lõi; đăng nhập/RBAC; 1 dashboard; 1 báo cáo; &gt;=25 test case; triển khai bản demo.</v>
      </c>
      <c r="L3364" t="str">
        <f>'Huong dan giao do an'!$B$31</f>
        <v>Bắt buộc: Charter/PMP; SRS + scope/WBS; Gantt/baseline; effort-cost budget; RACI/timesheet; quality-test-defect; communication/minutes; risk register; procurement; change log; closure/lessons learned.</v>
      </c>
      <c r="M3364" t="str">
        <f>'Huong dan giao do an'!$B$33</f>
        <v>Tuần 1: 07.09–13.09.2026; Tuần 2: 14.09–20.09.2026; Tuần 3: 21.09–27.09.2026; Tuần 4: 28.09–04.10.2026; Tuần 5: 05.10–11.10.2026; Tuần 6: 12.10–18.10.2026; Tuần 7: 19.10–25.10.2026; Tuần 8: 26.10–01.11.2026.</v>
      </c>
      <c r="N33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4" s="17" t="str">
        <f t="shared" si="52"/>
        <v>Còn trống</v>
      </c>
    </row>
    <row r="3365" spans="1:16" x14ac:dyDescent="0.3">
      <c r="A3365">
        <v>3364</v>
      </c>
      <c r="B3365" t="s">
        <v>7581</v>
      </c>
      <c r="C3365" t="s">
        <v>7736</v>
      </c>
      <c r="D3365" t="s">
        <v>7737</v>
      </c>
      <c r="E3365" t="s">
        <v>26</v>
      </c>
      <c r="F3365" t="s">
        <v>7599</v>
      </c>
      <c r="G3365" t="s">
        <v>7600</v>
      </c>
      <c r="H3365" t="str">
        <f>'Huong dan giao do an'!$B$14</f>
        <v>5 SV (vai trò chính): 1 PM/Scrum Master kiêm Integration; 2 BA/PO; 3 UI-UX + Frontend; 4 Backend/API + DevOps; 5 Database + QA/Tester. Mỗi SV có nhiệm vụ phụ và minh chứng cá nhân.</v>
      </c>
      <c r="I3365" t="s">
        <v>22</v>
      </c>
      <c r="J3365" t="s">
        <v>7586</v>
      </c>
      <c r="K3365" t="str">
        <f>IF(I3365="Trung bình",'Huong dan giao do an'!$B$8,IF(I3365="Khá",'Huong dan giao do an'!$B$9,'Huong dan giao do an'!$B$10))</f>
        <v>Tối thiểu 4 actor; 10-14 use case; 8-12 bảng; 3 quy trình lõi; phân quyền chi tiết; 2 báo cáo; tích hợp 1 dịch vụ; &gt;=35 test case; CI/CD hoặc deploy cloud.</v>
      </c>
      <c r="L3365" t="str">
        <f>'Huong dan giao do an'!$B$31</f>
        <v>Bắt buộc: Charter/PMP; SRS + scope/WBS; Gantt/baseline; effort-cost budget; RACI/timesheet; quality-test-defect; communication/minutes; risk register; procurement; change log; closure/lessons learned.</v>
      </c>
      <c r="M3365" t="str">
        <f>'Huong dan giao do an'!$B$33</f>
        <v>Tuần 1: 07.09–13.09.2026; Tuần 2: 14.09–20.09.2026; Tuần 3: 21.09–27.09.2026; Tuần 4: 28.09–04.10.2026; Tuần 5: 05.10–11.10.2026; Tuần 6: 12.10–18.10.2026; Tuần 7: 19.10–25.10.2026; Tuần 8: 26.10–01.11.2026.</v>
      </c>
      <c r="N33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5" s="17" t="str">
        <f t="shared" si="52"/>
        <v>Còn trống</v>
      </c>
    </row>
    <row r="3366" spans="1:16" x14ac:dyDescent="0.3">
      <c r="A3366">
        <v>3365</v>
      </c>
      <c r="B3366" t="s">
        <v>7581</v>
      </c>
      <c r="C3366" t="s">
        <v>7738</v>
      </c>
      <c r="D3366" t="s">
        <v>7739</v>
      </c>
      <c r="E3366" t="s">
        <v>33</v>
      </c>
      <c r="F3366" t="s">
        <v>7603</v>
      </c>
      <c r="G3366" t="s">
        <v>7604</v>
      </c>
      <c r="H3366" t="str">
        <f>'Huong dan giao do an'!$B$14</f>
        <v>5 SV (vai trò chính): 1 PM/Scrum Master kiêm Integration; 2 BA/PO; 3 UI-UX + Frontend; 4 Backend/API + DevOps; 5 Database + QA/Tester. Mỗi SV có nhiệm vụ phụ và minh chứng cá nhân.</v>
      </c>
      <c r="I3366" t="s">
        <v>29</v>
      </c>
      <c r="J3366" t="s">
        <v>7591</v>
      </c>
      <c r="K3366" t="str">
        <f>IF(I3366="Trung bình",'Huong dan giao do an'!$B$8,IF(I3366="Khá",'Huong dan giao do an'!$B$9,'Huong dan giao do an'!$B$10))</f>
        <v>Tối thiểu 5 actor; 14-18 use case; 10-15 bảng; 4 quy trình; tích hợp ngoài/realtime hoặc xử lý nâng cao; 3 báo cáo; &gt;=45 test case; logging, backup và deploy.</v>
      </c>
      <c r="L3366" t="str">
        <f>'Huong dan giao do an'!$B$31</f>
        <v>Bắt buộc: Charter/PMP; SRS + scope/WBS; Gantt/baseline; effort-cost budget; RACI/timesheet; quality-test-defect; communication/minutes; risk register; procurement; change log; closure/lessons learned.</v>
      </c>
      <c r="M3366" t="str">
        <f>'Huong dan giao do an'!$B$33</f>
        <v>Tuần 1: 07.09–13.09.2026; Tuần 2: 14.09–20.09.2026; Tuần 3: 21.09–27.09.2026; Tuần 4: 28.09–04.10.2026; Tuần 5: 05.10–11.10.2026; Tuần 6: 12.10–18.10.2026; Tuần 7: 19.10–25.10.2026; Tuần 8: 26.10–01.11.2026.</v>
      </c>
      <c r="N33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6" s="17" t="str">
        <f t="shared" si="52"/>
        <v>Còn trống</v>
      </c>
    </row>
    <row r="3367" spans="1:16" x14ac:dyDescent="0.3">
      <c r="A3367">
        <v>3366</v>
      </c>
      <c r="B3367" t="s">
        <v>7581</v>
      </c>
      <c r="C3367" t="s">
        <v>7740</v>
      </c>
      <c r="D3367" t="s">
        <v>7741</v>
      </c>
      <c r="E3367" t="s">
        <v>40</v>
      </c>
      <c r="F3367" t="s">
        <v>7584</v>
      </c>
      <c r="G3367" t="s">
        <v>7607</v>
      </c>
      <c r="H3367" t="str">
        <f>'Huong dan giao do an'!$B$14</f>
        <v>5 SV (vai trò chính): 1 PM/Scrum Master kiêm Integration; 2 BA/PO; 3 UI-UX + Frontend; 4 Backend/API + DevOps; 5 Database + QA/Tester. Mỗi SV có nhiệm vụ phụ và minh chứng cá nhân.</v>
      </c>
      <c r="I3367" t="s">
        <v>36</v>
      </c>
      <c r="J3367" t="s">
        <v>7596</v>
      </c>
      <c r="K3367" t="str">
        <f>IF(I3367="Trung bình",'Huong dan giao do an'!$B$8,IF(I3367="Khá",'Huong dan giao do an'!$B$9,'Huong dan giao do an'!$B$10))</f>
        <v>Tối thiểu 3 actor; 8-10 use case; 6-8 bảng dữ liệu; 2 quy trình lõi; đăng nhập/RBAC; 1 dashboard; 1 báo cáo; &gt;=25 test case; triển khai bản demo.</v>
      </c>
      <c r="L3367" t="str">
        <f>'Huong dan giao do an'!$B$31</f>
        <v>Bắt buộc: Charter/PMP; SRS + scope/WBS; Gantt/baseline; effort-cost budget; RACI/timesheet; quality-test-defect; communication/minutes; risk register; procurement; change log; closure/lessons learned.</v>
      </c>
      <c r="M3367" t="str">
        <f>'Huong dan giao do an'!$B$33</f>
        <v>Tuần 1: 07.09–13.09.2026; Tuần 2: 14.09–20.09.2026; Tuần 3: 21.09–27.09.2026; Tuần 4: 28.09–04.10.2026; Tuần 5: 05.10–11.10.2026; Tuần 6: 12.10–18.10.2026; Tuần 7: 19.10–25.10.2026; Tuần 8: 26.10–01.11.2026.</v>
      </c>
      <c r="N33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7" s="17" t="str">
        <f t="shared" si="52"/>
        <v>Còn trống</v>
      </c>
    </row>
    <row r="3368" spans="1:16" x14ac:dyDescent="0.3">
      <c r="A3368">
        <v>3367</v>
      </c>
      <c r="B3368" t="s">
        <v>7581</v>
      </c>
      <c r="C3368" t="s">
        <v>7742</v>
      </c>
      <c r="D3368" t="s">
        <v>7743</v>
      </c>
      <c r="E3368" t="s">
        <v>45</v>
      </c>
      <c r="F3368" t="s">
        <v>7589</v>
      </c>
      <c r="G3368" t="s">
        <v>7610</v>
      </c>
      <c r="H3368" t="str">
        <f>'Huong dan giao do an'!$B$14</f>
        <v>5 SV (vai trò chính): 1 PM/Scrum Master kiêm Integration; 2 BA/PO; 3 UI-UX + Frontend; 4 Backend/API + DevOps; 5 Database + QA/Tester. Mỗi SV có nhiệm vụ phụ và minh chứng cá nhân.</v>
      </c>
      <c r="I3368" t="s">
        <v>22</v>
      </c>
      <c r="J3368" t="s">
        <v>7586</v>
      </c>
      <c r="K3368" t="str">
        <f>IF(I3368="Trung bình",'Huong dan giao do an'!$B$8,IF(I3368="Khá",'Huong dan giao do an'!$B$9,'Huong dan giao do an'!$B$10))</f>
        <v>Tối thiểu 4 actor; 10-14 use case; 8-12 bảng; 3 quy trình lõi; phân quyền chi tiết; 2 báo cáo; tích hợp 1 dịch vụ; &gt;=35 test case; CI/CD hoặc deploy cloud.</v>
      </c>
      <c r="L3368" t="str">
        <f>'Huong dan giao do an'!$B$31</f>
        <v>Bắt buộc: Charter/PMP; SRS + scope/WBS; Gantt/baseline; effort-cost budget; RACI/timesheet; quality-test-defect; communication/minutes; risk register; procurement; change log; closure/lessons learned.</v>
      </c>
      <c r="M3368" t="str">
        <f>'Huong dan giao do an'!$B$33</f>
        <v>Tuần 1: 07.09–13.09.2026; Tuần 2: 14.09–20.09.2026; Tuần 3: 21.09–27.09.2026; Tuần 4: 28.09–04.10.2026; Tuần 5: 05.10–11.10.2026; Tuần 6: 12.10–18.10.2026; Tuần 7: 19.10–25.10.2026; Tuần 8: 26.10–01.11.2026.</v>
      </c>
      <c r="N33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8" s="17" t="str">
        <f t="shared" si="52"/>
        <v>Còn trống</v>
      </c>
    </row>
    <row r="3369" spans="1:16" x14ac:dyDescent="0.3">
      <c r="A3369">
        <v>3368</v>
      </c>
      <c r="B3369" t="s">
        <v>7581</v>
      </c>
      <c r="C3369" t="s">
        <v>7744</v>
      </c>
      <c r="D3369" t="s">
        <v>7745</v>
      </c>
      <c r="E3369" t="s">
        <v>19</v>
      </c>
      <c r="F3369" t="s">
        <v>7594</v>
      </c>
      <c r="G3369" t="s">
        <v>7613</v>
      </c>
      <c r="H3369" t="str">
        <f>'Huong dan giao do an'!$B$14</f>
        <v>5 SV (vai trò chính): 1 PM/Scrum Master kiêm Integration; 2 BA/PO; 3 UI-UX + Frontend; 4 Backend/API + DevOps; 5 Database + QA/Tester. Mỗi SV có nhiệm vụ phụ và minh chứng cá nhân.</v>
      </c>
      <c r="I3369" t="s">
        <v>29</v>
      </c>
      <c r="J3369" t="s">
        <v>7591</v>
      </c>
      <c r="K3369" t="str">
        <f>IF(I3369="Trung bình",'Huong dan giao do an'!$B$8,IF(I3369="Khá",'Huong dan giao do an'!$B$9,'Huong dan giao do an'!$B$10))</f>
        <v>Tối thiểu 5 actor; 14-18 use case; 10-15 bảng; 4 quy trình; tích hợp ngoài/realtime hoặc xử lý nâng cao; 3 báo cáo; &gt;=45 test case; logging, backup và deploy.</v>
      </c>
      <c r="L3369" t="str">
        <f>'Huong dan giao do an'!$B$31</f>
        <v>Bắt buộc: Charter/PMP; SRS + scope/WBS; Gantt/baseline; effort-cost budget; RACI/timesheet; quality-test-defect; communication/minutes; risk register; procurement; change log; closure/lessons learned.</v>
      </c>
      <c r="M3369" t="str">
        <f>'Huong dan giao do an'!$B$33</f>
        <v>Tuần 1: 07.09–13.09.2026; Tuần 2: 14.09–20.09.2026; Tuần 3: 21.09–27.09.2026; Tuần 4: 28.09–04.10.2026; Tuần 5: 05.10–11.10.2026; Tuần 6: 12.10–18.10.2026; Tuần 7: 19.10–25.10.2026; Tuần 8: 26.10–01.11.2026.</v>
      </c>
      <c r="N33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69" s="17" t="str">
        <f t="shared" si="52"/>
        <v>Còn trống</v>
      </c>
    </row>
    <row r="3370" spans="1:16" x14ac:dyDescent="0.3">
      <c r="A3370">
        <v>3369</v>
      </c>
      <c r="B3370" t="s">
        <v>7581</v>
      </c>
      <c r="C3370" t="s">
        <v>7746</v>
      </c>
      <c r="D3370" t="s">
        <v>7747</v>
      </c>
      <c r="E3370" t="s">
        <v>26</v>
      </c>
      <c r="F3370" t="s">
        <v>7599</v>
      </c>
      <c r="G3370" t="s">
        <v>7616</v>
      </c>
      <c r="H3370" t="str">
        <f>'Huong dan giao do an'!$B$14</f>
        <v>5 SV (vai trò chính): 1 PM/Scrum Master kiêm Integration; 2 BA/PO; 3 UI-UX + Frontend; 4 Backend/API + DevOps; 5 Database + QA/Tester. Mỗi SV có nhiệm vụ phụ và minh chứng cá nhân.</v>
      </c>
      <c r="I3370" t="s">
        <v>36</v>
      </c>
      <c r="J3370" t="s">
        <v>7596</v>
      </c>
      <c r="K3370" t="str">
        <f>IF(I3370="Trung bình",'Huong dan giao do an'!$B$8,IF(I3370="Khá",'Huong dan giao do an'!$B$9,'Huong dan giao do an'!$B$10))</f>
        <v>Tối thiểu 3 actor; 8-10 use case; 6-8 bảng dữ liệu; 2 quy trình lõi; đăng nhập/RBAC; 1 dashboard; 1 báo cáo; &gt;=25 test case; triển khai bản demo.</v>
      </c>
      <c r="L3370" t="str">
        <f>'Huong dan giao do an'!$B$31</f>
        <v>Bắt buộc: Charter/PMP; SRS + scope/WBS; Gantt/baseline; effort-cost budget; RACI/timesheet; quality-test-defect; communication/minutes; risk register; procurement; change log; closure/lessons learned.</v>
      </c>
      <c r="M3370" t="str">
        <f>'Huong dan giao do an'!$B$33</f>
        <v>Tuần 1: 07.09–13.09.2026; Tuần 2: 14.09–20.09.2026; Tuần 3: 21.09–27.09.2026; Tuần 4: 28.09–04.10.2026; Tuần 5: 05.10–11.10.2026; Tuần 6: 12.10–18.10.2026; Tuần 7: 19.10–25.10.2026; Tuần 8: 26.10–01.11.2026.</v>
      </c>
      <c r="N33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0" s="17" t="str">
        <f t="shared" si="52"/>
        <v>Còn trống</v>
      </c>
    </row>
    <row r="3371" spans="1:16" x14ac:dyDescent="0.3">
      <c r="A3371">
        <v>3370</v>
      </c>
      <c r="B3371" t="s">
        <v>7581</v>
      </c>
      <c r="C3371" t="s">
        <v>7748</v>
      </c>
      <c r="D3371" t="s">
        <v>7749</v>
      </c>
      <c r="E3371" t="s">
        <v>33</v>
      </c>
      <c r="F3371" t="s">
        <v>7603</v>
      </c>
      <c r="G3371" t="s">
        <v>7619</v>
      </c>
      <c r="H3371" t="str">
        <f>'Huong dan giao do an'!$B$14</f>
        <v>5 SV (vai trò chính): 1 PM/Scrum Master kiêm Integration; 2 BA/PO; 3 UI-UX + Frontend; 4 Backend/API + DevOps; 5 Database + QA/Tester. Mỗi SV có nhiệm vụ phụ và minh chứng cá nhân.</v>
      </c>
      <c r="I3371" t="s">
        <v>22</v>
      </c>
      <c r="J3371" t="s">
        <v>7586</v>
      </c>
      <c r="K3371" t="str">
        <f>IF(I3371="Trung bình",'Huong dan giao do an'!$B$8,IF(I3371="Khá",'Huong dan giao do an'!$B$9,'Huong dan giao do an'!$B$10))</f>
        <v>Tối thiểu 4 actor; 10-14 use case; 8-12 bảng; 3 quy trình lõi; phân quyền chi tiết; 2 báo cáo; tích hợp 1 dịch vụ; &gt;=35 test case; CI/CD hoặc deploy cloud.</v>
      </c>
      <c r="L3371" t="str">
        <f>'Huong dan giao do an'!$B$31</f>
        <v>Bắt buộc: Charter/PMP; SRS + scope/WBS; Gantt/baseline; effort-cost budget; RACI/timesheet; quality-test-defect; communication/minutes; risk register; procurement; change log; closure/lessons learned.</v>
      </c>
      <c r="M3371" t="str">
        <f>'Huong dan giao do an'!$B$33</f>
        <v>Tuần 1: 07.09–13.09.2026; Tuần 2: 14.09–20.09.2026; Tuần 3: 21.09–27.09.2026; Tuần 4: 28.09–04.10.2026; Tuần 5: 05.10–11.10.2026; Tuần 6: 12.10–18.10.2026; Tuần 7: 19.10–25.10.2026; Tuần 8: 26.10–01.11.2026.</v>
      </c>
      <c r="N33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1" s="17" t="str">
        <f t="shared" si="52"/>
        <v>Còn trống</v>
      </c>
    </row>
    <row r="3372" spans="1:16" x14ac:dyDescent="0.3">
      <c r="A3372">
        <v>3371</v>
      </c>
      <c r="B3372" t="s">
        <v>7581</v>
      </c>
      <c r="C3372" t="s">
        <v>7750</v>
      </c>
      <c r="D3372" t="s">
        <v>7751</v>
      </c>
      <c r="E3372" t="s">
        <v>40</v>
      </c>
      <c r="F3372" t="s">
        <v>7584</v>
      </c>
      <c r="G3372" t="s">
        <v>7622</v>
      </c>
      <c r="H3372" t="str">
        <f>'Huong dan giao do an'!$B$14</f>
        <v>5 SV (vai trò chính): 1 PM/Scrum Master kiêm Integration; 2 BA/PO; 3 UI-UX + Frontend; 4 Backend/API + DevOps; 5 Database + QA/Tester. Mỗi SV có nhiệm vụ phụ và minh chứng cá nhân.</v>
      </c>
      <c r="I3372" t="s">
        <v>29</v>
      </c>
      <c r="J3372" t="s">
        <v>7591</v>
      </c>
      <c r="K3372" t="str">
        <f>IF(I3372="Trung bình",'Huong dan giao do an'!$B$8,IF(I3372="Khá",'Huong dan giao do an'!$B$9,'Huong dan giao do an'!$B$10))</f>
        <v>Tối thiểu 5 actor; 14-18 use case; 10-15 bảng; 4 quy trình; tích hợp ngoài/realtime hoặc xử lý nâng cao; 3 báo cáo; &gt;=45 test case; logging, backup và deploy.</v>
      </c>
      <c r="L3372" t="str">
        <f>'Huong dan giao do an'!$B$31</f>
        <v>Bắt buộc: Charter/PMP; SRS + scope/WBS; Gantt/baseline; effort-cost budget; RACI/timesheet; quality-test-defect; communication/minutes; risk register; procurement; change log; closure/lessons learned.</v>
      </c>
      <c r="M3372" t="str">
        <f>'Huong dan giao do an'!$B$33</f>
        <v>Tuần 1: 07.09–13.09.2026; Tuần 2: 14.09–20.09.2026; Tuần 3: 21.09–27.09.2026; Tuần 4: 28.09–04.10.2026; Tuần 5: 05.10–11.10.2026; Tuần 6: 12.10–18.10.2026; Tuần 7: 19.10–25.10.2026; Tuần 8: 26.10–01.11.2026.</v>
      </c>
      <c r="N33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2" s="17" t="str">
        <f t="shared" si="52"/>
        <v>Còn trống</v>
      </c>
    </row>
    <row r="3373" spans="1:16" x14ac:dyDescent="0.3">
      <c r="A3373">
        <v>3372</v>
      </c>
      <c r="B3373" t="s">
        <v>7581</v>
      </c>
      <c r="C3373" t="s">
        <v>7752</v>
      </c>
      <c r="D3373" t="s">
        <v>7753</v>
      </c>
      <c r="E3373" t="s">
        <v>45</v>
      </c>
      <c r="F3373" t="s">
        <v>7589</v>
      </c>
      <c r="G3373" t="s">
        <v>7625</v>
      </c>
      <c r="H3373" t="str">
        <f>'Huong dan giao do an'!$B$14</f>
        <v>5 SV (vai trò chính): 1 PM/Scrum Master kiêm Integration; 2 BA/PO; 3 UI-UX + Frontend; 4 Backend/API + DevOps; 5 Database + QA/Tester. Mỗi SV có nhiệm vụ phụ và minh chứng cá nhân.</v>
      </c>
      <c r="I3373" t="s">
        <v>36</v>
      </c>
      <c r="J3373" t="s">
        <v>7596</v>
      </c>
      <c r="K3373" t="str">
        <f>IF(I3373="Trung bình",'Huong dan giao do an'!$B$8,IF(I3373="Khá",'Huong dan giao do an'!$B$9,'Huong dan giao do an'!$B$10))</f>
        <v>Tối thiểu 3 actor; 8-10 use case; 6-8 bảng dữ liệu; 2 quy trình lõi; đăng nhập/RBAC; 1 dashboard; 1 báo cáo; &gt;=25 test case; triển khai bản demo.</v>
      </c>
      <c r="L3373" t="str">
        <f>'Huong dan giao do an'!$B$31</f>
        <v>Bắt buộc: Charter/PMP; SRS + scope/WBS; Gantt/baseline; effort-cost budget; RACI/timesheet; quality-test-defect; communication/minutes; risk register; procurement; change log; closure/lessons learned.</v>
      </c>
      <c r="M3373" t="str">
        <f>'Huong dan giao do an'!$B$33</f>
        <v>Tuần 1: 07.09–13.09.2026; Tuần 2: 14.09–20.09.2026; Tuần 3: 21.09–27.09.2026; Tuần 4: 28.09–04.10.2026; Tuần 5: 05.10–11.10.2026; Tuần 6: 12.10–18.10.2026; Tuần 7: 19.10–25.10.2026; Tuần 8: 26.10–01.11.2026.</v>
      </c>
      <c r="N33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3" s="17" t="str">
        <f t="shared" si="52"/>
        <v>Còn trống</v>
      </c>
    </row>
    <row r="3374" spans="1:16" x14ac:dyDescent="0.3">
      <c r="A3374">
        <v>3373</v>
      </c>
      <c r="B3374" t="s">
        <v>7581</v>
      </c>
      <c r="C3374" t="s">
        <v>7754</v>
      </c>
      <c r="D3374" t="s">
        <v>7755</v>
      </c>
      <c r="E3374" t="s">
        <v>19</v>
      </c>
      <c r="F3374" t="s">
        <v>7594</v>
      </c>
      <c r="G3374" t="s">
        <v>7628</v>
      </c>
      <c r="H3374" t="str">
        <f>'Huong dan giao do an'!$B$14</f>
        <v>5 SV (vai trò chính): 1 PM/Scrum Master kiêm Integration; 2 BA/PO; 3 UI-UX + Frontend; 4 Backend/API + DevOps; 5 Database + QA/Tester. Mỗi SV có nhiệm vụ phụ và minh chứng cá nhân.</v>
      </c>
      <c r="I3374" t="s">
        <v>22</v>
      </c>
      <c r="J3374" t="s">
        <v>7586</v>
      </c>
      <c r="K3374" t="str">
        <f>IF(I3374="Trung bình",'Huong dan giao do an'!$B$8,IF(I3374="Khá",'Huong dan giao do an'!$B$9,'Huong dan giao do an'!$B$10))</f>
        <v>Tối thiểu 4 actor; 10-14 use case; 8-12 bảng; 3 quy trình lõi; phân quyền chi tiết; 2 báo cáo; tích hợp 1 dịch vụ; &gt;=35 test case; CI/CD hoặc deploy cloud.</v>
      </c>
      <c r="L3374" t="str">
        <f>'Huong dan giao do an'!$B$31</f>
        <v>Bắt buộc: Charter/PMP; SRS + scope/WBS; Gantt/baseline; effort-cost budget; RACI/timesheet; quality-test-defect; communication/minutes; risk register; procurement; change log; closure/lessons learned.</v>
      </c>
      <c r="M3374" t="str">
        <f>'Huong dan giao do an'!$B$33</f>
        <v>Tuần 1: 07.09–13.09.2026; Tuần 2: 14.09–20.09.2026; Tuần 3: 21.09–27.09.2026; Tuần 4: 28.09–04.10.2026; Tuần 5: 05.10–11.10.2026; Tuần 6: 12.10–18.10.2026; Tuần 7: 19.10–25.10.2026; Tuần 8: 26.10–01.11.2026.</v>
      </c>
      <c r="N33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4" s="17" t="str">
        <f t="shared" si="52"/>
        <v>Còn trống</v>
      </c>
    </row>
    <row r="3375" spans="1:16" x14ac:dyDescent="0.3">
      <c r="A3375">
        <v>3374</v>
      </c>
      <c r="B3375" t="s">
        <v>7581</v>
      </c>
      <c r="C3375" t="s">
        <v>7756</v>
      </c>
      <c r="D3375" t="s">
        <v>7757</v>
      </c>
      <c r="E3375" t="s">
        <v>26</v>
      </c>
      <c r="F3375" t="s">
        <v>7599</v>
      </c>
      <c r="G3375" t="s">
        <v>7631</v>
      </c>
      <c r="H3375" t="str">
        <f>'Huong dan giao do an'!$B$14</f>
        <v>5 SV (vai trò chính): 1 PM/Scrum Master kiêm Integration; 2 BA/PO; 3 UI-UX + Frontend; 4 Backend/API + DevOps; 5 Database + QA/Tester. Mỗi SV có nhiệm vụ phụ và minh chứng cá nhân.</v>
      </c>
      <c r="I3375" t="s">
        <v>29</v>
      </c>
      <c r="J3375" t="s">
        <v>7591</v>
      </c>
      <c r="K3375" t="str">
        <f>IF(I3375="Trung bình",'Huong dan giao do an'!$B$8,IF(I3375="Khá",'Huong dan giao do an'!$B$9,'Huong dan giao do an'!$B$10))</f>
        <v>Tối thiểu 5 actor; 14-18 use case; 10-15 bảng; 4 quy trình; tích hợp ngoài/realtime hoặc xử lý nâng cao; 3 báo cáo; &gt;=45 test case; logging, backup và deploy.</v>
      </c>
      <c r="L3375" t="str">
        <f>'Huong dan giao do an'!$B$31</f>
        <v>Bắt buộc: Charter/PMP; SRS + scope/WBS; Gantt/baseline; effort-cost budget; RACI/timesheet; quality-test-defect; communication/minutes; risk register; procurement; change log; closure/lessons learned.</v>
      </c>
      <c r="M3375" t="str">
        <f>'Huong dan giao do an'!$B$33</f>
        <v>Tuần 1: 07.09–13.09.2026; Tuần 2: 14.09–20.09.2026; Tuần 3: 21.09–27.09.2026; Tuần 4: 28.09–04.10.2026; Tuần 5: 05.10–11.10.2026; Tuần 6: 12.10–18.10.2026; Tuần 7: 19.10–25.10.2026; Tuần 8: 26.10–01.11.2026.</v>
      </c>
      <c r="N33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5" s="17" t="str">
        <f t="shared" si="52"/>
        <v>Còn trống</v>
      </c>
    </row>
    <row r="3376" spans="1:16" x14ac:dyDescent="0.3">
      <c r="A3376">
        <v>3375</v>
      </c>
      <c r="B3376" t="s">
        <v>7581</v>
      </c>
      <c r="C3376" t="s">
        <v>7758</v>
      </c>
      <c r="D3376" t="s">
        <v>7759</v>
      </c>
      <c r="E3376" t="s">
        <v>33</v>
      </c>
      <c r="F3376" t="s">
        <v>7603</v>
      </c>
      <c r="G3376" t="s">
        <v>7634</v>
      </c>
      <c r="H3376" t="str">
        <f>'Huong dan giao do an'!$B$14</f>
        <v>5 SV (vai trò chính): 1 PM/Scrum Master kiêm Integration; 2 BA/PO; 3 UI-UX + Frontend; 4 Backend/API + DevOps; 5 Database + QA/Tester. Mỗi SV có nhiệm vụ phụ và minh chứng cá nhân.</v>
      </c>
      <c r="I3376" t="s">
        <v>36</v>
      </c>
      <c r="J3376" t="s">
        <v>7596</v>
      </c>
      <c r="K3376" t="str">
        <f>IF(I3376="Trung bình",'Huong dan giao do an'!$B$8,IF(I3376="Khá",'Huong dan giao do an'!$B$9,'Huong dan giao do an'!$B$10))</f>
        <v>Tối thiểu 3 actor; 8-10 use case; 6-8 bảng dữ liệu; 2 quy trình lõi; đăng nhập/RBAC; 1 dashboard; 1 báo cáo; &gt;=25 test case; triển khai bản demo.</v>
      </c>
      <c r="L3376" t="str">
        <f>'Huong dan giao do an'!$B$31</f>
        <v>Bắt buộc: Charter/PMP; SRS + scope/WBS; Gantt/baseline; effort-cost budget; RACI/timesheet; quality-test-defect; communication/minutes; risk register; procurement; change log; closure/lessons learned.</v>
      </c>
      <c r="M3376" t="str">
        <f>'Huong dan giao do an'!$B$33</f>
        <v>Tuần 1: 07.09–13.09.2026; Tuần 2: 14.09–20.09.2026; Tuần 3: 21.09–27.09.2026; Tuần 4: 28.09–04.10.2026; Tuần 5: 05.10–11.10.2026; Tuần 6: 12.10–18.10.2026; Tuần 7: 19.10–25.10.2026; Tuần 8: 26.10–01.11.2026.</v>
      </c>
      <c r="N33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6" s="17" t="str">
        <f t="shared" si="52"/>
        <v>Còn trống</v>
      </c>
    </row>
    <row r="3377" spans="1:16" x14ac:dyDescent="0.3">
      <c r="A3377">
        <v>3376</v>
      </c>
      <c r="B3377" t="s">
        <v>7581</v>
      </c>
      <c r="C3377" t="s">
        <v>7760</v>
      </c>
      <c r="D3377" t="s">
        <v>7761</v>
      </c>
      <c r="E3377" t="s">
        <v>40</v>
      </c>
      <c r="F3377" t="s">
        <v>7584</v>
      </c>
      <c r="G3377" t="s">
        <v>7637</v>
      </c>
      <c r="H3377" t="str">
        <f>'Huong dan giao do an'!$B$14</f>
        <v>5 SV (vai trò chính): 1 PM/Scrum Master kiêm Integration; 2 BA/PO; 3 UI-UX + Frontend; 4 Backend/API + DevOps; 5 Database + QA/Tester. Mỗi SV có nhiệm vụ phụ và minh chứng cá nhân.</v>
      </c>
      <c r="I3377" t="s">
        <v>22</v>
      </c>
      <c r="J3377" t="s">
        <v>7586</v>
      </c>
      <c r="K3377" t="str">
        <f>IF(I3377="Trung bình",'Huong dan giao do an'!$B$8,IF(I3377="Khá",'Huong dan giao do an'!$B$9,'Huong dan giao do an'!$B$10))</f>
        <v>Tối thiểu 4 actor; 10-14 use case; 8-12 bảng; 3 quy trình lõi; phân quyền chi tiết; 2 báo cáo; tích hợp 1 dịch vụ; &gt;=35 test case; CI/CD hoặc deploy cloud.</v>
      </c>
      <c r="L3377" t="str">
        <f>'Huong dan giao do an'!$B$31</f>
        <v>Bắt buộc: Charter/PMP; SRS + scope/WBS; Gantt/baseline; effort-cost budget; RACI/timesheet; quality-test-defect; communication/minutes; risk register; procurement; change log; closure/lessons learned.</v>
      </c>
      <c r="M3377" t="str">
        <f>'Huong dan giao do an'!$B$33</f>
        <v>Tuần 1: 07.09–13.09.2026; Tuần 2: 14.09–20.09.2026; Tuần 3: 21.09–27.09.2026; Tuần 4: 28.09–04.10.2026; Tuần 5: 05.10–11.10.2026; Tuần 6: 12.10–18.10.2026; Tuần 7: 19.10–25.10.2026; Tuần 8: 26.10–01.11.2026.</v>
      </c>
      <c r="N33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7" s="17" t="str">
        <f t="shared" si="52"/>
        <v>Còn trống</v>
      </c>
    </row>
    <row r="3378" spans="1:16" x14ac:dyDescent="0.3">
      <c r="A3378">
        <v>3377</v>
      </c>
      <c r="B3378" t="s">
        <v>7581</v>
      </c>
      <c r="C3378" t="s">
        <v>7762</v>
      </c>
      <c r="D3378" t="s">
        <v>7763</v>
      </c>
      <c r="E3378" t="s">
        <v>45</v>
      </c>
      <c r="F3378" t="s">
        <v>7589</v>
      </c>
      <c r="G3378" t="s">
        <v>7640</v>
      </c>
      <c r="H3378" t="str">
        <f>'Huong dan giao do an'!$B$14</f>
        <v>5 SV (vai trò chính): 1 PM/Scrum Master kiêm Integration; 2 BA/PO; 3 UI-UX + Frontend; 4 Backend/API + DevOps; 5 Database + QA/Tester. Mỗi SV có nhiệm vụ phụ và minh chứng cá nhân.</v>
      </c>
      <c r="I3378" t="s">
        <v>29</v>
      </c>
      <c r="J3378" t="s">
        <v>7591</v>
      </c>
      <c r="K3378" t="str">
        <f>IF(I3378="Trung bình",'Huong dan giao do an'!$B$8,IF(I3378="Khá",'Huong dan giao do an'!$B$9,'Huong dan giao do an'!$B$10))</f>
        <v>Tối thiểu 5 actor; 14-18 use case; 10-15 bảng; 4 quy trình; tích hợp ngoài/realtime hoặc xử lý nâng cao; 3 báo cáo; &gt;=45 test case; logging, backup và deploy.</v>
      </c>
      <c r="L3378" t="str">
        <f>'Huong dan giao do an'!$B$31</f>
        <v>Bắt buộc: Charter/PMP; SRS + scope/WBS; Gantt/baseline; effort-cost budget; RACI/timesheet; quality-test-defect; communication/minutes; risk register; procurement; change log; closure/lessons learned.</v>
      </c>
      <c r="M3378" t="str">
        <f>'Huong dan giao do an'!$B$33</f>
        <v>Tuần 1: 07.09–13.09.2026; Tuần 2: 14.09–20.09.2026; Tuần 3: 21.09–27.09.2026; Tuần 4: 28.09–04.10.2026; Tuần 5: 05.10–11.10.2026; Tuần 6: 12.10–18.10.2026; Tuần 7: 19.10–25.10.2026; Tuần 8: 26.10–01.11.2026.</v>
      </c>
      <c r="N33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8" s="17" t="str">
        <f t="shared" si="52"/>
        <v>Còn trống</v>
      </c>
    </row>
    <row r="3379" spans="1:16" x14ac:dyDescent="0.3">
      <c r="A3379">
        <v>3378</v>
      </c>
      <c r="B3379" t="s">
        <v>7581</v>
      </c>
      <c r="C3379" t="s">
        <v>7764</v>
      </c>
      <c r="D3379" t="s">
        <v>7765</v>
      </c>
      <c r="E3379" t="s">
        <v>19</v>
      </c>
      <c r="F3379" t="s">
        <v>7594</v>
      </c>
      <c r="G3379" t="s">
        <v>7643</v>
      </c>
      <c r="H3379" t="str">
        <f>'Huong dan giao do an'!$B$14</f>
        <v>5 SV (vai trò chính): 1 PM/Scrum Master kiêm Integration; 2 BA/PO; 3 UI-UX + Frontend; 4 Backend/API + DevOps; 5 Database + QA/Tester. Mỗi SV có nhiệm vụ phụ và minh chứng cá nhân.</v>
      </c>
      <c r="I3379" t="s">
        <v>36</v>
      </c>
      <c r="J3379" t="s">
        <v>7596</v>
      </c>
      <c r="K3379" t="str">
        <f>IF(I3379="Trung bình",'Huong dan giao do an'!$B$8,IF(I3379="Khá",'Huong dan giao do an'!$B$9,'Huong dan giao do an'!$B$10))</f>
        <v>Tối thiểu 3 actor; 8-10 use case; 6-8 bảng dữ liệu; 2 quy trình lõi; đăng nhập/RBAC; 1 dashboard; 1 báo cáo; &gt;=25 test case; triển khai bản demo.</v>
      </c>
      <c r="L3379" t="str">
        <f>'Huong dan giao do an'!$B$31</f>
        <v>Bắt buộc: Charter/PMP; SRS + scope/WBS; Gantt/baseline; effort-cost budget; RACI/timesheet; quality-test-defect; communication/minutes; risk register; procurement; change log; closure/lessons learned.</v>
      </c>
      <c r="M3379" t="str">
        <f>'Huong dan giao do an'!$B$33</f>
        <v>Tuần 1: 07.09–13.09.2026; Tuần 2: 14.09–20.09.2026; Tuần 3: 21.09–27.09.2026; Tuần 4: 28.09–04.10.2026; Tuần 5: 05.10–11.10.2026; Tuần 6: 12.10–18.10.2026; Tuần 7: 19.10–25.10.2026; Tuần 8: 26.10–01.11.2026.</v>
      </c>
      <c r="N33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79" s="17" t="str">
        <f t="shared" si="52"/>
        <v>Còn trống</v>
      </c>
    </row>
    <row r="3380" spans="1:16" x14ac:dyDescent="0.3">
      <c r="A3380">
        <v>3379</v>
      </c>
      <c r="B3380" t="s">
        <v>7581</v>
      </c>
      <c r="C3380" t="s">
        <v>7766</v>
      </c>
      <c r="D3380" t="s">
        <v>7767</v>
      </c>
      <c r="E3380" t="s">
        <v>26</v>
      </c>
      <c r="F3380" t="s">
        <v>7599</v>
      </c>
      <c r="G3380" t="s">
        <v>7646</v>
      </c>
      <c r="H3380" t="str">
        <f>'Huong dan giao do an'!$B$14</f>
        <v>5 SV (vai trò chính): 1 PM/Scrum Master kiêm Integration; 2 BA/PO; 3 UI-UX + Frontend; 4 Backend/API + DevOps; 5 Database + QA/Tester. Mỗi SV có nhiệm vụ phụ và minh chứng cá nhân.</v>
      </c>
      <c r="I3380" t="s">
        <v>22</v>
      </c>
      <c r="J3380" t="s">
        <v>7586</v>
      </c>
      <c r="K3380" t="str">
        <f>IF(I3380="Trung bình",'Huong dan giao do an'!$B$8,IF(I3380="Khá",'Huong dan giao do an'!$B$9,'Huong dan giao do an'!$B$10))</f>
        <v>Tối thiểu 4 actor; 10-14 use case; 8-12 bảng; 3 quy trình lõi; phân quyền chi tiết; 2 báo cáo; tích hợp 1 dịch vụ; &gt;=35 test case; CI/CD hoặc deploy cloud.</v>
      </c>
      <c r="L3380" t="str">
        <f>'Huong dan giao do an'!$B$31</f>
        <v>Bắt buộc: Charter/PMP; SRS + scope/WBS; Gantt/baseline; effort-cost budget; RACI/timesheet; quality-test-defect; communication/minutes; risk register; procurement; change log; closure/lessons learned.</v>
      </c>
      <c r="M3380" t="str">
        <f>'Huong dan giao do an'!$B$33</f>
        <v>Tuần 1: 07.09–13.09.2026; Tuần 2: 14.09–20.09.2026; Tuần 3: 21.09–27.09.2026; Tuần 4: 28.09–04.10.2026; Tuần 5: 05.10–11.10.2026; Tuần 6: 12.10–18.10.2026; Tuần 7: 19.10–25.10.2026; Tuần 8: 26.10–01.11.2026.</v>
      </c>
      <c r="N33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0" s="17" t="str">
        <f t="shared" si="52"/>
        <v>Còn trống</v>
      </c>
    </row>
    <row r="3381" spans="1:16" x14ac:dyDescent="0.3">
      <c r="A3381">
        <v>3380</v>
      </c>
      <c r="B3381" t="s">
        <v>7581</v>
      </c>
      <c r="C3381" t="s">
        <v>7768</v>
      </c>
      <c r="D3381" t="s">
        <v>7769</v>
      </c>
      <c r="E3381" t="s">
        <v>33</v>
      </c>
      <c r="F3381" t="s">
        <v>7603</v>
      </c>
      <c r="G3381" t="s">
        <v>7649</v>
      </c>
      <c r="H3381" t="str">
        <f>'Huong dan giao do an'!$B$14</f>
        <v>5 SV (vai trò chính): 1 PM/Scrum Master kiêm Integration; 2 BA/PO; 3 UI-UX + Frontend; 4 Backend/API + DevOps; 5 Database + QA/Tester. Mỗi SV có nhiệm vụ phụ và minh chứng cá nhân.</v>
      </c>
      <c r="I3381" t="s">
        <v>29</v>
      </c>
      <c r="J3381" t="s">
        <v>7591</v>
      </c>
      <c r="K3381" t="str">
        <f>IF(I3381="Trung bình",'Huong dan giao do an'!$B$8,IF(I3381="Khá",'Huong dan giao do an'!$B$9,'Huong dan giao do an'!$B$10))</f>
        <v>Tối thiểu 5 actor; 14-18 use case; 10-15 bảng; 4 quy trình; tích hợp ngoài/realtime hoặc xử lý nâng cao; 3 báo cáo; &gt;=45 test case; logging, backup và deploy.</v>
      </c>
      <c r="L3381" t="str">
        <f>'Huong dan giao do an'!$B$31</f>
        <v>Bắt buộc: Charter/PMP; SRS + scope/WBS; Gantt/baseline; effort-cost budget; RACI/timesheet; quality-test-defect; communication/minutes; risk register; procurement; change log; closure/lessons learned.</v>
      </c>
      <c r="M3381" t="str">
        <f>'Huong dan giao do an'!$B$33</f>
        <v>Tuần 1: 07.09–13.09.2026; Tuần 2: 14.09–20.09.2026; Tuần 3: 21.09–27.09.2026; Tuần 4: 28.09–04.10.2026; Tuần 5: 05.10–11.10.2026; Tuần 6: 12.10–18.10.2026; Tuần 7: 19.10–25.10.2026; Tuần 8: 26.10–01.11.2026.</v>
      </c>
      <c r="N33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1" s="17" t="str">
        <f t="shared" si="52"/>
        <v>Còn trống</v>
      </c>
    </row>
    <row r="3382" spans="1:16" x14ac:dyDescent="0.3">
      <c r="A3382">
        <v>3381</v>
      </c>
      <c r="B3382" t="s">
        <v>7581</v>
      </c>
      <c r="C3382" t="s">
        <v>7770</v>
      </c>
      <c r="D3382" t="s">
        <v>7771</v>
      </c>
      <c r="E3382" t="s">
        <v>40</v>
      </c>
      <c r="F3382" t="s">
        <v>7584</v>
      </c>
      <c r="G3382" t="s">
        <v>7585</v>
      </c>
      <c r="H3382" t="str">
        <f>'Huong dan giao do an'!$B$14</f>
        <v>5 SV (vai trò chính): 1 PM/Scrum Master kiêm Integration; 2 BA/PO; 3 UI-UX + Frontend; 4 Backend/API + DevOps; 5 Database + QA/Tester. Mỗi SV có nhiệm vụ phụ và minh chứng cá nhân.</v>
      </c>
      <c r="I3382" t="s">
        <v>22</v>
      </c>
      <c r="J3382" t="s">
        <v>7586</v>
      </c>
      <c r="K3382" t="str">
        <f>IF(I3382="Trung bình",'Huong dan giao do an'!$B$8,IF(I3382="Khá",'Huong dan giao do an'!$B$9,'Huong dan giao do an'!$B$10))</f>
        <v>Tối thiểu 4 actor; 10-14 use case; 8-12 bảng; 3 quy trình lõi; phân quyền chi tiết; 2 báo cáo; tích hợp 1 dịch vụ; &gt;=35 test case; CI/CD hoặc deploy cloud.</v>
      </c>
      <c r="L3382" t="str">
        <f>'Huong dan giao do an'!$B$31</f>
        <v>Bắt buộc: Charter/PMP; SRS + scope/WBS; Gantt/baseline; effort-cost budget; RACI/timesheet; quality-test-defect; communication/minutes; risk register; procurement; change log; closure/lessons learned.</v>
      </c>
      <c r="M3382" t="str">
        <f>'Huong dan giao do an'!$B$33</f>
        <v>Tuần 1: 07.09–13.09.2026; Tuần 2: 14.09–20.09.2026; Tuần 3: 21.09–27.09.2026; Tuần 4: 28.09–04.10.2026; Tuần 5: 05.10–11.10.2026; Tuần 6: 12.10–18.10.2026; Tuần 7: 19.10–25.10.2026; Tuần 8: 26.10–01.11.2026.</v>
      </c>
      <c r="N33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2" s="17" t="str">
        <f t="shared" si="52"/>
        <v>Còn trống</v>
      </c>
    </row>
    <row r="3383" spans="1:16" x14ac:dyDescent="0.3">
      <c r="A3383">
        <v>3382</v>
      </c>
      <c r="B3383" t="s">
        <v>7581</v>
      </c>
      <c r="C3383" t="s">
        <v>7772</v>
      </c>
      <c r="D3383" t="s">
        <v>7773</v>
      </c>
      <c r="E3383" t="s">
        <v>45</v>
      </c>
      <c r="F3383" t="s">
        <v>7589</v>
      </c>
      <c r="G3383" t="s">
        <v>7590</v>
      </c>
      <c r="H3383" t="str">
        <f>'Huong dan giao do an'!$B$14</f>
        <v>5 SV (vai trò chính): 1 PM/Scrum Master kiêm Integration; 2 BA/PO; 3 UI-UX + Frontend; 4 Backend/API + DevOps; 5 Database + QA/Tester. Mỗi SV có nhiệm vụ phụ và minh chứng cá nhân.</v>
      </c>
      <c r="I3383" t="s">
        <v>29</v>
      </c>
      <c r="J3383" t="s">
        <v>7591</v>
      </c>
      <c r="K3383" t="str">
        <f>IF(I3383="Trung bình",'Huong dan giao do an'!$B$8,IF(I3383="Khá",'Huong dan giao do an'!$B$9,'Huong dan giao do an'!$B$10))</f>
        <v>Tối thiểu 5 actor; 14-18 use case; 10-15 bảng; 4 quy trình; tích hợp ngoài/realtime hoặc xử lý nâng cao; 3 báo cáo; &gt;=45 test case; logging, backup và deploy.</v>
      </c>
      <c r="L3383" t="str">
        <f>'Huong dan giao do an'!$B$31</f>
        <v>Bắt buộc: Charter/PMP; SRS + scope/WBS; Gantt/baseline; effort-cost budget; RACI/timesheet; quality-test-defect; communication/minutes; risk register; procurement; change log; closure/lessons learned.</v>
      </c>
      <c r="M3383" t="str">
        <f>'Huong dan giao do an'!$B$33</f>
        <v>Tuần 1: 07.09–13.09.2026; Tuần 2: 14.09–20.09.2026; Tuần 3: 21.09–27.09.2026; Tuần 4: 28.09–04.10.2026; Tuần 5: 05.10–11.10.2026; Tuần 6: 12.10–18.10.2026; Tuần 7: 19.10–25.10.2026; Tuần 8: 26.10–01.11.2026.</v>
      </c>
      <c r="N33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3" s="17" t="str">
        <f t="shared" si="52"/>
        <v>Còn trống</v>
      </c>
    </row>
    <row r="3384" spans="1:16" x14ac:dyDescent="0.3">
      <c r="A3384">
        <v>3383</v>
      </c>
      <c r="B3384" t="s">
        <v>7581</v>
      </c>
      <c r="C3384" t="s">
        <v>7774</v>
      </c>
      <c r="D3384" t="s">
        <v>7775</v>
      </c>
      <c r="E3384" t="s">
        <v>19</v>
      </c>
      <c r="F3384" t="s">
        <v>7594</v>
      </c>
      <c r="G3384" t="s">
        <v>7595</v>
      </c>
      <c r="H3384" t="str">
        <f>'Huong dan giao do an'!$B$14</f>
        <v>5 SV (vai trò chính): 1 PM/Scrum Master kiêm Integration; 2 BA/PO; 3 UI-UX + Frontend; 4 Backend/API + DevOps; 5 Database + QA/Tester. Mỗi SV có nhiệm vụ phụ và minh chứng cá nhân.</v>
      </c>
      <c r="I3384" t="s">
        <v>36</v>
      </c>
      <c r="J3384" t="s">
        <v>7596</v>
      </c>
      <c r="K3384" t="str">
        <f>IF(I3384="Trung bình",'Huong dan giao do an'!$B$8,IF(I3384="Khá",'Huong dan giao do an'!$B$9,'Huong dan giao do an'!$B$10))</f>
        <v>Tối thiểu 3 actor; 8-10 use case; 6-8 bảng dữ liệu; 2 quy trình lõi; đăng nhập/RBAC; 1 dashboard; 1 báo cáo; &gt;=25 test case; triển khai bản demo.</v>
      </c>
      <c r="L3384" t="str">
        <f>'Huong dan giao do an'!$B$31</f>
        <v>Bắt buộc: Charter/PMP; SRS + scope/WBS; Gantt/baseline; effort-cost budget; RACI/timesheet; quality-test-defect; communication/minutes; risk register; procurement; change log; closure/lessons learned.</v>
      </c>
      <c r="M3384" t="str">
        <f>'Huong dan giao do an'!$B$33</f>
        <v>Tuần 1: 07.09–13.09.2026; Tuần 2: 14.09–20.09.2026; Tuần 3: 21.09–27.09.2026; Tuần 4: 28.09–04.10.2026; Tuần 5: 05.10–11.10.2026; Tuần 6: 12.10–18.10.2026; Tuần 7: 19.10–25.10.2026; Tuần 8: 26.10–01.11.2026.</v>
      </c>
      <c r="N33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4" s="17" t="str">
        <f t="shared" si="52"/>
        <v>Còn trống</v>
      </c>
    </row>
    <row r="3385" spans="1:16" x14ac:dyDescent="0.3">
      <c r="A3385">
        <v>3384</v>
      </c>
      <c r="B3385" t="s">
        <v>7581</v>
      </c>
      <c r="C3385" t="s">
        <v>7776</v>
      </c>
      <c r="D3385" t="s">
        <v>7777</v>
      </c>
      <c r="E3385" t="s">
        <v>26</v>
      </c>
      <c r="F3385" t="s">
        <v>7599</v>
      </c>
      <c r="G3385" t="s">
        <v>7600</v>
      </c>
      <c r="H3385" t="str">
        <f>'Huong dan giao do an'!$B$14</f>
        <v>5 SV (vai trò chính): 1 PM/Scrum Master kiêm Integration; 2 BA/PO; 3 UI-UX + Frontend; 4 Backend/API + DevOps; 5 Database + QA/Tester. Mỗi SV có nhiệm vụ phụ và minh chứng cá nhân.</v>
      </c>
      <c r="I3385" t="s">
        <v>22</v>
      </c>
      <c r="J3385" t="s">
        <v>7586</v>
      </c>
      <c r="K3385" t="str">
        <f>IF(I3385="Trung bình",'Huong dan giao do an'!$B$8,IF(I3385="Khá",'Huong dan giao do an'!$B$9,'Huong dan giao do an'!$B$10))</f>
        <v>Tối thiểu 4 actor; 10-14 use case; 8-12 bảng; 3 quy trình lõi; phân quyền chi tiết; 2 báo cáo; tích hợp 1 dịch vụ; &gt;=35 test case; CI/CD hoặc deploy cloud.</v>
      </c>
      <c r="L3385" t="str">
        <f>'Huong dan giao do an'!$B$31</f>
        <v>Bắt buộc: Charter/PMP; SRS + scope/WBS; Gantt/baseline; effort-cost budget; RACI/timesheet; quality-test-defect; communication/minutes; risk register; procurement; change log; closure/lessons learned.</v>
      </c>
      <c r="M3385" t="str">
        <f>'Huong dan giao do an'!$B$33</f>
        <v>Tuần 1: 07.09–13.09.2026; Tuần 2: 14.09–20.09.2026; Tuần 3: 21.09–27.09.2026; Tuần 4: 28.09–04.10.2026; Tuần 5: 05.10–11.10.2026; Tuần 6: 12.10–18.10.2026; Tuần 7: 19.10–25.10.2026; Tuần 8: 26.10–01.11.2026.</v>
      </c>
      <c r="N33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5" s="17" t="str">
        <f t="shared" si="52"/>
        <v>Còn trống</v>
      </c>
    </row>
    <row r="3386" spans="1:16" x14ac:dyDescent="0.3">
      <c r="A3386">
        <v>3385</v>
      </c>
      <c r="B3386" t="s">
        <v>7581</v>
      </c>
      <c r="C3386" t="s">
        <v>7778</v>
      </c>
      <c r="D3386" t="s">
        <v>7779</v>
      </c>
      <c r="E3386" t="s">
        <v>33</v>
      </c>
      <c r="F3386" t="s">
        <v>7603</v>
      </c>
      <c r="G3386" t="s">
        <v>7604</v>
      </c>
      <c r="H3386" t="str">
        <f>'Huong dan giao do an'!$B$14</f>
        <v>5 SV (vai trò chính): 1 PM/Scrum Master kiêm Integration; 2 BA/PO; 3 UI-UX + Frontend; 4 Backend/API + DevOps; 5 Database + QA/Tester. Mỗi SV có nhiệm vụ phụ và minh chứng cá nhân.</v>
      </c>
      <c r="I3386" t="s">
        <v>29</v>
      </c>
      <c r="J3386" t="s">
        <v>7591</v>
      </c>
      <c r="K3386" t="str">
        <f>IF(I3386="Trung bình",'Huong dan giao do an'!$B$8,IF(I3386="Khá",'Huong dan giao do an'!$B$9,'Huong dan giao do an'!$B$10))</f>
        <v>Tối thiểu 5 actor; 14-18 use case; 10-15 bảng; 4 quy trình; tích hợp ngoài/realtime hoặc xử lý nâng cao; 3 báo cáo; &gt;=45 test case; logging, backup và deploy.</v>
      </c>
      <c r="L3386" t="str">
        <f>'Huong dan giao do an'!$B$31</f>
        <v>Bắt buộc: Charter/PMP; SRS + scope/WBS; Gantt/baseline; effort-cost budget; RACI/timesheet; quality-test-defect; communication/minutes; risk register; procurement; change log; closure/lessons learned.</v>
      </c>
      <c r="M3386" t="str">
        <f>'Huong dan giao do an'!$B$33</f>
        <v>Tuần 1: 07.09–13.09.2026; Tuần 2: 14.09–20.09.2026; Tuần 3: 21.09–27.09.2026; Tuần 4: 28.09–04.10.2026; Tuần 5: 05.10–11.10.2026; Tuần 6: 12.10–18.10.2026; Tuần 7: 19.10–25.10.2026; Tuần 8: 26.10–01.11.2026.</v>
      </c>
      <c r="N33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6" s="17" t="str">
        <f t="shared" si="52"/>
        <v>Còn trống</v>
      </c>
    </row>
    <row r="3387" spans="1:16" x14ac:dyDescent="0.3">
      <c r="A3387">
        <v>3386</v>
      </c>
      <c r="B3387" t="s">
        <v>7581</v>
      </c>
      <c r="C3387" t="s">
        <v>7780</v>
      </c>
      <c r="D3387" t="s">
        <v>7781</v>
      </c>
      <c r="E3387" t="s">
        <v>40</v>
      </c>
      <c r="F3387" t="s">
        <v>7584</v>
      </c>
      <c r="G3387" t="s">
        <v>7607</v>
      </c>
      <c r="H3387" t="str">
        <f>'Huong dan giao do an'!$B$14</f>
        <v>5 SV (vai trò chính): 1 PM/Scrum Master kiêm Integration; 2 BA/PO; 3 UI-UX + Frontend; 4 Backend/API + DevOps; 5 Database + QA/Tester. Mỗi SV có nhiệm vụ phụ và minh chứng cá nhân.</v>
      </c>
      <c r="I3387" t="s">
        <v>36</v>
      </c>
      <c r="J3387" t="s">
        <v>7596</v>
      </c>
      <c r="K3387" t="str">
        <f>IF(I3387="Trung bình",'Huong dan giao do an'!$B$8,IF(I3387="Khá",'Huong dan giao do an'!$B$9,'Huong dan giao do an'!$B$10))</f>
        <v>Tối thiểu 3 actor; 8-10 use case; 6-8 bảng dữ liệu; 2 quy trình lõi; đăng nhập/RBAC; 1 dashboard; 1 báo cáo; &gt;=25 test case; triển khai bản demo.</v>
      </c>
      <c r="L3387" t="str">
        <f>'Huong dan giao do an'!$B$31</f>
        <v>Bắt buộc: Charter/PMP; SRS + scope/WBS; Gantt/baseline; effort-cost budget; RACI/timesheet; quality-test-defect; communication/minutes; risk register; procurement; change log; closure/lessons learned.</v>
      </c>
      <c r="M3387" t="str">
        <f>'Huong dan giao do an'!$B$33</f>
        <v>Tuần 1: 07.09–13.09.2026; Tuần 2: 14.09–20.09.2026; Tuần 3: 21.09–27.09.2026; Tuần 4: 28.09–04.10.2026; Tuần 5: 05.10–11.10.2026; Tuần 6: 12.10–18.10.2026; Tuần 7: 19.10–25.10.2026; Tuần 8: 26.10–01.11.2026.</v>
      </c>
      <c r="N33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7" s="17" t="str">
        <f t="shared" si="52"/>
        <v>Còn trống</v>
      </c>
    </row>
    <row r="3388" spans="1:16" x14ac:dyDescent="0.3">
      <c r="A3388">
        <v>3387</v>
      </c>
      <c r="B3388" t="s">
        <v>7581</v>
      </c>
      <c r="C3388" t="s">
        <v>7782</v>
      </c>
      <c r="D3388" t="s">
        <v>7783</v>
      </c>
      <c r="E3388" t="s">
        <v>45</v>
      </c>
      <c r="F3388" t="s">
        <v>7589</v>
      </c>
      <c r="G3388" t="s">
        <v>7610</v>
      </c>
      <c r="H3388" t="str">
        <f>'Huong dan giao do an'!$B$14</f>
        <v>5 SV (vai trò chính): 1 PM/Scrum Master kiêm Integration; 2 BA/PO; 3 UI-UX + Frontend; 4 Backend/API + DevOps; 5 Database + QA/Tester. Mỗi SV có nhiệm vụ phụ và minh chứng cá nhân.</v>
      </c>
      <c r="I3388" t="s">
        <v>22</v>
      </c>
      <c r="J3388" t="s">
        <v>7586</v>
      </c>
      <c r="K3388" t="str">
        <f>IF(I3388="Trung bình",'Huong dan giao do an'!$B$8,IF(I3388="Khá",'Huong dan giao do an'!$B$9,'Huong dan giao do an'!$B$10))</f>
        <v>Tối thiểu 4 actor; 10-14 use case; 8-12 bảng; 3 quy trình lõi; phân quyền chi tiết; 2 báo cáo; tích hợp 1 dịch vụ; &gt;=35 test case; CI/CD hoặc deploy cloud.</v>
      </c>
      <c r="L3388" t="str">
        <f>'Huong dan giao do an'!$B$31</f>
        <v>Bắt buộc: Charter/PMP; SRS + scope/WBS; Gantt/baseline; effort-cost budget; RACI/timesheet; quality-test-defect; communication/minutes; risk register; procurement; change log; closure/lessons learned.</v>
      </c>
      <c r="M3388" t="str">
        <f>'Huong dan giao do an'!$B$33</f>
        <v>Tuần 1: 07.09–13.09.2026; Tuần 2: 14.09–20.09.2026; Tuần 3: 21.09–27.09.2026; Tuần 4: 28.09–04.10.2026; Tuần 5: 05.10–11.10.2026; Tuần 6: 12.10–18.10.2026; Tuần 7: 19.10–25.10.2026; Tuần 8: 26.10–01.11.2026.</v>
      </c>
      <c r="N33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8" s="17" t="str">
        <f t="shared" si="52"/>
        <v>Còn trống</v>
      </c>
    </row>
    <row r="3389" spans="1:16" x14ac:dyDescent="0.3">
      <c r="A3389">
        <v>3388</v>
      </c>
      <c r="B3389" t="s">
        <v>7581</v>
      </c>
      <c r="C3389" t="s">
        <v>7784</v>
      </c>
      <c r="D3389" t="s">
        <v>7785</v>
      </c>
      <c r="E3389" t="s">
        <v>19</v>
      </c>
      <c r="F3389" t="s">
        <v>7594</v>
      </c>
      <c r="G3389" t="s">
        <v>7613</v>
      </c>
      <c r="H3389" t="str">
        <f>'Huong dan giao do an'!$B$14</f>
        <v>5 SV (vai trò chính): 1 PM/Scrum Master kiêm Integration; 2 BA/PO; 3 UI-UX + Frontend; 4 Backend/API + DevOps; 5 Database + QA/Tester. Mỗi SV có nhiệm vụ phụ và minh chứng cá nhân.</v>
      </c>
      <c r="I3389" t="s">
        <v>29</v>
      </c>
      <c r="J3389" t="s">
        <v>7591</v>
      </c>
      <c r="K3389" t="str">
        <f>IF(I3389="Trung bình",'Huong dan giao do an'!$B$8,IF(I3389="Khá",'Huong dan giao do an'!$B$9,'Huong dan giao do an'!$B$10))</f>
        <v>Tối thiểu 5 actor; 14-18 use case; 10-15 bảng; 4 quy trình; tích hợp ngoài/realtime hoặc xử lý nâng cao; 3 báo cáo; &gt;=45 test case; logging, backup và deploy.</v>
      </c>
      <c r="L3389" t="str">
        <f>'Huong dan giao do an'!$B$31</f>
        <v>Bắt buộc: Charter/PMP; SRS + scope/WBS; Gantt/baseline; effort-cost budget; RACI/timesheet; quality-test-defect; communication/minutes; risk register; procurement; change log; closure/lessons learned.</v>
      </c>
      <c r="M3389" t="str">
        <f>'Huong dan giao do an'!$B$33</f>
        <v>Tuần 1: 07.09–13.09.2026; Tuần 2: 14.09–20.09.2026; Tuần 3: 21.09–27.09.2026; Tuần 4: 28.09–04.10.2026; Tuần 5: 05.10–11.10.2026; Tuần 6: 12.10–18.10.2026; Tuần 7: 19.10–25.10.2026; Tuần 8: 26.10–01.11.2026.</v>
      </c>
      <c r="N33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89" s="17" t="str">
        <f t="shared" si="52"/>
        <v>Còn trống</v>
      </c>
    </row>
    <row r="3390" spans="1:16" x14ac:dyDescent="0.3">
      <c r="A3390">
        <v>3389</v>
      </c>
      <c r="B3390" t="s">
        <v>7581</v>
      </c>
      <c r="C3390" t="s">
        <v>7786</v>
      </c>
      <c r="D3390" t="s">
        <v>7787</v>
      </c>
      <c r="E3390" t="s">
        <v>26</v>
      </c>
      <c r="F3390" t="s">
        <v>7599</v>
      </c>
      <c r="G3390" t="s">
        <v>7616</v>
      </c>
      <c r="H3390" t="str">
        <f>'Huong dan giao do an'!$B$14</f>
        <v>5 SV (vai trò chính): 1 PM/Scrum Master kiêm Integration; 2 BA/PO; 3 UI-UX + Frontend; 4 Backend/API + DevOps; 5 Database + QA/Tester. Mỗi SV có nhiệm vụ phụ và minh chứng cá nhân.</v>
      </c>
      <c r="I3390" t="s">
        <v>36</v>
      </c>
      <c r="J3390" t="s">
        <v>7596</v>
      </c>
      <c r="K3390" t="str">
        <f>IF(I3390="Trung bình",'Huong dan giao do an'!$B$8,IF(I3390="Khá",'Huong dan giao do an'!$B$9,'Huong dan giao do an'!$B$10))</f>
        <v>Tối thiểu 3 actor; 8-10 use case; 6-8 bảng dữ liệu; 2 quy trình lõi; đăng nhập/RBAC; 1 dashboard; 1 báo cáo; &gt;=25 test case; triển khai bản demo.</v>
      </c>
      <c r="L3390" t="str">
        <f>'Huong dan giao do an'!$B$31</f>
        <v>Bắt buộc: Charter/PMP; SRS + scope/WBS; Gantt/baseline; effort-cost budget; RACI/timesheet; quality-test-defect; communication/minutes; risk register; procurement; change log; closure/lessons learned.</v>
      </c>
      <c r="M3390" t="str">
        <f>'Huong dan giao do an'!$B$33</f>
        <v>Tuần 1: 07.09–13.09.2026; Tuần 2: 14.09–20.09.2026; Tuần 3: 21.09–27.09.2026; Tuần 4: 28.09–04.10.2026; Tuần 5: 05.10–11.10.2026; Tuần 6: 12.10–18.10.2026; Tuần 7: 19.10–25.10.2026; Tuần 8: 26.10–01.11.2026.</v>
      </c>
      <c r="N33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0" s="17" t="str">
        <f t="shared" si="52"/>
        <v>Còn trống</v>
      </c>
    </row>
    <row r="3391" spans="1:16" x14ac:dyDescent="0.3">
      <c r="A3391">
        <v>3390</v>
      </c>
      <c r="B3391" t="s">
        <v>7581</v>
      </c>
      <c r="C3391" t="s">
        <v>7788</v>
      </c>
      <c r="D3391" t="s">
        <v>7789</v>
      </c>
      <c r="E3391" t="s">
        <v>33</v>
      </c>
      <c r="F3391" t="s">
        <v>7603</v>
      </c>
      <c r="G3391" t="s">
        <v>7619</v>
      </c>
      <c r="H3391" t="str">
        <f>'Huong dan giao do an'!$B$14</f>
        <v>5 SV (vai trò chính): 1 PM/Scrum Master kiêm Integration; 2 BA/PO; 3 UI-UX + Frontend; 4 Backend/API + DevOps; 5 Database + QA/Tester. Mỗi SV có nhiệm vụ phụ và minh chứng cá nhân.</v>
      </c>
      <c r="I3391" t="s">
        <v>22</v>
      </c>
      <c r="J3391" t="s">
        <v>7586</v>
      </c>
      <c r="K3391" t="str">
        <f>IF(I3391="Trung bình",'Huong dan giao do an'!$B$8,IF(I3391="Khá",'Huong dan giao do an'!$B$9,'Huong dan giao do an'!$B$10))</f>
        <v>Tối thiểu 4 actor; 10-14 use case; 8-12 bảng; 3 quy trình lõi; phân quyền chi tiết; 2 báo cáo; tích hợp 1 dịch vụ; &gt;=35 test case; CI/CD hoặc deploy cloud.</v>
      </c>
      <c r="L3391" t="str">
        <f>'Huong dan giao do an'!$B$31</f>
        <v>Bắt buộc: Charter/PMP; SRS + scope/WBS; Gantt/baseline; effort-cost budget; RACI/timesheet; quality-test-defect; communication/minutes; risk register; procurement; change log; closure/lessons learned.</v>
      </c>
      <c r="M3391" t="str">
        <f>'Huong dan giao do an'!$B$33</f>
        <v>Tuần 1: 07.09–13.09.2026; Tuần 2: 14.09–20.09.2026; Tuần 3: 21.09–27.09.2026; Tuần 4: 28.09–04.10.2026; Tuần 5: 05.10–11.10.2026; Tuần 6: 12.10–18.10.2026; Tuần 7: 19.10–25.10.2026; Tuần 8: 26.10–01.11.2026.</v>
      </c>
      <c r="N33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1" s="17" t="str">
        <f t="shared" si="52"/>
        <v>Còn trống</v>
      </c>
    </row>
    <row r="3392" spans="1:16" x14ac:dyDescent="0.3">
      <c r="A3392">
        <v>3391</v>
      </c>
      <c r="B3392" t="s">
        <v>7581</v>
      </c>
      <c r="C3392" t="s">
        <v>7790</v>
      </c>
      <c r="D3392" t="s">
        <v>7791</v>
      </c>
      <c r="E3392" t="s">
        <v>40</v>
      </c>
      <c r="F3392" t="s">
        <v>7584</v>
      </c>
      <c r="G3392" t="s">
        <v>7622</v>
      </c>
      <c r="H3392" t="str">
        <f>'Huong dan giao do an'!$B$14</f>
        <v>5 SV (vai trò chính): 1 PM/Scrum Master kiêm Integration; 2 BA/PO; 3 UI-UX + Frontend; 4 Backend/API + DevOps; 5 Database + QA/Tester. Mỗi SV có nhiệm vụ phụ và minh chứng cá nhân.</v>
      </c>
      <c r="I3392" t="s">
        <v>29</v>
      </c>
      <c r="J3392" t="s">
        <v>7591</v>
      </c>
      <c r="K3392" t="str">
        <f>IF(I3392="Trung bình",'Huong dan giao do an'!$B$8,IF(I3392="Khá",'Huong dan giao do an'!$B$9,'Huong dan giao do an'!$B$10))</f>
        <v>Tối thiểu 5 actor; 14-18 use case; 10-15 bảng; 4 quy trình; tích hợp ngoài/realtime hoặc xử lý nâng cao; 3 báo cáo; &gt;=45 test case; logging, backup và deploy.</v>
      </c>
      <c r="L3392" t="str">
        <f>'Huong dan giao do an'!$B$31</f>
        <v>Bắt buộc: Charter/PMP; SRS + scope/WBS; Gantt/baseline; effort-cost budget; RACI/timesheet; quality-test-defect; communication/minutes; risk register; procurement; change log; closure/lessons learned.</v>
      </c>
      <c r="M3392" t="str">
        <f>'Huong dan giao do an'!$B$33</f>
        <v>Tuần 1: 07.09–13.09.2026; Tuần 2: 14.09–20.09.2026; Tuần 3: 21.09–27.09.2026; Tuần 4: 28.09–04.10.2026; Tuần 5: 05.10–11.10.2026; Tuần 6: 12.10–18.10.2026; Tuần 7: 19.10–25.10.2026; Tuần 8: 26.10–01.11.2026.</v>
      </c>
      <c r="N33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2" s="17" t="str">
        <f t="shared" si="52"/>
        <v>Còn trống</v>
      </c>
    </row>
    <row r="3393" spans="1:16" x14ac:dyDescent="0.3">
      <c r="A3393">
        <v>3392</v>
      </c>
      <c r="B3393" t="s">
        <v>7581</v>
      </c>
      <c r="C3393" t="s">
        <v>7792</v>
      </c>
      <c r="D3393" t="s">
        <v>7793</v>
      </c>
      <c r="E3393" t="s">
        <v>45</v>
      </c>
      <c r="F3393" t="s">
        <v>7589</v>
      </c>
      <c r="G3393" t="s">
        <v>7625</v>
      </c>
      <c r="H3393" t="str">
        <f>'Huong dan giao do an'!$B$14</f>
        <v>5 SV (vai trò chính): 1 PM/Scrum Master kiêm Integration; 2 BA/PO; 3 UI-UX + Frontend; 4 Backend/API + DevOps; 5 Database + QA/Tester. Mỗi SV có nhiệm vụ phụ và minh chứng cá nhân.</v>
      </c>
      <c r="I3393" t="s">
        <v>36</v>
      </c>
      <c r="J3393" t="s">
        <v>7596</v>
      </c>
      <c r="K3393" t="str">
        <f>IF(I3393="Trung bình",'Huong dan giao do an'!$B$8,IF(I3393="Khá",'Huong dan giao do an'!$B$9,'Huong dan giao do an'!$B$10))</f>
        <v>Tối thiểu 3 actor; 8-10 use case; 6-8 bảng dữ liệu; 2 quy trình lõi; đăng nhập/RBAC; 1 dashboard; 1 báo cáo; &gt;=25 test case; triển khai bản demo.</v>
      </c>
      <c r="L3393" t="str">
        <f>'Huong dan giao do an'!$B$31</f>
        <v>Bắt buộc: Charter/PMP; SRS + scope/WBS; Gantt/baseline; effort-cost budget; RACI/timesheet; quality-test-defect; communication/minutes; risk register; procurement; change log; closure/lessons learned.</v>
      </c>
      <c r="M3393" t="str">
        <f>'Huong dan giao do an'!$B$33</f>
        <v>Tuần 1: 07.09–13.09.2026; Tuần 2: 14.09–20.09.2026; Tuần 3: 21.09–27.09.2026; Tuần 4: 28.09–04.10.2026; Tuần 5: 05.10–11.10.2026; Tuần 6: 12.10–18.10.2026; Tuần 7: 19.10–25.10.2026; Tuần 8: 26.10–01.11.2026.</v>
      </c>
      <c r="N33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3" s="17" t="str">
        <f t="shared" si="52"/>
        <v>Còn trống</v>
      </c>
    </row>
    <row r="3394" spans="1:16" x14ac:dyDescent="0.3">
      <c r="A3394">
        <v>3393</v>
      </c>
      <c r="B3394" t="s">
        <v>7581</v>
      </c>
      <c r="C3394" t="s">
        <v>7794</v>
      </c>
      <c r="D3394" t="s">
        <v>7795</v>
      </c>
      <c r="E3394" t="s">
        <v>19</v>
      </c>
      <c r="F3394" t="s">
        <v>7594</v>
      </c>
      <c r="G3394" t="s">
        <v>7628</v>
      </c>
      <c r="H3394" t="str">
        <f>'Huong dan giao do an'!$B$14</f>
        <v>5 SV (vai trò chính): 1 PM/Scrum Master kiêm Integration; 2 BA/PO; 3 UI-UX + Frontend; 4 Backend/API + DevOps; 5 Database + QA/Tester. Mỗi SV có nhiệm vụ phụ và minh chứng cá nhân.</v>
      </c>
      <c r="I3394" t="s">
        <v>22</v>
      </c>
      <c r="J3394" t="s">
        <v>7586</v>
      </c>
      <c r="K3394" t="str">
        <f>IF(I3394="Trung bình",'Huong dan giao do an'!$B$8,IF(I3394="Khá",'Huong dan giao do an'!$B$9,'Huong dan giao do an'!$B$10))</f>
        <v>Tối thiểu 4 actor; 10-14 use case; 8-12 bảng; 3 quy trình lõi; phân quyền chi tiết; 2 báo cáo; tích hợp 1 dịch vụ; &gt;=35 test case; CI/CD hoặc deploy cloud.</v>
      </c>
      <c r="L3394" t="str">
        <f>'Huong dan giao do an'!$B$31</f>
        <v>Bắt buộc: Charter/PMP; SRS + scope/WBS; Gantt/baseline; effort-cost budget; RACI/timesheet; quality-test-defect; communication/minutes; risk register; procurement; change log; closure/lessons learned.</v>
      </c>
      <c r="M3394" t="str">
        <f>'Huong dan giao do an'!$B$33</f>
        <v>Tuần 1: 07.09–13.09.2026; Tuần 2: 14.09–20.09.2026; Tuần 3: 21.09–27.09.2026; Tuần 4: 28.09–04.10.2026; Tuần 5: 05.10–11.10.2026; Tuần 6: 12.10–18.10.2026; Tuần 7: 19.10–25.10.2026; Tuần 8: 26.10–01.11.2026.</v>
      </c>
      <c r="N33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4" s="17" t="str">
        <f t="shared" si="52"/>
        <v>Còn trống</v>
      </c>
    </row>
    <row r="3395" spans="1:16" x14ac:dyDescent="0.3">
      <c r="A3395">
        <v>3394</v>
      </c>
      <c r="B3395" t="s">
        <v>7581</v>
      </c>
      <c r="C3395" t="s">
        <v>7796</v>
      </c>
      <c r="D3395" t="s">
        <v>7797</v>
      </c>
      <c r="E3395" t="s">
        <v>26</v>
      </c>
      <c r="F3395" t="s">
        <v>7599</v>
      </c>
      <c r="G3395" t="s">
        <v>7631</v>
      </c>
      <c r="H3395" t="str">
        <f>'Huong dan giao do an'!$B$14</f>
        <v>5 SV (vai trò chính): 1 PM/Scrum Master kiêm Integration; 2 BA/PO; 3 UI-UX + Frontend; 4 Backend/API + DevOps; 5 Database + QA/Tester. Mỗi SV có nhiệm vụ phụ và minh chứng cá nhân.</v>
      </c>
      <c r="I3395" t="s">
        <v>29</v>
      </c>
      <c r="J3395" t="s">
        <v>7591</v>
      </c>
      <c r="K3395" t="str">
        <f>IF(I3395="Trung bình",'Huong dan giao do an'!$B$8,IF(I3395="Khá",'Huong dan giao do an'!$B$9,'Huong dan giao do an'!$B$10))</f>
        <v>Tối thiểu 5 actor; 14-18 use case; 10-15 bảng; 4 quy trình; tích hợp ngoài/realtime hoặc xử lý nâng cao; 3 báo cáo; &gt;=45 test case; logging, backup và deploy.</v>
      </c>
      <c r="L3395" t="str">
        <f>'Huong dan giao do an'!$B$31</f>
        <v>Bắt buộc: Charter/PMP; SRS + scope/WBS; Gantt/baseline; effort-cost budget; RACI/timesheet; quality-test-defect; communication/minutes; risk register; procurement; change log; closure/lessons learned.</v>
      </c>
      <c r="M3395" t="str">
        <f>'Huong dan giao do an'!$B$33</f>
        <v>Tuần 1: 07.09–13.09.2026; Tuần 2: 14.09–20.09.2026; Tuần 3: 21.09–27.09.2026; Tuần 4: 28.09–04.10.2026; Tuần 5: 05.10–11.10.2026; Tuần 6: 12.10–18.10.2026; Tuần 7: 19.10–25.10.2026; Tuần 8: 26.10–01.11.2026.</v>
      </c>
      <c r="N33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5" s="17" t="str">
        <f t="shared" ref="P3395:P3458" si="53">IF(O3395="","Còn trống","Đã đăng ký")</f>
        <v>Còn trống</v>
      </c>
    </row>
    <row r="3396" spans="1:16" x14ac:dyDescent="0.3">
      <c r="A3396">
        <v>3395</v>
      </c>
      <c r="B3396" t="s">
        <v>7581</v>
      </c>
      <c r="C3396" t="s">
        <v>7798</v>
      </c>
      <c r="D3396" t="s">
        <v>7799</v>
      </c>
      <c r="E3396" t="s">
        <v>33</v>
      </c>
      <c r="F3396" t="s">
        <v>7603</v>
      </c>
      <c r="G3396" t="s">
        <v>7634</v>
      </c>
      <c r="H3396" t="str">
        <f>'Huong dan giao do an'!$B$14</f>
        <v>5 SV (vai trò chính): 1 PM/Scrum Master kiêm Integration; 2 BA/PO; 3 UI-UX + Frontend; 4 Backend/API + DevOps; 5 Database + QA/Tester. Mỗi SV có nhiệm vụ phụ và minh chứng cá nhân.</v>
      </c>
      <c r="I3396" t="s">
        <v>36</v>
      </c>
      <c r="J3396" t="s">
        <v>7596</v>
      </c>
      <c r="K3396" t="str">
        <f>IF(I3396="Trung bình",'Huong dan giao do an'!$B$8,IF(I3396="Khá",'Huong dan giao do an'!$B$9,'Huong dan giao do an'!$B$10))</f>
        <v>Tối thiểu 3 actor; 8-10 use case; 6-8 bảng dữ liệu; 2 quy trình lõi; đăng nhập/RBAC; 1 dashboard; 1 báo cáo; &gt;=25 test case; triển khai bản demo.</v>
      </c>
      <c r="L3396" t="str">
        <f>'Huong dan giao do an'!$B$31</f>
        <v>Bắt buộc: Charter/PMP; SRS + scope/WBS; Gantt/baseline; effort-cost budget; RACI/timesheet; quality-test-defect; communication/minutes; risk register; procurement; change log; closure/lessons learned.</v>
      </c>
      <c r="M3396" t="str">
        <f>'Huong dan giao do an'!$B$33</f>
        <v>Tuần 1: 07.09–13.09.2026; Tuần 2: 14.09–20.09.2026; Tuần 3: 21.09–27.09.2026; Tuần 4: 28.09–04.10.2026; Tuần 5: 05.10–11.10.2026; Tuần 6: 12.10–18.10.2026; Tuần 7: 19.10–25.10.2026; Tuần 8: 26.10–01.11.2026.</v>
      </c>
      <c r="N33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6" s="17" t="str">
        <f t="shared" si="53"/>
        <v>Còn trống</v>
      </c>
    </row>
    <row r="3397" spans="1:16" x14ac:dyDescent="0.3">
      <c r="A3397">
        <v>3396</v>
      </c>
      <c r="B3397" t="s">
        <v>7581</v>
      </c>
      <c r="C3397" t="s">
        <v>7800</v>
      </c>
      <c r="D3397" t="s">
        <v>7801</v>
      </c>
      <c r="E3397" t="s">
        <v>40</v>
      </c>
      <c r="F3397" t="s">
        <v>7584</v>
      </c>
      <c r="G3397" t="s">
        <v>7637</v>
      </c>
      <c r="H3397" t="str">
        <f>'Huong dan giao do an'!$B$14</f>
        <v>5 SV (vai trò chính): 1 PM/Scrum Master kiêm Integration; 2 BA/PO; 3 UI-UX + Frontend; 4 Backend/API + DevOps; 5 Database + QA/Tester. Mỗi SV có nhiệm vụ phụ và minh chứng cá nhân.</v>
      </c>
      <c r="I3397" t="s">
        <v>22</v>
      </c>
      <c r="J3397" t="s">
        <v>7586</v>
      </c>
      <c r="K3397" t="str">
        <f>IF(I3397="Trung bình",'Huong dan giao do an'!$B$8,IF(I3397="Khá",'Huong dan giao do an'!$B$9,'Huong dan giao do an'!$B$10))</f>
        <v>Tối thiểu 4 actor; 10-14 use case; 8-12 bảng; 3 quy trình lõi; phân quyền chi tiết; 2 báo cáo; tích hợp 1 dịch vụ; &gt;=35 test case; CI/CD hoặc deploy cloud.</v>
      </c>
      <c r="L3397" t="str">
        <f>'Huong dan giao do an'!$B$31</f>
        <v>Bắt buộc: Charter/PMP; SRS + scope/WBS; Gantt/baseline; effort-cost budget; RACI/timesheet; quality-test-defect; communication/minutes; risk register; procurement; change log; closure/lessons learned.</v>
      </c>
      <c r="M3397" t="str">
        <f>'Huong dan giao do an'!$B$33</f>
        <v>Tuần 1: 07.09–13.09.2026; Tuần 2: 14.09–20.09.2026; Tuần 3: 21.09–27.09.2026; Tuần 4: 28.09–04.10.2026; Tuần 5: 05.10–11.10.2026; Tuần 6: 12.10–18.10.2026; Tuần 7: 19.10–25.10.2026; Tuần 8: 26.10–01.11.2026.</v>
      </c>
      <c r="N33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7" s="17" t="str">
        <f t="shared" si="53"/>
        <v>Còn trống</v>
      </c>
    </row>
    <row r="3398" spans="1:16" x14ac:dyDescent="0.3">
      <c r="A3398">
        <v>3397</v>
      </c>
      <c r="B3398" t="s">
        <v>7581</v>
      </c>
      <c r="C3398" t="s">
        <v>7802</v>
      </c>
      <c r="D3398" t="s">
        <v>7803</v>
      </c>
      <c r="E3398" t="s">
        <v>45</v>
      </c>
      <c r="F3398" t="s">
        <v>7589</v>
      </c>
      <c r="G3398" t="s">
        <v>7640</v>
      </c>
      <c r="H3398" t="str">
        <f>'Huong dan giao do an'!$B$14</f>
        <v>5 SV (vai trò chính): 1 PM/Scrum Master kiêm Integration; 2 BA/PO; 3 UI-UX + Frontend; 4 Backend/API + DevOps; 5 Database + QA/Tester. Mỗi SV có nhiệm vụ phụ và minh chứng cá nhân.</v>
      </c>
      <c r="I3398" t="s">
        <v>29</v>
      </c>
      <c r="J3398" t="s">
        <v>7591</v>
      </c>
      <c r="K3398" t="str">
        <f>IF(I3398="Trung bình",'Huong dan giao do an'!$B$8,IF(I3398="Khá",'Huong dan giao do an'!$B$9,'Huong dan giao do an'!$B$10))</f>
        <v>Tối thiểu 5 actor; 14-18 use case; 10-15 bảng; 4 quy trình; tích hợp ngoài/realtime hoặc xử lý nâng cao; 3 báo cáo; &gt;=45 test case; logging, backup và deploy.</v>
      </c>
      <c r="L3398" t="str">
        <f>'Huong dan giao do an'!$B$31</f>
        <v>Bắt buộc: Charter/PMP; SRS + scope/WBS; Gantt/baseline; effort-cost budget; RACI/timesheet; quality-test-defect; communication/minutes; risk register; procurement; change log; closure/lessons learned.</v>
      </c>
      <c r="M3398" t="str">
        <f>'Huong dan giao do an'!$B$33</f>
        <v>Tuần 1: 07.09–13.09.2026; Tuần 2: 14.09–20.09.2026; Tuần 3: 21.09–27.09.2026; Tuần 4: 28.09–04.10.2026; Tuần 5: 05.10–11.10.2026; Tuần 6: 12.10–18.10.2026; Tuần 7: 19.10–25.10.2026; Tuần 8: 26.10–01.11.2026.</v>
      </c>
      <c r="N33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8" s="17" t="str">
        <f t="shared" si="53"/>
        <v>Còn trống</v>
      </c>
    </row>
    <row r="3399" spans="1:16" x14ac:dyDescent="0.3">
      <c r="A3399">
        <v>3398</v>
      </c>
      <c r="B3399" t="s">
        <v>7581</v>
      </c>
      <c r="C3399" t="s">
        <v>7804</v>
      </c>
      <c r="D3399" t="s">
        <v>7805</v>
      </c>
      <c r="E3399" t="s">
        <v>19</v>
      </c>
      <c r="F3399" t="s">
        <v>7594</v>
      </c>
      <c r="G3399" t="s">
        <v>7643</v>
      </c>
      <c r="H3399" t="str">
        <f>'Huong dan giao do an'!$B$14</f>
        <v>5 SV (vai trò chính): 1 PM/Scrum Master kiêm Integration; 2 BA/PO; 3 UI-UX + Frontend; 4 Backend/API + DevOps; 5 Database + QA/Tester. Mỗi SV có nhiệm vụ phụ và minh chứng cá nhân.</v>
      </c>
      <c r="I3399" t="s">
        <v>36</v>
      </c>
      <c r="J3399" t="s">
        <v>7596</v>
      </c>
      <c r="K3399" t="str">
        <f>IF(I3399="Trung bình",'Huong dan giao do an'!$B$8,IF(I3399="Khá",'Huong dan giao do an'!$B$9,'Huong dan giao do an'!$B$10))</f>
        <v>Tối thiểu 3 actor; 8-10 use case; 6-8 bảng dữ liệu; 2 quy trình lõi; đăng nhập/RBAC; 1 dashboard; 1 báo cáo; &gt;=25 test case; triển khai bản demo.</v>
      </c>
      <c r="L3399" t="str">
        <f>'Huong dan giao do an'!$B$31</f>
        <v>Bắt buộc: Charter/PMP; SRS + scope/WBS; Gantt/baseline; effort-cost budget; RACI/timesheet; quality-test-defect; communication/minutes; risk register; procurement; change log; closure/lessons learned.</v>
      </c>
      <c r="M3399" t="str">
        <f>'Huong dan giao do an'!$B$33</f>
        <v>Tuần 1: 07.09–13.09.2026; Tuần 2: 14.09–20.09.2026; Tuần 3: 21.09–27.09.2026; Tuần 4: 28.09–04.10.2026; Tuần 5: 05.10–11.10.2026; Tuần 6: 12.10–18.10.2026; Tuần 7: 19.10–25.10.2026; Tuần 8: 26.10–01.11.2026.</v>
      </c>
      <c r="N33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399" s="17" t="str">
        <f t="shared" si="53"/>
        <v>Còn trống</v>
      </c>
    </row>
    <row r="3400" spans="1:16" x14ac:dyDescent="0.3">
      <c r="A3400">
        <v>3399</v>
      </c>
      <c r="B3400" t="s">
        <v>7581</v>
      </c>
      <c r="C3400" t="s">
        <v>7806</v>
      </c>
      <c r="D3400" t="s">
        <v>7807</v>
      </c>
      <c r="E3400" t="s">
        <v>26</v>
      </c>
      <c r="F3400" t="s">
        <v>7599</v>
      </c>
      <c r="G3400" t="s">
        <v>7646</v>
      </c>
      <c r="H3400" t="str">
        <f>'Huong dan giao do an'!$B$14</f>
        <v>5 SV (vai trò chính): 1 PM/Scrum Master kiêm Integration; 2 BA/PO; 3 UI-UX + Frontend; 4 Backend/API + DevOps; 5 Database + QA/Tester. Mỗi SV có nhiệm vụ phụ và minh chứng cá nhân.</v>
      </c>
      <c r="I3400" t="s">
        <v>22</v>
      </c>
      <c r="J3400" t="s">
        <v>7586</v>
      </c>
      <c r="K3400" t="str">
        <f>IF(I3400="Trung bình",'Huong dan giao do an'!$B$8,IF(I3400="Khá",'Huong dan giao do an'!$B$9,'Huong dan giao do an'!$B$10))</f>
        <v>Tối thiểu 4 actor; 10-14 use case; 8-12 bảng; 3 quy trình lõi; phân quyền chi tiết; 2 báo cáo; tích hợp 1 dịch vụ; &gt;=35 test case; CI/CD hoặc deploy cloud.</v>
      </c>
      <c r="L3400" t="str">
        <f>'Huong dan giao do an'!$B$31</f>
        <v>Bắt buộc: Charter/PMP; SRS + scope/WBS; Gantt/baseline; effort-cost budget; RACI/timesheet; quality-test-defect; communication/minutes; risk register; procurement; change log; closure/lessons learned.</v>
      </c>
      <c r="M3400" t="str">
        <f>'Huong dan giao do an'!$B$33</f>
        <v>Tuần 1: 07.09–13.09.2026; Tuần 2: 14.09–20.09.2026; Tuần 3: 21.09–27.09.2026; Tuần 4: 28.09–04.10.2026; Tuần 5: 05.10–11.10.2026; Tuần 6: 12.10–18.10.2026; Tuần 7: 19.10–25.10.2026; Tuần 8: 26.10–01.11.2026.</v>
      </c>
      <c r="N34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0" s="17" t="str">
        <f t="shared" si="53"/>
        <v>Còn trống</v>
      </c>
    </row>
    <row r="3401" spans="1:16" x14ac:dyDescent="0.3">
      <c r="A3401">
        <v>3400</v>
      </c>
      <c r="B3401" t="s">
        <v>7581</v>
      </c>
      <c r="C3401" t="s">
        <v>7808</v>
      </c>
      <c r="D3401" t="s">
        <v>7809</v>
      </c>
      <c r="E3401" t="s">
        <v>33</v>
      </c>
      <c r="F3401" t="s">
        <v>7603</v>
      </c>
      <c r="G3401" t="s">
        <v>7649</v>
      </c>
      <c r="H3401" t="str">
        <f>'Huong dan giao do an'!$B$14</f>
        <v>5 SV (vai trò chính): 1 PM/Scrum Master kiêm Integration; 2 BA/PO; 3 UI-UX + Frontend; 4 Backend/API + DevOps; 5 Database + QA/Tester. Mỗi SV có nhiệm vụ phụ và minh chứng cá nhân.</v>
      </c>
      <c r="I3401" t="s">
        <v>29</v>
      </c>
      <c r="J3401" t="s">
        <v>7591</v>
      </c>
      <c r="K3401" t="str">
        <f>IF(I3401="Trung bình",'Huong dan giao do an'!$B$8,IF(I3401="Khá",'Huong dan giao do an'!$B$9,'Huong dan giao do an'!$B$10))</f>
        <v>Tối thiểu 5 actor; 14-18 use case; 10-15 bảng; 4 quy trình; tích hợp ngoài/realtime hoặc xử lý nâng cao; 3 báo cáo; &gt;=45 test case; logging, backup và deploy.</v>
      </c>
      <c r="L3401" t="str">
        <f>'Huong dan giao do an'!$B$31</f>
        <v>Bắt buộc: Charter/PMP; SRS + scope/WBS; Gantt/baseline; effort-cost budget; RACI/timesheet; quality-test-defect; communication/minutes; risk register; procurement; change log; closure/lessons learned.</v>
      </c>
      <c r="M3401" t="str">
        <f>'Huong dan giao do an'!$B$33</f>
        <v>Tuần 1: 07.09–13.09.2026; Tuần 2: 14.09–20.09.2026; Tuần 3: 21.09–27.09.2026; Tuần 4: 28.09–04.10.2026; Tuần 5: 05.10–11.10.2026; Tuần 6: 12.10–18.10.2026; Tuần 7: 19.10–25.10.2026; Tuần 8: 26.10–01.11.2026.</v>
      </c>
      <c r="N34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1" s="17" t="str">
        <f t="shared" si="53"/>
        <v>Còn trống</v>
      </c>
    </row>
    <row r="3402" spans="1:16" x14ac:dyDescent="0.3">
      <c r="A3402">
        <v>3401</v>
      </c>
      <c r="B3402" t="s">
        <v>7810</v>
      </c>
      <c r="C3402" t="s">
        <v>7811</v>
      </c>
      <c r="D3402" t="s">
        <v>7812</v>
      </c>
      <c r="E3402" t="s">
        <v>45</v>
      </c>
      <c r="F3402" t="s">
        <v>7813</v>
      </c>
      <c r="G3402" t="s">
        <v>7814</v>
      </c>
      <c r="H3402" t="str">
        <f>'Huong dan giao do an'!$B$14</f>
        <v>5 SV (vai trò chính): 1 PM/Scrum Master kiêm Integration; 2 BA/PO; 3 UI-UX + Frontend; 4 Backend/API + DevOps; 5 Database + QA/Tester. Mỗi SV có nhiệm vụ phụ và minh chứng cá nhân.</v>
      </c>
      <c r="I3402" t="s">
        <v>22</v>
      </c>
      <c r="J3402" t="s">
        <v>7815</v>
      </c>
      <c r="K3402" t="str">
        <f>IF(I3402="Trung bình",'Huong dan giao do an'!$B$8,IF(I3402="Khá",'Huong dan giao do an'!$B$9,'Huong dan giao do an'!$B$10))</f>
        <v>Tối thiểu 4 actor; 10-14 use case; 8-12 bảng; 3 quy trình lõi; phân quyền chi tiết; 2 báo cáo; tích hợp 1 dịch vụ; &gt;=35 test case; CI/CD hoặc deploy cloud.</v>
      </c>
      <c r="L3402" t="str">
        <f>'Huong dan giao do an'!$B$31</f>
        <v>Bắt buộc: Charter/PMP; SRS + scope/WBS; Gantt/baseline; effort-cost budget; RACI/timesheet; quality-test-defect; communication/minutes; risk register; procurement; change log; closure/lessons learned.</v>
      </c>
      <c r="M3402" t="str">
        <f>'Huong dan giao do an'!$B$33</f>
        <v>Tuần 1: 07.09–13.09.2026; Tuần 2: 14.09–20.09.2026; Tuần 3: 21.09–27.09.2026; Tuần 4: 28.09–04.10.2026; Tuần 5: 05.10–11.10.2026; Tuần 6: 12.10–18.10.2026; Tuần 7: 19.10–25.10.2026; Tuần 8: 26.10–01.11.2026.</v>
      </c>
      <c r="N340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2" s="17" t="str">
        <f t="shared" si="53"/>
        <v>Còn trống</v>
      </c>
    </row>
    <row r="3403" spans="1:16" x14ac:dyDescent="0.3">
      <c r="A3403">
        <v>3402</v>
      </c>
      <c r="B3403" t="s">
        <v>7810</v>
      </c>
      <c r="C3403" t="s">
        <v>7816</v>
      </c>
      <c r="D3403" t="s">
        <v>7817</v>
      </c>
      <c r="E3403" t="s">
        <v>19</v>
      </c>
      <c r="F3403" t="s">
        <v>7818</v>
      </c>
      <c r="G3403" t="s">
        <v>2553</v>
      </c>
      <c r="H3403" t="str">
        <f>'Huong dan giao do an'!$B$14</f>
        <v>5 SV (vai trò chính): 1 PM/Scrum Master kiêm Integration; 2 BA/PO; 3 UI-UX + Frontend; 4 Backend/API + DevOps; 5 Database + QA/Tester. Mỗi SV có nhiệm vụ phụ và minh chứng cá nhân.</v>
      </c>
      <c r="I3403" t="s">
        <v>29</v>
      </c>
      <c r="J3403" t="s">
        <v>2554</v>
      </c>
      <c r="K3403" t="str">
        <f>IF(I3403="Trung bình",'Huong dan giao do an'!$B$8,IF(I3403="Khá",'Huong dan giao do an'!$B$9,'Huong dan giao do an'!$B$10))</f>
        <v>Tối thiểu 5 actor; 14-18 use case; 10-15 bảng; 4 quy trình; tích hợp ngoài/realtime hoặc xử lý nâng cao; 3 báo cáo; &gt;=45 test case; logging, backup và deploy.</v>
      </c>
      <c r="L3403" t="str">
        <f>'Huong dan giao do an'!$B$31</f>
        <v>Bắt buộc: Charter/PMP; SRS + scope/WBS; Gantt/baseline; effort-cost budget; RACI/timesheet; quality-test-defect; communication/minutes; risk register; procurement; change log; closure/lessons learned.</v>
      </c>
      <c r="M3403" t="str">
        <f>'Huong dan giao do an'!$B$33</f>
        <v>Tuần 1: 07.09–13.09.2026; Tuần 2: 14.09–20.09.2026; Tuần 3: 21.09–27.09.2026; Tuần 4: 28.09–04.10.2026; Tuần 5: 05.10–11.10.2026; Tuần 6: 12.10–18.10.2026; Tuần 7: 19.10–25.10.2026; Tuần 8: 26.10–01.11.2026.</v>
      </c>
      <c r="N340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3" s="17" t="str">
        <f t="shared" si="53"/>
        <v>Còn trống</v>
      </c>
    </row>
    <row r="3404" spans="1:16" x14ac:dyDescent="0.3">
      <c r="A3404">
        <v>3403</v>
      </c>
      <c r="B3404" t="s">
        <v>7810</v>
      </c>
      <c r="C3404" t="s">
        <v>7819</v>
      </c>
      <c r="D3404" t="s">
        <v>7820</v>
      </c>
      <c r="E3404" t="s">
        <v>26</v>
      </c>
      <c r="F3404" t="s">
        <v>7821</v>
      </c>
      <c r="G3404" t="s">
        <v>7822</v>
      </c>
      <c r="H3404" t="str">
        <f>'Huong dan giao do an'!$B$14</f>
        <v>5 SV (vai trò chính): 1 PM/Scrum Master kiêm Integration; 2 BA/PO; 3 UI-UX + Frontend; 4 Backend/API + DevOps; 5 Database + QA/Tester. Mỗi SV có nhiệm vụ phụ và minh chứng cá nhân.</v>
      </c>
      <c r="I3404" t="s">
        <v>36</v>
      </c>
      <c r="J3404" t="s">
        <v>7823</v>
      </c>
      <c r="K3404" t="str">
        <f>IF(I3404="Trung bình",'Huong dan giao do an'!$B$8,IF(I3404="Khá",'Huong dan giao do an'!$B$9,'Huong dan giao do an'!$B$10))</f>
        <v>Tối thiểu 3 actor; 8-10 use case; 6-8 bảng dữ liệu; 2 quy trình lõi; đăng nhập/RBAC; 1 dashboard; 1 báo cáo; &gt;=25 test case; triển khai bản demo.</v>
      </c>
      <c r="L3404" t="str">
        <f>'Huong dan giao do an'!$B$31</f>
        <v>Bắt buộc: Charter/PMP; SRS + scope/WBS; Gantt/baseline; effort-cost budget; RACI/timesheet; quality-test-defect; communication/minutes; risk register; procurement; change log; closure/lessons learned.</v>
      </c>
      <c r="M3404" t="str">
        <f>'Huong dan giao do an'!$B$33</f>
        <v>Tuần 1: 07.09–13.09.2026; Tuần 2: 14.09–20.09.2026; Tuần 3: 21.09–27.09.2026; Tuần 4: 28.09–04.10.2026; Tuần 5: 05.10–11.10.2026; Tuần 6: 12.10–18.10.2026; Tuần 7: 19.10–25.10.2026; Tuần 8: 26.10–01.11.2026.</v>
      </c>
      <c r="N340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4" s="17" t="str">
        <f t="shared" si="53"/>
        <v>Còn trống</v>
      </c>
    </row>
    <row r="3405" spans="1:16" x14ac:dyDescent="0.3">
      <c r="A3405">
        <v>3404</v>
      </c>
      <c r="B3405" t="s">
        <v>7810</v>
      </c>
      <c r="C3405" t="s">
        <v>7824</v>
      </c>
      <c r="D3405" t="s">
        <v>7825</v>
      </c>
      <c r="E3405" t="s">
        <v>33</v>
      </c>
      <c r="F3405" t="s">
        <v>7826</v>
      </c>
      <c r="G3405" t="s">
        <v>7827</v>
      </c>
      <c r="H3405" t="str">
        <f>'Huong dan giao do an'!$B$14</f>
        <v>5 SV (vai trò chính): 1 PM/Scrum Master kiêm Integration; 2 BA/PO; 3 UI-UX + Frontend; 4 Backend/API + DevOps; 5 Database + QA/Tester. Mỗi SV có nhiệm vụ phụ và minh chứng cá nhân.</v>
      </c>
      <c r="I3405" t="s">
        <v>22</v>
      </c>
      <c r="J3405" t="s">
        <v>7815</v>
      </c>
      <c r="K3405" t="str">
        <f>IF(I3405="Trung bình",'Huong dan giao do an'!$B$8,IF(I3405="Khá",'Huong dan giao do an'!$B$9,'Huong dan giao do an'!$B$10))</f>
        <v>Tối thiểu 4 actor; 10-14 use case; 8-12 bảng; 3 quy trình lõi; phân quyền chi tiết; 2 báo cáo; tích hợp 1 dịch vụ; &gt;=35 test case; CI/CD hoặc deploy cloud.</v>
      </c>
      <c r="L3405" t="str">
        <f>'Huong dan giao do an'!$B$31</f>
        <v>Bắt buộc: Charter/PMP; SRS + scope/WBS; Gantt/baseline; effort-cost budget; RACI/timesheet; quality-test-defect; communication/minutes; risk register; procurement; change log; closure/lessons learned.</v>
      </c>
      <c r="M3405" t="str">
        <f>'Huong dan giao do an'!$B$33</f>
        <v>Tuần 1: 07.09–13.09.2026; Tuần 2: 14.09–20.09.2026; Tuần 3: 21.09–27.09.2026; Tuần 4: 28.09–04.10.2026; Tuần 5: 05.10–11.10.2026; Tuần 6: 12.10–18.10.2026; Tuần 7: 19.10–25.10.2026; Tuần 8: 26.10–01.11.2026.</v>
      </c>
      <c r="N340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5" s="17" t="str">
        <f t="shared" si="53"/>
        <v>Còn trống</v>
      </c>
    </row>
    <row r="3406" spans="1:16" x14ac:dyDescent="0.3">
      <c r="A3406">
        <v>3405</v>
      </c>
      <c r="B3406" t="s">
        <v>7810</v>
      </c>
      <c r="C3406" t="s">
        <v>7828</v>
      </c>
      <c r="D3406" t="s">
        <v>7829</v>
      </c>
      <c r="E3406" t="s">
        <v>40</v>
      </c>
      <c r="F3406" t="s">
        <v>7830</v>
      </c>
      <c r="G3406" t="s">
        <v>2567</v>
      </c>
      <c r="H3406" t="str">
        <f>'Huong dan giao do an'!$B$14</f>
        <v>5 SV (vai trò chính): 1 PM/Scrum Master kiêm Integration; 2 BA/PO; 3 UI-UX + Frontend; 4 Backend/API + DevOps; 5 Database + QA/Tester. Mỗi SV có nhiệm vụ phụ và minh chứng cá nhân.</v>
      </c>
      <c r="I3406" t="s">
        <v>29</v>
      </c>
      <c r="J3406" t="s">
        <v>2554</v>
      </c>
      <c r="K3406" t="str">
        <f>IF(I3406="Trung bình",'Huong dan giao do an'!$B$8,IF(I3406="Khá",'Huong dan giao do an'!$B$9,'Huong dan giao do an'!$B$10))</f>
        <v>Tối thiểu 5 actor; 14-18 use case; 10-15 bảng; 4 quy trình; tích hợp ngoài/realtime hoặc xử lý nâng cao; 3 báo cáo; &gt;=45 test case; logging, backup và deploy.</v>
      </c>
      <c r="L3406" t="str">
        <f>'Huong dan giao do an'!$B$31</f>
        <v>Bắt buộc: Charter/PMP; SRS + scope/WBS; Gantt/baseline; effort-cost budget; RACI/timesheet; quality-test-defect; communication/minutes; risk register; procurement; change log; closure/lessons learned.</v>
      </c>
      <c r="M3406" t="str">
        <f>'Huong dan giao do an'!$B$33</f>
        <v>Tuần 1: 07.09–13.09.2026; Tuần 2: 14.09–20.09.2026; Tuần 3: 21.09–27.09.2026; Tuần 4: 28.09–04.10.2026; Tuần 5: 05.10–11.10.2026; Tuần 6: 12.10–18.10.2026; Tuần 7: 19.10–25.10.2026; Tuần 8: 26.10–01.11.2026.</v>
      </c>
      <c r="N340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6" s="17" t="str">
        <f t="shared" si="53"/>
        <v>Còn trống</v>
      </c>
    </row>
    <row r="3407" spans="1:16" x14ac:dyDescent="0.3">
      <c r="A3407">
        <v>3406</v>
      </c>
      <c r="B3407" t="s">
        <v>7810</v>
      </c>
      <c r="C3407" t="s">
        <v>7831</v>
      </c>
      <c r="D3407" t="s">
        <v>7832</v>
      </c>
      <c r="E3407" t="s">
        <v>45</v>
      </c>
      <c r="F3407" t="s">
        <v>7813</v>
      </c>
      <c r="G3407" t="s">
        <v>7833</v>
      </c>
      <c r="H3407" t="str">
        <f>'Huong dan giao do an'!$B$14</f>
        <v>5 SV (vai trò chính): 1 PM/Scrum Master kiêm Integration; 2 BA/PO; 3 UI-UX + Frontend; 4 Backend/API + DevOps; 5 Database + QA/Tester. Mỗi SV có nhiệm vụ phụ và minh chứng cá nhân.</v>
      </c>
      <c r="I3407" t="s">
        <v>36</v>
      </c>
      <c r="J3407" t="s">
        <v>7823</v>
      </c>
      <c r="K3407" t="str">
        <f>IF(I3407="Trung bình",'Huong dan giao do an'!$B$8,IF(I3407="Khá",'Huong dan giao do an'!$B$9,'Huong dan giao do an'!$B$10))</f>
        <v>Tối thiểu 3 actor; 8-10 use case; 6-8 bảng dữ liệu; 2 quy trình lõi; đăng nhập/RBAC; 1 dashboard; 1 báo cáo; &gt;=25 test case; triển khai bản demo.</v>
      </c>
      <c r="L3407" t="str">
        <f>'Huong dan giao do an'!$B$31</f>
        <v>Bắt buộc: Charter/PMP; SRS + scope/WBS; Gantt/baseline; effort-cost budget; RACI/timesheet; quality-test-defect; communication/minutes; risk register; procurement; change log; closure/lessons learned.</v>
      </c>
      <c r="M3407" t="str">
        <f>'Huong dan giao do an'!$B$33</f>
        <v>Tuần 1: 07.09–13.09.2026; Tuần 2: 14.09–20.09.2026; Tuần 3: 21.09–27.09.2026; Tuần 4: 28.09–04.10.2026; Tuần 5: 05.10–11.10.2026; Tuần 6: 12.10–18.10.2026; Tuần 7: 19.10–25.10.2026; Tuần 8: 26.10–01.11.2026.</v>
      </c>
      <c r="N340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7" s="17" t="str">
        <f t="shared" si="53"/>
        <v>Còn trống</v>
      </c>
    </row>
    <row r="3408" spans="1:16" x14ac:dyDescent="0.3">
      <c r="A3408">
        <v>3407</v>
      </c>
      <c r="B3408" t="s">
        <v>7810</v>
      </c>
      <c r="C3408" t="s">
        <v>7834</v>
      </c>
      <c r="D3408" t="s">
        <v>7835</v>
      </c>
      <c r="E3408" t="s">
        <v>19</v>
      </c>
      <c r="F3408" t="s">
        <v>7818</v>
      </c>
      <c r="G3408" t="s">
        <v>7836</v>
      </c>
      <c r="H3408" t="str">
        <f>'Huong dan giao do an'!$B$14</f>
        <v>5 SV (vai trò chính): 1 PM/Scrum Master kiêm Integration; 2 BA/PO; 3 UI-UX + Frontend; 4 Backend/API + DevOps; 5 Database + QA/Tester. Mỗi SV có nhiệm vụ phụ và minh chứng cá nhân.</v>
      </c>
      <c r="I3408" t="s">
        <v>22</v>
      </c>
      <c r="J3408" t="s">
        <v>7815</v>
      </c>
      <c r="K3408" t="str">
        <f>IF(I3408="Trung bình",'Huong dan giao do an'!$B$8,IF(I3408="Khá",'Huong dan giao do an'!$B$9,'Huong dan giao do an'!$B$10))</f>
        <v>Tối thiểu 4 actor; 10-14 use case; 8-12 bảng; 3 quy trình lõi; phân quyền chi tiết; 2 báo cáo; tích hợp 1 dịch vụ; &gt;=35 test case; CI/CD hoặc deploy cloud.</v>
      </c>
      <c r="L3408" t="str">
        <f>'Huong dan giao do an'!$B$31</f>
        <v>Bắt buộc: Charter/PMP; SRS + scope/WBS; Gantt/baseline; effort-cost budget; RACI/timesheet; quality-test-defect; communication/minutes; risk register; procurement; change log; closure/lessons learned.</v>
      </c>
      <c r="M3408" t="str">
        <f>'Huong dan giao do an'!$B$33</f>
        <v>Tuần 1: 07.09–13.09.2026; Tuần 2: 14.09–20.09.2026; Tuần 3: 21.09–27.09.2026; Tuần 4: 28.09–04.10.2026; Tuần 5: 05.10–11.10.2026; Tuần 6: 12.10–18.10.2026; Tuần 7: 19.10–25.10.2026; Tuần 8: 26.10–01.11.2026.</v>
      </c>
      <c r="N340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8" s="17" t="str">
        <f t="shared" si="53"/>
        <v>Còn trống</v>
      </c>
    </row>
    <row r="3409" spans="1:16" x14ac:dyDescent="0.3">
      <c r="A3409">
        <v>3408</v>
      </c>
      <c r="B3409" t="s">
        <v>7810</v>
      </c>
      <c r="C3409" t="s">
        <v>7837</v>
      </c>
      <c r="D3409" t="s">
        <v>7838</v>
      </c>
      <c r="E3409" t="s">
        <v>26</v>
      </c>
      <c r="F3409" t="s">
        <v>7821</v>
      </c>
      <c r="G3409" t="s">
        <v>2576</v>
      </c>
      <c r="H3409" t="str">
        <f>'Huong dan giao do an'!$B$14</f>
        <v>5 SV (vai trò chính): 1 PM/Scrum Master kiêm Integration; 2 BA/PO; 3 UI-UX + Frontend; 4 Backend/API + DevOps; 5 Database + QA/Tester. Mỗi SV có nhiệm vụ phụ và minh chứng cá nhân.</v>
      </c>
      <c r="I3409" t="s">
        <v>29</v>
      </c>
      <c r="J3409" t="s">
        <v>2554</v>
      </c>
      <c r="K3409" t="str">
        <f>IF(I3409="Trung bình",'Huong dan giao do an'!$B$8,IF(I3409="Khá",'Huong dan giao do an'!$B$9,'Huong dan giao do an'!$B$10))</f>
        <v>Tối thiểu 5 actor; 14-18 use case; 10-15 bảng; 4 quy trình; tích hợp ngoài/realtime hoặc xử lý nâng cao; 3 báo cáo; &gt;=45 test case; logging, backup và deploy.</v>
      </c>
      <c r="L3409" t="str">
        <f>'Huong dan giao do an'!$B$31</f>
        <v>Bắt buộc: Charter/PMP; SRS + scope/WBS; Gantt/baseline; effort-cost budget; RACI/timesheet; quality-test-defect; communication/minutes; risk register; procurement; change log; closure/lessons learned.</v>
      </c>
      <c r="M3409" t="str">
        <f>'Huong dan giao do an'!$B$33</f>
        <v>Tuần 1: 07.09–13.09.2026; Tuần 2: 14.09–20.09.2026; Tuần 3: 21.09–27.09.2026; Tuần 4: 28.09–04.10.2026; Tuần 5: 05.10–11.10.2026; Tuần 6: 12.10–18.10.2026; Tuần 7: 19.10–25.10.2026; Tuần 8: 26.10–01.11.2026.</v>
      </c>
      <c r="N340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09" s="17" t="str">
        <f t="shared" si="53"/>
        <v>Còn trống</v>
      </c>
    </row>
    <row r="3410" spans="1:16" x14ac:dyDescent="0.3">
      <c r="A3410">
        <v>3409</v>
      </c>
      <c r="B3410" t="s">
        <v>7810</v>
      </c>
      <c r="C3410" t="s">
        <v>7839</v>
      </c>
      <c r="D3410" t="s">
        <v>7840</v>
      </c>
      <c r="E3410" t="s">
        <v>33</v>
      </c>
      <c r="F3410" t="s">
        <v>7826</v>
      </c>
      <c r="G3410" t="s">
        <v>7841</v>
      </c>
      <c r="H3410" t="str">
        <f>'Huong dan giao do an'!$B$14</f>
        <v>5 SV (vai trò chính): 1 PM/Scrum Master kiêm Integration; 2 BA/PO; 3 UI-UX + Frontend; 4 Backend/API + DevOps; 5 Database + QA/Tester. Mỗi SV có nhiệm vụ phụ và minh chứng cá nhân.</v>
      </c>
      <c r="I3410" t="s">
        <v>36</v>
      </c>
      <c r="J3410" t="s">
        <v>7823</v>
      </c>
      <c r="K3410" t="str">
        <f>IF(I3410="Trung bình",'Huong dan giao do an'!$B$8,IF(I3410="Khá",'Huong dan giao do an'!$B$9,'Huong dan giao do an'!$B$10))</f>
        <v>Tối thiểu 3 actor; 8-10 use case; 6-8 bảng dữ liệu; 2 quy trình lõi; đăng nhập/RBAC; 1 dashboard; 1 báo cáo; &gt;=25 test case; triển khai bản demo.</v>
      </c>
      <c r="L3410" t="str">
        <f>'Huong dan giao do an'!$B$31</f>
        <v>Bắt buộc: Charter/PMP; SRS + scope/WBS; Gantt/baseline; effort-cost budget; RACI/timesheet; quality-test-defect; communication/minutes; risk register; procurement; change log; closure/lessons learned.</v>
      </c>
      <c r="M3410" t="str">
        <f>'Huong dan giao do an'!$B$33</f>
        <v>Tuần 1: 07.09–13.09.2026; Tuần 2: 14.09–20.09.2026; Tuần 3: 21.09–27.09.2026; Tuần 4: 28.09–04.10.2026; Tuần 5: 05.10–11.10.2026; Tuần 6: 12.10–18.10.2026; Tuần 7: 19.10–25.10.2026; Tuần 8: 26.10–01.11.2026.</v>
      </c>
      <c r="N341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0" s="17" t="str">
        <f t="shared" si="53"/>
        <v>Còn trống</v>
      </c>
    </row>
    <row r="3411" spans="1:16" x14ac:dyDescent="0.3">
      <c r="A3411">
        <v>3410</v>
      </c>
      <c r="B3411" t="s">
        <v>7810</v>
      </c>
      <c r="C3411" t="s">
        <v>7842</v>
      </c>
      <c r="D3411" t="s">
        <v>7843</v>
      </c>
      <c r="E3411" t="s">
        <v>40</v>
      </c>
      <c r="F3411" t="s">
        <v>7830</v>
      </c>
      <c r="G3411" t="s">
        <v>7844</v>
      </c>
      <c r="H3411" t="str">
        <f>'Huong dan giao do an'!$B$14</f>
        <v>5 SV (vai trò chính): 1 PM/Scrum Master kiêm Integration; 2 BA/PO; 3 UI-UX + Frontend; 4 Backend/API + DevOps; 5 Database + QA/Tester. Mỗi SV có nhiệm vụ phụ và minh chứng cá nhân.</v>
      </c>
      <c r="I3411" t="s">
        <v>22</v>
      </c>
      <c r="J3411" t="s">
        <v>7815</v>
      </c>
      <c r="K3411" t="str">
        <f>IF(I3411="Trung bình",'Huong dan giao do an'!$B$8,IF(I3411="Khá",'Huong dan giao do an'!$B$9,'Huong dan giao do an'!$B$10))</f>
        <v>Tối thiểu 4 actor; 10-14 use case; 8-12 bảng; 3 quy trình lõi; phân quyền chi tiết; 2 báo cáo; tích hợp 1 dịch vụ; &gt;=35 test case; CI/CD hoặc deploy cloud.</v>
      </c>
      <c r="L3411" t="str">
        <f>'Huong dan giao do an'!$B$31</f>
        <v>Bắt buộc: Charter/PMP; SRS + scope/WBS; Gantt/baseline; effort-cost budget; RACI/timesheet; quality-test-defect; communication/minutes; risk register; procurement; change log; closure/lessons learned.</v>
      </c>
      <c r="M3411" t="str">
        <f>'Huong dan giao do an'!$B$33</f>
        <v>Tuần 1: 07.09–13.09.2026; Tuần 2: 14.09–20.09.2026; Tuần 3: 21.09–27.09.2026; Tuần 4: 28.09–04.10.2026; Tuần 5: 05.10–11.10.2026; Tuần 6: 12.10–18.10.2026; Tuần 7: 19.10–25.10.2026; Tuần 8: 26.10–01.11.2026.</v>
      </c>
      <c r="N341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1" s="17" t="str">
        <f t="shared" si="53"/>
        <v>Còn trống</v>
      </c>
    </row>
    <row r="3412" spans="1:16" x14ac:dyDescent="0.3">
      <c r="A3412">
        <v>3411</v>
      </c>
      <c r="B3412" t="s">
        <v>7810</v>
      </c>
      <c r="C3412" t="s">
        <v>7845</v>
      </c>
      <c r="D3412" t="s">
        <v>7846</v>
      </c>
      <c r="E3412" t="s">
        <v>45</v>
      </c>
      <c r="F3412" t="s">
        <v>7813</v>
      </c>
      <c r="G3412" t="s">
        <v>2585</v>
      </c>
      <c r="H3412" t="str">
        <f>'Huong dan giao do an'!$B$14</f>
        <v>5 SV (vai trò chính): 1 PM/Scrum Master kiêm Integration; 2 BA/PO; 3 UI-UX + Frontend; 4 Backend/API + DevOps; 5 Database + QA/Tester. Mỗi SV có nhiệm vụ phụ và minh chứng cá nhân.</v>
      </c>
      <c r="I3412" t="s">
        <v>29</v>
      </c>
      <c r="J3412" t="s">
        <v>2554</v>
      </c>
      <c r="K3412" t="str">
        <f>IF(I3412="Trung bình",'Huong dan giao do an'!$B$8,IF(I3412="Khá",'Huong dan giao do an'!$B$9,'Huong dan giao do an'!$B$10))</f>
        <v>Tối thiểu 5 actor; 14-18 use case; 10-15 bảng; 4 quy trình; tích hợp ngoài/realtime hoặc xử lý nâng cao; 3 báo cáo; &gt;=45 test case; logging, backup và deploy.</v>
      </c>
      <c r="L3412" t="str">
        <f>'Huong dan giao do an'!$B$31</f>
        <v>Bắt buộc: Charter/PMP; SRS + scope/WBS; Gantt/baseline; effort-cost budget; RACI/timesheet; quality-test-defect; communication/minutes; risk register; procurement; change log; closure/lessons learned.</v>
      </c>
      <c r="M3412" t="str">
        <f>'Huong dan giao do an'!$B$33</f>
        <v>Tuần 1: 07.09–13.09.2026; Tuần 2: 14.09–20.09.2026; Tuần 3: 21.09–27.09.2026; Tuần 4: 28.09–04.10.2026; Tuần 5: 05.10–11.10.2026; Tuần 6: 12.10–18.10.2026; Tuần 7: 19.10–25.10.2026; Tuần 8: 26.10–01.11.2026.</v>
      </c>
      <c r="N341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2" s="17" t="str">
        <f t="shared" si="53"/>
        <v>Còn trống</v>
      </c>
    </row>
    <row r="3413" spans="1:16" x14ac:dyDescent="0.3">
      <c r="A3413">
        <v>3412</v>
      </c>
      <c r="B3413" t="s">
        <v>7810</v>
      </c>
      <c r="C3413" t="s">
        <v>7847</v>
      </c>
      <c r="D3413" t="s">
        <v>7848</v>
      </c>
      <c r="E3413" t="s">
        <v>19</v>
      </c>
      <c r="F3413" t="s">
        <v>7818</v>
      </c>
      <c r="G3413" t="s">
        <v>7849</v>
      </c>
      <c r="H3413" t="str">
        <f>'Huong dan giao do an'!$B$14</f>
        <v>5 SV (vai trò chính): 1 PM/Scrum Master kiêm Integration; 2 BA/PO; 3 UI-UX + Frontend; 4 Backend/API + DevOps; 5 Database + QA/Tester. Mỗi SV có nhiệm vụ phụ và minh chứng cá nhân.</v>
      </c>
      <c r="I3413" t="s">
        <v>36</v>
      </c>
      <c r="J3413" t="s">
        <v>7823</v>
      </c>
      <c r="K3413" t="str">
        <f>IF(I3413="Trung bình",'Huong dan giao do an'!$B$8,IF(I3413="Khá",'Huong dan giao do an'!$B$9,'Huong dan giao do an'!$B$10))</f>
        <v>Tối thiểu 3 actor; 8-10 use case; 6-8 bảng dữ liệu; 2 quy trình lõi; đăng nhập/RBAC; 1 dashboard; 1 báo cáo; &gt;=25 test case; triển khai bản demo.</v>
      </c>
      <c r="L3413" t="str">
        <f>'Huong dan giao do an'!$B$31</f>
        <v>Bắt buộc: Charter/PMP; SRS + scope/WBS; Gantt/baseline; effort-cost budget; RACI/timesheet; quality-test-defect; communication/minutes; risk register; procurement; change log; closure/lessons learned.</v>
      </c>
      <c r="M3413" t="str">
        <f>'Huong dan giao do an'!$B$33</f>
        <v>Tuần 1: 07.09–13.09.2026; Tuần 2: 14.09–20.09.2026; Tuần 3: 21.09–27.09.2026; Tuần 4: 28.09–04.10.2026; Tuần 5: 05.10–11.10.2026; Tuần 6: 12.10–18.10.2026; Tuần 7: 19.10–25.10.2026; Tuần 8: 26.10–01.11.2026.</v>
      </c>
      <c r="N341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3" s="17" t="str">
        <f t="shared" si="53"/>
        <v>Còn trống</v>
      </c>
    </row>
    <row r="3414" spans="1:16" x14ac:dyDescent="0.3">
      <c r="A3414">
        <v>3413</v>
      </c>
      <c r="B3414" t="s">
        <v>7810</v>
      </c>
      <c r="C3414" t="s">
        <v>7850</v>
      </c>
      <c r="D3414" t="s">
        <v>7851</v>
      </c>
      <c r="E3414" t="s">
        <v>26</v>
      </c>
      <c r="F3414" t="s">
        <v>7821</v>
      </c>
      <c r="G3414" t="s">
        <v>7852</v>
      </c>
      <c r="H3414" t="str">
        <f>'Huong dan giao do an'!$B$14</f>
        <v>5 SV (vai trò chính): 1 PM/Scrum Master kiêm Integration; 2 BA/PO; 3 UI-UX + Frontend; 4 Backend/API + DevOps; 5 Database + QA/Tester. Mỗi SV có nhiệm vụ phụ và minh chứng cá nhân.</v>
      </c>
      <c r="I3414" t="s">
        <v>22</v>
      </c>
      <c r="J3414" t="s">
        <v>7815</v>
      </c>
      <c r="K3414" t="str">
        <f>IF(I3414="Trung bình",'Huong dan giao do an'!$B$8,IF(I3414="Khá",'Huong dan giao do an'!$B$9,'Huong dan giao do an'!$B$10))</f>
        <v>Tối thiểu 4 actor; 10-14 use case; 8-12 bảng; 3 quy trình lõi; phân quyền chi tiết; 2 báo cáo; tích hợp 1 dịch vụ; &gt;=35 test case; CI/CD hoặc deploy cloud.</v>
      </c>
      <c r="L3414" t="str">
        <f>'Huong dan giao do an'!$B$31</f>
        <v>Bắt buộc: Charter/PMP; SRS + scope/WBS; Gantt/baseline; effort-cost budget; RACI/timesheet; quality-test-defect; communication/minutes; risk register; procurement; change log; closure/lessons learned.</v>
      </c>
      <c r="M3414" t="str">
        <f>'Huong dan giao do an'!$B$33</f>
        <v>Tuần 1: 07.09–13.09.2026; Tuần 2: 14.09–20.09.2026; Tuần 3: 21.09–27.09.2026; Tuần 4: 28.09–04.10.2026; Tuần 5: 05.10–11.10.2026; Tuần 6: 12.10–18.10.2026; Tuần 7: 19.10–25.10.2026; Tuần 8: 26.10–01.11.2026.</v>
      </c>
      <c r="N341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4" s="17" t="str">
        <f t="shared" si="53"/>
        <v>Còn trống</v>
      </c>
    </row>
    <row r="3415" spans="1:16" x14ac:dyDescent="0.3">
      <c r="A3415">
        <v>3414</v>
      </c>
      <c r="B3415" t="s">
        <v>7810</v>
      </c>
      <c r="C3415" t="s">
        <v>7853</v>
      </c>
      <c r="D3415" t="s">
        <v>7854</v>
      </c>
      <c r="E3415" t="s">
        <v>33</v>
      </c>
      <c r="F3415" t="s">
        <v>7826</v>
      </c>
      <c r="G3415" t="s">
        <v>2594</v>
      </c>
      <c r="H3415" t="str">
        <f>'Huong dan giao do an'!$B$14</f>
        <v>5 SV (vai trò chính): 1 PM/Scrum Master kiêm Integration; 2 BA/PO; 3 UI-UX + Frontend; 4 Backend/API + DevOps; 5 Database + QA/Tester. Mỗi SV có nhiệm vụ phụ và minh chứng cá nhân.</v>
      </c>
      <c r="I3415" t="s">
        <v>29</v>
      </c>
      <c r="J3415" t="s">
        <v>2554</v>
      </c>
      <c r="K3415" t="str">
        <f>IF(I3415="Trung bình",'Huong dan giao do an'!$B$8,IF(I3415="Khá",'Huong dan giao do an'!$B$9,'Huong dan giao do an'!$B$10))</f>
        <v>Tối thiểu 5 actor; 14-18 use case; 10-15 bảng; 4 quy trình; tích hợp ngoài/realtime hoặc xử lý nâng cao; 3 báo cáo; &gt;=45 test case; logging, backup và deploy.</v>
      </c>
      <c r="L3415" t="str">
        <f>'Huong dan giao do an'!$B$31</f>
        <v>Bắt buộc: Charter/PMP; SRS + scope/WBS; Gantt/baseline; effort-cost budget; RACI/timesheet; quality-test-defect; communication/minutes; risk register; procurement; change log; closure/lessons learned.</v>
      </c>
      <c r="M3415" t="str">
        <f>'Huong dan giao do an'!$B$33</f>
        <v>Tuần 1: 07.09–13.09.2026; Tuần 2: 14.09–20.09.2026; Tuần 3: 21.09–27.09.2026; Tuần 4: 28.09–04.10.2026; Tuần 5: 05.10–11.10.2026; Tuần 6: 12.10–18.10.2026; Tuần 7: 19.10–25.10.2026; Tuần 8: 26.10–01.11.2026.</v>
      </c>
      <c r="N341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5" s="17" t="str">
        <f t="shared" si="53"/>
        <v>Còn trống</v>
      </c>
    </row>
    <row r="3416" spans="1:16" x14ac:dyDescent="0.3">
      <c r="A3416">
        <v>3415</v>
      </c>
      <c r="B3416" t="s">
        <v>7810</v>
      </c>
      <c r="C3416" t="s">
        <v>7855</v>
      </c>
      <c r="D3416" t="s">
        <v>7856</v>
      </c>
      <c r="E3416" t="s">
        <v>40</v>
      </c>
      <c r="F3416" t="s">
        <v>7830</v>
      </c>
      <c r="G3416" t="s">
        <v>7857</v>
      </c>
      <c r="H3416" t="str">
        <f>'Huong dan giao do an'!$B$14</f>
        <v>5 SV (vai trò chính): 1 PM/Scrum Master kiêm Integration; 2 BA/PO; 3 UI-UX + Frontend; 4 Backend/API + DevOps; 5 Database + QA/Tester. Mỗi SV có nhiệm vụ phụ và minh chứng cá nhân.</v>
      </c>
      <c r="I3416" t="s">
        <v>36</v>
      </c>
      <c r="J3416" t="s">
        <v>7823</v>
      </c>
      <c r="K3416" t="str">
        <f>IF(I3416="Trung bình",'Huong dan giao do an'!$B$8,IF(I3416="Khá",'Huong dan giao do an'!$B$9,'Huong dan giao do an'!$B$10))</f>
        <v>Tối thiểu 3 actor; 8-10 use case; 6-8 bảng dữ liệu; 2 quy trình lõi; đăng nhập/RBAC; 1 dashboard; 1 báo cáo; &gt;=25 test case; triển khai bản demo.</v>
      </c>
      <c r="L3416" t="str">
        <f>'Huong dan giao do an'!$B$31</f>
        <v>Bắt buộc: Charter/PMP; SRS + scope/WBS; Gantt/baseline; effort-cost budget; RACI/timesheet; quality-test-defect; communication/minutes; risk register; procurement; change log; closure/lessons learned.</v>
      </c>
      <c r="M3416" t="str">
        <f>'Huong dan giao do an'!$B$33</f>
        <v>Tuần 1: 07.09–13.09.2026; Tuần 2: 14.09–20.09.2026; Tuần 3: 21.09–27.09.2026; Tuần 4: 28.09–04.10.2026; Tuần 5: 05.10–11.10.2026; Tuần 6: 12.10–18.10.2026; Tuần 7: 19.10–25.10.2026; Tuần 8: 26.10–01.11.2026.</v>
      </c>
      <c r="N341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6" s="17" t="str">
        <f t="shared" si="53"/>
        <v>Còn trống</v>
      </c>
    </row>
    <row r="3417" spans="1:16" x14ac:dyDescent="0.3">
      <c r="A3417">
        <v>3416</v>
      </c>
      <c r="B3417" t="s">
        <v>7810</v>
      </c>
      <c r="C3417" t="s">
        <v>7858</v>
      </c>
      <c r="D3417" t="s">
        <v>7859</v>
      </c>
      <c r="E3417" t="s">
        <v>45</v>
      </c>
      <c r="F3417" t="s">
        <v>7813</v>
      </c>
      <c r="G3417" t="s">
        <v>7860</v>
      </c>
      <c r="H3417" t="str">
        <f>'Huong dan giao do an'!$B$14</f>
        <v>5 SV (vai trò chính): 1 PM/Scrum Master kiêm Integration; 2 BA/PO; 3 UI-UX + Frontend; 4 Backend/API + DevOps; 5 Database + QA/Tester. Mỗi SV có nhiệm vụ phụ và minh chứng cá nhân.</v>
      </c>
      <c r="I3417" t="s">
        <v>22</v>
      </c>
      <c r="J3417" t="s">
        <v>7815</v>
      </c>
      <c r="K3417" t="str">
        <f>IF(I3417="Trung bình",'Huong dan giao do an'!$B$8,IF(I3417="Khá",'Huong dan giao do an'!$B$9,'Huong dan giao do an'!$B$10))</f>
        <v>Tối thiểu 4 actor; 10-14 use case; 8-12 bảng; 3 quy trình lõi; phân quyền chi tiết; 2 báo cáo; tích hợp 1 dịch vụ; &gt;=35 test case; CI/CD hoặc deploy cloud.</v>
      </c>
      <c r="L3417" t="str">
        <f>'Huong dan giao do an'!$B$31</f>
        <v>Bắt buộc: Charter/PMP; SRS + scope/WBS; Gantt/baseline; effort-cost budget; RACI/timesheet; quality-test-defect; communication/minutes; risk register; procurement; change log; closure/lessons learned.</v>
      </c>
      <c r="M3417" t="str">
        <f>'Huong dan giao do an'!$B$33</f>
        <v>Tuần 1: 07.09–13.09.2026; Tuần 2: 14.09–20.09.2026; Tuần 3: 21.09–27.09.2026; Tuần 4: 28.09–04.10.2026; Tuần 5: 05.10–11.10.2026; Tuần 6: 12.10–18.10.2026; Tuần 7: 19.10–25.10.2026; Tuần 8: 26.10–01.11.2026.</v>
      </c>
      <c r="N341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7" s="17" t="str">
        <f t="shared" si="53"/>
        <v>Còn trống</v>
      </c>
    </row>
    <row r="3418" spans="1:16" x14ac:dyDescent="0.3">
      <c r="A3418">
        <v>3417</v>
      </c>
      <c r="B3418" t="s">
        <v>7810</v>
      </c>
      <c r="C3418" t="s">
        <v>7861</v>
      </c>
      <c r="D3418" t="s">
        <v>7862</v>
      </c>
      <c r="E3418" t="s">
        <v>19</v>
      </c>
      <c r="F3418" t="s">
        <v>7818</v>
      </c>
      <c r="G3418" t="s">
        <v>2603</v>
      </c>
      <c r="H3418" t="str">
        <f>'Huong dan giao do an'!$B$14</f>
        <v>5 SV (vai trò chính): 1 PM/Scrum Master kiêm Integration; 2 BA/PO; 3 UI-UX + Frontend; 4 Backend/API + DevOps; 5 Database + QA/Tester. Mỗi SV có nhiệm vụ phụ và minh chứng cá nhân.</v>
      </c>
      <c r="I3418" t="s">
        <v>29</v>
      </c>
      <c r="J3418" t="s">
        <v>2554</v>
      </c>
      <c r="K3418" t="str">
        <f>IF(I3418="Trung bình",'Huong dan giao do an'!$B$8,IF(I3418="Khá",'Huong dan giao do an'!$B$9,'Huong dan giao do an'!$B$10))</f>
        <v>Tối thiểu 5 actor; 14-18 use case; 10-15 bảng; 4 quy trình; tích hợp ngoài/realtime hoặc xử lý nâng cao; 3 báo cáo; &gt;=45 test case; logging, backup và deploy.</v>
      </c>
      <c r="L3418" t="str">
        <f>'Huong dan giao do an'!$B$31</f>
        <v>Bắt buộc: Charter/PMP; SRS + scope/WBS; Gantt/baseline; effort-cost budget; RACI/timesheet; quality-test-defect; communication/minutes; risk register; procurement; change log; closure/lessons learned.</v>
      </c>
      <c r="M3418" t="str">
        <f>'Huong dan giao do an'!$B$33</f>
        <v>Tuần 1: 07.09–13.09.2026; Tuần 2: 14.09–20.09.2026; Tuần 3: 21.09–27.09.2026; Tuần 4: 28.09–04.10.2026; Tuần 5: 05.10–11.10.2026; Tuần 6: 12.10–18.10.2026; Tuần 7: 19.10–25.10.2026; Tuần 8: 26.10–01.11.2026.</v>
      </c>
      <c r="N341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8" s="17" t="str">
        <f t="shared" si="53"/>
        <v>Còn trống</v>
      </c>
    </row>
    <row r="3419" spans="1:16" x14ac:dyDescent="0.3">
      <c r="A3419">
        <v>3418</v>
      </c>
      <c r="B3419" t="s">
        <v>7810</v>
      </c>
      <c r="C3419" t="s">
        <v>7863</v>
      </c>
      <c r="D3419" t="s">
        <v>7864</v>
      </c>
      <c r="E3419" t="s">
        <v>26</v>
      </c>
      <c r="F3419" t="s">
        <v>7821</v>
      </c>
      <c r="G3419" t="s">
        <v>7865</v>
      </c>
      <c r="H3419" t="str">
        <f>'Huong dan giao do an'!$B$14</f>
        <v>5 SV (vai trò chính): 1 PM/Scrum Master kiêm Integration; 2 BA/PO; 3 UI-UX + Frontend; 4 Backend/API + DevOps; 5 Database + QA/Tester. Mỗi SV có nhiệm vụ phụ và minh chứng cá nhân.</v>
      </c>
      <c r="I3419" t="s">
        <v>36</v>
      </c>
      <c r="J3419" t="s">
        <v>7823</v>
      </c>
      <c r="K3419" t="str">
        <f>IF(I3419="Trung bình",'Huong dan giao do an'!$B$8,IF(I3419="Khá",'Huong dan giao do an'!$B$9,'Huong dan giao do an'!$B$10))</f>
        <v>Tối thiểu 3 actor; 8-10 use case; 6-8 bảng dữ liệu; 2 quy trình lõi; đăng nhập/RBAC; 1 dashboard; 1 báo cáo; &gt;=25 test case; triển khai bản demo.</v>
      </c>
      <c r="L3419" t="str">
        <f>'Huong dan giao do an'!$B$31</f>
        <v>Bắt buộc: Charter/PMP; SRS + scope/WBS; Gantt/baseline; effort-cost budget; RACI/timesheet; quality-test-defect; communication/minutes; risk register; procurement; change log; closure/lessons learned.</v>
      </c>
      <c r="M3419" t="str">
        <f>'Huong dan giao do an'!$B$33</f>
        <v>Tuần 1: 07.09–13.09.2026; Tuần 2: 14.09–20.09.2026; Tuần 3: 21.09–27.09.2026; Tuần 4: 28.09–04.10.2026; Tuần 5: 05.10–11.10.2026; Tuần 6: 12.10–18.10.2026; Tuần 7: 19.10–25.10.2026; Tuần 8: 26.10–01.11.2026.</v>
      </c>
      <c r="N341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19" s="17" t="str">
        <f t="shared" si="53"/>
        <v>Còn trống</v>
      </c>
    </row>
    <row r="3420" spans="1:16" x14ac:dyDescent="0.3">
      <c r="A3420">
        <v>3419</v>
      </c>
      <c r="B3420" t="s">
        <v>7810</v>
      </c>
      <c r="C3420" t="s">
        <v>7866</v>
      </c>
      <c r="D3420" t="s">
        <v>7867</v>
      </c>
      <c r="E3420" t="s">
        <v>33</v>
      </c>
      <c r="F3420" t="s">
        <v>7826</v>
      </c>
      <c r="G3420" t="s">
        <v>7868</v>
      </c>
      <c r="H3420" t="str">
        <f>'Huong dan giao do an'!$B$14</f>
        <v>5 SV (vai trò chính): 1 PM/Scrum Master kiêm Integration; 2 BA/PO; 3 UI-UX + Frontend; 4 Backend/API + DevOps; 5 Database + QA/Tester. Mỗi SV có nhiệm vụ phụ và minh chứng cá nhân.</v>
      </c>
      <c r="I3420" t="s">
        <v>22</v>
      </c>
      <c r="J3420" t="s">
        <v>7815</v>
      </c>
      <c r="K3420" t="str">
        <f>IF(I3420="Trung bình",'Huong dan giao do an'!$B$8,IF(I3420="Khá",'Huong dan giao do an'!$B$9,'Huong dan giao do an'!$B$10))</f>
        <v>Tối thiểu 4 actor; 10-14 use case; 8-12 bảng; 3 quy trình lõi; phân quyền chi tiết; 2 báo cáo; tích hợp 1 dịch vụ; &gt;=35 test case; CI/CD hoặc deploy cloud.</v>
      </c>
      <c r="L3420" t="str">
        <f>'Huong dan giao do an'!$B$31</f>
        <v>Bắt buộc: Charter/PMP; SRS + scope/WBS; Gantt/baseline; effort-cost budget; RACI/timesheet; quality-test-defect; communication/minutes; risk register; procurement; change log; closure/lessons learned.</v>
      </c>
      <c r="M3420" t="str">
        <f>'Huong dan giao do an'!$B$33</f>
        <v>Tuần 1: 07.09–13.09.2026; Tuần 2: 14.09–20.09.2026; Tuần 3: 21.09–27.09.2026; Tuần 4: 28.09–04.10.2026; Tuần 5: 05.10–11.10.2026; Tuần 6: 12.10–18.10.2026; Tuần 7: 19.10–25.10.2026; Tuần 8: 26.10–01.11.2026.</v>
      </c>
      <c r="N342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0" s="17" t="str">
        <f t="shared" si="53"/>
        <v>Còn trống</v>
      </c>
    </row>
    <row r="3421" spans="1:16" x14ac:dyDescent="0.3">
      <c r="A3421">
        <v>3420</v>
      </c>
      <c r="B3421" t="s">
        <v>7810</v>
      </c>
      <c r="C3421" t="s">
        <v>7869</v>
      </c>
      <c r="D3421" t="s">
        <v>7870</v>
      </c>
      <c r="E3421" t="s">
        <v>40</v>
      </c>
      <c r="F3421" t="s">
        <v>7830</v>
      </c>
      <c r="G3421" t="s">
        <v>2612</v>
      </c>
      <c r="H3421" t="str">
        <f>'Huong dan giao do an'!$B$14</f>
        <v>5 SV (vai trò chính): 1 PM/Scrum Master kiêm Integration; 2 BA/PO; 3 UI-UX + Frontend; 4 Backend/API + DevOps; 5 Database + QA/Tester. Mỗi SV có nhiệm vụ phụ và minh chứng cá nhân.</v>
      </c>
      <c r="I3421" t="s">
        <v>29</v>
      </c>
      <c r="J3421" t="s">
        <v>2554</v>
      </c>
      <c r="K3421" t="str">
        <f>IF(I3421="Trung bình",'Huong dan giao do an'!$B$8,IF(I3421="Khá",'Huong dan giao do an'!$B$9,'Huong dan giao do an'!$B$10))</f>
        <v>Tối thiểu 5 actor; 14-18 use case; 10-15 bảng; 4 quy trình; tích hợp ngoài/realtime hoặc xử lý nâng cao; 3 báo cáo; &gt;=45 test case; logging, backup và deploy.</v>
      </c>
      <c r="L3421" t="str">
        <f>'Huong dan giao do an'!$B$31</f>
        <v>Bắt buộc: Charter/PMP; SRS + scope/WBS; Gantt/baseline; effort-cost budget; RACI/timesheet; quality-test-defect; communication/minutes; risk register; procurement; change log; closure/lessons learned.</v>
      </c>
      <c r="M3421" t="str">
        <f>'Huong dan giao do an'!$B$33</f>
        <v>Tuần 1: 07.09–13.09.2026; Tuần 2: 14.09–20.09.2026; Tuần 3: 21.09–27.09.2026; Tuần 4: 28.09–04.10.2026; Tuần 5: 05.10–11.10.2026; Tuần 6: 12.10–18.10.2026; Tuần 7: 19.10–25.10.2026; Tuần 8: 26.10–01.11.2026.</v>
      </c>
      <c r="N342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1" s="17" t="str">
        <f t="shared" si="53"/>
        <v>Còn trống</v>
      </c>
    </row>
    <row r="3422" spans="1:16" x14ac:dyDescent="0.3">
      <c r="A3422">
        <v>3421</v>
      </c>
      <c r="B3422" t="s">
        <v>7810</v>
      </c>
      <c r="C3422" t="s">
        <v>7871</v>
      </c>
      <c r="D3422" t="s">
        <v>7872</v>
      </c>
      <c r="E3422" t="s">
        <v>45</v>
      </c>
      <c r="F3422" t="s">
        <v>7813</v>
      </c>
      <c r="G3422" t="s">
        <v>7814</v>
      </c>
      <c r="H3422" t="str">
        <f>'Huong dan giao do an'!$B$14</f>
        <v>5 SV (vai trò chính): 1 PM/Scrum Master kiêm Integration; 2 BA/PO; 3 UI-UX + Frontend; 4 Backend/API + DevOps; 5 Database + QA/Tester. Mỗi SV có nhiệm vụ phụ và minh chứng cá nhân.</v>
      </c>
      <c r="I3422" t="s">
        <v>22</v>
      </c>
      <c r="J3422" t="s">
        <v>7815</v>
      </c>
      <c r="K3422" t="str">
        <f>IF(I3422="Trung bình",'Huong dan giao do an'!$B$8,IF(I3422="Khá",'Huong dan giao do an'!$B$9,'Huong dan giao do an'!$B$10))</f>
        <v>Tối thiểu 4 actor; 10-14 use case; 8-12 bảng; 3 quy trình lõi; phân quyền chi tiết; 2 báo cáo; tích hợp 1 dịch vụ; &gt;=35 test case; CI/CD hoặc deploy cloud.</v>
      </c>
      <c r="L3422" t="str">
        <f>'Huong dan giao do an'!$B$31</f>
        <v>Bắt buộc: Charter/PMP; SRS + scope/WBS; Gantt/baseline; effort-cost budget; RACI/timesheet; quality-test-defect; communication/minutes; risk register; procurement; change log; closure/lessons learned.</v>
      </c>
      <c r="M3422" t="str">
        <f>'Huong dan giao do an'!$B$33</f>
        <v>Tuần 1: 07.09–13.09.2026; Tuần 2: 14.09–20.09.2026; Tuần 3: 21.09–27.09.2026; Tuần 4: 28.09–04.10.2026; Tuần 5: 05.10–11.10.2026; Tuần 6: 12.10–18.10.2026; Tuần 7: 19.10–25.10.2026; Tuần 8: 26.10–01.11.2026.</v>
      </c>
      <c r="N342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2" s="17" t="str">
        <f t="shared" si="53"/>
        <v>Còn trống</v>
      </c>
    </row>
    <row r="3423" spans="1:16" x14ac:dyDescent="0.3">
      <c r="A3423">
        <v>3422</v>
      </c>
      <c r="B3423" t="s">
        <v>7810</v>
      </c>
      <c r="C3423" t="s">
        <v>7873</v>
      </c>
      <c r="D3423" t="s">
        <v>7874</v>
      </c>
      <c r="E3423" t="s">
        <v>19</v>
      </c>
      <c r="F3423" t="s">
        <v>7818</v>
      </c>
      <c r="G3423" t="s">
        <v>2553</v>
      </c>
      <c r="H3423" t="str">
        <f>'Huong dan giao do an'!$B$14</f>
        <v>5 SV (vai trò chính): 1 PM/Scrum Master kiêm Integration; 2 BA/PO; 3 UI-UX + Frontend; 4 Backend/API + DevOps; 5 Database + QA/Tester. Mỗi SV có nhiệm vụ phụ và minh chứng cá nhân.</v>
      </c>
      <c r="I3423" t="s">
        <v>29</v>
      </c>
      <c r="J3423" t="s">
        <v>2554</v>
      </c>
      <c r="K3423" t="str">
        <f>IF(I3423="Trung bình",'Huong dan giao do an'!$B$8,IF(I3423="Khá",'Huong dan giao do an'!$B$9,'Huong dan giao do an'!$B$10))</f>
        <v>Tối thiểu 5 actor; 14-18 use case; 10-15 bảng; 4 quy trình; tích hợp ngoài/realtime hoặc xử lý nâng cao; 3 báo cáo; &gt;=45 test case; logging, backup và deploy.</v>
      </c>
      <c r="L3423" t="str">
        <f>'Huong dan giao do an'!$B$31</f>
        <v>Bắt buộc: Charter/PMP; SRS + scope/WBS; Gantt/baseline; effort-cost budget; RACI/timesheet; quality-test-defect; communication/minutes; risk register; procurement; change log; closure/lessons learned.</v>
      </c>
      <c r="M3423" t="str">
        <f>'Huong dan giao do an'!$B$33</f>
        <v>Tuần 1: 07.09–13.09.2026; Tuần 2: 14.09–20.09.2026; Tuần 3: 21.09–27.09.2026; Tuần 4: 28.09–04.10.2026; Tuần 5: 05.10–11.10.2026; Tuần 6: 12.10–18.10.2026; Tuần 7: 19.10–25.10.2026; Tuần 8: 26.10–01.11.2026.</v>
      </c>
      <c r="N342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3" s="17" t="str">
        <f t="shared" si="53"/>
        <v>Còn trống</v>
      </c>
    </row>
    <row r="3424" spans="1:16" x14ac:dyDescent="0.3">
      <c r="A3424">
        <v>3423</v>
      </c>
      <c r="B3424" t="s">
        <v>7810</v>
      </c>
      <c r="C3424" t="s">
        <v>7875</v>
      </c>
      <c r="D3424" t="s">
        <v>7876</v>
      </c>
      <c r="E3424" t="s">
        <v>26</v>
      </c>
      <c r="F3424" t="s">
        <v>7821</v>
      </c>
      <c r="G3424" t="s">
        <v>7822</v>
      </c>
      <c r="H3424" t="str">
        <f>'Huong dan giao do an'!$B$14</f>
        <v>5 SV (vai trò chính): 1 PM/Scrum Master kiêm Integration; 2 BA/PO; 3 UI-UX + Frontend; 4 Backend/API + DevOps; 5 Database + QA/Tester. Mỗi SV có nhiệm vụ phụ và minh chứng cá nhân.</v>
      </c>
      <c r="I3424" t="s">
        <v>36</v>
      </c>
      <c r="J3424" t="s">
        <v>7823</v>
      </c>
      <c r="K3424" t="str">
        <f>IF(I3424="Trung bình",'Huong dan giao do an'!$B$8,IF(I3424="Khá",'Huong dan giao do an'!$B$9,'Huong dan giao do an'!$B$10))</f>
        <v>Tối thiểu 3 actor; 8-10 use case; 6-8 bảng dữ liệu; 2 quy trình lõi; đăng nhập/RBAC; 1 dashboard; 1 báo cáo; &gt;=25 test case; triển khai bản demo.</v>
      </c>
      <c r="L3424" t="str">
        <f>'Huong dan giao do an'!$B$31</f>
        <v>Bắt buộc: Charter/PMP; SRS + scope/WBS; Gantt/baseline; effort-cost budget; RACI/timesheet; quality-test-defect; communication/minutes; risk register; procurement; change log; closure/lessons learned.</v>
      </c>
      <c r="M3424" t="str">
        <f>'Huong dan giao do an'!$B$33</f>
        <v>Tuần 1: 07.09–13.09.2026; Tuần 2: 14.09–20.09.2026; Tuần 3: 21.09–27.09.2026; Tuần 4: 28.09–04.10.2026; Tuần 5: 05.10–11.10.2026; Tuần 6: 12.10–18.10.2026; Tuần 7: 19.10–25.10.2026; Tuần 8: 26.10–01.11.2026.</v>
      </c>
      <c r="N342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4" s="17" t="str">
        <f t="shared" si="53"/>
        <v>Còn trống</v>
      </c>
    </row>
    <row r="3425" spans="1:16" x14ac:dyDescent="0.3">
      <c r="A3425">
        <v>3424</v>
      </c>
      <c r="B3425" t="s">
        <v>7810</v>
      </c>
      <c r="C3425" t="s">
        <v>7877</v>
      </c>
      <c r="D3425" t="s">
        <v>7878</v>
      </c>
      <c r="E3425" t="s">
        <v>33</v>
      </c>
      <c r="F3425" t="s">
        <v>7826</v>
      </c>
      <c r="G3425" t="s">
        <v>7827</v>
      </c>
      <c r="H3425" t="str">
        <f>'Huong dan giao do an'!$B$14</f>
        <v>5 SV (vai trò chính): 1 PM/Scrum Master kiêm Integration; 2 BA/PO; 3 UI-UX + Frontend; 4 Backend/API + DevOps; 5 Database + QA/Tester. Mỗi SV có nhiệm vụ phụ và minh chứng cá nhân.</v>
      </c>
      <c r="I3425" t="s">
        <v>22</v>
      </c>
      <c r="J3425" t="s">
        <v>7815</v>
      </c>
      <c r="K3425" t="str">
        <f>IF(I3425="Trung bình",'Huong dan giao do an'!$B$8,IF(I3425="Khá",'Huong dan giao do an'!$B$9,'Huong dan giao do an'!$B$10))</f>
        <v>Tối thiểu 4 actor; 10-14 use case; 8-12 bảng; 3 quy trình lõi; phân quyền chi tiết; 2 báo cáo; tích hợp 1 dịch vụ; &gt;=35 test case; CI/CD hoặc deploy cloud.</v>
      </c>
      <c r="L3425" t="str">
        <f>'Huong dan giao do an'!$B$31</f>
        <v>Bắt buộc: Charter/PMP; SRS + scope/WBS; Gantt/baseline; effort-cost budget; RACI/timesheet; quality-test-defect; communication/minutes; risk register; procurement; change log; closure/lessons learned.</v>
      </c>
      <c r="M3425" t="str">
        <f>'Huong dan giao do an'!$B$33</f>
        <v>Tuần 1: 07.09–13.09.2026; Tuần 2: 14.09–20.09.2026; Tuần 3: 21.09–27.09.2026; Tuần 4: 28.09–04.10.2026; Tuần 5: 05.10–11.10.2026; Tuần 6: 12.10–18.10.2026; Tuần 7: 19.10–25.10.2026; Tuần 8: 26.10–01.11.2026.</v>
      </c>
      <c r="N342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5" s="17" t="str">
        <f t="shared" si="53"/>
        <v>Còn trống</v>
      </c>
    </row>
    <row r="3426" spans="1:16" x14ac:dyDescent="0.3">
      <c r="A3426">
        <v>3425</v>
      </c>
      <c r="B3426" t="s">
        <v>7810</v>
      </c>
      <c r="C3426" t="s">
        <v>7879</v>
      </c>
      <c r="D3426" t="s">
        <v>7880</v>
      </c>
      <c r="E3426" t="s">
        <v>40</v>
      </c>
      <c r="F3426" t="s">
        <v>7830</v>
      </c>
      <c r="G3426" t="s">
        <v>2567</v>
      </c>
      <c r="H3426" t="str">
        <f>'Huong dan giao do an'!$B$14</f>
        <v>5 SV (vai trò chính): 1 PM/Scrum Master kiêm Integration; 2 BA/PO; 3 UI-UX + Frontend; 4 Backend/API + DevOps; 5 Database + QA/Tester. Mỗi SV có nhiệm vụ phụ và minh chứng cá nhân.</v>
      </c>
      <c r="I3426" t="s">
        <v>29</v>
      </c>
      <c r="J3426" t="s">
        <v>2554</v>
      </c>
      <c r="K3426" t="str">
        <f>IF(I3426="Trung bình",'Huong dan giao do an'!$B$8,IF(I3426="Khá",'Huong dan giao do an'!$B$9,'Huong dan giao do an'!$B$10))</f>
        <v>Tối thiểu 5 actor; 14-18 use case; 10-15 bảng; 4 quy trình; tích hợp ngoài/realtime hoặc xử lý nâng cao; 3 báo cáo; &gt;=45 test case; logging, backup và deploy.</v>
      </c>
      <c r="L3426" t="str">
        <f>'Huong dan giao do an'!$B$31</f>
        <v>Bắt buộc: Charter/PMP; SRS + scope/WBS; Gantt/baseline; effort-cost budget; RACI/timesheet; quality-test-defect; communication/minutes; risk register; procurement; change log; closure/lessons learned.</v>
      </c>
      <c r="M3426" t="str">
        <f>'Huong dan giao do an'!$B$33</f>
        <v>Tuần 1: 07.09–13.09.2026; Tuần 2: 14.09–20.09.2026; Tuần 3: 21.09–27.09.2026; Tuần 4: 28.09–04.10.2026; Tuần 5: 05.10–11.10.2026; Tuần 6: 12.10–18.10.2026; Tuần 7: 19.10–25.10.2026; Tuần 8: 26.10–01.11.2026.</v>
      </c>
      <c r="N342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6" s="17" t="str">
        <f t="shared" si="53"/>
        <v>Còn trống</v>
      </c>
    </row>
    <row r="3427" spans="1:16" x14ac:dyDescent="0.3">
      <c r="A3427">
        <v>3426</v>
      </c>
      <c r="B3427" t="s">
        <v>7810</v>
      </c>
      <c r="C3427" t="s">
        <v>7881</v>
      </c>
      <c r="D3427" t="s">
        <v>7882</v>
      </c>
      <c r="E3427" t="s">
        <v>45</v>
      </c>
      <c r="F3427" t="s">
        <v>7813</v>
      </c>
      <c r="G3427" t="s">
        <v>7833</v>
      </c>
      <c r="H3427" t="str">
        <f>'Huong dan giao do an'!$B$14</f>
        <v>5 SV (vai trò chính): 1 PM/Scrum Master kiêm Integration; 2 BA/PO; 3 UI-UX + Frontend; 4 Backend/API + DevOps; 5 Database + QA/Tester. Mỗi SV có nhiệm vụ phụ và minh chứng cá nhân.</v>
      </c>
      <c r="I3427" t="s">
        <v>36</v>
      </c>
      <c r="J3427" t="s">
        <v>7823</v>
      </c>
      <c r="K3427" t="str">
        <f>IF(I3427="Trung bình",'Huong dan giao do an'!$B$8,IF(I3427="Khá",'Huong dan giao do an'!$B$9,'Huong dan giao do an'!$B$10))</f>
        <v>Tối thiểu 3 actor; 8-10 use case; 6-8 bảng dữ liệu; 2 quy trình lõi; đăng nhập/RBAC; 1 dashboard; 1 báo cáo; &gt;=25 test case; triển khai bản demo.</v>
      </c>
      <c r="L3427" t="str">
        <f>'Huong dan giao do an'!$B$31</f>
        <v>Bắt buộc: Charter/PMP; SRS + scope/WBS; Gantt/baseline; effort-cost budget; RACI/timesheet; quality-test-defect; communication/minutes; risk register; procurement; change log; closure/lessons learned.</v>
      </c>
      <c r="M3427" t="str">
        <f>'Huong dan giao do an'!$B$33</f>
        <v>Tuần 1: 07.09–13.09.2026; Tuần 2: 14.09–20.09.2026; Tuần 3: 21.09–27.09.2026; Tuần 4: 28.09–04.10.2026; Tuần 5: 05.10–11.10.2026; Tuần 6: 12.10–18.10.2026; Tuần 7: 19.10–25.10.2026; Tuần 8: 26.10–01.11.2026.</v>
      </c>
      <c r="N342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7" s="17" t="str">
        <f t="shared" si="53"/>
        <v>Còn trống</v>
      </c>
    </row>
    <row r="3428" spans="1:16" x14ac:dyDescent="0.3">
      <c r="A3428">
        <v>3427</v>
      </c>
      <c r="B3428" t="s">
        <v>7810</v>
      </c>
      <c r="C3428" t="s">
        <v>7883</v>
      </c>
      <c r="D3428" t="s">
        <v>7884</v>
      </c>
      <c r="E3428" t="s">
        <v>19</v>
      </c>
      <c r="F3428" t="s">
        <v>7818</v>
      </c>
      <c r="G3428" t="s">
        <v>7836</v>
      </c>
      <c r="H3428" t="str">
        <f>'Huong dan giao do an'!$B$14</f>
        <v>5 SV (vai trò chính): 1 PM/Scrum Master kiêm Integration; 2 BA/PO; 3 UI-UX + Frontend; 4 Backend/API + DevOps; 5 Database + QA/Tester. Mỗi SV có nhiệm vụ phụ và minh chứng cá nhân.</v>
      </c>
      <c r="I3428" t="s">
        <v>22</v>
      </c>
      <c r="J3428" t="s">
        <v>7815</v>
      </c>
      <c r="K3428" t="str">
        <f>IF(I3428="Trung bình",'Huong dan giao do an'!$B$8,IF(I3428="Khá",'Huong dan giao do an'!$B$9,'Huong dan giao do an'!$B$10))</f>
        <v>Tối thiểu 4 actor; 10-14 use case; 8-12 bảng; 3 quy trình lõi; phân quyền chi tiết; 2 báo cáo; tích hợp 1 dịch vụ; &gt;=35 test case; CI/CD hoặc deploy cloud.</v>
      </c>
      <c r="L3428" t="str">
        <f>'Huong dan giao do an'!$B$31</f>
        <v>Bắt buộc: Charter/PMP; SRS + scope/WBS; Gantt/baseline; effort-cost budget; RACI/timesheet; quality-test-defect; communication/minutes; risk register; procurement; change log; closure/lessons learned.</v>
      </c>
      <c r="M3428" t="str">
        <f>'Huong dan giao do an'!$B$33</f>
        <v>Tuần 1: 07.09–13.09.2026; Tuần 2: 14.09–20.09.2026; Tuần 3: 21.09–27.09.2026; Tuần 4: 28.09–04.10.2026; Tuần 5: 05.10–11.10.2026; Tuần 6: 12.10–18.10.2026; Tuần 7: 19.10–25.10.2026; Tuần 8: 26.10–01.11.2026.</v>
      </c>
      <c r="N342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8" s="17" t="str">
        <f t="shared" si="53"/>
        <v>Còn trống</v>
      </c>
    </row>
    <row r="3429" spans="1:16" x14ac:dyDescent="0.3">
      <c r="A3429">
        <v>3428</v>
      </c>
      <c r="B3429" t="s">
        <v>7810</v>
      </c>
      <c r="C3429" t="s">
        <v>7885</v>
      </c>
      <c r="D3429" t="s">
        <v>7886</v>
      </c>
      <c r="E3429" t="s">
        <v>26</v>
      </c>
      <c r="F3429" t="s">
        <v>7821</v>
      </c>
      <c r="G3429" t="s">
        <v>2576</v>
      </c>
      <c r="H3429" t="str">
        <f>'Huong dan giao do an'!$B$14</f>
        <v>5 SV (vai trò chính): 1 PM/Scrum Master kiêm Integration; 2 BA/PO; 3 UI-UX + Frontend; 4 Backend/API + DevOps; 5 Database + QA/Tester. Mỗi SV có nhiệm vụ phụ và minh chứng cá nhân.</v>
      </c>
      <c r="I3429" t="s">
        <v>29</v>
      </c>
      <c r="J3429" t="s">
        <v>2554</v>
      </c>
      <c r="K3429" t="str">
        <f>IF(I3429="Trung bình",'Huong dan giao do an'!$B$8,IF(I3429="Khá",'Huong dan giao do an'!$B$9,'Huong dan giao do an'!$B$10))</f>
        <v>Tối thiểu 5 actor; 14-18 use case; 10-15 bảng; 4 quy trình; tích hợp ngoài/realtime hoặc xử lý nâng cao; 3 báo cáo; &gt;=45 test case; logging, backup và deploy.</v>
      </c>
      <c r="L3429" t="str">
        <f>'Huong dan giao do an'!$B$31</f>
        <v>Bắt buộc: Charter/PMP; SRS + scope/WBS; Gantt/baseline; effort-cost budget; RACI/timesheet; quality-test-defect; communication/minutes; risk register; procurement; change log; closure/lessons learned.</v>
      </c>
      <c r="M3429" t="str">
        <f>'Huong dan giao do an'!$B$33</f>
        <v>Tuần 1: 07.09–13.09.2026; Tuần 2: 14.09–20.09.2026; Tuần 3: 21.09–27.09.2026; Tuần 4: 28.09–04.10.2026; Tuần 5: 05.10–11.10.2026; Tuần 6: 12.10–18.10.2026; Tuần 7: 19.10–25.10.2026; Tuần 8: 26.10–01.11.2026.</v>
      </c>
      <c r="N342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29" s="17" t="str">
        <f t="shared" si="53"/>
        <v>Còn trống</v>
      </c>
    </row>
    <row r="3430" spans="1:16" x14ac:dyDescent="0.3">
      <c r="A3430">
        <v>3429</v>
      </c>
      <c r="B3430" t="s">
        <v>7810</v>
      </c>
      <c r="C3430" t="s">
        <v>7887</v>
      </c>
      <c r="D3430" t="s">
        <v>7888</v>
      </c>
      <c r="E3430" t="s">
        <v>33</v>
      </c>
      <c r="F3430" t="s">
        <v>7826</v>
      </c>
      <c r="G3430" t="s">
        <v>7841</v>
      </c>
      <c r="H3430" t="str">
        <f>'Huong dan giao do an'!$B$14</f>
        <v>5 SV (vai trò chính): 1 PM/Scrum Master kiêm Integration; 2 BA/PO; 3 UI-UX + Frontend; 4 Backend/API + DevOps; 5 Database + QA/Tester. Mỗi SV có nhiệm vụ phụ và minh chứng cá nhân.</v>
      </c>
      <c r="I3430" t="s">
        <v>36</v>
      </c>
      <c r="J3430" t="s">
        <v>7823</v>
      </c>
      <c r="K3430" t="str">
        <f>IF(I3430="Trung bình",'Huong dan giao do an'!$B$8,IF(I3430="Khá",'Huong dan giao do an'!$B$9,'Huong dan giao do an'!$B$10))</f>
        <v>Tối thiểu 3 actor; 8-10 use case; 6-8 bảng dữ liệu; 2 quy trình lõi; đăng nhập/RBAC; 1 dashboard; 1 báo cáo; &gt;=25 test case; triển khai bản demo.</v>
      </c>
      <c r="L3430" t="str">
        <f>'Huong dan giao do an'!$B$31</f>
        <v>Bắt buộc: Charter/PMP; SRS + scope/WBS; Gantt/baseline; effort-cost budget; RACI/timesheet; quality-test-defect; communication/minutes; risk register; procurement; change log; closure/lessons learned.</v>
      </c>
      <c r="M3430" t="str">
        <f>'Huong dan giao do an'!$B$33</f>
        <v>Tuần 1: 07.09–13.09.2026; Tuần 2: 14.09–20.09.2026; Tuần 3: 21.09–27.09.2026; Tuần 4: 28.09–04.10.2026; Tuần 5: 05.10–11.10.2026; Tuần 6: 12.10–18.10.2026; Tuần 7: 19.10–25.10.2026; Tuần 8: 26.10–01.11.2026.</v>
      </c>
      <c r="N343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0" s="17" t="str">
        <f t="shared" si="53"/>
        <v>Còn trống</v>
      </c>
    </row>
    <row r="3431" spans="1:16" x14ac:dyDescent="0.3">
      <c r="A3431">
        <v>3430</v>
      </c>
      <c r="B3431" t="s">
        <v>7810</v>
      </c>
      <c r="C3431" t="s">
        <v>7889</v>
      </c>
      <c r="D3431" t="s">
        <v>7890</v>
      </c>
      <c r="E3431" t="s">
        <v>40</v>
      </c>
      <c r="F3431" t="s">
        <v>7830</v>
      </c>
      <c r="G3431" t="s">
        <v>7844</v>
      </c>
      <c r="H3431" t="str">
        <f>'Huong dan giao do an'!$B$14</f>
        <v>5 SV (vai trò chính): 1 PM/Scrum Master kiêm Integration; 2 BA/PO; 3 UI-UX + Frontend; 4 Backend/API + DevOps; 5 Database + QA/Tester. Mỗi SV có nhiệm vụ phụ và minh chứng cá nhân.</v>
      </c>
      <c r="I3431" t="s">
        <v>22</v>
      </c>
      <c r="J3431" t="s">
        <v>7815</v>
      </c>
      <c r="K3431" t="str">
        <f>IF(I3431="Trung bình",'Huong dan giao do an'!$B$8,IF(I3431="Khá",'Huong dan giao do an'!$B$9,'Huong dan giao do an'!$B$10))</f>
        <v>Tối thiểu 4 actor; 10-14 use case; 8-12 bảng; 3 quy trình lõi; phân quyền chi tiết; 2 báo cáo; tích hợp 1 dịch vụ; &gt;=35 test case; CI/CD hoặc deploy cloud.</v>
      </c>
      <c r="L3431" t="str">
        <f>'Huong dan giao do an'!$B$31</f>
        <v>Bắt buộc: Charter/PMP; SRS + scope/WBS; Gantt/baseline; effort-cost budget; RACI/timesheet; quality-test-defect; communication/minutes; risk register; procurement; change log; closure/lessons learned.</v>
      </c>
      <c r="M3431" t="str">
        <f>'Huong dan giao do an'!$B$33</f>
        <v>Tuần 1: 07.09–13.09.2026; Tuần 2: 14.09–20.09.2026; Tuần 3: 21.09–27.09.2026; Tuần 4: 28.09–04.10.2026; Tuần 5: 05.10–11.10.2026; Tuần 6: 12.10–18.10.2026; Tuần 7: 19.10–25.10.2026; Tuần 8: 26.10–01.11.2026.</v>
      </c>
      <c r="N343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1" s="17" t="str">
        <f t="shared" si="53"/>
        <v>Còn trống</v>
      </c>
    </row>
    <row r="3432" spans="1:16" x14ac:dyDescent="0.3">
      <c r="A3432">
        <v>3431</v>
      </c>
      <c r="B3432" t="s">
        <v>7810</v>
      </c>
      <c r="C3432" t="s">
        <v>7891</v>
      </c>
      <c r="D3432" t="s">
        <v>7892</v>
      </c>
      <c r="E3432" t="s">
        <v>45</v>
      </c>
      <c r="F3432" t="s">
        <v>7813</v>
      </c>
      <c r="G3432" t="s">
        <v>2585</v>
      </c>
      <c r="H3432" t="str">
        <f>'Huong dan giao do an'!$B$14</f>
        <v>5 SV (vai trò chính): 1 PM/Scrum Master kiêm Integration; 2 BA/PO; 3 UI-UX + Frontend; 4 Backend/API + DevOps; 5 Database + QA/Tester. Mỗi SV có nhiệm vụ phụ và minh chứng cá nhân.</v>
      </c>
      <c r="I3432" t="s">
        <v>29</v>
      </c>
      <c r="J3432" t="s">
        <v>2554</v>
      </c>
      <c r="K3432" t="str">
        <f>IF(I3432="Trung bình",'Huong dan giao do an'!$B$8,IF(I3432="Khá",'Huong dan giao do an'!$B$9,'Huong dan giao do an'!$B$10))</f>
        <v>Tối thiểu 5 actor; 14-18 use case; 10-15 bảng; 4 quy trình; tích hợp ngoài/realtime hoặc xử lý nâng cao; 3 báo cáo; &gt;=45 test case; logging, backup và deploy.</v>
      </c>
      <c r="L3432" t="str">
        <f>'Huong dan giao do an'!$B$31</f>
        <v>Bắt buộc: Charter/PMP; SRS + scope/WBS; Gantt/baseline; effort-cost budget; RACI/timesheet; quality-test-defect; communication/minutes; risk register; procurement; change log; closure/lessons learned.</v>
      </c>
      <c r="M3432" t="str">
        <f>'Huong dan giao do an'!$B$33</f>
        <v>Tuần 1: 07.09–13.09.2026; Tuần 2: 14.09–20.09.2026; Tuần 3: 21.09–27.09.2026; Tuần 4: 28.09–04.10.2026; Tuần 5: 05.10–11.10.2026; Tuần 6: 12.10–18.10.2026; Tuần 7: 19.10–25.10.2026; Tuần 8: 26.10–01.11.2026.</v>
      </c>
      <c r="N343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2" s="17" t="str">
        <f t="shared" si="53"/>
        <v>Còn trống</v>
      </c>
    </row>
    <row r="3433" spans="1:16" x14ac:dyDescent="0.3">
      <c r="A3433">
        <v>3432</v>
      </c>
      <c r="B3433" t="s">
        <v>7810</v>
      </c>
      <c r="C3433" t="s">
        <v>7893</v>
      </c>
      <c r="D3433" t="s">
        <v>7894</v>
      </c>
      <c r="E3433" t="s">
        <v>19</v>
      </c>
      <c r="F3433" t="s">
        <v>7818</v>
      </c>
      <c r="G3433" t="s">
        <v>7849</v>
      </c>
      <c r="H3433" t="str">
        <f>'Huong dan giao do an'!$B$14</f>
        <v>5 SV (vai trò chính): 1 PM/Scrum Master kiêm Integration; 2 BA/PO; 3 UI-UX + Frontend; 4 Backend/API + DevOps; 5 Database + QA/Tester. Mỗi SV có nhiệm vụ phụ và minh chứng cá nhân.</v>
      </c>
      <c r="I3433" t="s">
        <v>36</v>
      </c>
      <c r="J3433" t="s">
        <v>7823</v>
      </c>
      <c r="K3433" t="str">
        <f>IF(I3433="Trung bình",'Huong dan giao do an'!$B$8,IF(I3433="Khá",'Huong dan giao do an'!$B$9,'Huong dan giao do an'!$B$10))</f>
        <v>Tối thiểu 3 actor; 8-10 use case; 6-8 bảng dữ liệu; 2 quy trình lõi; đăng nhập/RBAC; 1 dashboard; 1 báo cáo; &gt;=25 test case; triển khai bản demo.</v>
      </c>
      <c r="L3433" t="str">
        <f>'Huong dan giao do an'!$B$31</f>
        <v>Bắt buộc: Charter/PMP; SRS + scope/WBS; Gantt/baseline; effort-cost budget; RACI/timesheet; quality-test-defect; communication/minutes; risk register; procurement; change log; closure/lessons learned.</v>
      </c>
      <c r="M3433" t="str">
        <f>'Huong dan giao do an'!$B$33</f>
        <v>Tuần 1: 07.09–13.09.2026; Tuần 2: 14.09–20.09.2026; Tuần 3: 21.09–27.09.2026; Tuần 4: 28.09–04.10.2026; Tuần 5: 05.10–11.10.2026; Tuần 6: 12.10–18.10.2026; Tuần 7: 19.10–25.10.2026; Tuần 8: 26.10–01.11.2026.</v>
      </c>
      <c r="N343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3" s="17" t="str">
        <f t="shared" si="53"/>
        <v>Còn trống</v>
      </c>
    </row>
    <row r="3434" spans="1:16" x14ac:dyDescent="0.3">
      <c r="A3434">
        <v>3433</v>
      </c>
      <c r="B3434" t="s">
        <v>7810</v>
      </c>
      <c r="C3434" t="s">
        <v>7895</v>
      </c>
      <c r="D3434" t="s">
        <v>7896</v>
      </c>
      <c r="E3434" t="s">
        <v>26</v>
      </c>
      <c r="F3434" t="s">
        <v>7821</v>
      </c>
      <c r="G3434" t="s">
        <v>7852</v>
      </c>
      <c r="H3434" t="str">
        <f>'Huong dan giao do an'!$B$14</f>
        <v>5 SV (vai trò chính): 1 PM/Scrum Master kiêm Integration; 2 BA/PO; 3 UI-UX + Frontend; 4 Backend/API + DevOps; 5 Database + QA/Tester. Mỗi SV có nhiệm vụ phụ và minh chứng cá nhân.</v>
      </c>
      <c r="I3434" t="s">
        <v>22</v>
      </c>
      <c r="J3434" t="s">
        <v>7815</v>
      </c>
      <c r="K3434" t="str">
        <f>IF(I3434="Trung bình",'Huong dan giao do an'!$B$8,IF(I3434="Khá",'Huong dan giao do an'!$B$9,'Huong dan giao do an'!$B$10))</f>
        <v>Tối thiểu 4 actor; 10-14 use case; 8-12 bảng; 3 quy trình lõi; phân quyền chi tiết; 2 báo cáo; tích hợp 1 dịch vụ; &gt;=35 test case; CI/CD hoặc deploy cloud.</v>
      </c>
      <c r="L3434" t="str">
        <f>'Huong dan giao do an'!$B$31</f>
        <v>Bắt buộc: Charter/PMP; SRS + scope/WBS; Gantt/baseline; effort-cost budget; RACI/timesheet; quality-test-defect; communication/minutes; risk register; procurement; change log; closure/lessons learned.</v>
      </c>
      <c r="M3434" t="str">
        <f>'Huong dan giao do an'!$B$33</f>
        <v>Tuần 1: 07.09–13.09.2026; Tuần 2: 14.09–20.09.2026; Tuần 3: 21.09–27.09.2026; Tuần 4: 28.09–04.10.2026; Tuần 5: 05.10–11.10.2026; Tuần 6: 12.10–18.10.2026; Tuần 7: 19.10–25.10.2026; Tuần 8: 26.10–01.11.2026.</v>
      </c>
      <c r="N343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4" s="17" t="str">
        <f t="shared" si="53"/>
        <v>Còn trống</v>
      </c>
    </row>
    <row r="3435" spans="1:16" x14ac:dyDescent="0.3">
      <c r="A3435">
        <v>3434</v>
      </c>
      <c r="B3435" t="s">
        <v>7810</v>
      </c>
      <c r="C3435" t="s">
        <v>7897</v>
      </c>
      <c r="D3435" t="s">
        <v>7898</v>
      </c>
      <c r="E3435" t="s">
        <v>33</v>
      </c>
      <c r="F3435" t="s">
        <v>7826</v>
      </c>
      <c r="G3435" t="s">
        <v>2594</v>
      </c>
      <c r="H3435" t="str">
        <f>'Huong dan giao do an'!$B$14</f>
        <v>5 SV (vai trò chính): 1 PM/Scrum Master kiêm Integration; 2 BA/PO; 3 UI-UX + Frontend; 4 Backend/API + DevOps; 5 Database + QA/Tester. Mỗi SV có nhiệm vụ phụ và minh chứng cá nhân.</v>
      </c>
      <c r="I3435" t="s">
        <v>29</v>
      </c>
      <c r="J3435" t="s">
        <v>2554</v>
      </c>
      <c r="K3435" t="str">
        <f>IF(I3435="Trung bình",'Huong dan giao do an'!$B$8,IF(I3435="Khá",'Huong dan giao do an'!$B$9,'Huong dan giao do an'!$B$10))</f>
        <v>Tối thiểu 5 actor; 14-18 use case; 10-15 bảng; 4 quy trình; tích hợp ngoài/realtime hoặc xử lý nâng cao; 3 báo cáo; &gt;=45 test case; logging, backup và deploy.</v>
      </c>
      <c r="L3435" t="str">
        <f>'Huong dan giao do an'!$B$31</f>
        <v>Bắt buộc: Charter/PMP; SRS + scope/WBS; Gantt/baseline; effort-cost budget; RACI/timesheet; quality-test-defect; communication/minutes; risk register; procurement; change log; closure/lessons learned.</v>
      </c>
      <c r="M3435" t="str">
        <f>'Huong dan giao do an'!$B$33</f>
        <v>Tuần 1: 07.09–13.09.2026; Tuần 2: 14.09–20.09.2026; Tuần 3: 21.09–27.09.2026; Tuần 4: 28.09–04.10.2026; Tuần 5: 05.10–11.10.2026; Tuần 6: 12.10–18.10.2026; Tuần 7: 19.10–25.10.2026; Tuần 8: 26.10–01.11.2026.</v>
      </c>
      <c r="N343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5" s="17" t="str">
        <f t="shared" si="53"/>
        <v>Còn trống</v>
      </c>
    </row>
    <row r="3436" spans="1:16" x14ac:dyDescent="0.3">
      <c r="A3436">
        <v>3435</v>
      </c>
      <c r="B3436" t="s">
        <v>7810</v>
      </c>
      <c r="C3436" t="s">
        <v>7899</v>
      </c>
      <c r="D3436" t="s">
        <v>7900</v>
      </c>
      <c r="E3436" t="s">
        <v>40</v>
      </c>
      <c r="F3436" t="s">
        <v>7830</v>
      </c>
      <c r="G3436" t="s">
        <v>7857</v>
      </c>
      <c r="H3436" t="str">
        <f>'Huong dan giao do an'!$B$14</f>
        <v>5 SV (vai trò chính): 1 PM/Scrum Master kiêm Integration; 2 BA/PO; 3 UI-UX + Frontend; 4 Backend/API + DevOps; 5 Database + QA/Tester. Mỗi SV có nhiệm vụ phụ và minh chứng cá nhân.</v>
      </c>
      <c r="I3436" t="s">
        <v>36</v>
      </c>
      <c r="J3436" t="s">
        <v>7823</v>
      </c>
      <c r="K3436" t="str">
        <f>IF(I3436="Trung bình",'Huong dan giao do an'!$B$8,IF(I3436="Khá",'Huong dan giao do an'!$B$9,'Huong dan giao do an'!$B$10))</f>
        <v>Tối thiểu 3 actor; 8-10 use case; 6-8 bảng dữ liệu; 2 quy trình lõi; đăng nhập/RBAC; 1 dashboard; 1 báo cáo; &gt;=25 test case; triển khai bản demo.</v>
      </c>
      <c r="L3436" t="str">
        <f>'Huong dan giao do an'!$B$31</f>
        <v>Bắt buộc: Charter/PMP; SRS + scope/WBS; Gantt/baseline; effort-cost budget; RACI/timesheet; quality-test-defect; communication/minutes; risk register; procurement; change log; closure/lessons learned.</v>
      </c>
      <c r="M3436" t="str">
        <f>'Huong dan giao do an'!$B$33</f>
        <v>Tuần 1: 07.09–13.09.2026; Tuần 2: 14.09–20.09.2026; Tuần 3: 21.09–27.09.2026; Tuần 4: 28.09–04.10.2026; Tuần 5: 05.10–11.10.2026; Tuần 6: 12.10–18.10.2026; Tuần 7: 19.10–25.10.2026; Tuần 8: 26.10–01.11.2026.</v>
      </c>
      <c r="N343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6" s="17" t="str">
        <f t="shared" si="53"/>
        <v>Còn trống</v>
      </c>
    </row>
    <row r="3437" spans="1:16" x14ac:dyDescent="0.3">
      <c r="A3437">
        <v>3436</v>
      </c>
      <c r="B3437" t="s">
        <v>7810</v>
      </c>
      <c r="C3437" t="s">
        <v>7901</v>
      </c>
      <c r="D3437" t="s">
        <v>7902</v>
      </c>
      <c r="E3437" t="s">
        <v>45</v>
      </c>
      <c r="F3437" t="s">
        <v>7813</v>
      </c>
      <c r="G3437" t="s">
        <v>7860</v>
      </c>
      <c r="H3437" t="str">
        <f>'Huong dan giao do an'!$B$14</f>
        <v>5 SV (vai trò chính): 1 PM/Scrum Master kiêm Integration; 2 BA/PO; 3 UI-UX + Frontend; 4 Backend/API + DevOps; 5 Database + QA/Tester. Mỗi SV có nhiệm vụ phụ và minh chứng cá nhân.</v>
      </c>
      <c r="I3437" t="s">
        <v>22</v>
      </c>
      <c r="J3437" t="s">
        <v>7815</v>
      </c>
      <c r="K3437" t="str">
        <f>IF(I3437="Trung bình",'Huong dan giao do an'!$B$8,IF(I3437="Khá",'Huong dan giao do an'!$B$9,'Huong dan giao do an'!$B$10))</f>
        <v>Tối thiểu 4 actor; 10-14 use case; 8-12 bảng; 3 quy trình lõi; phân quyền chi tiết; 2 báo cáo; tích hợp 1 dịch vụ; &gt;=35 test case; CI/CD hoặc deploy cloud.</v>
      </c>
      <c r="L3437" t="str">
        <f>'Huong dan giao do an'!$B$31</f>
        <v>Bắt buộc: Charter/PMP; SRS + scope/WBS; Gantt/baseline; effort-cost budget; RACI/timesheet; quality-test-defect; communication/minutes; risk register; procurement; change log; closure/lessons learned.</v>
      </c>
      <c r="M3437" t="str">
        <f>'Huong dan giao do an'!$B$33</f>
        <v>Tuần 1: 07.09–13.09.2026; Tuần 2: 14.09–20.09.2026; Tuần 3: 21.09–27.09.2026; Tuần 4: 28.09–04.10.2026; Tuần 5: 05.10–11.10.2026; Tuần 6: 12.10–18.10.2026; Tuần 7: 19.10–25.10.2026; Tuần 8: 26.10–01.11.2026.</v>
      </c>
      <c r="N343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7" s="17" t="str">
        <f t="shared" si="53"/>
        <v>Còn trống</v>
      </c>
    </row>
    <row r="3438" spans="1:16" x14ac:dyDescent="0.3">
      <c r="A3438">
        <v>3437</v>
      </c>
      <c r="B3438" t="s">
        <v>7810</v>
      </c>
      <c r="C3438" t="s">
        <v>7903</v>
      </c>
      <c r="D3438" t="s">
        <v>7904</v>
      </c>
      <c r="E3438" t="s">
        <v>19</v>
      </c>
      <c r="F3438" t="s">
        <v>7818</v>
      </c>
      <c r="G3438" t="s">
        <v>2603</v>
      </c>
      <c r="H3438" t="str">
        <f>'Huong dan giao do an'!$B$14</f>
        <v>5 SV (vai trò chính): 1 PM/Scrum Master kiêm Integration; 2 BA/PO; 3 UI-UX + Frontend; 4 Backend/API + DevOps; 5 Database + QA/Tester. Mỗi SV có nhiệm vụ phụ và minh chứng cá nhân.</v>
      </c>
      <c r="I3438" t="s">
        <v>29</v>
      </c>
      <c r="J3438" t="s">
        <v>2554</v>
      </c>
      <c r="K3438" t="str">
        <f>IF(I3438="Trung bình",'Huong dan giao do an'!$B$8,IF(I3438="Khá",'Huong dan giao do an'!$B$9,'Huong dan giao do an'!$B$10))</f>
        <v>Tối thiểu 5 actor; 14-18 use case; 10-15 bảng; 4 quy trình; tích hợp ngoài/realtime hoặc xử lý nâng cao; 3 báo cáo; &gt;=45 test case; logging, backup và deploy.</v>
      </c>
      <c r="L3438" t="str">
        <f>'Huong dan giao do an'!$B$31</f>
        <v>Bắt buộc: Charter/PMP; SRS + scope/WBS; Gantt/baseline; effort-cost budget; RACI/timesheet; quality-test-defect; communication/minutes; risk register; procurement; change log; closure/lessons learned.</v>
      </c>
      <c r="M3438" t="str">
        <f>'Huong dan giao do an'!$B$33</f>
        <v>Tuần 1: 07.09–13.09.2026; Tuần 2: 14.09–20.09.2026; Tuần 3: 21.09–27.09.2026; Tuần 4: 28.09–04.10.2026; Tuần 5: 05.10–11.10.2026; Tuần 6: 12.10–18.10.2026; Tuần 7: 19.10–25.10.2026; Tuần 8: 26.10–01.11.2026.</v>
      </c>
      <c r="N343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8" s="17" t="str">
        <f t="shared" si="53"/>
        <v>Còn trống</v>
      </c>
    </row>
    <row r="3439" spans="1:16" x14ac:dyDescent="0.3">
      <c r="A3439">
        <v>3438</v>
      </c>
      <c r="B3439" t="s">
        <v>7810</v>
      </c>
      <c r="C3439" t="s">
        <v>7905</v>
      </c>
      <c r="D3439" t="s">
        <v>7906</v>
      </c>
      <c r="E3439" t="s">
        <v>26</v>
      </c>
      <c r="F3439" t="s">
        <v>7821</v>
      </c>
      <c r="G3439" t="s">
        <v>7865</v>
      </c>
      <c r="H3439" t="str">
        <f>'Huong dan giao do an'!$B$14</f>
        <v>5 SV (vai trò chính): 1 PM/Scrum Master kiêm Integration; 2 BA/PO; 3 UI-UX + Frontend; 4 Backend/API + DevOps; 5 Database + QA/Tester. Mỗi SV có nhiệm vụ phụ và minh chứng cá nhân.</v>
      </c>
      <c r="I3439" t="s">
        <v>36</v>
      </c>
      <c r="J3439" t="s">
        <v>7823</v>
      </c>
      <c r="K3439" t="str">
        <f>IF(I3439="Trung bình",'Huong dan giao do an'!$B$8,IF(I3439="Khá",'Huong dan giao do an'!$B$9,'Huong dan giao do an'!$B$10))</f>
        <v>Tối thiểu 3 actor; 8-10 use case; 6-8 bảng dữ liệu; 2 quy trình lõi; đăng nhập/RBAC; 1 dashboard; 1 báo cáo; &gt;=25 test case; triển khai bản demo.</v>
      </c>
      <c r="L3439" t="str">
        <f>'Huong dan giao do an'!$B$31</f>
        <v>Bắt buộc: Charter/PMP; SRS + scope/WBS; Gantt/baseline; effort-cost budget; RACI/timesheet; quality-test-defect; communication/minutes; risk register; procurement; change log; closure/lessons learned.</v>
      </c>
      <c r="M3439" t="str">
        <f>'Huong dan giao do an'!$B$33</f>
        <v>Tuần 1: 07.09–13.09.2026; Tuần 2: 14.09–20.09.2026; Tuần 3: 21.09–27.09.2026; Tuần 4: 28.09–04.10.2026; Tuần 5: 05.10–11.10.2026; Tuần 6: 12.10–18.10.2026; Tuần 7: 19.10–25.10.2026; Tuần 8: 26.10–01.11.2026.</v>
      </c>
      <c r="N343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39" s="17" t="str">
        <f t="shared" si="53"/>
        <v>Còn trống</v>
      </c>
    </row>
    <row r="3440" spans="1:16" x14ac:dyDescent="0.3">
      <c r="A3440">
        <v>3439</v>
      </c>
      <c r="B3440" t="s">
        <v>7810</v>
      </c>
      <c r="C3440" t="s">
        <v>7907</v>
      </c>
      <c r="D3440" t="s">
        <v>7908</v>
      </c>
      <c r="E3440" t="s">
        <v>33</v>
      </c>
      <c r="F3440" t="s">
        <v>7826</v>
      </c>
      <c r="G3440" t="s">
        <v>7868</v>
      </c>
      <c r="H3440" t="str">
        <f>'Huong dan giao do an'!$B$14</f>
        <v>5 SV (vai trò chính): 1 PM/Scrum Master kiêm Integration; 2 BA/PO; 3 UI-UX + Frontend; 4 Backend/API + DevOps; 5 Database + QA/Tester. Mỗi SV có nhiệm vụ phụ và minh chứng cá nhân.</v>
      </c>
      <c r="I3440" t="s">
        <v>22</v>
      </c>
      <c r="J3440" t="s">
        <v>7815</v>
      </c>
      <c r="K3440" t="str">
        <f>IF(I3440="Trung bình",'Huong dan giao do an'!$B$8,IF(I3440="Khá",'Huong dan giao do an'!$B$9,'Huong dan giao do an'!$B$10))</f>
        <v>Tối thiểu 4 actor; 10-14 use case; 8-12 bảng; 3 quy trình lõi; phân quyền chi tiết; 2 báo cáo; tích hợp 1 dịch vụ; &gt;=35 test case; CI/CD hoặc deploy cloud.</v>
      </c>
      <c r="L3440" t="str">
        <f>'Huong dan giao do an'!$B$31</f>
        <v>Bắt buộc: Charter/PMP; SRS + scope/WBS; Gantt/baseline; effort-cost budget; RACI/timesheet; quality-test-defect; communication/minutes; risk register; procurement; change log; closure/lessons learned.</v>
      </c>
      <c r="M3440" t="str">
        <f>'Huong dan giao do an'!$B$33</f>
        <v>Tuần 1: 07.09–13.09.2026; Tuần 2: 14.09–20.09.2026; Tuần 3: 21.09–27.09.2026; Tuần 4: 28.09–04.10.2026; Tuần 5: 05.10–11.10.2026; Tuần 6: 12.10–18.10.2026; Tuần 7: 19.10–25.10.2026; Tuần 8: 26.10–01.11.2026.</v>
      </c>
      <c r="N344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0" s="17" t="str">
        <f t="shared" si="53"/>
        <v>Còn trống</v>
      </c>
    </row>
    <row r="3441" spans="1:16" x14ac:dyDescent="0.3">
      <c r="A3441">
        <v>3440</v>
      </c>
      <c r="B3441" t="s">
        <v>7810</v>
      </c>
      <c r="C3441" t="s">
        <v>7909</v>
      </c>
      <c r="D3441" t="s">
        <v>7910</v>
      </c>
      <c r="E3441" t="s">
        <v>40</v>
      </c>
      <c r="F3441" t="s">
        <v>7830</v>
      </c>
      <c r="G3441" t="s">
        <v>2612</v>
      </c>
      <c r="H3441" t="str">
        <f>'Huong dan giao do an'!$B$14</f>
        <v>5 SV (vai trò chính): 1 PM/Scrum Master kiêm Integration; 2 BA/PO; 3 UI-UX + Frontend; 4 Backend/API + DevOps; 5 Database + QA/Tester. Mỗi SV có nhiệm vụ phụ và minh chứng cá nhân.</v>
      </c>
      <c r="I3441" t="s">
        <v>29</v>
      </c>
      <c r="J3441" t="s">
        <v>2554</v>
      </c>
      <c r="K3441" t="str">
        <f>IF(I3441="Trung bình",'Huong dan giao do an'!$B$8,IF(I3441="Khá",'Huong dan giao do an'!$B$9,'Huong dan giao do an'!$B$10))</f>
        <v>Tối thiểu 5 actor; 14-18 use case; 10-15 bảng; 4 quy trình; tích hợp ngoài/realtime hoặc xử lý nâng cao; 3 báo cáo; &gt;=45 test case; logging, backup và deploy.</v>
      </c>
      <c r="L3441" t="str">
        <f>'Huong dan giao do an'!$B$31</f>
        <v>Bắt buộc: Charter/PMP; SRS + scope/WBS; Gantt/baseline; effort-cost budget; RACI/timesheet; quality-test-defect; communication/minutes; risk register; procurement; change log; closure/lessons learned.</v>
      </c>
      <c r="M3441" t="str">
        <f>'Huong dan giao do an'!$B$33</f>
        <v>Tuần 1: 07.09–13.09.2026; Tuần 2: 14.09–20.09.2026; Tuần 3: 21.09–27.09.2026; Tuần 4: 28.09–04.10.2026; Tuần 5: 05.10–11.10.2026; Tuần 6: 12.10–18.10.2026; Tuần 7: 19.10–25.10.2026; Tuần 8: 26.10–01.11.2026.</v>
      </c>
      <c r="N344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1" s="17" t="str">
        <f t="shared" si="53"/>
        <v>Còn trống</v>
      </c>
    </row>
    <row r="3442" spans="1:16" x14ac:dyDescent="0.3">
      <c r="A3442">
        <v>3441</v>
      </c>
      <c r="B3442" t="s">
        <v>7810</v>
      </c>
      <c r="C3442" t="s">
        <v>7911</v>
      </c>
      <c r="D3442" t="s">
        <v>7912</v>
      </c>
      <c r="E3442" t="s">
        <v>45</v>
      </c>
      <c r="F3442" t="s">
        <v>7813</v>
      </c>
      <c r="G3442" t="s">
        <v>7814</v>
      </c>
      <c r="H3442" t="str">
        <f>'Huong dan giao do an'!$B$14</f>
        <v>5 SV (vai trò chính): 1 PM/Scrum Master kiêm Integration; 2 BA/PO; 3 UI-UX + Frontend; 4 Backend/API + DevOps; 5 Database + QA/Tester. Mỗi SV có nhiệm vụ phụ và minh chứng cá nhân.</v>
      </c>
      <c r="I3442" t="s">
        <v>22</v>
      </c>
      <c r="J3442" t="s">
        <v>7815</v>
      </c>
      <c r="K3442" t="str">
        <f>IF(I3442="Trung bình",'Huong dan giao do an'!$B$8,IF(I3442="Khá",'Huong dan giao do an'!$B$9,'Huong dan giao do an'!$B$10))</f>
        <v>Tối thiểu 4 actor; 10-14 use case; 8-12 bảng; 3 quy trình lõi; phân quyền chi tiết; 2 báo cáo; tích hợp 1 dịch vụ; &gt;=35 test case; CI/CD hoặc deploy cloud.</v>
      </c>
      <c r="L3442" t="str">
        <f>'Huong dan giao do an'!$B$31</f>
        <v>Bắt buộc: Charter/PMP; SRS + scope/WBS; Gantt/baseline; effort-cost budget; RACI/timesheet; quality-test-defect; communication/minutes; risk register; procurement; change log; closure/lessons learned.</v>
      </c>
      <c r="M3442" t="str">
        <f>'Huong dan giao do an'!$B$33</f>
        <v>Tuần 1: 07.09–13.09.2026; Tuần 2: 14.09–20.09.2026; Tuần 3: 21.09–27.09.2026; Tuần 4: 28.09–04.10.2026; Tuần 5: 05.10–11.10.2026; Tuần 6: 12.10–18.10.2026; Tuần 7: 19.10–25.10.2026; Tuần 8: 26.10–01.11.2026.</v>
      </c>
      <c r="N344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2" s="17" t="str">
        <f t="shared" si="53"/>
        <v>Còn trống</v>
      </c>
    </row>
    <row r="3443" spans="1:16" x14ac:dyDescent="0.3">
      <c r="A3443">
        <v>3442</v>
      </c>
      <c r="B3443" t="s">
        <v>7810</v>
      </c>
      <c r="C3443" t="s">
        <v>7913</v>
      </c>
      <c r="D3443" t="s">
        <v>7914</v>
      </c>
      <c r="E3443" t="s">
        <v>19</v>
      </c>
      <c r="F3443" t="s">
        <v>7818</v>
      </c>
      <c r="G3443" t="s">
        <v>2553</v>
      </c>
      <c r="H3443" t="str">
        <f>'Huong dan giao do an'!$B$14</f>
        <v>5 SV (vai trò chính): 1 PM/Scrum Master kiêm Integration; 2 BA/PO; 3 UI-UX + Frontend; 4 Backend/API + DevOps; 5 Database + QA/Tester. Mỗi SV có nhiệm vụ phụ và minh chứng cá nhân.</v>
      </c>
      <c r="I3443" t="s">
        <v>29</v>
      </c>
      <c r="J3443" t="s">
        <v>2554</v>
      </c>
      <c r="K3443" t="str">
        <f>IF(I3443="Trung bình",'Huong dan giao do an'!$B$8,IF(I3443="Khá",'Huong dan giao do an'!$B$9,'Huong dan giao do an'!$B$10))</f>
        <v>Tối thiểu 5 actor; 14-18 use case; 10-15 bảng; 4 quy trình; tích hợp ngoài/realtime hoặc xử lý nâng cao; 3 báo cáo; &gt;=45 test case; logging, backup và deploy.</v>
      </c>
      <c r="L3443" t="str">
        <f>'Huong dan giao do an'!$B$31</f>
        <v>Bắt buộc: Charter/PMP; SRS + scope/WBS; Gantt/baseline; effort-cost budget; RACI/timesheet; quality-test-defect; communication/minutes; risk register; procurement; change log; closure/lessons learned.</v>
      </c>
      <c r="M3443" t="str">
        <f>'Huong dan giao do an'!$B$33</f>
        <v>Tuần 1: 07.09–13.09.2026; Tuần 2: 14.09–20.09.2026; Tuần 3: 21.09–27.09.2026; Tuần 4: 28.09–04.10.2026; Tuần 5: 05.10–11.10.2026; Tuần 6: 12.10–18.10.2026; Tuần 7: 19.10–25.10.2026; Tuần 8: 26.10–01.11.2026.</v>
      </c>
      <c r="N344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3" s="17" t="str">
        <f t="shared" si="53"/>
        <v>Còn trống</v>
      </c>
    </row>
    <row r="3444" spans="1:16" x14ac:dyDescent="0.3">
      <c r="A3444">
        <v>3443</v>
      </c>
      <c r="B3444" t="s">
        <v>7810</v>
      </c>
      <c r="C3444" t="s">
        <v>7915</v>
      </c>
      <c r="D3444" t="s">
        <v>7916</v>
      </c>
      <c r="E3444" t="s">
        <v>26</v>
      </c>
      <c r="F3444" t="s">
        <v>7821</v>
      </c>
      <c r="G3444" t="s">
        <v>7822</v>
      </c>
      <c r="H3444" t="str">
        <f>'Huong dan giao do an'!$B$14</f>
        <v>5 SV (vai trò chính): 1 PM/Scrum Master kiêm Integration; 2 BA/PO; 3 UI-UX + Frontend; 4 Backend/API + DevOps; 5 Database + QA/Tester. Mỗi SV có nhiệm vụ phụ và minh chứng cá nhân.</v>
      </c>
      <c r="I3444" t="s">
        <v>36</v>
      </c>
      <c r="J3444" t="s">
        <v>7823</v>
      </c>
      <c r="K3444" t="str">
        <f>IF(I3444="Trung bình",'Huong dan giao do an'!$B$8,IF(I3444="Khá",'Huong dan giao do an'!$B$9,'Huong dan giao do an'!$B$10))</f>
        <v>Tối thiểu 3 actor; 8-10 use case; 6-8 bảng dữ liệu; 2 quy trình lõi; đăng nhập/RBAC; 1 dashboard; 1 báo cáo; &gt;=25 test case; triển khai bản demo.</v>
      </c>
      <c r="L3444" t="str">
        <f>'Huong dan giao do an'!$B$31</f>
        <v>Bắt buộc: Charter/PMP; SRS + scope/WBS; Gantt/baseline; effort-cost budget; RACI/timesheet; quality-test-defect; communication/minutes; risk register; procurement; change log; closure/lessons learned.</v>
      </c>
      <c r="M3444" t="str">
        <f>'Huong dan giao do an'!$B$33</f>
        <v>Tuần 1: 07.09–13.09.2026; Tuần 2: 14.09–20.09.2026; Tuần 3: 21.09–27.09.2026; Tuần 4: 28.09–04.10.2026; Tuần 5: 05.10–11.10.2026; Tuần 6: 12.10–18.10.2026; Tuần 7: 19.10–25.10.2026; Tuần 8: 26.10–01.11.2026.</v>
      </c>
      <c r="N344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4" s="17" t="str">
        <f t="shared" si="53"/>
        <v>Còn trống</v>
      </c>
    </row>
    <row r="3445" spans="1:16" x14ac:dyDescent="0.3">
      <c r="A3445">
        <v>3444</v>
      </c>
      <c r="B3445" t="s">
        <v>7810</v>
      </c>
      <c r="C3445" t="s">
        <v>7917</v>
      </c>
      <c r="D3445" t="s">
        <v>7918</v>
      </c>
      <c r="E3445" t="s">
        <v>33</v>
      </c>
      <c r="F3445" t="s">
        <v>7826</v>
      </c>
      <c r="G3445" t="s">
        <v>7827</v>
      </c>
      <c r="H3445" t="str">
        <f>'Huong dan giao do an'!$B$14</f>
        <v>5 SV (vai trò chính): 1 PM/Scrum Master kiêm Integration; 2 BA/PO; 3 UI-UX + Frontend; 4 Backend/API + DevOps; 5 Database + QA/Tester. Mỗi SV có nhiệm vụ phụ và minh chứng cá nhân.</v>
      </c>
      <c r="I3445" t="s">
        <v>22</v>
      </c>
      <c r="J3445" t="s">
        <v>7815</v>
      </c>
      <c r="K3445" t="str">
        <f>IF(I3445="Trung bình",'Huong dan giao do an'!$B$8,IF(I3445="Khá",'Huong dan giao do an'!$B$9,'Huong dan giao do an'!$B$10))</f>
        <v>Tối thiểu 4 actor; 10-14 use case; 8-12 bảng; 3 quy trình lõi; phân quyền chi tiết; 2 báo cáo; tích hợp 1 dịch vụ; &gt;=35 test case; CI/CD hoặc deploy cloud.</v>
      </c>
      <c r="L3445" t="str">
        <f>'Huong dan giao do an'!$B$31</f>
        <v>Bắt buộc: Charter/PMP; SRS + scope/WBS; Gantt/baseline; effort-cost budget; RACI/timesheet; quality-test-defect; communication/minutes; risk register; procurement; change log; closure/lessons learned.</v>
      </c>
      <c r="M3445" t="str">
        <f>'Huong dan giao do an'!$B$33</f>
        <v>Tuần 1: 07.09–13.09.2026; Tuần 2: 14.09–20.09.2026; Tuần 3: 21.09–27.09.2026; Tuần 4: 28.09–04.10.2026; Tuần 5: 05.10–11.10.2026; Tuần 6: 12.10–18.10.2026; Tuần 7: 19.10–25.10.2026; Tuần 8: 26.10–01.11.2026.</v>
      </c>
      <c r="N344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5" s="17" t="str">
        <f t="shared" si="53"/>
        <v>Còn trống</v>
      </c>
    </row>
    <row r="3446" spans="1:16" x14ac:dyDescent="0.3">
      <c r="A3446">
        <v>3445</v>
      </c>
      <c r="B3446" t="s">
        <v>7810</v>
      </c>
      <c r="C3446" t="s">
        <v>7919</v>
      </c>
      <c r="D3446" t="s">
        <v>7920</v>
      </c>
      <c r="E3446" t="s">
        <v>40</v>
      </c>
      <c r="F3446" t="s">
        <v>7830</v>
      </c>
      <c r="G3446" t="s">
        <v>2567</v>
      </c>
      <c r="H3446" t="str">
        <f>'Huong dan giao do an'!$B$14</f>
        <v>5 SV (vai trò chính): 1 PM/Scrum Master kiêm Integration; 2 BA/PO; 3 UI-UX + Frontend; 4 Backend/API + DevOps; 5 Database + QA/Tester. Mỗi SV có nhiệm vụ phụ và minh chứng cá nhân.</v>
      </c>
      <c r="I3446" t="s">
        <v>29</v>
      </c>
      <c r="J3446" t="s">
        <v>2554</v>
      </c>
      <c r="K3446" t="str">
        <f>IF(I3446="Trung bình",'Huong dan giao do an'!$B$8,IF(I3446="Khá",'Huong dan giao do an'!$B$9,'Huong dan giao do an'!$B$10))</f>
        <v>Tối thiểu 5 actor; 14-18 use case; 10-15 bảng; 4 quy trình; tích hợp ngoài/realtime hoặc xử lý nâng cao; 3 báo cáo; &gt;=45 test case; logging, backup và deploy.</v>
      </c>
      <c r="L3446" t="str">
        <f>'Huong dan giao do an'!$B$31</f>
        <v>Bắt buộc: Charter/PMP; SRS + scope/WBS; Gantt/baseline; effort-cost budget; RACI/timesheet; quality-test-defect; communication/minutes; risk register; procurement; change log; closure/lessons learned.</v>
      </c>
      <c r="M3446" t="str">
        <f>'Huong dan giao do an'!$B$33</f>
        <v>Tuần 1: 07.09–13.09.2026; Tuần 2: 14.09–20.09.2026; Tuần 3: 21.09–27.09.2026; Tuần 4: 28.09–04.10.2026; Tuần 5: 05.10–11.10.2026; Tuần 6: 12.10–18.10.2026; Tuần 7: 19.10–25.10.2026; Tuần 8: 26.10–01.11.2026.</v>
      </c>
      <c r="N344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6" s="17" t="str">
        <f t="shared" si="53"/>
        <v>Còn trống</v>
      </c>
    </row>
    <row r="3447" spans="1:16" x14ac:dyDescent="0.3">
      <c r="A3447">
        <v>3446</v>
      </c>
      <c r="B3447" t="s">
        <v>7810</v>
      </c>
      <c r="C3447" t="s">
        <v>7921</v>
      </c>
      <c r="D3447" t="s">
        <v>7922</v>
      </c>
      <c r="E3447" t="s">
        <v>45</v>
      </c>
      <c r="F3447" t="s">
        <v>7813</v>
      </c>
      <c r="G3447" t="s">
        <v>7833</v>
      </c>
      <c r="H3447" t="str">
        <f>'Huong dan giao do an'!$B$14</f>
        <v>5 SV (vai trò chính): 1 PM/Scrum Master kiêm Integration; 2 BA/PO; 3 UI-UX + Frontend; 4 Backend/API + DevOps; 5 Database + QA/Tester. Mỗi SV có nhiệm vụ phụ và minh chứng cá nhân.</v>
      </c>
      <c r="I3447" t="s">
        <v>36</v>
      </c>
      <c r="J3447" t="s">
        <v>7823</v>
      </c>
      <c r="K3447" t="str">
        <f>IF(I3447="Trung bình",'Huong dan giao do an'!$B$8,IF(I3447="Khá",'Huong dan giao do an'!$B$9,'Huong dan giao do an'!$B$10))</f>
        <v>Tối thiểu 3 actor; 8-10 use case; 6-8 bảng dữ liệu; 2 quy trình lõi; đăng nhập/RBAC; 1 dashboard; 1 báo cáo; &gt;=25 test case; triển khai bản demo.</v>
      </c>
      <c r="L3447" t="str">
        <f>'Huong dan giao do an'!$B$31</f>
        <v>Bắt buộc: Charter/PMP; SRS + scope/WBS; Gantt/baseline; effort-cost budget; RACI/timesheet; quality-test-defect; communication/minutes; risk register; procurement; change log; closure/lessons learned.</v>
      </c>
      <c r="M3447" t="str">
        <f>'Huong dan giao do an'!$B$33</f>
        <v>Tuần 1: 07.09–13.09.2026; Tuần 2: 14.09–20.09.2026; Tuần 3: 21.09–27.09.2026; Tuần 4: 28.09–04.10.2026; Tuần 5: 05.10–11.10.2026; Tuần 6: 12.10–18.10.2026; Tuần 7: 19.10–25.10.2026; Tuần 8: 26.10–01.11.2026.</v>
      </c>
      <c r="N344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7" s="17" t="str">
        <f t="shared" si="53"/>
        <v>Còn trống</v>
      </c>
    </row>
    <row r="3448" spans="1:16" x14ac:dyDescent="0.3">
      <c r="A3448">
        <v>3447</v>
      </c>
      <c r="B3448" t="s">
        <v>7810</v>
      </c>
      <c r="C3448" t="s">
        <v>7923</v>
      </c>
      <c r="D3448" t="s">
        <v>7924</v>
      </c>
      <c r="E3448" t="s">
        <v>19</v>
      </c>
      <c r="F3448" t="s">
        <v>7818</v>
      </c>
      <c r="G3448" t="s">
        <v>7836</v>
      </c>
      <c r="H3448" t="str">
        <f>'Huong dan giao do an'!$B$14</f>
        <v>5 SV (vai trò chính): 1 PM/Scrum Master kiêm Integration; 2 BA/PO; 3 UI-UX + Frontend; 4 Backend/API + DevOps; 5 Database + QA/Tester. Mỗi SV có nhiệm vụ phụ và minh chứng cá nhân.</v>
      </c>
      <c r="I3448" t="s">
        <v>22</v>
      </c>
      <c r="J3448" t="s">
        <v>7815</v>
      </c>
      <c r="K3448" t="str">
        <f>IF(I3448="Trung bình",'Huong dan giao do an'!$B$8,IF(I3448="Khá",'Huong dan giao do an'!$B$9,'Huong dan giao do an'!$B$10))</f>
        <v>Tối thiểu 4 actor; 10-14 use case; 8-12 bảng; 3 quy trình lõi; phân quyền chi tiết; 2 báo cáo; tích hợp 1 dịch vụ; &gt;=35 test case; CI/CD hoặc deploy cloud.</v>
      </c>
      <c r="L3448" t="str">
        <f>'Huong dan giao do an'!$B$31</f>
        <v>Bắt buộc: Charter/PMP; SRS + scope/WBS; Gantt/baseline; effort-cost budget; RACI/timesheet; quality-test-defect; communication/minutes; risk register; procurement; change log; closure/lessons learned.</v>
      </c>
      <c r="M3448" t="str">
        <f>'Huong dan giao do an'!$B$33</f>
        <v>Tuần 1: 07.09–13.09.2026; Tuần 2: 14.09–20.09.2026; Tuần 3: 21.09–27.09.2026; Tuần 4: 28.09–04.10.2026; Tuần 5: 05.10–11.10.2026; Tuần 6: 12.10–18.10.2026; Tuần 7: 19.10–25.10.2026; Tuần 8: 26.10–01.11.2026.</v>
      </c>
      <c r="N344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8" s="17" t="str">
        <f t="shared" si="53"/>
        <v>Còn trống</v>
      </c>
    </row>
    <row r="3449" spans="1:16" x14ac:dyDescent="0.3">
      <c r="A3449">
        <v>3448</v>
      </c>
      <c r="B3449" t="s">
        <v>7810</v>
      </c>
      <c r="C3449" t="s">
        <v>7925</v>
      </c>
      <c r="D3449" t="s">
        <v>7926</v>
      </c>
      <c r="E3449" t="s">
        <v>26</v>
      </c>
      <c r="F3449" t="s">
        <v>7821</v>
      </c>
      <c r="G3449" t="s">
        <v>2576</v>
      </c>
      <c r="H3449" t="str">
        <f>'Huong dan giao do an'!$B$14</f>
        <v>5 SV (vai trò chính): 1 PM/Scrum Master kiêm Integration; 2 BA/PO; 3 UI-UX + Frontend; 4 Backend/API + DevOps; 5 Database + QA/Tester. Mỗi SV có nhiệm vụ phụ và minh chứng cá nhân.</v>
      </c>
      <c r="I3449" t="s">
        <v>29</v>
      </c>
      <c r="J3449" t="s">
        <v>2554</v>
      </c>
      <c r="K3449" t="str">
        <f>IF(I3449="Trung bình",'Huong dan giao do an'!$B$8,IF(I3449="Khá",'Huong dan giao do an'!$B$9,'Huong dan giao do an'!$B$10))</f>
        <v>Tối thiểu 5 actor; 14-18 use case; 10-15 bảng; 4 quy trình; tích hợp ngoài/realtime hoặc xử lý nâng cao; 3 báo cáo; &gt;=45 test case; logging, backup và deploy.</v>
      </c>
      <c r="L3449" t="str">
        <f>'Huong dan giao do an'!$B$31</f>
        <v>Bắt buộc: Charter/PMP; SRS + scope/WBS; Gantt/baseline; effort-cost budget; RACI/timesheet; quality-test-defect; communication/minutes; risk register; procurement; change log; closure/lessons learned.</v>
      </c>
      <c r="M3449" t="str">
        <f>'Huong dan giao do an'!$B$33</f>
        <v>Tuần 1: 07.09–13.09.2026; Tuần 2: 14.09–20.09.2026; Tuần 3: 21.09–27.09.2026; Tuần 4: 28.09–04.10.2026; Tuần 5: 05.10–11.10.2026; Tuần 6: 12.10–18.10.2026; Tuần 7: 19.10–25.10.2026; Tuần 8: 26.10–01.11.2026.</v>
      </c>
      <c r="N344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49" s="17" t="str">
        <f t="shared" si="53"/>
        <v>Còn trống</v>
      </c>
    </row>
    <row r="3450" spans="1:16" x14ac:dyDescent="0.3">
      <c r="A3450">
        <v>3449</v>
      </c>
      <c r="B3450" t="s">
        <v>7810</v>
      </c>
      <c r="C3450" t="s">
        <v>7927</v>
      </c>
      <c r="D3450" t="s">
        <v>7928</v>
      </c>
      <c r="E3450" t="s">
        <v>33</v>
      </c>
      <c r="F3450" t="s">
        <v>7826</v>
      </c>
      <c r="G3450" t="s">
        <v>7841</v>
      </c>
      <c r="H3450" t="str">
        <f>'Huong dan giao do an'!$B$14</f>
        <v>5 SV (vai trò chính): 1 PM/Scrum Master kiêm Integration; 2 BA/PO; 3 UI-UX + Frontend; 4 Backend/API + DevOps; 5 Database + QA/Tester. Mỗi SV có nhiệm vụ phụ và minh chứng cá nhân.</v>
      </c>
      <c r="I3450" t="s">
        <v>36</v>
      </c>
      <c r="J3450" t="s">
        <v>7823</v>
      </c>
      <c r="K3450" t="str">
        <f>IF(I3450="Trung bình",'Huong dan giao do an'!$B$8,IF(I3450="Khá",'Huong dan giao do an'!$B$9,'Huong dan giao do an'!$B$10))</f>
        <v>Tối thiểu 3 actor; 8-10 use case; 6-8 bảng dữ liệu; 2 quy trình lõi; đăng nhập/RBAC; 1 dashboard; 1 báo cáo; &gt;=25 test case; triển khai bản demo.</v>
      </c>
      <c r="L3450" t="str">
        <f>'Huong dan giao do an'!$B$31</f>
        <v>Bắt buộc: Charter/PMP; SRS + scope/WBS; Gantt/baseline; effort-cost budget; RACI/timesheet; quality-test-defect; communication/minutes; risk register; procurement; change log; closure/lessons learned.</v>
      </c>
      <c r="M3450" t="str">
        <f>'Huong dan giao do an'!$B$33</f>
        <v>Tuần 1: 07.09–13.09.2026; Tuần 2: 14.09–20.09.2026; Tuần 3: 21.09–27.09.2026; Tuần 4: 28.09–04.10.2026; Tuần 5: 05.10–11.10.2026; Tuần 6: 12.10–18.10.2026; Tuần 7: 19.10–25.10.2026; Tuần 8: 26.10–01.11.2026.</v>
      </c>
      <c r="N345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0" s="17" t="str">
        <f t="shared" si="53"/>
        <v>Còn trống</v>
      </c>
    </row>
    <row r="3451" spans="1:16" x14ac:dyDescent="0.3">
      <c r="A3451">
        <v>3450</v>
      </c>
      <c r="B3451" t="s">
        <v>7810</v>
      </c>
      <c r="C3451" t="s">
        <v>7929</v>
      </c>
      <c r="D3451" t="s">
        <v>7930</v>
      </c>
      <c r="E3451" t="s">
        <v>40</v>
      </c>
      <c r="F3451" t="s">
        <v>7830</v>
      </c>
      <c r="G3451" t="s">
        <v>7844</v>
      </c>
      <c r="H3451" t="str">
        <f>'Huong dan giao do an'!$B$14</f>
        <v>5 SV (vai trò chính): 1 PM/Scrum Master kiêm Integration; 2 BA/PO; 3 UI-UX + Frontend; 4 Backend/API + DevOps; 5 Database + QA/Tester. Mỗi SV có nhiệm vụ phụ và minh chứng cá nhân.</v>
      </c>
      <c r="I3451" t="s">
        <v>22</v>
      </c>
      <c r="J3451" t="s">
        <v>7815</v>
      </c>
      <c r="K3451" t="str">
        <f>IF(I3451="Trung bình",'Huong dan giao do an'!$B$8,IF(I3451="Khá",'Huong dan giao do an'!$B$9,'Huong dan giao do an'!$B$10))</f>
        <v>Tối thiểu 4 actor; 10-14 use case; 8-12 bảng; 3 quy trình lõi; phân quyền chi tiết; 2 báo cáo; tích hợp 1 dịch vụ; &gt;=35 test case; CI/CD hoặc deploy cloud.</v>
      </c>
      <c r="L3451" t="str">
        <f>'Huong dan giao do an'!$B$31</f>
        <v>Bắt buộc: Charter/PMP; SRS + scope/WBS; Gantt/baseline; effort-cost budget; RACI/timesheet; quality-test-defect; communication/minutes; risk register; procurement; change log; closure/lessons learned.</v>
      </c>
      <c r="M3451" t="str">
        <f>'Huong dan giao do an'!$B$33</f>
        <v>Tuần 1: 07.09–13.09.2026; Tuần 2: 14.09–20.09.2026; Tuần 3: 21.09–27.09.2026; Tuần 4: 28.09–04.10.2026; Tuần 5: 05.10–11.10.2026; Tuần 6: 12.10–18.10.2026; Tuần 7: 19.10–25.10.2026; Tuần 8: 26.10–01.11.2026.</v>
      </c>
      <c r="N345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1" s="17" t="str">
        <f t="shared" si="53"/>
        <v>Còn trống</v>
      </c>
    </row>
    <row r="3452" spans="1:16" x14ac:dyDescent="0.3">
      <c r="A3452">
        <v>3451</v>
      </c>
      <c r="B3452" t="s">
        <v>7810</v>
      </c>
      <c r="C3452" t="s">
        <v>7931</v>
      </c>
      <c r="D3452" t="s">
        <v>7932</v>
      </c>
      <c r="E3452" t="s">
        <v>45</v>
      </c>
      <c r="F3452" t="s">
        <v>7813</v>
      </c>
      <c r="G3452" t="s">
        <v>2585</v>
      </c>
      <c r="H3452" t="str">
        <f>'Huong dan giao do an'!$B$14</f>
        <v>5 SV (vai trò chính): 1 PM/Scrum Master kiêm Integration; 2 BA/PO; 3 UI-UX + Frontend; 4 Backend/API + DevOps; 5 Database + QA/Tester. Mỗi SV có nhiệm vụ phụ và minh chứng cá nhân.</v>
      </c>
      <c r="I3452" t="s">
        <v>29</v>
      </c>
      <c r="J3452" t="s">
        <v>2554</v>
      </c>
      <c r="K3452" t="str">
        <f>IF(I3452="Trung bình",'Huong dan giao do an'!$B$8,IF(I3452="Khá",'Huong dan giao do an'!$B$9,'Huong dan giao do an'!$B$10))</f>
        <v>Tối thiểu 5 actor; 14-18 use case; 10-15 bảng; 4 quy trình; tích hợp ngoài/realtime hoặc xử lý nâng cao; 3 báo cáo; &gt;=45 test case; logging, backup và deploy.</v>
      </c>
      <c r="L3452" t="str">
        <f>'Huong dan giao do an'!$B$31</f>
        <v>Bắt buộc: Charter/PMP; SRS + scope/WBS; Gantt/baseline; effort-cost budget; RACI/timesheet; quality-test-defect; communication/minutes; risk register; procurement; change log; closure/lessons learned.</v>
      </c>
      <c r="M3452" t="str">
        <f>'Huong dan giao do an'!$B$33</f>
        <v>Tuần 1: 07.09–13.09.2026; Tuần 2: 14.09–20.09.2026; Tuần 3: 21.09–27.09.2026; Tuần 4: 28.09–04.10.2026; Tuần 5: 05.10–11.10.2026; Tuần 6: 12.10–18.10.2026; Tuần 7: 19.10–25.10.2026; Tuần 8: 26.10–01.11.2026.</v>
      </c>
      <c r="N345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2" s="17" t="str">
        <f t="shared" si="53"/>
        <v>Còn trống</v>
      </c>
    </row>
    <row r="3453" spans="1:16" x14ac:dyDescent="0.3">
      <c r="A3453">
        <v>3452</v>
      </c>
      <c r="B3453" t="s">
        <v>7810</v>
      </c>
      <c r="C3453" t="s">
        <v>7933</v>
      </c>
      <c r="D3453" t="s">
        <v>7934</v>
      </c>
      <c r="E3453" t="s">
        <v>19</v>
      </c>
      <c r="F3453" t="s">
        <v>7818</v>
      </c>
      <c r="G3453" t="s">
        <v>7849</v>
      </c>
      <c r="H3453" t="str">
        <f>'Huong dan giao do an'!$B$14</f>
        <v>5 SV (vai trò chính): 1 PM/Scrum Master kiêm Integration; 2 BA/PO; 3 UI-UX + Frontend; 4 Backend/API + DevOps; 5 Database + QA/Tester. Mỗi SV có nhiệm vụ phụ và minh chứng cá nhân.</v>
      </c>
      <c r="I3453" t="s">
        <v>36</v>
      </c>
      <c r="J3453" t="s">
        <v>7823</v>
      </c>
      <c r="K3453" t="str">
        <f>IF(I3453="Trung bình",'Huong dan giao do an'!$B$8,IF(I3453="Khá",'Huong dan giao do an'!$B$9,'Huong dan giao do an'!$B$10))</f>
        <v>Tối thiểu 3 actor; 8-10 use case; 6-8 bảng dữ liệu; 2 quy trình lõi; đăng nhập/RBAC; 1 dashboard; 1 báo cáo; &gt;=25 test case; triển khai bản demo.</v>
      </c>
      <c r="L3453" t="str">
        <f>'Huong dan giao do an'!$B$31</f>
        <v>Bắt buộc: Charter/PMP; SRS + scope/WBS; Gantt/baseline; effort-cost budget; RACI/timesheet; quality-test-defect; communication/minutes; risk register; procurement; change log; closure/lessons learned.</v>
      </c>
      <c r="M3453" t="str">
        <f>'Huong dan giao do an'!$B$33</f>
        <v>Tuần 1: 07.09–13.09.2026; Tuần 2: 14.09–20.09.2026; Tuần 3: 21.09–27.09.2026; Tuần 4: 28.09–04.10.2026; Tuần 5: 05.10–11.10.2026; Tuần 6: 12.10–18.10.2026; Tuần 7: 19.10–25.10.2026; Tuần 8: 26.10–01.11.2026.</v>
      </c>
      <c r="N345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3" s="17" t="str">
        <f t="shared" si="53"/>
        <v>Còn trống</v>
      </c>
    </row>
    <row r="3454" spans="1:16" x14ac:dyDescent="0.3">
      <c r="A3454">
        <v>3453</v>
      </c>
      <c r="B3454" t="s">
        <v>7810</v>
      </c>
      <c r="C3454" t="s">
        <v>7935</v>
      </c>
      <c r="D3454" t="s">
        <v>7936</v>
      </c>
      <c r="E3454" t="s">
        <v>26</v>
      </c>
      <c r="F3454" t="s">
        <v>7821</v>
      </c>
      <c r="G3454" t="s">
        <v>7852</v>
      </c>
      <c r="H3454" t="str">
        <f>'Huong dan giao do an'!$B$14</f>
        <v>5 SV (vai trò chính): 1 PM/Scrum Master kiêm Integration; 2 BA/PO; 3 UI-UX + Frontend; 4 Backend/API + DevOps; 5 Database + QA/Tester. Mỗi SV có nhiệm vụ phụ và minh chứng cá nhân.</v>
      </c>
      <c r="I3454" t="s">
        <v>22</v>
      </c>
      <c r="J3454" t="s">
        <v>7815</v>
      </c>
      <c r="K3454" t="str">
        <f>IF(I3454="Trung bình",'Huong dan giao do an'!$B$8,IF(I3454="Khá",'Huong dan giao do an'!$B$9,'Huong dan giao do an'!$B$10))</f>
        <v>Tối thiểu 4 actor; 10-14 use case; 8-12 bảng; 3 quy trình lõi; phân quyền chi tiết; 2 báo cáo; tích hợp 1 dịch vụ; &gt;=35 test case; CI/CD hoặc deploy cloud.</v>
      </c>
      <c r="L3454" t="str">
        <f>'Huong dan giao do an'!$B$31</f>
        <v>Bắt buộc: Charter/PMP; SRS + scope/WBS; Gantt/baseline; effort-cost budget; RACI/timesheet; quality-test-defect; communication/minutes; risk register; procurement; change log; closure/lessons learned.</v>
      </c>
      <c r="M3454" t="str">
        <f>'Huong dan giao do an'!$B$33</f>
        <v>Tuần 1: 07.09–13.09.2026; Tuần 2: 14.09–20.09.2026; Tuần 3: 21.09–27.09.2026; Tuần 4: 28.09–04.10.2026; Tuần 5: 05.10–11.10.2026; Tuần 6: 12.10–18.10.2026; Tuần 7: 19.10–25.10.2026; Tuần 8: 26.10–01.11.2026.</v>
      </c>
      <c r="N345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4" s="17" t="str">
        <f t="shared" si="53"/>
        <v>Còn trống</v>
      </c>
    </row>
    <row r="3455" spans="1:16" x14ac:dyDescent="0.3">
      <c r="A3455">
        <v>3454</v>
      </c>
      <c r="B3455" t="s">
        <v>7810</v>
      </c>
      <c r="C3455" t="s">
        <v>7937</v>
      </c>
      <c r="D3455" t="s">
        <v>7938</v>
      </c>
      <c r="E3455" t="s">
        <v>33</v>
      </c>
      <c r="F3455" t="s">
        <v>7826</v>
      </c>
      <c r="G3455" t="s">
        <v>2594</v>
      </c>
      <c r="H3455" t="str">
        <f>'Huong dan giao do an'!$B$14</f>
        <v>5 SV (vai trò chính): 1 PM/Scrum Master kiêm Integration; 2 BA/PO; 3 UI-UX + Frontend; 4 Backend/API + DevOps; 5 Database + QA/Tester. Mỗi SV có nhiệm vụ phụ và minh chứng cá nhân.</v>
      </c>
      <c r="I3455" t="s">
        <v>29</v>
      </c>
      <c r="J3455" t="s">
        <v>2554</v>
      </c>
      <c r="K3455" t="str">
        <f>IF(I3455="Trung bình",'Huong dan giao do an'!$B$8,IF(I3455="Khá",'Huong dan giao do an'!$B$9,'Huong dan giao do an'!$B$10))</f>
        <v>Tối thiểu 5 actor; 14-18 use case; 10-15 bảng; 4 quy trình; tích hợp ngoài/realtime hoặc xử lý nâng cao; 3 báo cáo; &gt;=45 test case; logging, backup và deploy.</v>
      </c>
      <c r="L3455" t="str">
        <f>'Huong dan giao do an'!$B$31</f>
        <v>Bắt buộc: Charter/PMP; SRS + scope/WBS; Gantt/baseline; effort-cost budget; RACI/timesheet; quality-test-defect; communication/minutes; risk register; procurement; change log; closure/lessons learned.</v>
      </c>
      <c r="M3455" t="str">
        <f>'Huong dan giao do an'!$B$33</f>
        <v>Tuần 1: 07.09–13.09.2026; Tuần 2: 14.09–20.09.2026; Tuần 3: 21.09–27.09.2026; Tuần 4: 28.09–04.10.2026; Tuần 5: 05.10–11.10.2026; Tuần 6: 12.10–18.10.2026; Tuần 7: 19.10–25.10.2026; Tuần 8: 26.10–01.11.2026.</v>
      </c>
      <c r="N345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5" s="17" t="str">
        <f t="shared" si="53"/>
        <v>Còn trống</v>
      </c>
    </row>
    <row r="3456" spans="1:16" x14ac:dyDescent="0.3">
      <c r="A3456">
        <v>3455</v>
      </c>
      <c r="B3456" t="s">
        <v>7810</v>
      </c>
      <c r="C3456" t="s">
        <v>7939</v>
      </c>
      <c r="D3456" t="s">
        <v>7940</v>
      </c>
      <c r="E3456" t="s">
        <v>40</v>
      </c>
      <c r="F3456" t="s">
        <v>7830</v>
      </c>
      <c r="G3456" t="s">
        <v>7857</v>
      </c>
      <c r="H3456" t="str">
        <f>'Huong dan giao do an'!$B$14</f>
        <v>5 SV (vai trò chính): 1 PM/Scrum Master kiêm Integration; 2 BA/PO; 3 UI-UX + Frontend; 4 Backend/API + DevOps; 5 Database + QA/Tester. Mỗi SV có nhiệm vụ phụ và minh chứng cá nhân.</v>
      </c>
      <c r="I3456" t="s">
        <v>36</v>
      </c>
      <c r="J3456" t="s">
        <v>7823</v>
      </c>
      <c r="K3456" t="str">
        <f>IF(I3456="Trung bình",'Huong dan giao do an'!$B$8,IF(I3456="Khá",'Huong dan giao do an'!$B$9,'Huong dan giao do an'!$B$10))</f>
        <v>Tối thiểu 3 actor; 8-10 use case; 6-8 bảng dữ liệu; 2 quy trình lõi; đăng nhập/RBAC; 1 dashboard; 1 báo cáo; &gt;=25 test case; triển khai bản demo.</v>
      </c>
      <c r="L3456" t="str">
        <f>'Huong dan giao do an'!$B$31</f>
        <v>Bắt buộc: Charter/PMP; SRS + scope/WBS; Gantt/baseline; effort-cost budget; RACI/timesheet; quality-test-defect; communication/minutes; risk register; procurement; change log; closure/lessons learned.</v>
      </c>
      <c r="M3456" t="str">
        <f>'Huong dan giao do an'!$B$33</f>
        <v>Tuần 1: 07.09–13.09.2026; Tuần 2: 14.09–20.09.2026; Tuần 3: 21.09–27.09.2026; Tuần 4: 28.09–04.10.2026; Tuần 5: 05.10–11.10.2026; Tuần 6: 12.10–18.10.2026; Tuần 7: 19.10–25.10.2026; Tuần 8: 26.10–01.11.2026.</v>
      </c>
      <c r="N345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6" s="17" t="str">
        <f t="shared" si="53"/>
        <v>Còn trống</v>
      </c>
    </row>
    <row r="3457" spans="1:16" x14ac:dyDescent="0.3">
      <c r="A3457">
        <v>3456</v>
      </c>
      <c r="B3457" t="s">
        <v>7810</v>
      </c>
      <c r="C3457" t="s">
        <v>7941</v>
      </c>
      <c r="D3457" t="s">
        <v>7942</v>
      </c>
      <c r="E3457" t="s">
        <v>45</v>
      </c>
      <c r="F3457" t="s">
        <v>7813</v>
      </c>
      <c r="G3457" t="s">
        <v>7860</v>
      </c>
      <c r="H3457" t="str">
        <f>'Huong dan giao do an'!$B$14</f>
        <v>5 SV (vai trò chính): 1 PM/Scrum Master kiêm Integration; 2 BA/PO; 3 UI-UX + Frontend; 4 Backend/API + DevOps; 5 Database + QA/Tester. Mỗi SV có nhiệm vụ phụ và minh chứng cá nhân.</v>
      </c>
      <c r="I3457" t="s">
        <v>22</v>
      </c>
      <c r="J3457" t="s">
        <v>7815</v>
      </c>
      <c r="K3457" t="str">
        <f>IF(I3457="Trung bình",'Huong dan giao do an'!$B$8,IF(I3457="Khá",'Huong dan giao do an'!$B$9,'Huong dan giao do an'!$B$10))</f>
        <v>Tối thiểu 4 actor; 10-14 use case; 8-12 bảng; 3 quy trình lõi; phân quyền chi tiết; 2 báo cáo; tích hợp 1 dịch vụ; &gt;=35 test case; CI/CD hoặc deploy cloud.</v>
      </c>
      <c r="L3457" t="str">
        <f>'Huong dan giao do an'!$B$31</f>
        <v>Bắt buộc: Charter/PMP; SRS + scope/WBS; Gantt/baseline; effort-cost budget; RACI/timesheet; quality-test-defect; communication/minutes; risk register; procurement; change log; closure/lessons learned.</v>
      </c>
      <c r="M3457" t="str">
        <f>'Huong dan giao do an'!$B$33</f>
        <v>Tuần 1: 07.09–13.09.2026; Tuần 2: 14.09–20.09.2026; Tuần 3: 21.09–27.09.2026; Tuần 4: 28.09–04.10.2026; Tuần 5: 05.10–11.10.2026; Tuần 6: 12.10–18.10.2026; Tuần 7: 19.10–25.10.2026; Tuần 8: 26.10–01.11.2026.</v>
      </c>
      <c r="N345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7" s="17" t="str">
        <f t="shared" si="53"/>
        <v>Còn trống</v>
      </c>
    </row>
    <row r="3458" spans="1:16" x14ac:dyDescent="0.3">
      <c r="A3458">
        <v>3457</v>
      </c>
      <c r="B3458" t="s">
        <v>7810</v>
      </c>
      <c r="C3458" t="s">
        <v>7943</v>
      </c>
      <c r="D3458" t="s">
        <v>7944</v>
      </c>
      <c r="E3458" t="s">
        <v>19</v>
      </c>
      <c r="F3458" t="s">
        <v>7818</v>
      </c>
      <c r="G3458" t="s">
        <v>2603</v>
      </c>
      <c r="H3458" t="str">
        <f>'Huong dan giao do an'!$B$14</f>
        <v>5 SV (vai trò chính): 1 PM/Scrum Master kiêm Integration; 2 BA/PO; 3 UI-UX + Frontend; 4 Backend/API + DevOps; 5 Database + QA/Tester. Mỗi SV có nhiệm vụ phụ và minh chứng cá nhân.</v>
      </c>
      <c r="I3458" t="s">
        <v>29</v>
      </c>
      <c r="J3458" t="s">
        <v>2554</v>
      </c>
      <c r="K3458" t="str">
        <f>IF(I3458="Trung bình",'Huong dan giao do an'!$B$8,IF(I3458="Khá",'Huong dan giao do an'!$B$9,'Huong dan giao do an'!$B$10))</f>
        <v>Tối thiểu 5 actor; 14-18 use case; 10-15 bảng; 4 quy trình; tích hợp ngoài/realtime hoặc xử lý nâng cao; 3 báo cáo; &gt;=45 test case; logging, backup và deploy.</v>
      </c>
      <c r="L3458" t="str">
        <f>'Huong dan giao do an'!$B$31</f>
        <v>Bắt buộc: Charter/PMP; SRS + scope/WBS; Gantt/baseline; effort-cost budget; RACI/timesheet; quality-test-defect; communication/minutes; risk register; procurement; change log; closure/lessons learned.</v>
      </c>
      <c r="M3458" t="str">
        <f>'Huong dan giao do an'!$B$33</f>
        <v>Tuần 1: 07.09–13.09.2026; Tuần 2: 14.09–20.09.2026; Tuần 3: 21.09–27.09.2026; Tuần 4: 28.09–04.10.2026; Tuần 5: 05.10–11.10.2026; Tuần 6: 12.10–18.10.2026; Tuần 7: 19.10–25.10.2026; Tuần 8: 26.10–01.11.2026.</v>
      </c>
      <c r="N345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8" s="17" t="str">
        <f t="shared" si="53"/>
        <v>Còn trống</v>
      </c>
    </row>
    <row r="3459" spans="1:16" x14ac:dyDescent="0.3">
      <c r="A3459">
        <v>3458</v>
      </c>
      <c r="B3459" t="s">
        <v>7810</v>
      </c>
      <c r="C3459" t="s">
        <v>7945</v>
      </c>
      <c r="D3459" t="s">
        <v>7946</v>
      </c>
      <c r="E3459" t="s">
        <v>26</v>
      </c>
      <c r="F3459" t="s">
        <v>7821</v>
      </c>
      <c r="G3459" t="s">
        <v>7865</v>
      </c>
      <c r="H3459" t="str">
        <f>'Huong dan giao do an'!$B$14</f>
        <v>5 SV (vai trò chính): 1 PM/Scrum Master kiêm Integration; 2 BA/PO; 3 UI-UX + Frontend; 4 Backend/API + DevOps; 5 Database + QA/Tester. Mỗi SV có nhiệm vụ phụ và minh chứng cá nhân.</v>
      </c>
      <c r="I3459" t="s">
        <v>36</v>
      </c>
      <c r="J3459" t="s">
        <v>7823</v>
      </c>
      <c r="K3459" t="str">
        <f>IF(I3459="Trung bình",'Huong dan giao do an'!$B$8,IF(I3459="Khá",'Huong dan giao do an'!$B$9,'Huong dan giao do an'!$B$10))</f>
        <v>Tối thiểu 3 actor; 8-10 use case; 6-8 bảng dữ liệu; 2 quy trình lõi; đăng nhập/RBAC; 1 dashboard; 1 báo cáo; &gt;=25 test case; triển khai bản demo.</v>
      </c>
      <c r="L3459" t="str">
        <f>'Huong dan giao do an'!$B$31</f>
        <v>Bắt buộc: Charter/PMP; SRS + scope/WBS; Gantt/baseline; effort-cost budget; RACI/timesheet; quality-test-defect; communication/minutes; risk register; procurement; change log; closure/lessons learned.</v>
      </c>
      <c r="M3459" t="str">
        <f>'Huong dan giao do an'!$B$33</f>
        <v>Tuần 1: 07.09–13.09.2026; Tuần 2: 14.09–20.09.2026; Tuần 3: 21.09–27.09.2026; Tuần 4: 28.09–04.10.2026; Tuần 5: 05.10–11.10.2026; Tuần 6: 12.10–18.10.2026; Tuần 7: 19.10–25.10.2026; Tuần 8: 26.10–01.11.2026.</v>
      </c>
      <c r="N345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59" s="17" t="str">
        <f t="shared" ref="P3459:P3501" si="54">IF(O3459="","Còn trống","Đã đăng ký")</f>
        <v>Còn trống</v>
      </c>
    </row>
    <row r="3460" spans="1:16" x14ac:dyDescent="0.3">
      <c r="A3460">
        <v>3459</v>
      </c>
      <c r="B3460" t="s">
        <v>7810</v>
      </c>
      <c r="C3460" t="s">
        <v>7947</v>
      </c>
      <c r="D3460" t="s">
        <v>7948</v>
      </c>
      <c r="E3460" t="s">
        <v>33</v>
      </c>
      <c r="F3460" t="s">
        <v>7826</v>
      </c>
      <c r="G3460" t="s">
        <v>7868</v>
      </c>
      <c r="H3460" t="str">
        <f>'Huong dan giao do an'!$B$14</f>
        <v>5 SV (vai trò chính): 1 PM/Scrum Master kiêm Integration; 2 BA/PO; 3 UI-UX + Frontend; 4 Backend/API + DevOps; 5 Database + QA/Tester. Mỗi SV có nhiệm vụ phụ và minh chứng cá nhân.</v>
      </c>
      <c r="I3460" t="s">
        <v>22</v>
      </c>
      <c r="J3460" t="s">
        <v>7815</v>
      </c>
      <c r="K3460" t="str">
        <f>IF(I3460="Trung bình",'Huong dan giao do an'!$B$8,IF(I3460="Khá",'Huong dan giao do an'!$B$9,'Huong dan giao do an'!$B$10))</f>
        <v>Tối thiểu 4 actor; 10-14 use case; 8-12 bảng; 3 quy trình lõi; phân quyền chi tiết; 2 báo cáo; tích hợp 1 dịch vụ; &gt;=35 test case; CI/CD hoặc deploy cloud.</v>
      </c>
      <c r="L3460" t="str">
        <f>'Huong dan giao do an'!$B$31</f>
        <v>Bắt buộc: Charter/PMP; SRS + scope/WBS; Gantt/baseline; effort-cost budget; RACI/timesheet; quality-test-defect; communication/minutes; risk register; procurement; change log; closure/lessons learned.</v>
      </c>
      <c r="M3460" t="str">
        <f>'Huong dan giao do an'!$B$33</f>
        <v>Tuần 1: 07.09–13.09.2026; Tuần 2: 14.09–20.09.2026; Tuần 3: 21.09–27.09.2026; Tuần 4: 28.09–04.10.2026; Tuần 5: 05.10–11.10.2026; Tuần 6: 12.10–18.10.2026; Tuần 7: 19.10–25.10.2026; Tuần 8: 26.10–01.11.2026.</v>
      </c>
      <c r="N346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0" s="17" t="str">
        <f t="shared" si="54"/>
        <v>Còn trống</v>
      </c>
    </row>
    <row r="3461" spans="1:16" x14ac:dyDescent="0.3">
      <c r="A3461">
        <v>3460</v>
      </c>
      <c r="B3461" t="s">
        <v>7810</v>
      </c>
      <c r="C3461" t="s">
        <v>7949</v>
      </c>
      <c r="D3461" t="s">
        <v>7950</v>
      </c>
      <c r="E3461" t="s">
        <v>40</v>
      </c>
      <c r="F3461" t="s">
        <v>7830</v>
      </c>
      <c r="G3461" t="s">
        <v>2612</v>
      </c>
      <c r="H3461" t="str">
        <f>'Huong dan giao do an'!$B$14</f>
        <v>5 SV (vai trò chính): 1 PM/Scrum Master kiêm Integration; 2 BA/PO; 3 UI-UX + Frontend; 4 Backend/API + DevOps; 5 Database + QA/Tester. Mỗi SV có nhiệm vụ phụ và minh chứng cá nhân.</v>
      </c>
      <c r="I3461" t="s">
        <v>29</v>
      </c>
      <c r="J3461" t="s">
        <v>2554</v>
      </c>
      <c r="K3461" t="str">
        <f>IF(I3461="Trung bình",'Huong dan giao do an'!$B$8,IF(I3461="Khá",'Huong dan giao do an'!$B$9,'Huong dan giao do an'!$B$10))</f>
        <v>Tối thiểu 5 actor; 14-18 use case; 10-15 bảng; 4 quy trình; tích hợp ngoài/realtime hoặc xử lý nâng cao; 3 báo cáo; &gt;=45 test case; logging, backup và deploy.</v>
      </c>
      <c r="L3461" t="str">
        <f>'Huong dan giao do an'!$B$31</f>
        <v>Bắt buộc: Charter/PMP; SRS + scope/WBS; Gantt/baseline; effort-cost budget; RACI/timesheet; quality-test-defect; communication/minutes; risk register; procurement; change log; closure/lessons learned.</v>
      </c>
      <c r="M3461" t="str">
        <f>'Huong dan giao do an'!$B$33</f>
        <v>Tuần 1: 07.09–13.09.2026; Tuần 2: 14.09–20.09.2026; Tuần 3: 21.09–27.09.2026; Tuần 4: 28.09–04.10.2026; Tuần 5: 05.10–11.10.2026; Tuần 6: 12.10–18.10.2026; Tuần 7: 19.10–25.10.2026; Tuần 8: 26.10–01.11.2026.</v>
      </c>
      <c r="N346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1" s="17" t="str">
        <f t="shared" si="54"/>
        <v>Còn trống</v>
      </c>
    </row>
    <row r="3462" spans="1:16" x14ac:dyDescent="0.3">
      <c r="A3462">
        <v>3461</v>
      </c>
      <c r="B3462" t="s">
        <v>7810</v>
      </c>
      <c r="C3462" t="s">
        <v>7951</v>
      </c>
      <c r="D3462" t="s">
        <v>7952</v>
      </c>
      <c r="E3462" t="s">
        <v>45</v>
      </c>
      <c r="F3462" t="s">
        <v>7813</v>
      </c>
      <c r="G3462" t="s">
        <v>7814</v>
      </c>
      <c r="H3462" t="str">
        <f>'Huong dan giao do an'!$B$14</f>
        <v>5 SV (vai trò chính): 1 PM/Scrum Master kiêm Integration; 2 BA/PO; 3 UI-UX + Frontend; 4 Backend/API + DevOps; 5 Database + QA/Tester. Mỗi SV có nhiệm vụ phụ và minh chứng cá nhân.</v>
      </c>
      <c r="I3462" t="s">
        <v>22</v>
      </c>
      <c r="J3462" t="s">
        <v>7815</v>
      </c>
      <c r="K3462" t="str">
        <f>IF(I3462="Trung bình",'Huong dan giao do an'!$B$8,IF(I3462="Khá",'Huong dan giao do an'!$B$9,'Huong dan giao do an'!$B$10))</f>
        <v>Tối thiểu 4 actor; 10-14 use case; 8-12 bảng; 3 quy trình lõi; phân quyền chi tiết; 2 báo cáo; tích hợp 1 dịch vụ; &gt;=35 test case; CI/CD hoặc deploy cloud.</v>
      </c>
      <c r="L3462" t="str">
        <f>'Huong dan giao do an'!$B$31</f>
        <v>Bắt buộc: Charter/PMP; SRS + scope/WBS; Gantt/baseline; effort-cost budget; RACI/timesheet; quality-test-defect; communication/minutes; risk register; procurement; change log; closure/lessons learned.</v>
      </c>
      <c r="M3462" t="str">
        <f>'Huong dan giao do an'!$B$33</f>
        <v>Tuần 1: 07.09–13.09.2026; Tuần 2: 14.09–20.09.2026; Tuần 3: 21.09–27.09.2026; Tuần 4: 28.09–04.10.2026; Tuần 5: 05.10–11.10.2026; Tuần 6: 12.10–18.10.2026; Tuần 7: 19.10–25.10.2026; Tuần 8: 26.10–01.11.2026.</v>
      </c>
      <c r="N346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2" s="17" t="str">
        <f t="shared" si="54"/>
        <v>Còn trống</v>
      </c>
    </row>
    <row r="3463" spans="1:16" x14ac:dyDescent="0.3">
      <c r="A3463">
        <v>3462</v>
      </c>
      <c r="B3463" t="s">
        <v>7810</v>
      </c>
      <c r="C3463" t="s">
        <v>7953</v>
      </c>
      <c r="D3463" t="s">
        <v>7954</v>
      </c>
      <c r="E3463" t="s">
        <v>19</v>
      </c>
      <c r="F3463" t="s">
        <v>7818</v>
      </c>
      <c r="G3463" t="s">
        <v>2553</v>
      </c>
      <c r="H3463" t="str">
        <f>'Huong dan giao do an'!$B$14</f>
        <v>5 SV (vai trò chính): 1 PM/Scrum Master kiêm Integration; 2 BA/PO; 3 UI-UX + Frontend; 4 Backend/API + DevOps; 5 Database + QA/Tester. Mỗi SV có nhiệm vụ phụ và minh chứng cá nhân.</v>
      </c>
      <c r="I3463" t="s">
        <v>29</v>
      </c>
      <c r="J3463" t="s">
        <v>2554</v>
      </c>
      <c r="K3463" t="str">
        <f>IF(I3463="Trung bình",'Huong dan giao do an'!$B$8,IF(I3463="Khá",'Huong dan giao do an'!$B$9,'Huong dan giao do an'!$B$10))</f>
        <v>Tối thiểu 5 actor; 14-18 use case; 10-15 bảng; 4 quy trình; tích hợp ngoài/realtime hoặc xử lý nâng cao; 3 báo cáo; &gt;=45 test case; logging, backup và deploy.</v>
      </c>
      <c r="L3463" t="str">
        <f>'Huong dan giao do an'!$B$31</f>
        <v>Bắt buộc: Charter/PMP; SRS + scope/WBS; Gantt/baseline; effort-cost budget; RACI/timesheet; quality-test-defect; communication/minutes; risk register; procurement; change log; closure/lessons learned.</v>
      </c>
      <c r="M3463" t="str">
        <f>'Huong dan giao do an'!$B$33</f>
        <v>Tuần 1: 07.09–13.09.2026; Tuần 2: 14.09–20.09.2026; Tuần 3: 21.09–27.09.2026; Tuần 4: 28.09–04.10.2026; Tuần 5: 05.10–11.10.2026; Tuần 6: 12.10–18.10.2026; Tuần 7: 19.10–25.10.2026; Tuần 8: 26.10–01.11.2026.</v>
      </c>
      <c r="N346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3" s="17" t="str">
        <f t="shared" si="54"/>
        <v>Còn trống</v>
      </c>
    </row>
    <row r="3464" spans="1:16" x14ac:dyDescent="0.3">
      <c r="A3464">
        <v>3463</v>
      </c>
      <c r="B3464" t="s">
        <v>7810</v>
      </c>
      <c r="C3464" t="s">
        <v>7955</v>
      </c>
      <c r="D3464" t="s">
        <v>7956</v>
      </c>
      <c r="E3464" t="s">
        <v>26</v>
      </c>
      <c r="F3464" t="s">
        <v>7821</v>
      </c>
      <c r="G3464" t="s">
        <v>7822</v>
      </c>
      <c r="H3464" t="str">
        <f>'Huong dan giao do an'!$B$14</f>
        <v>5 SV (vai trò chính): 1 PM/Scrum Master kiêm Integration; 2 BA/PO; 3 UI-UX + Frontend; 4 Backend/API + DevOps; 5 Database + QA/Tester. Mỗi SV có nhiệm vụ phụ và minh chứng cá nhân.</v>
      </c>
      <c r="I3464" t="s">
        <v>36</v>
      </c>
      <c r="J3464" t="s">
        <v>7823</v>
      </c>
      <c r="K3464" t="str">
        <f>IF(I3464="Trung bình",'Huong dan giao do an'!$B$8,IF(I3464="Khá",'Huong dan giao do an'!$B$9,'Huong dan giao do an'!$B$10))</f>
        <v>Tối thiểu 3 actor; 8-10 use case; 6-8 bảng dữ liệu; 2 quy trình lõi; đăng nhập/RBAC; 1 dashboard; 1 báo cáo; &gt;=25 test case; triển khai bản demo.</v>
      </c>
      <c r="L3464" t="str">
        <f>'Huong dan giao do an'!$B$31</f>
        <v>Bắt buộc: Charter/PMP; SRS + scope/WBS; Gantt/baseline; effort-cost budget; RACI/timesheet; quality-test-defect; communication/minutes; risk register; procurement; change log; closure/lessons learned.</v>
      </c>
      <c r="M3464" t="str">
        <f>'Huong dan giao do an'!$B$33</f>
        <v>Tuần 1: 07.09–13.09.2026; Tuần 2: 14.09–20.09.2026; Tuần 3: 21.09–27.09.2026; Tuần 4: 28.09–04.10.2026; Tuần 5: 05.10–11.10.2026; Tuần 6: 12.10–18.10.2026; Tuần 7: 19.10–25.10.2026; Tuần 8: 26.10–01.11.2026.</v>
      </c>
      <c r="N346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4" s="17" t="str">
        <f t="shared" si="54"/>
        <v>Còn trống</v>
      </c>
    </row>
    <row r="3465" spans="1:16" x14ac:dyDescent="0.3">
      <c r="A3465">
        <v>3464</v>
      </c>
      <c r="B3465" t="s">
        <v>7810</v>
      </c>
      <c r="C3465" t="s">
        <v>7957</v>
      </c>
      <c r="D3465" t="s">
        <v>7958</v>
      </c>
      <c r="E3465" t="s">
        <v>33</v>
      </c>
      <c r="F3465" t="s">
        <v>7826</v>
      </c>
      <c r="G3465" t="s">
        <v>7827</v>
      </c>
      <c r="H3465" t="str">
        <f>'Huong dan giao do an'!$B$14</f>
        <v>5 SV (vai trò chính): 1 PM/Scrum Master kiêm Integration; 2 BA/PO; 3 UI-UX + Frontend; 4 Backend/API + DevOps; 5 Database + QA/Tester. Mỗi SV có nhiệm vụ phụ và minh chứng cá nhân.</v>
      </c>
      <c r="I3465" t="s">
        <v>22</v>
      </c>
      <c r="J3465" t="s">
        <v>7815</v>
      </c>
      <c r="K3465" t="str">
        <f>IF(I3465="Trung bình",'Huong dan giao do an'!$B$8,IF(I3465="Khá",'Huong dan giao do an'!$B$9,'Huong dan giao do an'!$B$10))</f>
        <v>Tối thiểu 4 actor; 10-14 use case; 8-12 bảng; 3 quy trình lõi; phân quyền chi tiết; 2 báo cáo; tích hợp 1 dịch vụ; &gt;=35 test case; CI/CD hoặc deploy cloud.</v>
      </c>
      <c r="L3465" t="str">
        <f>'Huong dan giao do an'!$B$31</f>
        <v>Bắt buộc: Charter/PMP; SRS + scope/WBS; Gantt/baseline; effort-cost budget; RACI/timesheet; quality-test-defect; communication/minutes; risk register; procurement; change log; closure/lessons learned.</v>
      </c>
      <c r="M3465" t="str">
        <f>'Huong dan giao do an'!$B$33</f>
        <v>Tuần 1: 07.09–13.09.2026; Tuần 2: 14.09–20.09.2026; Tuần 3: 21.09–27.09.2026; Tuần 4: 28.09–04.10.2026; Tuần 5: 05.10–11.10.2026; Tuần 6: 12.10–18.10.2026; Tuần 7: 19.10–25.10.2026; Tuần 8: 26.10–01.11.2026.</v>
      </c>
      <c r="N346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5" s="17" t="str">
        <f t="shared" si="54"/>
        <v>Còn trống</v>
      </c>
    </row>
    <row r="3466" spans="1:16" x14ac:dyDescent="0.3">
      <c r="A3466">
        <v>3465</v>
      </c>
      <c r="B3466" t="s">
        <v>7810</v>
      </c>
      <c r="C3466" t="s">
        <v>7959</v>
      </c>
      <c r="D3466" t="s">
        <v>7960</v>
      </c>
      <c r="E3466" t="s">
        <v>40</v>
      </c>
      <c r="F3466" t="s">
        <v>7830</v>
      </c>
      <c r="G3466" t="s">
        <v>2567</v>
      </c>
      <c r="H3466" t="str">
        <f>'Huong dan giao do an'!$B$14</f>
        <v>5 SV (vai trò chính): 1 PM/Scrum Master kiêm Integration; 2 BA/PO; 3 UI-UX + Frontend; 4 Backend/API + DevOps; 5 Database + QA/Tester. Mỗi SV có nhiệm vụ phụ và minh chứng cá nhân.</v>
      </c>
      <c r="I3466" t="s">
        <v>29</v>
      </c>
      <c r="J3466" t="s">
        <v>2554</v>
      </c>
      <c r="K3466" t="str">
        <f>IF(I3466="Trung bình",'Huong dan giao do an'!$B$8,IF(I3466="Khá",'Huong dan giao do an'!$B$9,'Huong dan giao do an'!$B$10))</f>
        <v>Tối thiểu 5 actor; 14-18 use case; 10-15 bảng; 4 quy trình; tích hợp ngoài/realtime hoặc xử lý nâng cao; 3 báo cáo; &gt;=45 test case; logging, backup và deploy.</v>
      </c>
      <c r="L3466" t="str">
        <f>'Huong dan giao do an'!$B$31</f>
        <v>Bắt buộc: Charter/PMP; SRS + scope/WBS; Gantt/baseline; effort-cost budget; RACI/timesheet; quality-test-defect; communication/minutes; risk register; procurement; change log; closure/lessons learned.</v>
      </c>
      <c r="M3466" t="str">
        <f>'Huong dan giao do an'!$B$33</f>
        <v>Tuần 1: 07.09–13.09.2026; Tuần 2: 14.09–20.09.2026; Tuần 3: 21.09–27.09.2026; Tuần 4: 28.09–04.10.2026; Tuần 5: 05.10–11.10.2026; Tuần 6: 12.10–18.10.2026; Tuần 7: 19.10–25.10.2026; Tuần 8: 26.10–01.11.2026.</v>
      </c>
      <c r="N346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6" s="17" t="str">
        <f t="shared" si="54"/>
        <v>Còn trống</v>
      </c>
    </row>
    <row r="3467" spans="1:16" x14ac:dyDescent="0.3">
      <c r="A3467">
        <v>3466</v>
      </c>
      <c r="B3467" t="s">
        <v>7810</v>
      </c>
      <c r="C3467" t="s">
        <v>7961</v>
      </c>
      <c r="D3467" t="s">
        <v>7962</v>
      </c>
      <c r="E3467" t="s">
        <v>45</v>
      </c>
      <c r="F3467" t="s">
        <v>7813</v>
      </c>
      <c r="G3467" t="s">
        <v>7833</v>
      </c>
      <c r="H3467" t="str">
        <f>'Huong dan giao do an'!$B$14</f>
        <v>5 SV (vai trò chính): 1 PM/Scrum Master kiêm Integration; 2 BA/PO; 3 UI-UX + Frontend; 4 Backend/API + DevOps; 5 Database + QA/Tester. Mỗi SV có nhiệm vụ phụ và minh chứng cá nhân.</v>
      </c>
      <c r="I3467" t="s">
        <v>36</v>
      </c>
      <c r="J3467" t="s">
        <v>7823</v>
      </c>
      <c r="K3467" t="str">
        <f>IF(I3467="Trung bình",'Huong dan giao do an'!$B$8,IF(I3467="Khá",'Huong dan giao do an'!$B$9,'Huong dan giao do an'!$B$10))</f>
        <v>Tối thiểu 3 actor; 8-10 use case; 6-8 bảng dữ liệu; 2 quy trình lõi; đăng nhập/RBAC; 1 dashboard; 1 báo cáo; &gt;=25 test case; triển khai bản demo.</v>
      </c>
      <c r="L3467" t="str">
        <f>'Huong dan giao do an'!$B$31</f>
        <v>Bắt buộc: Charter/PMP; SRS + scope/WBS; Gantt/baseline; effort-cost budget; RACI/timesheet; quality-test-defect; communication/minutes; risk register; procurement; change log; closure/lessons learned.</v>
      </c>
      <c r="M3467" t="str">
        <f>'Huong dan giao do an'!$B$33</f>
        <v>Tuần 1: 07.09–13.09.2026; Tuần 2: 14.09–20.09.2026; Tuần 3: 21.09–27.09.2026; Tuần 4: 28.09–04.10.2026; Tuần 5: 05.10–11.10.2026; Tuần 6: 12.10–18.10.2026; Tuần 7: 19.10–25.10.2026; Tuần 8: 26.10–01.11.2026.</v>
      </c>
      <c r="N346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7" s="17" t="str">
        <f t="shared" si="54"/>
        <v>Còn trống</v>
      </c>
    </row>
    <row r="3468" spans="1:16" x14ac:dyDescent="0.3">
      <c r="A3468">
        <v>3467</v>
      </c>
      <c r="B3468" t="s">
        <v>7810</v>
      </c>
      <c r="C3468" t="s">
        <v>7963</v>
      </c>
      <c r="D3468" t="s">
        <v>7964</v>
      </c>
      <c r="E3468" t="s">
        <v>19</v>
      </c>
      <c r="F3468" t="s">
        <v>7818</v>
      </c>
      <c r="G3468" t="s">
        <v>7836</v>
      </c>
      <c r="H3468" t="str">
        <f>'Huong dan giao do an'!$B$14</f>
        <v>5 SV (vai trò chính): 1 PM/Scrum Master kiêm Integration; 2 BA/PO; 3 UI-UX + Frontend; 4 Backend/API + DevOps; 5 Database + QA/Tester. Mỗi SV có nhiệm vụ phụ và minh chứng cá nhân.</v>
      </c>
      <c r="I3468" t="s">
        <v>22</v>
      </c>
      <c r="J3468" t="s">
        <v>7815</v>
      </c>
      <c r="K3468" t="str">
        <f>IF(I3468="Trung bình",'Huong dan giao do an'!$B$8,IF(I3468="Khá",'Huong dan giao do an'!$B$9,'Huong dan giao do an'!$B$10))</f>
        <v>Tối thiểu 4 actor; 10-14 use case; 8-12 bảng; 3 quy trình lõi; phân quyền chi tiết; 2 báo cáo; tích hợp 1 dịch vụ; &gt;=35 test case; CI/CD hoặc deploy cloud.</v>
      </c>
      <c r="L3468" t="str">
        <f>'Huong dan giao do an'!$B$31</f>
        <v>Bắt buộc: Charter/PMP; SRS + scope/WBS; Gantt/baseline; effort-cost budget; RACI/timesheet; quality-test-defect; communication/minutes; risk register; procurement; change log; closure/lessons learned.</v>
      </c>
      <c r="M3468" t="str">
        <f>'Huong dan giao do an'!$B$33</f>
        <v>Tuần 1: 07.09–13.09.2026; Tuần 2: 14.09–20.09.2026; Tuần 3: 21.09–27.09.2026; Tuần 4: 28.09–04.10.2026; Tuần 5: 05.10–11.10.2026; Tuần 6: 12.10–18.10.2026; Tuần 7: 19.10–25.10.2026; Tuần 8: 26.10–01.11.2026.</v>
      </c>
      <c r="N346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8" s="17" t="str">
        <f t="shared" si="54"/>
        <v>Còn trống</v>
      </c>
    </row>
    <row r="3469" spans="1:16" x14ac:dyDescent="0.3">
      <c r="A3469">
        <v>3468</v>
      </c>
      <c r="B3469" t="s">
        <v>7810</v>
      </c>
      <c r="C3469" t="s">
        <v>7965</v>
      </c>
      <c r="D3469" t="s">
        <v>7966</v>
      </c>
      <c r="E3469" t="s">
        <v>26</v>
      </c>
      <c r="F3469" t="s">
        <v>7821</v>
      </c>
      <c r="G3469" t="s">
        <v>2576</v>
      </c>
      <c r="H3469" t="str">
        <f>'Huong dan giao do an'!$B$14</f>
        <v>5 SV (vai trò chính): 1 PM/Scrum Master kiêm Integration; 2 BA/PO; 3 UI-UX + Frontend; 4 Backend/API + DevOps; 5 Database + QA/Tester. Mỗi SV có nhiệm vụ phụ và minh chứng cá nhân.</v>
      </c>
      <c r="I3469" t="s">
        <v>29</v>
      </c>
      <c r="J3469" t="s">
        <v>2554</v>
      </c>
      <c r="K3469" t="str">
        <f>IF(I3469="Trung bình",'Huong dan giao do an'!$B$8,IF(I3469="Khá",'Huong dan giao do an'!$B$9,'Huong dan giao do an'!$B$10))</f>
        <v>Tối thiểu 5 actor; 14-18 use case; 10-15 bảng; 4 quy trình; tích hợp ngoài/realtime hoặc xử lý nâng cao; 3 báo cáo; &gt;=45 test case; logging, backup và deploy.</v>
      </c>
      <c r="L3469" t="str">
        <f>'Huong dan giao do an'!$B$31</f>
        <v>Bắt buộc: Charter/PMP; SRS + scope/WBS; Gantt/baseline; effort-cost budget; RACI/timesheet; quality-test-defect; communication/minutes; risk register; procurement; change log; closure/lessons learned.</v>
      </c>
      <c r="M3469" t="str">
        <f>'Huong dan giao do an'!$B$33</f>
        <v>Tuần 1: 07.09–13.09.2026; Tuần 2: 14.09–20.09.2026; Tuần 3: 21.09–27.09.2026; Tuần 4: 28.09–04.10.2026; Tuần 5: 05.10–11.10.2026; Tuần 6: 12.10–18.10.2026; Tuần 7: 19.10–25.10.2026; Tuần 8: 26.10–01.11.2026.</v>
      </c>
      <c r="N346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69" s="17" t="str">
        <f t="shared" si="54"/>
        <v>Còn trống</v>
      </c>
    </row>
    <row r="3470" spans="1:16" x14ac:dyDescent="0.3">
      <c r="A3470">
        <v>3469</v>
      </c>
      <c r="B3470" t="s">
        <v>7810</v>
      </c>
      <c r="C3470" t="s">
        <v>7967</v>
      </c>
      <c r="D3470" t="s">
        <v>7968</v>
      </c>
      <c r="E3470" t="s">
        <v>33</v>
      </c>
      <c r="F3470" t="s">
        <v>7826</v>
      </c>
      <c r="G3470" t="s">
        <v>7841</v>
      </c>
      <c r="H3470" t="str">
        <f>'Huong dan giao do an'!$B$14</f>
        <v>5 SV (vai trò chính): 1 PM/Scrum Master kiêm Integration; 2 BA/PO; 3 UI-UX + Frontend; 4 Backend/API + DevOps; 5 Database + QA/Tester. Mỗi SV có nhiệm vụ phụ và minh chứng cá nhân.</v>
      </c>
      <c r="I3470" t="s">
        <v>36</v>
      </c>
      <c r="J3470" t="s">
        <v>7823</v>
      </c>
      <c r="K3470" t="str">
        <f>IF(I3470="Trung bình",'Huong dan giao do an'!$B$8,IF(I3470="Khá",'Huong dan giao do an'!$B$9,'Huong dan giao do an'!$B$10))</f>
        <v>Tối thiểu 3 actor; 8-10 use case; 6-8 bảng dữ liệu; 2 quy trình lõi; đăng nhập/RBAC; 1 dashboard; 1 báo cáo; &gt;=25 test case; triển khai bản demo.</v>
      </c>
      <c r="L3470" t="str">
        <f>'Huong dan giao do an'!$B$31</f>
        <v>Bắt buộc: Charter/PMP; SRS + scope/WBS; Gantt/baseline; effort-cost budget; RACI/timesheet; quality-test-defect; communication/minutes; risk register; procurement; change log; closure/lessons learned.</v>
      </c>
      <c r="M3470" t="str">
        <f>'Huong dan giao do an'!$B$33</f>
        <v>Tuần 1: 07.09–13.09.2026; Tuần 2: 14.09–20.09.2026; Tuần 3: 21.09–27.09.2026; Tuần 4: 28.09–04.10.2026; Tuần 5: 05.10–11.10.2026; Tuần 6: 12.10–18.10.2026; Tuần 7: 19.10–25.10.2026; Tuần 8: 26.10–01.11.2026.</v>
      </c>
      <c r="N347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0" s="17" t="str">
        <f t="shared" si="54"/>
        <v>Còn trống</v>
      </c>
    </row>
    <row r="3471" spans="1:16" x14ac:dyDescent="0.3">
      <c r="A3471">
        <v>3470</v>
      </c>
      <c r="B3471" t="s">
        <v>7810</v>
      </c>
      <c r="C3471" t="s">
        <v>7969</v>
      </c>
      <c r="D3471" t="s">
        <v>7970</v>
      </c>
      <c r="E3471" t="s">
        <v>40</v>
      </c>
      <c r="F3471" t="s">
        <v>7830</v>
      </c>
      <c r="G3471" t="s">
        <v>7844</v>
      </c>
      <c r="H3471" t="str">
        <f>'Huong dan giao do an'!$B$14</f>
        <v>5 SV (vai trò chính): 1 PM/Scrum Master kiêm Integration; 2 BA/PO; 3 UI-UX + Frontend; 4 Backend/API + DevOps; 5 Database + QA/Tester. Mỗi SV có nhiệm vụ phụ và minh chứng cá nhân.</v>
      </c>
      <c r="I3471" t="s">
        <v>22</v>
      </c>
      <c r="J3471" t="s">
        <v>7815</v>
      </c>
      <c r="K3471" t="str">
        <f>IF(I3471="Trung bình",'Huong dan giao do an'!$B$8,IF(I3471="Khá",'Huong dan giao do an'!$B$9,'Huong dan giao do an'!$B$10))</f>
        <v>Tối thiểu 4 actor; 10-14 use case; 8-12 bảng; 3 quy trình lõi; phân quyền chi tiết; 2 báo cáo; tích hợp 1 dịch vụ; &gt;=35 test case; CI/CD hoặc deploy cloud.</v>
      </c>
      <c r="L3471" t="str">
        <f>'Huong dan giao do an'!$B$31</f>
        <v>Bắt buộc: Charter/PMP; SRS + scope/WBS; Gantt/baseline; effort-cost budget; RACI/timesheet; quality-test-defect; communication/minutes; risk register; procurement; change log; closure/lessons learned.</v>
      </c>
      <c r="M3471" t="str">
        <f>'Huong dan giao do an'!$B$33</f>
        <v>Tuần 1: 07.09–13.09.2026; Tuần 2: 14.09–20.09.2026; Tuần 3: 21.09–27.09.2026; Tuần 4: 28.09–04.10.2026; Tuần 5: 05.10–11.10.2026; Tuần 6: 12.10–18.10.2026; Tuần 7: 19.10–25.10.2026; Tuần 8: 26.10–01.11.2026.</v>
      </c>
      <c r="N347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1" s="17" t="str">
        <f t="shared" si="54"/>
        <v>Còn trống</v>
      </c>
    </row>
    <row r="3472" spans="1:16" x14ac:dyDescent="0.3">
      <c r="A3472">
        <v>3471</v>
      </c>
      <c r="B3472" t="s">
        <v>7810</v>
      </c>
      <c r="C3472" t="s">
        <v>7971</v>
      </c>
      <c r="D3472" t="s">
        <v>7972</v>
      </c>
      <c r="E3472" t="s">
        <v>45</v>
      </c>
      <c r="F3472" t="s">
        <v>7813</v>
      </c>
      <c r="G3472" t="s">
        <v>2585</v>
      </c>
      <c r="H3472" t="str">
        <f>'Huong dan giao do an'!$B$14</f>
        <v>5 SV (vai trò chính): 1 PM/Scrum Master kiêm Integration; 2 BA/PO; 3 UI-UX + Frontend; 4 Backend/API + DevOps; 5 Database + QA/Tester. Mỗi SV có nhiệm vụ phụ và minh chứng cá nhân.</v>
      </c>
      <c r="I3472" t="s">
        <v>29</v>
      </c>
      <c r="J3472" t="s">
        <v>2554</v>
      </c>
      <c r="K3472" t="str">
        <f>IF(I3472="Trung bình",'Huong dan giao do an'!$B$8,IF(I3472="Khá",'Huong dan giao do an'!$B$9,'Huong dan giao do an'!$B$10))</f>
        <v>Tối thiểu 5 actor; 14-18 use case; 10-15 bảng; 4 quy trình; tích hợp ngoài/realtime hoặc xử lý nâng cao; 3 báo cáo; &gt;=45 test case; logging, backup và deploy.</v>
      </c>
      <c r="L3472" t="str">
        <f>'Huong dan giao do an'!$B$31</f>
        <v>Bắt buộc: Charter/PMP; SRS + scope/WBS; Gantt/baseline; effort-cost budget; RACI/timesheet; quality-test-defect; communication/minutes; risk register; procurement; change log; closure/lessons learned.</v>
      </c>
      <c r="M3472" t="str">
        <f>'Huong dan giao do an'!$B$33</f>
        <v>Tuần 1: 07.09–13.09.2026; Tuần 2: 14.09–20.09.2026; Tuần 3: 21.09–27.09.2026; Tuần 4: 28.09–04.10.2026; Tuần 5: 05.10–11.10.2026; Tuần 6: 12.10–18.10.2026; Tuần 7: 19.10–25.10.2026; Tuần 8: 26.10–01.11.2026.</v>
      </c>
      <c r="N347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2" s="17" t="str">
        <f t="shared" si="54"/>
        <v>Còn trống</v>
      </c>
    </row>
    <row r="3473" spans="1:16" x14ac:dyDescent="0.3">
      <c r="A3473">
        <v>3472</v>
      </c>
      <c r="B3473" t="s">
        <v>7810</v>
      </c>
      <c r="C3473" t="s">
        <v>7973</v>
      </c>
      <c r="D3473" t="s">
        <v>7974</v>
      </c>
      <c r="E3473" t="s">
        <v>19</v>
      </c>
      <c r="F3473" t="s">
        <v>7818</v>
      </c>
      <c r="G3473" t="s">
        <v>7849</v>
      </c>
      <c r="H3473" t="str">
        <f>'Huong dan giao do an'!$B$14</f>
        <v>5 SV (vai trò chính): 1 PM/Scrum Master kiêm Integration; 2 BA/PO; 3 UI-UX + Frontend; 4 Backend/API + DevOps; 5 Database + QA/Tester. Mỗi SV có nhiệm vụ phụ và minh chứng cá nhân.</v>
      </c>
      <c r="I3473" t="s">
        <v>36</v>
      </c>
      <c r="J3473" t="s">
        <v>7823</v>
      </c>
      <c r="K3473" t="str">
        <f>IF(I3473="Trung bình",'Huong dan giao do an'!$B$8,IF(I3473="Khá",'Huong dan giao do an'!$B$9,'Huong dan giao do an'!$B$10))</f>
        <v>Tối thiểu 3 actor; 8-10 use case; 6-8 bảng dữ liệu; 2 quy trình lõi; đăng nhập/RBAC; 1 dashboard; 1 báo cáo; &gt;=25 test case; triển khai bản demo.</v>
      </c>
      <c r="L3473" t="str">
        <f>'Huong dan giao do an'!$B$31</f>
        <v>Bắt buộc: Charter/PMP; SRS + scope/WBS; Gantt/baseline; effort-cost budget; RACI/timesheet; quality-test-defect; communication/minutes; risk register; procurement; change log; closure/lessons learned.</v>
      </c>
      <c r="M3473" t="str">
        <f>'Huong dan giao do an'!$B$33</f>
        <v>Tuần 1: 07.09–13.09.2026; Tuần 2: 14.09–20.09.2026; Tuần 3: 21.09–27.09.2026; Tuần 4: 28.09–04.10.2026; Tuần 5: 05.10–11.10.2026; Tuần 6: 12.10–18.10.2026; Tuần 7: 19.10–25.10.2026; Tuần 8: 26.10–01.11.2026.</v>
      </c>
      <c r="N347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3" s="17" t="str">
        <f t="shared" si="54"/>
        <v>Còn trống</v>
      </c>
    </row>
    <row r="3474" spans="1:16" x14ac:dyDescent="0.3">
      <c r="A3474">
        <v>3473</v>
      </c>
      <c r="B3474" t="s">
        <v>7810</v>
      </c>
      <c r="C3474" t="s">
        <v>7975</v>
      </c>
      <c r="D3474" t="s">
        <v>7976</v>
      </c>
      <c r="E3474" t="s">
        <v>26</v>
      </c>
      <c r="F3474" t="s">
        <v>7821</v>
      </c>
      <c r="G3474" t="s">
        <v>7852</v>
      </c>
      <c r="H3474" t="str">
        <f>'Huong dan giao do an'!$B$14</f>
        <v>5 SV (vai trò chính): 1 PM/Scrum Master kiêm Integration; 2 BA/PO; 3 UI-UX + Frontend; 4 Backend/API + DevOps; 5 Database + QA/Tester. Mỗi SV có nhiệm vụ phụ và minh chứng cá nhân.</v>
      </c>
      <c r="I3474" t="s">
        <v>22</v>
      </c>
      <c r="J3474" t="s">
        <v>7815</v>
      </c>
      <c r="K3474" t="str">
        <f>IF(I3474="Trung bình",'Huong dan giao do an'!$B$8,IF(I3474="Khá",'Huong dan giao do an'!$B$9,'Huong dan giao do an'!$B$10))</f>
        <v>Tối thiểu 4 actor; 10-14 use case; 8-12 bảng; 3 quy trình lõi; phân quyền chi tiết; 2 báo cáo; tích hợp 1 dịch vụ; &gt;=35 test case; CI/CD hoặc deploy cloud.</v>
      </c>
      <c r="L3474" t="str">
        <f>'Huong dan giao do an'!$B$31</f>
        <v>Bắt buộc: Charter/PMP; SRS + scope/WBS; Gantt/baseline; effort-cost budget; RACI/timesheet; quality-test-defect; communication/minutes; risk register; procurement; change log; closure/lessons learned.</v>
      </c>
      <c r="M3474" t="str">
        <f>'Huong dan giao do an'!$B$33</f>
        <v>Tuần 1: 07.09–13.09.2026; Tuần 2: 14.09–20.09.2026; Tuần 3: 21.09–27.09.2026; Tuần 4: 28.09–04.10.2026; Tuần 5: 05.10–11.10.2026; Tuần 6: 12.10–18.10.2026; Tuần 7: 19.10–25.10.2026; Tuần 8: 26.10–01.11.2026.</v>
      </c>
      <c r="N347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4" s="17" t="str">
        <f t="shared" si="54"/>
        <v>Còn trống</v>
      </c>
    </row>
    <row r="3475" spans="1:16" x14ac:dyDescent="0.3">
      <c r="A3475">
        <v>3474</v>
      </c>
      <c r="B3475" t="s">
        <v>7810</v>
      </c>
      <c r="C3475" t="s">
        <v>7977</v>
      </c>
      <c r="D3475" t="s">
        <v>7978</v>
      </c>
      <c r="E3475" t="s">
        <v>33</v>
      </c>
      <c r="F3475" t="s">
        <v>7826</v>
      </c>
      <c r="G3475" t="s">
        <v>2594</v>
      </c>
      <c r="H3475" t="str">
        <f>'Huong dan giao do an'!$B$14</f>
        <v>5 SV (vai trò chính): 1 PM/Scrum Master kiêm Integration; 2 BA/PO; 3 UI-UX + Frontend; 4 Backend/API + DevOps; 5 Database + QA/Tester. Mỗi SV có nhiệm vụ phụ và minh chứng cá nhân.</v>
      </c>
      <c r="I3475" t="s">
        <v>29</v>
      </c>
      <c r="J3475" t="s">
        <v>2554</v>
      </c>
      <c r="K3475" t="str">
        <f>IF(I3475="Trung bình",'Huong dan giao do an'!$B$8,IF(I3475="Khá",'Huong dan giao do an'!$B$9,'Huong dan giao do an'!$B$10))</f>
        <v>Tối thiểu 5 actor; 14-18 use case; 10-15 bảng; 4 quy trình; tích hợp ngoài/realtime hoặc xử lý nâng cao; 3 báo cáo; &gt;=45 test case; logging, backup và deploy.</v>
      </c>
      <c r="L3475" t="str">
        <f>'Huong dan giao do an'!$B$31</f>
        <v>Bắt buộc: Charter/PMP; SRS + scope/WBS; Gantt/baseline; effort-cost budget; RACI/timesheet; quality-test-defect; communication/minutes; risk register; procurement; change log; closure/lessons learned.</v>
      </c>
      <c r="M3475" t="str">
        <f>'Huong dan giao do an'!$B$33</f>
        <v>Tuần 1: 07.09–13.09.2026; Tuần 2: 14.09–20.09.2026; Tuần 3: 21.09–27.09.2026; Tuần 4: 28.09–04.10.2026; Tuần 5: 05.10–11.10.2026; Tuần 6: 12.10–18.10.2026; Tuần 7: 19.10–25.10.2026; Tuần 8: 26.10–01.11.2026.</v>
      </c>
      <c r="N347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5" s="17" t="str">
        <f t="shared" si="54"/>
        <v>Còn trống</v>
      </c>
    </row>
    <row r="3476" spans="1:16" x14ac:dyDescent="0.3">
      <c r="A3476">
        <v>3475</v>
      </c>
      <c r="B3476" t="s">
        <v>7810</v>
      </c>
      <c r="C3476" t="s">
        <v>7979</v>
      </c>
      <c r="D3476" t="s">
        <v>7980</v>
      </c>
      <c r="E3476" t="s">
        <v>40</v>
      </c>
      <c r="F3476" t="s">
        <v>7830</v>
      </c>
      <c r="G3476" t="s">
        <v>7857</v>
      </c>
      <c r="H3476" t="str">
        <f>'Huong dan giao do an'!$B$14</f>
        <v>5 SV (vai trò chính): 1 PM/Scrum Master kiêm Integration; 2 BA/PO; 3 UI-UX + Frontend; 4 Backend/API + DevOps; 5 Database + QA/Tester. Mỗi SV có nhiệm vụ phụ và minh chứng cá nhân.</v>
      </c>
      <c r="I3476" t="s">
        <v>36</v>
      </c>
      <c r="J3476" t="s">
        <v>7823</v>
      </c>
      <c r="K3476" t="str">
        <f>IF(I3476="Trung bình",'Huong dan giao do an'!$B$8,IF(I3476="Khá",'Huong dan giao do an'!$B$9,'Huong dan giao do an'!$B$10))</f>
        <v>Tối thiểu 3 actor; 8-10 use case; 6-8 bảng dữ liệu; 2 quy trình lõi; đăng nhập/RBAC; 1 dashboard; 1 báo cáo; &gt;=25 test case; triển khai bản demo.</v>
      </c>
      <c r="L3476" t="str">
        <f>'Huong dan giao do an'!$B$31</f>
        <v>Bắt buộc: Charter/PMP; SRS + scope/WBS; Gantt/baseline; effort-cost budget; RACI/timesheet; quality-test-defect; communication/minutes; risk register; procurement; change log; closure/lessons learned.</v>
      </c>
      <c r="M3476" t="str">
        <f>'Huong dan giao do an'!$B$33</f>
        <v>Tuần 1: 07.09–13.09.2026; Tuần 2: 14.09–20.09.2026; Tuần 3: 21.09–27.09.2026; Tuần 4: 28.09–04.10.2026; Tuần 5: 05.10–11.10.2026; Tuần 6: 12.10–18.10.2026; Tuần 7: 19.10–25.10.2026; Tuần 8: 26.10–01.11.2026.</v>
      </c>
      <c r="N347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6" s="17" t="str">
        <f t="shared" si="54"/>
        <v>Còn trống</v>
      </c>
    </row>
    <row r="3477" spans="1:16" x14ac:dyDescent="0.3">
      <c r="A3477">
        <v>3476</v>
      </c>
      <c r="B3477" t="s">
        <v>7810</v>
      </c>
      <c r="C3477" t="s">
        <v>7981</v>
      </c>
      <c r="D3477" t="s">
        <v>7982</v>
      </c>
      <c r="E3477" t="s">
        <v>45</v>
      </c>
      <c r="F3477" t="s">
        <v>7813</v>
      </c>
      <c r="G3477" t="s">
        <v>7860</v>
      </c>
      <c r="H3477" t="str">
        <f>'Huong dan giao do an'!$B$14</f>
        <v>5 SV (vai trò chính): 1 PM/Scrum Master kiêm Integration; 2 BA/PO; 3 UI-UX + Frontend; 4 Backend/API + DevOps; 5 Database + QA/Tester. Mỗi SV có nhiệm vụ phụ và minh chứng cá nhân.</v>
      </c>
      <c r="I3477" t="s">
        <v>22</v>
      </c>
      <c r="J3477" t="s">
        <v>7815</v>
      </c>
      <c r="K3477" t="str">
        <f>IF(I3477="Trung bình",'Huong dan giao do an'!$B$8,IF(I3477="Khá",'Huong dan giao do an'!$B$9,'Huong dan giao do an'!$B$10))</f>
        <v>Tối thiểu 4 actor; 10-14 use case; 8-12 bảng; 3 quy trình lõi; phân quyền chi tiết; 2 báo cáo; tích hợp 1 dịch vụ; &gt;=35 test case; CI/CD hoặc deploy cloud.</v>
      </c>
      <c r="L3477" t="str">
        <f>'Huong dan giao do an'!$B$31</f>
        <v>Bắt buộc: Charter/PMP; SRS + scope/WBS; Gantt/baseline; effort-cost budget; RACI/timesheet; quality-test-defect; communication/minutes; risk register; procurement; change log; closure/lessons learned.</v>
      </c>
      <c r="M3477" t="str">
        <f>'Huong dan giao do an'!$B$33</f>
        <v>Tuần 1: 07.09–13.09.2026; Tuần 2: 14.09–20.09.2026; Tuần 3: 21.09–27.09.2026; Tuần 4: 28.09–04.10.2026; Tuần 5: 05.10–11.10.2026; Tuần 6: 12.10–18.10.2026; Tuần 7: 19.10–25.10.2026; Tuần 8: 26.10–01.11.2026.</v>
      </c>
      <c r="N347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7" s="17" t="str">
        <f t="shared" si="54"/>
        <v>Còn trống</v>
      </c>
    </row>
    <row r="3478" spans="1:16" x14ac:dyDescent="0.3">
      <c r="A3478">
        <v>3477</v>
      </c>
      <c r="B3478" t="s">
        <v>7810</v>
      </c>
      <c r="C3478" t="s">
        <v>7983</v>
      </c>
      <c r="D3478" t="s">
        <v>7984</v>
      </c>
      <c r="E3478" t="s">
        <v>19</v>
      </c>
      <c r="F3478" t="s">
        <v>7818</v>
      </c>
      <c r="G3478" t="s">
        <v>2603</v>
      </c>
      <c r="H3478" t="str">
        <f>'Huong dan giao do an'!$B$14</f>
        <v>5 SV (vai trò chính): 1 PM/Scrum Master kiêm Integration; 2 BA/PO; 3 UI-UX + Frontend; 4 Backend/API + DevOps; 5 Database + QA/Tester. Mỗi SV có nhiệm vụ phụ và minh chứng cá nhân.</v>
      </c>
      <c r="I3478" t="s">
        <v>29</v>
      </c>
      <c r="J3478" t="s">
        <v>2554</v>
      </c>
      <c r="K3478" t="str">
        <f>IF(I3478="Trung bình",'Huong dan giao do an'!$B$8,IF(I3478="Khá",'Huong dan giao do an'!$B$9,'Huong dan giao do an'!$B$10))</f>
        <v>Tối thiểu 5 actor; 14-18 use case; 10-15 bảng; 4 quy trình; tích hợp ngoài/realtime hoặc xử lý nâng cao; 3 báo cáo; &gt;=45 test case; logging, backup và deploy.</v>
      </c>
      <c r="L3478" t="str">
        <f>'Huong dan giao do an'!$B$31</f>
        <v>Bắt buộc: Charter/PMP; SRS + scope/WBS; Gantt/baseline; effort-cost budget; RACI/timesheet; quality-test-defect; communication/minutes; risk register; procurement; change log; closure/lessons learned.</v>
      </c>
      <c r="M3478" t="str">
        <f>'Huong dan giao do an'!$B$33</f>
        <v>Tuần 1: 07.09–13.09.2026; Tuần 2: 14.09–20.09.2026; Tuần 3: 21.09–27.09.2026; Tuần 4: 28.09–04.10.2026; Tuần 5: 05.10–11.10.2026; Tuần 6: 12.10–18.10.2026; Tuần 7: 19.10–25.10.2026; Tuần 8: 26.10–01.11.2026.</v>
      </c>
      <c r="N347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8" s="17" t="str">
        <f t="shared" si="54"/>
        <v>Còn trống</v>
      </c>
    </row>
    <row r="3479" spans="1:16" x14ac:dyDescent="0.3">
      <c r="A3479">
        <v>3478</v>
      </c>
      <c r="B3479" t="s">
        <v>7810</v>
      </c>
      <c r="C3479" t="s">
        <v>7985</v>
      </c>
      <c r="D3479" t="s">
        <v>7986</v>
      </c>
      <c r="E3479" t="s">
        <v>26</v>
      </c>
      <c r="F3479" t="s">
        <v>7821</v>
      </c>
      <c r="G3479" t="s">
        <v>7865</v>
      </c>
      <c r="H3479" t="str">
        <f>'Huong dan giao do an'!$B$14</f>
        <v>5 SV (vai trò chính): 1 PM/Scrum Master kiêm Integration; 2 BA/PO; 3 UI-UX + Frontend; 4 Backend/API + DevOps; 5 Database + QA/Tester. Mỗi SV có nhiệm vụ phụ và minh chứng cá nhân.</v>
      </c>
      <c r="I3479" t="s">
        <v>36</v>
      </c>
      <c r="J3479" t="s">
        <v>7823</v>
      </c>
      <c r="K3479" t="str">
        <f>IF(I3479="Trung bình",'Huong dan giao do an'!$B$8,IF(I3479="Khá",'Huong dan giao do an'!$B$9,'Huong dan giao do an'!$B$10))</f>
        <v>Tối thiểu 3 actor; 8-10 use case; 6-8 bảng dữ liệu; 2 quy trình lõi; đăng nhập/RBAC; 1 dashboard; 1 báo cáo; &gt;=25 test case; triển khai bản demo.</v>
      </c>
      <c r="L3479" t="str">
        <f>'Huong dan giao do an'!$B$31</f>
        <v>Bắt buộc: Charter/PMP; SRS + scope/WBS; Gantt/baseline; effort-cost budget; RACI/timesheet; quality-test-defect; communication/minutes; risk register; procurement; change log; closure/lessons learned.</v>
      </c>
      <c r="M3479" t="str">
        <f>'Huong dan giao do an'!$B$33</f>
        <v>Tuần 1: 07.09–13.09.2026; Tuần 2: 14.09–20.09.2026; Tuần 3: 21.09–27.09.2026; Tuần 4: 28.09–04.10.2026; Tuần 5: 05.10–11.10.2026; Tuần 6: 12.10–18.10.2026; Tuần 7: 19.10–25.10.2026; Tuần 8: 26.10–01.11.2026.</v>
      </c>
      <c r="N347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79" s="17" t="str">
        <f t="shared" si="54"/>
        <v>Còn trống</v>
      </c>
    </row>
    <row r="3480" spans="1:16" x14ac:dyDescent="0.3">
      <c r="A3480">
        <v>3479</v>
      </c>
      <c r="B3480" t="s">
        <v>7810</v>
      </c>
      <c r="C3480" t="s">
        <v>7987</v>
      </c>
      <c r="D3480" t="s">
        <v>7988</v>
      </c>
      <c r="E3480" t="s">
        <v>33</v>
      </c>
      <c r="F3480" t="s">
        <v>7826</v>
      </c>
      <c r="G3480" t="s">
        <v>7868</v>
      </c>
      <c r="H3480" t="str">
        <f>'Huong dan giao do an'!$B$14</f>
        <v>5 SV (vai trò chính): 1 PM/Scrum Master kiêm Integration; 2 BA/PO; 3 UI-UX + Frontend; 4 Backend/API + DevOps; 5 Database + QA/Tester. Mỗi SV có nhiệm vụ phụ và minh chứng cá nhân.</v>
      </c>
      <c r="I3480" t="s">
        <v>22</v>
      </c>
      <c r="J3480" t="s">
        <v>7815</v>
      </c>
      <c r="K3480" t="str">
        <f>IF(I3480="Trung bình",'Huong dan giao do an'!$B$8,IF(I3480="Khá",'Huong dan giao do an'!$B$9,'Huong dan giao do an'!$B$10))</f>
        <v>Tối thiểu 4 actor; 10-14 use case; 8-12 bảng; 3 quy trình lõi; phân quyền chi tiết; 2 báo cáo; tích hợp 1 dịch vụ; &gt;=35 test case; CI/CD hoặc deploy cloud.</v>
      </c>
      <c r="L3480" t="str">
        <f>'Huong dan giao do an'!$B$31</f>
        <v>Bắt buộc: Charter/PMP; SRS + scope/WBS; Gantt/baseline; effort-cost budget; RACI/timesheet; quality-test-defect; communication/minutes; risk register; procurement; change log; closure/lessons learned.</v>
      </c>
      <c r="M3480" t="str">
        <f>'Huong dan giao do an'!$B$33</f>
        <v>Tuần 1: 07.09–13.09.2026; Tuần 2: 14.09–20.09.2026; Tuần 3: 21.09–27.09.2026; Tuần 4: 28.09–04.10.2026; Tuần 5: 05.10–11.10.2026; Tuần 6: 12.10–18.10.2026; Tuần 7: 19.10–25.10.2026; Tuần 8: 26.10–01.11.2026.</v>
      </c>
      <c r="N348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0" s="17" t="str">
        <f t="shared" si="54"/>
        <v>Còn trống</v>
      </c>
    </row>
    <row r="3481" spans="1:16" x14ac:dyDescent="0.3">
      <c r="A3481">
        <v>3480</v>
      </c>
      <c r="B3481" t="s">
        <v>7810</v>
      </c>
      <c r="C3481" t="s">
        <v>7989</v>
      </c>
      <c r="D3481" t="s">
        <v>7990</v>
      </c>
      <c r="E3481" t="s">
        <v>40</v>
      </c>
      <c r="F3481" t="s">
        <v>7830</v>
      </c>
      <c r="G3481" t="s">
        <v>2612</v>
      </c>
      <c r="H3481" t="str">
        <f>'Huong dan giao do an'!$B$14</f>
        <v>5 SV (vai trò chính): 1 PM/Scrum Master kiêm Integration; 2 BA/PO; 3 UI-UX + Frontend; 4 Backend/API + DevOps; 5 Database + QA/Tester. Mỗi SV có nhiệm vụ phụ và minh chứng cá nhân.</v>
      </c>
      <c r="I3481" t="s">
        <v>29</v>
      </c>
      <c r="J3481" t="s">
        <v>2554</v>
      </c>
      <c r="K3481" t="str">
        <f>IF(I3481="Trung bình",'Huong dan giao do an'!$B$8,IF(I3481="Khá",'Huong dan giao do an'!$B$9,'Huong dan giao do an'!$B$10))</f>
        <v>Tối thiểu 5 actor; 14-18 use case; 10-15 bảng; 4 quy trình; tích hợp ngoài/realtime hoặc xử lý nâng cao; 3 báo cáo; &gt;=45 test case; logging, backup và deploy.</v>
      </c>
      <c r="L3481" t="str">
        <f>'Huong dan giao do an'!$B$31</f>
        <v>Bắt buộc: Charter/PMP; SRS + scope/WBS; Gantt/baseline; effort-cost budget; RACI/timesheet; quality-test-defect; communication/minutes; risk register; procurement; change log; closure/lessons learned.</v>
      </c>
      <c r="M3481" t="str">
        <f>'Huong dan giao do an'!$B$33</f>
        <v>Tuần 1: 07.09–13.09.2026; Tuần 2: 14.09–20.09.2026; Tuần 3: 21.09–27.09.2026; Tuần 4: 28.09–04.10.2026; Tuần 5: 05.10–11.10.2026; Tuần 6: 12.10–18.10.2026; Tuần 7: 19.10–25.10.2026; Tuần 8: 26.10–01.11.2026.</v>
      </c>
      <c r="N348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1" s="17" t="str">
        <f t="shared" si="54"/>
        <v>Còn trống</v>
      </c>
    </row>
    <row r="3482" spans="1:16" x14ac:dyDescent="0.3">
      <c r="A3482">
        <v>3481</v>
      </c>
      <c r="B3482" t="s">
        <v>7810</v>
      </c>
      <c r="C3482" t="s">
        <v>7991</v>
      </c>
      <c r="D3482" t="s">
        <v>7992</v>
      </c>
      <c r="E3482" t="s">
        <v>45</v>
      </c>
      <c r="F3482" t="s">
        <v>7813</v>
      </c>
      <c r="G3482" t="s">
        <v>7814</v>
      </c>
      <c r="H3482" t="str">
        <f>'Huong dan giao do an'!$B$14</f>
        <v>5 SV (vai trò chính): 1 PM/Scrum Master kiêm Integration; 2 BA/PO; 3 UI-UX + Frontend; 4 Backend/API + DevOps; 5 Database + QA/Tester. Mỗi SV có nhiệm vụ phụ và minh chứng cá nhân.</v>
      </c>
      <c r="I3482" t="s">
        <v>22</v>
      </c>
      <c r="J3482" t="s">
        <v>7815</v>
      </c>
      <c r="K3482" t="str">
        <f>IF(I3482="Trung bình",'Huong dan giao do an'!$B$8,IF(I3482="Khá",'Huong dan giao do an'!$B$9,'Huong dan giao do an'!$B$10))</f>
        <v>Tối thiểu 4 actor; 10-14 use case; 8-12 bảng; 3 quy trình lõi; phân quyền chi tiết; 2 báo cáo; tích hợp 1 dịch vụ; &gt;=35 test case; CI/CD hoặc deploy cloud.</v>
      </c>
      <c r="L3482" t="str">
        <f>'Huong dan giao do an'!$B$31</f>
        <v>Bắt buộc: Charter/PMP; SRS + scope/WBS; Gantt/baseline; effort-cost budget; RACI/timesheet; quality-test-defect; communication/minutes; risk register; procurement; change log; closure/lessons learned.</v>
      </c>
      <c r="M3482" t="str">
        <f>'Huong dan giao do an'!$B$33</f>
        <v>Tuần 1: 07.09–13.09.2026; Tuần 2: 14.09–20.09.2026; Tuần 3: 21.09–27.09.2026; Tuần 4: 28.09–04.10.2026; Tuần 5: 05.10–11.10.2026; Tuần 6: 12.10–18.10.2026; Tuần 7: 19.10–25.10.2026; Tuần 8: 26.10–01.11.2026.</v>
      </c>
      <c r="N348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2" s="17" t="str">
        <f t="shared" si="54"/>
        <v>Còn trống</v>
      </c>
    </row>
    <row r="3483" spans="1:16" x14ac:dyDescent="0.3">
      <c r="A3483">
        <v>3482</v>
      </c>
      <c r="B3483" t="s">
        <v>7810</v>
      </c>
      <c r="C3483" t="s">
        <v>7993</v>
      </c>
      <c r="D3483" t="s">
        <v>7994</v>
      </c>
      <c r="E3483" t="s">
        <v>19</v>
      </c>
      <c r="F3483" t="s">
        <v>7818</v>
      </c>
      <c r="G3483" t="s">
        <v>2553</v>
      </c>
      <c r="H3483" t="str">
        <f>'Huong dan giao do an'!$B$14</f>
        <v>5 SV (vai trò chính): 1 PM/Scrum Master kiêm Integration; 2 BA/PO; 3 UI-UX + Frontend; 4 Backend/API + DevOps; 5 Database + QA/Tester. Mỗi SV có nhiệm vụ phụ và minh chứng cá nhân.</v>
      </c>
      <c r="I3483" t="s">
        <v>29</v>
      </c>
      <c r="J3483" t="s">
        <v>2554</v>
      </c>
      <c r="K3483" t="str">
        <f>IF(I3483="Trung bình",'Huong dan giao do an'!$B$8,IF(I3483="Khá",'Huong dan giao do an'!$B$9,'Huong dan giao do an'!$B$10))</f>
        <v>Tối thiểu 5 actor; 14-18 use case; 10-15 bảng; 4 quy trình; tích hợp ngoài/realtime hoặc xử lý nâng cao; 3 báo cáo; &gt;=45 test case; logging, backup và deploy.</v>
      </c>
      <c r="L3483" t="str">
        <f>'Huong dan giao do an'!$B$31</f>
        <v>Bắt buộc: Charter/PMP; SRS + scope/WBS; Gantt/baseline; effort-cost budget; RACI/timesheet; quality-test-defect; communication/minutes; risk register; procurement; change log; closure/lessons learned.</v>
      </c>
      <c r="M3483" t="str">
        <f>'Huong dan giao do an'!$B$33</f>
        <v>Tuần 1: 07.09–13.09.2026; Tuần 2: 14.09–20.09.2026; Tuần 3: 21.09–27.09.2026; Tuần 4: 28.09–04.10.2026; Tuần 5: 05.10–11.10.2026; Tuần 6: 12.10–18.10.2026; Tuần 7: 19.10–25.10.2026; Tuần 8: 26.10–01.11.2026.</v>
      </c>
      <c r="N348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3" s="17" t="str">
        <f t="shared" si="54"/>
        <v>Còn trống</v>
      </c>
    </row>
    <row r="3484" spans="1:16" x14ac:dyDescent="0.3">
      <c r="A3484">
        <v>3483</v>
      </c>
      <c r="B3484" t="s">
        <v>7810</v>
      </c>
      <c r="C3484" t="s">
        <v>7995</v>
      </c>
      <c r="D3484" t="s">
        <v>7996</v>
      </c>
      <c r="E3484" t="s">
        <v>26</v>
      </c>
      <c r="F3484" t="s">
        <v>7821</v>
      </c>
      <c r="G3484" t="s">
        <v>7822</v>
      </c>
      <c r="H3484" t="str">
        <f>'Huong dan giao do an'!$B$14</f>
        <v>5 SV (vai trò chính): 1 PM/Scrum Master kiêm Integration; 2 BA/PO; 3 UI-UX + Frontend; 4 Backend/API + DevOps; 5 Database + QA/Tester. Mỗi SV có nhiệm vụ phụ và minh chứng cá nhân.</v>
      </c>
      <c r="I3484" t="s">
        <v>36</v>
      </c>
      <c r="J3484" t="s">
        <v>7823</v>
      </c>
      <c r="K3484" t="str">
        <f>IF(I3484="Trung bình",'Huong dan giao do an'!$B$8,IF(I3484="Khá",'Huong dan giao do an'!$B$9,'Huong dan giao do an'!$B$10))</f>
        <v>Tối thiểu 3 actor; 8-10 use case; 6-8 bảng dữ liệu; 2 quy trình lõi; đăng nhập/RBAC; 1 dashboard; 1 báo cáo; &gt;=25 test case; triển khai bản demo.</v>
      </c>
      <c r="L3484" t="str">
        <f>'Huong dan giao do an'!$B$31</f>
        <v>Bắt buộc: Charter/PMP; SRS + scope/WBS; Gantt/baseline; effort-cost budget; RACI/timesheet; quality-test-defect; communication/minutes; risk register; procurement; change log; closure/lessons learned.</v>
      </c>
      <c r="M3484" t="str">
        <f>'Huong dan giao do an'!$B$33</f>
        <v>Tuần 1: 07.09–13.09.2026; Tuần 2: 14.09–20.09.2026; Tuần 3: 21.09–27.09.2026; Tuần 4: 28.09–04.10.2026; Tuần 5: 05.10–11.10.2026; Tuần 6: 12.10–18.10.2026; Tuần 7: 19.10–25.10.2026; Tuần 8: 26.10–01.11.2026.</v>
      </c>
      <c r="N348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4" s="17" t="str">
        <f t="shared" si="54"/>
        <v>Còn trống</v>
      </c>
    </row>
    <row r="3485" spans="1:16" x14ac:dyDescent="0.3">
      <c r="A3485">
        <v>3484</v>
      </c>
      <c r="B3485" t="s">
        <v>7810</v>
      </c>
      <c r="C3485" t="s">
        <v>7997</v>
      </c>
      <c r="D3485" t="s">
        <v>7998</v>
      </c>
      <c r="E3485" t="s">
        <v>33</v>
      </c>
      <c r="F3485" t="s">
        <v>7826</v>
      </c>
      <c r="G3485" t="s">
        <v>7827</v>
      </c>
      <c r="H3485" t="str">
        <f>'Huong dan giao do an'!$B$14</f>
        <v>5 SV (vai trò chính): 1 PM/Scrum Master kiêm Integration; 2 BA/PO; 3 UI-UX + Frontend; 4 Backend/API + DevOps; 5 Database + QA/Tester. Mỗi SV có nhiệm vụ phụ và minh chứng cá nhân.</v>
      </c>
      <c r="I3485" t="s">
        <v>22</v>
      </c>
      <c r="J3485" t="s">
        <v>7815</v>
      </c>
      <c r="K3485" t="str">
        <f>IF(I3485="Trung bình",'Huong dan giao do an'!$B$8,IF(I3485="Khá",'Huong dan giao do an'!$B$9,'Huong dan giao do an'!$B$10))</f>
        <v>Tối thiểu 4 actor; 10-14 use case; 8-12 bảng; 3 quy trình lõi; phân quyền chi tiết; 2 báo cáo; tích hợp 1 dịch vụ; &gt;=35 test case; CI/CD hoặc deploy cloud.</v>
      </c>
      <c r="L3485" t="str">
        <f>'Huong dan giao do an'!$B$31</f>
        <v>Bắt buộc: Charter/PMP; SRS + scope/WBS; Gantt/baseline; effort-cost budget; RACI/timesheet; quality-test-defect; communication/minutes; risk register; procurement; change log; closure/lessons learned.</v>
      </c>
      <c r="M3485" t="str">
        <f>'Huong dan giao do an'!$B$33</f>
        <v>Tuần 1: 07.09–13.09.2026; Tuần 2: 14.09–20.09.2026; Tuần 3: 21.09–27.09.2026; Tuần 4: 28.09–04.10.2026; Tuần 5: 05.10–11.10.2026; Tuần 6: 12.10–18.10.2026; Tuần 7: 19.10–25.10.2026; Tuần 8: 26.10–01.11.2026.</v>
      </c>
      <c r="N348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5" s="17" t="str">
        <f t="shared" si="54"/>
        <v>Còn trống</v>
      </c>
    </row>
    <row r="3486" spans="1:16" x14ac:dyDescent="0.3">
      <c r="A3486">
        <v>3485</v>
      </c>
      <c r="B3486" t="s">
        <v>7810</v>
      </c>
      <c r="C3486" t="s">
        <v>7999</v>
      </c>
      <c r="D3486" t="s">
        <v>8000</v>
      </c>
      <c r="E3486" t="s">
        <v>40</v>
      </c>
      <c r="F3486" t="s">
        <v>7830</v>
      </c>
      <c r="G3486" t="s">
        <v>2567</v>
      </c>
      <c r="H3486" t="str">
        <f>'Huong dan giao do an'!$B$14</f>
        <v>5 SV (vai trò chính): 1 PM/Scrum Master kiêm Integration; 2 BA/PO; 3 UI-UX + Frontend; 4 Backend/API + DevOps; 5 Database + QA/Tester. Mỗi SV có nhiệm vụ phụ và minh chứng cá nhân.</v>
      </c>
      <c r="I3486" t="s">
        <v>29</v>
      </c>
      <c r="J3486" t="s">
        <v>2554</v>
      </c>
      <c r="K3486" t="str">
        <f>IF(I3486="Trung bình",'Huong dan giao do an'!$B$8,IF(I3486="Khá",'Huong dan giao do an'!$B$9,'Huong dan giao do an'!$B$10))</f>
        <v>Tối thiểu 5 actor; 14-18 use case; 10-15 bảng; 4 quy trình; tích hợp ngoài/realtime hoặc xử lý nâng cao; 3 báo cáo; &gt;=45 test case; logging, backup và deploy.</v>
      </c>
      <c r="L3486" t="str">
        <f>'Huong dan giao do an'!$B$31</f>
        <v>Bắt buộc: Charter/PMP; SRS + scope/WBS; Gantt/baseline; effort-cost budget; RACI/timesheet; quality-test-defect; communication/minutes; risk register; procurement; change log; closure/lessons learned.</v>
      </c>
      <c r="M3486" t="str">
        <f>'Huong dan giao do an'!$B$33</f>
        <v>Tuần 1: 07.09–13.09.2026; Tuần 2: 14.09–20.09.2026; Tuần 3: 21.09–27.09.2026; Tuần 4: 28.09–04.10.2026; Tuần 5: 05.10–11.10.2026; Tuần 6: 12.10–18.10.2026; Tuần 7: 19.10–25.10.2026; Tuần 8: 26.10–01.11.2026.</v>
      </c>
      <c r="N348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6" s="17" t="str">
        <f t="shared" si="54"/>
        <v>Còn trống</v>
      </c>
    </row>
    <row r="3487" spans="1:16" x14ac:dyDescent="0.3">
      <c r="A3487">
        <v>3486</v>
      </c>
      <c r="B3487" t="s">
        <v>7810</v>
      </c>
      <c r="C3487" t="s">
        <v>8001</v>
      </c>
      <c r="D3487" t="s">
        <v>8002</v>
      </c>
      <c r="E3487" t="s">
        <v>45</v>
      </c>
      <c r="F3487" t="s">
        <v>7813</v>
      </c>
      <c r="G3487" t="s">
        <v>7833</v>
      </c>
      <c r="H3487" t="str">
        <f>'Huong dan giao do an'!$B$14</f>
        <v>5 SV (vai trò chính): 1 PM/Scrum Master kiêm Integration; 2 BA/PO; 3 UI-UX + Frontend; 4 Backend/API + DevOps; 5 Database + QA/Tester. Mỗi SV có nhiệm vụ phụ và minh chứng cá nhân.</v>
      </c>
      <c r="I3487" t="s">
        <v>36</v>
      </c>
      <c r="J3487" t="s">
        <v>7823</v>
      </c>
      <c r="K3487" t="str">
        <f>IF(I3487="Trung bình",'Huong dan giao do an'!$B$8,IF(I3487="Khá",'Huong dan giao do an'!$B$9,'Huong dan giao do an'!$B$10))</f>
        <v>Tối thiểu 3 actor; 8-10 use case; 6-8 bảng dữ liệu; 2 quy trình lõi; đăng nhập/RBAC; 1 dashboard; 1 báo cáo; &gt;=25 test case; triển khai bản demo.</v>
      </c>
      <c r="L3487" t="str">
        <f>'Huong dan giao do an'!$B$31</f>
        <v>Bắt buộc: Charter/PMP; SRS + scope/WBS; Gantt/baseline; effort-cost budget; RACI/timesheet; quality-test-defect; communication/minutes; risk register; procurement; change log; closure/lessons learned.</v>
      </c>
      <c r="M3487" t="str">
        <f>'Huong dan giao do an'!$B$33</f>
        <v>Tuần 1: 07.09–13.09.2026; Tuần 2: 14.09–20.09.2026; Tuần 3: 21.09–27.09.2026; Tuần 4: 28.09–04.10.2026; Tuần 5: 05.10–11.10.2026; Tuần 6: 12.10–18.10.2026; Tuần 7: 19.10–25.10.2026; Tuần 8: 26.10–01.11.2026.</v>
      </c>
      <c r="N348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7" s="17" t="str">
        <f t="shared" si="54"/>
        <v>Còn trống</v>
      </c>
    </row>
    <row r="3488" spans="1:16" x14ac:dyDescent="0.3">
      <c r="A3488">
        <v>3487</v>
      </c>
      <c r="B3488" t="s">
        <v>7810</v>
      </c>
      <c r="C3488" t="s">
        <v>8003</v>
      </c>
      <c r="D3488" t="s">
        <v>8004</v>
      </c>
      <c r="E3488" t="s">
        <v>19</v>
      </c>
      <c r="F3488" t="s">
        <v>7818</v>
      </c>
      <c r="G3488" t="s">
        <v>7836</v>
      </c>
      <c r="H3488" t="str">
        <f>'Huong dan giao do an'!$B$14</f>
        <v>5 SV (vai trò chính): 1 PM/Scrum Master kiêm Integration; 2 BA/PO; 3 UI-UX + Frontend; 4 Backend/API + DevOps; 5 Database + QA/Tester. Mỗi SV có nhiệm vụ phụ và minh chứng cá nhân.</v>
      </c>
      <c r="I3488" t="s">
        <v>22</v>
      </c>
      <c r="J3488" t="s">
        <v>7815</v>
      </c>
      <c r="K3488" t="str">
        <f>IF(I3488="Trung bình",'Huong dan giao do an'!$B$8,IF(I3488="Khá",'Huong dan giao do an'!$B$9,'Huong dan giao do an'!$B$10))</f>
        <v>Tối thiểu 4 actor; 10-14 use case; 8-12 bảng; 3 quy trình lõi; phân quyền chi tiết; 2 báo cáo; tích hợp 1 dịch vụ; &gt;=35 test case; CI/CD hoặc deploy cloud.</v>
      </c>
      <c r="L3488" t="str">
        <f>'Huong dan giao do an'!$B$31</f>
        <v>Bắt buộc: Charter/PMP; SRS + scope/WBS; Gantt/baseline; effort-cost budget; RACI/timesheet; quality-test-defect; communication/minutes; risk register; procurement; change log; closure/lessons learned.</v>
      </c>
      <c r="M3488" t="str">
        <f>'Huong dan giao do an'!$B$33</f>
        <v>Tuần 1: 07.09–13.09.2026; Tuần 2: 14.09–20.09.2026; Tuần 3: 21.09–27.09.2026; Tuần 4: 28.09–04.10.2026; Tuần 5: 05.10–11.10.2026; Tuần 6: 12.10–18.10.2026; Tuần 7: 19.10–25.10.2026; Tuần 8: 26.10–01.11.2026.</v>
      </c>
      <c r="N348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8" s="17" t="str">
        <f t="shared" si="54"/>
        <v>Còn trống</v>
      </c>
    </row>
    <row r="3489" spans="1:16" x14ac:dyDescent="0.3">
      <c r="A3489">
        <v>3488</v>
      </c>
      <c r="B3489" t="s">
        <v>7810</v>
      </c>
      <c r="C3489" t="s">
        <v>8005</v>
      </c>
      <c r="D3489" t="s">
        <v>8006</v>
      </c>
      <c r="E3489" t="s">
        <v>26</v>
      </c>
      <c r="F3489" t="s">
        <v>7821</v>
      </c>
      <c r="G3489" t="s">
        <v>2576</v>
      </c>
      <c r="H3489" t="str">
        <f>'Huong dan giao do an'!$B$14</f>
        <v>5 SV (vai trò chính): 1 PM/Scrum Master kiêm Integration; 2 BA/PO; 3 UI-UX + Frontend; 4 Backend/API + DevOps; 5 Database + QA/Tester. Mỗi SV có nhiệm vụ phụ và minh chứng cá nhân.</v>
      </c>
      <c r="I3489" t="s">
        <v>29</v>
      </c>
      <c r="J3489" t="s">
        <v>2554</v>
      </c>
      <c r="K3489" t="str">
        <f>IF(I3489="Trung bình",'Huong dan giao do an'!$B$8,IF(I3489="Khá",'Huong dan giao do an'!$B$9,'Huong dan giao do an'!$B$10))</f>
        <v>Tối thiểu 5 actor; 14-18 use case; 10-15 bảng; 4 quy trình; tích hợp ngoài/realtime hoặc xử lý nâng cao; 3 báo cáo; &gt;=45 test case; logging, backup và deploy.</v>
      </c>
      <c r="L3489" t="str">
        <f>'Huong dan giao do an'!$B$31</f>
        <v>Bắt buộc: Charter/PMP; SRS + scope/WBS; Gantt/baseline; effort-cost budget; RACI/timesheet; quality-test-defect; communication/minutes; risk register; procurement; change log; closure/lessons learned.</v>
      </c>
      <c r="M3489" t="str">
        <f>'Huong dan giao do an'!$B$33</f>
        <v>Tuần 1: 07.09–13.09.2026; Tuần 2: 14.09–20.09.2026; Tuần 3: 21.09–27.09.2026; Tuần 4: 28.09–04.10.2026; Tuần 5: 05.10–11.10.2026; Tuần 6: 12.10–18.10.2026; Tuần 7: 19.10–25.10.2026; Tuần 8: 26.10–01.11.2026.</v>
      </c>
      <c r="N348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89" s="17" t="str">
        <f t="shared" si="54"/>
        <v>Còn trống</v>
      </c>
    </row>
    <row r="3490" spans="1:16" x14ac:dyDescent="0.3">
      <c r="A3490">
        <v>3489</v>
      </c>
      <c r="B3490" t="s">
        <v>7810</v>
      </c>
      <c r="C3490" t="s">
        <v>8007</v>
      </c>
      <c r="D3490" t="s">
        <v>8008</v>
      </c>
      <c r="E3490" t="s">
        <v>33</v>
      </c>
      <c r="F3490" t="s">
        <v>7826</v>
      </c>
      <c r="G3490" t="s">
        <v>7841</v>
      </c>
      <c r="H3490" t="str">
        <f>'Huong dan giao do an'!$B$14</f>
        <v>5 SV (vai trò chính): 1 PM/Scrum Master kiêm Integration; 2 BA/PO; 3 UI-UX + Frontend; 4 Backend/API + DevOps; 5 Database + QA/Tester. Mỗi SV có nhiệm vụ phụ và minh chứng cá nhân.</v>
      </c>
      <c r="I3490" t="s">
        <v>36</v>
      </c>
      <c r="J3490" t="s">
        <v>7823</v>
      </c>
      <c r="K3490" t="str">
        <f>IF(I3490="Trung bình",'Huong dan giao do an'!$B$8,IF(I3490="Khá",'Huong dan giao do an'!$B$9,'Huong dan giao do an'!$B$10))</f>
        <v>Tối thiểu 3 actor; 8-10 use case; 6-8 bảng dữ liệu; 2 quy trình lõi; đăng nhập/RBAC; 1 dashboard; 1 báo cáo; &gt;=25 test case; triển khai bản demo.</v>
      </c>
      <c r="L3490" t="str">
        <f>'Huong dan giao do an'!$B$31</f>
        <v>Bắt buộc: Charter/PMP; SRS + scope/WBS; Gantt/baseline; effort-cost budget; RACI/timesheet; quality-test-defect; communication/minutes; risk register; procurement; change log; closure/lessons learned.</v>
      </c>
      <c r="M3490" t="str">
        <f>'Huong dan giao do an'!$B$33</f>
        <v>Tuần 1: 07.09–13.09.2026; Tuần 2: 14.09–20.09.2026; Tuần 3: 21.09–27.09.2026; Tuần 4: 28.09–04.10.2026; Tuần 5: 05.10–11.10.2026; Tuần 6: 12.10–18.10.2026; Tuần 7: 19.10–25.10.2026; Tuần 8: 26.10–01.11.2026.</v>
      </c>
      <c r="N349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0" s="17" t="str">
        <f t="shared" si="54"/>
        <v>Còn trống</v>
      </c>
    </row>
    <row r="3491" spans="1:16" x14ac:dyDescent="0.3">
      <c r="A3491">
        <v>3490</v>
      </c>
      <c r="B3491" t="s">
        <v>7810</v>
      </c>
      <c r="C3491" t="s">
        <v>8009</v>
      </c>
      <c r="D3491" t="s">
        <v>8010</v>
      </c>
      <c r="E3491" t="s">
        <v>40</v>
      </c>
      <c r="F3491" t="s">
        <v>7830</v>
      </c>
      <c r="G3491" t="s">
        <v>7844</v>
      </c>
      <c r="H3491" t="str">
        <f>'Huong dan giao do an'!$B$14</f>
        <v>5 SV (vai trò chính): 1 PM/Scrum Master kiêm Integration; 2 BA/PO; 3 UI-UX + Frontend; 4 Backend/API + DevOps; 5 Database + QA/Tester. Mỗi SV có nhiệm vụ phụ và minh chứng cá nhân.</v>
      </c>
      <c r="I3491" t="s">
        <v>22</v>
      </c>
      <c r="J3491" t="s">
        <v>7815</v>
      </c>
      <c r="K3491" t="str">
        <f>IF(I3491="Trung bình",'Huong dan giao do an'!$B$8,IF(I3491="Khá",'Huong dan giao do an'!$B$9,'Huong dan giao do an'!$B$10))</f>
        <v>Tối thiểu 4 actor; 10-14 use case; 8-12 bảng; 3 quy trình lõi; phân quyền chi tiết; 2 báo cáo; tích hợp 1 dịch vụ; &gt;=35 test case; CI/CD hoặc deploy cloud.</v>
      </c>
      <c r="L3491" t="str">
        <f>'Huong dan giao do an'!$B$31</f>
        <v>Bắt buộc: Charter/PMP; SRS + scope/WBS; Gantt/baseline; effort-cost budget; RACI/timesheet; quality-test-defect; communication/minutes; risk register; procurement; change log; closure/lessons learned.</v>
      </c>
      <c r="M3491" t="str">
        <f>'Huong dan giao do an'!$B$33</f>
        <v>Tuần 1: 07.09–13.09.2026; Tuần 2: 14.09–20.09.2026; Tuần 3: 21.09–27.09.2026; Tuần 4: 28.09–04.10.2026; Tuần 5: 05.10–11.10.2026; Tuần 6: 12.10–18.10.2026; Tuần 7: 19.10–25.10.2026; Tuần 8: 26.10–01.11.2026.</v>
      </c>
      <c r="N349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1" s="17" t="str">
        <f t="shared" si="54"/>
        <v>Còn trống</v>
      </c>
    </row>
    <row r="3492" spans="1:16" x14ac:dyDescent="0.3">
      <c r="A3492">
        <v>3491</v>
      </c>
      <c r="B3492" t="s">
        <v>7810</v>
      </c>
      <c r="C3492" t="s">
        <v>8011</v>
      </c>
      <c r="D3492" t="s">
        <v>8012</v>
      </c>
      <c r="E3492" t="s">
        <v>45</v>
      </c>
      <c r="F3492" t="s">
        <v>7813</v>
      </c>
      <c r="G3492" t="s">
        <v>2585</v>
      </c>
      <c r="H3492" t="str">
        <f>'Huong dan giao do an'!$B$14</f>
        <v>5 SV (vai trò chính): 1 PM/Scrum Master kiêm Integration; 2 BA/PO; 3 UI-UX + Frontend; 4 Backend/API + DevOps; 5 Database + QA/Tester. Mỗi SV có nhiệm vụ phụ và minh chứng cá nhân.</v>
      </c>
      <c r="I3492" t="s">
        <v>29</v>
      </c>
      <c r="J3492" t="s">
        <v>2554</v>
      </c>
      <c r="K3492" t="str">
        <f>IF(I3492="Trung bình",'Huong dan giao do an'!$B$8,IF(I3492="Khá",'Huong dan giao do an'!$B$9,'Huong dan giao do an'!$B$10))</f>
        <v>Tối thiểu 5 actor; 14-18 use case; 10-15 bảng; 4 quy trình; tích hợp ngoài/realtime hoặc xử lý nâng cao; 3 báo cáo; &gt;=45 test case; logging, backup và deploy.</v>
      </c>
      <c r="L3492" t="str">
        <f>'Huong dan giao do an'!$B$31</f>
        <v>Bắt buộc: Charter/PMP; SRS + scope/WBS; Gantt/baseline; effort-cost budget; RACI/timesheet; quality-test-defect; communication/minutes; risk register; procurement; change log; closure/lessons learned.</v>
      </c>
      <c r="M3492" t="str">
        <f>'Huong dan giao do an'!$B$33</f>
        <v>Tuần 1: 07.09–13.09.2026; Tuần 2: 14.09–20.09.2026; Tuần 3: 21.09–27.09.2026; Tuần 4: 28.09–04.10.2026; Tuần 5: 05.10–11.10.2026; Tuần 6: 12.10–18.10.2026; Tuần 7: 19.10–25.10.2026; Tuần 8: 26.10–01.11.2026.</v>
      </c>
      <c r="N3492"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2" s="17" t="str">
        <f t="shared" si="54"/>
        <v>Còn trống</v>
      </c>
    </row>
    <row r="3493" spans="1:16" x14ac:dyDescent="0.3">
      <c r="A3493">
        <v>3492</v>
      </c>
      <c r="B3493" t="s">
        <v>7810</v>
      </c>
      <c r="C3493" t="s">
        <v>8013</v>
      </c>
      <c r="D3493" t="s">
        <v>8014</v>
      </c>
      <c r="E3493" t="s">
        <v>19</v>
      </c>
      <c r="F3493" t="s">
        <v>7818</v>
      </c>
      <c r="G3493" t="s">
        <v>7849</v>
      </c>
      <c r="H3493" t="str">
        <f>'Huong dan giao do an'!$B$14</f>
        <v>5 SV (vai trò chính): 1 PM/Scrum Master kiêm Integration; 2 BA/PO; 3 UI-UX + Frontend; 4 Backend/API + DevOps; 5 Database + QA/Tester. Mỗi SV có nhiệm vụ phụ và minh chứng cá nhân.</v>
      </c>
      <c r="I3493" t="s">
        <v>36</v>
      </c>
      <c r="J3493" t="s">
        <v>7823</v>
      </c>
      <c r="K3493" t="str">
        <f>IF(I3493="Trung bình",'Huong dan giao do an'!$B$8,IF(I3493="Khá",'Huong dan giao do an'!$B$9,'Huong dan giao do an'!$B$10))</f>
        <v>Tối thiểu 3 actor; 8-10 use case; 6-8 bảng dữ liệu; 2 quy trình lõi; đăng nhập/RBAC; 1 dashboard; 1 báo cáo; &gt;=25 test case; triển khai bản demo.</v>
      </c>
      <c r="L3493" t="str">
        <f>'Huong dan giao do an'!$B$31</f>
        <v>Bắt buộc: Charter/PMP; SRS + scope/WBS; Gantt/baseline; effort-cost budget; RACI/timesheet; quality-test-defect; communication/minutes; risk register; procurement; change log; closure/lessons learned.</v>
      </c>
      <c r="M3493" t="str">
        <f>'Huong dan giao do an'!$B$33</f>
        <v>Tuần 1: 07.09–13.09.2026; Tuần 2: 14.09–20.09.2026; Tuần 3: 21.09–27.09.2026; Tuần 4: 28.09–04.10.2026; Tuần 5: 05.10–11.10.2026; Tuần 6: 12.10–18.10.2026; Tuần 7: 19.10–25.10.2026; Tuần 8: 26.10–01.11.2026.</v>
      </c>
      <c r="N3493"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3" s="17" t="str">
        <f t="shared" si="54"/>
        <v>Còn trống</v>
      </c>
    </row>
    <row r="3494" spans="1:16" x14ac:dyDescent="0.3">
      <c r="A3494">
        <v>3493</v>
      </c>
      <c r="B3494" t="s">
        <v>7810</v>
      </c>
      <c r="C3494" t="s">
        <v>8015</v>
      </c>
      <c r="D3494" t="s">
        <v>8016</v>
      </c>
      <c r="E3494" t="s">
        <v>26</v>
      </c>
      <c r="F3494" t="s">
        <v>7821</v>
      </c>
      <c r="G3494" t="s">
        <v>7852</v>
      </c>
      <c r="H3494" t="str">
        <f>'Huong dan giao do an'!$B$14</f>
        <v>5 SV (vai trò chính): 1 PM/Scrum Master kiêm Integration; 2 BA/PO; 3 UI-UX + Frontend; 4 Backend/API + DevOps; 5 Database + QA/Tester. Mỗi SV có nhiệm vụ phụ và minh chứng cá nhân.</v>
      </c>
      <c r="I3494" t="s">
        <v>22</v>
      </c>
      <c r="J3494" t="s">
        <v>7815</v>
      </c>
      <c r="K3494" t="str">
        <f>IF(I3494="Trung bình",'Huong dan giao do an'!$B$8,IF(I3494="Khá",'Huong dan giao do an'!$B$9,'Huong dan giao do an'!$B$10))</f>
        <v>Tối thiểu 4 actor; 10-14 use case; 8-12 bảng; 3 quy trình lõi; phân quyền chi tiết; 2 báo cáo; tích hợp 1 dịch vụ; &gt;=35 test case; CI/CD hoặc deploy cloud.</v>
      </c>
      <c r="L3494" t="str">
        <f>'Huong dan giao do an'!$B$31</f>
        <v>Bắt buộc: Charter/PMP; SRS + scope/WBS; Gantt/baseline; effort-cost budget; RACI/timesheet; quality-test-defect; communication/minutes; risk register; procurement; change log; closure/lessons learned.</v>
      </c>
      <c r="M3494" t="str">
        <f>'Huong dan giao do an'!$B$33</f>
        <v>Tuần 1: 07.09–13.09.2026; Tuần 2: 14.09–20.09.2026; Tuần 3: 21.09–27.09.2026; Tuần 4: 28.09–04.10.2026; Tuần 5: 05.10–11.10.2026; Tuần 6: 12.10–18.10.2026; Tuần 7: 19.10–25.10.2026; Tuần 8: 26.10–01.11.2026.</v>
      </c>
      <c r="N3494"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4" s="17" t="str">
        <f t="shared" si="54"/>
        <v>Còn trống</v>
      </c>
    </row>
    <row r="3495" spans="1:16" x14ac:dyDescent="0.3">
      <c r="A3495">
        <v>3494</v>
      </c>
      <c r="B3495" t="s">
        <v>7810</v>
      </c>
      <c r="C3495" t="s">
        <v>8017</v>
      </c>
      <c r="D3495" t="s">
        <v>8018</v>
      </c>
      <c r="E3495" t="s">
        <v>33</v>
      </c>
      <c r="F3495" t="s">
        <v>7826</v>
      </c>
      <c r="G3495" t="s">
        <v>2594</v>
      </c>
      <c r="H3495" t="str">
        <f>'Huong dan giao do an'!$B$14</f>
        <v>5 SV (vai trò chính): 1 PM/Scrum Master kiêm Integration; 2 BA/PO; 3 UI-UX + Frontend; 4 Backend/API + DevOps; 5 Database + QA/Tester. Mỗi SV có nhiệm vụ phụ và minh chứng cá nhân.</v>
      </c>
      <c r="I3495" t="s">
        <v>29</v>
      </c>
      <c r="J3495" t="s">
        <v>2554</v>
      </c>
      <c r="K3495" t="str">
        <f>IF(I3495="Trung bình",'Huong dan giao do an'!$B$8,IF(I3495="Khá",'Huong dan giao do an'!$B$9,'Huong dan giao do an'!$B$10))</f>
        <v>Tối thiểu 5 actor; 14-18 use case; 10-15 bảng; 4 quy trình; tích hợp ngoài/realtime hoặc xử lý nâng cao; 3 báo cáo; &gt;=45 test case; logging, backup và deploy.</v>
      </c>
      <c r="L3495" t="str">
        <f>'Huong dan giao do an'!$B$31</f>
        <v>Bắt buộc: Charter/PMP; SRS + scope/WBS; Gantt/baseline; effort-cost budget; RACI/timesheet; quality-test-defect; communication/minutes; risk register; procurement; change log; closure/lessons learned.</v>
      </c>
      <c r="M3495" t="str">
        <f>'Huong dan giao do an'!$B$33</f>
        <v>Tuần 1: 07.09–13.09.2026; Tuần 2: 14.09–20.09.2026; Tuần 3: 21.09–27.09.2026; Tuần 4: 28.09–04.10.2026; Tuần 5: 05.10–11.10.2026; Tuần 6: 12.10–18.10.2026; Tuần 7: 19.10–25.10.2026; Tuần 8: 26.10–01.11.2026.</v>
      </c>
      <c r="N3495"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5" s="17" t="str">
        <f t="shared" si="54"/>
        <v>Còn trống</v>
      </c>
    </row>
    <row r="3496" spans="1:16" x14ac:dyDescent="0.3">
      <c r="A3496">
        <v>3495</v>
      </c>
      <c r="B3496" t="s">
        <v>7810</v>
      </c>
      <c r="C3496" t="s">
        <v>8019</v>
      </c>
      <c r="D3496" t="s">
        <v>8020</v>
      </c>
      <c r="E3496" t="s">
        <v>40</v>
      </c>
      <c r="F3496" t="s">
        <v>7830</v>
      </c>
      <c r="G3496" t="s">
        <v>7857</v>
      </c>
      <c r="H3496" t="str">
        <f>'Huong dan giao do an'!$B$14</f>
        <v>5 SV (vai trò chính): 1 PM/Scrum Master kiêm Integration; 2 BA/PO; 3 UI-UX + Frontend; 4 Backend/API + DevOps; 5 Database + QA/Tester. Mỗi SV có nhiệm vụ phụ và minh chứng cá nhân.</v>
      </c>
      <c r="I3496" t="s">
        <v>36</v>
      </c>
      <c r="J3496" t="s">
        <v>7823</v>
      </c>
      <c r="K3496" t="str">
        <f>IF(I3496="Trung bình",'Huong dan giao do an'!$B$8,IF(I3496="Khá",'Huong dan giao do an'!$B$9,'Huong dan giao do an'!$B$10))</f>
        <v>Tối thiểu 3 actor; 8-10 use case; 6-8 bảng dữ liệu; 2 quy trình lõi; đăng nhập/RBAC; 1 dashboard; 1 báo cáo; &gt;=25 test case; triển khai bản demo.</v>
      </c>
      <c r="L3496" t="str">
        <f>'Huong dan giao do an'!$B$31</f>
        <v>Bắt buộc: Charter/PMP; SRS + scope/WBS; Gantt/baseline; effort-cost budget; RACI/timesheet; quality-test-defect; communication/minutes; risk register; procurement; change log; closure/lessons learned.</v>
      </c>
      <c r="M3496" t="str">
        <f>'Huong dan giao do an'!$B$33</f>
        <v>Tuần 1: 07.09–13.09.2026; Tuần 2: 14.09–20.09.2026; Tuần 3: 21.09–27.09.2026; Tuần 4: 28.09–04.10.2026; Tuần 5: 05.10–11.10.2026; Tuần 6: 12.10–18.10.2026; Tuần 7: 19.10–25.10.2026; Tuần 8: 26.10–01.11.2026.</v>
      </c>
      <c r="N3496"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6" s="17" t="str">
        <f t="shared" si="54"/>
        <v>Còn trống</v>
      </c>
    </row>
    <row r="3497" spans="1:16" x14ac:dyDescent="0.3">
      <c r="A3497">
        <v>3496</v>
      </c>
      <c r="B3497" t="s">
        <v>7810</v>
      </c>
      <c r="C3497" t="s">
        <v>8021</v>
      </c>
      <c r="D3497" t="s">
        <v>8022</v>
      </c>
      <c r="E3497" t="s">
        <v>45</v>
      </c>
      <c r="F3497" t="s">
        <v>7813</v>
      </c>
      <c r="G3497" t="s">
        <v>7860</v>
      </c>
      <c r="H3497" t="str">
        <f>'Huong dan giao do an'!$B$14</f>
        <v>5 SV (vai trò chính): 1 PM/Scrum Master kiêm Integration; 2 BA/PO; 3 UI-UX + Frontend; 4 Backend/API + DevOps; 5 Database + QA/Tester. Mỗi SV có nhiệm vụ phụ và minh chứng cá nhân.</v>
      </c>
      <c r="I3497" t="s">
        <v>22</v>
      </c>
      <c r="J3497" t="s">
        <v>7815</v>
      </c>
      <c r="K3497" t="str">
        <f>IF(I3497="Trung bình",'Huong dan giao do an'!$B$8,IF(I3497="Khá",'Huong dan giao do an'!$B$9,'Huong dan giao do an'!$B$10))</f>
        <v>Tối thiểu 4 actor; 10-14 use case; 8-12 bảng; 3 quy trình lõi; phân quyền chi tiết; 2 báo cáo; tích hợp 1 dịch vụ; &gt;=35 test case; CI/CD hoặc deploy cloud.</v>
      </c>
      <c r="L3497" t="str">
        <f>'Huong dan giao do an'!$B$31</f>
        <v>Bắt buộc: Charter/PMP; SRS + scope/WBS; Gantt/baseline; effort-cost budget; RACI/timesheet; quality-test-defect; communication/minutes; risk register; procurement; change log; closure/lessons learned.</v>
      </c>
      <c r="M3497" t="str">
        <f>'Huong dan giao do an'!$B$33</f>
        <v>Tuần 1: 07.09–13.09.2026; Tuần 2: 14.09–20.09.2026; Tuần 3: 21.09–27.09.2026; Tuần 4: 28.09–04.10.2026; Tuần 5: 05.10–11.10.2026; Tuần 6: 12.10–18.10.2026; Tuần 7: 19.10–25.10.2026; Tuần 8: 26.10–01.11.2026.</v>
      </c>
      <c r="N3497"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7" s="17" t="str">
        <f t="shared" si="54"/>
        <v>Còn trống</v>
      </c>
    </row>
    <row r="3498" spans="1:16" x14ac:dyDescent="0.3">
      <c r="A3498">
        <v>3497</v>
      </c>
      <c r="B3498" t="s">
        <v>7810</v>
      </c>
      <c r="C3498" t="s">
        <v>8023</v>
      </c>
      <c r="D3498" t="s">
        <v>8024</v>
      </c>
      <c r="E3498" t="s">
        <v>19</v>
      </c>
      <c r="F3498" t="s">
        <v>7818</v>
      </c>
      <c r="G3498" t="s">
        <v>2603</v>
      </c>
      <c r="H3498" t="str">
        <f>'Huong dan giao do an'!$B$14</f>
        <v>5 SV (vai trò chính): 1 PM/Scrum Master kiêm Integration; 2 BA/PO; 3 UI-UX + Frontend; 4 Backend/API + DevOps; 5 Database + QA/Tester. Mỗi SV có nhiệm vụ phụ và minh chứng cá nhân.</v>
      </c>
      <c r="I3498" t="s">
        <v>29</v>
      </c>
      <c r="J3498" t="s">
        <v>2554</v>
      </c>
      <c r="K3498" t="str">
        <f>IF(I3498="Trung bình",'Huong dan giao do an'!$B$8,IF(I3498="Khá",'Huong dan giao do an'!$B$9,'Huong dan giao do an'!$B$10))</f>
        <v>Tối thiểu 5 actor; 14-18 use case; 10-15 bảng; 4 quy trình; tích hợp ngoài/realtime hoặc xử lý nâng cao; 3 báo cáo; &gt;=45 test case; logging, backup và deploy.</v>
      </c>
      <c r="L3498" t="str">
        <f>'Huong dan giao do an'!$B$31</f>
        <v>Bắt buộc: Charter/PMP; SRS + scope/WBS; Gantt/baseline; effort-cost budget; RACI/timesheet; quality-test-defect; communication/minutes; risk register; procurement; change log; closure/lessons learned.</v>
      </c>
      <c r="M3498" t="str">
        <f>'Huong dan giao do an'!$B$33</f>
        <v>Tuần 1: 07.09–13.09.2026; Tuần 2: 14.09–20.09.2026; Tuần 3: 21.09–27.09.2026; Tuần 4: 28.09–04.10.2026; Tuần 5: 05.10–11.10.2026; Tuần 6: 12.10–18.10.2026; Tuần 7: 19.10–25.10.2026; Tuần 8: 26.10–01.11.2026.</v>
      </c>
      <c r="N3498"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8" s="17" t="str">
        <f t="shared" si="54"/>
        <v>Còn trống</v>
      </c>
    </row>
    <row r="3499" spans="1:16" x14ac:dyDescent="0.3">
      <c r="A3499">
        <v>3498</v>
      </c>
      <c r="B3499" t="s">
        <v>7810</v>
      </c>
      <c r="C3499" t="s">
        <v>8025</v>
      </c>
      <c r="D3499" t="s">
        <v>8026</v>
      </c>
      <c r="E3499" t="s">
        <v>26</v>
      </c>
      <c r="F3499" t="s">
        <v>7821</v>
      </c>
      <c r="G3499" t="s">
        <v>7865</v>
      </c>
      <c r="H3499" t="str">
        <f>'Huong dan giao do an'!$B$14</f>
        <v>5 SV (vai trò chính): 1 PM/Scrum Master kiêm Integration; 2 BA/PO; 3 UI-UX + Frontend; 4 Backend/API + DevOps; 5 Database + QA/Tester. Mỗi SV có nhiệm vụ phụ và minh chứng cá nhân.</v>
      </c>
      <c r="I3499" t="s">
        <v>36</v>
      </c>
      <c r="J3499" t="s">
        <v>7823</v>
      </c>
      <c r="K3499" t="str">
        <f>IF(I3499="Trung bình",'Huong dan giao do an'!$B$8,IF(I3499="Khá",'Huong dan giao do an'!$B$9,'Huong dan giao do an'!$B$10))</f>
        <v>Tối thiểu 3 actor; 8-10 use case; 6-8 bảng dữ liệu; 2 quy trình lõi; đăng nhập/RBAC; 1 dashboard; 1 báo cáo; &gt;=25 test case; triển khai bản demo.</v>
      </c>
      <c r="L3499" t="str">
        <f>'Huong dan giao do an'!$B$31</f>
        <v>Bắt buộc: Charter/PMP; SRS + scope/WBS; Gantt/baseline; effort-cost budget; RACI/timesheet; quality-test-defect; communication/minutes; risk register; procurement; change log; closure/lessons learned.</v>
      </c>
      <c r="M3499" t="str">
        <f>'Huong dan giao do an'!$B$33</f>
        <v>Tuần 1: 07.09–13.09.2026; Tuần 2: 14.09–20.09.2026; Tuần 3: 21.09–27.09.2026; Tuần 4: 28.09–04.10.2026; Tuần 5: 05.10–11.10.2026; Tuần 6: 12.10–18.10.2026; Tuần 7: 19.10–25.10.2026; Tuần 8: 26.10–01.11.2026.</v>
      </c>
      <c r="N3499"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499" s="17" t="str">
        <f t="shared" si="54"/>
        <v>Còn trống</v>
      </c>
    </row>
    <row r="3500" spans="1:16" x14ac:dyDescent="0.3">
      <c r="A3500">
        <v>3499</v>
      </c>
      <c r="B3500" t="s">
        <v>7810</v>
      </c>
      <c r="C3500" t="s">
        <v>8027</v>
      </c>
      <c r="D3500" t="s">
        <v>8028</v>
      </c>
      <c r="E3500" t="s">
        <v>33</v>
      </c>
      <c r="F3500" t="s">
        <v>7826</v>
      </c>
      <c r="G3500" t="s">
        <v>7868</v>
      </c>
      <c r="H3500" t="str">
        <f>'Huong dan giao do an'!$B$14</f>
        <v>5 SV (vai trò chính): 1 PM/Scrum Master kiêm Integration; 2 BA/PO; 3 UI-UX + Frontend; 4 Backend/API + DevOps; 5 Database + QA/Tester. Mỗi SV có nhiệm vụ phụ và minh chứng cá nhân.</v>
      </c>
      <c r="I3500" t="s">
        <v>22</v>
      </c>
      <c r="J3500" t="s">
        <v>7815</v>
      </c>
      <c r="K3500" t="str">
        <f>IF(I3500="Trung bình",'Huong dan giao do an'!$B$8,IF(I3500="Khá",'Huong dan giao do an'!$B$9,'Huong dan giao do an'!$B$10))</f>
        <v>Tối thiểu 4 actor; 10-14 use case; 8-12 bảng; 3 quy trình lõi; phân quyền chi tiết; 2 báo cáo; tích hợp 1 dịch vụ; &gt;=35 test case; CI/CD hoặc deploy cloud.</v>
      </c>
      <c r="L3500" t="str">
        <f>'Huong dan giao do an'!$B$31</f>
        <v>Bắt buộc: Charter/PMP; SRS + scope/WBS; Gantt/baseline; effort-cost budget; RACI/timesheet; quality-test-defect; communication/minutes; risk register; procurement; change log; closure/lessons learned.</v>
      </c>
      <c r="M3500" t="str">
        <f>'Huong dan giao do an'!$B$33</f>
        <v>Tuần 1: 07.09–13.09.2026; Tuần 2: 14.09–20.09.2026; Tuần 3: 21.09–27.09.2026; Tuần 4: 28.09–04.10.2026; Tuần 5: 05.10–11.10.2026; Tuần 6: 12.10–18.10.2026; Tuần 7: 19.10–25.10.2026; Tuần 8: 26.10–01.11.2026.</v>
      </c>
      <c r="N3500"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00" s="17" t="str">
        <f t="shared" si="54"/>
        <v>Còn trống</v>
      </c>
    </row>
    <row r="3501" spans="1:16" x14ac:dyDescent="0.3">
      <c r="A3501">
        <v>3500</v>
      </c>
      <c r="B3501" t="s">
        <v>7810</v>
      </c>
      <c r="C3501" t="s">
        <v>8029</v>
      </c>
      <c r="D3501" t="s">
        <v>8030</v>
      </c>
      <c r="E3501" t="s">
        <v>40</v>
      </c>
      <c r="F3501" t="s">
        <v>7830</v>
      </c>
      <c r="G3501" t="s">
        <v>2612</v>
      </c>
      <c r="H3501" t="str">
        <f>'Huong dan giao do an'!$B$14</f>
        <v>5 SV (vai trò chính): 1 PM/Scrum Master kiêm Integration; 2 BA/PO; 3 UI-UX + Frontend; 4 Backend/API + DevOps; 5 Database + QA/Tester. Mỗi SV có nhiệm vụ phụ và minh chứng cá nhân.</v>
      </c>
      <c r="I3501" t="s">
        <v>29</v>
      </c>
      <c r="J3501" t="s">
        <v>2554</v>
      </c>
      <c r="K3501" t="str">
        <f>IF(I3501="Trung bình",'Huong dan giao do an'!$B$8,IF(I3501="Khá",'Huong dan giao do an'!$B$9,'Huong dan giao do an'!$B$10))</f>
        <v>Tối thiểu 5 actor; 14-18 use case; 10-15 bảng; 4 quy trình; tích hợp ngoài/realtime hoặc xử lý nâng cao; 3 báo cáo; &gt;=45 test case; logging, backup và deploy.</v>
      </c>
      <c r="L3501" t="str">
        <f>'Huong dan giao do an'!$B$31</f>
        <v>Bắt buộc: Charter/PMP; SRS + scope/WBS; Gantt/baseline; effort-cost budget; RACI/timesheet; quality-test-defect; communication/minutes; risk register; procurement; change log; closure/lessons learned.</v>
      </c>
      <c r="M3501" t="str">
        <f>'Huong dan giao do an'!$B$33</f>
        <v>Tuần 1: 07.09–13.09.2026; Tuần 2: 14.09–20.09.2026; Tuần 3: 21.09–27.09.2026; Tuần 4: 28.09–04.10.2026; Tuần 5: 05.10–11.10.2026; Tuần 6: 12.10–18.10.2026; Tuần 7: 19.10–25.10.2026; Tuần 8: 26.10–01.11.2026.</v>
      </c>
      <c r="N3501" t="str">
        <f>'Huong dan giao do an'!$B$53</f>
        <v>Bắt buộc: đề tài được duyệt; sản phẩm chạy end-to-end; &gt;=80% phạm vi baseline và 100% chức năng Must-have; đủ hồ sơ QLDA; test pass &gt;=90%; không còn lỗi Critical/High; repo có đóng góp của 5 SV; mỗi SV vượt qua vấn đáp.</v>
      </c>
      <c r="P3501" s="17" t="str">
        <f t="shared" si="54"/>
        <v>Còn trống</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8"/>
  <sheetViews>
    <sheetView showGridLines="0" topLeftCell="A22" workbookViewId="0">
      <selection activeCell="B8" sqref="B8"/>
    </sheetView>
  </sheetViews>
  <sheetFormatPr defaultRowHeight="14.4" x14ac:dyDescent="0.3"/>
  <cols>
    <col min="1" max="1" width="8" customWidth="1"/>
    <col min="2" max="2" width="28" customWidth="1"/>
    <col min="3" max="3" width="12" customWidth="1"/>
    <col min="4" max="4" width="55.44140625" bestFit="1" customWidth="1"/>
    <col min="5" max="5" width="58" customWidth="1"/>
    <col min="7" max="7" width="24.21875" customWidth="1"/>
    <col min="8" max="8" width="40.77734375" customWidth="1"/>
    <col min="9" max="9" width="17.44140625" customWidth="1"/>
    <col min="10" max="10" width="21.77734375" customWidth="1"/>
  </cols>
  <sheetData>
    <row r="1" spans="1:10" ht="30" customHeight="1" x14ac:dyDescent="0.3">
      <c r="A1" s="33" t="s">
        <v>8031</v>
      </c>
      <c r="B1" s="33"/>
      <c r="C1" s="33"/>
      <c r="D1" s="33"/>
      <c r="E1" s="33"/>
      <c r="F1" s="2"/>
      <c r="G1" s="34" t="s">
        <v>8032</v>
      </c>
      <c r="H1" s="34"/>
      <c r="I1" s="34"/>
      <c r="J1" s="34"/>
    </row>
    <row r="2" spans="1:10" x14ac:dyDescent="0.3">
      <c r="G2" s="19" t="s">
        <v>8033</v>
      </c>
      <c r="H2" s="22" t="s">
        <v>8034</v>
      </c>
      <c r="I2" s="19" t="s">
        <v>8035</v>
      </c>
      <c r="J2" s="22" t="s">
        <v>8036</v>
      </c>
    </row>
    <row r="3" spans="1:10" x14ac:dyDescent="0.3">
      <c r="A3" s="1" t="s">
        <v>0</v>
      </c>
      <c r="B3" t="s">
        <v>1</v>
      </c>
      <c r="C3" t="s">
        <v>8037</v>
      </c>
      <c r="D3" t="s">
        <v>8038</v>
      </c>
      <c r="E3" t="s">
        <v>8039</v>
      </c>
      <c r="G3" s="19" t="s">
        <v>8040</v>
      </c>
      <c r="H3" s="18">
        <v>8</v>
      </c>
      <c r="I3" s="19" t="s">
        <v>8041</v>
      </c>
      <c r="J3" s="18">
        <v>9</v>
      </c>
    </row>
    <row r="4" spans="1:10" x14ac:dyDescent="0.3">
      <c r="A4">
        <v>1</v>
      </c>
      <c r="B4" t="s">
        <v>16</v>
      </c>
      <c r="C4">
        <f>COUNTIF('Tat ca de tai'!B:B,B4)</f>
        <v>100</v>
      </c>
      <c r="D4" t="s">
        <v>8042</v>
      </c>
      <c r="E4" t="s">
        <v>8043</v>
      </c>
      <c r="G4" s="19" t="s">
        <v>8044</v>
      </c>
      <c r="H4" s="18">
        <v>5</v>
      </c>
      <c r="I4" s="19" t="s">
        <v>8045</v>
      </c>
      <c r="J4" s="18">
        <v>3500</v>
      </c>
    </row>
    <row r="5" spans="1:10" x14ac:dyDescent="0.3">
      <c r="A5">
        <v>2</v>
      </c>
      <c r="B5" t="s">
        <v>255</v>
      </c>
      <c r="C5">
        <f>COUNTIF('Tat ca de tai'!B:B,B5)</f>
        <v>100</v>
      </c>
      <c r="D5" t="s">
        <v>8046</v>
      </c>
      <c r="E5" t="s">
        <v>8043</v>
      </c>
      <c r="G5" s="19" t="s">
        <v>8047</v>
      </c>
      <c r="H5" s="18">
        <f>COUNTIF('Tat ca de tai'!P:P,"Còn trống")</f>
        <v>3500</v>
      </c>
      <c r="I5" s="19" t="s">
        <v>8048</v>
      </c>
      <c r="J5" s="18">
        <f>COUNTIF('Tat ca de tai'!P:P,"Đã đăng ký")</f>
        <v>0</v>
      </c>
    </row>
    <row r="6" spans="1:10" ht="28.8" x14ac:dyDescent="0.3">
      <c r="A6">
        <v>3</v>
      </c>
      <c r="B6" t="s">
        <v>484</v>
      </c>
      <c r="C6">
        <f>COUNTIF('Tat ca de tai'!B:B,B6)</f>
        <v>100</v>
      </c>
      <c r="D6" t="s">
        <v>8049</v>
      </c>
      <c r="E6" t="s">
        <v>8043</v>
      </c>
      <c r="G6" s="19" t="s">
        <v>8050</v>
      </c>
      <c r="H6" s="18" t="s">
        <v>8051</v>
      </c>
      <c r="I6" s="18"/>
      <c r="J6" s="18"/>
    </row>
    <row r="7" spans="1:10" ht="28.8" x14ac:dyDescent="0.3">
      <c r="A7">
        <v>4</v>
      </c>
      <c r="B7" t="s">
        <v>713</v>
      </c>
      <c r="C7">
        <f>COUNTIF('Tat ca de tai'!B:B,B7)</f>
        <v>100</v>
      </c>
      <c r="D7" t="s">
        <v>8052</v>
      </c>
      <c r="E7" t="s">
        <v>8043</v>
      </c>
      <c r="G7" s="19" t="s">
        <v>8053</v>
      </c>
      <c r="H7" s="18" t="s">
        <v>8054</v>
      </c>
      <c r="I7" s="18"/>
      <c r="J7" s="18"/>
    </row>
    <row r="8" spans="1:10" x14ac:dyDescent="0.3">
      <c r="A8">
        <v>5</v>
      </c>
      <c r="B8" t="s">
        <v>942</v>
      </c>
      <c r="C8">
        <f>COUNTIF('Tat ca de tai'!B:B,B8)</f>
        <v>100</v>
      </c>
      <c r="D8" t="s">
        <v>8055</v>
      </c>
      <c r="E8" t="s">
        <v>8043</v>
      </c>
      <c r="G8" s="19" t="s">
        <v>8056</v>
      </c>
      <c r="H8" s="18" t="s">
        <v>8057</v>
      </c>
      <c r="I8" s="18"/>
      <c r="J8" s="18"/>
    </row>
    <row r="9" spans="1:10" x14ac:dyDescent="0.3">
      <c r="A9">
        <v>6</v>
      </c>
      <c r="B9" t="s">
        <v>1171</v>
      </c>
      <c r="C9">
        <f>COUNTIF('Tat ca de tai'!B:B,B9)</f>
        <v>100</v>
      </c>
      <c r="D9" t="s">
        <v>8058</v>
      </c>
      <c r="E9" t="s">
        <v>8043</v>
      </c>
      <c r="G9" s="19" t="s">
        <v>8059</v>
      </c>
      <c r="H9" s="18" t="s">
        <v>8060</v>
      </c>
      <c r="I9" s="18"/>
      <c r="J9" s="18"/>
    </row>
    <row r="10" spans="1:10" ht="33.6" customHeight="1" x14ac:dyDescent="0.3">
      <c r="A10">
        <v>7</v>
      </c>
      <c r="B10" t="s">
        <v>1400</v>
      </c>
      <c r="C10">
        <f>COUNTIF('Tat ca de tai'!B:B,B10)</f>
        <v>100</v>
      </c>
      <c r="D10" t="s">
        <v>8061</v>
      </c>
      <c r="E10" t="s">
        <v>8043</v>
      </c>
    </row>
    <row r="11" spans="1:10" ht="33.6" customHeight="1" x14ac:dyDescent="0.3">
      <c r="A11">
        <v>8</v>
      </c>
      <c r="B11" t="s">
        <v>1628</v>
      </c>
      <c r="C11">
        <f>COUNTIF('Tat ca de tai'!B:B,B11)</f>
        <v>100</v>
      </c>
      <c r="D11" t="s">
        <v>8062</v>
      </c>
      <c r="E11" t="s">
        <v>8043</v>
      </c>
      <c r="G11" s="23" t="s">
        <v>8063</v>
      </c>
      <c r="H11" s="23" t="s">
        <v>8064</v>
      </c>
      <c r="I11" s="23" t="s">
        <v>8065</v>
      </c>
      <c r="J11" s="23" t="s">
        <v>8066</v>
      </c>
    </row>
    <row r="12" spans="1:10" ht="33.6" customHeight="1" x14ac:dyDescent="0.3">
      <c r="A12">
        <v>9</v>
      </c>
      <c r="B12" t="s">
        <v>1857</v>
      </c>
      <c r="C12">
        <f>COUNTIF('Tat ca de tai'!B:B,B12)</f>
        <v>100</v>
      </c>
      <c r="D12" t="s">
        <v>8067</v>
      </c>
      <c r="E12" t="s">
        <v>8043</v>
      </c>
      <c r="G12" s="24" t="s">
        <v>8068</v>
      </c>
      <c r="H12" s="25">
        <f>COUNTA('Tat ca de tai'!C2:C3501)</f>
        <v>3500</v>
      </c>
      <c r="I12" s="25">
        <v>3500</v>
      </c>
      <c r="J12" s="26" t="str">
        <f t="shared" ref="J12:J20" si="0">IF(H12=I12,"OK","KIỂM TRA")</f>
        <v>OK</v>
      </c>
    </row>
    <row r="13" spans="1:10" ht="33.6" customHeight="1" x14ac:dyDescent="0.3">
      <c r="A13">
        <v>10</v>
      </c>
      <c r="B13" t="s">
        <v>2086</v>
      </c>
      <c r="C13">
        <f>COUNTIF('Tat ca de tai'!B:B,B13)</f>
        <v>100</v>
      </c>
      <c r="D13" t="s">
        <v>8069</v>
      </c>
      <c r="E13" t="s">
        <v>8043</v>
      </c>
      <c r="G13" s="24" t="s">
        <v>8070</v>
      </c>
      <c r="H13" s="25">
        <f>COUNTBLANK('Tat ca de tai'!H2:H3501)</f>
        <v>0</v>
      </c>
      <c r="I13" s="25">
        <v>0</v>
      </c>
      <c r="J13" s="26" t="str">
        <f t="shared" si="0"/>
        <v>OK</v>
      </c>
    </row>
    <row r="14" spans="1:10" ht="33.6" customHeight="1" x14ac:dyDescent="0.3">
      <c r="A14">
        <v>11</v>
      </c>
      <c r="B14" t="s">
        <v>2315</v>
      </c>
      <c r="C14">
        <f>COUNTIF('Tat ca de tai'!B:B,B14)</f>
        <v>100</v>
      </c>
      <c r="D14" t="s">
        <v>8071</v>
      </c>
      <c r="E14" t="s">
        <v>8043</v>
      </c>
      <c r="G14" s="24" t="s">
        <v>8072</v>
      </c>
      <c r="H14" s="25">
        <f>COUNTBLANK('Tat ca de tai'!K2:K3501)</f>
        <v>0</v>
      </c>
      <c r="I14" s="25">
        <v>0</v>
      </c>
      <c r="J14" s="26" t="str">
        <f t="shared" si="0"/>
        <v>OK</v>
      </c>
    </row>
    <row r="15" spans="1:10" ht="33.6" customHeight="1" x14ac:dyDescent="0.3">
      <c r="A15">
        <v>12</v>
      </c>
      <c r="B15" t="s">
        <v>2544</v>
      </c>
      <c r="C15">
        <f>COUNTIF('Tat ca de tai'!B:B,B15)</f>
        <v>100</v>
      </c>
      <c r="D15" t="s">
        <v>8073</v>
      </c>
      <c r="E15" t="s">
        <v>8043</v>
      </c>
      <c r="G15" s="24" t="s">
        <v>8074</v>
      </c>
      <c r="H15" s="25">
        <f>COUNTBLANK('Tat ca de tai'!L2:L3501)</f>
        <v>0</v>
      </c>
      <c r="I15" s="25">
        <v>0</v>
      </c>
      <c r="J15" s="26" t="str">
        <f t="shared" si="0"/>
        <v>OK</v>
      </c>
    </row>
    <row r="16" spans="1:10" ht="33.6" customHeight="1" x14ac:dyDescent="0.3">
      <c r="A16">
        <v>13</v>
      </c>
      <c r="B16" t="s">
        <v>2773</v>
      </c>
      <c r="C16">
        <f>COUNTIF('Tat ca de tai'!B:B,B16)</f>
        <v>100</v>
      </c>
      <c r="D16" t="s">
        <v>8075</v>
      </c>
      <c r="E16" t="s">
        <v>8043</v>
      </c>
      <c r="G16" s="24" t="s">
        <v>8076</v>
      </c>
      <c r="H16" s="25">
        <f>COUNTBLANK('Tat ca de tai'!M2:M3501)</f>
        <v>0</v>
      </c>
      <c r="I16" s="25">
        <v>0</v>
      </c>
      <c r="J16" s="26" t="str">
        <f t="shared" si="0"/>
        <v>OK</v>
      </c>
    </row>
    <row r="17" spans="1:10" ht="33.6" customHeight="1" x14ac:dyDescent="0.3">
      <c r="A17">
        <v>14</v>
      </c>
      <c r="B17" t="s">
        <v>3002</v>
      </c>
      <c r="C17">
        <f>COUNTIF('Tat ca de tai'!B:B,B17)</f>
        <v>100</v>
      </c>
      <c r="D17" t="s">
        <v>8077</v>
      </c>
      <c r="E17" t="s">
        <v>8043</v>
      </c>
      <c r="G17" s="24" t="s">
        <v>8078</v>
      </c>
      <c r="H17" s="25">
        <f>COUNTBLANK('Tat ca de tai'!N2:N3501)</f>
        <v>0</v>
      </c>
      <c r="I17" s="25">
        <v>0</v>
      </c>
      <c r="J17" s="26" t="str">
        <f t="shared" si="0"/>
        <v>OK</v>
      </c>
    </row>
    <row r="18" spans="1:10" ht="33.6" customHeight="1" x14ac:dyDescent="0.3">
      <c r="A18">
        <v>15</v>
      </c>
      <c r="B18" t="s">
        <v>3231</v>
      </c>
      <c r="C18">
        <f>COUNTIF('Tat ca de tai'!B:B,B18)</f>
        <v>100</v>
      </c>
      <c r="D18" t="s">
        <v>8079</v>
      </c>
      <c r="E18" t="s">
        <v>8043</v>
      </c>
      <c r="G18" s="24" t="s">
        <v>8080</v>
      </c>
      <c r="H18" s="25">
        <f>COUNTBLANK('Tat ca de tai'!P2:P3501)</f>
        <v>0</v>
      </c>
      <c r="I18" s="25">
        <v>0</v>
      </c>
      <c r="J18" s="26" t="str">
        <f t="shared" si="0"/>
        <v>OK</v>
      </c>
    </row>
    <row r="19" spans="1:10" ht="33.6" customHeight="1" x14ac:dyDescent="0.3">
      <c r="A19">
        <v>16</v>
      </c>
      <c r="B19" t="s">
        <v>3460</v>
      </c>
      <c r="C19">
        <f>COUNTIF('Tat ca de tai'!B:B,B19)</f>
        <v>100</v>
      </c>
      <c r="D19" t="s">
        <v>8081</v>
      </c>
      <c r="E19" t="s">
        <v>8043</v>
      </c>
      <c r="G19" s="24" t="s">
        <v>8082</v>
      </c>
      <c r="H19" s="25" cm="1">
        <f t="array" ref="H19">SUMPRODUCT(--ISERROR('Tat ca de tai'!H2:P3501))</f>
        <v>0</v>
      </c>
      <c r="I19" s="25">
        <v>0</v>
      </c>
      <c r="J19" s="26" t="str">
        <f t="shared" si="0"/>
        <v>OK</v>
      </c>
    </row>
    <row r="20" spans="1:10" ht="33.6" customHeight="1" x14ac:dyDescent="0.3">
      <c r="A20">
        <v>17</v>
      </c>
      <c r="B20" t="s">
        <v>3689</v>
      </c>
      <c r="C20">
        <f>COUNTIF('Tat ca de tai'!B:B,B20)</f>
        <v>100</v>
      </c>
      <c r="D20" t="s">
        <v>8083</v>
      </c>
      <c r="E20" t="s">
        <v>8043</v>
      </c>
      <c r="G20" s="24" t="s">
        <v>8084</v>
      </c>
      <c r="H20" s="25">
        <f>H5+J5</f>
        <v>3500</v>
      </c>
      <c r="I20" s="25">
        <v>3500</v>
      </c>
      <c r="J20" s="26" t="str">
        <f t="shared" si="0"/>
        <v>OK</v>
      </c>
    </row>
    <row r="21" spans="1:10" ht="33.6" customHeight="1" x14ac:dyDescent="0.3">
      <c r="A21">
        <v>18</v>
      </c>
      <c r="B21" t="s">
        <v>3917</v>
      </c>
      <c r="C21">
        <f>COUNTIF('Tat ca de tai'!B:B,B21)</f>
        <v>100</v>
      </c>
      <c r="D21" t="s">
        <v>8085</v>
      </c>
      <c r="E21" t="s">
        <v>8043</v>
      </c>
    </row>
    <row r="22" spans="1:10" ht="33.6" customHeight="1" x14ac:dyDescent="0.3">
      <c r="A22">
        <v>19</v>
      </c>
      <c r="B22" t="s">
        <v>4146</v>
      </c>
      <c r="C22">
        <f>COUNTIF('Tat ca de tai'!B:B,B22)</f>
        <v>100</v>
      </c>
      <c r="D22" t="s">
        <v>8086</v>
      </c>
      <c r="E22" t="s">
        <v>8043</v>
      </c>
    </row>
    <row r="23" spans="1:10" ht="33.6" customHeight="1" x14ac:dyDescent="0.3">
      <c r="A23">
        <v>20</v>
      </c>
      <c r="B23" t="s">
        <v>4375</v>
      </c>
      <c r="C23">
        <f>COUNTIF('Tat ca de tai'!B:B,B23)</f>
        <v>100</v>
      </c>
      <c r="D23" t="s">
        <v>8087</v>
      </c>
      <c r="E23" t="s">
        <v>8043</v>
      </c>
    </row>
    <row r="24" spans="1:10" ht="33.6" customHeight="1" x14ac:dyDescent="0.3">
      <c r="A24">
        <v>21</v>
      </c>
      <c r="B24" t="s">
        <v>4604</v>
      </c>
      <c r="C24">
        <f>COUNTIF('Tat ca de tai'!B:B,B24)</f>
        <v>100</v>
      </c>
      <c r="D24" t="s">
        <v>8088</v>
      </c>
      <c r="E24" t="s">
        <v>8043</v>
      </c>
    </row>
    <row r="25" spans="1:10" ht="33.6" customHeight="1" x14ac:dyDescent="0.3">
      <c r="A25">
        <v>22</v>
      </c>
      <c r="B25" t="s">
        <v>4833</v>
      </c>
      <c r="C25">
        <f>COUNTIF('Tat ca de tai'!B:B,B25)</f>
        <v>100</v>
      </c>
      <c r="D25" t="s">
        <v>8089</v>
      </c>
      <c r="E25" t="s">
        <v>8043</v>
      </c>
    </row>
    <row r="26" spans="1:10" ht="33.6" customHeight="1" x14ac:dyDescent="0.3">
      <c r="A26">
        <v>23</v>
      </c>
      <c r="B26" t="s">
        <v>5062</v>
      </c>
      <c r="C26">
        <f>COUNTIF('Tat ca de tai'!B:B,B26)</f>
        <v>100</v>
      </c>
      <c r="D26" t="s">
        <v>8090</v>
      </c>
      <c r="E26" t="s">
        <v>8043</v>
      </c>
    </row>
    <row r="27" spans="1:10" ht="33.6" customHeight="1" x14ac:dyDescent="0.3">
      <c r="A27">
        <v>24</v>
      </c>
      <c r="B27" t="s">
        <v>5291</v>
      </c>
      <c r="C27">
        <f>COUNTIF('Tat ca de tai'!B:B,B27)</f>
        <v>100</v>
      </c>
      <c r="D27" t="s">
        <v>8091</v>
      </c>
      <c r="E27" t="s">
        <v>8043</v>
      </c>
    </row>
    <row r="28" spans="1:10" ht="33.6" customHeight="1" x14ac:dyDescent="0.3">
      <c r="A28">
        <v>25</v>
      </c>
      <c r="B28" t="s">
        <v>5520</v>
      </c>
      <c r="C28">
        <f>COUNTIF('Tat ca de tai'!B:B,B28)</f>
        <v>100</v>
      </c>
      <c r="D28" t="s">
        <v>8092</v>
      </c>
      <c r="E28" t="s">
        <v>8043</v>
      </c>
    </row>
    <row r="29" spans="1:10" ht="33.6" customHeight="1" x14ac:dyDescent="0.3">
      <c r="A29">
        <v>26</v>
      </c>
      <c r="B29" t="s">
        <v>5749</v>
      </c>
      <c r="C29">
        <f>COUNTIF('Tat ca de tai'!B:B,B29)</f>
        <v>100</v>
      </c>
      <c r="D29" t="s">
        <v>8093</v>
      </c>
      <c r="E29" t="s">
        <v>8043</v>
      </c>
    </row>
    <row r="30" spans="1:10" ht="33.6" customHeight="1" x14ac:dyDescent="0.3">
      <c r="A30">
        <v>27</v>
      </c>
      <c r="B30" t="s">
        <v>5978</v>
      </c>
      <c r="C30">
        <f>COUNTIF('Tat ca de tai'!B:B,B30)</f>
        <v>100</v>
      </c>
      <c r="D30" t="s">
        <v>8094</v>
      </c>
      <c r="E30" t="s">
        <v>8043</v>
      </c>
    </row>
    <row r="31" spans="1:10" ht="33.6" customHeight="1" x14ac:dyDescent="0.3">
      <c r="A31">
        <v>28</v>
      </c>
      <c r="B31" t="s">
        <v>6207</v>
      </c>
      <c r="C31">
        <f>COUNTIF('Tat ca de tai'!B:B,B31)</f>
        <v>100</v>
      </c>
      <c r="D31" t="s">
        <v>8095</v>
      </c>
      <c r="E31" t="s">
        <v>8043</v>
      </c>
    </row>
    <row r="32" spans="1:10" ht="33.6" customHeight="1" x14ac:dyDescent="0.3">
      <c r="A32">
        <v>29</v>
      </c>
      <c r="B32" t="s">
        <v>6436</v>
      </c>
      <c r="C32">
        <f>COUNTIF('Tat ca de tai'!B:B,B32)</f>
        <v>100</v>
      </c>
      <c r="D32" t="s">
        <v>8096</v>
      </c>
      <c r="E32" t="s">
        <v>8043</v>
      </c>
    </row>
    <row r="33" spans="1:5" ht="33.6" customHeight="1" x14ac:dyDescent="0.3">
      <c r="A33">
        <v>30</v>
      </c>
      <c r="B33" t="s">
        <v>6665</v>
      </c>
      <c r="C33">
        <f>COUNTIF('Tat ca de tai'!B:B,B33)</f>
        <v>100</v>
      </c>
      <c r="D33" t="s">
        <v>8097</v>
      </c>
      <c r="E33" t="s">
        <v>8043</v>
      </c>
    </row>
    <row r="34" spans="1:5" ht="33.6" customHeight="1" x14ac:dyDescent="0.3">
      <c r="A34">
        <v>31</v>
      </c>
      <c r="B34" t="s">
        <v>6894</v>
      </c>
      <c r="C34">
        <f>COUNTIF('Tat ca de tai'!B:B,B34)</f>
        <v>100</v>
      </c>
      <c r="D34" t="s">
        <v>8098</v>
      </c>
      <c r="E34" t="s">
        <v>8043</v>
      </c>
    </row>
    <row r="35" spans="1:5" ht="33.6" customHeight="1" x14ac:dyDescent="0.3">
      <c r="A35">
        <v>32</v>
      </c>
      <c r="B35" t="s">
        <v>7123</v>
      </c>
      <c r="C35">
        <f>COUNTIF('Tat ca de tai'!B:B,B35)</f>
        <v>100</v>
      </c>
      <c r="D35" t="s">
        <v>8099</v>
      </c>
      <c r="E35" t="s">
        <v>8043</v>
      </c>
    </row>
    <row r="36" spans="1:5" ht="33.6" customHeight="1" x14ac:dyDescent="0.3">
      <c r="A36">
        <v>33</v>
      </c>
      <c r="B36" t="s">
        <v>7352</v>
      </c>
      <c r="C36">
        <f>COUNTIF('Tat ca de tai'!B:B,B36)</f>
        <v>100</v>
      </c>
      <c r="D36" t="s">
        <v>8100</v>
      </c>
      <c r="E36" t="s">
        <v>8043</v>
      </c>
    </row>
    <row r="37" spans="1:5" ht="33.6" customHeight="1" x14ac:dyDescent="0.3">
      <c r="A37">
        <v>34</v>
      </c>
      <c r="B37" t="s">
        <v>7581</v>
      </c>
      <c r="C37">
        <f>COUNTIF('Tat ca de tai'!B:B,B37)</f>
        <v>100</v>
      </c>
      <c r="D37" t="s">
        <v>8101</v>
      </c>
      <c r="E37" t="s">
        <v>8043</v>
      </c>
    </row>
    <row r="38" spans="1:5" ht="33.6" customHeight="1" x14ac:dyDescent="0.3">
      <c r="A38">
        <v>35</v>
      </c>
      <c r="B38" t="s">
        <v>7810</v>
      </c>
      <c r="C38">
        <f>COUNTIF('Tat ca de tai'!B:B,B38)</f>
        <v>100</v>
      </c>
      <c r="D38" t="s">
        <v>8102</v>
      </c>
      <c r="E38" t="s">
        <v>8043</v>
      </c>
    </row>
  </sheetData>
  <mergeCells count="2">
    <mergeCell ref="A1:E1"/>
    <mergeCell ref="G1:J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5"/>
  <sheetViews>
    <sheetView showGridLines="0" zoomScaleNormal="100" workbookViewId="0">
      <pane ySplit="4" topLeftCell="A13" activePane="bottomLeft" state="frozen"/>
      <selection pane="bottomLeft" activeCell="B16" sqref="B16"/>
    </sheetView>
  </sheetViews>
  <sheetFormatPr defaultRowHeight="14.4" x14ac:dyDescent="0.3"/>
  <cols>
    <col min="1" max="1" width="28.21875" customWidth="1"/>
    <col min="2" max="2" width="71.77734375" customWidth="1"/>
    <col min="3" max="3" width="46.77734375" customWidth="1"/>
    <col min="4" max="4" width="20.77734375" customWidth="1"/>
    <col min="5" max="5" width="25.77734375" customWidth="1"/>
    <col min="6" max="6" width="46.77734375" customWidth="1"/>
    <col min="7" max="7" width="63.21875" customWidth="1"/>
  </cols>
  <sheetData>
    <row r="1" spans="1:10" ht="30" customHeight="1" x14ac:dyDescent="0.3">
      <c r="A1" s="30" t="s">
        <v>8103</v>
      </c>
      <c r="B1" s="31"/>
      <c r="C1" s="31"/>
      <c r="D1" s="31"/>
      <c r="E1" s="31"/>
      <c r="F1" s="32"/>
      <c r="G1" s="2"/>
      <c r="H1" s="2"/>
      <c r="I1" s="2"/>
      <c r="J1" s="2"/>
    </row>
    <row r="2" spans="1:10" ht="28.8" x14ac:dyDescent="0.3">
      <c r="A2" s="3" t="s">
        <v>8104</v>
      </c>
      <c r="B2" s="4" t="s">
        <v>8105</v>
      </c>
      <c r="C2" s="3" t="s">
        <v>8106</v>
      </c>
      <c r="D2" s="20" t="s">
        <v>8107</v>
      </c>
      <c r="E2" s="6" t="s">
        <v>8108</v>
      </c>
      <c r="F2" s="4" t="s">
        <v>8109</v>
      </c>
    </row>
    <row r="3" spans="1:10" ht="72" x14ac:dyDescent="0.3">
      <c r="A3" s="3" t="s">
        <v>8110</v>
      </c>
      <c r="B3" s="4" t="s">
        <v>8111</v>
      </c>
      <c r="C3" s="3" t="s">
        <v>8112</v>
      </c>
      <c r="D3" s="5" t="s">
        <v>8113</v>
      </c>
      <c r="E3" s="6" t="s">
        <v>8114</v>
      </c>
      <c r="F3" s="4" t="s">
        <v>8115</v>
      </c>
    </row>
    <row r="4" spans="1:10" x14ac:dyDescent="0.3">
      <c r="A4" s="7"/>
      <c r="B4" s="8"/>
      <c r="C4" s="8"/>
      <c r="D4" s="9"/>
      <c r="E4" s="9"/>
      <c r="F4" s="8"/>
    </row>
    <row r="5" spans="1:10" ht="28.8" x14ac:dyDescent="0.3">
      <c r="A5" s="10" t="s">
        <v>8116</v>
      </c>
      <c r="B5" s="10"/>
      <c r="C5" s="10"/>
      <c r="D5" s="11"/>
      <c r="E5" s="11"/>
      <c r="F5" s="10"/>
    </row>
    <row r="6" spans="1:10" ht="28.8" x14ac:dyDescent="0.3">
      <c r="A6" s="7" t="s">
        <v>8050</v>
      </c>
      <c r="B6" s="8" t="s">
        <v>8117</v>
      </c>
      <c r="C6" s="8" t="s">
        <v>8118</v>
      </c>
      <c r="D6" s="9" t="s">
        <v>8119</v>
      </c>
      <c r="E6" s="9" t="s">
        <v>8120</v>
      </c>
      <c r="F6" s="8" t="s">
        <v>8121</v>
      </c>
    </row>
    <row r="7" spans="1:10" ht="28.8" x14ac:dyDescent="0.3">
      <c r="A7" s="7" t="s">
        <v>8122</v>
      </c>
      <c r="B7" s="8" t="s">
        <v>8123</v>
      </c>
      <c r="C7" s="8" t="s">
        <v>8124</v>
      </c>
      <c r="D7" s="9" t="s">
        <v>8119</v>
      </c>
      <c r="E7" s="9" t="s">
        <v>8125</v>
      </c>
      <c r="F7" s="8" t="s">
        <v>8126</v>
      </c>
    </row>
    <row r="8" spans="1:10" ht="28.8" x14ac:dyDescent="0.3">
      <c r="A8" s="7" t="s">
        <v>8127</v>
      </c>
      <c r="B8" s="8" t="s">
        <v>8128</v>
      </c>
      <c r="C8" s="8" t="s">
        <v>8129</v>
      </c>
      <c r="D8" s="9" t="s">
        <v>8130</v>
      </c>
      <c r="E8" s="9" t="s">
        <v>8125</v>
      </c>
      <c r="F8" s="8" t="s">
        <v>8131</v>
      </c>
    </row>
    <row r="9" spans="1:10" ht="28.8" x14ac:dyDescent="0.3">
      <c r="A9" s="7" t="s">
        <v>8132</v>
      </c>
      <c r="B9" s="8" t="s">
        <v>8133</v>
      </c>
      <c r="C9" s="8" t="s">
        <v>8134</v>
      </c>
      <c r="D9" s="9" t="s">
        <v>8130</v>
      </c>
      <c r="E9" s="9" t="s">
        <v>8125</v>
      </c>
      <c r="F9" s="8" t="s">
        <v>8135</v>
      </c>
    </row>
    <row r="10" spans="1:10" ht="28.8" x14ac:dyDescent="0.3">
      <c r="A10" s="7" t="s">
        <v>8136</v>
      </c>
      <c r="B10" s="8" t="s">
        <v>8137</v>
      </c>
      <c r="C10" s="8" t="s">
        <v>8138</v>
      </c>
      <c r="D10" s="9" t="s">
        <v>8130</v>
      </c>
      <c r="E10" s="9" t="s">
        <v>8125</v>
      </c>
      <c r="F10" s="8" t="s">
        <v>8139</v>
      </c>
    </row>
    <row r="11" spans="1:10" ht="28.8" x14ac:dyDescent="0.3">
      <c r="A11" s="7" t="s">
        <v>8140</v>
      </c>
      <c r="B11" s="8" t="s">
        <v>8141</v>
      </c>
      <c r="C11" s="8" t="s">
        <v>8142</v>
      </c>
      <c r="D11" s="9" t="s">
        <v>8143</v>
      </c>
      <c r="E11" s="9" t="s">
        <v>8144</v>
      </c>
      <c r="F11" s="8" t="s">
        <v>8145</v>
      </c>
    </row>
    <row r="12" spans="1:10" ht="28.8" x14ac:dyDescent="0.3">
      <c r="A12" s="7" t="s">
        <v>8146</v>
      </c>
      <c r="B12" s="8" t="s">
        <v>8147</v>
      </c>
      <c r="C12" s="8" t="s">
        <v>8148</v>
      </c>
      <c r="D12" s="9" t="s">
        <v>8143</v>
      </c>
      <c r="E12" s="9" t="s">
        <v>8149</v>
      </c>
      <c r="F12" s="8" t="s">
        <v>8150</v>
      </c>
    </row>
    <row r="13" spans="1:10" ht="28.8" x14ac:dyDescent="0.3">
      <c r="A13" s="10" t="s">
        <v>8151</v>
      </c>
      <c r="B13" s="10"/>
      <c r="C13" s="10"/>
      <c r="D13" s="11"/>
      <c r="E13" s="11"/>
      <c r="F13" s="10"/>
    </row>
    <row r="14" spans="1:10" ht="43.2" x14ac:dyDescent="0.3">
      <c r="A14" s="7" t="s">
        <v>8152</v>
      </c>
      <c r="B14" s="8" t="s">
        <v>8153</v>
      </c>
      <c r="C14" s="8" t="s">
        <v>8154</v>
      </c>
      <c r="D14" s="9" t="s">
        <v>8155</v>
      </c>
      <c r="E14" s="9" t="s">
        <v>8156</v>
      </c>
      <c r="F14" s="8" t="s">
        <v>8157</v>
      </c>
    </row>
    <row r="15" spans="1:10" ht="28.8" x14ac:dyDescent="0.3">
      <c r="A15" s="7" t="s">
        <v>8158</v>
      </c>
      <c r="B15" s="8" t="s">
        <v>8159</v>
      </c>
      <c r="C15" s="8" t="s">
        <v>8160</v>
      </c>
      <c r="D15" s="9" t="s">
        <v>8161</v>
      </c>
      <c r="E15" s="9" t="s">
        <v>8158</v>
      </c>
      <c r="F15" s="8" t="s">
        <v>8162</v>
      </c>
    </row>
    <row r="16" spans="1:10" ht="28.8" x14ac:dyDescent="0.3">
      <c r="A16" s="7" t="s">
        <v>8163</v>
      </c>
      <c r="B16" s="8" t="s">
        <v>8164</v>
      </c>
      <c r="C16" s="8" t="s">
        <v>8165</v>
      </c>
      <c r="D16" s="9" t="s">
        <v>8155</v>
      </c>
      <c r="E16" s="9" t="s">
        <v>8163</v>
      </c>
      <c r="F16" s="8" t="s">
        <v>8166</v>
      </c>
    </row>
    <row r="17" spans="1:6" ht="28.8" x14ac:dyDescent="0.3">
      <c r="A17" s="7" t="s">
        <v>8167</v>
      </c>
      <c r="B17" s="8" t="s">
        <v>8168</v>
      </c>
      <c r="C17" s="8" t="s">
        <v>8169</v>
      </c>
      <c r="D17" s="9" t="s">
        <v>8170</v>
      </c>
      <c r="E17" s="9" t="s">
        <v>8167</v>
      </c>
      <c r="F17" s="8" t="s">
        <v>8171</v>
      </c>
    </row>
    <row r="18" spans="1:6" ht="28.8" x14ac:dyDescent="0.3">
      <c r="A18" s="7" t="s">
        <v>8172</v>
      </c>
      <c r="B18" s="8" t="s">
        <v>8173</v>
      </c>
      <c r="C18" s="8" t="s">
        <v>8174</v>
      </c>
      <c r="D18" s="9" t="s">
        <v>8175</v>
      </c>
      <c r="E18" s="9" t="s">
        <v>8172</v>
      </c>
      <c r="F18" s="8" t="s">
        <v>8176</v>
      </c>
    </row>
    <row r="19" spans="1:6" ht="28.8" x14ac:dyDescent="0.3">
      <c r="A19" s="7" t="s">
        <v>8177</v>
      </c>
      <c r="B19" s="8" t="s">
        <v>8178</v>
      </c>
      <c r="C19" s="8" t="s">
        <v>8179</v>
      </c>
      <c r="D19" s="9" t="s">
        <v>8175</v>
      </c>
      <c r="E19" s="9" t="s">
        <v>8177</v>
      </c>
      <c r="F19" s="8" t="s">
        <v>8180</v>
      </c>
    </row>
    <row r="20" spans="1:6" ht="28.8" x14ac:dyDescent="0.3">
      <c r="A20" s="10" t="s">
        <v>8181</v>
      </c>
      <c r="B20" s="10"/>
      <c r="C20" s="10"/>
      <c r="D20" s="11"/>
      <c r="E20" s="11"/>
      <c r="F20" s="10"/>
    </row>
    <row r="21" spans="1:6" ht="28.8" x14ac:dyDescent="0.3">
      <c r="A21" s="7" t="s">
        <v>8182</v>
      </c>
      <c r="B21" s="8" t="s">
        <v>8183</v>
      </c>
      <c r="C21" s="8" t="s">
        <v>8184</v>
      </c>
      <c r="D21" s="9" t="s">
        <v>8155</v>
      </c>
      <c r="E21" s="9" t="s">
        <v>8185</v>
      </c>
      <c r="F21" s="8" t="s">
        <v>8186</v>
      </c>
    </row>
    <row r="22" spans="1:6" ht="28.8" x14ac:dyDescent="0.3">
      <c r="A22" s="7" t="s">
        <v>8187</v>
      </c>
      <c r="B22" s="8" t="s">
        <v>8188</v>
      </c>
      <c r="C22" s="8" t="s">
        <v>8189</v>
      </c>
      <c r="D22" s="9" t="s">
        <v>8190</v>
      </c>
      <c r="E22" s="9" t="s">
        <v>8191</v>
      </c>
      <c r="F22" s="8" t="s">
        <v>8192</v>
      </c>
    </row>
    <row r="23" spans="1:6" ht="28.8" x14ac:dyDescent="0.3">
      <c r="A23" s="7" t="s">
        <v>8193</v>
      </c>
      <c r="B23" s="8" t="s">
        <v>8194</v>
      </c>
      <c r="C23" s="8" t="s">
        <v>8195</v>
      </c>
      <c r="D23" s="9" t="s">
        <v>8155</v>
      </c>
      <c r="E23" s="9" t="s">
        <v>8185</v>
      </c>
      <c r="F23" s="8" t="s">
        <v>8196</v>
      </c>
    </row>
    <row r="24" spans="1:6" ht="28.8" x14ac:dyDescent="0.3">
      <c r="A24" s="7" t="s">
        <v>8197</v>
      </c>
      <c r="B24" s="8" t="s">
        <v>8198</v>
      </c>
      <c r="C24" s="8" t="s">
        <v>8199</v>
      </c>
      <c r="D24" s="9" t="s">
        <v>8175</v>
      </c>
      <c r="E24" s="9" t="s">
        <v>8185</v>
      </c>
      <c r="F24" s="8" t="s">
        <v>8200</v>
      </c>
    </row>
    <row r="25" spans="1:6" ht="28.8" x14ac:dyDescent="0.3">
      <c r="A25" s="7" t="s">
        <v>8201</v>
      </c>
      <c r="B25" s="8" t="s">
        <v>8202</v>
      </c>
      <c r="C25" s="8" t="s">
        <v>8203</v>
      </c>
      <c r="D25" s="9" t="s">
        <v>8175</v>
      </c>
      <c r="E25" s="9" t="s">
        <v>8204</v>
      </c>
      <c r="F25" s="8" t="s">
        <v>8205</v>
      </c>
    </row>
    <row r="26" spans="1:6" ht="28.8" x14ac:dyDescent="0.3">
      <c r="A26" s="7" t="s">
        <v>8206</v>
      </c>
      <c r="B26" s="8" t="s">
        <v>8207</v>
      </c>
      <c r="C26" s="8" t="s">
        <v>8208</v>
      </c>
      <c r="D26" s="9" t="s">
        <v>8155</v>
      </c>
      <c r="E26" s="9" t="s">
        <v>8185</v>
      </c>
      <c r="F26" s="8" t="s">
        <v>8209</v>
      </c>
    </row>
    <row r="27" spans="1:6" ht="28.8" x14ac:dyDescent="0.3">
      <c r="A27" s="7" t="s">
        <v>8210</v>
      </c>
      <c r="B27" s="8" t="s">
        <v>8211</v>
      </c>
      <c r="C27" s="8" t="s">
        <v>8212</v>
      </c>
      <c r="D27" s="9" t="s">
        <v>8161</v>
      </c>
      <c r="E27" s="9" t="s">
        <v>8213</v>
      </c>
      <c r="F27" s="8" t="s">
        <v>8214</v>
      </c>
    </row>
    <row r="28" spans="1:6" ht="28.8" x14ac:dyDescent="0.3">
      <c r="A28" s="7" t="s">
        <v>8215</v>
      </c>
      <c r="B28" s="8" t="s">
        <v>8216</v>
      </c>
      <c r="C28" s="8" t="s">
        <v>8217</v>
      </c>
      <c r="D28" s="9" t="s">
        <v>8175</v>
      </c>
      <c r="E28" s="9" t="s">
        <v>8218</v>
      </c>
      <c r="F28" s="8" t="s">
        <v>8219</v>
      </c>
    </row>
    <row r="29" spans="1:6" ht="28.8" x14ac:dyDescent="0.3">
      <c r="A29" s="7" t="s">
        <v>8220</v>
      </c>
      <c r="B29" s="8" t="s">
        <v>8221</v>
      </c>
      <c r="C29" s="8" t="s">
        <v>8222</v>
      </c>
      <c r="D29" s="9" t="s">
        <v>8223</v>
      </c>
      <c r="E29" s="9" t="s">
        <v>8224</v>
      </c>
      <c r="F29" s="8" t="s">
        <v>8225</v>
      </c>
    </row>
    <row r="30" spans="1:6" ht="28.8" x14ac:dyDescent="0.3">
      <c r="A30" s="7" t="s">
        <v>8226</v>
      </c>
      <c r="B30" s="8" t="s">
        <v>8227</v>
      </c>
      <c r="C30" s="8" t="s">
        <v>8228</v>
      </c>
      <c r="D30" s="9" t="s">
        <v>8161</v>
      </c>
      <c r="E30" s="9" t="s">
        <v>8229</v>
      </c>
      <c r="F30" s="8" t="s">
        <v>8230</v>
      </c>
    </row>
    <row r="31" spans="1:6" ht="43.2" x14ac:dyDescent="0.3">
      <c r="A31" s="7" t="s">
        <v>8231</v>
      </c>
      <c r="B31" s="8" t="s">
        <v>8232</v>
      </c>
      <c r="C31" s="8" t="s">
        <v>8233</v>
      </c>
      <c r="D31" s="9" t="s">
        <v>8130</v>
      </c>
      <c r="E31" s="9" t="s">
        <v>8125</v>
      </c>
      <c r="F31" s="8" t="s">
        <v>8234</v>
      </c>
    </row>
    <row r="32" spans="1:6" x14ac:dyDescent="0.3">
      <c r="A32" s="10" t="s">
        <v>8235</v>
      </c>
      <c r="B32" s="10"/>
      <c r="C32" s="10"/>
      <c r="D32" s="11"/>
      <c r="E32" s="11"/>
      <c r="F32" s="10"/>
    </row>
    <row r="33" spans="1:7" ht="43.2" x14ac:dyDescent="0.3">
      <c r="A33" s="7" t="s">
        <v>8236</v>
      </c>
      <c r="B33" s="8" t="s">
        <v>8237</v>
      </c>
      <c r="C33" s="8" t="s">
        <v>8238</v>
      </c>
      <c r="D33" s="21" t="s">
        <v>8239</v>
      </c>
      <c r="E33" s="9" t="s">
        <v>8240</v>
      </c>
      <c r="F33" s="27" t="s">
        <v>8241</v>
      </c>
      <c r="G33" s="28" t="s">
        <v>8242</v>
      </c>
    </row>
    <row r="34" spans="1:7" ht="229.95" customHeight="1" x14ac:dyDescent="0.3">
      <c r="A34" s="7" t="s">
        <v>8243</v>
      </c>
      <c r="B34" s="8" t="s">
        <v>8244</v>
      </c>
      <c r="C34" s="8" t="s">
        <v>8245</v>
      </c>
      <c r="D34" s="21" t="s">
        <v>8246</v>
      </c>
      <c r="E34" s="9" t="s">
        <v>8247</v>
      </c>
      <c r="F34" s="27" t="s">
        <v>8248</v>
      </c>
      <c r="G34" s="29" t="s">
        <v>8249</v>
      </c>
    </row>
    <row r="35" spans="1:7" ht="144" x14ac:dyDescent="0.3">
      <c r="A35" s="7" t="s">
        <v>8250</v>
      </c>
      <c r="B35" s="8" t="s">
        <v>8251</v>
      </c>
      <c r="C35" s="8" t="s">
        <v>8252</v>
      </c>
      <c r="D35" s="21" t="s">
        <v>8253</v>
      </c>
      <c r="E35" s="9" t="s">
        <v>8125</v>
      </c>
      <c r="F35" s="8" t="s">
        <v>8254</v>
      </c>
      <c r="G35" s="29" t="s">
        <v>8255</v>
      </c>
    </row>
    <row r="36" spans="1:7" ht="144" x14ac:dyDescent="0.3">
      <c r="A36" s="7" t="s">
        <v>8256</v>
      </c>
      <c r="B36" s="8" t="s">
        <v>8257</v>
      </c>
      <c r="C36" s="8" t="s">
        <v>8258</v>
      </c>
      <c r="D36" s="21" t="s">
        <v>8259</v>
      </c>
      <c r="E36" s="9" t="s">
        <v>8144</v>
      </c>
      <c r="F36" s="8" t="s">
        <v>8260</v>
      </c>
      <c r="G36" s="29" t="s">
        <v>8261</v>
      </c>
    </row>
    <row r="37" spans="1:7" ht="144" x14ac:dyDescent="0.3">
      <c r="A37" s="7" t="s">
        <v>8262</v>
      </c>
      <c r="B37" s="8" t="s">
        <v>8263</v>
      </c>
      <c r="C37" s="8" t="s">
        <v>8264</v>
      </c>
      <c r="D37" s="21" t="s">
        <v>8265</v>
      </c>
      <c r="E37" s="9" t="s">
        <v>8125</v>
      </c>
      <c r="F37" s="8" t="s">
        <v>8266</v>
      </c>
      <c r="G37" s="29" t="s">
        <v>8267</v>
      </c>
    </row>
    <row r="38" spans="1:7" ht="144" x14ac:dyDescent="0.3">
      <c r="A38" s="7" t="s">
        <v>8268</v>
      </c>
      <c r="B38" s="8" t="s">
        <v>8269</v>
      </c>
      <c r="C38" s="8" t="s">
        <v>8270</v>
      </c>
      <c r="D38" s="21" t="s">
        <v>8271</v>
      </c>
      <c r="E38" s="9" t="s">
        <v>8125</v>
      </c>
      <c r="F38" s="8" t="s">
        <v>8272</v>
      </c>
      <c r="G38" s="29" t="s">
        <v>8273</v>
      </c>
    </row>
    <row r="39" spans="1:7" ht="144" x14ac:dyDescent="0.3">
      <c r="A39" s="7" t="s">
        <v>8274</v>
      </c>
      <c r="B39" s="8" t="s">
        <v>8275</v>
      </c>
      <c r="C39" s="8" t="s">
        <v>8276</v>
      </c>
      <c r="D39" s="21" t="s">
        <v>8277</v>
      </c>
      <c r="E39" s="9" t="s">
        <v>8278</v>
      </c>
      <c r="F39" s="8" t="s">
        <v>8279</v>
      </c>
      <c r="G39" s="29" t="s">
        <v>8280</v>
      </c>
    </row>
    <row r="40" spans="1:7" ht="144" x14ac:dyDescent="0.3">
      <c r="A40" s="7" t="s">
        <v>8281</v>
      </c>
      <c r="B40" s="8" t="s">
        <v>8282</v>
      </c>
      <c r="C40" s="8" t="s">
        <v>8283</v>
      </c>
      <c r="D40" s="21" t="s">
        <v>8284</v>
      </c>
      <c r="E40" s="9" t="s">
        <v>8125</v>
      </c>
      <c r="F40" s="8" t="s">
        <v>8285</v>
      </c>
      <c r="G40" s="29" t="s">
        <v>8286</v>
      </c>
    </row>
    <row r="41" spans="1:7" ht="144" x14ac:dyDescent="0.3">
      <c r="A41" s="7" t="s">
        <v>8287</v>
      </c>
      <c r="B41" s="8" t="s">
        <v>8288</v>
      </c>
      <c r="C41" s="8" t="s">
        <v>8289</v>
      </c>
      <c r="D41" s="21" t="s">
        <v>8290</v>
      </c>
      <c r="E41" s="9" t="s">
        <v>8125</v>
      </c>
      <c r="F41" s="8" t="s">
        <v>8291</v>
      </c>
      <c r="G41" s="29" t="s">
        <v>8292</v>
      </c>
    </row>
    <row r="42" spans="1:7" x14ac:dyDescent="0.3">
      <c r="A42" s="10" t="s">
        <v>8293</v>
      </c>
      <c r="B42" s="10"/>
      <c r="C42" s="10"/>
      <c r="D42" s="11"/>
      <c r="E42" s="11"/>
      <c r="F42" s="10"/>
    </row>
    <row r="43" spans="1:7" ht="28.8" x14ac:dyDescent="0.3">
      <c r="A43" s="7" t="s">
        <v>8294</v>
      </c>
      <c r="B43" s="8" t="s">
        <v>8295</v>
      </c>
      <c r="C43" s="8" t="s">
        <v>8296</v>
      </c>
      <c r="D43" s="9" t="s">
        <v>8297</v>
      </c>
      <c r="E43" s="9" t="s">
        <v>8298</v>
      </c>
      <c r="F43" s="8" t="s">
        <v>8299</v>
      </c>
    </row>
    <row r="44" spans="1:7" ht="28.8" x14ac:dyDescent="0.3">
      <c r="A44" s="7" t="s">
        <v>8300</v>
      </c>
      <c r="B44" s="8" t="s">
        <v>8301</v>
      </c>
      <c r="C44" s="8" t="s">
        <v>8302</v>
      </c>
      <c r="D44" s="9" t="s">
        <v>8297</v>
      </c>
      <c r="E44" s="9" t="s">
        <v>8144</v>
      </c>
      <c r="F44" s="8" t="s">
        <v>8303</v>
      </c>
    </row>
    <row r="45" spans="1:7" ht="28.8" x14ac:dyDescent="0.3">
      <c r="A45" s="7" t="s">
        <v>8304</v>
      </c>
      <c r="B45" s="8" t="s">
        <v>8305</v>
      </c>
      <c r="C45" s="8" t="s">
        <v>8306</v>
      </c>
      <c r="D45" s="9" t="s">
        <v>8297</v>
      </c>
      <c r="E45" s="9" t="s">
        <v>8307</v>
      </c>
      <c r="F45" s="8" t="s">
        <v>8308</v>
      </c>
    </row>
    <row r="46" spans="1:7" ht="28.8" x14ac:dyDescent="0.3">
      <c r="A46" s="7" t="s">
        <v>8309</v>
      </c>
      <c r="B46" s="8" t="s">
        <v>8310</v>
      </c>
      <c r="C46" s="8" t="s">
        <v>8311</v>
      </c>
      <c r="D46" s="9" t="s">
        <v>8297</v>
      </c>
      <c r="E46" s="9" t="s">
        <v>8312</v>
      </c>
      <c r="F46" s="8" t="s">
        <v>8313</v>
      </c>
    </row>
    <row r="47" spans="1:7" ht="28.8" x14ac:dyDescent="0.3">
      <c r="A47" s="7" t="s">
        <v>8314</v>
      </c>
      <c r="B47" s="8" t="s">
        <v>8315</v>
      </c>
      <c r="C47" s="8" t="s">
        <v>8316</v>
      </c>
      <c r="D47" s="9" t="s">
        <v>8297</v>
      </c>
      <c r="E47" s="9" t="s">
        <v>8185</v>
      </c>
      <c r="F47" s="8" t="s">
        <v>8317</v>
      </c>
    </row>
    <row r="48" spans="1:7" ht="28.8" x14ac:dyDescent="0.3">
      <c r="A48" s="7" t="s">
        <v>8318</v>
      </c>
      <c r="B48" s="8" t="s">
        <v>8319</v>
      </c>
      <c r="C48" s="8" t="s">
        <v>8320</v>
      </c>
      <c r="D48" s="9" t="s">
        <v>8297</v>
      </c>
      <c r="E48" s="9" t="s">
        <v>8321</v>
      </c>
      <c r="F48" s="8" t="s">
        <v>8322</v>
      </c>
    </row>
    <row r="49" spans="1:6" ht="28.8" x14ac:dyDescent="0.3">
      <c r="A49" s="7" t="s">
        <v>8323</v>
      </c>
      <c r="B49" s="8" t="s">
        <v>8324</v>
      </c>
      <c r="C49" s="8" t="s">
        <v>8325</v>
      </c>
      <c r="D49" s="9" t="s">
        <v>8326</v>
      </c>
      <c r="E49" s="9" t="s">
        <v>8125</v>
      </c>
      <c r="F49" s="8" t="s">
        <v>8327</v>
      </c>
    </row>
    <row r="50" spans="1:6" ht="28.8" x14ac:dyDescent="0.3">
      <c r="A50" s="7" t="s">
        <v>8328</v>
      </c>
      <c r="B50" s="8" t="s">
        <v>8329</v>
      </c>
      <c r="C50" s="8" t="s">
        <v>8330</v>
      </c>
      <c r="D50" s="9" t="s">
        <v>8326</v>
      </c>
      <c r="E50" s="9" t="s">
        <v>8331</v>
      </c>
      <c r="F50" s="8" t="s">
        <v>8332</v>
      </c>
    </row>
    <row r="51" spans="1:6" ht="43.2" x14ac:dyDescent="0.3">
      <c r="A51" s="7" t="s">
        <v>8333</v>
      </c>
      <c r="B51" s="8" t="s">
        <v>8334</v>
      </c>
      <c r="C51" s="8" t="s">
        <v>8335</v>
      </c>
      <c r="D51" s="9" t="s">
        <v>8161</v>
      </c>
      <c r="E51" s="9" t="s">
        <v>8185</v>
      </c>
      <c r="F51" s="8" t="s">
        <v>8336</v>
      </c>
    </row>
    <row r="52" spans="1:6" ht="28.8" x14ac:dyDescent="0.3">
      <c r="A52" s="10" t="s">
        <v>8337</v>
      </c>
      <c r="B52" s="10"/>
      <c r="C52" s="10"/>
      <c r="D52" s="11"/>
      <c r="E52" s="11"/>
      <c r="F52" s="10"/>
    </row>
    <row r="53" spans="1:6" ht="43.2" x14ac:dyDescent="0.3">
      <c r="A53" s="7" t="s">
        <v>13</v>
      </c>
      <c r="B53" s="8" t="s">
        <v>8338</v>
      </c>
      <c r="C53" s="8" t="s">
        <v>8339</v>
      </c>
      <c r="D53" s="9" t="s">
        <v>8326</v>
      </c>
      <c r="E53" s="9" t="s">
        <v>8340</v>
      </c>
      <c r="F53" s="8" t="s">
        <v>8341</v>
      </c>
    </row>
    <row r="54" spans="1:6" ht="28.8" x14ac:dyDescent="0.3">
      <c r="A54" s="7" t="s">
        <v>8342</v>
      </c>
      <c r="B54" s="8" t="s">
        <v>8343</v>
      </c>
      <c r="C54" s="8" t="s">
        <v>8344</v>
      </c>
      <c r="D54" s="9" t="s">
        <v>8326</v>
      </c>
      <c r="E54" s="9" t="s">
        <v>8345</v>
      </c>
      <c r="F54" s="8" t="s">
        <v>8346</v>
      </c>
    </row>
    <row r="55" spans="1:6" ht="28.8" x14ac:dyDescent="0.3">
      <c r="A55" s="7" t="s">
        <v>8347</v>
      </c>
      <c r="B55" s="8" t="s">
        <v>8348</v>
      </c>
      <c r="C55" s="8" t="s">
        <v>8349</v>
      </c>
      <c r="D55" s="9" t="s">
        <v>8350</v>
      </c>
      <c r="E55" s="9" t="s">
        <v>8345</v>
      </c>
      <c r="F55" s="8" t="s">
        <v>8351</v>
      </c>
    </row>
    <row r="56" spans="1:6" ht="28.8" x14ac:dyDescent="0.3">
      <c r="A56" s="10" t="s">
        <v>8352</v>
      </c>
      <c r="B56" s="10"/>
      <c r="C56" s="10"/>
      <c r="D56" s="11"/>
      <c r="E56" s="11"/>
      <c r="F56" s="10"/>
    </row>
    <row r="57" spans="1:6" ht="28.8" x14ac:dyDescent="0.3">
      <c r="A57" s="7" t="s">
        <v>8353</v>
      </c>
      <c r="B57" s="8" t="s">
        <v>8354</v>
      </c>
      <c r="C57" s="8" t="s">
        <v>8355</v>
      </c>
      <c r="D57" s="9" t="s">
        <v>8356</v>
      </c>
      <c r="E57" s="9" t="s">
        <v>8345</v>
      </c>
      <c r="F57" s="8" t="s">
        <v>8357</v>
      </c>
    </row>
    <row r="58" spans="1:6" ht="28.8" x14ac:dyDescent="0.3">
      <c r="A58" s="7" t="s">
        <v>8358</v>
      </c>
      <c r="B58" s="8" t="s">
        <v>8359</v>
      </c>
      <c r="C58" s="8" t="s">
        <v>8360</v>
      </c>
      <c r="D58" s="9" t="s">
        <v>8326</v>
      </c>
      <c r="E58" s="9" t="s">
        <v>8345</v>
      </c>
      <c r="F58" s="8" t="s">
        <v>8361</v>
      </c>
    </row>
    <row r="59" spans="1:6" x14ac:dyDescent="0.3">
      <c r="A59" s="7" t="s">
        <v>8362</v>
      </c>
      <c r="B59" s="8" t="s">
        <v>8363</v>
      </c>
      <c r="C59" s="8" t="s">
        <v>8364</v>
      </c>
      <c r="D59" s="9"/>
      <c r="E59" s="9"/>
      <c r="F59" s="8" t="s">
        <v>8365</v>
      </c>
    </row>
    <row r="60" spans="1:6" x14ac:dyDescent="0.3">
      <c r="A60" s="7" t="s">
        <v>8366</v>
      </c>
      <c r="B60" s="8" t="s">
        <v>8367</v>
      </c>
      <c r="C60" s="8" t="s">
        <v>8368</v>
      </c>
      <c r="D60" s="9"/>
      <c r="E60" s="9"/>
      <c r="F60" s="8" t="s">
        <v>8365</v>
      </c>
    </row>
    <row r="61" spans="1:6" x14ac:dyDescent="0.3">
      <c r="A61" s="7" t="s">
        <v>8369</v>
      </c>
      <c r="B61" s="8" t="s">
        <v>8370</v>
      </c>
      <c r="C61" s="8" t="s">
        <v>8371</v>
      </c>
      <c r="D61" s="9"/>
      <c r="E61" s="9"/>
      <c r="F61" s="8" t="s">
        <v>8365</v>
      </c>
    </row>
    <row r="62" spans="1:6" ht="28.8" x14ac:dyDescent="0.3">
      <c r="A62" s="7" t="s">
        <v>8372</v>
      </c>
      <c r="B62" s="8" t="s">
        <v>8373</v>
      </c>
      <c r="C62" s="8" t="s">
        <v>8364</v>
      </c>
      <c r="D62" s="9"/>
      <c r="E62" s="9"/>
      <c r="F62" s="8" t="s">
        <v>8365</v>
      </c>
    </row>
    <row r="63" spans="1:6" ht="28.8" x14ac:dyDescent="0.3">
      <c r="A63" s="7" t="s">
        <v>8374</v>
      </c>
      <c r="B63" s="8" t="s">
        <v>8375</v>
      </c>
      <c r="C63" s="8" t="s">
        <v>8376</v>
      </c>
      <c r="D63" s="9"/>
      <c r="E63" s="9"/>
      <c r="F63" s="8" t="s">
        <v>8377</v>
      </c>
    </row>
    <row r="64" spans="1:6" x14ac:dyDescent="0.3">
      <c r="A64" s="7" t="s">
        <v>8378</v>
      </c>
      <c r="B64" s="8" t="s">
        <v>8379</v>
      </c>
      <c r="C64" s="8" t="s">
        <v>8380</v>
      </c>
      <c r="D64" s="9"/>
      <c r="E64" s="9"/>
      <c r="F64" s="8" t="s">
        <v>8381</v>
      </c>
    </row>
    <row r="65" spans="1:6" x14ac:dyDescent="0.3">
      <c r="A65" s="7" t="s">
        <v>8382</v>
      </c>
      <c r="B65" s="8" t="s">
        <v>8383</v>
      </c>
      <c r="C65" s="8" t="s">
        <v>8384</v>
      </c>
      <c r="D65" s="9"/>
      <c r="E65" s="9"/>
      <c r="F65" s="8" t="s">
        <v>8385</v>
      </c>
    </row>
  </sheetData>
  <mergeCells count="1">
    <mergeCell ref="A1:F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Tat ca de tai</vt:lpstr>
      <vt:lpstr>Tom tat 35 linh vuc</vt:lpstr>
      <vt:lpstr>Huong dan giao do 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Trung Nguyen Huu</dc:creator>
  <cp:keywords/>
  <dc:description/>
  <cp:lastModifiedBy>srqkendra961@gmail.com</cp:lastModifiedBy>
  <cp:revision/>
  <dcterms:created xsi:type="dcterms:W3CDTF">2026-09-07T03:01:02Z</dcterms:created>
  <dcterms:modified xsi:type="dcterms:W3CDTF">2026-09-09T05:21:52Z</dcterms:modified>
  <cp:category/>
  <cp:contentStatus/>
</cp:coreProperties>
</file>