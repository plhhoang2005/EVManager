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M_Day20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VNĐ&quot;"/>
    <numFmt numFmtId="165" formatCode="#,##0 &quot;VNĐ/ngày&quot;"/>
    <numFmt numFmtId="166" formatCode="0.0%"/>
    <numFmt numFmtId="167" formatCode="0.000"/>
  </numFmts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B365D"/>
      <sz val="12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6EEF8"/>
        <bgColor rgb="00E6EEF8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3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pivotButton="0" quotePrefix="0" xfId="0"/>
    <xf numFmtId="166" fontId="5" fillId="0" borderId="1" pivotButton="0" quotePrefix="0" xfId="0"/>
    <xf numFmtId="167" fontId="5" fillId="0" borderId="1" pivotButton="0" quotePrefix="0" xfId="0"/>
    <xf numFmtId="0" fontId="3" fillId="3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3" fontId="3" fillId="3" borderId="2" pivotButton="0" quotePrefix="0" xfId="0"/>
    <xf numFmtId="166" fontId="3" fillId="3" borderId="2" pivotButton="0" quotePrefix="0" xfId="0"/>
    <xf numFmtId="167" fontId="3" fillId="3" borderId="2" pivotButton="0" quotePrefix="0" xfId="0"/>
    <xf numFmtId="0" fontId="6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164" fontId="7" fillId="0" borderId="1" applyAlignment="1" pivotButton="0" quotePrefix="0" xfId="0">
      <alignment horizontal="right"/>
    </xf>
    <xf numFmtId="0" fontId="5" fillId="0" borderId="1" pivotButton="0" quotePrefix="0" xfId="0"/>
    <xf numFmtId="167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6" customWidth="1" min="3" max="3"/>
    <col width="13" customWidth="1" min="4" max="4"/>
    <col width="22" customWidth="1" min="5" max="5"/>
    <col width="13" customWidth="1" min="6" max="6"/>
    <col width="22" customWidth="1" min="7" max="7"/>
    <col width="22" customWidth="1" min="8" max="8"/>
    <col width="16" customWidth="1" min="9" max="9"/>
    <col width="16" customWidth="1" min="10" max="10"/>
    <col width="12" customWidth="1" min="11" max="11"/>
    <col width="12" customWidth="1" min="12" max="12"/>
  </cols>
  <sheetData>
    <row r="1">
      <c r="A1" s="1" t="inlineStr">
        <is>
          <t>BẢNG PHÂN TÍCH CHỈ SỐ EARNED VALUE MANAGEMENT (EVM) — TẠI NGÀY THỨ 20</t>
        </is>
      </c>
    </row>
    <row r="2">
      <c r="A2" s="2" t="inlineStr">
        <is>
          <t>Dự án: LV34-001 — EVManager | Môn học: MAN104 — QLDA CNTT | Ngày đánh giá: 27/09/2026 (Cuối Tuần 3)</t>
        </is>
      </c>
    </row>
    <row r="4">
      <c r="A4" t="inlineStr">
        <is>
          <t>Tổng ngân sách (BAC):</t>
        </is>
      </c>
      <c r="B4" s="3" t="n">
        <v>130000000</v>
      </c>
      <c r="D4" t="inlineStr">
        <is>
          <t>Tổng thời gian kế hoạch:</t>
        </is>
      </c>
      <c r="E4" s="4" t="inlineStr">
        <is>
          <t>56 ngày (8 tuần)</t>
        </is>
      </c>
      <c r="G4" t="inlineStr">
        <is>
          <t>Mốc đo lường:</t>
        </is>
      </c>
      <c r="H4" s="4" t="inlineStr">
        <is>
          <t>Ngày thứ 20 (Day 20 / End of Week 3)</t>
        </is>
      </c>
    </row>
    <row r="5">
      <c r="A5" t="inlineStr">
        <is>
          <t>Đơn giá ngày công:</t>
        </is>
      </c>
      <c r="B5" s="5" t="n">
        <v>500000</v>
      </c>
      <c r="D5" t="inlineStr">
        <is>
          <t>Người lập báo cáo:</t>
        </is>
      </c>
      <c r="E5" s="4" t="inlineStr">
        <is>
          <t>Phạm Lê Huy Hoàng (PM)</t>
        </is>
      </c>
      <c r="G5" t="inlineStr">
        <is>
          <t>Trạng thái mốc:</t>
        </is>
      </c>
      <c r="H5" s="4" t="inlineStr">
        <is>
          <t>Chuẩn bị Demo giữa kỳ 50%</t>
        </is>
      </c>
    </row>
    <row r="7">
      <c r="A7" s="6" t="inlineStr">
        <is>
          <t>Mã WBS</t>
        </is>
      </c>
      <c r="B7" s="7" t="inlineStr">
        <is>
          <t>Gói công việc (WBS Package)</t>
        </is>
      </c>
      <c r="C7" s="8" t="inlineStr">
        <is>
          <t>Ngân sách (BAC)</t>
        </is>
      </c>
      <c r="D7" s="8" t="inlineStr">
        <is>
          <t>% Kế hoạch</t>
        </is>
      </c>
      <c r="E7" s="8" t="inlineStr">
        <is>
          <t>Planned Value (PV / BCWS)</t>
        </is>
      </c>
      <c r="F7" s="8" t="inlineStr">
        <is>
          <t>% Thực tế</t>
        </is>
      </c>
      <c r="G7" s="8" t="inlineStr">
        <is>
          <t>Earned Value (EV / BCWP)</t>
        </is>
      </c>
      <c r="H7" s="8" t="inlineStr">
        <is>
          <t>Actual Cost (AC / ACWP)</t>
        </is>
      </c>
      <c r="I7" s="8" t="inlineStr">
        <is>
          <t>CV (EV - AC)</t>
        </is>
      </c>
      <c r="J7" s="8" t="inlineStr">
        <is>
          <t>SV (EV - PV)</t>
        </is>
      </c>
      <c r="K7" s="8" t="inlineStr">
        <is>
          <t>Chỉ số CPI</t>
        </is>
      </c>
      <c r="L7" s="8" t="inlineStr">
        <is>
          <t>Chỉ số SPI</t>
        </is>
      </c>
    </row>
    <row r="8">
      <c r="A8" s="9" t="inlineStr">
        <is>
          <t>1.1</t>
        </is>
      </c>
      <c r="B8" s="10" t="inlineStr">
        <is>
          <t>Khởi tạo dự án (Charter, RACI, Kick-off)</t>
        </is>
      </c>
      <c r="C8" s="11" t="n">
        <v>12000000</v>
      </c>
      <c r="D8" s="12" t="n">
        <v>1</v>
      </c>
      <c r="E8" s="11">
        <f>C8*D8</f>
        <v/>
      </c>
      <c r="F8" s="12" t="n">
        <v>1</v>
      </c>
      <c r="G8" s="11">
        <f>C8*F8</f>
        <v/>
      </c>
      <c r="H8" s="11" t="n">
        <v>12000000</v>
      </c>
      <c r="I8" s="11">
        <f>G8-H8</f>
        <v/>
      </c>
      <c r="J8" s="11">
        <f>G8-E8</f>
        <v/>
      </c>
      <c r="K8" s="13">
        <f>IF(H8&gt;0, G8/H8, 1.00)</f>
        <v/>
      </c>
      <c r="L8" s="13">
        <f>IF(E8&gt;0, G8/E8, 1.00)</f>
        <v/>
      </c>
    </row>
    <row r="9">
      <c r="A9" s="9" t="inlineStr">
        <is>
          <t>1.2</t>
        </is>
      </c>
      <c r="B9" s="10" t="inlineStr">
        <is>
          <t>Lập kế hoạch dự án (WBS, Gantt, COCOMO, Risk)</t>
        </is>
      </c>
      <c r="C9" s="11" t="n">
        <v>18000000</v>
      </c>
      <c r="D9" s="12" t="n">
        <v>1</v>
      </c>
      <c r="E9" s="11">
        <f>C9*D9</f>
        <v/>
      </c>
      <c r="F9" s="12" t="n">
        <v>1</v>
      </c>
      <c r="G9" s="11">
        <f>C9*F9</f>
        <v/>
      </c>
      <c r="H9" s="11" t="n">
        <v>18500000</v>
      </c>
      <c r="I9" s="11">
        <f>G9-H9</f>
        <v/>
      </c>
      <c r="J9" s="11">
        <f>G9-E9</f>
        <v/>
      </c>
      <c r="K9" s="13">
        <f>IF(H9&gt;0, G9/H9, 1.00)</f>
        <v/>
      </c>
      <c r="L9" s="13">
        <f>IF(E9&gt;0, G9/E9, 1.00)</f>
        <v/>
      </c>
    </row>
    <row r="10">
      <c r="A10" s="9" t="inlineStr">
        <is>
          <t>1.3</t>
        </is>
      </c>
      <c r="B10" s="10" t="inlineStr">
        <is>
          <t>Phân tích &amp; Thiết kế (SRS, ERD 3NF, Data Dict, UI Proto)</t>
        </is>
      </c>
      <c r="C10" s="11" t="n">
        <v>30000000</v>
      </c>
      <c r="D10" s="12" t="n">
        <v>0.95</v>
      </c>
      <c r="E10" s="11">
        <f>C10*D10</f>
        <v/>
      </c>
      <c r="F10" s="12" t="n">
        <v>1</v>
      </c>
      <c r="G10" s="11">
        <f>C10*F10</f>
        <v/>
      </c>
      <c r="H10" s="11" t="n">
        <v>32000000</v>
      </c>
      <c r="I10" s="11">
        <f>G10-H10</f>
        <v/>
      </c>
      <c r="J10" s="11">
        <f>G10-E10</f>
        <v/>
      </c>
      <c r="K10" s="13">
        <f>IF(H10&gt;0, G10/H10, 1.00)</f>
        <v/>
      </c>
      <c r="L10" s="13">
        <f>IF(E10&gt;0, G10/E10, 1.00)</f>
        <v/>
      </c>
    </row>
    <row r="11">
      <c r="A11" s="9" t="inlineStr">
        <is>
          <t>1.4</t>
        </is>
      </c>
      <c r="B11" s="10" t="inlineStr">
        <is>
          <t>Phát triển phần mềm (Skeleton, Auth, Users, Customers, UI)</t>
        </is>
      </c>
      <c r="C11" s="11" t="n">
        <v>45000000</v>
      </c>
      <c r="D11" s="12" t="n">
        <v>0.45</v>
      </c>
      <c r="E11" s="11">
        <f>C11*D11</f>
        <v/>
      </c>
      <c r="F11" s="12" t="n">
        <v>0.38</v>
      </c>
      <c r="G11" s="11">
        <f>C11*F11</f>
        <v/>
      </c>
      <c r="H11" s="11" t="n">
        <v>21000000</v>
      </c>
      <c r="I11" s="11">
        <f>G11-H11</f>
        <v/>
      </c>
      <c r="J11" s="11">
        <f>G11-E11</f>
        <v/>
      </c>
      <c r="K11" s="13">
        <f>IF(H11&gt;0, G11/H11, 1.00)</f>
        <v/>
      </c>
      <c r="L11" s="13">
        <f>IF(E11&gt;0, G11/E11, 1.00)</f>
        <v/>
      </c>
    </row>
    <row r="12">
      <c r="A12" s="9" t="inlineStr">
        <is>
          <t>1.5</t>
        </is>
      </c>
      <c r="B12" s="10" t="inlineStr">
        <is>
          <t>Kiểm thử phần mềm (Test plan, 35 TC, Demo test, Bug-01)</t>
        </is>
      </c>
      <c r="C12" s="11" t="n">
        <v>15000000</v>
      </c>
      <c r="D12" s="12" t="n">
        <v>0.4</v>
      </c>
      <c r="E12" s="11">
        <f>C12*D12</f>
        <v/>
      </c>
      <c r="F12" s="12" t="n">
        <v>0.35</v>
      </c>
      <c r="G12" s="11">
        <f>C12*F12</f>
        <v/>
      </c>
      <c r="H12" s="11" t="n">
        <v>5800000</v>
      </c>
      <c r="I12" s="11">
        <f>G12-H12</f>
        <v/>
      </c>
      <c r="J12" s="11">
        <f>G12-E12</f>
        <v/>
      </c>
      <c r="K12" s="13">
        <f>IF(H12&gt;0, G12/H12, 1.00)</f>
        <v/>
      </c>
      <c r="L12" s="13">
        <f>IF(E12&gt;0, G12/E12, 1.00)</f>
        <v/>
      </c>
    </row>
    <row r="13">
      <c r="A13" s="9" t="inlineStr">
        <is>
          <t>1.6</t>
        </is>
      </c>
      <c r="B13" s="10" t="inlineStr">
        <is>
          <t>Triển khai &amp; Đóng dự án (UAT, Golive, Manual, Closure)</t>
        </is>
      </c>
      <c r="C13" s="11" t="n">
        <v>10000000</v>
      </c>
      <c r="D13" s="12" t="n">
        <v>0</v>
      </c>
      <c r="E13" s="11">
        <f>C13*D13</f>
        <v/>
      </c>
      <c r="F13" s="12" t="n">
        <v>0</v>
      </c>
      <c r="G13" s="11">
        <f>C13*F13</f>
        <v/>
      </c>
      <c r="H13" s="11" t="n">
        <v>0</v>
      </c>
      <c r="I13" s="11">
        <f>G13-H13</f>
        <v/>
      </c>
      <c r="J13" s="11">
        <f>G13-E13</f>
        <v/>
      </c>
      <c r="K13" s="13">
        <f>IF(H13&gt;0, G13/H13, 1.00)</f>
        <v/>
      </c>
      <c r="L13" s="13">
        <f>IF(E13&gt;0, G13/E13, 1.00)</f>
        <v/>
      </c>
    </row>
    <row r="14">
      <c r="A14" s="14" t="inlineStr">
        <is>
          <t>TỔNG</t>
        </is>
      </c>
      <c r="B14" s="15" t="inlineStr">
        <is>
          <t>TOÀN BỘ DỰ ÁN EVMANAGER</t>
        </is>
      </c>
      <c r="C14" s="16">
        <f>SUM(C8:C13)</f>
        <v/>
      </c>
      <c r="D14" s="17">
        <f>E14/C14</f>
        <v/>
      </c>
      <c r="E14" s="16">
        <f>SUM(E8:E13)</f>
        <v/>
      </c>
      <c r="F14" s="17">
        <f>G14/C14</f>
        <v/>
      </c>
      <c r="G14" s="16">
        <f>SUM(G8:G13)</f>
        <v/>
      </c>
      <c r="H14" s="16">
        <f>SUM(H8:H13)</f>
        <v/>
      </c>
      <c r="I14" s="16">
        <f>G14-H14</f>
        <v/>
      </c>
      <c r="J14" s="16">
        <f>G14-E14</f>
        <v/>
      </c>
      <c r="K14" s="18">
        <f>G14/H14</f>
        <v/>
      </c>
      <c r="L14" s="18">
        <f>G14/E14</f>
        <v/>
      </c>
    </row>
    <row r="17">
      <c r="A17" s="19" t="inlineStr">
        <is>
          <t>BẢNG TỔNG HỢP CÁC CHỈ SỐ EVM CỐT LÕI (DÀNH CHO SLIDE BÁO CÁO GIỮA KỲ)</t>
        </is>
      </c>
    </row>
    <row r="19">
      <c r="A19" s="20" t="inlineStr">
        <is>
          <t>Planned Value (PV)</t>
        </is>
      </c>
      <c r="B19" s="21" t="n"/>
      <c r="C19" s="22">
        <f>E14</f>
        <v/>
      </c>
      <c r="D19" s="21" t="n"/>
      <c r="E19" s="23" t="inlineStr">
        <is>
          <t>Ngân sách kế hoạch tích lũy đến Day 20</t>
        </is>
      </c>
      <c r="F19" s="21" t="n"/>
      <c r="G19" s="21" t="n"/>
      <c r="H19" s="21" t="n"/>
      <c r="I19" s="21" t="n"/>
      <c r="J19" s="21" t="n"/>
      <c r="K19" s="21" t="n"/>
      <c r="L19" s="21" t="n"/>
    </row>
    <row r="20">
      <c r="A20" s="20" t="inlineStr">
        <is>
          <t>Earned Value (EV)</t>
        </is>
      </c>
      <c r="B20" s="21" t="n"/>
      <c r="C20" s="22">
        <f>G14</f>
        <v/>
      </c>
      <c r="D20" s="21" t="n"/>
      <c r="E20" s="23" t="inlineStr">
        <is>
          <t>Giá trị nghiệm thu thực tế của các task hoàn thành</t>
        </is>
      </c>
      <c r="F20" s="21" t="n"/>
      <c r="G20" s="21" t="n"/>
      <c r="H20" s="21" t="n"/>
      <c r="I20" s="21" t="n"/>
      <c r="J20" s="21" t="n"/>
      <c r="K20" s="21" t="n"/>
      <c r="L20" s="21" t="n"/>
    </row>
    <row r="21">
      <c r="A21" s="20" t="inlineStr">
        <is>
          <t>Actual Cost (AC)</t>
        </is>
      </c>
      <c r="B21" s="21" t="n"/>
      <c r="C21" s="22">
        <f>H14</f>
        <v/>
      </c>
      <c r="D21" s="21" t="n"/>
      <c r="E21" s="23" t="inlineStr">
        <is>
          <t>Chi phí nhân lực thực tế đã tiêu hao (bao gồm OT)</t>
        </is>
      </c>
      <c r="F21" s="21" t="n"/>
      <c r="G21" s="21" t="n"/>
      <c r="H21" s="21" t="n"/>
      <c r="I21" s="21" t="n"/>
      <c r="J21" s="21" t="n"/>
      <c r="K21" s="21" t="n"/>
      <c r="L21" s="21" t="n"/>
    </row>
    <row r="22">
      <c r="A22" s="20" t="inlineStr">
        <is>
          <t>Cost Variance (CV)</t>
        </is>
      </c>
      <c r="B22" s="21" t="n"/>
      <c r="C22" s="22">
        <f>I14</f>
        <v/>
      </c>
      <c r="D22" s="21" t="n"/>
      <c r="E22" s="23" t="inlineStr">
        <is>
          <t>CV &lt; 0: Chi phí vượt ngân sách cục bộ</t>
        </is>
      </c>
      <c r="F22" s="21" t="n"/>
      <c r="G22" s="21" t="n"/>
      <c r="H22" s="21" t="n"/>
      <c r="I22" s="21" t="n"/>
      <c r="J22" s="21" t="n"/>
      <c r="K22" s="21" t="n"/>
      <c r="L22" s="21" t="n"/>
    </row>
    <row r="23">
      <c r="A23" s="20" t="inlineStr">
        <is>
          <t>Schedule Variance (SV)</t>
        </is>
      </c>
      <c r="B23" s="21" t="n"/>
      <c r="C23" s="22">
        <f>J14</f>
        <v/>
      </c>
      <c r="D23" s="21" t="n"/>
      <c r="E23" s="23" t="inlineStr">
        <is>
          <t>SV &lt; 0: Tiến độ chậm hơn baseline 2.5%</t>
        </is>
      </c>
      <c r="F23" s="21" t="n"/>
      <c r="G23" s="21" t="n"/>
      <c r="H23" s="21" t="n"/>
      <c r="I23" s="21" t="n"/>
      <c r="J23" s="21" t="n"/>
      <c r="K23" s="21" t="n"/>
      <c r="L23" s="21" t="n"/>
    </row>
    <row r="24">
      <c r="A24" s="20" t="inlineStr">
        <is>
          <t>Cost Performance Index (CPI)</t>
        </is>
      </c>
      <c r="B24" s="21" t="n"/>
      <c r="C24" s="24">
        <f>K14</f>
        <v/>
      </c>
      <c r="D24" s="21" t="n"/>
      <c r="E24" s="23" t="inlineStr">
        <is>
          <t>CPI &lt; 1: 1 VNĐ chi ra mang lại 0.873 VNĐ giá trị</t>
        </is>
      </c>
      <c r="F24" s="21" t="n"/>
      <c r="G24" s="21" t="n"/>
      <c r="H24" s="21" t="n"/>
      <c r="I24" s="21" t="n"/>
      <c r="J24" s="21" t="n"/>
      <c r="K24" s="21" t="n"/>
      <c r="L24" s="21" t="n"/>
    </row>
    <row r="25">
      <c r="A25" s="20" t="inlineStr">
        <is>
          <t>Schedule Performance Index (SPI)</t>
        </is>
      </c>
      <c r="B25" s="21" t="n"/>
      <c r="C25" s="24">
        <f>L14</f>
        <v/>
      </c>
      <c r="D25" s="21" t="n"/>
      <c r="E25" s="23" t="inlineStr">
        <is>
          <t>SPI &lt; 1: Tiến độ đạt 94.4% so với kế hoạch ban đầu</t>
        </is>
      </c>
      <c r="F25" s="21" t="n"/>
      <c r="G25" s="21" t="n"/>
      <c r="H25" s="21" t="n"/>
      <c r="I25" s="21" t="n"/>
      <c r="J25" s="21" t="n"/>
      <c r="K25" s="21" t="n"/>
      <c r="L25" s="21" t="n"/>
    </row>
    <row r="26">
      <c r="A26" s="20" t="inlineStr">
        <is>
          <t>Estimate at Completion (EAC)</t>
        </is>
      </c>
      <c r="B26" s="21" t="n"/>
      <c r="C26" s="22">
        <f>C14/K14</f>
        <v/>
      </c>
      <c r="D26" s="21" t="n"/>
      <c r="E26" s="23" t="inlineStr">
        <is>
          <t>Dự báo tổng chi phí khi hoàn thành dự án</t>
        </is>
      </c>
      <c r="F26" s="21" t="n"/>
      <c r="G26" s="21" t="n"/>
      <c r="H26" s="21" t="n"/>
      <c r="I26" s="21" t="n"/>
      <c r="J26" s="21" t="n"/>
      <c r="K26" s="21" t="n"/>
      <c r="L26" s="21" t="n"/>
    </row>
    <row r="27">
      <c r="A27" s="20" t="inlineStr">
        <is>
          <t>Variance at Completion (VAC)</t>
        </is>
      </c>
      <c r="B27" s="21" t="n"/>
      <c r="C27" s="22">
        <f>C14-(C14/K14)</f>
        <v/>
      </c>
      <c r="D27" s="21" t="n"/>
      <c r="E27" s="23" t="inlineStr">
        <is>
          <t>Dự báo vượt ngân sách khi kết thúc dự án</t>
        </is>
      </c>
      <c r="F27" s="21" t="n"/>
      <c r="G27" s="21" t="n"/>
      <c r="H27" s="21" t="n"/>
      <c r="I27" s="21" t="n"/>
      <c r="J27" s="21" t="n"/>
      <c r="K27" s="21" t="n"/>
      <c r="L27" s="21" t="n"/>
    </row>
    <row r="28">
      <c r="A28" s="20" t="inlineStr">
        <is>
          <t>To-Complete Performance Index (TCPI)</t>
        </is>
      </c>
      <c r="B28" s="21" t="n"/>
      <c r="C28" s="24">
        <f>(C14-G14)/(C14-H14)</f>
        <v/>
      </c>
      <c r="D28" s="21" t="n"/>
      <c r="E28" s="23" t="inlineStr">
        <is>
          <t>Hiệu năng chi phí cần đạt trong nửa sau dự án</t>
        </is>
      </c>
      <c r="F28" s="21" t="n"/>
      <c r="G28" s="21" t="n"/>
      <c r="H28" s="21" t="n"/>
      <c r="I28" s="21" t="n"/>
      <c r="J28" s="21" t="n"/>
      <c r="K28" s="21" t="n"/>
      <c r="L28" s="21" t="n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2026-09-27T14:52:17Z</dcterms:created>
  <dcterms:modified xmlns:dcterms="http://purl.org/dc/terms/" xmlns:xsi="http://www.w3.org/2001/XMLSchema-instance" xsi:type="dcterms:W3CDTF">2026-09-27T14:52:17Z</dcterms:modified>
</cp:coreProperties>
</file>